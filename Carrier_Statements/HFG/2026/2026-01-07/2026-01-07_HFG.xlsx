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FG\2026\1-7-26\"/>
    </mc:Choice>
  </mc:AlternateContent>
  <xr:revisionPtr revIDLastSave="0" documentId="13_ncr:1_{29F6C43D-C6AB-4276-890D-9B3ADB97150E}" xr6:coauthVersionLast="47" xr6:coauthVersionMax="47" xr10:uidLastSave="{00000000-0000-0000-0000-000000000000}"/>
  <bookViews>
    <workbookView xWindow="28680" yWindow="-120" windowWidth="29040" windowHeight="16440" activeTab="2" xr2:uid="{0AAE430C-0D78-4A33-AA08-E0816A8B2AF7}"/>
  </bookViews>
  <sheets>
    <sheet name="New Business Agent Statement - " sheetId="1" r:id="rId1"/>
    <sheet name="Sheet1" sheetId="2" r:id="rId2"/>
    <sheet name="on hold - done" sheetId="3" r:id="rId3"/>
  </sheets>
  <calcPr calcId="181029"/>
</workbook>
</file>

<file path=xl/calcChain.xml><?xml version="1.0" encoding="utf-8"?>
<calcChain xmlns="http://schemas.openxmlformats.org/spreadsheetml/2006/main">
  <c r="B3" i="3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2" i="3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  <c r="B197" i="2"/>
  <c r="B196" i="2"/>
  <c r="B195" i="2"/>
  <c r="B194" i="2"/>
  <c r="B193" i="2"/>
  <c r="B192" i="2"/>
  <c r="B191" i="2"/>
  <c r="B190" i="2"/>
  <c r="B189" i="2"/>
  <c r="B188" i="2"/>
  <c r="B187" i="2"/>
  <c r="B186" i="2"/>
  <c r="B185" i="2"/>
  <c r="B184" i="2"/>
  <c r="B183" i="2"/>
  <c r="B182" i="2"/>
  <c r="B181" i="2"/>
  <c r="B180" i="2"/>
  <c r="B179" i="2"/>
  <c r="B178" i="2"/>
  <c r="B177" i="2"/>
  <c r="B176" i="2"/>
  <c r="B175" i="2"/>
  <c r="B174" i="2"/>
  <c r="B173" i="2"/>
  <c r="B172" i="2"/>
  <c r="B171" i="2"/>
  <c r="B170" i="2"/>
  <c r="B169" i="2"/>
  <c r="B168" i="2"/>
  <c r="B167" i="2"/>
  <c r="B166" i="2"/>
  <c r="B165" i="2"/>
  <c r="B164" i="2"/>
  <c r="B163" i="2"/>
  <c r="B162" i="2"/>
  <c r="B161" i="2"/>
  <c r="B160" i="2"/>
  <c r="B159" i="2"/>
  <c r="B158" i="2"/>
  <c r="B157" i="2"/>
  <c r="B156" i="2"/>
  <c r="B155" i="2"/>
  <c r="B154" i="2"/>
  <c r="B153" i="2"/>
  <c r="B152" i="2"/>
  <c r="B151" i="2"/>
  <c r="B150" i="2"/>
  <c r="B149" i="2"/>
  <c r="B148" i="2"/>
  <c r="B147" i="2"/>
  <c r="B146" i="2"/>
  <c r="B145" i="2"/>
  <c r="B144" i="2"/>
  <c r="B143" i="2"/>
  <c r="B142" i="2"/>
  <c r="B141" i="2"/>
  <c r="B140" i="2"/>
  <c r="B139" i="2"/>
  <c r="B138" i="2"/>
  <c r="B137" i="2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30" i="2"/>
  <c r="B29" i="2"/>
  <c r="B28" i="2"/>
  <c r="B27" i="2"/>
  <c r="B26" i="2"/>
  <c r="B25" i="2"/>
  <c r="B24" i="2"/>
  <c r="B23" i="2"/>
  <c r="B40" i="2"/>
  <c r="B39" i="2"/>
  <c r="B38" i="2"/>
  <c r="B37" i="2"/>
  <c r="B36" i="2"/>
  <c r="B35" i="2"/>
  <c r="B34" i="2"/>
  <c r="B33" i="2"/>
  <c r="B32" i="2"/>
  <c r="B31" i="2"/>
  <c r="B22" i="2"/>
  <c r="B21" i="2"/>
  <c r="B232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P31" i="2" l="1"/>
</calcChain>
</file>

<file path=xl/sharedStrings.xml><?xml version="1.0" encoding="utf-8"?>
<sst xmlns="http://schemas.openxmlformats.org/spreadsheetml/2006/main" count="6261" uniqueCount="746">
  <si>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</si>
  <si>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</si>
  <si>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</si>
  <si>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</si>
  <si>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</si>
  <si>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</si>
  <si>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</si>
  <si>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</si>
  <si>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</si>
  <si>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</si>
  <si>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</si>
  <si>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</si>
  <si>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</si>
  <si>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</si>
  <si>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</si>
  <si>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</si>
  <si>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</si>
  <si>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</si>
  <si>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</si>
  <si>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</si>
  <si>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</si>
  <si>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</si>
  <si>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</si>
  <si>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</si>
  <si>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</si>
  <si>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</si>
  <si>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</si>
  <si>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</si>
  <si>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</si>
  <si>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</si>
  <si>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</si>
  <si>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</si>
  <si>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</si>
  <si>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</si>
  <si>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</si>
  <si>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</si>
  <si>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</si>
  <si>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</si>
  <si>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</si>
  <si>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HEARTLAND</t>
  </si>
  <si>
    <t>HEARTLAND-FINANCIAL-GROUP</t>
  </si>
  <si>
    <t>'043677</t>
  </si>
  <si>
    <t>'</t>
  </si>
  <si>
    <t>JASON HOFFMANN</t>
  </si>
  <si>
    <t>'101331296200</t>
  </si>
  <si>
    <t>DONALD DAVIS</t>
  </si>
  <si>
    <t>IL</t>
  </si>
  <si>
    <t>'045612</t>
  </si>
  <si>
    <t>ANTHONY HUNSBERGER</t>
  </si>
  <si>
    <t>ACTIVE</t>
  </si>
  <si>
    <t>Aetna MAPD NMO to MMO - 2025+ New E-App</t>
  </si>
  <si>
    <t>Monthly</t>
  </si>
  <si>
    <t>AV</t>
  </si>
  <si>
    <t>'101789518700</t>
  </si>
  <si>
    <t>DANNY GOFF</t>
  </si>
  <si>
    <t>WV</t>
  </si>
  <si>
    <t>'101802560700</t>
  </si>
  <si>
    <t>MICHAEL GRIZZARD</t>
  </si>
  <si>
    <t>'043682</t>
  </si>
  <si>
    <t>GREGORY TEIPEL</t>
  </si>
  <si>
    <t>'102117344900</t>
  </si>
  <si>
    <t>DAUNE POPE</t>
  </si>
  <si>
    <t>'045604</t>
  </si>
  <si>
    <t>JEFFREY HORN</t>
  </si>
  <si>
    <t>'102244134600</t>
  </si>
  <si>
    <t>JANE DOBROWSKI</t>
  </si>
  <si>
    <t>WI</t>
  </si>
  <si>
    <t>'045605</t>
  </si>
  <si>
    <t>GARY PORTUGAL</t>
  </si>
  <si>
    <t>'102253822400</t>
  </si>
  <si>
    <t>LORI MELCHIORRE</t>
  </si>
  <si>
    <t>PA</t>
  </si>
  <si>
    <t>'043679</t>
  </si>
  <si>
    <t>DEBORAH INSKIPT</t>
  </si>
  <si>
    <t>'102254077200</t>
  </si>
  <si>
    <t>DAVID MICKELSON</t>
  </si>
  <si>
    <t>AZ</t>
  </si>
  <si>
    <t>'043969</t>
  </si>
  <si>
    <t>STACEY PORTUGAL</t>
  </si>
  <si>
    <t>'102254238500</t>
  </si>
  <si>
    <t>BARBARA NIEDZIOLKA</t>
  </si>
  <si>
    <t>'043610</t>
  </si>
  <si>
    <t>KLAUS HERCHENRODER</t>
  </si>
  <si>
    <t>Aetna MAPD NMO to MMO - 2025+ New Paper</t>
  </si>
  <si>
    <t>'102254388600</t>
  </si>
  <si>
    <t>GERARD GRONOWSKI</t>
  </si>
  <si>
    <t>OH</t>
  </si>
  <si>
    <t>'045684</t>
  </si>
  <si>
    <t>JILL SHEPARD</t>
  </si>
  <si>
    <t>'102254394100</t>
  </si>
  <si>
    <t>LYNN GRONOWSKI</t>
  </si>
  <si>
    <t>'102254527700</t>
  </si>
  <si>
    <t>RICHARD HOLIDAY</t>
  </si>
  <si>
    <t>NY</t>
  </si>
  <si>
    <t>'045591</t>
  </si>
  <si>
    <t>CHRISTOPHER BROUSSEAU</t>
  </si>
  <si>
    <t>'102254727000</t>
  </si>
  <si>
    <t>CATHY ROSUS</t>
  </si>
  <si>
    <t>Aetna MAPD NMO to MMO - 2025+ Replace E-App</t>
  </si>
  <si>
    <t>11/12 PRORATE</t>
  </si>
  <si>
    <t>'102254749200</t>
  </si>
  <si>
    <t>LUCINDA CHARLEY</t>
  </si>
  <si>
    <t>'102254763000</t>
  </si>
  <si>
    <t>RANDY CHARLEY</t>
  </si>
  <si>
    <t>'102254768700</t>
  </si>
  <si>
    <t>ELIZABETH WILSON</t>
  </si>
  <si>
    <t>'045603</t>
  </si>
  <si>
    <t>ANDREW CHOI</t>
  </si>
  <si>
    <t>'102254954300</t>
  </si>
  <si>
    <t>MICHAEL POLCYN</t>
  </si>
  <si>
    <t>'045632</t>
  </si>
  <si>
    <t>BARRY SCHUMANN</t>
  </si>
  <si>
    <t>'102254985900</t>
  </si>
  <si>
    <t>KARL CHEEKS</t>
  </si>
  <si>
    <t>'043611</t>
  </si>
  <si>
    <t>TIMOTHY POWERS</t>
  </si>
  <si>
    <t>'116903874</t>
  </si>
  <si>
    <t>LUDY WOMACK</t>
  </si>
  <si>
    <t>TX</t>
  </si>
  <si>
    <t>'043718</t>
  </si>
  <si>
    <t>CHAD YALE</t>
  </si>
  <si>
    <t>UHC MAPD Street payable to upline- 2026 Replace</t>
  </si>
  <si>
    <t>12/12 PRORATE</t>
  </si>
  <si>
    <t>'123531250</t>
  </si>
  <si>
    <t>GLORIA ASTORGA</t>
  </si>
  <si>
    <t>'045896</t>
  </si>
  <si>
    <t>LENSIE GONZALEZ</t>
  </si>
  <si>
    <t>'125392427</t>
  </si>
  <si>
    <t>CARL KNAPPE</t>
  </si>
  <si>
    <t>'125404927</t>
  </si>
  <si>
    <t>VIRGINIA LEMON-KEITH</t>
  </si>
  <si>
    <t>MD</t>
  </si>
  <si>
    <t>'045627</t>
  </si>
  <si>
    <t>CATHY LEMON</t>
  </si>
  <si>
    <t>'129949159</t>
  </si>
  <si>
    <t>RHONDA HUMPHREY</t>
  </si>
  <si>
    <t>'045885</t>
  </si>
  <si>
    <t>CHAD BENDER</t>
  </si>
  <si>
    <t>'134111141</t>
  </si>
  <si>
    <t>ERNESTO GONZALEZ</t>
  </si>
  <si>
    <t>OK</t>
  </si>
  <si>
    <t>'134330785</t>
  </si>
  <si>
    <t>CHERYL GOODREAU</t>
  </si>
  <si>
    <t>MI</t>
  </si>
  <si>
    <t>'134395369</t>
  </si>
  <si>
    <t>CHAD NEEDY</t>
  </si>
  <si>
    <t>FL</t>
  </si>
  <si>
    <t>'134517961</t>
  </si>
  <si>
    <t>GERALD CLARK</t>
  </si>
  <si>
    <t>'043739</t>
  </si>
  <si>
    <t>ANDREA PETRUNGARO</t>
  </si>
  <si>
    <t>'134595699</t>
  </si>
  <si>
    <t>EVELYN CARR</t>
  </si>
  <si>
    <t>'045717</t>
  </si>
  <si>
    <t>RONALD MAX</t>
  </si>
  <si>
    <t>'134606398</t>
  </si>
  <si>
    <t>QUANAH CLARK</t>
  </si>
  <si>
    <t>'134698577</t>
  </si>
  <si>
    <t>ELENI VETTAS</t>
  </si>
  <si>
    <t>'134790046</t>
  </si>
  <si>
    <t>JENNIFER HATCH</t>
  </si>
  <si>
    <t>'134831885</t>
  </si>
  <si>
    <t>CHARLOTTE WILSON</t>
  </si>
  <si>
    <t>'135010181</t>
  </si>
  <si>
    <t>MIRIAM WADE</t>
  </si>
  <si>
    <t>'135040328</t>
  </si>
  <si>
    <t>JEANNETTE CRADDOCK</t>
  </si>
  <si>
    <t>'831885646</t>
  </si>
  <si>
    <t>D'ALENE FUNDER</t>
  </si>
  <si>
    <t>'900209919</t>
  </si>
  <si>
    <t>CELIA BOTBOL</t>
  </si>
  <si>
    <t>'900999478</t>
  </si>
  <si>
    <t>BARBARA DUNLAP</t>
  </si>
  <si>
    <t>OR</t>
  </si>
  <si>
    <t>'901037707</t>
  </si>
  <si>
    <t>VIRGINIA BURNS</t>
  </si>
  <si>
    <t>'045607</t>
  </si>
  <si>
    <t>PAMELA DEATON</t>
  </si>
  <si>
    <t>UHC MAPD Street payable to upline- 2026 Replace - Other</t>
  </si>
  <si>
    <t>'901566459</t>
  </si>
  <si>
    <t>CHRISTINE SCHWANBECK</t>
  </si>
  <si>
    <t>'902156178</t>
  </si>
  <si>
    <t>MONTY LOGAN</t>
  </si>
  <si>
    <t>'045772</t>
  </si>
  <si>
    <t>JASON ROLLER</t>
  </si>
  <si>
    <t>'902244700</t>
  </si>
  <si>
    <t>AMY WILLIAMS</t>
  </si>
  <si>
    <t>'045634</t>
  </si>
  <si>
    <t>PATRICIA LONG</t>
  </si>
  <si>
    <t>UHC MAPD Street payable to upline PA/CT- 2026 Replace - Other</t>
  </si>
  <si>
    <t>'902305533</t>
  </si>
  <si>
    <t>KIM CROWE</t>
  </si>
  <si>
    <t>'047621</t>
  </si>
  <si>
    <t>TOM SERIO</t>
  </si>
  <si>
    <t>'902914656</t>
  </si>
  <si>
    <t>GARY HAMAKER</t>
  </si>
  <si>
    <t>CO</t>
  </si>
  <si>
    <t>'045621</t>
  </si>
  <si>
    <t>HEATHER GESKE</t>
  </si>
  <si>
    <t>'903158563</t>
  </si>
  <si>
    <t>DONNA BOLES</t>
  </si>
  <si>
    <t>AL</t>
  </si>
  <si>
    <t>'903355671</t>
  </si>
  <si>
    <t>STANTON HEIMSATH</t>
  </si>
  <si>
    <t>IN</t>
  </si>
  <si>
    <t>'045967</t>
  </si>
  <si>
    <t>DANNA GREEN</t>
  </si>
  <si>
    <t>'904803303</t>
  </si>
  <si>
    <t>TERRIE PALAZZO</t>
  </si>
  <si>
    <t>'043618</t>
  </si>
  <si>
    <t>SAADIA ABDUL</t>
  </si>
  <si>
    <t>'905009866</t>
  </si>
  <si>
    <t>JOHN ALBERT</t>
  </si>
  <si>
    <t>'905055820</t>
  </si>
  <si>
    <t>VICTORIA HOJNACKI</t>
  </si>
  <si>
    <t>'905157294</t>
  </si>
  <si>
    <t>PAULA OLSON</t>
  </si>
  <si>
    <t>'905161845</t>
  </si>
  <si>
    <t>BRIAN HINCKLEY</t>
  </si>
  <si>
    <t>'043974</t>
  </si>
  <si>
    <t>JENNIFER HALSAVER</t>
  </si>
  <si>
    <t>'905283105</t>
  </si>
  <si>
    <t>DAVID HILFIKER</t>
  </si>
  <si>
    <t>WA</t>
  </si>
  <si>
    <t>'046026</t>
  </si>
  <si>
    <t>JARED KINYUA</t>
  </si>
  <si>
    <t>'905287605</t>
  </si>
  <si>
    <t>RUSSELL SETTLE</t>
  </si>
  <si>
    <t>'905419578</t>
  </si>
  <si>
    <t>JAMES HASSELL</t>
  </si>
  <si>
    <t>'045613</t>
  </si>
  <si>
    <t>RICARDO SANTOS</t>
  </si>
  <si>
    <t>'905945740</t>
  </si>
  <si>
    <t>CAROLYN RADTKE</t>
  </si>
  <si>
    <t>'906430980</t>
  </si>
  <si>
    <t>JANICE MALONEY</t>
  </si>
  <si>
    <t>'907480147</t>
  </si>
  <si>
    <t>DEBRA ANGVICK</t>
  </si>
  <si>
    <t>TN</t>
  </si>
  <si>
    <t>'041686</t>
  </si>
  <si>
    <t>DALE WALENGA</t>
  </si>
  <si>
    <t>'907559980</t>
  </si>
  <si>
    <t>JANICE BAUERNFEIND</t>
  </si>
  <si>
    <t>UHC MAPD Street payable to upline PA/CT- 2026 Replace</t>
  </si>
  <si>
    <t>'908064971</t>
  </si>
  <si>
    <t>TERRY PENROD</t>
  </si>
  <si>
    <t>'045622</t>
  </si>
  <si>
    <t>JACOB YALE</t>
  </si>
  <si>
    <t>UHC MAPD Street payable to upline- 2025 Replace</t>
  </si>
  <si>
    <t>'908140248</t>
  </si>
  <si>
    <t>KAREN SCHWIEDER</t>
  </si>
  <si>
    <t>'043713</t>
  </si>
  <si>
    <t>JOEL LEE</t>
  </si>
  <si>
    <t>'908618918</t>
  </si>
  <si>
    <t>JOHN BLISS</t>
  </si>
  <si>
    <t>'045601</t>
  </si>
  <si>
    <t>CAROL FOLEY</t>
  </si>
  <si>
    <t>'908745437</t>
  </si>
  <si>
    <t>THOMAS HOFFMAN</t>
  </si>
  <si>
    <t>'908826935</t>
  </si>
  <si>
    <t>JOHN DALY</t>
  </si>
  <si>
    <t>'909120643</t>
  </si>
  <si>
    <t>CHARLES HOSIER</t>
  </si>
  <si>
    <t>'909753788</t>
  </si>
  <si>
    <t>CATHERINE LEACH</t>
  </si>
  <si>
    <t>'909963590</t>
  </si>
  <si>
    <t>TED STAUBER</t>
  </si>
  <si>
    <t>'910103142</t>
  </si>
  <si>
    <t>ARTHUR ZELLNER</t>
  </si>
  <si>
    <t>'910393030</t>
  </si>
  <si>
    <t>ABIGAIL ELLIOTT</t>
  </si>
  <si>
    <t>NA</t>
  </si>
  <si>
    <t>'910479691</t>
  </si>
  <si>
    <t>CHRISTINE SHAW</t>
  </si>
  <si>
    <t>'910837839</t>
  </si>
  <si>
    <t>TIMOTHY RANSBERGER</t>
  </si>
  <si>
    <t>'911214375</t>
  </si>
  <si>
    <t>KEVIN PIERCE</t>
  </si>
  <si>
    <t>'911540541</t>
  </si>
  <si>
    <t>JAMES MACLAGAN</t>
  </si>
  <si>
    <t>'911761487</t>
  </si>
  <si>
    <t>DARLENE WILKERSON</t>
  </si>
  <si>
    <t>'912444947</t>
  </si>
  <si>
    <t>SARAH ERTTER</t>
  </si>
  <si>
    <t>'043867</t>
  </si>
  <si>
    <t>RYAN STOCKER</t>
  </si>
  <si>
    <t>'912672491</t>
  </si>
  <si>
    <t>ESMERALDA RODRIGUEZ</t>
  </si>
  <si>
    <t>'913076466</t>
  </si>
  <si>
    <t>KAREN THOMPSON</t>
  </si>
  <si>
    <t>'913131528</t>
  </si>
  <si>
    <t>WANDA JACOBS</t>
  </si>
  <si>
    <t>'913470859</t>
  </si>
  <si>
    <t>NANCY COOPER</t>
  </si>
  <si>
    <t>NC</t>
  </si>
  <si>
    <t>'914188230</t>
  </si>
  <si>
    <t>DANIEL SUMNER</t>
  </si>
  <si>
    <t>'914374312</t>
  </si>
  <si>
    <t>PAULETTA GARDNER</t>
  </si>
  <si>
    <t>'914385881</t>
  </si>
  <si>
    <t>ISMAEL GALLEGO</t>
  </si>
  <si>
    <t>'045642</t>
  </si>
  <si>
    <t>JONATHAN ALOFF</t>
  </si>
  <si>
    <t>'914414427</t>
  </si>
  <si>
    <t>CHRISTINE WALSH</t>
  </si>
  <si>
    <t>'914487918</t>
  </si>
  <si>
    <t>KENNETH ODOM</t>
  </si>
  <si>
    <t>'914548418</t>
  </si>
  <si>
    <t>DONNA FROSS</t>
  </si>
  <si>
    <t>GA</t>
  </si>
  <si>
    <t>'914644399</t>
  </si>
  <si>
    <t>INSANOUK THANADABOUTH</t>
  </si>
  <si>
    <t>'043625</t>
  </si>
  <si>
    <t>PATSAMON THANADABOUTH</t>
  </si>
  <si>
    <t>'914857307</t>
  </si>
  <si>
    <t>JUNE MCGRATH</t>
  </si>
  <si>
    <t>'914979534</t>
  </si>
  <si>
    <t>MARY DOVERSPIKE</t>
  </si>
  <si>
    <t>'915194475</t>
  </si>
  <si>
    <t>SOUNTHONE PHOUANGPHIDOK</t>
  </si>
  <si>
    <t>'915280693</t>
  </si>
  <si>
    <t>THOMAS CLINE</t>
  </si>
  <si>
    <t>'915748197</t>
  </si>
  <si>
    <t>WILLIAM YOCUM</t>
  </si>
  <si>
    <t>'045937</t>
  </si>
  <si>
    <t>MARSHA SANDEROCK</t>
  </si>
  <si>
    <t>'915909518</t>
  </si>
  <si>
    <t>EDGAR KIRKWOOD</t>
  </si>
  <si>
    <t>'916076903</t>
  </si>
  <si>
    <t>JEFFREY JOURDAN</t>
  </si>
  <si>
    <t>'916611937</t>
  </si>
  <si>
    <t>MARY DEMOPOULOS</t>
  </si>
  <si>
    <t>'916827423</t>
  </si>
  <si>
    <t>MARILYN TRONGEAU</t>
  </si>
  <si>
    <t>'916967924</t>
  </si>
  <si>
    <t>FRANCISCO MIJANGO</t>
  </si>
  <si>
    <t>'917471347</t>
  </si>
  <si>
    <t>WILLIAM ANDERSON</t>
  </si>
  <si>
    <t>'917701101</t>
  </si>
  <si>
    <t>JOHN JENSEN</t>
  </si>
  <si>
    <t>'917929060</t>
  </si>
  <si>
    <t>BARBARA KNEPPLE</t>
  </si>
  <si>
    <t>'919263664</t>
  </si>
  <si>
    <t>MARTHA FERRIS</t>
  </si>
  <si>
    <t>'919848005</t>
  </si>
  <si>
    <t>REGINA REILAND</t>
  </si>
  <si>
    <t>'920226796</t>
  </si>
  <si>
    <t>HANNAH HEPBURN</t>
  </si>
  <si>
    <t>'043689</t>
  </si>
  <si>
    <t>ANNE MARIE KOZACHECK</t>
  </si>
  <si>
    <t>'920226796OV</t>
  </si>
  <si>
    <t>UHC MA Direct 2025 New Full - Other</t>
  </si>
  <si>
    <t>'920616139</t>
  </si>
  <si>
    <t>CHRISTINE WITTHOFT</t>
  </si>
  <si>
    <t>'920890366</t>
  </si>
  <si>
    <t>NANCY BARNA</t>
  </si>
  <si>
    <t>'043691</t>
  </si>
  <si>
    <t>MICHELLE MCCORKLE</t>
  </si>
  <si>
    <t>'921081744</t>
  </si>
  <si>
    <t>PATRICIA HINCKLEY</t>
  </si>
  <si>
    <t>'921982102</t>
  </si>
  <si>
    <t>LAUREL RUSTON</t>
  </si>
  <si>
    <t>'922533835</t>
  </si>
  <si>
    <t>CHERYL DOUGHERTY</t>
  </si>
  <si>
    <t>'922578545</t>
  </si>
  <si>
    <t>CRAIG FOLTOS</t>
  </si>
  <si>
    <t>'922935380</t>
  </si>
  <si>
    <t>DIANE GILE</t>
  </si>
  <si>
    <t>'924333171</t>
  </si>
  <si>
    <t>BONNIE WARDEN SCUGLIA</t>
  </si>
  <si>
    <t>'924573691</t>
  </si>
  <si>
    <t>EUGENE REILAND</t>
  </si>
  <si>
    <t>'924864657</t>
  </si>
  <si>
    <t>VICTORIA CUMMINGS</t>
  </si>
  <si>
    <t>'925189893</t>
  </si>
  <si>
    <t>RONALD FUNDER</t>
  </si>
  <si>
    <t>'925781093</t>
  </si>
  <si>
    <t>EDWARD BAUER</t>
  </si>
  <si>
    <t>'925982271</t>
  </si>
  <si>
    <t>RANDYL MCCAULEY</t>
  </si>
  <si>
    <t>'925995823</t>
  </si>
  <si>
    <t>KEM WEBB</t>
  </si>
  <si>
    <t>'926065200</t>
  </si>
  <si>
    <t>JEANETTE ABBOTT</t>
  </si>
  <si>
    <t>'926295813</t>
  </si>
  <si>
    <t>PATRICIA WELCH</t>
  </si>
  <si>
    <t>MO</t>
  </si>
  <si>
    <t>'926371909</t>
  </si>
  <si>
    <t>CHERI PENNY</t>
  </si>
  <si>
    <t>VA</t>
  </si>
  <si>
    <t>'043692</t>
  </si>
  <si>
    <t>ADAM RICHTER</t>
  </si>
  <si>
    <t>10/12 PRORATE</t>
  </si>
  <si>
    <t>'926739998</t>
  </si>
  <si>
    <t>JUDY LOGAN</t>
  </si>
  <si>
    <t>'927130361</t>
  </si>
  <si>
    <t>KHAMTANH PHOUANGPHIDOK</t>
  </si>
  <si>
    <t>'927551590</t>
  </si>
  <si>
    <t>AUSTIN HEPBURN</t>
  </si>
  <si>
    <t>'927632891</t>
  </si>
  <si>
    <t>JOANN MCPHERSON</t>
  </si>
  <si>
    <t>'927844077</t>
  </si>
  <si>
    <t>TERESA PARKER</t>
  </si>
  <si>
    <t>'927960226</t>
  </si>
  <si>
    <t>JAMES GRAHAM</t>
  </si>
  <si>
    <t>'928198692</t>
  </si>
  <si>
    <t>REBECCA DIETZ</t>
  </si>
  <si>
    <t>'928559266</t>
  </si>
  <si>
    <t>KIMBERLY BENTON</t>
  </si>
  <si>
    <t>'928754393</t>
  </si>
  <si>
    <t>WENDY DARZINIKAS</t>
  </si>
  <si>
    <t>'928872953</t>
  </si>
  <si>
    <t>MICHELLE PERRY</t>
  </si>
  <si>
    <t>CA</t>
  </si>
  <si>
    <t>UHC MAPD Street payable to upline NJ- 2026 Replace</t>
  </si>
  <si>
    <t>'929823819</t>
  </si>
  <si>
    <t>AMINA DURRANI</t>
  </si>
  <si>
    <t>'930179026</t>
  </si>
  <si>
    <t>DANIEL KYLE</t>
  </si>
  <si>
    <t>'930773109</t>
  </si>
  <si>
    <t>DEBRA GORDON</t>
  </si>
  <si>
    <t>'930958899</t>
  </si>
  <si>
    <t>ROBERT ERTTER</t>
  </si>
  <si>
    <t>'932172054</t>
  </si>
  <si>
    <t>STEPHEN ECKERT</t>
  </si>
  <si>
    <t>'932826929</t>
  </si>
  <si>
    <t>JOHN GERHARDT</t>
  </si>
  <si>
    <t>'934299868</t>
  </si>
  <si>
    <t>SANDRA BARDINE</t>
  </si>
  <si>
    <t>'934930012</t>
  </si>
  <si>
    <t>JAMES ELKINS</t>
  </si>
  <si>
    <t>'935295130</t>
  </si>
  <si>
    <t>DEBRA VALENTINO</t>
  </si>
  <si>
    <t>'935597255</t>
  </si>
  <si>
    <t>TERRY TRONGEAU</t>
  </si>
  <si>
    <t>'935960267</t>
  </si>
  <si>
    <t>JAMES VANGELDER</t>
  </si>
  <si>
    <t>'936250397</t>
  </si>
  <si>
    <t>PAMELA PACHOLCZAK</t>
  </si>
  <si>
    <t>'045611</t>
  </si>
  <si>
    <t>FRANK LISKOVEC</t>
  </si>
  <si>
    <t>'936494692</t>
  </si>
  <si>
    <t>DAVID YOUNG</t>
  </si>
  <si>
    <t>'937147240</t>
  </si>
  <si>
    <t>JAMES BAMMANN</t>
  </si>
  <si>
    <t>'937444625</t>
  </si>
  <si>
    <t>STUART SIMCOX</t>
  </si>
  <si>
    <t>'938019670</t>
  </si>
  <si>
    <t>THOMAS STEHURA</t>
  </si>
  <si>
    <t>'938042900</t>
  </si>
  <si>
    <t>PATRICIA JOHNSON</t>
  </si>
  <si>
    <t>'938190981</t>
  </si>
  <si>
    <t>JUNG KIM</t>
  </si>
  <si>
    <t>'043633</t>
  </si>
  <si>
    <t>RICHARD WUENSCH</t>
  </si>
  <si>
    <t>'938289187</t>
  </si>
  <si>
    <t>JOHN CULLEN</t>
  </si>
  <si>
    <t>'938375183</t>
  </si>
  <si>
    <t>ROSEANNE KEEFE</t>
  </si>
  <si>
    <t>'939081601</t>
  </si>
  <si>
    <t>KIMBERLY BAMMANN</t>
  </si>
  <si>
    <t>'939353500</t>
  </si>
  <si>
    <t>TOMMY MCCORMICK</t>
  </si>
  <si>
    <t>'940088163</t>
  </si>
  <si>
    <t>LOWELLTON PRICE</t>
  </si>
  <si>
    <t>'940482810</t>
  </si>
  <si>
    <t>GREGORY STRUNK</t>
  </si>
  <si>
    <t>'940523473</t>
  </si>
  <si>
    <t>SHARON ALTOM</t>
  </si>
  <si>
    <t>'940902300</t>
  </si>
  <si>
    <t>THONGBAY BOUNYAVONG</t>
  </si>
  <si>
    <t>'940967614</t>
  </si>
  <si>
    <t>DONALD PACHOLCZAK</t>
  </si>
  <si>
    <t>'941105248</t>
  </si>
  <si>
    <t>LADDAVAL VATHANASOMBATI</t>
  </si>
  <si>
    <t>'941312219</t>
  </si>
  <si>
    <t>RAY MENDEZ</t>
  </si>
  <si>
    <t>'941505435</t>
  </si>
  <si>
    <t>ROSE STEWART</t>
  </si>
  <si>
    <t>'942402608</t>
  </si>
  <si>
    <t>EDWARD OLSON</t>
  </si>
  <si>
    <t>'943440592</t>
  </si>
  <si>
    <t>JONES ATTERBERRY</t>
  </si>
  <si>
    <t>'943723547</t>
  </si>
  <si>
    <t>DEBORAH CHAPMAN</t>
  </si>
  <si>
    <t>'945833745</t>
  </si>
  <si>
    <t>JAY BOLES</t>
  </si>
  <si>
    <t>'946295942</t>
  </si>
  <si>
    <t>IRENE PAREDES</t>
  </si>
  <si>
    <t>'947312937</t>
  </si>
  <si>
    <t>KATHRYN CHAPPELL</t>
  </si>
  <si>
    <t>'947466255</t>
  </si>
  <si>
    <t>SARANCHIMEG BAT-OCHIR</t>
  </si>
  <si>
    <t>'947844989</t>
  </si>
  <si>
    <t>ROSE BLISS</t>
  </si>
  <si>
    <t>'947965835</t>
  </si>
  <si>
    <t>EDWIN STANTON</t>
  </si>
  <si>
    <t>'948246326</t>
  </si>
  <si>
    <t>JOHN ALMASY</t>
  </si>
  <si>
    <t>'949404698</t>
  </si>
  <si>
    <t>MARGUERITE ECKERT</t>
  </si>
  <si>
    <t>'950346489</t>
  </si>
  <si>
    <t>KIERAN ROHAN</t>
  </si>
  <si>
    <t>'951067902</t>
  </si>
  <si>
    <t>DAVID ONEAL</t>
  </si>
  <si>
    <t>'951192792</t>
  </si>
  <si>
    <t>JAMES SCALF</t>
  </si>
  <si>
    <t>'951566976</t>
  </si>
  <si>
    <t>HOWARD APPELL</t>
  </si>
  <si>
    <t>'951859059</t>
  </si>
  <si>
    <t>RICHARD LEWIS</t>
  </si>
  <si>
    <t>'952238366</t>
  </si>
  <si>
    <t>SHARON PLUFF</t>
  </si>
  <si>
    <t>'952495296</t>
  </si>
  <si>
    <t>SHARON LONG</t>
  </si>
  <si>
    <t>'952857667</t>
  </si>
  <si>
    <t>SUSAN EMMERT</t>
  </si>
  <si>
    <t>'043705</t>
  </si>
  <si>
    <t>MICHAEL DUNAVANT</t>
  </si>
  <si>
    <t>'953114727</t>
  </si>
  <si>
    <t>JAMES RHODES</t>
  </si>
  <si>
    <t>'953263323</t>
  </si>
  <si>
    <t>DIANA SORRENTINO</t>
  </si>
  <si>
    <t>'953320892</t>
  </si>
  <si>
    <t>LAWRENCE COMPTON</t>
  </si>
  <si>
    <t>'954290609</t>
  </si>
  <si>
    <t>DONALD DOLLAR</t>
  </si>
  <si>
    <t>'954358611</t>
  </si>
  <si>
    <t>LYNDA HASSELL</t>
  </si>
  <si>
    <t>'954677244</t>
  </si>
  <si>
    <t>LONNIE ALTOM</t>
  </si>
  <si>
    <t>'955821745</t>
  </si>
  <si>
    <t>LINDA IRWIN</t>
  </si>
  <si>
    <t>'956030204</t>
  </si>
  <si>
    <t>MAVERICK ALBERT</t>
  </si>
  <si>
    <t>'957051758</t>
  </si>
  <si>
    <t>LYNN ODDI</t>
  </si>
  <si>
    <t>'957358780</t>
  </si>
  <si>
    <t>PATRICIA STEPHENSON</t>
  </si>
  <si>
    <t>'957935210</t>
  </si>
  <si>
    <t>CAROLYN YOCUM</t>
  </si>
  <si>
    <t>'958881862</t>
  </si>
  <si>
    <t>PRATIMABEN SHAH</t>
  </si>
  <si>
    <t>'959144340</t>
  </si>
  <si>
    <t>LEONARD READ</t>
  </si>
  <si>
    <t>'959264118</t>
  </si>
  <si>
    <t>KARL THOMPSON</t>
  </si>
  <si>
    <t>'959706673</t>
  </si>
  <si>
    <t>CHARLENE JACOBS</t>
  </si>
  <si>
    <t>'959922002</t>
  </si>
  <si>
    <t>JUDY PAGE</t>
  </si>
  <si>
    <t>'960467852</t>
  </si>
  <si>
    <t>BONITA ASCHOFF</t>
  </si>
  <si>
    <t>'960900496</t>
  </si>
  <si>
    <t>TODD MARKO</t>
  </si>
  <si>
    <t>'961022284</t>
  </si>
  <si>
    <t>CORNELIUS HACKETT</t>
  </si>
  <si>
    <t>'961164040</t>
  </si>
  <si>
    <t>WILLIAM FOUST</t>
  </si>
  <si>
    <t>'961535224</t>
  </si>
  <si>
    <t>JAMES MEASIMER</t>
  </si>
  <si>
    <t>'961895690</t>
  </si>
  <si>
    <t>DALE BORTNER</t>
  </si>
  <si>
    <t>'961901926</t>
  </si>
  <si>
    <t>MARY MARTINEZ MATOS</t>
  </si>
  <si>
    <t>'045709</t>
  </si>
  <si>
    <t>ESTHER HERRERA-LARSEN</t>
  </si>
  <si>
    <t>'962143922</t>
  </si>
  <si>
    <t>JAMES LOWE</t>
  </si>
  <si>
    <t>'962362898</t>
  </si>
  <si>
    <t>ERICA SMITH</t>
  </si>
  <si>
    <t>'962461960</t>
  </si>
  <si>
    <t>DEBRA EAST</t>
  </si>
  <si>
    <t>AR</t>
  </si>
  <si>
    <t>'962941470</t>
  </si>
  <si>
    <t>RICHARD SZALECKI</t>
  </si>
  <si>
    <t>'043690</t>
  </si>
  <si>
    <t>THOMAS KUCAN</t>
  </si>
  <si>
    <t>'963867523</t>
  </si>
  <si>
    <t>MICHELLE GARY</t>
  </si>
  <si>
    <t>'964109438</t>
  </si>
  <si>
    <t>DEBORA BAER</t>
  </si>
  <si>
    <t>'964375898</t>
  </si>
  <si>
    <t>ALAN MATTA</t>
  </si>
  <si>
    <t>'964616624</t>
  </si>
  <si>
    <t>JAIMINI TRIVEDI</t>
  </si>
  <si>
    <t>'965649864</t>
  </si>
  <si>
    <t>SUZAN BOWEN</t>
  </si>
  <si>
    <t>'966327102</t>
  </si>
  <si>
    <t>WILLIAM DEMOPOULOS</t>
  </si>
  <si>
    <t>'967180800</t>
  </si>
  <si>
    <t>MERRY DILLER</t>
  </si>
  <si>
    <t>'967878737</t>
  </si>
  <si>
    <t>STEVEN GABEL</t>
  </si>
  <si>
    <t>'967982621</t>
  </si>
  <si>
    <t>VERONICA JONES</t>
  </si>
  <si>
    <t>'969061683</t>
  </si>
  <si>
    <t>CHERYL FOUST</t>
  </si>
  <si>
    <t>'969806734</t>
  </si>
  <si>
    <t>RICHARD WITTHOFT</t>
  </si>
  <si>
    <t>'970254922</t>
  </si>
  <si>
    <t>MARJORIE HARMS</t>
  </si>
  <si>
    <t>'970380792</t>
  </si>
  <si>
    <t>ANNA ROSENFELDT</t>
  </si>
  <si>
    <t>'970415198</t>
  </si>
  <si>
    <t>LYDIA GALLEGO</t>
  </si>
  <si>
    <t>'970893671</t>
  </si>
  <si>
    <t>JANICE FELTON</t>
  </si>
  <si>
    <t>'970961326</t>
  </si>
  <si>
    <t>PETER MILOSAVLJEVIC</t>
  </si>
  <si>
    <t>'971706292</t>
  </si>
  <si>
    <t>MARK BAER</t>
  </si>
  <si>
    <t>'971783268</t>
  </si>
  <si>
    <t>JANET FRAZIER</t>
  </si>
  <si>
    <t>'972530567</t>
  </si>
  <si>
    <t>GREGORY GASKIN</t>
  </si>
  <si>
    <t>'972544206</t>
  </si>
  <si>
    <t>SUSAN STAAT</t>
  </si>
  <si>
    <t>'973009221</t>
  </si>
  <si>
    <t>MARY WATT</t>
  </si>
  <si>
    <t>'973694305</t>
  </si>
  <si>
    <t>EVELYN HARRELL</t>
  </si>
  <si>
    <t>'973756831</t>
  </si>
  <si>
    <t>INPENG OBMALAY</t>
  </si>
  <si>
    <t>'974244915</t>
  </si>
  <si>
    <t>DAVID PAGE</t>
  </si>
  <si>
    <t>'975389023</t>
  </si>
  <si>
    <t>PAUL BECK</t>
  </si>
  <si>
    <t>'975511320</t>
  </si>
  <si>
    <t>STEVEN CHRISTENSEN</t>
  </si>
  <si>
    <t>'976065098</t>
  </si>
  <si>
    <t>BONNIE ONEAL</t>
  </si>
  <si>
    <t>'976246874</t>
  </si>
  <si>
    <t>MICHAEL PALAZZO</t>
  </si>
  <si>
    <t>'977831852</t>
  </si>
  <si>
    <t>CYNTHIA ODOM</t>
  </si>
  <si>
    <t>'977886088</t>
  </si>
  <si>
    <t>DAVID PRICE</t>
  </si>
  <si>
    <t>'978655359</t>
  </si>
  <si>
    <t>JANE GOLD</t>
  </si>
  <si>
    <t>'043832</t>
  </si>
  <si>
    <t>CAROL FRITZ</t>
  </si>
  <si>
    <t>'979158235</t>
  </si>
  <si>
    <t>MICHELLE GILL</t>
  </si>
  <si>
    <t>'979408187</t>
  </si>
  <si>
    <t>SHERRY GREELEY</t>
  </si>
  <si>
    <t>'043637</t>
  </si>
  <si>
    <t>CHRISTIAN TAUGNER</t>
  </si>
  <si>
    <t>'979478312</t>
  </si>
  <si>
    <t>THERESA ANDERSON</t>
  </si>
  <si>
    <t>'979600179</t>
  </si>
  <si>
    <t>MARK BERNARDI</t>
  </si>
  <si>
    <t>'979705830</t>
  </si>
  <si>
    <t>MARIA VALENZUELA</t>
  </si>
  <si>
    <t>'980349869</t>
  </si>
  <si>
    <t>LEIGH WETZEL</t>
  </si>
  <si>
    <t>'980595326</t>
  </si>
  <si>
    <t>RUBEN LOPEZ RAMOS</t>
  </si>
  <si>
    <t>'981391094</t>
  </si>
  <si>
    <t>DOMINGO GARCIA</t>
  </si>
  <si>
    <t>'981424265</t>
  </si>
  <si>
    <t>SANDRA FRANKLIN</t>
  </si>
  <si>
    <t>'981525836</t>
  </si>
  <si>
    <t>NANCY MCCARTNEY</t>
  </si>
  <si>
    <t>'981648667</t>
  </si>
  <si>
    <t>BETTIE GARDNER</t>
  </si>
  <si>
    <t>'982017456</t>
  </si>
  <si>
    <t>ROGER SEEFELDT</t>
  </si>
  <si>
    <t>'982804488</t>
  </si>
  <si>
    <t>EDWARD GESKE</t>
  </si>
  <si>
    <t>'983780202</t>
  </si>
  <si>
    <t>RUTHANN BILLINGHAM</t>
  </si>
  <si>
    <t>'984024242</t>
  </si>
  <si>
    <t>JAMES MCDERMOTT</t>
  </si>
  <si>
    <t>UHC MAPD Street payable to upline PA/CT- 2025 Replace</t>
  </si>
  <si>
    <t>'985176570</t>
  </si>
  <si>
    <t>TERRY CUMMINGS</t>
  </si>
  <si>
    <t>'986833979</t>
  </si>
  <si>
    <t>JERRY NELSON</t>
  </si>
  <si>
    <t>'986917543</t>
  </si>
  <si>
    <t>ASHOKKUMAR SHAH</t>
  </si>
  <si>
    <t>'987907924</t>
  </si>
  <si>
    <t>THOMAS RAGAIN</t>
  </si>
  <si>
    <t>'988729741</t>
  </si>
  <si>
    <t>MARIA DENNIE</t>
  </si>
  <si>
    <t>'989655225</t>
  </si>
  <si>
    <t>CONSTANCE NORRIS</t>
  </si>
  <si>
    <t>'989689044</t>
  </si>
  <si>
    <t>MARILYN LEA</t>
  </si>
  <si>
    <t>'990114406</t>
  </si>
  <si>
    <t>WILLIAM NORWOOD</t>
  </si>
  <si>
    <t>'992342705</t>
  </si>
  <si>
    <t>SUSAN ZARGES</t>
  </si>
  <si>
    <t>'992499817</t>
  </si>
  <si>
    <t>LAN TU</t>
  </si>
  <si>
    <t>'992644120</t>
  </si>
  <si>
    <t>RICK SPURLOCK</t>
  </si>
  <si>
    <t>'993107229</t>
  </si>
  <si>
    <t>CHARLES FRITZ</t>
  </si>
  <si>
    <t>DE</t>
  </si>
  <si>
    <t>'993173798</t>
  </si>
  <si>
    <t>MAYETTE UCAB</t>
  </si>
  <si>
    <t>'993350281</t>
  </si>
  <si>
    <t>LINDA WALDA</t>
  </si>
  <si>
    <t>'993410662</t>
  </si>
  <si>
    <t>DEVIN LEE</t>
  </si>
  <si>
    <t>'994055549</t>
  </si>
  <si>
    <t>GLORIA GESKE</t>
  </si>
  <si>
    <t>'995080570</t>
  </si>
  <si>
    <t>SUSAN ROBLEY</t>
  </si>
  <si>
    <t>'995591428</t>
  </si>
  <si>
    <t>CHERRY CHAVEZ</t>
  </si>
  <si>
    <t>'996235595</t>
  </si>
  <si>
    <t>LYNN ROSS</t>
  </si>
  <si>
    <t>'996928045</t>
  </si>
  <si>
    <t>JOHN SCHERMERHORN</t>
  </si>
  <si>
    <t>'997869450</t>
  </si>
  <si>
    <t>KEITH JOHNSON</t>
  </si>
  <si>
    <t>'MEQNDVYM00000159652</t>
  </si>
  <si>
    <t>TOM RAMSELL</t>
  </si>
  <si>
    <t>CB</t>
  </si>
  <si>
    <t>'101615215200CB</t>
  </si>
  <si>
    <t>KEVIN LINGARD</t>
  </si>
  <si>
    <t>IA</t>
  </si>
  <si>
    <t>'045712</t>
  </si>
  <si>
    <t>GREGORY HANSFORD</t>
  </si>
  <si>
    <t>CHARGEBACK</t>
  </si>
  <si>
    <t>MEQNDVYM00000159652</t>
  </si>
  <si>
    <t>Aetna MAPD OVR</t>
  </si>
  <si>
    <t>UHC MAPD Ovr 2026</t>
  </si>
  <si>
    <t>UHC MAPD 2025*</t>
  </si>
  <si>
    <t>[%/$=347][prorate=12/12]</t>
  </si>
  <si>
    <t>[%/$=313][prorate=12/12]</t>
  </si>
  <si>
    <t>[%/$=313][prorate=11/12]</t>
  </si>
  <si>
    <t>UHC MAPD 2026*</t>
  </si>
  <si>
    <t>UHC 2026 CA, NJ*</t>
  </si>
  <si>
    <t>[%/$=432][prorate=12/12]</t>
  </si>
  <si>
    <t>[%/$=353][prorate=12/12]</t>
  </si>
  <si>
    <t>[%/$=391][prorate=12/12]</t>
  </si>
  <si>
    <t>UHC 2025 CT, PA, DC *</t>
  </si>
  <si>
    <t>UHC 2026 CT, PA, DC *</t>
  </si>
  <si>
    <t>Main Line Benefits</t>
  </si>
  <si>
    <t>2026 UHC MAPD National*</t>
  </si>
  <si>
    <t>2026 UHC CT, PA, DC*</t>
  </si>
  <si>
    <t>[%/$=203]</t>
  </si>
  <si>
    <t>[%/$=233]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</si>
</sst>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left"/>
    </xf>
    <xf numFmtId="1" fontId="0" fillId="33" borderId="0" xfId="0" applyNumberFormat="1" applyFill="1" applyAlignment="1">
      <alignment horizontal="left"/>
    </xf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6216-25FA-41B2-BB1F-E0F6CAF7BCD4}">
  <dimension ref="A1:AL273"/>
  <sheetViews>
    <sheetView topLeftCell="J235" workbookViewId="0">
      <selection activeCell="R269" sqref="R269"/>
    </sheetView>
  </sheetViews>
  <sheetFormatPr defaultRowHeight="15" x14ac:dyDescent="0.25"/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46029</v>
      </c>
      <c r="B2" s="1">
        <v>46029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M2" t="s">
        <v>46</v>
      </c>
      <c r="O2" t="s">
        <v>47</v>
      </c>
      <c r="P2" t="s">
        <v>48</v>
      </c>
      <c r="Q2" t="s">
        <v>49</v>
      </c>
      <c r="R2" t="s">
        <v>50</v>
      </c>
      <c r="S2" s="1">
        <v>46023</v>
      </c>
      <c r="U2" t="s">
        <v>51</v>
      </c>
      <c r="X2" t="s">
        <v>52</v>
      </c>
      <c r="Y2" s="2">
        <v>0</v>
      </c>
      <c r="Z2" s="2">
        <v>25</v>
      </c>
      <c r="AA2">
        <v>1</v>
      </c>
      <c r="AB2" s="3">
        <v>1</v>
      </c>
      <c r="AC2" s="2">
        <v>25</v>
      </c>
      <c r="AD2" s="3">
        <v>0</v>
      </c>
      <c r="AE2" s="2">
        <v>0</v>
      </c>
      <c r="AF2" s="2">
        <v>25</v>
      </c>
      <c r="AK2">
        <v>6122966</v>
      </c>
    </row>
    <row r="3" spans="1:38" x14ac:dyDescent="0.25">
      <c r="A3" s="1">
        <v>46029</v>
      </c>
      <c r="B3" s="1">
        <v>46029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53</v>
      </c>
      <c r="J3" t="s">
        <v>54</v>
      </c>
      <c r="M3" t="s">
        <v>55</v>
      </c>
      <c r="O3" t="s">
        <v>41</v>
      </c>
      <c r="P3" t="s">
        <v>43</v>
      </c>
      <c r="Q3" t="s">
        <v>49</v>
      </c>
      <c r="R3" t="s">
        <v>50</v>
      </c>
      <c r="S3" s="1">
        <v>46023</v>
      </c>
      <c r="U3" t="s">
        <v>51</v>
      </c>
      <c r="X3" t="s">
        <v>52</v>
      </c>
      <c r="Y3" s="2">
        <v>0</v>
      </c>
      <c r="Z3" s="2">
        <v>25</v>
      </c>
      <c r="AA3">
        <v>1</v>
      </c>
      <c r="AB3" s="3">
        <v>1</v>
      </c>
      <c r="AC3" s="2">
        <v>25</v>
      </c>
      <c r="AD3" s="3">
        <v>0</v>
      </c>
      <c r="AE3" s="2">
        <v>0</v>
      </c>
      <c r="AF3" s="2">
        <v>25</v>
      </c>
      <c r="AK3">
        <v>6122978</v>
      </c>
    </row>
    <row r="4" spans="1:38" x14ac:dyDescent="0.25">
      <c r="A4" s="1">
        <v>46029</v>
      </c>
      <c r="B4" s="1">
        <v>46029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56</v>
      </c>
      <c r="J4" t="s">
        <v>57</v>
      </c>
      <c r="M4" t="s">
        <v>46</v>
      </c>
      <c r="O4" t="s">
        <v>58</v>
      </c>
      <c r="P4" t="s">
        <v>59</v>
      </c>
      <c r="Q4" t="s">
        <v>49</v>
      </c>
      <c r="R4" t="s">
        <v>50</v>
      </c>
      <c r="S4" s="1">
        <v>46023</v>
      </c>
      <c r="U4" t="s">
        <v>51</v>
      </c>
      <c r="X4" t="s">
        <v>52</v>
      </c>
      <c r="Y4" s="2">
        <v>0</v>
      </c>
      <c r="Z4" s="2">
        <v>25</v>
      </c>
      <c r="AA4">
        <v>1</v>
      </c>
      <c r="AB4" s="3">
        <v>1</v>
      </c>
      <c r="AC4" s="2">
        <v>25</v>
      </c>
      <c r="AD4" s="3">
        <v>0</v>
      </c>
      <c r="AE4" s="2">
        <v>0</v>
      </c>
      <c r="AF4" s="2">
        <v>25</v>
      </c>
      <c r="AK4">
        <v>6122980</v>
      </c>
    </row>
    <row r="5" spans="1:38" x14ac:dyDescent="0.25">
      <c r="A5" s="1">
        <v>46029</v>
      </c>
      <c r="B5" s="1">
        <v>46029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60</v>
      </c>
      <c r="J5" t="s">
        <v>61</v>
      </c>
      <c r="M5" t="s">
        <v>46</v>
      </c>
      <c r="O5" t="s">
        <v>62</v>
      </c>
      <c r="P5" t="s">
        <v>63</v>
      </c>
      <c r="Q5" t="s">
        <v>49</v>
      </c>
      <c r="R5" t="s">
        <v>50</v>
      </c>
      <c r="S5" s="1">
        <v>46023</v>
      </c>
      <c r="U5" t="s">
        <v>51</v>
      </c>
      <c r="X5" t="s">
        <v>52</v>
      </c>
      <c r="Y5" s="2">
        <v>0</v>
      </c>
      <c r="Z5" s="2">
        <v>25</v>
      </c>
      <c r="AA5">
        <v>1</v>
      </c>
      <c r="AB5" s="3">
        <v>1</v>
      </c>
      <c r="AC5" s="2">
        <v>25</v>
      </c>
      <c r="AD5" s="3">
        <v>0</v>
      </c>
      <c r="AE5" s="2">
        <v>0</v>
      </c>
      <c r="AF5" s="2">
        <v>25</v>
      </c>
      <c r="AK5">
        <v>6123013</v>
      </c>
    </row>
    <row r="6" spans="1:38" x14ac:dyDescent="0.25">
      <c r="A6" s="1">
        <v>46029</v>
      </c>
      <c r="B6" s="1">
        <v>46029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64</v>
      </c>
      <c r="J6" t="s">
        <v>65</v>
      </c>
      <c r="M6" t="s">
        <v>66</v>
      </c>
      <c r="O6" t="s">
        <v>67</v>
      </c>
      <c r="P6" t="s">
        <v>68</v>
      </c>
      <c r="Q6" t="s">
        <v>49</v>
      </c>
      <c r="R6" t="s">
        <v>50</v>
      </c>
      <c r="S6" s="1">
        <v>46023</v>
      </c>
      <c r="U6" t="s">
        <v>51</v>
      </c>
      <c r="X6" t="s">
        <v>52</v>
      </c>
      <c r="Y6" s="2">
        <v>0</v>
      </c>
      <c r="Z6" s="2">
        <v>25</v>
      </c>
      <c r="AA6">
        <v>1</v>
      </c>
      <c r="AB6" s="3">
        <v>1</v>
      </c>
      <c r="AC6" s="2">
        <v>25</v>
      </c>
      <c r="AD6" s="3">
        <v>0</v>
      </c>
      <c r="AE6" s="2">
        <v>0</v>
      </c>
      <c r="AF6" s="2">
        <v>25</v>
      </c>
      <c r="AK6">
        <v>6123030</v>
      </c>
    </row>
    <row r="7" spans="1:38" x14ac:dyDescent="0.25">
      <c r="A7" s="1">
        <v>46029</v>
      </c>
      <c r="B7" s="1">
        <v>46029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69</v>
      </c>
      <c r="J7" t="s">
        <v>70</v>
      </c>
      <c r="M7" t="s">
        <v>71</v>
      </c>
      <c r="O7" t="s">
        <v>72</v>
      </c>
      <c r="P7" t="s">
        <v>73</v>
      </c>
      <c r="Q7" t="s">
        <v>49</v>
      </c>
      <c r="R7" t="s">
        <v>50</v>
      </c>
      <c r="S7" s="1">
        <v>46023</v>
      </c>
      <c r="U7" t="s">
        <v>51</v>
      </c>
      <c r="X7" t="s">
        <v>52</v>
      </c>
      <c r="Y7" s="2">
        <v>0</v>
      </c>
      <c r="Z7" s="2">
        <v>25</v>
      </c>
      <c r="AA7">
        <v>1</v>
      </c>
      <c r="AB7" s="3">
        <v>1</v>
      </c>
      <c r="AC7" s="2">
        <v>25</v>
      </c>
      <c r="AD7" s="3">
        <v>0</v>
      </c>
      <c r="AE7" s="2">
        <v>0</v>
      </c>
      <c r="AF7" s="2">
        <v>25</v>
      </c>
      <c r="AK7">
        <v>6123039</v>
      </c>
    </row>
    <row r="8" spans="1:38" x14ac:dyDescent="0.25">
      <c r="A8" s="1">
        <v>46029</v>
      </c>
      <c r="B8" s="1">
        <v>46029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74</v>
      </c>
      <c r="J8" t="s">
        <v>75</v>
      </c>
      <c r="M8" t="s">
        <v>76</v>
      </c>
      <c r="O8" t="s">
        <v>77</v>
      </c>
      <c r="P8" t="s">
        <v>78</v>
      </c>
      <c r="Q8" t="s">
        <v>49</v>
      </c>
      <c r="R8" t="s">
        <v>50</v>
      </c>
      <c r="S8" s="1">
        <v>46023</v>
      </c>
      <c r="U8" t="s">
        <v>51</v>
      </c>
      <c r="X8" t="s">
        <v>52</v>
      </c>
      <c r="Y8" s="2">
        <v>0</v>
      </c>
      <c r="Z8" s="2">
        <v>25</v>
      </c>
      <c r="AA8">
        <v>1</v>
      </c>
      <c r="AB8" s="3">
        <v>1</v>
      </c>
      <c r="AC8" s="2">
        <v>25</v>
      </c>
      <c r="AD8" s="3">
        <v>0</v>
      </c>
      <c r="AE8" s="2">
        <v>0</v>
      </c>
      <c r="AF8" s="2">
        <v>25</v>
      </c>
      <c r="AK8">
        <v>6123047</v>
      </c>
    </row>
    <row r="9" spans="1:38" x14ac:dyDescent="0.25">
      <c r="A9" s="1">
        <v>46029</v>
      </c>
      <c r="B9" s="1">
        <v>46029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79</v>
      </c>
      <c r="J9" t="s">
        <v>80</v>
      </c>
      <c r="M9" t="s">
        <v>71</v>
      </c>
      <c r="O9" t="s">
        <v>81</v>
      </c>
      <c r="P9" t="s">
        <v>82</v>
      </c>
      <c r="Q9" t="s">
        <v>49</v>
      </c>
      <c r="R9" t="s">
        <v>83</v>
      </c>
      <c r="S9" s="1">
        <v>46023</v>
      </c>
      <c r="U9" t="s">
        <v>51</v>
      </c>
      <c r="X9" t="s">
        <v>52</v>
      </c>
      <c r="Y9" s="2">
        <v>0</v>
      </c>
      <c r="Z9" s="2">
        <v>15</v>
      </c>
      <c r="AA9">
        <v>1</v>
      </c>
      <c r="AB9" s="3">
        <v>1</v>
      </c>
      <c r="AC9" s="2">
        <v>15</v>
      </c>
      <c r="AD9" s="3">
        <v>0</v>
      </c>
      <c r="AE9" s="2">
        <v>0</v>
      </c>
      <c r="AF9" s="2">
        <v>15</v>
      </c>
      <c r="AK9">
        <v>6123052</v>
      </c>
    </row>
    <row r="10" spans="1:38" x14ac:dyDescent="0.25">
      <c r="A10" s="1">
        <v>46029</v>
      </c>
      <c r="B10" s="1">
        <v>46029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84</v>
      </c>
      <c r="J10" t="s">
        <v>85</v>
      </c>
      <c r="M10" t="s">
        <v>86</v>
      </c>
      <c r="O10" t="s">
        <v>87</v>
      </c>
      <c r="P10" t="s">
        <v>88</v>
      </c>
      <c r="Q10" t="s">
        <v>49</v>
      </c>
      <c r="R10" t="s">
        <v>50</v>
      </c>
      <c r="S10" s="1">
        <v>46023</v>
      </c>
      <c r="U10" t="s">
        <v>51</v>
      </c>
      <c r="X10" t="s">
        <v>52</v>
      </c>
      <c r="Y10" s="2">
        <v>0</v>
      </c>
      <c r="Z10" s="2">
        <v>25</v>
      </c>
      <c r="AA10">
        <v>1</v>
      </c>
      <c r="AB10" s="3">
        <v>1</v>
      </c>
      <c r="AC10" s="2">
        <v>25</v>
      </c>
      <c r="AD10" s="3">
        <v>0</v>
      </c>
      <c r="AE10" s="2">
        <v>0</v>
      </c>
      <c r="AF10" s="2">
        <v>25</v>
      </c>
      <c r="AK10">
        <v>6123059</v>
      </c>
    </row>
    <row r="11" spans="1:38" x14ac:dyDescent="0.25">
      <c r="A11" s="1">
        <v>46029</v>
      </c>
      <c r="B11" s="1">
        <v>46029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89</v>
      </c>
      <c r="J11" t="s">
        <v>90</v>
      </c>
      <c r="M11" t="s">
        <v>86</v>
      </c>
      <c r="O11" t="s">
        <v>87</v>
      </c>
      <c r="P11" t="s">
        <v>88</v>
      </c>
      <c r="Q11" t="s">
        <v>49</v>
      </c>
      <c r="R11" t="s">
        <v>50</v>
      </c>
      <c r="S11" s="1">
        <v>46023</v>
      </c>
      <c r="U11" t="s">
        <v>51</v>
      </c>
      <c r="X11" t="s">
        <v>52</v>
      </c>
      <c r="Y11" s="2">
        <v>0</v>
      </c>
      <c r="Z11" s="2">
        <v>25</v>
      </c>
      <c r="AA11">
        <v>1</v>
      </c>
      <c r="AB11" s="3">
        <v>1</v>
      </c>
      <c r="AC11" s="2">
        <v>25</v>
      </c>
      <c r="AD11" s="3">
        <v>0</v>
      </c>
      <c r="AE11" s="2">
        <v>0</v>
      </c>
      <c r="AF11" s="2">
        <v>25</v>
      </c>
      <c r="AK11">
        <v>6123060</v>
      </c>
    </row>
    <row r="12" spans="1:38" x14ac:dyDescent="0.25">
      <c r="A12" s="1">
        <v>46029</v>
      </c>
      <c r="B12" s="1">
        <v>46029</v>
      </c>
      <c r="C12" t="s">
        <v>38</v>
      </c>
      <c r="D12" t="s">
        <v>39</v>
      </c>
      <c r="E12" t="s">
        <v>40</v>
      </c>
      <c r="F12" t="s">
        <v>41</v>
      </c>
      <c r="G12" t="s">
        <v>42</v>
      </c>
      <c r="H12" t="s">
        <v>43</v>
      </c>
      <c r="I12" t="s">
        <v>91</v>
      </c>
      <c r="J12" t="s">
        <v>92</v>
      </c>
      <c r="M12" t="s">
        <v>93</v>
      </c>
      <c r="O12" t="s">
        <v>94</v>
      </c>
      <c r="P12" t="s">
        <v>95</v>
      </c>
      <c r="Q12" t="s">
        <v>49</v>
      </c>
      <c r="R12" t="s">
        <v>50</v>
      </c>
      <c r="S12" s="1">
        <v>46023</v>
      </c>
      <c r="U12" t="s">
        <v>51</v>
      </c>
      <c r="X12" t="s">
        <v>52</v>
      </c>
      <c r="Y12" s="2">
        <v>0</v>
      </c>
      <c r="Z12" s="2">
        <v>25</v>
      </c>
      <c r="AA12">
        <v>1</v>
      </c>
      <c r="AB12" s="3">
        <v>1</v>
      </c>
      <c r="AC12" s="2">
        <v>25</v>
      </c>
      <c r="AD12" s="3">
        <v>0</v>
      </c>
      <c r="AE12" s="2">
        <v>0</v>
      </c>
      <c r="AF12" s="2">
        <v>25</v>
      </c>
      <c r="AK12">
        <v>6123062</v>
      </c>
    </row>
    <row r="13" spans="1:38" x14ac:dyDescent="0.25">
      <c r="A13" s="1">
        <v>46029</v>
      </c>
      <c r="B13" s="1">
        <v>46029</v>
      </c>
      <c r="C13" t="s">
        <v>38</v>
      </c>
      <c r="D13" t="s">
        <v>39</v>
      </c>
      <c r="E13" t="s">
        <v>40</v>
      </c>
      <c r="F13" t="s">
        <v>41</v>
      </c>
      <c r="G13" t="s">
        <v>42</v>
      </c>
      <c r="H13" t="s">
        <v>43</v>
      </c>
      <c r="I13" t="s">
        <v>96</v>
      </c>
      <c r="J13" t="s">
        <v>97</v>
      </c>
      <c r="M13" t="s">
        <v>71</v>
      </c>
      <c r="O13" t="s">
        <v>72</v>
      </c>
      <c r="P13" t="s">
        <v>73</v>
      </c>
      <c r="Q13" t="s">
        <v>49</v>
      </c>
      <c r="R13" t="s">
        <v>98</v>
      </c>
      <c r="S13" s="1">
        <v>46054</v>
      </c>
      <c r="U13" t="s">
        <v>51</v>
      </c>
      <c r="X13" t="s">
        <v>52</v>
      </c>
      <c r="Y13" s="2">
        <v>0</v>
      </c>
      <c r="Z13" s="2">
        <v>22.92</v>
      </c>
      <c r="AA13">
        <v>1</v>
      </c>
      <c r="AB13" s="3">
        <v>1</v>
      </c>
      <c r="AC13" s="2">
        <v>22.92</v>
      </c>
      <c r="AD13" s="3">
        <v>0</v>
      </c>
      <c r="AE13" s="2">
        <v>0</v>
      </c>
      <c r="AF13" s="2">
        <v>22.92</v>
      </c>
      <c r="AK13">
        <v>6123066</v>
      </c>
      <c r="AL13" t="s">
        <v>99</v>
      </c>
    </row>
    <row r="14" spans="1:38" x14ac:dyDescent="0.25">
      <c r="A14" s="1">
        <v>46029</v>
      </c>
      <c r="B14" s="1">
        <v>46029</v>
      </c>
      <c r="C14" t="s">
        <v>38</v>
      </c>
      <c r="D14" t="s">
        <v>39</v>
      </c>
      <c r="E14" t="s">
        <v>40</v>
      </c>
      <c r="F14" t="s">
        <v>41</v>
      </c>
      <c r="G14" t="s">
        <v>42</v>
      </c>
      <c r="H14" t="s">
        <v>43</v>
      </c>
      <c r="I14" t="s">
        <v>100</v>
      </c>
      <c r="J14" t="s">
        <v>101</v>
      </c>
      <c r="M14" t="s">
        <v>86</v>
      </c>
      <c r="O14" t="s">
        <v>87</v>
      </c>
      <c r="P14" t="s">
        <v>88</v>
      </c>
      <c r="Q14" t="s">
        <v>49</v>
      </c>
      <c r="R14" t="s">
        <v>50</v>
      </c>
      <c r="S14" s="1">
        <v>46023</v>
      </c>
      <c r="U14" t="s">
        <v>51</v>
      </c>
      <c r="X14" t="s">
        <v>52</v>
      </c>
      <c r="Y14" s="2">
        <v>0</v>
      </c>
      <c r="Z14" s="2">
        <v>25</v>
      </c>
      <c r="AA14">
        <v>1</v>
      </c>
      <c r="AB14" s="3">
        <v>1</v>
      </c>
      <c r="AC14" s="2">
        <v>25</v>
      </c>
      <c r="AD14" s="3">
        <v>0</v>
      </c>
      <c r="AE14" s="2">
        <v>0</v>
      </c>
      <c r="AF14" s="2">
        <v>25</v>
      </c>
      <c r="AK14">
        <v>6123069</v>
      </c>
    </row>
    <row r="15" spans="1:38" x14ac:dyDescent="0.25">
      <c r="A15" s="1">
        <v>46029</v>
      </c>
      <c r="B15" s="1">
        <v>46029</v>
      </c>
      <c r="C15" t="s">
        <v>38</v>
      </c>
      <c r="D15" t="s">
        <v>39</v>
      </c>
      <c r="E15" t="s">
        <v>40</v>
      </c>
      <c r="F15" t="s">
        <v>41</v>
      </c>
      <c r="G15" t="s">
        <v>42</v>
      </c>
      <c r="H15" t="s">
        <v>43</v>
      </c>
      <c r="I15" t="s">
        <v>102</v>
      </c>
      <c r="J15" t="s">
        <v>103</v>
      </c>
      <c r="M15" t="s">
        <v>86</v>
      </c>
      <c r="O15" t="s">
        <v>87</v>
      </c>
      <c r="P15" t="s">
        <v>88</v>
      </c>
      <c r="Q15" t="s">
        <v>49</v>
      </c>
      <c r="R15" t="s">
        <v>50</v>
      </c>
      <c r="S15" s="1">
        <v>46023</v>
      </c>
      <c r="U15" t="s">
        <v>51</v>
      </c>
      <c r="X15" t="s">
        <v>52</v>
      </c>
      <c r="Y15" s="2">
        <v>0</v>
      </c>
      <c r="Z15" s="2">
        <v>25</v>
      </c>
      <c r="AA15">
        <v>1</v>
      </c>
      <c r="AB15" s="3">
        <v>1</v>
      </c>
      <c r="AC15" s="2">
        <v>25</v>
      </c>
      <c r="AD15" s="3">
        <v>0</v>
      </c>
      <c r="AE15" s="2">
        <v>0</v>
      </c>
      <c r="AF15" s="2">
        <v>25</v>
      </c>
      <c r="AK15">
        <v>6123070</v>
      </c>
    </row>
    <row r="16" spans="1:38" x14ac:dyDescent="0.25">
      <c r="A16" s="1">
        <v>46029</v>
      </c>
      <c r="B16" s="1">
        <v>46029</v>
      </c>
      <c r="C16" t="s">
        <v>38</v>
      </c>
      <c r="D16" t="s">
        <v>39</v>
      </c>
      <c r="E16" t="s">
        <v>40</v>
      </c>
      <c r="F16" t="s">
        <v>41</v>
      </c>
      <c r="G16" t="s">
        <v>42</v>
      </c>
      <c r="H16" t="s">
        <v>43</v>
      </c>
      <c r="I16" t="s">
        <v>104</v>
      </c>
      <c r="J16" t="s">
        <v>105</v>
      </c>
      <c r="M16" t="s">
        <v>76</v>
      </c>
      <c r="O16" t="s">
        <v>106</v>
      </c>
      <c r="P16" t="s">
        <v>107</v>
      </c>
      <c r="Q16" t="s">
        <v>49</v>
      </c>
      <c r="R16" t="s">
        <v>50</v>
      </c>
      <c r="S16" s="1">
        <v>46023</v>
      </c>
      <c r="U16" t="s">
        <v>51</v>
      </c>
      <c r="X16" t="s">
        <v>52</v>
      </c>
      <c r="Y16" s="2">
        <v>0</v>
      </c>
      <c r="Z16" s="2">
        <v>25</v>
      </c>
      <c r="AA16">
        <v>1</v>
      </c>
      <c r="AB16" s="3">
        <v>1</v>
      </c>
      <c r="AC16" s="2">
        <v>25</v>
      </c>
      <c r="AD16" s="3">
        <v>0</v>
      </c>
      <c r="AE16" s="2">
        <v>0</v>
      </c>
      <c r="AF16" s="2">
        <v>25</v>
      </c>
      <c r="AK16">
        <v>6123071</v>
      </c>
    </row>
    <row r="17" spans="1:38" x14ac:dyDescent="0.25">
      <c r="A17" s="1">
        <v>46029</v>
      </c>
      <c r="B17" s="1">
        <v>46029</v>
      </c>
      <c r="C17" t="s">
        <v>38</v>
      </c>
      <c r="D17" t="s">
        <v>39</v>
      </c>
      <c r="E17" t="s">
        <v>40</v>
      </c>
      <c r="F17" t="s">
        <v>41</v>
      </c>
      <c r="G17" t="s">
        <v>42</v>
      </c>
      <c r="H17" t="s">
        <v>43</v>
      </c>
      <c r="I17" t="s">
        <v>108</v>
      </c>
      <c r="J17" t="s">
        <v>109</v>
      </c>
      <c r="M17" t="s">
        <v>46</v>
      </c>
      <c r="O17" t="s">
        <v>110</v>
      </c>
      <c r="P17" t="s">
        <v>111</v>
      </c>
      <c r="Q17" t="s">
        <v>49</v>
      </c>
      <c r="R17" t="s">
        <v>50</v>
      </c>
      <c r="S17" s="1">
        <v>46023</v>
      </c>
      <c r="U17" t="s">
        <v>51</v>
      </c>
      <c r="X17" t="s">
        <v>52</v>
      </c>
      <c r="Y17" s="2">
        <v>0</v>
      </c>
      <c r="Z17" s="2">
        <v>25</v>
      </c>
      <c r="AA17">
        <v>1</v>
      </c>
      <c r="AB17" s="3">
        <v>1</v>
      </c>
      <c r="AC17" s="2">
        <v>25</v>
      </c>
      <c r="AD17" s="3">
        <v>0</v>
      </c>
      <c r="AE17" s="2">
        <v>0</v>
      </c>
      <c r="AF17" s="2">
        <v>25</v>
      </c>
      <c r="AK17">
        <v>6123078</v>
      </c>
    </row>
    <row r="18" spans="1:38" x14ac:dyDescent="0.25">
      <c r="A18" s="1">
        <v>46029</v>
      </c>
      <c r="B18" s="1">
        <v>46029</v>
      </c>
      <c r="C18" t="s">
        <v>38</v>
      </c>
      <c r="D18" t="s">
        <v>39</v>
      </c>
      <c r="E18" t="s">
        <v>40</v>
      </c>
      <c r="F18" t="s">
        <v>41</v>
      </c>
      <c r="G18" t="s">
        <v>42</v>
      </c>
      <c r="H18" t="s">
        <v>43</v>
      </c>
      <c r="I18" t="s">
        <v>112</v>
      </c>
      <c r="J18" t="s">
        <v>113</v>
      </c>
      <c r="M18" t="s">
        <v>71</v>
      </c>
      <c r="O18" t="s">
        <v>114</v>
      </c>
      <c r="P18" t="s">
        <v>115</v>
      </c>
      <c r="Q18" t="s">
        <v>49</v>
      </c>
      <c r="R18" t="s">
        <v>50</v>
      </c>
      <c r="S18" s="1">
        <v>46023</v>
      </c>
      <c r="U18" t="s">
        <v>51</v>
      </c>
      <c r="X18" t="s">
        <v>52</v>
      </c>
      <c r="Y18" s="2">
        <v>0</v>
      </c>
      <c r="Z18" s="2">
        <v>25</v>
      </c>
      <c r="AA18">
        <v>1</v>
      </c>
      <c r="AB18" s="3">
        <v>1</v>
      </c>
      <c r="AC18" s="2">
        <v>25</v>
      </c>
      <c r="AD18" s="3">
        <v>0</v>
      </c>
      <c r="AE18" s="2">
        <v>0</v>
      </c>
      <c r="AF18" s="2">
        <v>25</v>
      </c>
      <c r="AK18">
        <v>6123079</v>
      </c>
    </row>
    <row r="19" spans="1:38" x14ac:dyDescent="0.25">
      <c r="A19" s="1">
        <v>46029</v>
      </c>
      <c r="B19" s="1">
        <v>46029</v>
      </c>
      <c r="C19" t="s">
        <v>38</v>
      </c>
      <c r="D19" t="s">
        <v>39</v>
      </c>
      <c r="E19" t="s">
        <v>40</v>
      </c>
      <c r="F19" t="s">
        <v>41</v>
      </c>
      <c r="G19" t="s">
        <v>42</v>
      </c>
      <c r="H19" t="s">
        <v>43</v>
      </c>
      <c r="I19" t="s">
        <v>116</v>
      </c>
      <c r="J19" t="s">
        <v>117</v>
      </c>
      <c r="M19" t="s">
        <v>118</v>
      </c>
      <c r="O19" t="s">
        <v>119</v>
      </c>
      <c r="P19" t="s">
        <v>120</v>
      </c>
      <c r="Q19" t="s">
        <v>49</v>
      </c>
      <c r="R19" t="s">
        <v>121</v>
      </c>
      <c r="S19" s="1">
        <v>46023</v>
      </c>
      <c r="U19" t="s">
        <v>51</v>
      </c>
      <c r="X19" t="s">
        <v>52</v>
      </c>
      <c r="Y19" s="2">
        <v>0</v>
      </c>
      <c r="Z19" s="2">
        <v>347</v>
      </c>
      <c r="AA19">
        <v>1</v>
      </c>
      <c r="AB19" s="3">
        <v>1</v>
      </c>
      <c r="AC19" s="2">
        <v>347</v>
      </c>
      <c r="AD19" s="3">
        <v>0</v>
      </c>
      <c r="AE19" s="2">
        <v>0</v>
      </c>
      <c r="AF19" s="2">
        <v>347</v>
      </c>
      <c r="AK19">
        <v>6123115</v>
      </c>
      <c r="AL19" t="s">
        <v>122</v>
      </c>
    </row>
    <row r="20" spans="1:38" x14ac:dyDescent="0.25">
      <c r="A20" s="1">
        <v>46029</v>
      </c>
      <c r="B20" s="1">
        <v>46029</v>
      </c>
      <c r="C20" t="s">
        <v>38</v>
      </c>
      <c r="D20" t="s">
        <v>39</v>
      </c>
      <c r="E20" t="s">
        <v>40</v>
      </c>
      <c r="F20" t="s">
        <v>41</v>
      </c>
      <c r="G20" t="s">
        <v>42</v>
      </c>
      <c r="H20" t="s">
        <v>43</v>
      </c>
      <c r="I20" t="s">
        <v>123</v>
      </c>
      <c r="J20" t="s">
        <v>124</v>
      </c>
      <c r="M20" t="s">
        <v>118</v>
      </c>
      <c r="O20" t="s">
        <v>125</v>
      </c>
      <c r="P20" t="s">
        <v>126</v>
      </c>
      <c r="Q20" t="s">
        <v>49</v>
      </c>
      <c r="R20" t="s">
        <v>121</v>
      </c>
      <c r="S20" s="1">
        <v>46023</v>
      </c>
      <c r="U20" t="s">
        <v>51</v>
      </c>
      <c r="X20" t="s">
        <v>52</v>
      </c>
      <c r="Y20" s="2">
        <v>0</v>
      </c>
      <c r="Z20" s="2">
        <v>347</v>
      </c>
      <c r="AA20">
        <v>1</v>
      </c>
      <c r="AB20" s="3">
        <v>1</v>
      </c>
      <c r="AC20" s="2">
        <v>347</v>
      </c>
      <c r="AD20" s="3">
        <v>0</v>
      </c>
      <c r="AE20" s="2">
        <v>0</v>
      </c>
      <c r="AF20" s="2">
        <v>347</v>
      </c>
      <c r="AK20">
        <v>6123117</v>
      </c>
      <c r="AL20" t="s">
        <v>122</v>
      </c>
    </row>
    <row r="21" spans="1:38" x14ac:dyDescent="0.25">
      <c r="A21" s="1">
        <v>46029</v>
      </c>
      <c r="B21" s="1">
        <v>46029</v>
      </c>
      <c r="C21" t="s">
        <v>38</v>
      </c>
      <c r="D21" t="s">
        <v>39</v>
      </c>
      <c r="E21" t="s">
        <v>40</v>
      </c>
      <c r="F21" t="s">
        <v>41</v>
      </c>
      <c r="G21" t="s">
        <v>42</v>
      </c>
      <c r="H21" t="s">
        <v>43</v>
      </c>
      <c r="I21" t="s">
        <v>127</v>
      </c>
      <c r="J21" t="s">
        <v>128</v>
      </c>
      <c r="M21" t="s">
        <v>86</v>
      </c>
      <c r="O21" t="s">
        <v>87</v>
      </c>
      <c r="P21" t="s">
        <v>88</v>
      </c>
      <c r="Q21" t="s">
        <v>49</v>
      </c>
      <c r="R21" t="s">
        <v>121</v>
      </c>
      <c r="S21" s="1">
        <v>46023</v>
      </c>
      <c r="U21" t="s">
        <v>51</v>
      </c>
      <c r="X21" t="s">
        <v>52</v>
      </c>
      <c r="Y21" s="2">
        <v>0</v>
      </c>
      <c r="Z21" s="2">
        <v>347</v>
      </c>
      <c r="AA21">
        <v>1</v>
      </c>
      <c r="AB21" s="3">
        <v>1</v>
      </c>
      <c r="AC21" s="2">
        <v>347</v>
      </c>
      <c r="AD21" s="3">
        <v>0</v>
      </c>
      <c r="AE21" s="2">
        <v>0</v>
      </c>
      <c r="AF21" s="2">
        <v>347</v>
      </c>
      <c r="AK21">
        <v>6123118</v>
      </c>
      <c r="AL21" t="s">
        <v>122</v>
      </c>
    </row>
    <row r="22" spans="1:38" x14ac:dyDescent="0.25">
      <c r="A22" s="1">
        <v>46029</v>
      </c>
      <c r="B22" s="1">
        <v>46029</v>
      </c>
      <c r="C22" t="s">
        <v>38</v>
      </c>
      <c r="D22" t="s">
        <v>39</v>
      </c>
      <c r="E22" t="s">
        <v>40</v>
      </c>
      <c r="F22" t="s">
        <v>41</v>
      </c>
      <c r="G22" t="s">
        <v>42</v>
      </c>
      <c r="H22" t="s">
        <v>43</v>
      </c>
      <c r="I22" t="s">
        <v>129</v>
      </c>
      <c r="J22" t="s">
        <v>130</v>
      </c>
      <c r="M22" t="s">
        <v>131</v>
      </c>
      <c r="O22" t="s">
        <v>132</v>
      </c>
      <c r="P22" t="s">
        <v>133</v>
      </c>
      <c r="Q22" t="s">
        <v>49</v>
      </c>
      <c r="R22" t="s">
        <v>121</v>
      </c>
      <c r="S22" s="1">
        <v>46023</v>
      </c>
      <c r="U22" t="s">
        <v>51</v>
      </c>
      <c r="X22" t="s">
        <v>52</v>
      </c>
      <c r="Y22" s="2">
        <v>0</v>
      </c>
      <c r="Z22" s="2">
        <v>347</v>
      </c>
      <c r="AA22">
        <v>1</v>
      </c>
      <c r="AB22" s="3">
        <v>1</v>
      </c>
      <c r="AC22" s="2">
        <v>347</v>
      </c>
      <c r="AD22" s="3">
        <v>0</v>
      </c>
      <c r="AE22" s="2">
        <v>0</v>
      </c>
      <c r="AF22" s="2">
        <v>347</v>
      </c>
      <c r="AK22">
        <v>6123119</v>
      </c>
      <c r="AL22" t="s">
        <v>122</v>
      </c>
    </row>
    <row r="23" spans="1:38" x14ac:dyDescent="0.25">
      <c r="A23" s="1">
        <v>46029</v>
      </c>
      <c r="B23" s="1">
        <v>46029</v>
      </c>
      <c r="C23" t="s">
        <v>38</v>
      </c>
      <c r="D23" t="s">
        <v>39</v>
      </c>
      <c r="E23" t="s">
        <v>40</v>
      </c>
      <c r="F23" t="s">
        <v>41</v>
      </c>
      <c r="G23" t="s">
        <v>42</v>
      </c>
      <c r="H23" t="s">
        <v>43</v>
      </c>
      <c r="I23" t="s">
        <v>134</v>
      </c>
      <c r="J23" t="s">
        <v>135</v>
      </c>
      <c r="M23" t="s">
        <v>86</v>
      </c>
      <c r="O23" t="s">
        <v>136</v>
      </c>
      <c r="P23" t="s">
        <v>137</v>
      </c>
      <c r="Q23" t="s">
        <v>49</v>
      </c>
      <c r="R23" t="s">
        <v>121</v>
      </c>
      <c r="S23" s="1">
        <v>46023</v>
      </c>
      <c r="U23" t="s">
        <v>51</v>
      </c>
      <c r="X23" t="s">
        <v>52</v>
      </c>
      <c r="Y23" s="2">
        <v>0</v>
      </c>
      <c r="Z23" s="2">
        <v>347</v>
      </c>
      <c r="AA23">
        <v>1</v>
      </c>
      <c r="AB23" s="3">
        <v>1</v>
      </c>
      <c r="AC23" s="2">
        <v>347</v>
      </c>
      <c r="AD23" s="3">
        <v>0</v>
      </c>
      <c r="AE23" s="2">
        <v>0</v>
      </c>
      <c r="AF23" s="2">
        <v>347</v>
      </c>
      <c r="AK23">
        <v>6123123</v>
      </c>
      <c r="AL23" t="s">
        <v>122</v>
      </c>
    </row>
    <row r="24" spans="1:38" x14ac:dyDescent="0.25">
      <c r="A24" s="1">
        <v>46029</v>
      </c>
      <c r="B24" s="1">
        <v>46029</v>
      </c>
      <c r="C24" t="s">
        <v>38</v>
      </c>
      <c r="D24" t="s">
        <v>39</v>
      </c>
      <c r="E24" t="s">
        <v>40</v>
      </c>
      <c r="F24" t="s">
        <v>41</v>
      </c>
      <c r="G24" t="s">
        <v>42</v>
      </c>
      <c r="H24" t="s">
        <v>43</v>
      </c>
      <c r="I24" t="s">
        <v>138</v>
      </c>
      <c r="J24" t="s">
        <v>139</v>
      </c>
      <c r="M24" t="s">
        <v>140</v>
      </c>
      <c r="O24" t="s">
        <v>125</v>
      </c>
      <c r="P24" t="s">
        <v>126</v>
      </c>
      <c r="Q24" t="s">
        <v>49</v>
      </c>
      <c r="R24" t="s">
        <v>121</v>
      </c>
      <c r="S24" s="1">
        <v>46023</v>
      </c>
      <c r="U24" t="s">
        <v>51</v>
      </c>
      <c r="X24" t="s">
        <v>52</v>
      </c>
      <c r="Y24" s="2">
        <v>0</v>
      </c>
      <c r="Z24" s="2">
        <v>347</v>
      </c>
      <c r="AA24">
        <v>1</v>
      </c>
      <c r="AB24" s="3">
        <v>1</v>
      </c>
      <c r="AC24" s="2">
        <v>347</v>
      </c>
      <c r="AD24" s="3">
        <v>0</v>
      </c>
      <c r="AE24" s="2">
        <v>0</v>
      </c>
      <c r="AF24" s="2">
        <v>347</v>
      </c>
      <c r="AK24">
        <v>6123126</v>
      </c>
      <c r="AL24" t="s">
        <v>122</v>
      </c>
    </row>
    <row r="25" spans="1:38" x14ac:dyDescent="0.25">
      <c r="A25" s="1">
        <v>46029</v>
      </c>
      <c r="B25" s="1">
        <v>46029</v>
      </c>
      <c r="C25" t="s">
        <v>38</v>
      </c>
      <c r="D25" t="s">
        <v>39</v>
      </c>
      <c r="E25" t="s">
        <v>40</v>
      </c>
      <c r="F25" t="s">
        <v>41</v>
      </c>
      <c r="G25" t="s">
        <v>42</v>
      </c>
      <c r="H25" t="s">
        <v>43</v>
      </c>
      <c r="I25" t="s">
        <v>141</v>
      </c>
      <c r="J25" t="s">
        <v>142</v>
      </c>
      <c r="M25" t="s">
        <v>143</v>
      </c>
      <c r="O25" t="s">
        <v>62</v>
      </c>
      <c r="P25" t="s">
        <v>63</v>
      </c>
      <c r="Q25" t="s">
        <v>49</v>
      </c>
      <c r="R25" t="s">
        <v>121</v>
      </c>
      <c r="S25" s="1">
        <v>46023</v>
      </c>
      <c r="U25" t="s">
        <v>51</v>
      </c>
      <c r="X25" t="s">
        <v>52</v>
      </c>
      <c r="Y25" s="2">
        <v>0</v>
      </c>
      <c r="Z25" s="2">
        <v>347</v>
      </c>
      <c r="AA25">
        <v>1</v>
      </c>
      <c r="AB25" s="3">
        <v>1</v>
      </c>
      <c r="AC25" s="2">
        <v>347</v>
      </c>
      <c r="AD25" s="3">
        <v>0</v>
      </c>
      <c r="AE25" s="2">
        <v>0</v>
      </c>
      <c r="AF25" s="2">
        <v>347</v>
      </c>
      <c r="AK25">
        <v>6123129</v>
      </c>
      <c r="AL25" t="s">
        <v>122</v>
      </c>
    </row>
    <row r="26" spans="1:38" x14ac:dyDescent="0.25">
      <c r="A26" s="1">
        <v>46029</v>
      </c>
      <c r="B26" s="1">
        <v>46029</v>
      </c>
      <c r="C26" t="s">
        <v>38</v>
      </c>
      <c r="D26" t="s">
        <v>39</v>
      </c>
      <c r="E26" t="s">
        <v>40</v>
      </c>
      <c r="F26" t="s">
        <v>41</v>
      </c>
      <c r="G26" t="s">
        <v>42</v>
      </c>
      <c r="H26" t="s">
        <v>43</v>
      </c>
      <c r="I26" t="s">
        <v>144</v>
      </c>
      <c r="J26" t="s">
        <v>145</v>
      </c>
      <c r="M26" t="s">
        <v>146</v>
      </c>
      <c r="O26" t="s">
        <v>67</v>
      </c>
      <c r="P26" t="s">
        <v>68</v>
      </c>
      <c r="Q26" t="s">
        <v>49</v>
      </c>
      <c r="R26" t="s">
        <v>121</v>
      </c>
      <c r="S26" s="1">
        <v>46023</v>
      </c>
      <c r="U26" t="s">
        <v>51</v>
      </c>
      <c r="X26" t="s">
        <v>52</v>
      </c>
      <c r="Y26" s="2">
        <v>0</v>
      </c>
      <c r="Z26" s="2">
        <v>347</v>
      </c>
      <c r="AA26">
        <v>1</v>
      </c>
      <c r="AB26" s="3">
        <v>1</v>
      </c>
      <c r="AC26" s="2">
        <v>347</v>
      </c>
      <c r="AD26" s="3">
        <v>0</v>
      </c>
      <c r="AE26" s="2">
        <v>0</v>
      </c>
      <c r="AF26" s="2">
        <v>347</v>
      </c>
      <c r="AK26">
        <v>6123130</v>
      </c>
      <c r="AL26" t="s">
        <v>122</v>
      </c>
    </row>
    <row r="27" spans="1:38" x14ac:dyDescent="0.25">
      <c r="A27" s="1">
        <v>46029</v>
      </c>
      <c r="B27" s="1">
        <v>46029</v>
      </c>
      <c r="C27" t="s">
        <v>38</v>
      </c>
      <c r="D27" t="s">
        <v>39</v>
      </c>
      <c r="E27" t="s">
        <v>40</v>
      </c>
      <c r="F27" t="s">
        <v>41</v>
      </c>
      <c r="G27" t="s">
        <v>42</v>
      </c>
      <c r="H27" t="s">
        <v>43</v>
      </c>
      <c r="I27" t="s">
        <v>147</v>
      </c>
      <c r="J27" t="s">
        <v>148</v>
      </c>
      <c r="M27" t="s">
        <v>118</v>
      </c>
      <c r="O27" t="s">
        <v>149</v>
      </c>
      <c r="P27" t="s">
        <v>150</v>
      </c>
      <c r="Q27" t="s">
        <v>49</v>
      </c>
      <c r="R27" t="s">
        <v>121</v>
      </c>
      <c r="S27" s="1">
        <v>46023</v>
      </c>
      <c r="U27" t="s">
        <v>51</v>
      </c>
      <c r="X27" t="s">
        <v>52</v>
      </c>
      <c r="Y27" s="2">
        <v>0</v>
      </c>
      <c r="Z27" s="2">
        <v>347</v>
      </c>
      <c r="AA27">
        <v>1</v>
      </c>
      <c r="AB27" s="3">
        <v>1</v>
      </c>
      <c r="AC27" s="2">
        <v>347</v>
      </c>
      <c r="AD27" s="3">
        <v>0</v>
      </c>
      <c r="AE27" s="2">
        <v>0</v>
      </c>
      <c r="AF27" s="2">
        <v>347</v>
      </c>
      <c r="AK27">
        <v>6123131</v>
      </c>
      <c r="AL27" t="s">
        <v>122</v>
      </c>
    </row>
    <row r="28" spans="1:38" x14ac:dyDescent="0.25">
      <c r="A28" s="1">
        <v>46029</v>
      </c>
      <c r="B28" s="1">
        <v>46029</v>
      </c>
      <c r="C28" t="s">
        <v>38</v>
      </c>
      <c r="D28" t="s">
        <v>39</v>
      </c>
      <c r="E28" t="s">
        <v>40</v>
      </c>
      <c r="F28" t="s">
        <v>41</v>
      </c>
      <c r="G28" t="s">
        <v>42</v>
      </c>
      <c r="H28" t="s">
        <v>43</v>
      </c>
      <c r="I28" t="s">
        <v>151</v>
      </c>
      <c r="J28" t="s">
        <v>152</v>
      </c>
      <c r="M28" t="s">
        <v>131</v>
      </c>
      <c r="O28" t="s">
        <v>153</v>
      </c>
      <c r="P28" t="s">
        <v>154</v>
      </c>
      <c r="Q28" t="s">
        <v>49</v>
      </c>
      <c r="R28" t="s">
        <v>121</v>
      </c>
      <c r="S28" s="1">
        <v>46023</v>
      </c>
      <c r="U28" t="s">
        <v>51</v>
      </c>
      <c r="X28" t="s">
        <v>52</v>
      </c>
      <c r="Y28" s="2">
        <v>0</v>
      </c>
      <c r="Z28" s="2">
        <v>347</v>
      </c>
      <c r="AA28">
        <v>1</v>
      </c>
      <c r="AB28" s="3">
        <v>1</v>
      </c>
      <c r="AC28" s="2">
        <v>347</v>
      </c>
      <c r="AD28" s="3">
        <v>0</v>
      </c>
      <c r="AE28" s="2">
        <v>0</v>
      </c>
      <c r="AF28" s="2">
        <v>347</v>
      </c>
      <c r="AK28">
        <v>6123132</v>
      </c>
      <c r="AL28" t="s">
        <v>122</v>
      </c>
    </row>
    <row r="29" spans="1:38" x14ac:dyDescent="0.25">
      <c r="A29" s="1">
        <v>46029</v>
      </c>
      <c r="B29" s="1">
        <v>46029</v>
      </c>
      <c r="C29" t="s">
        <v>38</v>
      </c>
      <c r="D29" t="s">
        <v>39</v>
      </c>
      <c r="E29" t="s">
        <v>40</v>
      </c>
      <c r="F29" t="s">
        <v>41</v>
      </c>
      <c r="G29" t="s">
        <v>42</v>
      </c>
      <c r="H29" t="s">
        <v>43</v>
      </c>
      <c r="I29" t="s">
        <v>155</v>
      </c>
      <c r="J29" t="s">
        <v>156</v>
      </c>
      <c r="M29" t="s">
        <v>118</v>
      </c>
      <c r="O29" t="s">
        <v>149</v>
      </c>
      <c r="P29" t="s">
        <v>150</v>
      </c>
      <c r="Q29" t="s">
        <v>49</v>
      </c>
      <c r="R29" t="s">
        <v>121</v>
      </c>
      <c r="S29" s="1">
        <v>46023</v>
      </c>
      <c r="U29" t="s">
        <v>51</v>
      </c>
      <c r="X29" t="s">
        <v>52</v>
      </c>
      <c r="Y29" s="2">
        <v>0</v>
      </c>
      <c r="Z29" s="2">
        <v>347</v>
      </c>
      <c r="AA29">
        <v>1</v>
      </c>
      <c r="AB29" s="3">
        <v>1</v>
      </c>
      <c r="AC29" s="2">
        <v>347</v>
      </c>
      <c r="AD29" s="3">
        <v>0</v>
      </c>
      <c r="AE29" s="2">
        <v>0</v>
      </c>
      <c r="AF29" s="2">
        <v>347</v>
      </c>
      <c r="AK29">
        <v>6123133</v>
      </c>
      <c r="AL29" t="s">
        <v>122</v>
      </c>
    </row>
    <row r="30" spans="1:38" x14ac:dyDescent="0.25">
      <c r="A30" s="1">
        <v>46029</v>
      </c>
      <c r="B30" s="1">
        <v>46029</v>
      </c>
      <c r="C30" t="s">
        <v>38</v>
      </c>
      <c r="D30" t="s">
        <v>39</v>
      </c>
      <c r="E30" t="s">
        <v>40</v>
      </c>
      <c r="F30" t="s">
        <v>41</v>
      </c>
      <c r="G30" t="s">
        <v>42</v>
      </c>
      <c r="H30" t="s">
        <v>43</v>
      </c>
      <c r="I30" t="s">
        <v>157</v>
      </c>
      <c r="J30" t="s">
        <v>158</v>
      </c>
      <c r="M30" t="s">
        <v>131</v>
      </c>
      <c r="O30" t="s">
        <v>153</v>
      </c>
      <c r="P30" t="s">
        <v>154</v>
      </c>
      <c r="Q30" t="s">
        <v>49</v>
      </c>
      <c r="R30" t="s">
        <v>121</v>
      </c>
      <c r="S30" s="1">
        <v>46023</v>
      </c>
      <c r="U30" t="s">
        <v>51</v>
      </c>
      <c r="X30" t="s">
        <v>52</v>
      </c>
      <c r="Y30" s="2">
        <v>0</v>
      </c>
      <c r="Z30" s="2">
        <v>347</v>
      </c>
      <c r="AA30">
        <v>1</v>
      </c>
      <c r="AB30" s="3">
        <v>1</v>
      </c>
      <c r="AC30" s="2">
        <v>347</v>
      </c>
      <c r="AD30" s="3">
        <v>0</v>
      </c>
      <c r="AE30" s="2">
        <v>0</v>
      </c>
      <c r="AF30" s="2">
        <v>347</v>
      </c>
      <c r="AK30">
        <v>6123134</v>
      </c>
      <c r="AL30" t="s">
        <v>122</v>
      </c>
    </row>
    <row r="31" spans="1:38" x14ac:dyDescent="0.25">
      <c r="A31" s="1">
        <v>46029</v>
      </c>
      <c r="B31" s="1">
        <v>46029</v>
      </c>
      <c r="C31" t="s">
        <v>38</v>
      </c>
      <c r="D31" t="s">
        <v>39</v>
      </c>
      <c r="E31" t="s">
        <v>40</v>
      </c>
      <c r="F31" t="s">
        <v>41</v>
      </c>
      <c r="G31" t="s">
        <v>42</v>
      </c>
      <c r="H31" t="s">
        <v>43</v>
      </c>
      <c r="I31" t="s">
        <v>159</v>
      </c>
      <c r="J31" t="s">
        <v>160</v>
      </c>
      <c r="M31" t="s">
        <v>66</v>
      </c>
      <c r="O31" t="s">
        <v>119</v>
      </c>
      <c r="P31" t="s">
        <v>120</v>
      </c>
      <c r="Q31" t="s">
        <v>49</v>
      </c>
      <c r="R31" t="s">
        <v>121</v>
      </c>
      <c r="S31" s="1">
        <v>46023</v>
      </c>
      <c r="U31" t="s">
        <v>51</v>
      </c>
      <c r="X31" t="s">
        <v>52</v>
      </c>
      <c r="Y31" s="2">
        <v>0</v>
      </c>
      <c r="Z31" s="2">
        <v>347</v>
      </c>
      <c r="AA31">
        <v>1</v>
      </c>
      <c r="AB31" s="3">
        <v>1</v>
      </c>
      <c r="AC31" s="2">
        <v>347</v>
      </c>
      <c r="AD31" s="3">
        <v>0</v>
      </c>
      <c r="AE31" s="2">
        <v>0</v>
      </c>
      <c r="AF31" s="2">
        <v>347</v>
      </c>
      <c r="AK31">
        <v>6123135</v>
      </c>
      <c r="AL31" t="s">
        <v>122</v>
      </c>
    </row>
    <row r="32" spans="1:38" x14ac:dyDescent="0.25">
      <c r="A32" s="1">
        <v>46029</v>
      </c>
      <c r="B32" s="1">
        <v>46029</v>
      </c>
      <c r="C32" t="s">
        <v>38</v>
      </c>
      <c r="D32" t="s">
        <v>39</v>
      </c>
      <c r="E32" t="s">
        <v>40</v>
      </c>
      <c r="F32" t="s">
        <v>41</v>
      </c>
      <c r="G32" t="s">
        <v>42</v>
      </c>
      <c r="H32" t="s">
        <v>43</v>
      </c>
      <c r="I32" t="s">
        <v>161</v>
      </c>
      <c r="J32" t="s">
        <v>162</v>
      </c>
      <c r="M32" t="s">
        <v>86</v>
      </c>
      <c r="O32" t="s">
        <v>87</v>
      </c>
      <c r="P32" t="s">
        <v>88</v>
      </c>
      <c r="Q32" t="s">
        <v>49</v>
      </c>
      <c r="R32" t="s">
        <v>121</v>
      </c>
      <c r="S32" s="1">
        <v>46023</v>
      </c>
      <c r="U32" t="s">
        <v>51</v>
      </c>
      <c r="X32" t="s">
        <v>52</v>
      </c>
      <c r="Y32" s="2">
        <v>0</v>
      </c>
      <c r="Z32" s="2">
        <v>347</v>
      </c>
      <c r="AA32">
        <v>1</v>
      </c>
      <c r="AB32" s="3">
        <v>1</v>
      </c>
      <c r="AC32" s="2">
        <v>347</v>
      </c>
      <c r="AD32" s="3">
        <v>0</v>
      </c>
      <c r="AE32" s="2">
        <v>0</v>
      </c>
      <c r="AF32" s="2">
        <v>347</v>
      </c>
      <c r="AK32">
        <v>6123136</v>
      </c>
      <c r="AL32" t="s">
        <v>122</v>
      </c>
    </row>
    <row r="33" spans="1:38" x14ac:dyDescent="0.25">
      <c r="A33" s="1">
        <v>46029</v>
      </c>
      <c r="B33" s="1">
        <v>46029</v>
      </c>
      <c r="C33" t="s">
        <v>38</v>
      </c>
      <c r="D33" t="s">
        <v>39</v>
      </c>
      <c r="E33" t="s">
        <v>40</v>
      </c>
      <c r="F33" t="s">
        <v>41</v>
      </c>
      <c r="G33" t="s">
        <v>42</v>
      </c>
      <c r="H33" t="s">
        <v>43</v>
      </c>
      <c r="I33" t="s">
        <v>163</v>
      </c>
      <c r="J33" t="s">
        <v>164</v>
      </c>
      <c r="M33" t="s">
        <v>131</v>
      </c>
      <c r="O33" t="s">
        <v>153</v>
      </c>
      <c r="P33" t="s">
        <v>154</v>
      </c>
      <c r="Q33" t="s">
        <v>49</v>
      </c>
      <c r="R33" t="s">
        <v>121</v>
      </c>
      <c r="S33" s="1">
        <v>46023</v>
      </c>
      <c r="U33" t="s">
        <v>51</v>
      </c>
      <c r="X33" t="s">
        <v>52</v>
      </c>
      <c r="Y33" s="2">
        <v>0</v>
      </c>
      <c r="Z33" s="2">
        <v>347</v>
      </c>
      <c r="AA33">
        <v>1</v>
      </c>
      <c r="AB33" s="3">
        <v>1</v>
      </c>
      <c r="AC33" s="2">
        <v>347</v>
      </c>
      <c r="AD33" s="3">
        <v>0</v>
      </c>
      <c r="AE33" s="2">
        <v>0</v>
      </c>
      <c r="AF33" s="2">
        <v>347</v>
      </c>
      <c r="AK33">
        <v>6123137</v>
      </c>
      <c r="AL33" t="s">
        <v>122</v>
      </c>
    </row>
    <row r="34" spans="1:38" x14ac:dyDescent="0.25">
      <c r="A34" s="1">
        <v>46029</v>
      </c>
      <c r="B34" s="1">
        <v>46029</v>
      </c>
      <c r="C34" t="s">
        <v>38</v>
      </c>
      <c r="D34" t="s">
        <v>39</v>
      </c>
      <c r="E34" t="s">
        <v>40</v>
      </c>
      <c r="F34" t="s">
        <v>41</v>
      </c>
      <c r="G34" t="s">
        <v>42</v>
      </c>
      <c r="H34" t="s">
        <v>43</v>
      </c>
      <c r="I34" t="s">
        <v>165</v>
      </c>
      <c r="J34" t="s">
        <v>166</v>
      </c>
      <c r="M34" t="s">
        <v>86</v>
      </c>
      <c r="O34" t="s">
        <v>94</v>
      </c>
      <c r="P34" t="s">
        <v>95</v>
      </c>
      <c r="Q34" t="s">
        <v>49</v>
      </c>
      <c r="R34" t="s">
        <v>121</v>
      </c>
      <c r="S34" s="1">
        <v>46023</v>
      </c>
      <c r="U34" t="s">
        <v>51</v>
      </c>
      <c r="X34" t="s">
        <v>52</v>
      </c>
      <c r="Y34" s="2">
        <v>0</v>
      </c>
      <c r="Z34" s="2">
        <v>347</v>
      </c>
      <c r="AA34">
        <v>1</v>
      </c>
      <c r="AB34" s="3">
        <v>1</v>
      </c>
      <c r="AC34" s="2">
        <v>347</v>
      </c>
      <c r="AD34" s="3">
        <v>0</v>
      </c>
      <c r="AE34" s="2">
        <v>0</v>
      </c>
      <c r="AF34" s="2">
        <v>347</v>
      </c>
      <c r="AK34">
        <v>6123138</v>
      </c>
      <c r="AL34" t="s">
        <v>122</v>
      </c>
    </row>
    <row r="35" spans="1:38" x14ac:dyDescent="0.25">
      <c r="A35" s="1">
        <v>46029</v>
      </c>
      <c r="B35" s="1">
        <v>46029</v>
      </c>
      <c r="C35" t="s">
        <v>38</v>
      </c>
      <c r="D35" t="s">
        <v>39</v>
      </c>
      <c r="E35" t="s">
        <v>40</v>
      </c>
      <c r="F35" t="s">
        <v>41</v>
      </c>
      <c r="G35" t="s">
        <v>42</v>
      </c>
      <c r="H35" t="s">
        <v>43</v>
      </c>
      <c r="I35" t="s">
        <v>167</v>
      </c>
      <c r="J35" t="s">
        <v>168</v>
      </c>
      <c r="M35" t="s">
        <v>118</v>
      </c>
      <c r="O35" t="s">
        <v>94</v>
      </c>
      <c r="P35" t="s">
        <v>95</v>
      </c>
      <c r="Q35" t="s">
        <v>49</v>
      </c>
      <c r="R35" t="s">
        <v>121</v>
      </c>
      <c r="S35" s="1">
        <v>46023</v>
      </c>
      <c r="U35" t="s">
        <v>51</v>
      </c>
      <c r="X35" t="s">
        <v>52</v>
      </c>
      <c r="Y35" s="2">
        <v>0</v>
      </c>
      <c r="Z35" s="2">
        <v>347</v>
      </c>
      <c r="AA35">
        <v>1</v>
      </c>
      <c r="AB35" s="3">
        <v>1</v>
      </c>
      <c r="AC35" s="2">
        <v>347</v>
      </c>
      <c r="AD35" s="3">
        <v>0</v>
      </c>
      <c r="AE35" s="2">
        <v>0</v>
      </c>
      <c r="AF35" s="2">
        <v>347</v>
      </c>
      <c r="AK35">
        <v>6123146</v>
      </c>
      <c r="AL35" t="s">
        <v>122</v>
      </c>
    </row>
    <row r="36" spans="1:38" x14ac:dyDescent="0.25">
      <c r="A36" s="1">
        <v>46029</v>
      </c>
      <c r="B36" s="1">
        <v>46029</v>
      </c>
      <c r="C36" t="s">
        <v>38</v>
      </c>
      <c r="D36" t="s">
        <v>39</v>
      </c>
      <c r="E36" t="s">
        <v>40</v>
      </c>
      <c r="F36" t="s">
        <v>41</v>
      </c>
      <c r="G36" t="s">
        <v>42</v>
      </c>
      <c r="H36" t="s">
        <v>43</v>
      </c>
      <c r="I36" t="s">
        <v>169</v>
      </c>
      <c r="J36" t="s">
        <v>170</v>
      </c>
      <c r="M36" t="s">
        <v>146</v>
      </c>
      <c r="O36" t="s">
        <v>125</v>
      </c>
      <c r="P36" t="s">
        <v>126</v>
      </c>
      <c r="Q36" t="s">
        <v>49</v>
      </c>
      <c r="R36" t="s">
        <v>121</v>
      </c>
      <c r="S36" s="1">
        <v>46023</v>
      </c>
      <c r="U36" t="s">
        <v>51</v>
      </c>
      <c r="X36" t="s">
        <v>52</v>
      </c>
      <c r="Y36" s="2">
        <v>0</v>
      </c>
      <c r="Z36" s="2">
        <v>347</v>
      </c>
      <c r="AA36">
        <v>1</v>
      </c>
      <c r="AB36" s="3">
        <v>1</v>
      </c>
      <c r="AC36" s="2">
        <v>347</v>
      </c>
      <c r="AD36" s="3">
        <v>0</v>
      </c>
      <c r="AE36" s="2">
        <v>0</v>
      </c>
      <c r="AF36" s="2">
        <v>347</v>
      </c>
      <c r="AK36">
        <v>6123147</v>
      </c>
      <c r="AL36" t="s">
        <v>122</v>
      </c>
    </row>
    <row r="37" spans="1:38" x14ac:dyDescent="0.25">
      <c r="A37" s="1">
        <v>46029</v>
      </c>
      <c r="B37" s="1">
        <v>46029</v>
      </c>
      <c r="C37" t="s">
        <v>38</v>
      </c>
      <c r="D37" t="s">
        <v>39</v>
      </c>
      <c r="E37" t="s">
        <v>40</v>
      </c>
      <c r="F37" t="s">
        <v>41</v>
      </c>
      <c r="G37" t="s">
        <v>42</v>
      </c>
      <c r="H37" t="s">
        <v>43</v>
      </c>
      <c r="I37" t="s">
        <v>171</v>
      </c>
      <c r="J37" t="s">
        <v>172</v>
      </c>
      <c r="M37" t="s">
        <v>173</v>
      </c>
      <c r="O37" t="s">
        <v>67</v>
      </c>
      <c r="P37" t="s">
        <v>68</v>
      </c>
      <c r="Q37" t="s">
        <v>49</v>
      </c>
      <c r="R37" t="s">
        <v>121</v>
      </c>
      <c r="S37" s="1">
        <v>46023</v>
      </c>
      <c r="U37" t="s">
        <v>51</v>
      </c>
      <c r="X37" t="s">
        <v>52</v>
      </c>
      <c r="Y37" s="2">
        <v>0</v>
      </c>
      <c r="Z37" s="2">
        <v>347</v>
      </c>
      <c r="AA37">
        <v>1</v>
      </c>
      <c r="AB37" s="3">
        <v>1</v>
      </c>
      <c r="AC37" s="2">
        <v>347</v>
      </c>
      <c r="AD37" s="3">
        <v>0</v>
      </c>
      <c r="AE37" s="2">
        <v>0</v>
      </c>
      <c r="AF37" s="2">
        <v>347</v>
      </c>
      <c r="AK37">
        <v>6123149</v>
      </c>
      <c r="AL37" t="s">
        <v>122</v>
      </c>
    </row>
    <row r="38" spans="1:38" x14ac:dyDescent="0.25">
      <c r="A38" s="1">
        <v>46029</v>
      </c>
      <c r="B38" s="1">
        <v>46029</v>
      </c>
      <c r="C38" t="s">
        <v>38</v>
      </c>
      <c r="D38" t="s">
        <v>39</v>
      </c>
      <c r="E38" t="s">
        <v>40</v>
      </c>
      <c r="F38" t="s">
        <v>41</v>
      </c>
      <c r="G38" t="s">
        <v>42</v>
      </c>
      <c r="H38" t="s">
        <v>43</v>
      </c>
      <c r="I38" t="s">
        <v>174</v>
      </c>
      <c r="J38" t="s">
        <v>175</v>
      </c>
      <c r="M38" t="s">
        <v>46</v>
      </c>
      <c r="O38" t="s">
        <v>176</v>
      </c>
      <c r="P38" t="s">
        <v>177</v>
      </c>
      <c r="Q38" t="s">
        <v>49</v>
      </c>
      <c r="R38" t="s">
        <v>178</v>
      </c>
      <c r="S38" s="1">
        <v>46023</v>
      </c>
      <c r="U38" t="s">
        <v>51</v>
      </c>
      <c r="X38" t="s">
        <v>52</v>
      </c>
      <c r="Y38" s="2">
        <v>0</v>
      </c>
      <c r="Z38" s="2">
        <v>203</v>
      </c>
      <c r="AA38">
        <v>1</v>
      </c>
      <c r="AB38" s="3">
        <v>1</v>
      </c>
      <c r="AC38" s="2">
        <v>203</v>
      </c>
      <c r="AD38" s="3">
        <v>0</v>
      </c>
      <c r="AE38" s="2">
        <v>0</v>
      </c>
      <c r="AF38" s="2">
        <v>203</v>
      </c>
      <c r="AK38">
        <v>6123150</v>
      </c>
      <c r="AL38" t="s">
        <v>122</v>
      </c>
    </row>
    <row r="39" spans="1:38" x14ac:dyDescent="0.25">
      <c r="A39" s="1">
        <v>46029</v>
      </c>
      <c r="B39" s="1">
        <v>46029</v>
      </c>
      <c r="C39" t="s">
        <v>38</v>
      </c>
      <c r="D39" t="s">
        <v>39</v>
      </c>
      <c r="E39" t="s">
        <v>40</v>
      </c>
      <c r="F39" t="s">
        <v>41</v>
      </c>
      <c r="G39" t="s">
        <v>42</v>
      </c>
      <c r="H39" t="s">
        <v>43</v>
      </c>
      <c r="I39" t="s">
        <v>179</v>
      </c>
      <c r="J39" t="s">
        <v>180</v>
      </c>
      <c r="M39" t="s">
        <v>46</v>
      </c>
      <c r="O39" t="s">
        <v>110</v>
      </c>
      <c r="P39" t="s">
        <v>111</v>
      </c>
      <c r="Q39" t="s">
        <v>49</v>
      </c>
      <c r="R39" t="s">
        <v>121</v>
      </c>
      <c r="S39" s="1">
        <v>46023</v>
      </c>
      <c r="U39" t="s">
        <v>51</v>
      </c>
      <c r="X39" t="s">
        <v>52</v>
      </c>
      <c r="Y39" s="2">
        <v>0</v>
      </c>
      <c r="Z39" s="2">
        <v>347</v>
      </c>
      <c r="AA39">
        <v>1</v>
      </c>
      <c r="AB39" s="3">
        <v>1</v>
      </c>
      <c r="AC39" s="2">
        <v>347</v>
      </c>
      <c r="AD39" s="3">
        <v>0</v>
      </c>
      <c r="AE39" s="2">
        <v>0</v>
      </c>
      <c r="AF39" s="2">
        <v>347</v>
      </c>
      <c r="AK39">
        <v>6123151</v>
      </c>
      <c r="AL39" t="s">
        <v>122</v>
      </c>
    </row>
    <row r="40" spans="1:38" x14ac:dyDescent="0.25">
      <c r="A40" s="1">
        <v>46029</v>
      </c>
      <c r="B40" s="1">
        <v>46029</v>
      </c>
      <c r="C40" t="s">
        <v>38</v>
      </c>
      <c r="D40" t="s">
        <v>39</v>
      </c>
      <c r="E40" t="s">
        <v>40</v>
      </c>
      <c r="F40" t="s">
        <v>41</v>
      </c>
      <c r="G40" t="s">
        <v>42</v>
      </c>
      <c r="H40" t="s">
        <v>43</v>
      </c>
      <c r="I40" t="s">
        <v>181</v>
      </c>
      <c r="J40" t="s">
        <v>182</v>
      </c>
      <c r="M40" t="s">
        <v>46</v>
      </c>
      <c r="O40" t="s">
        <v>183</v>
      </c>
      <c r="P40" t="s">
        <v>184</v>
      </c>
      <c r="Q40" t="s">
        <v>49</v>
      </c>
      <c r="R40" t="s">
        <v>121</v>
      </c>
      <c r="S40" s="1">
        <v>46023</v>
      </c>
      <c r="U40" t="s">
        <v>51</v>
      </c>
      <c r="X40" t="s">
        <v>52</v>
      </c>
      <c r="Y40" s="2">
        <v>0</v>
      </c>
      <c r="Z40" s="2">
        <v>347</v>
      </c>
      <c r="AA40">
        <v>1</v>
      </c>
      <c r="AB40" s="3">
        <v>1</v>
      </c>
      <c r="AC40" s="2">
        <v>347</v>
      </c>
      <c r="AD40" s="3">
        <v>0</v>
      </c>
      <c r="AE40" s="2">
        <v>0</v>
      </c>
      <c r="AF40" s="2">
        <v>347</v>
      </c>
      <c r="AK40">
        <v>6123152</v>
      </c>
      <c r="AL40" t="s">
        <v>122</v>
      </c>
    </row>
    <row r="41" spans="1:38" x14ac:dyDescent="0.25">
      <c r="A41" s="1">
        <v>46029</v>
      </c>
      <c r="B41" s="1">
        <v>46029</v>
      </c>
      <c r="C41" t="s">
        <v>38</v>
      </c>
      <c r="D41" t="s">
        <v>39</v>
      </c>
      <c r="E41" t="s">
        <v>40</v>
      </c>
      <c r="F41" t="s">
        <v>41</v>
      </c>
      <c r="G41" t="s">
        <v>42</v>
      </c>
      <c r="H41" t="s">
        <v>43</v>
      </c>
      <c r="I41" t="s">
        <v>185</v>
      </c>
      <c r="J41" t="s">
        <v>186</v>
      </c>
      <c r="M41" t="s">
        <v>71</v>
      </c>
      <c r="O41" t="s">
        <v>187</v>
      </c>
      <c r="P41" t="s">
        <v>188</v>
      </c>
      <c r="Q41" t="s">
        <v>49</v>
      </c>
      <c r="R41" t="s">
        <v>189</v>
      </c>
      <c r="S41" s="1">
        <v>46023</v>
      </c>
      <c r="U41" t="s">
        <v>51</v>
      </c>
      <c r="X41" t="s">
        <v>52</v>
      </c>
      <c r="Y41" s="2">
        <v>0</v>
      </c>
      <c r="Z41" s="2">
        <v>233</v>
      </c>
      <c r="AA41">
        <v>1</v>
      </c>
      <c r="AB41" s="3">
        <v>1</v>
      </c>
      <c r="AC41" s="2">
        <v>233</v>
      </c>
      <c r="AD41" s="3">
        <v>0</v>
      </c>
      <c r="AE41" s="2">
        <v>0</v>
      </c>
      <c r="AF41" s="2">
        <v>233</v>
      </c>
      <c r="AK41">
        <v>6123153</v>
      </c>
      <c r="AL41" t="s">
        <v>122</v>
      </c>
    </row>
    <row r="42" spans="1:38" x14ac:dyDescent="0.25">
      <c r="A42" s="1">
        <v>46029</v>
      </c>
      <c r="B42" s="1">
        <v>46029</v>
      </c>
      <c r="C42" t="s">
        <v>38</v>
      </c>
      <c r="D42" t="s">
        <v>39</v>
      </c>
      <c r="E42" t="s">
        <v>40</v>
      </c>
      <c r="F42" t="s">
        <v>41</v>
      </c>
      <c r="G42" t="s">
        <v>42</v>
      </c>
      <c r="H42" t="s">
        <v>43</v>
      </c>
      <c r="I42" t="s">
        <v>190</v>
      </c>
      <c r="J42" t="s">
        <v>191</v>
      </c>
      <c r="M42" t="s">
        <v>46</v>
      </c>
      <c r="O42" t="s">
        <v>192</v>
      </c>
      <c r="P42" t="s">
        <v>193</v>
      </c>
      <c r="Q42" t="s">
        <v>49</v>
      </c>
      <c r="R42" t="s">
        <v>121</v>
      </c>
      <c r="S42" s="1">
        <v>46023</v>
      </c>
      <c r="U42" t="s">
        <v>51</v>
      </c>
      <c r="X42" t="s">
        <v>52</v>
      </c>
      <c r="Y42" s="2">
        <v>0</v>
      </c>
      <c r="Z42" s="2">
        <v>347</v>
      </c>
      <c r="AA42">
        <v>1</v>
      </c>
      <c r="AB42" s="3">
        <v>1</v>
      </c>
      <c r="AC42" s="2">
        <v>347</v>
      </c>
      <c r="AD42" s="3">
        <v>0</v>
      </c>
      <c r="AE42" s="2">
        <v>0</v>
      </c>
      <c r="AF42" s="2">
        <v>347</v>
      </c>
      <c r="AK42">
        <v>6123154</v>
      </c>
      <c r="AL42" t="s">
        <v>122</v>
      </c>
    </row>
    <row r="43" spans="1:38" x14ac:dyDescent="0.25">
      <c r="A43" s="1">
        <v>46029</v>
      </c>
      <c r="B43" s="1">
        <v>46029</v>
      </c>
      <c r="C43" t="s">
        <v>38</v>
      </c>
      <c r="D43" t="s">
        <v>39</v>
      </c>
      <c r="E43" t="s">
        <v>40</v>
      </c>
      <c r="F43" t="s">
        <v>41</v>
      </c>
      <c r="G43" t="s">
        <v>42</v>
      </c>
      <c r="H43" t="s">
        <v>43</v>
      </c>
      <c r="I43" t="s">
        <v>194</v>
      </c>
      <c r="J43" t="s">
        <v>195</v>
      </c>
      <c r="M43" t="s">
        <v>196</v>
      </c>
      <c r="O43" t="s">
        <v>197</v>
      </c>
      <c r="P43" t="s">
        <v>198</v>
      </c>
      <c r="Q43" t="s">
        <v>49</v>
      </c>
      <c r="R43" t="s">
        <v>121</v>
      </c>
      <c r="S43" s="1">
        <v>46023</v>
      </c>
      <c r="U43" t="s">
        <v>51</v>
      </c>
      <c r="X43" t="s">
        <v>52</v>
      </c>
      <c r="Y43" s="2">
        <v>0</v>
      </c>
      <c r="Z43" s="2">
        <v>347</v>
      </c>
      <c r="AA43">
        <v>1</v>
      </c>
      <c r="AB43" s="3">
        <v>1</v>
      </c>
      <c r="AC43" s="2">
        <v>347</v>
      </c>
      <c r="AD43" s="3">
        <v>0</v>
      </c>
      <c r="AE43" s="2">
        <v>0</v>
      </c>
      <c r="AF43" s="2">
        <v>347</v>
      </c>
      <c r="AK43">
        <v>6123157</v>
      </c>
      <c r="AL43" t="s">
        <v>122</v>
      </c>
    </row>
    <row r="44" spans="1:38" x14ac:dyDescent="0.25">
      <c r="A44" s="1">
        <v>46029</v>
      </c>
      <c r="B44" s="1">
        <v>46029</v>
      </c>
      <c r="C44" t="s">
        <v>38</v>
      </c>
      <c r="D44" t="s">
        <v>39</v>
      </c>
      <c r="E44" t="s">
        <v>40</v>
      </c>
      <c r="F44" t="s">
        <v>41</v>
      </c>
      <c r="G44" t="s">
        <v>42</v>
      </c>
      <c r="H44" t="s">
        <v>43</v>
      </c>
      <c r="I44" t="s">
        <v>199</v>
      </c>
      <c r="J44" t="s">
        <v>200</v>
      </c>
      <c r="M44" t="s">
        <v>201</v>
      </c>
      <c r="O44" t="s">
        <v>94</v>
      </c>
      <c r="P44" t="s">
        <v>95</v>
      </c>
      <c r="Q44" t="s">
        <v>49</v>
      </c>
      <c r="R44" t="s">
        <v>121</v>
      </c>
      <c r="S44" s="1">
        <v>46023</v>
      </c>
      <c r="U44" t="s">
        <v>51</v>
      </c>
      <c r="X44" t="s">
        <v>52</v>
      </c>
      <c r="Y44" s="2">
        <v>0</v>
      </c>
      <c r="Z44" s="2">
        <v>347</v>
      </c>
      <c r="AA44">
        <v>1</v>
      </c>
      <c r="AB44" s="3">
        <v>1</v>
      </c>
      <c r="AC44" s="2">
        <v>347</v>
      </c>
      <c r="AD44" s="3">
        <v>0</v>
      </c>
      <c r="AE44" s="2">
        <v>0</v>
      </c>
      <c r="AF44" s="2">
        <v>347</v>
      </c>
      <c r="AK44">
        <v>6123158</v>
      </c>
      <c r="AL44" t="s">
        <v>122</v>
      </c>
    </row>
    <row r="45" spans="1:38" x14ac:dyDescent="0.25">
      <c r="A45" s="1">
        <v>46029</v>
      </c>
      <c r="B45" s="1">
        <v>46029</v>
      </c>
      <c r="C45" t="s">
        <v>38</v>
      </c>
      <c r="D45" t="s">
        <v>39</v>
      </c>
      <c r="E45" t="s">
        <v>40</v>
      </c>
      <c r="F45" t="s">
        <v>41</v>
      </c>
      <c r="G45" t="s">
        <v>42</v>
      </c>
      <c r="H45" t="s">
        <v>43</v>
      </c>
      <c r="I45" t="s">
        <v>202</v>
      </c>
      <c r="J45" t="s">
        <v>203</v>
      </c>
      <c r="M45" t="s">
        <v>204</v>
      </c>
      <c r="O45" t="s">
        <v>205</v>
      </c>
      <c r="P45" t="s">
        <v>206</v>
      </c>
      <c r="Q45" t="s">
        <v>49</v>
      </c>
      <c r="R45" t="s">
        <v>121</v>
      </c>
      <c r="S45" s="1">
        <v>46023</v>
      </c>
      <c r="U45" t="s">
        <v>51</v>
      </c>
      <c r="X45" t="s">
        <v>52</v>
      </c>
      <c r="Y45" s="2">
        <v>0</v>
      </c>
      <c r="Z45" s="2">
        <v>347</v>
      </c>
      <c r="AA45">
        <v>1</v>
      </c>
      <c r="AB45" s="3">
        <v>1</v>
      </c>
      <c r="AC45" s="2">
        <v>347</v>
      </c>
      <c r="AD45" s="3">
        <v>0</v>
      </c>
      <c r="AE45" s="2">
        <v>0</v>
      </c>
      <c r="AF45" s="2">
        <v>347</v>
      </c>
      <c r="AK45">
        <v>6123160</v>
      </c>
      <c r="AL45" t="s">
        <v>122</v>
      </c>
    </row>
    <row r="46" spans="1:38" x14ac:dyDescent="0.25">
      <c r="A46" s="1">
        <v>46029</v>
      </c>
      <c r="B46" s="1">
        <v>46029</v>
      </c>
      <c r="C46" t="s">
        <v>38</v>
      </c>
      <c r="D46" t="s">
        <v>39</v>
      </c>
      <c r="E46" t="s">
        <v>40</v>
      </c>
      <c r="F46" t="s">
        <v>41</v>
      </c>
      <c r="G46" t="s">
        <v>42</v>
      </c>
      <c r="H46" t="s">
        <v>43</v>
      </c>
      <c r="I46" t="s">
        <v>207</v>
      </c>
      <c r="J46" t="s">
        <v>208</v>
      </c>
      <c r="M46" t="s">
        <v>66</v>
      </c>
      <c r="O46" t="s">
        <v>209</v>
      </c>
      <c r="P46" t="s">
        <v>210</v>
      </c>
      <c r="Q46" t="s">
        <v>49</v>
      </c>
      <c r="R46" t="s">
        <v>121</v>
      </c>
      <c r="S46" s="1">
        <v>46023</v>
      </c>
      <c r="U46" t="s">
        <v>51</v>
      </c>
      <c r="X46" t="s">
        <v>52</v>
      </c>
      <c r="Y46" s="2">
        <v>0</v>
      </c>
      <c r="Z46" s="2">
        <v>347</v>
      </c>
      <c r="AA46">
        <v>1</v>
      </c>
      <c r="AB46" s="3">
        <v>1</v>
      </c>
      <c r="AC46" s="2">
        <v>347</v>
      </c>
      <c r="AD46" s="3">
        <v>0</v>
      </c>
      <c r="AE46" s="2">
        <v>0</v>
      </c>
      <c r="AF46" s="2">
        <v>347</v>
      </c>
      <c r="AK46">
        <v>6123161</v>
      </c>
      <c r="AL46" t="s">
        <v>122</v>
      </c>
    </row>
    <row r="47" spans="1:38" x14ac:dyDescent="0.25">
      <c r="A47" s="1">
        <v>46029</v>
      </c>
      <c r="B47" s="1">
        <v>46029</v>
      </c>
      <c r="C47" t="s">
        <v>38</v>
      </c>
      <c r="D47" t="s">
        <v>39</v>
      </c>
      <c r="E47" t="s">
        <v>40</v>
      </c>
      <c r="F47" t="s">
        <v>41</v>
      </c>
      <c r="G47" t="s">
        <v>42</v>
      </c>
      <c r="H47" t="s">
        <v>43</v>
      </c>
      <c r="I47" t="s">
        <v>211</v>
      </c>
      <c r="J47" t="s">
        <v>212</v>
      </c>
      <c r="M47" t="s">
        <v>93</v>
      </c>
      <c r="O47" t="s">
        <v>94</v>
      </c>
      <c r="P47" t="s">
        <v>95</v>
      </c>
      <c r="Q47" t="s">
        <v>49</v>
      </c>
      <c r="R47" t="s">
        <v>121</v>
      </c>
      <c r="S47" s="1">
        <v>46023</v>
      </c>
      <c r="U47" t="s">
        <v>51</v>
      </c>
      <c r="X47" t="s">
        <v>52</v>
      </c>
      <c r="Y47" s="2">
        <v>0</v>
      </c>
      <c r="Z47" s="2">
        <v>347</v>
      </c>
      <c r="AA47">
        <v>1</v>
      </c>
      <c r="AB47" s="3">
        <v>1</v>
      </c>
      <c r="AC47" s="2">
        <v>347</v>
      </c>
      <c r="AD47" s="3">
        <v>0</v>
      </c>
      <c r="AE47" s="2">
        <v>0</v>
      </c>
      <c r="AF47" s="2">
        <v>347</v>
      </c>
      <c r="AK47">
        <v>6123162</v>
      </c>
      <c r="AL47" t="s">
        <v>122</v>
      </c>
    </row>
    <row r="48" spans="1:38" x14ac:dyDescent="0.25">
      <c r="A48" s="1">
        <v>46029</v>
      </c>
      <c r="B48" s="1">
        <v>46029</v>
      </c>
      <c r="C48" t="s">
        <v>38</v>
      </c>
      <c r="D48" t="s">
        <v>39</v>
      </c>
      <c r="E48" t="s">
        <v>40</v>
      </c>
      <c r="F48" t="s">
        <v>41</v>
      </c>
      <c r="G48" t="s">
        <v>42</v>
      </c>
      <c r="H48" t="s">
        <v>43</v>
      </c>
      <c r="I48" t="s">
        <v>213</v>
      </c>
      <c r="J48" t="s">
        <v>214</v>
      </c>
      <c r="M48" t="s">
        <v>46</v>
      </c>
      <c r="O48" t="s">
        <v>67</v>
      </c>
      <c r="P48" t="s">
        <v>68</v>
      </c>
      <c r="Q48" t="s">
        <v>49</v>
      </c>
      <c r="R48" t="s">
        <v>121</v>
      </c>
      <c r="S48" s="1">
        <v>46023</v>
      </c>
      <c r="U48" t="s">
        <v>51</v>
      </c>
      <c r="X48" t="s">
        <v>52</v>
      </c>
      <c r="Y48" s="2">
        <v>0</v>
      </c>
      <c r="Z48" s="2">
        <v>347</v>
      </c>
      <c r="AA48">
        <v>1</v>
      </c>
      <c r="AB48" s="3">
        <v>1</v>
      </c>
      <c r="AC48" s="2">
        <v>347</v>
      </c>
      <c r="AD48" s="3">
        <v>0</v>
      </c>
      <c r="AE48" s="2">
        <v>0</v>
      </c>
      <c r="AF48" s="2">
        <v>347</v>
      </c>
      <c r="AK48">
        <v>6123163</v>
      </c>
      <c r="AL48" t="s">
        <v>122</v>
      </c>
    </row>
    <row r="49" spans="1:38" x14ac:dyDescent="0.25">
      <c r="A49" s="1">
        <v>46029</v>
      </c>
      <c r="B49" s="1">
        <v>46029</v>
      </c>
      <c r="C49" t="s">
        <v>38</v>
      </c>
      <c r="D49" t="s">
        <v>39</v>
      </c>
      <c r="E49" t="s">
        <v>40</v>
      </c>
      <c r="F49" t="s">
        <v>41</v>
      </c>
      <c r="G49" t="s">
        <v>42</v>
      </c>
      <c r="H49" t="s">
        <v>43</v>
      </c>
      <c r="I49" t="s">
        <v>215</v>
      </c>
      <c r="J49" t="s">
        <v>216</v>
      </c>
      <c r="M49" t="s">
        <v>146</v>
      </c>
      <c r="O49" t="s">
        <v>67</v>
      </c>
      <c r="P49" t="s">
        <v>68</v>
      </c>
      <c r="Q49" t="s">
        <v>49</v>
      </c>
      <c r="R49" t="s">
        <v>178</v>
      </c>
      <c r="S49" s="1">
        <v>46023</v>
      </c>
      <c r="U49" t="s">
        <v>51</v>
      </c>
      <c r="X49" t="s">
        <v>52</v>
      </c>
      <c r="Y49" s="2">
        <v>0</v>
      </c>
      <c r="Z49" s="2">
        <v>203</v>
      </c>
      <c r="AA49">
        <v>1</v>
      </c>
      <c r="AB49" s="3">
        <v>1</v>
      </c>
      <c r="AC49" s="2">
        <v>203</v>
      </c>
      <c r="AD49" s="3">
        <v>0</v>
      </c>
      <c r="AE49" s="2">
        <v>0</v>
      </c>
      <c r="AF49" s="2">
        <v>203</v>
      </c>
      <c r="AK49">
        <v>6123164</v>
      </c>
      <c r="AL49" t="s">
        <v>122</v>
      </c>
    </row>
    <row r="50" spans="1:38" x14ac:dyDescent="0.25">
      <c r="A50" s="1">
        <v>46029</v>
      </c>
      <c r="B50" s="1">
        <v>46029</v>
      </c>
      <c r="C50" t="s">
        <v>38</v>
      </c>
      <c r="D50" t="s">
        <v>39</v>
      </c>
      <c r="E50" t="s">
        <v>40</v>
      </c>
      <c r="F50" t="s">
        <v>41</v>
      </c>
      <c r="G50" t="s">
        <v>42</v>
      </c>
      <c r="H50" t="s">
        <v>43</v>
      </c>
      <c r="I50" t="s">
        <v>217</v>
      </c>
      <c r="J50" t="s">
        <v>218</v>
      </c>
      <c r="M50" t="s">
        <v>86</v>
      </c>
      <c r="O50" t="s">
        <v>219</v>
      </c>
      <c r="P50" t="s">
        <v>220</v>
      </c>
      <c r="Q50" t="s">
        <v>49</v>
      </c>
      <c r="R50" t="s">
        <v>121</v>
      </c>
      <c r="S50" s="1">
        <v>46023</v>
      </c>
      <c r="U50" t="s">
        <v>51</v>
      </c>
      <c r="X50" t="s">
        <v>52</v>
      </c>
      <c r="Y50" s="2">
        <v>0</v>
      </c>
      <c r="Z50" s="2">
        <v>347</v>
      </c>
      <c r="AA50">
        <v>1</v>
      </c>
      <c r="AB50" s="3">
        <v>1</v>
      </c>
      <c r="AC50" s="2">
        <v>347</v>
      </c>
      <c r="AD50" s="3">
        <v>0</v>
      </c>
      <c r="AE50" s="2">
        <v>0</v>
      </c>
      <c r="AF50" s="2">
        <v>347</v>
      </c>
      <c r="AK50">
        <v>6123165</v>
      </c>
      <c r="AL50" t="s">
        <v>122</v>
      </c>
    </row>
    <row r="51" spans="1:38" x14ac:dyDescent="0.25">
      <c r="A51" s="1">
        <v>46029</v>
      </c>
      <c r="B51" s="1">
        <v>46029</v>
      </c>
      <c r="C51" t="s">
        <v>38</v>
      </c>
      <c r="D51" t="s">
        <v>39</v>
      </c>
      <c r="E51" t="s">
        <v>40</v>
      </c>
      <c r="F51" t="s">
        <v>41</v>
      </c>
      <c r="G51" t="s">
        <v>42</v>
      </c>
      <c r="H51" t="s">
        <v>43</v>
      </c>
      <c r="I51" t="s">
        <v>221</v>
      </c>
      <c r="J51" t="s">
        <v>222</v>
      </c>
      <c r="M51" t="s">
        <v>223</v>
      </c>
      <c r="O51" t="s">
        <v>224</v>
      </c>
      <c r="P51" t="s">
        <v>225</v>
      </c>
      <c r="Q51" t="s">
        <v>49</v>
      </c>
      <c r="R51" t="s">
        <v>121</v>
      </c>
      <c r="S51" s="1">
        <v>46023</v>
      </c>
      <c r="U51" t="s">
        <v>51</v>
      </c>
      <c r="X51" t="s">
        <v>52</v>
      </c>
      <c r="Y51" s="2">
        <v>0</v>
      </c>
      <c r="Z51" s="2">
        <v>347</v>
      </c>
      <c r="AA51">
        <v>1</v>
      </c>
      <c r="AB51" s="3">
        <v>1</v>
      </c>
      <c r="AC51" s="2">
        <v>347</v>
      </c>
      <c r="AD51" s="3">
        <v>0</v>
      </c>
      <c r="AE51" s="2">
        <v>0</v>
      </c>
      <c r="AF51" s="2">
        <v>347</v>
      </c>
      <c r="AK51">
        <v>6123166</v>
      </c>
      <c r="AL51" t="s">
        <v>122</v>
      </c>
    </row>
    <row r="52" spans="1:38" x14ac:dyDescent="0.25">
      <c r="A52" s="1">
        <v>46029</v>
      </c>
      <c r="B52" s="1">
        <v>46029</v>
      </c>
      <c r="C52" t="s">
        <v>38</v>
      </c>
      <c r="D52" t="s">
        <v>39</v>
      </c>
      <c r="E52" t="s">
        <v>40</v>
      </c>
      <c r="F52" t="s">
        <v>41</v>
      </c>
      <c r="G52" t="s">
        <v>42</v>
      </c>
      <c r="H52" t="s">
        <v>43</v>
      </c>
      <c r="I52" t="s">
        <v>226</v>
      </c>
      <c r="J52" t="s">
        <v>227</v>
      </c>
      <c r="M52" t="s">
        <v>46</v>
      </c>
      <c r="O52" t="s">
        <v>176</v>
      </c>
      <c r="P52" t="s">
        <v>177</v>
      </c>
      <c r="Q52" t="s">
        <v>49</v>
      </c>
      <c r="R52" t="s">
        <v>121</v>
      </c>
      <c r="S52" s="1">
        <v>46023</v>
      </c>
      <c r="U52" t="s">
        <v>51</v>
      </c>
      <c r="X52" t="s">
        <v>52</v>
      </c>
      <c r="Y52" s="2">
        <v>0</v>
      </c>
      <c r="Z52" s="2">
        <v>347</v>
      </c>
      <c r="AA52">
        <v>1</v>
      </c>
      <c r="AB52" s="3">
        <v>1</v>
      </c>
      <c r="AC52" s="2">
        <v>347</v>
      </c>
      <c r="AD52" s="3">
        <v>0</v>
      </c>
      <c r="AE52" s="2">
        <v>0</v>
      </c>
      <c r="AF52" s="2">
        <v>347</v>
      </c>
      <c r="AK52">
        <v>6123167</v>
      </c>
      <c r="AL52" t="s">
        <v>122</v>
      </c>
    </row>
    <row r="53" spans="1:38" x14ac:dyDescent="0.25">
      <c r="A53" s="1">
        <v>46029</v>
      </c>
      <c r="B53" s="1">
        <v>46029</v>
      </c>
      <c r="C53" t="s">
        <v>38</v>
      </c>
      <c r="D53" t="s">
        <v>39</v>
      </c>
      <c r="E53" t="s">
        <v>40</v>
      </c>
      <c r="F53" t="s">
        <v>41</v>
      </c>
      <c r="G53" t="s">
        <v>42</v>
      </c>
      <c r="H53" t="s">
        <v>43</v>
      </c>
      <c r="I53" t="s">
        <v>228</v>
      </c>
      <c r="J53" t="s">
        <v>229</v>
      </c>
      <c r="M53" t="s">
        <v>118</v>
      </c>
      <c r="O53" t="s">
        <v>230</v>
      </c>
      <c r="P53" t="s">
        <v>231</v>
      </c>
      <c r="Q53" t="s">
        <v>49</v>
      </c>
      <c r="R53" t="s">
        <v>121</v>
      </c>
      <c r="S53" s="1">
        <v>46023</v>
      </c>
      <c r="U53" t="s">
        <v>51</v>
      </c>
      <c r="X53" t="s">
        <v>52</v>
      </c>
      <c r="Y53" s="2">
        <v>0</v>
      </c>
      <c r="Z53" s="2">
        <v>347</v>
      </c>
      <c r="AA53">
        <v>1</v>
      </c>
      <c r="AB53" s="3">
        <v>1</v>
      </c>
      <c r="AC53" s="2">
        <v>347</v>
      </c>
      <c r="AD53" s="3">
        <v>0</v>
      </c>
      <c r="AE53" s="2">
        <v>0</v>
      </c>
      <c r="AF53" s="2">
        <v>347</v>
      </c>
      <c r="AK53">
        <v>6123168</v>
      </c>
      <c r="AL53" t="s">
        <v>122</v>
      </c>
    </row>
    <row r="54" spans="1:38" x14ac:dyDescent="0.25">
      <c r="A54" s="1">
        <v>46029</v>
      </c>
      <c r="B54" s="1">
        <v>46029</v>
      </c>
      <c r="C54" t="s">
        <v>38</v>
      </c>
      <c r="D54" t="s">
        <v>39</v>
      </c>
      <c r="E54" t="s">
        <v>40</v>
      </c>
      <c r="F54" t="s">
        <v>41</v>
      </c>
      <c r="G54" t="s">
        <v>42</v>
      </c>
      <c r="H54" t="s">
        <v>43</v>
      </c>
      <c r="I54" t="s">
        <v>232</v>
      </c>
      <c r="J54" t="s">
        <v>233</v>
      </c>
      <c r="M54" t="s">
        <v>66</v>
      </c>
      <c r="O54" t="s">
        <v>67</v>
      </c>
      <c r="P54" t="s">
        <v>68</v>
      </c>
      <c r="Q54" t="s">
        <v>49</v>
      </c>
      <c r="R54" t="s">
        <v>121</v>
      </c>
      <c r="S54" s="1">
        <v>46023</v>
      </c>
      <c r="U54" t="s">
        <v>51</v>
      </c>
      <c r="X54" t="s">
        <v>52</v>
      </c>
      <c r="Y54" s="2">
        <v>0</v>
      </c>
      <c r="Z54" s="2">
        <v>347</v>
      </c>
      <c r="AA54">
        <v>1</v>
      </c>
      <c r="AB54" s="3">
        <v>1</v>
      </c>
      <c r="AC54" s="2">
        <v>347</v>
      </c>
      <c r="AD54" s="3">
        <v>0</v>
      </c>
      <c r="AE54" s="2">
        <v>0</v>
      </c>
      <c r="AF54" s="2">
        <v>347</v>
      </c>
      <c r="AK54">
        <v>6123169</v>
      </c>
      <c r="AL54" t="s">
        <v>122</v>
      </c>
    </row>
    <row r="55" spans="1:38" x14ac:dyDescent="0.25">
      <c r="A55" s="1">
        <v>46029</v>
      </c>
      <c r="B55" s="1">
        <v>46029</v>
      </c>
      <c r="C55" t="s">
        <v>38</v>
      </c>
      <c r="D55" t="s">
        <v>39</v>
      </c>
      <c r="E55" t="s">
        <v>40</v>
      </c>
      <c r="F55" t="s">
        <v>41</v>
      </c>
      <c r="G55" t="s">
        <v>42</v>
      </c>
      <c r="H55" t="s">
        <v>43</v>
      </c>
      <c r="I55" t="s">
        <v>234</v>
      </c>
      <c r="J55" t="s">
        <v>235</v>
      </c>
      <c r="M55" t="s">
        <v>46</v>
      </c>
      <c r="O55" t="s">
        <v>67</v>
      </c>
      <c r="P55" t="s">
        <v>68</v>
      </c>
      <c r="Q55" t="s">
        <v>49</v>
      </c>
      <c r="R55" t="s">
        <v>121</v>
      </c>
      <c r="S55" s="1">
        <v>46023</v>
      </c>
      <c r="U55" t="s">
        <v>51</v>
      </c>
      <c r="X55" t="s">
        <v>52</v>
      </c>
      <c r="Y55" s="2">
        <v>0</v>
      </c>
      <c r="Z55" s="2">
        <v>347</v>
      </c>
      <c r="AA55">
        <v>1</v>
      </c>
      <c r="AB55" s="3">
        <v>1</v>
      </c>
      <c r="AC55" s="2">
        <v>347</v>
      </c>
      <c r="AD55" s="3">
        <v>0</v>
      </c>
      <c r="AE55" s="2">
        <v>0</v>
      </c>
      <c r="AF55" s="2">
        <v>347</v>
      </c>
      <c r="AK55">
        <v>6123170</v>
      </c>
      <c r="AL55" t="s">
        <v>122</v>
      </c>
    </row>
    <row r="56" spans="1:38" x14ac:dyDescent="0.25">
      <c r="A56" s="1">
        <v>46029</v>
      </c>
      <c r="B56" s="1">
        <v>46029</v>
      </c>
      <c r="C56" t="s">
        <v>38</v>
      </c>
      <c r="D56" t="s">
        <v>39</v>
      </c>
      <c r="E56" t="s">
        <v>40</v>
      </c>
      <c r="F56" t="s">
        <v>41</v>
      </c>
      <c r="G56" t="s">
        <v>42</v>
      </c>
      <c r="H56" t="s">
        <v>43</v>
      </c>
      <c r="I56" t="s">
        <v>236</v>
      </c>
      <c r="J56" t="s">
        <v>237</v>
      </c>
      <c r="M56" t="s">
        <v>238</v>
      </c>
      <c r="O56" t="s">
        <v>239</v>
      </c>
      <c r="P56" t="s">
        <v>240</v>
      </c>
      <c r="Q56" t="s">
        <v>49</v>
      </c>
      <c r="R56" t="s">
        <v>121</v>
      </c>
      <c r="S56" s="1">
        <v>46023</v>
      </c>
      <c r="U56" t="s">
        <v>51</v>
      </c>
      <c r="X56" t="s">
        <v>52</v>
      </c>
      <c r="Y56" s="2">
        <v>0</v>
      </c>
      <c r="Z56" s="2">
        <v>347</v>
      </c>
      <c r="AA56">
        <v>1</v>
      </c>
      <c r="AB56" s="3">
        <v>1</v>
      </c>
      <c r="AC56" s="2">
        <v>347</v>
      </c>
      <c r="AD56" s="3">
        <v>0</v>
      </c>
      <c r="AE56" s="2">
        <v>0</v>
      </c>
      <c r="AF56" s="2">
        <v>347</v>
      </c>
      <c r="AK56">
        <v>6123172</v>
      </c>
      <c r="AL56" t="s">
        <v>122</v>
      </c>
    </row>
    <row r="57" spans="1:38" x14ac:dyDescent="0.25">
      <c r="A57" s="1">
        <v>46029</v>
      </c>
      <c r="B57" s="1">
        <v>46029</v>
      </c>
      <c r="C57" t="s">
        <v>38</v>
      </c>
      <c r="D57" t="s">
        <v>39</v>
      </c>
      <c r="E57" t="s">
        <v>40</v>
      </c>
      <c r="F57" t="s">
        <v>41</v>
      </c>
      <c r="G57" t="s">
        <v>42</v>
      </c>
      <c r="H57" t="s">
        <v>43</v>
      </c>
      <c r="I57" t="s">
        <v>241</v>
      </c>
      <c r="J57" t="s">
        <v>242</v>
      </c>
      <c r="M57" t="s">
        <v>71</v>
      </c>
      <c r="O57" t="s">
        <v>72</v>
      </c>
      <c r="P57" t="s">
        <v>73</v>
      </c>
      <c r="Q57" t="s">
        <v>49</v>
      </c>
      <c r="R57" t="s">
        <v>243</v>
      </c>
      <c r="S57" s="1">
        <v>46023</v>
      </c>
      <c r="U57" t="s">
        <v>51</v>
      </c>
      <c r="X57" t="s">
        <v>52</v>
      </c>
      <c r="Y57" s="2">
        <v>0</v>
      </c>
      <c r="Z57" s="2">
        <v>391</v>
      </c>
      <c r="AA57">
        <v>1</v>
      </c>
      <c r="AB57" s="3">
        <v>1</v>
      </c>
      <c r="AC57" s="2">
        <v>391</v>
      </c>
      <c r="AD57" s="3">
        <v>0</v>
      </c>
      <c r="AE57" s="2">
        <v>0</v>
      </c>
      <c r="AF57" s="2">
        <v>391</v>
      </c>
      <c r="AK57">
        <v>6123173</v>
      </c>
      <c r="AL57" t="s">
        <v>122</v>
      </c>
    </row>
    <row r="58" spans="1:38" x14ac:dyDescent="0.25">
      <c r="A58" s="1">
        <v>46029</v>
      </c>
      <c r="B58" s="1">
        <v>46029</v>
      </c>
      <c r="C58" t="s">
        <v>38</v>
      </c>
      <c r="D58" t="s">
        <v>39</v>
      </c>
      <c r="E58" t="s">
        <v>40</v>
      </c>
      <c r="F58" t="s">
        <v>41</v>
      </c>
      <c r="G58" t="s">
        <v>42</v>
      </c>
      <c r="H58" t="s">
        <v>43</v>
      </c>
      <c r="I58" t="s">
        <v>244</v>
      </c>
      <c r="J58" t="s">
        <v>245</v>
      </c>
      <c r="M58" t="s">
        <v>71</v>
      </c>
      <c r="O58" t="s">
        <v>246</v>
      </c>
      <c r="P58" t="s">
        <v>247</v>
      </c>
      <c r="Q58" t="s">
        <v>49</v>
      </c>
      <c r="R58" t="s">
        <v>248</v>
      </c>
      <c r="S58" s="1">
        <v>46023</v>
      </c>
      <c r="U58" t="s">
        <v>51</v>
      </c>
      <c r="X58" t="s">
        <v>52</v>
      </c>
      <c r="Y58" s="2">
        <v>0</v>
      </c>
      <c r="Z58" s="2">
        <v>313</v>
      </c>
      <c r="AA58">
        <v>1</v>
      </c>
      <c r="AB58" s="3">
        <v>1</v>
      </c>
      <c r="AC58" s="2">
        <v>313</v>
      </c>
      <c r="AD58" s="3">
        <v>0</v>
      </c>
      <c r="AE58" s="2">
        <v>0</v>
      </c>
      <c r="AF58" s="2">
        <v>313</v>
      </c>
      <c r="AK58">
        <v>6123174</v>
      </c>
      <c r="AL58" t="s">
        <v>122</v>
      </c>
    </row>
    <row r="59" spans="1:38" x14ac:dyDescent="0.25">
      <c r="A59" s="1">
        <v>46029</v>
      </c>
      <c r="B59" s="1">
        <v>46029</v>
      </c>
      <c r="C59" t="s">
        <v>38</v>
      </c>
      <c r="D59" t="s">
        <v>39</v>
      </c>
      <c r="E59" t="s">
        <v>40</v>
      </c>
      <c r="F59" t="s">
        <v>41</v>
      </c>
      <c r="G59" t="s">
        <v>42</v>
      </c>
      <c r="H59" t="s">
        <v>43</v>
      </c>
      <c r="I59" t="s">
        <v>249</v>
      </c>
      <c r="J59" t="s">
        <v>250</v>
      </c>
      <c r="M59" t="s">
        <v>196</v>
      </c>
      <c r="O59" t="s">
        <v>251</v>
      </c>
      <c r="P59" t="s">
        <v>252</v>
      </c>
      <c r="Q59" t="s">
        <v>49</v>
      </c>
      <c r="R59" t="s">
        <v>121</v>
      </c>
      <c r="S59" s="1">
        <v>46023</v>
      </c>
      <c r="U59" t="s">
        <v>51</v>
      </c>
      <c r="X59" t="s">
        <v>52</v>
      </c>
      <c r="Y59" s="2">
        <v>0</v>
      </c>
      <c r="Z59" s="2">
        <v>347</v>
      </c>
      <c r="AA59">
        <v>1</v>
      </c>
      <c r="AB59" s="3">
        <v>1</v>
      </c>
      <c r="AC59" s="2">
        <v>347</v>
      </c>
      <c r="AD59" s="3">
        <v>0</v>
      </c>
      <c r="AE59" s="2">
        <v>0</v>
      </c>
      <c r="AF59" s="2">
        <v>347</v>
      </c>
      <c r="AK59">
        <v>6123175</v>
      </c>
      <c r="AL59" t="s">
        <v>122</v>
      </c>
    </row>
    <row r="60" spans="1:38" x14ac:dyDescent="0.25">
      <c r="A60" s="1">
        <v>46029</v>
      </c>
      <c r="B60" s="1">
        <v>46029</v>
      </c>
      <c r="C60" t="s">
        <v>38</v>
      </c>
      <c r="D60" t="s">
        <v>39</v>
      </c>
      <c r="E60" t="s">
        <v>40</v>
      </c>
      <c r="F60" t="s">
        <v>41</v>
      </c>
      <c r="G60" t="s">
        <v>42</v>
      </c>
      <c r="H60" t="s">
        <v>43</v>
      </c>
      <c r="I60" t="s">
        <v>253</v>
      </c>
      <c r="J60" t="s">
        <v>254</v>
      </c>
      <c r="M60" t="s">
        <v>71</v>
      </c>
      <c r="O60" t="s">
        <v>255</v>
      </c>
      <c r="P60" t="s">
        <v>256</v>
      </c>
      <c r="Q60" t="s">
        <v>49</v>
      </c>
      <c r="R60" t="s">
        <v>189</v>
      </c>
      <c r="S60" s="1">
        <v>46023</v>
      </c>
      <c r="U60" t="s">
        <v>51</v>
      </c>
      <c r="X60" t="s">
        <v>52</v>
      </c>
      <c r="Y60" s="2">
        <v>0</v>
      </c>
      <c r="Z60" s="2">
        <v>233</v>
      </c>
      <c r="AA60">
        <v>1</v>
      </c>
      <c r="AB60" s="3">
        <v>1</v>
      </c>
      <c r="AC60" s="2">
        <v>233</v>
      </c>
      <c r="AD60" s="3">
        <v>0</v>
      </c>
      <c r="AE60" s="2">
        <v>0</v>
      </c>
      <c r="AF60" s="2">
        <v>233</v>
      </c>
      <c r="AK60">
        <v>6123176</v>
      </c>
      <c r="AL60" t="s">
        <v>122</v>
      </c>
    </row>
    <row r="61" spans="1:38" x14ac:dyDescent="0.25">
      <c r="A61" s="1">
        <v>46029</v>
      </c>
      <c r="B61" s="1">
        <v>46029</v>
      </c>
      <c r="C61" t="s">
        <v>38</v>
      </c>
      <c r="D61" t="s">
        <v>39</v>
      </c>
      <c r="E61" t="s">
        <v>40</v>
      </c>
      <c r="F61" t="s">
        <v>41</v>
      </c>
      <c r="G61" t="s">
        <v>42</v>
      </c>
      <c r="H61" t="s">
        <v>43</v>
      </c>
      <c r="I61" t="s">
        <v>257</v>
      </c>
      <c r="J61" t="s">
        <v>258</v>
      </c>
      <c r="M61" t="s">
        <v>46</v>
      </c>
      <c r="O61" t="s">
        <v>197</v>
      </c>
      <c r="P61" t="s">
        <v>198</v>
      </c>
      <c r="Q61" t="s">
        <v>49</v>
      </c>
      <c r="R61" t="s">
        <v>121</v>
      </c>
      <c r="S61" s="1">
        <v>46023</v>
      </c>
      <c r="U61" t="s">
        <v>51</v>
      </c>
      <c r="X61" t="s">
        <v>52</v>
      </c>
      <c r="Y61" s="2">
        <v>0</v>
      </c>
      <c r="Z61" s="2">
        <v>347</v>
      </c>
      <c r="AA61">
        <v>1</v>
      </c>
      <c r="AB61" s="3">
        <v>1</v>
      </c>
      <c r="AC61" s="2">
        <v>347</v>
      </c>
      <c r="AD61" s="3">
        <v>0</v>
      </c>
      <c r="AE61" s="2">
        <v>0</v>
      </c>
      <c r="AF61" s="2">
        <v>347</v>
      </c>
      <c r="AK61">
        <v>6123177</v>
      </c>
      <c r="AL61" t="s">
        <v>122</v>
      </c>
    </row>
    <row r="62" spans="1:38" x14ac:dyDescent="0.25">
      <c r="A62" s="1">
        <v>46029</v>
      </c>
      <c r="B62" s="1">
        <v>46029</v>
      </c>
      <c r="C62" t="s">
        <v>38</v>
      </c>
      <c r="D62" t="s">
        <v>39</v>
      </c>
      <c r="E62" t="s">
        <v>40</v>
      </c>
      <c r="F62" t="s">
        <v>41</v>
      </c>
      <c r="G62" t="s">
        <v>42</v>
      </c>
      <c r="H62" t="s">
        <v>43</v>
      </c>
      <c r="I62" t="s">
        <v>259</v>
      </c>
      <c r="J62" t="s">
        <v>260</v>
      </c>
      <c r="M62" t="s">
        <v>118</v>
      </c>
      <c r="O62" t="s">
        <v>94</v>
      </c>
      <c r="P62" t="s">
        <v>95</v>
      </c>
      <c r="Q62" t="s">
        <v>49</v>
      </c>
      <c r="R62" t="s">
        <v>178</v>
      </c>
      <c r="S62" s="1">
        <v>46023</v>
      </c>
      <c r="U62" t="s">
        <v>51</v>
      </c>
      <c r="X62" t="s">
        <v>52</v>
      </c>
      <c r="Y62" s="2">
        <v>0</v>
      </c>
      <c r="Z62" s="2">
        <v>203</v>
      </c>
      <c r="AA62">
        <v>1</v>
      </c>
      <c r="AB62" s="3">
        <v>1</v>
      </c>
      <c r="AC62" s="2">
        <v>203</v>
      </c>
      <c r="AD62" s="3">
        <v>0</v>
      </c>
      <c r="AE62" s="2">
        <v>0</v>
      </c>
      <c r="AF62" s="2">
        <v>203</v>
      </c>
      <c r="AK62">
        <v>6123178</v>
      </c>
      <c r="AL62" t="s">
        <v>122</v>
      </c>
    </row>
    <row r="63" spans="1:38" x14ac:dyDescent="0.25">
      <c r="A63" s="1">
        <v>46029</v>
      </c>
      <c r="B63" s="1">
        <v>46029</v>
      </c>
      <c r="C63" t="s">
        <v>38</v>
      </c>
      <c r="D63" t="s">
        <v>39</v>
      </c>
      <c r="E63" t="s">
        <v>40</v>
      </c>
      <c r="F63" t="s">
        <v>41</v>
      </c>
      <c r="G63" t="s">
        <v>42</v>
      </c>
      <c r="H63" t="s">
        <v>43</v>
      </c>
      <c r="I63" t="s">
        <v>261</v>
      </c>
      <c r="J63" t="s">
        <v>262</v>
      </c>
      <c r="M63" t="s">
        <v>146</v>
      </c>
      <c r="O63" t="s">
        <v>62</v>
      </c>
      <c r="P63" t="s">
        <v>63</v>
      </c>
      <c r="Q63" t="s">
        <v>49</v>
      </c>
      <c r="R63" t="s">
        <v>178</v>
      </c>
      <c r="S63" s="1">
        <v>46023</v>
      </c>
      <c r="U63" t="s">
        <v>51</v>
      </c>
      <c r="X63" t="s">
        <v>52</v>
      </c>
      <c r="Y63" s="2">
        <v>0</v>
      </c>
      <c r="Z63" s="2">
        <v>203</v>
      </c>
      <c r="AA63">
        <v>1</v>
      </c>
      <c r="AB63" s="3">
        <v>1</v>
      </c>
      <c r="AC63" s="2">
        <v>203</v>
      </c>
      <c r="AD63" s="3">
        <v>0</v>
      </c>
      <c r="AE63" s="2">
        <v>0</v>
      </c>
      <c r="AF63" s="2">
        <v>203</v>
      </c>
      <c r="AK63">
        <v>6123179</v>
      </c>
      <c r="AL63" t="s">
        <v>122</v>
      </c>
    </row>
    <row r="64" spans="1:38" x14ac:dyDescent="0.25">
      <c r="A64" s="1">
        <v>46029</v>
      </c>
      <c r="B64" s="1">
        <v>46029</v>
      </c>
      <c r="C64" t="s">
        <v>38</v>
      </c>
      <c r="D64" t="s">
        <v>39</v>
      </c>
      <c r="E64" t="s">
        <v>40</v>
      </c>
      <c r="F64" t="s">
        <v>41</v>
      </c>
      <c r="G64" t="s">
        <v>42</v>
      </c>
      <c r="H64" t="s">
        <v>43</v>
      </c>
      <c r="I64" t="s">
        <v>263</v>
      </c>
      <c r="J64" t="s">
        <v>264</v>
      </c>
      <c r="M64" t="s">
        <v>86</v>
      </c>
      <c r="O64" t="s">
        <v>219</v>
      </c>
      <c r="P64" t="s">
        <v>220</v>
      </c>
      <c r="Q64" t="s">
        <v>49</v>
      </c>
      <c r="R64" t="s">
        <v>121</v>
      </c>
      <c r="S64" s="1">
        <v>46023</v>
      </c>
      <c r="U64" t="s">
        <v>51</v>
      </c>
      <c r="X64" t="s">
        <v>52</v>
      </c>
      <c r="Y64" s="2">
        <v>0</v>
      </c>
      <c r="Z64" s="2">
        <v>347</v>
      </c>
      <c r="AA64">
        <v>1</v>
      </c>
      <c r="AB64" s="3">
        <v>1</v>
      </c>
      <c r="AC64" s="2">
        <v>347</v>
      </c>
      <c r="AD64" s="3">
        <v>0</v>
      </c>
      <c r="AE64" s="2">
        <v>0</v>
      </c>
      <c r="AF64" s="2">
        <v>347</v>
      </c>
      <c r="AK64">
        <v>6123180</v>
      </c>
      <c r="AL64" t="s">
        <v>122</v>
      </c>
    </row>
    <row r="65" spans="1:38" x14ac:dyDescent="0.25">
      <c r="A65" s="1">
        <v>46029</v>
      </c>
      <c r="B65" s="1">
        <v>46029</v>
      </c>
      <c r="C65" t="s">
        <v>38</v>
      </c>
      <c r="D65" t="s">
        <v>39</v>
      </c>
      <c r="E65" t="s">
        <v>40</v>
      </c>
      <c r="F65" t="s">
        <v>41</v>
      </c>
      <c r="G65" t="s">
        <v>42</v>
      </c>
      <c r="H65" t="s">
        <v>43</v>
      </c>
      <c r="I65" t="s">
        <v>265</v>
      </c>
      <c r="J65" t="s">
        <v>266</v>
      </c>
      <c r="M65" t="s">
        <v>46</v>
      </c>
      <c r="O65" t="s">
        <v>183</v>
      </c>
      <c r="P65" t="s">
        <v>184</v>
      </c>
      <c r="Q65" t="s">
        <v>49</v>
      </c>
      <c r="R65" t="s">
        <v>121</v>
      </c>
      <c r="S65" s="1">
        <v>46023</v>
      </c>
      <c r="U65" t="s">
        <v>51</v>
      </c>
      <c r="X65" t="s">
        <v>52</v>
      </c>
      <c r="Y65" s="2">
        <v>0</v>
      </c>
      <c r="Z65" s="2">
        <v>347</v>
      </c>
      <c r="AA65">
        <v>1</v>
      </c>
      <c r="AB65" s="3">
        <v>1</v>
      </c>
      <c r="AC65" s="2">
        <v>347</v>
      </c>
      <c r="AD65" s="3">
        <v>0</v>
      </c>
      <c r="AE65" s="2">
        <v>0</v>
      </c>
      <c r="AF65" s="2">
        <v>347</v>
      </c>
      <c r="AK65">
        <v>6123181</v>
      </c>
      <c r="AL65" t="s">
        <v>122</v>
      </c>
    </row>
    <row r="66" spans="1:38" x14ac:dyDescent="0.25">
      <c r="A66" s="1">
        <v>46029</v>
      </c>
      <c r="B66" s="1">
        <v>46029</v>
      </c>
      <c r="C66" t="s">
        <v>38</v>
      </c>
      <c r="D66" t="s">
        <v>39</v>
      </c>
      <c r="E66" t="s">
        <v>40</v>
      </c>
      <c r="F66" t="s">
        <v>41</v>
      </c>
      <c r="G66" t="s">
        <v>42</v>
      </c>
      <c r="H66" t="s">
        <v>43</v>
      </c>
      <c r="I66" t="s">
        <v>267</v>
      </c>
      <c r="J66" t="s">
        <v>268</v>
      </c>
      <c r="M66" t="s">
        <v>86</v>
      </c>
      <c r="O66" t="s">
        <v>219</v>
      </c>
      <c r="P66" t="s">
        <v>220</v>
      </c>
      <c r="Q66" t="s">
        <v>49</v>
      </c>
      <c r="R66" t="s">
        <v>121</v>
      </c>
      <c r="S66" s="1">
        <v>46023</v>
      </c>
      <c r="U66" t="s">
        <v>51</v>
      </c>
      <c r="X66" t="s">
        <v>52</v>
      </c>
      <c r="Y66" s="2">
        <v>0</v>
      </c>
      <c r="Z66" s="2">
        <v>347</v>
      </c>
      <c r="AA66">
        <v>1</v>
      </c>
      <c r="AB66" s="3">
        <v>1</v>
      </c>
      <c r="AC66" s="2">
        <v>347</v>
      </c>
      <c r="AD66" s="3">
        <v>0</v>
      </c>
      <c r="AE66" s="2">
        <v>0</v>
      </c>
      <c r="AF66" s="2">
        <v>347</v>
      </c>
      <c r="AK66">
        <v>6123182</v>
      </c>
      <c r="AL66" t="s">
        <v>122</v>
      </c>
    </row>
    <row r="67" spans="1:38" x14ac:dyDescent="0.25">
      <c r="A67" s="1">
        <v>46029</v>
      </c>
      <c r="B67" s="1">
        <v>46029</v>
      </c>
      <c r="C67" t="s">
        <v>38</v>
      </c>
      <c r="D67" t="s">
        <v>39</v>
      </c>
      <c r="E67" t="s">
        <v>40</v>
      </c>
      <c r="F67" t="s">
        <v>41</v>
      </c>
      <c r="G67" t="s">
        <v>42</v>
      </c>
      <c r="H67" t="s">
        <v>43</v>
      </c>
      <c r="I67" t="s">
        <v>269</v>
      </c>
      <c r="J67" t="s">
        <v>270</v>
      </c>
      <c r="M67" t="s">
        <v>271</v>
      </c>
      <c r="O67" t="s">
        <v>77</v>
      </c>
      <c r="P67" t="s">
        <v>78</v>
      </c>
      <c r="Q67" t="s">
        <v>49</v>
      </c>
      <c r="R67" t="s">
        <v>121</v>
      </c>
      <c r="S67" s="1">
        <v>46023</v>
      </c>
      <c r="U67" t="s">
        <v>51</v>
      </c>
      <c r="X67" t="s">
        <v>52</v>
      </c>
      <c r="Y67" s="2">
        <v>0</v>
      </c>
      <c r="Z67" s="2">
        <v>347</v>
      </c>
      <c r="AA67">
        <v>1</v>
      </c>
      <c r="AB67" s="3">
        <v>1</v>
      </c>
      <c r="AC67" s="2">
        <v>347</v>
      </c>
      <c r="AD67" s="3">
        <v>0</v>
      </c>
      <c r="AE67" s="2">
        <v>0</v>
      </c>
      <c r="AF67" s="2">
        <v>347</v>
      </c>
      <c r="AK67">
        <v>6123183</v>
      </c>
      <c r="AL67" t="s">
        <v>122</v>
      </c>
    </row>
    <row r="68" spans="1:38" x14ac:dyDescent="0.25">
      <c r="A68" s="1">
        <v>46029</v>
      </c>
      <c r="B68" s="1">
        <v>46029</v>
      </c>
      <c r="C68" t="s">
        <v>38</v>
      </c>
      <c r="D68" t="s">
        <v>39</v>
      </c>
      <c r="E68" t="s">
        <v>40</v>
      </c>
      <c r="F68" t="s">
        <v>41</v>
      </c>
      <c r="G68" t="s">
        <v>42</v>
      </c>
      <c r="H68" t="s">
        <v>43</v>
      </c>
      <c r="I68" t="s">
        <v>272</v>
      </c>
      <c r="J68" t="s">
        <v>273</v>
      </c>
      <c r="M68" t="s">
        <v>118</v>
      </c>
      <c r="O68" t="s">
        <v>230</v>
      </c>
      <c r="P68" t="s">
        <v>231</v>
      </c>
      <c r="Q68" t="s">
        <v>49</v>
      </c>
      <c r="R68" t="s">
        <v>121</v>
      </c>
      <c r="S68" s="1">
        <v>46023</v>
      </c>
      <c r="U68" t="s">
        <v>51</v>
      </c>
      <c r="X68" t="s">
        <v>52</v>
      </c>
      <c r="Y68" s="2">
        <v>0</v>
      </c>
      <c r="Z68" s="2">
        <v>347</v>
      </c>
      <c r="AA68">
        <v>1</v>
      </c>
      <c r="AB68" s="3">
        <v>1</v>
      </c>
      <c r="AC68" s="2">
        <v>347</v>
      </c>
      <c r="AD68" s="3">
        <v>0</v>
      </c>
      <c r="AE68" s="2">
        <v>0</v>
      </c>
      <c r="AF68" s="2">
        <v>347</v>
      </c>
      <c r="AK68">
        <v>6123184</v>
      </c>
      <c r="AL68" t="s">
        <v>122</v>
      </c>
    </row>
    <row r="69" spans="1:38" x14ac:dyDescent="0.25">
      <c r="A69" s="1">
        <v>46029</v>
      </c>
      <c r="B69" s="1">
        <v>46029</v>
      </c>
      <c r="C69" t="s">
        <v>38</v>
      </c>
      <c r="D69" t="s">
        <v>39</v>
      </c>
      <c r="E69" t="s">
        <v>40</v>
      </c>
      <c r="F69" t="s">
        <v>41</v>
      </c>
      <c r="G69" t="s">
        <v>42</v>
      </c>
      <c r="H69" t="s">
        <v>43</v>
      </c>
      <c r="I69" t="s">
        <v>274</v>
      </c>
      <c r="J69" t="s">
        <v>275</v>
      </c>
      <c r="M69" t="s">
        <v>143</v>
      </c>
      <c r="O69" t="s">
        <v>119</v>
      </c>
      <c r="P69" t="s">
        <v>120</v>
      </c>
      <c r="Q69" t="s">
        <v>49</v>
      </c>
      <c r="R69" t="s">
        <v>178</v>
      </c>
      <c r="S69" s="1">
        <v>46023</v>
      </c>
      <c r="U69" t="s">
        <v>51</v>
      </c>
      <c r="X69" t="s">
        <v>52</v>
      </c>
      <c r="Y69" s="2">
        <v>0</v>
      </c>
      <c r="Z69" s="2">
        <v>203</v>
      </c>
      <c r="AA69">
        <v>1</v>
      </c>
      <c r="AB69" s="3">
        <v>1</v>
      </c>
      <c r="AC69" s="2">
        <v>203</v>
      </c>
      <c r="AD69" s="3">
        <v>0</v>
      </c>
      <c r="AE69" s="2">
        <v>0</v>
      </c>
      <c r="AF69" s="2">
        <v>203</v>
      </c>
      <c r="AK69">
        <v>6123185</v>
      </c>
      <c r="AL69" t="s">
        <v>122</v>
      </c>
    </row>
    <row r="70" spans="1:38" x14ac:dyDescent="0.25">
      <c r="A70" s="1">
        <v>46029</v>
      </c>
      <c r="B70" s="1">
        <v>46029</v>
      </c>
      <c r="C70" t="s">
        <v>38</v>
      </c>
      <c r="D70" t="s">
        <v>39</v>
      </c>
      <c r="E70" t="s">
        <v>40</v>
      </c>
      <c r="F70" t="s">
        <v>41</v>
      </c>
      <c r="G70" t="s">
        <v>42</v>
      </c>
      <c r="H70" t="s">
        <v>43</v>
      </c>
      <c r="I70" t="s">
        <v>276</v>
      </c>
      <c r="J70" t="s">
        <v>277</v>
      </c>
      <c r="M70" t="s">
        <v>204</v>
      </c>
      <c r="O70" t="s">
        <v>230</v>
      </c>
      <c r="P70" t="s">
        <v>231</v>
      </c>
      <c r="Q70" t="s">
        <v>49</v>
      </c>
      <c r="R70" t="s">
        <v>121</v>
      </c>
      <c r="S70" s="1">
        <v>46023</v>
      </c>
      <c r="U70" t="s">
        <v>51</v>
      </c>
      <c r="X70" t="s">
        <v>52</v>
      </c>
      <c r="Y70" s="2">
        <v>0</v>
      </c>
      <c r="Z70" s="2">
        <v>347</v>
      </c>
      <c r="AA70">
        <v>1</v>
      </c>
      <c r="AB70" s="3">
        <v>1</v>
      </c>
      <c r="AC70" s="2">
        <v>347</v>
      </c>
      <c r="AD70" s="3">
        <v>0</v>
      </c>
      <c r="AE70" s="2">
        <v>0</v>
      </c>
      <c r="AF70" s="2">
        <v>347</v>
      </c>
      <c r="AK70">
        <v>6123186</v>
      </c>
      <c r="AL70" t="s">
        <v>122</v>
      </c>
    </row>
    <row r="71" spans="1:38" x14ac:dyDescent="0.25">
      <c r="A71" s="1">
        <v>46029</v>
      </c>
      <c r="B71" s="1">
        <v>46029</v>
      </c>
      <c r="C71" t="s">
        <v>38</v>
      </c>
      <c r="D71" t="s">
        <v>39</v>
      </c>
      <c r="E71" t="s">
        <v>40</v>
      </c>
      <c r="F71" t="s">
        <v>41</v>
      </c>
      <c r="G71" t="s">
        <v>42</v>
      </c>
      <c r="H71" t="s">
        <v>43</v>
      </c>
      <c r="I71" t="s">
        <v>278</v>
      </c>
      <c r="J71" t="s">
        <v>279</v>
      </c>
      <c r="M71" t="s">
        <v>66</v>
      </c>
      <c r="O71" t="s">
        <v>239</v>
      </c>
      <c r="P71" t="s">
        <v>240</v>
      </c>
      <c r="Q71" t="s">
        <v>49</v>
      </c>
      <c r="R71" t="s">
        <v>121</v>
      </c>
      <c r="S71" s="1">
        <v>46023</v>
      </c>
      <c r="U71" t="s">
        <v>51</v>
      </c>
      <c r="X71" t="s">
        <v>52</v>
      </c>
      <c r="Y71" s="2">
        <v>0</v>
      </c>
      <c r="Z71" s="2">
        <v>347</v>
      </c>
      <c r="AA71">
        <v>1</v>
      </c>
      <c r="AB71" s="3">
        <v>1</v>
      </c>
      <c r="AC71" s="2">
        <v>347</v>
      </c>
      <c r="AD71" s="3">
        <v>0</v>
      </c>
      <c r="AE71" s="2">
        <v>0</v>
      </c>
      <c r="AF71" s="2">
        <v>347</v>
      </c>
      <c r="AK71">
        <v>6123187</v>
      </c>
      <c r="AL71" t="s">
        <v>122</v>
      </c>
    </row>
    <row r="72" spans="1:38" x14ac:dyDescent="0.25">
      <c r="A72" s="1">
        <v>46029</v>
      </c>
      <c r="B72" s="1">
        <v>46029</v>
      </c>
      <c r="C72" t="s">
        <v>38</v>
      </c>
      <c r="D72" t="s">
        <v>39</v>
      </c>
      <c r="E72" t="s">
        <v>40</v>
      </c>
      <c r="F72" t="s">
        <v>41</v>
      </c>
      <c r="G72" t="s">
        <v>42</v>
      </c>
      <c r="H72" t="s">
        <v>43</v>
      </c>
      <c r="I72" t="s">
        <v>280</v>
      </c>
      <c r="J72" t="s">
        <v>281</v>
      </c>
      <c r="M72" t="s">
        <v>46</v>
      </c>
      <c r="O72" t="s">
        <v>176</v>
      </c>
      <c r="P72" t="s">
        <v>177</v>
      </c>
      <c r="Q72" t="s">
        <v>49</v>
      </c>
      <c r="R72" t="s">
        <v>121</v>
      </c>
      <c r="S72" s="1">
        <v>46023</v>
      </c>
      <c r="U72" t="s">
        <v>51</v>
      </c>
      <c r="X72" t="s">
        <v>52</v>
      </c>
      <c r="Y72" s="2">
        <v>0</v>
      </c>
      <c r="Z72" s="2">
        <v>347</v>
      </c>
      <c r="AA72">
        <v>1</v>
      </c>
      <c r="AB72" s="3">
        <v>1</v>
      </c>
      <c r="AC72" s="2">
        <v>347</v>
      </c>
      <c r="AD72" s="3">
        <v>0</v>
      </c>
      <c r="AE72" s="2">
        <v>0</v>
      </c>
      <c r="AF72" s="2">
        <v>347</v>
      </c>
      <c r="AK72">
        <v>6123188</v>
      </c>
      <c r="AL72" t="s">
        <v>122</v>
      </c>
    </row>
    <row r="73" spans="1:38" x14ac:dyDescent="0.25">
      <c r="A73" s="1">
        <v>46029</v>
      </c>
      <c r="B73" s="1">
        <v>46029</v>
      </c>
      <c r="C73" t="s">
        <v>38</v>
      </c>
      <c r="D73" t="s">
        <v>39</v>
      </c>
      <c r="E73" t="s">
        <v>40</v>
      </c>
      <c r="F73" t="s">
        <v>41</v>
      </c>
      <c r="G73" t="s">
        <v>42</v>
      </c>
      <c r="H73" t="s">
        <v>43</v>
      </c>
      <c r="I73" t="s">
        <v>282</v>
      </c>
      <c r="J73" t="s">
        <v>283</v>
      </c>
      <c r="M73" t="s">
        <v>71</v>
      </c>
      <c r="O73" t="s">
        <v>284</v>
      </c>
      <c r="P73" t="s">
        <v>285</v>
      </c>
      <c r="Q73" t="s">
        <v>49</v>
      </c>
      <c r="R73" t="s">
        <v>189</v>
      </c>
      <c r="S73" s="1">
        <v>46023</v>
      </c>
      <c r="U73" t="s">
        <v>51</v>
      </c>
      <c r="X73" t="s">
        <v>52</v>
      </c>
      <c r="Y73" s="2">
        <v>0</v>
      </c>
      <c r="Z73" s="2">
        <v>233</v>
      </c>
      <c r="AA73">
        <v>1</v>
      </c>
      <c r="AB73" s="3">
        <v>1</v>
      </c>
      <c r="AC73" s="2">
        <v>233</v>
      </c>
      <c r="AD73" s="3">
        <v>0</v>
      </c>
      <c r="AE73" s="2">
        <v>0</v>
      </c>
      <c r="AF73" s="2">
        <v>233</v>
      </c>
      <c r="AK73">
        <v>6123189</v>
      </c>
      <c r="AL73" t="s">
        <v>122</v>
      </c>
    </row>
    <row r="74" spans="1:38" x14ac:dyDescent="0.25">
      <c r="A74" s="1">
        <v>46029</v>
      </c>
      <c r="B74" s="1">
        <v>46029</v>
      </c>
      <c r="C74" t="s">
        <v>38</v>
      </c>
      <c r="D74" t="s">
        <v>39</v>
      </c>
      <c r="E74" t="s">
        <v>40</v>
      </c>
      <c r="F74" t="s">
        <v>41</v>
      </c>
      <c r="G74" t="s">
        <v>42</v>
      </c>
      <c r="H74" t="s">
        <v>43</v>
      </c>
      <c r="I74" t="s">
        <v>286</v>
      </c>
      <c r="J74" t="s">
        <v>287</v>
      </c>
      <c r="M74" t="s">
        <v>118</v>
      </c>
      <c r="O74" t="s">
        <v>77</v>
      </c>
      <c r="P74" t="s">
        <v>78</v>
      </c>
      <c r="Q74" t="s">
        <v>49</v>
      </c>
      <c r="R74" t="s">
        <v>178</v>
      </c>
      <c r="S74" s="1">
        <v>46023</v>
      </c>
      <c r="U74" t="s">
        <v>51</v>
      </c>
      <c r="X74" t="s">
        <v>52</v>
      </c>
      <c r="Y74" s="2">
        <v>0</v>
      </c>
      <c r="Z74" s="2">
        <v>203</v>
      </c>
      <c r="AA74">
        <v>1</v>
      </c>
      <c r="AB74" s="3">
        <v>1</v>
      </c>
      <c r="AC74" s="2">
        <v>203</v>
      </c>
      <c r="AD74" s="3">
        <v>0</v>
      </c>
      <c r="AE74" s="2">
        <v>0</v>
      </c>
      <c r="AF74" s="2">
        <v>203</v>
      </c>
      <c r="AK74">
        <v>6123190</v>
      </c>
      <c r="AL74" t="s">
        <v>122</v>
      </c>
    </row>
    <row r="75" spans="1:38" x14ac:dyDescent="0.25">
      <c r="A75" s="1">
        <v>46029</v>
      </c>
      <c r="B75" s="1">
        <v>46029</v>
      </c>
      <c r="C75" t="s">
        <v>38</v>
      </c>
      <c r="D75" t="s">
        <v>39</v>
      </c>
      <c r="E75" t="s">
        <v>40</v>
      </c>
      <c r="F75" t="s">
        <v>41</v>
      </c>
      <c r="G75" t="s">
        <v>42</v>
      </c>
      <c r="H75" t="s">
        <v>43</v>
      </c>
      <c r="I75" t="s">
        <v>288</v>
      </c>
      <c r="J75" t="s">
        <v>289</v>
      </c>
      <c r="M75" t="s">
        <v>204</v>
      </c>
      <c r="O75" t="s">
        <v>205</v>
      </c>
      <c r="P75" t="s">
        <v>206</v>
      </c>
      <c r="Q75" t="s">
        <v>49</v>
      </c>
      <c r="R75" t="s">
        <v>178</v>
      </c>
      <c r="S75" s="1">
        <v>46023</v>
      </c>
      <c r="U75" t="s">
        <v>51</v>
      </c>
      <c r="X75" t="s">
        <v>52</v>
      </c>
      <c r="Y75" s="2">
        <v>0</v>
      </c>
      <c r="Z75" s="2">
        <v>203</v>
      </c>
      <c r="AA75">
        <v>1</v>
      </c>
      <c r="AB75" s="3">
        <v>1</v>
      </c>
      <c r="AC75" s="2">
        <v>203</v>
      </c>
      <c r="AD75" s="3">
        <v>0</v>
      </c>
      <c r="AE75" s="2">
        <v>0</v>
      </c>
      <c r="AF75" s="2">
        <v>203</v>
      </c>
      <c r="AK75">
        <v>6123191</v>
      </c>
      <c r="AL75" t="s">
        <v>122</v>
      </c>
    </row>
    <row r="76" spans="1:38" x14ac:dyDescent="0.25">
      <c r="A76" s="1">
        <v>46029</v>
      </c>
      <c r="B76" s="1">
        <v>46029</v>
      </c>
      <c r="C76" t="s">
        <v>38</v>
      </c>
      <c r="D76" t="s">
        <v>39</v>
      </c>
      <c r="E76" t="s">
        <v>40</v>
      </c>
      <c r="F76" t="s">
        <v>41</v>
      </c>
      <c r="G76" t="s">
        <v>42</v>
      </c>
      <c r="H76" t="s">
        <v>43</v>
      </c>
      <c r="I76" t="s">
        <v>290</v>
      </c>
      <c r="J76" t="s">
        <v>291</v>
      </c>
      <c r="M76" t="s">
        <v>146</v>
      </c>
      <c r="O76" t="s">
        <v>230</v>
      </c>
      <c r="P76" t="s">
        <v>231</v>
      </c>
      <c r="Q76" t="s">
        <v>49</v>
      </c>
      <c r="R76" t="s">
        <v>121</v>
      </c>
      <c r="S76" s="1">
        <v>46023</v>
      </c>
      <c r="U76" t="s">
        <v>51</v>
      </c>
      <c r="X76" t="s">
        <v>52</v>
      </c>
      <c r="Y76" s="2">
        <v>0</v>
      </c>
      <c r="Z76" s="2">
        <v>347</v>
      </c>
      <c r="AA76">
        <v>1</v>
      </c>
      <c r="AB76" s="3">
        <v>1</v>
      </c>
      <c r="AC76" s="2">
        <v>347</v>
      </c>
      <c r="AD76" s="3">
        <v>0</v>
      </c>
      <c r="AE76" s="2">
        <v>0</v>
      </c>
      <c r="AF76" s="2">
        <v>347</v>
      </c>
      <c r="AK76">
        <v>6123192</v>
      </c>
      <c r="AL76" t="s">
        <v>122</v>
      </c>
    </row>
    <row r="77" spans="1:38" x14ac:dyDescent="0.25">
      <c r="A77" s="1">
        <v>46029</v>
      </c>
      <c r="B77" s="1">
        <v>46029</v>
      </c>
      <c r="C77" t="s">
        <v>38</v>
      </c>
      <c r="D77" t="s">
        <v>39</v>
      </c>
      <c r="E77" t="s">
        <v>40</v>
      </c>
      <c r="F77" t="s">
        <v>41</v>
      </c>
      <c r="G77" t="s">
        <v>42</v>
      </c>
      <c r="H77" t="s">
        <v>43</v>
      </c>
      <c r="I77" t="s">
        <v>292</v>
      </c>
      <c r="J77" t="s">
        <v>293</v>
      </c>
      <c r="M77" t="s">
        <v>294</v>
      </c>
      <c r="O77" t="s">
        <v>94</v>
      </c>
      <c r="P77" t="s">
        <v>95</v>
      </c>
      <c r="Q77" t="s">
        <v>49</v>
      </c>
      <c r="R77" t="s">
        <v>121</v>
      </c>
      <c r="S77" s="1">
        <v>46023</v>
      </c>
      <c r="U77" t="s">
        <v>51</v>
      </c>
      <c r="X77" t="s">
        <v>52</v>
      </c>
      <c r="Y77" s="2">
        <v>0</v>
      </c>
      <c r="Z77" s="2">
        <v>347</v>
      </c>
      <c r="AA77">
        <v>1</v>
      </c>
      <c r="AB77" s="3">
        <v>1</v>
      </c>
      <c r="AC77" s="2">
        <v>347</v>
      </c>
      <c r="AD77" s="3">
        <v>0</v>
      </c>
      <c r="AE77" s="2">
        <v>0</v>
      </c>
      <c r="AF77" s="2">
        <v>347</v>
      </c>
      <c r="AK77">
        <v>6123193</v>
      </c>
      <c r="AL77" t="s">
        <v>122</v>
      </c>
    </row>
    <row r="78" spans="1:38" x14ac:dyDescent="0.25">
      <c r="A78" s="1">
        <v>46029</v>
      </c>
      <c r="B78" s="1">
        <v>46029</v>
      </c>
      <c r="C78" t="s">
        <v>38</v>
      </c>
      <c r="D78" t="s">
        <v>39</v>
      </c>
      <c r="E78" t="s">
        <v>40</v>
      </c>
      <c r="F78" t="s">
        <v>41</v>
      </c>
      <c r="G78" t="s">
        <v>42</v>
      </c>
      <c r="H78" t="s">
        <v>43</v>
      </c>
      <c r="I78" t="s">
        <v>295</v>
      </c>
      <c r="J78" t="s">
        <v>296</v>
      </c>
      <c r="M78" t="s">
        <v>173</v>
      </c>
      <c r="O78" t="s">
        <v>94</v>
      </c>
      <c r="P78" t="s">
        <v>95</v>
      </c>
      <c r="Q78" t="s">
        <v>49</v>
      </c>
      <c r="R78" t="s">
        <v>121</v>
      </c>
      <c r="S78" s="1">
        <v>46023</v>
      </c>
      <c r="U78" t="s">
        <v>51</v>
      </c>
      <c r="X78" t="s">
        <v>52</v>
      </c>
      <c r="Y78" s="2">
        <v>0</v>
      </c>
      <c r="Z78" s="2">
        <v>347</v>
      </c>
      <c r="AA78">
        <v>1</v>
      </c>
      <c r="AB78" s="3">
        <v>1</v>
      </c>
      <c r="AC78" s="2">
        <v>347</v>
      </c>
      <c r="AD78" s="3">
        <v>0</v>
      </c>
      <c r="AE78" s="2">
        <v>0</v>
      </c>
      <c r="AF78" s="2">
        <v>347</v>
      </c>
      <c r="AK78">
        <v>6123194</v>
      </c>
      <c r="AL78" t="s">
        <v>122</v>
      </c>
    </row>
    <row r="79" spans="1:38" x14ac:dyDescent="0.25">
      <c r="A79" s="1">
        <v>46029</v>
      </c>
      <c r="B79" s="1">
        <v>46029</v>
      </c>
      <c r="C79" t="s">
        <v>38</v>
      </c>
      <c r="D79" t="s">
        <v>39</v>
      </c>
      <c r="E79" t="s">
        <v>40</v>
      </c>
      <c r="F79" t="s">
        <v>41</v>
      </c>
      <c r="G79" t="s">
        <v>42</v>
      </c>
      <c r="H79" t="s">
        <v>43</v>
      </c>
      <c r="I79" t="s">
        <v>297</v>
      </c>
      <c r="J79" t="s">
        <v>298</v>
      </c>
      <c r="M79" t="s">
        <v>118</v>
      </c>
      <c r="O79" t="s">
        <v>119</v>
      </c>
      <c r="P79" t="s">
        <v>120</v>
      </c>
      <c r="Q79" t="s">
        <v>49</v>
      </c>
      <c r="R79" t="s">
        <v>121</v>
      </c>
      <c r="S79" s="1">
        <v>46023</v>
      </c>
      <c r="U79" t="s">
        <v>51</v>
      </c>
      <c r="X79" t="s">
        <v>52</v>
      </c>
      <c r="Y79" s="2">
        <v>0</v>
      </c>
      <c r="Z79" s="2">
        <v>347</v>
      </c>
      <c r="AA79">
        <v>1</v>
      </c>
      <c r="AB79" s="3">
        <v>1</v>
      </c>
      <c r="AC79" s="2">
        <v>347</v>
      </c>
      <c r="AD79" s="3">
        <v>0</v>
      </c>
      <c r="AE79" s="2">
        <v>0</v>
      </c>
      <c r="AF79" s="2">
        <v>347</v>
      </c>
      <c r="AK79">
        <v>6123195</v>
      </c>
      <c r="AL79" t="s">
        <v>122</v>
      </c>
    </row>
    <row r="80" spans="1:38" x14ac:dyDescent="0.25">
      <c r="A80" s="1">
        <v>46029</v>
      </c>
      <c r="B80" s="1">
        <v>46029</v>
      </c>
      <c r="C80" t="s">
        <v>38</v>
      </c>
      <c r="D80" t="s">
        <v>39</v>
      </c>
      <c r="E80" t="s">
        <v>40</v>
      </c>
      <c r="F80" t="s">
        <v>41</v>
      </c>
      <c r="G80" t="s">
        <v>42</v>
      </c>
      <c r="H80" t="s">
        <v>43</v>
      </c>
      <c r="I80" t="s">
        <v>299</v>
      </c>
      <c r="J80" t="s">
        <v>300</v>
      </c>
      <c r="M80" t="s">
        <v>46</v>
      </c>
      <c r="O80" t="s">
        <v>301</v>
      </c>
      <c r="P80" t="s">
        <v>302</v>
      </c>
      <c r="Q80" t="s">
        <v>49</v>
      </c>
      <c r="R80" t="s">
        <v>178</v>
      </c>
      <c r="S80" s="1">
        <v>46023</v>
      </c>
      <c r="U80" t="s">
        <v>51</v>
      </c>
      <c r="X80" t="s">
        <v>52</v>
      </c>
      <c r="Y80" s="2">
        <v>0</v>
      </c>
      <c r="Z80" s="2">
        <v>203</v>
      </c>
      <c r="AA80">
        <v>1</v>
      </c>
      <c r="AB80" s="3">
        <v>1</v>
      </c>
      <c r="AC80" s="2">
        <v>203</v>
      </c>
      <c r="AD80" s="3">
        <v>0</v>
      </c>
      <c r="AE80" s="2">
        <v>0</v>
      </c>
      <c r="AF80" s="2">
        <v>203</v>
      </c>
      <c r="AK80">
        <v>6123196</v>
      </c>
      <c r="AL80" t="s">
        <v>122</v>
      </c>
    </row>
    <row r="81" spans="1:38" x14ac:dyDescent="0.25">
      <c r="A81" s="1">
        <v>46029</v>
      </c>
      <c r="B81" s="1">
        <v>46029</v>
      </c>
      <c r="C81" t="s">
        <v>38</v>
      </c>
      <c r="D81" t="s">
        <v>39</v>
      </c>
      <c r="E81" t="s">
        <v>40</v>
      </c>
      <c r="F81" t="s">
        <v>41</v>
      </c>
      <c r="G81" t="s">
        <v>42</v>
      </c>
      <c r="H81" t="s">
        <v>43</v>
      </c>
      <c r="I81" t="s">
        <v>303</v>
      </c>
      <c r="J81" t="s">
        <v>304</v>
      </c>
      <c r="M81" t="s">
        <v>46</v>
      </c>
      <c r="O81" t="s">
        <v>67</v>
      </c>
      <c r="P81" t="s">
        <v>68</v>
      </c>
      <c r="Q81" t="s">
        <v>49</v>
      </c>
      <c r="R81" t="s">
        <v>121</v>
      </c>
      <c r="S81" s="1">
        <v>46023</v>
      </c>
      <c r="U81" t="s">
        <v>51</v>
      </c>
      <c r="X81" t="s">
        <v>52</v>
      </c>
      <c r="Y81" s="2">
        <v>0</v>
      </c>
      <c r="Z81" s="2">
        <v>347</v>
      </c>
      <c r="AA81">
        <v>1</v>
      </c>
      <c r="AB81" s="3">
        <v>1</v>
      </c>
      <c r="AC81" s="2">
        <v>347</v>
      </c>
      <c r="AD81" s="3">
        <v>0</v>
      </c>
      <c r="AE81" s="2">
        <v>0</v>
      </c>
      <c r="AF81" s="2">
        <v>347</v>
      </c>
      <c r="AK81">
        <v>6123197</v>
      </c>
      <c r="AL81" t="s">
        <v>122</v>
      </c>
    </row>
    <row r="82" spans="1:38" x14ac:dyDescent="0.25">
      <c r="A82" s="1">
        <v>46029</v>
      </c>
      <c r="B82" s="1">
        <v>46029</v>
      </c>
      <c r="C82" t="s">
        <v>38</v>
      </c>
      <c r="D82" t="s">
        <v>39</v>
      </c>
      <c r="E82" t="s">
        <v>40</v>
      </c>
      <c r="F82" t="s">
        <v>41</v>
      </c>
      <c r="G82" t="s">
        <v>42</v>
      </c>
      <c r="H82" t="s">
        <v>43</v>
      </c>
      <c r="I82" t="s">
        <v>305</v>
      </c>
      <c r="J82" t="s">
        <v>306</v>
      </c>
      <c r="M82" t="s">
        <v>204</v>
      </c>
      <c r="O82" t="s">
        <v>205</v>
      </c>
      <c r="P82" t="s">
        <v>206</v>
      </c>
      <c r="Q82" t="s">
        <v>49</v>
      </c>
      <c r="R82" t="s">
        <v>121</v>
      </c>
      <c r="S82" s="1">
        <v>46023</v>
      </c>
      <c r="U82" t="s">
        <v>51</v>
      </c>
      <c r="X82" t="s">
        <v>52</v>
      </c>
      <c r="Y82" s="2">
        <v>0</v>
      </c>
      <c r="Z82" s="2">
        <v>347</v>
      </c>
      <c r="AA82">
        <v>1</v>
      </c>
      <c r="AB82" s="3">
        <v>1</v>
      </c>
      <c r="AC82" s="2">
        <v>347</v>
      </c>
      <c r="AD82" s="3">
        <v>0</v>
      </c>
      <c r="AE82" s="2">
        <v>0</v>
      </c>
      <c r="AF82" s="2">
        <v>347</v>
      </c>
      <c r="AK82">
        <v>6123198</v>
      </c>
      <c r="AL82" t="s">
        <v>122</v>
      </c>
    </row>
    <row r="83" spans="1:38" x14ac:dyDescent="0.25">
      <c r="A83" s="1">
        <v>46029</v>
      </c>
      <c r="B83" s="1">
        <v>46029</v>
      </c>
      <c r="C83" t="s">
        <v>38</v>
      </c>
      <c r="D83" t="s">
        <v>39</v>
      </c>
      <c r="E83" t="s">
        <v>40</v>
      </c>
      <c r="F83" t="s">
        <v>41</v>
      </c>
      <c r="G83" t="s">
        <v>42</v>
      </c>
      <c r="H83" t="s">
        <v>43</v>
      </c>
      <c r="I83" t="s">
        <v>307</v>
      </c>
      <c r="J83" t="s">
        <v>308</v>
      </c>
      <c r="M83" t="s">
        <v>309</v>
      </c>
      <c r="O83" t="s">
        <v>77</v>
      </c>
      <c r="P83" t="s">
        <v>78</v>
      </c>
      <c r="Q83" t="s">
        <v>49</v>
      </c>
      <c r="R83" t="s">
        <v>121</v>
      </c>
      <c r="S83" s="1">
        <v>46023</v>
      </c>
      <c r="U83" t="s">
        <v>51</v>
      </c>
      <c r="X83" t="s">
        <v>52</v>
      </c>
      <c r="Y83" s="2">
        <v>0</v>
      </c>
      <c r="Z83" s="2">
        <v>347</v>
      </c>
      <c r="AA83">
        <v>1</v>
      </c>
      <c r="AB83" s="3">
        <v>1</v>
      </c>
      <c r="AC83" s="2">
        <v>347</v>
      </c>
      <c r="AD83" s="3">
        <v>0</v>
      </c>
      <c r="AE83" s="2">
        <v>0</v>
      </c>
      <c r="AF83" s="2">
        <v>347</v>
      </c>
      <c r="AK83">
        <v>6123199</v>
      </c>
      <c r="AL83" t="s">
        <v>122</v>
      </c>
    </row>
    <row r="84" spans="1:38" x14ac:dyDescent="0.25">
      <c r="A84" s="1">
        <v>46029</v>
      </c>
      <c r="B84" s="1">
        <v>46029</v>
      </c>
      <c r="C84" t="s">
        <v>38</v>
      </c>
      <c r="D84" t="s">
        <v>39</v>
      </c>
      <c r="E84" t="s">
        <v>40</v>
      </c>
      <c r="F84" t="s">
        <v>41</v>
      </c>
      <c r="G84" t="s">
        <v>42</v>
      </c>
      <c r="H84" t="s">
        <v>43</v>
      </c>
      <c r="I84" t="s">
        <v>310</v>
      </c>
      <c r="J84" t="s">
        <v>311</v>
      </c>
      <c r="M84" t="s">
        <v>46</v>
      </c>
      <c r="O84" t="s">
        <v>312</v>
      </c>
      <c r="P84" t="s">
        <v>313</v>
      </c>
      <c r="Q84" t="s">
        <v>49</v>
      </c>
      <c r="R84" t="s">
        <v>121</v>
      </c>
      <c r="S84" s="1">
        <v>46023</v>
      </c>
      <c r="U84" t="s">
        <v>51</v>
      </c>
      <c r="X84" t="s">
        <v>52</v>
      </c>
      <c r="Y84" s="2">
        <v>0</v>
      </c>
      <c r="Z84" s="2">
        <v>347</v>
      </c>
      <c r="AA84">
        <v>1</v>
      </c>
      <c r="AB84" s="3">
        <v>1</v>
      </c>
      <c r="AC84" s="2">
        <v>347</v>
      </c>
      <c r="AD84" s="3">
        <v>0</v>
      </c>
      <c r="AE84" s="2">
        <v>0</v>
      </c>
      <c r="AF84" s="2">
        <v>347</v>
      </c>
      <c r="AK84">
        <v>6123200</v>
      </c>
      <c r="AL84" t="s">
        <v>122</v>
      </c>
    </row>
    <row r="85" spans="1:38" x14ac:dyDescent="0.25">
      <c r="A85" s="1">
        <v>46029</v>
      </c>
      <c r="B85" s="1">
        <v>46029</v>
      </c>
      <c r="C85" t="s">
        <v>38</v>
      </c>
      <c r="D85" t="s">
        <v>39</v>
      </c>
      <c r="E85" t="s">
        <v>40</v>
      </c>
      <c r="F85" t="s">
        <v>41</v>
      </c>
      <c r="G85" t="s">
        <v>42</v>
      </c>
      <c r="H85" t="s">
        <v>43</v>
      </c>
      <c r="I85" t="s">
        <v>314</v>
      </c>
      <c r="J85" t="s">
        <v>315</v>
      </c>
      <c r="M85" t="s">
        <v>71</v>
      </c>
      <c r="O85" t="s">
        <v>284</v>
      </c>
      <c r="P85" t="s">
        <v>285</v>
      </c>
      <c r="Q85" t="s">
        <v>49</v>
      </c>
      <c r="R85" t="s">
        <v>189</v>
      </c>
      <c r="S85" s="1">
        <v>46023</v>
      </c>
      <c r="U85" t="s">
        <v>51</v>
      </c>
      <c r="X85" t="s">
        <v>52</v>
      </c>
      <c r="Y85" s="2">
        <v>0</v>
      </c>
      <c r="Z85" s="2">
        <v>233</v>
      </c>
      <c r="AA85">
        <v>1</v>
      </c>
      <c r="AB85" s="3">
        <v>1</v>
      </c>
      <c r="AC85" s="2">
        <v>233</v>
      </c>
      <c r="AD85" s="3">
        <v>0</v>
      </c>
      <c r="AE85" s="2">
        <v>0</v>
      </c>
      <c r="AF85" s="2">
        <v>233</v>
      </c>
      <c r="AK85">
        <v>6123201</v>
      </c>
      <c r="AL85" t="s">
        <v>122</v>
      </c>
    </row>
    <row r="86" spans="1:38" x14ac:dyDescent="0.25">
      <c r="A86" s="1">
        <v>46029</v>
      </c>
      <c r="B86" s="1">
        <v>46029</v>
      </c>
      <c r="C86" t="s">
        <v>38</v>
      </c>
      <c r="D86" t="s">
        <v>39</v>
      </c>
      <c r="E86" t="s">
        <v>40</v>
      </c>
      <c r="F86" t="s">
        <v>41</v>
      </c>
      <c r="G86" t="s">
        <v>42</v>
      </c>
      <c r="H86" t="s">
        <v>43</v>
      </c>
      <c r="I86" t="s">
        <v>316</v>
      </c>
      <c r="J86" t="s">
        <v>317</v>
      </c>
      <c r="M86" t="s">
        <v>46</v>
      </c>
      <c r="O86" t="s">
        <v>192</v>
      </c>
      <c r="P86" t="s">
        <v>193</v>
      </c>
      <c r="Q86" t="s">
        <v>49</v>
      </c>
      <c r="R86" t="s">
        <v>178</v>
      </c>
      <c r="S86" s="1">
        <v>46023</v>
      </c>
      <c r="U86" t="s">
        <v>51</v>
      </c>
      <c r="X86" t="s">
        <v>52</v>
      </c>
      <c r="Y86" s="2">
        <v>0</v>
      </c>
      <c r="Z86" s="2">
        <v>203</v>
      </c>
      <c r="AA86">
        <v>1</v>
      </c>
      <c r="AB86" s="3">
        <v>1</v>
      </c>
      <c r="AC86" s="2">
        <v>203</v>
      </c>
      <c r="AD86" s="3">
        <v>0</v>
      </c>
      <c r="AE86" s="2">
        <v>0</v>
      </c>
      <c r="AF86" s="2">
        <v>203</v>
      </c>
      <c r="AK86">
        <v>6123202</v>
      </c>
      <c r="AL86" t="s">
        <v>122</v>
      </c>
    </row>
    <row r="87" spans="1:38" x14ac:dyDescent="0.25">
      <c r="A87" s="1">
        <v>46029</v>
      </c>
      <c r="B87" s="1">
        <v>46029</v>
      </c>
      <c r="C87" t="s">
        <v>38</v>
      </c>
      <c r="D87" t="s">
        <v>39</v>
      </c>
      <c r="E87" t="s">
        <v>40</v>
      </c>
      <c r="F87" t="s">
        <v>41</v>
      </c>
      <c r="G87" t="s">
        <v>42</v>
      </c>
      <c r="H87" t="s">
        <v>43</v>
      </c>
      <c r="I87" t="s">
        <v>318</v>
      </c>
      <c r="J87" t="s">
        <v>319</v>
      </c>
      <c r="M87" t="s">
        <v>271</v>
      </c>
      <c r="O87" t="s">
        <v>312</v>
      </c>
      <c r="P87" t="s">
        <v>313</v>
      </c>
      <c r="Q87" t="s">
        <v>49</v>
      </c>
      <c r="R87" t="s">
        <v>121</v>
      </c>
      <c r="S87" s="1">
        <v>46023</v>
      </c>
      <c r="U87" t="s">
        <v>51</v>
      </c>
      <c r="X87" t="s">
        <v>52</v>
      </c>
      <c r="Y87" s="2">
        <v>0</v>
      </c>
      <c r="Z87" s="2">
        <v>347</v>
      </c>
      <c r="AA87">
        <v>1</v>
      </c>
      <c r="AB87" s="3">
        <v>1</v>
      </c>
      <c r="AC87" s="2">
        <v>347</v>
      </c>
      <c r="AD87" s="3">
        <v>0</v>
      </c>
      <c r="AE87" s="2">
        <v>0</v>
      </c>
      <c r="AF87" s="2">
        <v>347</v>
      </c>
      <c r="AK87">
        <v>6123203</v>
      </c>
      <c r="AL87" t="s">
        <v>122</v>
      </c>
    </row>
    <row r="88" spans="1:38" x14ac:dyDescent="0.25">
      <c r="A88" s="1">
        <v>46029</v>
      </c>
      <c r="B88" s="1">
        <v>46029</v>
      </c>
      <c r="C88" t="s">
        <v>38</v>
      </c>
      <c r="D88" t="s">
        <v>39</v>
      </c>
      <c r="E88" t="s">
        <v>40</v>
      </c>
      <c r="F88" t="s">
        <v>41</v>
      </c>
      <c r="G88" t="s">
        <v>42</v>
      </c>
      <c r="H88" t="s">
        <v>43</v>
      </c>
      <c r="I88" t="s">
        <v>320</v>
      </c>
      <c r="J88" t="s">
        <v>321</v>
      </c>
      <c r="M88" t="s">
        <v>223</v>
      </c>
      <c r="O88" t="s">
        <v>94</v>
      </c>
      <c r="P88" t="s">
        <v>95</v>
      </c>
      <c r="Q88" t="s">
        <v>49</v>
      </c>
      <c r="R88" t="s">
        <v>121</v>
      </c>
      <c r="S88" s="1">
        <v>46023</v>
      </c>
      <c r="U88" t="s">
        <v>51</v>
      </c>
      <c r="X88" t="s">
        <v>52</v>
      </c>
      <c r="Y88" s="2">
        <v>0</v>
      </c>
      <c r="Z88" s="2">
        <v>347</v>
      </c>
      <c r="AA88">
        <v>1</v>
      </c>
      <c r="AB88" s="3">
        <v>1</v>
      </c>
      <c r="AC88" s="2">
        <v>347</v>
      </c>
      <c r="AD88" s="3">
        <v>0</v>
      </c>
      <c r="AE88" s="2">
        <v>0</v>
      </c>
      <c r="AF88" s="2">
        <v>347</v>
      </c>
      <c r="AK88">
        <v>6123204</v>
      </c>
      <c r="AL88" t="s">
        <v>122</v>
      </c>
    </row>
    <row r="89" spans="1:38" x14ac:dyDescent="0.25">
      <c r="A89" s="1">
        <v>46029</v>
      </c>
      <c r="B89" s="1">
        <v>46029</v>
      </c>
      <c r="C89" t="s">
        <v>38</v>
      </c>
      <c r="D89" t="s">
        <v>39</v>
      </c>
      <c r="E89" t="s">
        <v>40</v>
      </c>
      <c r="F89" t="s">
        <v>41</v>
      </c>
      <c r="G89" t="s">
        <v>42</v>
      </c>
      <c r="H89" t="s">
        <v>43</v>
      </c>
      <c r="I89" t="s">
        <v>322</v>
      </c>
      <c r="J89" t="s">
        <v>323</v>
      </c>
      <c r="M89" t="s">
        <v>204</v>
      </c>
      <c r="O89" t="s">
        <v>324</v>
      </c>
      <c r="P89" t="s">
        <v>325</v>
      </c>
      <c r="Q89" t="s">
        <v>49</v>
      </c>
      <c r="R89" t="s">
        <v>121</v>
      </c>
      <c r="S89" s="1">
        <v>46023</v>
      </c>
      <c r="U89" t="s">
        <v>51</v>
      </c>
      <c r="X89" t="s">
        <v>52</v>
      </c>
      <c r="Y89" s="2">
        <v>0</v>
      </c>
      <c r="Z89" s="2">
        <v>347</v>
      </c>
      <c r="AA89">
        <v>1</v>
      </c>
      <c r="AB89" s="3">
        <v>1</v>
      </c>
      <c r="AC89" s="2">
        <v>347</v>
      </c>
      <c r="AD89" s="3">
        <v>0</v>
      </c>
      <c r="AE89" s="2">
        <v>0</v>
      </c>
      <c r="AF89" s="2">
        <v>347</v>
      </c>
      <c r="AK89">
        <v>6123206</v>
      </c>
      <c r="AL89" t="s">
        <v>122</v>
      </c>
    </row>
    <row r="90" spans="1:38" x14ac:dyDescent="0.25">
      <c r="A90" s="1">
        <v>46029</v>
      </c>
      <c r="B90" s="1">
        <v>46029</v>
      </c>
      <c r="C90" t="s">
        <v>38</v>
      </c>
      <c r="D90" t="s">
        <v>39</v>
      </c>
      <c r="E90" t="s">
        <v>40</v>
      </c>
      <c r="F90" t="s">
        <v>41</v>
      </c>
      <c r="G90" t="s">
        <v>42</v>
      </c>
      <c r="H90" t="s">
        <v>43</v>
      </c>
      <c r="I90" t="s">
        <v>326</v>
      </c>
      <c r="J90" t="s">
        <v>327</v>
      </c>
      <c r="M90" t="s">
        <v>46</v>
      </c>
      <c r="O90" t="s">
        <v>67</v>
      </c>
      <c r="P90" t="s">
        <v>68</v>
      </c>
      <c r="Q90" t="s">
        <v>49</v>
      </c>
      <c r="R90" t="s">
        <v>121</v>
      </c>
      <c r="S90" s="1">
        <v>46023</v>
      </c>
      <c r="U90" t="s">
        <v>51</v>
      </c>
      <c r="X90" t="s">
        <v>52</v>
      </c>
      <c r="Y90" s="2">
        <v>0</v>
      </c>
      <c r="Z90" s="2">
        <v>347</v>
      </c>
      <c r="AA90">
        <v>1</v>
      </c>
      <c r="AB90" s="3">
        <v>1</v>
      </c>
      <c r="AC90" s="2">
        <v>347</v>
      </c>
      <c r="AD90" s="3">
        <v>0</v>
      </c>
      <c r="AE90" s="2">
        <v>0</v>
      </c>
      <c r="AF90" s="2">
        <v>347</v>
      </c>
      <c r="AK90">
        <v>6123207</v>
      </c>
      <c r="AL90" t="s">
        <v>122</v>
      </c>
    </row>
    <row r="91" spans="1:38" x14ac:dyDescent="0.25">
      <c r="A91" s="1">
        <v>46029</v>
      </c>
      <c r="B91" s="1">
        <v>46029</v>
      </c>
      <c r="C91" t="s">
        <v>38</v>
      </c>
      <c r="D91" t="s">
        <v>39</v>
      </c>
      <c r="E91" t="s">
        <v>40</v>
      </c>
      <c r="F91" t="s">
        <v>41</v>
      </c>
      <c r="G91" t="s">
        <v>42</v>
      </c>
      <c r="H91" t="s">
        <v>43</v>
      </c>
      <c r="I91" t="s">
        <v>328</v>
      </c>
      <c r="J91" t="s">
        <v>329</v>
      </c>
      <c r="M91" t="s">
        <v>204</v>
      </c>
      <c r="O91" t="s">
        <v>205</v>
      </c>
      <c r="P91" t="s">
        <v>206</v>
      </c>
      <c r="Q91" t="s">
        <v>49</v>
      </c>
      <c r="R91" t="s">
        <v>121</v>
      </c>
      <c r="S91" s="1">
        <v>46023</v>
      </c>
      <c r="U91" t="s">
        <v>51</v>
      </c>
      <c r="X91" t="s">
        <v>52</v>
      </c>
      <c r="Y91" s="2">
        <v>0</v>
      </c>
      <c r="Z91" s="2">
        <v>347</v>
      </c>
      <c r="AA91">
        <v>1</v>
      </c>
      <c r="AB91" s="3">
        <v>1</v>
      </c>
      <c r="AC91" s="2">
        <v>347</v>
      </c>
      <c r="AD91" s="3">
        <v>0</v>
      </c>
      <c r="AE91" s="2">
        <v>0</v>
      </c>
      <c r="AF91" s="2">
        <v>347</v>
      </c>
      <c r="AK91">
        <v>6123208</v>
      </c>
      <c r="AL91" t="s">
        <v>122</v>
      </c>
    </row>
    <row r="92" spans="1:38" x14ac:dyDescent="0.25">
      <c r="A92" s="1">
        <v>46029</v>
      </c>
      <c r="B92" s="1">
        <v>46029</v>
      </c>
      <c r="C92" t="s">
        <v>38</v>
      </c>
      <c r="D92" t="s">
        <v>39</v>
      </c>
      <c r="E92" t="s">
        <v>40</v>
      </c>
      <c r="F92" t="s">
        <v>41</v>
      </c>
      <c r="G92" t="s">
        <v>42</v>
      </c>
      <c r="H92" t="s">
        <v>43</v>
      </c>
      <c r="I92" t="s">
        <v>330</v>
      </c>
      <c r="J92" t="s">
        <v>331</v>
      </c>
      <c r="M92" t="s">
        <v>86</v>
      </c>
      <c r="O92" t="s">
        <v>87</v>
      </c>
      <c r="P92" t="s">
        <v>88</v>
      </c>
      <c r="Q92" t="s">
        <v>49</v>
      </c>
      <c r="R92" t="s">
        <v>121</v>
      </c>
      <c r="S92" s="1">
        <v>46023</v>
      </c>
      <c r="U92" t="s">
        <v>51</v>
      </c>
      <c r="X92" t="s">
        <v>52</v>
      </c>
      <c r="Y92" s="2">
        <v>0</v>
      </c>
      <c r="Z92" s="2">
        <v>347</v>
      </c>
      <c r="AA92">
        <v>1</v>
      </c>
      <c r="AB92" s="3">
        <v>1</v>
      </c>
      <c r="AC92" s="2">
        <v>347</v>
      </c>
      <c r="AD92" s="3">
        <v>0</v>
      </c>
      <c r="AE92" s="2">
        <v>0</v>
      </c>
      <c r="AF92" s="2">
        <v>347</v>
      </c>
      <c r="AK92">
        <v>6123209</v>
      </c>
      <c r="AL92" t="s">
        <v>122</v>
      </c>
    </row>
    <row r="93" spans="1:38" x14ac:dyDescent="0.25">
      <c r="A93" s="1">
        <v>46029</v>
      </c>
      <c r="B93" s="1">
        <v>46029</v>
      </c>
      <c r="C93" t="s">
        <v>38</v>
      </c>
      <c r="D93" t="s">
        <v>39</v>
      </c>
      <c r="E93" t="s">
        <v>40</v>
      </c>
      <c r="F93" t="s">
        <v>41</v>
      </c>
      <c r="G93" t="s">
        <v>42</v>
      </c>
      <c r="H93" t="s">
        <v>43</v>
      </c>
      <c r="I93" t="s">
        <v>332</v>
      </c>
      <c r="J93" t="s">
        <v>333</v>
      </c>
      <c r="M93" t="s">
        <v>66</v>
      </c>
      <c r="O93" t="s">
        <v>67</v>
      </c>
      <c r="P93" t="s">
        <v>68</v>
      </c>
      <c r="Q93" t="s">
        <v>49</v>
      </c>
      <c r="R93" t="s">
        <v>178</v>
      </c>
      <c r="S93" s="1">
        <v>46023</v>
      </c>
      <c r="U93" t="s">
        <v>51</v>
      </c>
      <c r="X93" t="s">
        <v>52</v>
      </c>
      <c r="Y93" s="2">
        <v>0</v>
      </c>
      <c r="Z93" s="2">
        <v>203</v>
      </c>
      <c r="AA93">
        <v>1</v>
      </c>
      <c r="AB93" s="3">
        <v>1</v>
      </c>
      <c r="AC93" s="2">
        <v>203</v>
      </c>
      <c r="AD93" s="3">
        <v>0</v>
      </c>
      <c r="AE93" s="2">
        <v>0</v>
      </c>
      <c r="AF93" s="2">
        <v>203</v>
      </c>
      <c r="AK93">
        <v>6123210</v>
      </c>
      <c r="AL93" t="s">
        <v>122</v>
      </c>
    </row>
    <row r="94" spans="1:38" x14ac:dyDescent="0.25">
      <c r="A94" s="1">
        <v>46029</v>
      </c>
      <c r="B94" s="1">
        <v>46029</v>
      </c>
      <c r="C94" t="s">
        <v>38</v>
      </c>
      <c r="D94" t="s">
        <v>39</v>
      </c>
      <c r="E94" t="s">
        <v>40</v>
      </c>
      <c r="F94" t="s">
        <v>41</v>
      </c>
      <c r="G94" t="s">
        <v>42</v>
      </c>
      <c r="H94" t="s">
        <v>43</v>
      </c>
      <c r="I94" t="s">
        <v>334</v>
      </c>
      <c r="J94" t="s">
        <v>335</v>
      </c>
      <c r="M94" t="s">
        <v>66</v>
      </c>
      <c r="O94" t="s">
        <v>224</v>
      </c>
      <c r="P94" t="s">
        <v>225</v>
      </c>
      <c r="Q94" t="s">
        <v>49</v>
      </c>
      <c r="R94" t="s">
        <v>121</v>
      </c>
      <c r="S94" s="1">
        <v>46023</v>
      </c>
      <c r="U94" t="s">
        <v>51</v>
      </c>
      <c r="X94" t="s">
        <v>52</v>
      </c>
      <c r="Y94" s="2">
        <v>0</v>
      </c>
      <c r="Z94" s="2">
        <v>347</v>
      </c>
      <c r="AA94">
        <v>1</v>
      </c>
      <c r="AB94" s="3">
        <v>1</v>
      </c>
      <c r="AC94" s="2">
        <v>347</v>
      </c>
      <c r="AD94" s="3">
        <v>0</v>
      </c>
      <c r="AE94" s="2">
        <v>0</v>
      </c>
      <c r="AF94" s="2">
        <v>347</v>
      </c>
      <c r="AK94">
        <v>6123211</v>
      </c>
      <c r="AL94" t="s">
        <v>122</v>
      </c>
    </row>
    <row r="95" spans="1:38" x14ac:dyDescent="0.25">
      <c r="A95" s="1">
        <v>46029</v>
      </c>
      <c r="B95" s="1">
        <v>46029</v>
      </c>
      <c r="C95" t="s">
        <v>38</v>
      </c>
      <c r="D95" t="s">
        <v>39</v>
      </c>
      <c r="E95" t="s">
        <v>40</v>
      </c>
      <c r="F95" t="s">
        <v>41</v>
      </c>
      <c r="G95" t="s">
        <v>42</v>
      </c>
      <c r="H95" t="s">
        <v>43</v>
      </c>
      <c r="I95" t="s">
        <v>336</v>
      </c>
      <c r="J95" t="s">
        <v>337</v>
      </c>
      <c r="M95" t="s">
        <v>223</v>
      </c>
      <c r="O95" t="s">
        <v>94</v>
      </c>
      <c r="P95" t="s">
        <v>95</v>
      </c>
      <c r="Q95" t="s">
        <v>49</v>
      </c>
      <c r="R95" t="s">
        <v>121</v>
      </c>
      <c r="S95" s="1">
        <v>46023</v>
      </c>
      <c r="U95" t="s">
        <v>51</v>
      </c>
      <c r="X95" t="s">
        <v>52</v>
      </c>
      <c r="Y95" s="2">
        <v>0</v>
      </c>
      <c r="Z95" s="2">
        <v>347</v>
      </c>
      <c r="AA95">
        <v>1</v>
      </c>
      <c r="AB95" s="3">
        <v>1</v>
      </c>
      <c r="AC95" s="2">
        <v>347</v>
      </c>
      <c r="AD95" s="3">
        <v>0</v>
      </c>
      <c r="AE95" s="2">
        <v>0</v>
      </c>
      <c r="AF95" s="2">
        <v>347</v>
      </c>
      <c r="AK95">
        <v>6123213</v>
      </c>
      <c r="AL95" t="s">
        <v>122</v>
      </c>
    </row>
    <row r="96" spans="1:38" x14ac:dyDescent="0.25">
      <c r="A96" s="1">
        <v>46029</v>
      </c>
      <c r="B96" s="1">
        <v>46029</v>
      </c>
      <c r="C96" t="s">
        <v>38</v>
      </c>
      <c r="D96" t="s">
        <v>39</v>
      </c>
      <c r="E96" t="s">
        <v>40</v>
      </c>
      <c r="F96" t="s">
        <v>41</v>
      </c>
      <c r="G96" t="s">
        <v>42</v>
      </c>
      <c r="H96" t="s">
        <v>43</v>
      </c>
      <c r="I96" t="s">
        <v>338</v>
      </c>
      <c r="J96" t="s">
        <v>339</v>
      </c>
      <c r="M96" t="s">
        <v>46</v>
      </c>
      <c r="O96" t="s">
        <v>94</v>
      </c>
      <c r="P96" t="s">
        <v>95</v>
      </c>
      <c r="Q96" t="s">
        <v>49</v>
      </c>
      <c r="R96" t="s">
        <v>178</v>
      </c>
      <c r="S96" s="1">
        <v>46023</v>
      </c>
      <c r="U96" t="s">
        <v>51</v>
      </c>
      <c r="X96" t="s">
        <v>52</v>
      </c>
      <c r="Y96" s="2">
        <v>0</v>
      </c>
      <c r="Z96" s="2">
        <v>203</v>
      </c>
      <c r="AA96">
        <v>1</v>
      </c>
      <c r="AB96" s="3">
        <v>1</v>
      </c>
      <c r="AC96" s="2">
        <v>203</v>
      </c>
      <c r="AD96" s="3">
        <v>0</v>
      </c>
      <c r="AE96" s="2">
        <v>0</v>
      </c>
      <c r="AF96" s="2">
        <v>203</v>
      </c>
      <c r="AK96">
        <v>6123214</v>
      </c>
      <c r="AL96" t="s">
        <v>122</v>
      </c>
    </row>
    <row r="97" spans="1:38" x14ac:dyDescent="0.25">
      <c r="A97" s="1">
        <v>46029</v>
      </c>
      <c r="B97" s="1">
        <v>46029</v>
      </c>
      <c r="C97" t="s">
        <v>38</v>
      </c>
      <c r="D97" t="s">
        <v>39</v>
      </c>
      <c r="E97" t="s">
        <v>40</v>
      </c>
      <c r="F97" t="s">
        <v>41</v>
      </c>
      <c r="G97" t="s">
        <v>42</v>
      </c>
      <c r="H97" t="s">
        <v>43</v>
      </c>
      <c r="I97" t="s">
        <v>340</v>
      </c>
      <c r="J97" t="s">
        <v>341</v>
      </c>
      <c r="M97" t="s">
        <v>204</v>
      </c>
      <c r="O97" t="s">
        <v>67</v>
      </c>
      <c r="P97" t="s">
        <v>68</v>
      </c>
      <c r="Q97" t="s">
        <v>49</v>
      </c>
      <c r="R97" t="s">
        <v>121</v>
      </c>
      <c r="S97" s="1">
        <v>46023</v>
      </c>
      <c r="U97" t="s">
        <v>51</v>
      </c>
      <c r="X97" t="s">
        <v>52</v>
      </c>
      <c r="Y97" s="2">
        <v>0</v>
      </c>
      <c r="Z97" s="2">
        <v>347</v>
      </c>
      <c r="AA97">
        <v>1</v>
      </c>
      <c r="AB97" s="3">
        <v>1</v>
      </c>
      <c r="AC97" s="2">
        <v>347</v>
      </c>
      <c r="AD97" s="3">
        <v>0</v>
      </c>
      <c r="AE97" s="2">
        <v>0</v>
      </c>
      <c r="AF97" s="2">
        <v>347</v>
      </c>
      <c r="AK97">
        <v>6123215</v>
      </c>
      <c r="AL97" t="s">
        <v>122</v>
      </c>
    </row>
    <row r="98" spans="1:38" x14ac:dyDescent="0.25">
      <c r="A98" s="1">
        <v>46029</v>
      </c>
      <c r="B98" s="1">
        <v>46029</v>
      </c>
      <c r="C98" t="s">
        <v>38</v>
      </c>
      <c r="D98" t="s">
        <v>39</v>
      </c>
      <c r="E98" t="s">
        <v>40</v>
      </c>
      <c r="F98" t="s">
        <v>41</v>
      </c>
      <c r="G98" t="s">
        <v>42</v>
      </c>
      <c r="H98" t="s">
        <v>43</v>
      </c>
      <c r="I98" t="s">
        <v>342</v>
      </c>
      <c r="J98" t="s">
        <v>343</v>
      </c>
      <c r="M98" t="s">
        <v>86</v>
      </c>
      <c r="O98" t="s">
        <v>94</v>
      </c>
      <c r="P98" t="s">
        <v>95</v>
      </c>
      <c r="Q98" t="s">
        <v>49</v>
      </c>
      <c r="R98" t="s">
        <v>121</v>
      </c>
      <c r="S98" s="1">
        <v>46023</v>
      </c>
      <c r="U98" t="s">
        <v>51</v>
      </c>
      <c r="X98" t="s">
        <v>52</v>
      </c>
      <c r="Y98" s="2">
        <v>0</v>
      </c>
      <c r="Z98" s="2">
        <v>347</v>
      </c>
      <c r="AA98">
        <v>1</v>
      </c>
      <c r="AB98" s="3">
        <v>1</v>
      </c>
      <c r="AC98" s="2">
        <v>347</v>
      </c>
      <c r="AD98" s="3">
        <v>0</v>
      </c>
      <c r="AE98" s="2">
        <v>0</v>
      </c>
      <c r="AF98" s="2">
        <v>347</v>
      </c>
      <c r="AK98">
        <v>6123216</v>
      </c>
      <c r="AL98" t="s">
        <v>122</v>
      </c>
    </row>
    <row r="99" spans="1:38" x14ac:dyDescent="0.25">
      <c r="A99" s="1">
        <v>46029</v>
      </c>
      <c r="B99" s="1">
        <v>46029</v>
      </c>
      <c r="C99" t="s">
        <v>38</v>
      </c>
      <c r="D99" t="s">
        <v>39</v>
      </c>
      <c r="E99" t="s">
        <v>40</v>
      </c>
      <c r="F99" t="s">
        <v>41</v>
      </c>
      <c r="G99" t="s">
        <v>42</v>
      </c>
      <c r="H99" t="s">
        <v>43</v>
      </c>
      <c r="I99" t="s">
        <v>344</v>
      </c>
      <c r="J99" t="s">
        <v>345</v>
      </c>
      <c r="M99" t="s">
        <v>46</v>
      </c>
      <c r="O99" t="s">
        <v>176</v>
      </c>
      <c r="P99" t="s">
        <v>177</v>
      </c>
      <c r="Q99" t="s">
        <v>49</v>
      </c>
      <c r="R99" t="s">
        <v>121</v>
      </c>
      <c r="S99" s="1">
        <v>46023</v>
      </c>
      <c r="U99" t="s">
        <v>51</v>
      </c>
      <c r="X99" t="s">
        <v>52</v>
      </c>
      <c r="Y99" s="2">
        <v>0</v>
      </c>
      <c r="Z99" s="2">
        <v>347</v>
      </c>
      <c r="AA99">
        <v>1</v>
      </c>
      <c r="AB99" s="3">
        <v>1</v>
      </c>
      <c r="AC99" s="2">
        <v>347</v>
      </c>
      <c r="AD99" s="3">
        <v>0</v>
      </c>
      <c r="AE99" s="2">
        <v>0</v>
      </c>
      <c r="AF99" s="2">
        <v>347</v>
      </c>
      <c r="AK99">
        <v>6123217</v>
      </c>
      <c r="AL99" t="s">
        <v>122</v>
      </c>
    </row>
    <row r="100" spans="1:38" x14ac:dyDescent="0.25">
      <c r="A100" s="1">
        <v>46029</v>
      </c>
      <c r="B100" s="1">
        <v>46029</v>
      </c>
      <c r="C100" t="s">
        <v>38</v>
      </c>
      <c r="D100" t="s">
        <v>39</v>
      </c>
      <c r="E100" t="s">
        <v>40</v>
      </c>
      <c r="F100" t="s">
        <v>41</v>
      </c>
      <c r="G100" t="s">
        <v>42</v>
      </c>
      <c r="H100" t="s">
        <v>43</v>
      </c>
      <c r="I100" t="s">
        <v>346</v>
      </c>
      <c r="J100" t="s">
        <v>347</v>
      </c>
      <c r="M100" t="s">
        <v>71</v>
      </c>
      <c r="O100" t="s">
        <v>348</v>
      </c>
      <c r="P100" t="s">
        <v>349</v>
      </c>
      <c r="Q100" t="s">
        <v>49</v>
      </c>
      <c r="R100" t="s">
        <v>189</v>
      </c>
      <c r="S100" s="1">
        <v>46023</v>
      </c>
      <c r="U100" t="s">
        <v>51</v>
      </c>
      <c r="X100" t="s">
        <v>52</v>
      </c>
      <c r="Y100" s="2">
        <v>0</v>
      </c>
      <c r="Z100" s="2">
        <v>233</v>
      </c>
      <c r="AA100">
        <v>1</v>
      </c>
      <c r="AB100" s="3">
        <v>1</v>
      </c>
      <c r="AC100" s="2">
        <v>233</v>
      </c>
      <c r="AD100" s="3">
        <v>0</v>
      </c>
      <c r="AE100" s="2">
        <v>0</v>
      </c>
      <c r="AF100" s="2">
        <v>233</v>
      </c>
      <c r="AK100">
        <v>6123218</v>
      </c>
      <c r="AL100" t="s">
        <v>122</v>
      </c>
    </row>
    <row r="101" spans="1:38" x14ac:dyDescent="0.25">
      <c r="A101" s="1">
        <v>46029</v>
      </c>
      <c r="B101" s="1">
        <v>46029</v>
      </c>
      <c r="C101" t="s">
        <v>38</v>
      </c>
      <c r="D101" t="s">
        <v>39</v>
      </c>
      <c r="E101" t="s">
        <v>40</v>
      </c>
      <c r="F101" t="s">
        <v>41</v>
      </c>
      <c r="G101" t="s">
        <v>42</v>
      </c>
      <c r="H101" t="s">
        <v>43</v>
      </c>
      <c r="I101" t="s">
        <v>350</v>
      </c>
      <c r="J101" t="s">
        <v>347</v>
      </c>
      <c r="M101" t="s">
        <v>71</v>
      </c>
      <c r="O101" t="s">
        <v>348</v>
      </c>
      <c r="P101" t="s">
        <v>349</v>
      </c>
      <c r="Q101" t="s">
        <v>49</v>
      </c>
      <c r="R101" t="s">
        <v>351</v>
      </c>
      <c r="S101" s="1">
        <v>46023</v>
      </c>
      <c r="U101" t="s">
        <v>51</v>
      </c>
      <c r="X101" t="s">
        <v>52</v>
      </c>
      <c r="Y101" s="2">
        <v>0</v>
      </c>
      <c r="Z101" s="2">
        <v>113</v>
      </c>
      <c r="AA101">
        <v>1</v>
      </c>
      <c r="AB101" s="3">
        <v>1</v>
      </c>
      <c r="AC101" s="2">
        <v>113</v>
      </c>
      <c r="AD101" s="3">
        <v>0</v>
      </c>
      <c r="AE101" s="2">
        <v>0</v>
      </c>
      <c r="AF101" s="2">
        <v>113</v>
      </c>
      <c r="AK101">
        <v>6123219</v>
      </c>
    </row>
    <row r="102" spans="1:38" x14ac:dyDescent="0.25">
      <c r="A102" s="1">
        <v>46029</v>
      </c>
      <c r="B102" s="1">
        <v>46029</v>
      </c>
      <c r="C102" t="s">
        <v>38</v>
      </c>
      <c r="D102" t="s">
        <v>39</v>
      </c>
      <c r="E102" t="s">
        <v>40</v>
      </c>
      <c r="F102" t="s">
        <v>41</v>
      </c>
      <c r="G102" t="s">
        <v>42</v>
      </c>
      <c r="H102" t="s">
        <v>43</v>
      </c>
      <c r="I102" t="s">
        <v>352</v>
      </c>
      <c r="J102" t="s">
        <v>353</v>
      </c>
      <c r="M102" t="s">
        <v>86</v>
      </c>
      <c r="O102" t="s">
        <v>87</v>
      </c>
      <c r="P102" t="s">
        <v>88</v>
      </c>
      <c r="Q102" t="s">
        <v>49</v>
      </c>
      <c r="R102" t="s">
        <v>121</v>
      </c>
      <c r="S102" s="1">
        <v>46023</v>
      </c>
      <c r="U102" t="s">
        <v>51</v>
      </c>
      <c r="X102" t="s">
        <v>52</v>
      </c>
      <c r="Y102" s="2">
        <v>0</v>
      </c>
      <c r="Z102" s="2">
        <v>347</v>
      </c>
      <c r="AA102">
        <v>1</v>
      </c>
      <c r="AB102" s="3">
        <v>1</v>
      </c>
      <c r="AC102" s="2">
        <v>347</v>
      </c>
      <c r="AD102" s="3">
        <v>0</v>
      </c>
      <c r="AE102" s="2">
        <v>0</v>
      </c>
      <c r="AF102" s="2">
        <v>347</v>
      </c>
      <c r="AK102">
        <v>6123220</v>
      </c>
      <c r="AL102" t="s">
        <v>122</v>
      </c>
    </row>
    <row r="103" spans="1:38" x14ac:dyDescent="0.25">
      <c r="A103" s="1">
        <v>46029</v>
      </c>
      <c r="B103" s="1">
        <v>46029</v>
      </c>
      <c r="C103" t="s">
        <v>38</v>
      </c>
      <c r="D103" t="s">
        <v>39</v>
      </c>
      <c r="E103" t="s">
        <v>40</v>
      </c>
      <c r="F103" t="s">
        <v>41</v>
      </c>
      <c r="G103" t="s">
        <v>42</v>
      </c>
      <c r="H103" t="s">
        <v>43</v>
      </c>
      <c r="I103" t="s">
        <v>354</v>
      </c>
      <c r="J103" t="s">
        <v>355</v>
      </c>
      <c r="M103" t="s">
        <v>71</v>
      </c>
      <c r="O103" t="s">
        <v>356</v>
      </c>
      <c r="P103" t="s">
        <v>357</v>
      </c>
      <c r="Q103" t="s">
        <v>49</v>
      </c>
      <c r="R103" t="s">
        <v>243</v>
      </c>
      <c r="S103" s="1">
        <v>46023</v>
      </c>
      <c r="U103" t="s">
        <v>51</v>
      </c>
      <c r="X103" t="s">
        <v>52</v>
      </c>
      <c r="Y103" s="2">
        <v>0</v>
      </c>
      <c r="Z103" s="2">
        <v>391</v>
      </c>
      <c r="AA103">
        <v>1</v>
      </c>
      <c r="AB103" s="3">
        <v>1</v>
      </c>
      <c r="AC103" s="2">
        <v>391</v>
      </c>
      <c r="AD103" s="3">
        <v>0</v>
      </c>
      <c r="AE103" s="2">
        <v>0</v>
      </c>
      <c r="AF103" s="2">
        <v>391</v>
      </c>
      <c r="AK103">
        <v>6123221</v>
      </c>
      <c r="AL103" t="s">
        <v>122</v>
      </c>
    </row>
    <row r="104" spans="1:38" x14ac:dyDescent="0.25">
      <c r="A104" s="1">
        <v>46029</v>
      </c>
      <c r="B104" s="1">
        <v>46029</v>
      </c>
      <c r="C104" t="s">
        <v>38</v>
      </c>
      <c r="D104" t="s">
        <v>39</v>
      </c>
      <c r="E104" t="s">
        <v>40</v>
      </c>
      <c r="F104" t="s">
        <v>41</v>
      </c>
      <c r="G104" t="s">
        <v>42</v>
      </c>
      <c r="H104" t="s">
        <v>43</v>
      </c>
      <c r="I104" t="s">
        <v>358</v>
      </c>
      <c r="J104" t="s">
        <v>359</v>
      </c>
      <c r="M104" t="s">
        <v>86</v>
      </c>
      <c r="O104" t="s">
        <v>219</v>
      </c>
      <c r="P104" t="s">
        <v>220</v>
      </c>
      <c r="Q104" t="s">
        <v>49</v>
      </c>
      <c r="R104" t="s">
        <v>121</v>
      </c>
      <c r="S104" s="1">
        <v>46023</v>
      </c>
      <c r="U104" t="s">
        <v>51</v>
      </c>
      <c r="X104" t="s">
        <v>52</v>
      </c>
      <c r="Y104" s="2">
        <v>0</v>
      </c>
      <c r="Z104" s="2">
        <v>347</v>
      </c>
      <c r="AA104">
        <v>1</v>
      </c>
      <c r="AB104" s="3">
        <v>1</v>
      </c>
      <c r="AC104" s="2">
        <v>347</v>
      </c>
      <c r="AD104" s="3">
        <v>0</v>
      </c>
      <c r="AE104" s="2">
        <v>0</v>
      </c>
      <c r="AF104" s="2">
        <v>347</v>
      </c>
      <c r="AK104">
        <v>6123222</v>
      </c>
      <c r="AL104" t="s">
        <v>122</v>
      </c>
    </row>
    <row r="105" spans="1:38" x14ac:dyDescent="0.25">
      <c r="A105" s="1">
        <v>46029</v>
      </c>
      <c r="B105" s="1">
        <v>46029</v>
      </c>
      <c r="C105" t="s">
        <v>38</v>
      </c>
      <c r="D105" t="s">
        <v>39</v>
      </c>
      <c r="E105" t="s">
        <v>40</v>
      </c>
      <c r="F105" t="s">
        <v>41</v>
      </c>
      <c r="G105" t="s">
        <v>42</v>
      </c>
      <c r="H105" t="s">
        <v>43</v>
      </c>
      <c r="I105" t="s">
        <v>360</v>
      </c>
      <c r="J105" t="s">
        <v>361</v>
      </c>
      <c r="M105" t="s">
        <v>46</v>
      </c>
      <c r="O105" t="s">
        <v>94</v>
      </c>
      <c r="P105" t="s">
        <v>95</v>
      </c>
      <c r="Q105" t="s">
        <v>49</v>
      </c>
      <c r="R105" t="s">
        <v>121</v>
      </c>
      <c r="S105" s="1">
        <v>46023</v>
      </c>
      <c r="U105" t="s">
        <v>51</v>
      </c>
      <c r="X105" t="s">
        <v>52</v>
      </c>
      <c r="Y105" s="2">
        <v>0</v>
      </c>
      <c r="Z105" s="2">
        <v>347</v>
      </c>
      <c r="AA105">
        <v>1</v>
      </c>
      <c r="AB105" s="3">
        <v>1</v>
      </c>
      <c r="AC105" s="2">
        <v>347</v>
      </c>
      <c r="AD105" s="3">
        <v>0</v>
      </c>
      <c r="AE105" s="2">
        <v>0</v>
      </c>
      <c r="AF105" s="2">
        <v>347</v>
      </c>
      <c r="AK105">
        <v>6123223</v>
      </c>
      <c r="AL105" t="s">
        <v>122</v>
      </c>
    </row>
    <row r="106" spans="1:38" x14ac:dyDescent="0.25">
      <c r="A106" s="1">
        <v>46029</v>
      </c>
      <c r="B106" s="1">
        <v>46029</v>
      </c>
      <c r="C106" t="s">
        <v>38</v>
      </c>
      <c r="D106" t="s">
        <v>39</v>
      </c>
      <c r="E106" t="s">
        <v>40</v>
      </c>
      <c r="F106" t="s">
        <v>41</v>
      </c>
      <c r="G106" t="s">
        <v>42</v>
      </c>
      <c r="H106" t="s">
        <v>43</v>
      </c>
      <c r="I106" t="s">
        <v>362</v>
      </c>
      <c r="J106" t="s">
        <v>363</v>
      </c>
      <c r="M106" t="s">
        <v>71</v>
      </c>
      <c r="O106" t="s">
        <v>255</v>
      </c>
      <c r="P106" t="s">
        <v>256</v>
      </c>
      <c r="Q106" t="s">
        <v>49</v>
      </c>
      <c r="R106" t="s">
        <v>189</v>
      </c>
      <c r="S106" s="1">
        <v>46023</v>
      </c>
      <c r="U106" t="s">
        <v>51</v>
      </c>
      <c r="X106" t="s">
        <v>52</v>
      </c>
      <c r="Y106" s="2">
        <v>0</v>
      </c>
      <c r="Z106" s="2">
        <v>233</v>
      </c>
      <c r="AA106">
        <v>1</v>
      </c>
      <c r="AB106" s="3">
        <v>1</v>
      </c>
      <c r="AC106" s="2">
        <v>233</v>
      </c>
      <c r="AD106" s="3">
        <v>0</v>
      </c>
      <c r="AE106" s="2">
        <v>0</v>
      </c>
      <c r="AF106" s="2">
        <v>233</v>
      </c>
      <c r="AK106">
        <v>6123224</v>
      </c>
      <c r="AL106" t="s">
        <v>122</v>
      </c>
    </row>
    <row r="107" spans="1:38" x14ac:dyDescent="0.25">
      <c r="A107" s="1">
        <v>46029</v>
      </c>
      <c r="B107" s="1">
        <v>46029</v>
      </c>
      <c r="C107" t="s">
        <v>38</v>
      </c>
      <c r="D107" t="s">
        <v>39</v>
      </c>
      <c r="E107" t="s">
        <v>40</v>
      </c>
      <c r="F107" t="s">
        <v>41</v>
      </c>
      <c r="G107" t="s">
        <v>42</v>
      </c>
      <c r="H107" t="s">
        <v>43</v>
      </c>
      <c r="I107" t="s">
        <v>364</v>
      </c>
      <c r="J107" t="s">
        <v>365</v>
      </c>
      <c r="M107" t="s">
        <v>46</v>
      </c>
      <c r="O107" t="s">
        <v>110</v>
      </c>
      <c r="P107" t="s">
        <v>111</v>
      </c>
      <c r="Q107" t="s">
        <v>49</v>
      </c>
      <c r="R107" t="s">
        <v>248</v>
      </c>
      <c r="S107" s="1">
        <v>46023</v>
      </c>
      <c r="U107" t="s">
        <v>51</v>
      </c>
      <c r="X107" t="s">
        <v>52</v>
      </c>
      <c r="Y107" s="2">
        <v>0</v>
      </c>
      <c r="Z107" s="2">
        <v>313</v>
      </c>
      <c r="AA107">
        <v>1</v>
      </c>
      <c r="AB107" s="3">
        <v>1</v>
      </c>
      <c r="AC107" s="2">
        <v>313</v>
      </c>
      <c r="AD107" s="3">
        <v>0</v>
      </c>
      <c r="AE107" s="2">
        <v>0</v>
      </c>
      <c r="AF107" s="2">
        <v>313</v>
      </c>
      <c r="AK107">
        <v>6123225</v>
      </c>
      <c r="AL107" t="s">
        <v>122</v>
      </c>
    </row>
    <row r="108" spans="1:38" x14ac:dyDescent="0.25">
      <c r="A108" s="1">
        <v>46029</v>
      </c>
      <c r="B108" s="1">
        <v>46029</v>
      </c>
      <c r="C108" t="s">
        <v>38</v>
      </c>
      <c r="D108" t="s">
        <v>39</v>
      </c>
      <c r="E108" t="s">
        <v>40</v>
      </c>
      <c r="F108" t="s">
        <v>41</v>
      </c>
      <c r="G108" t="s">
        <v>42</v>
      </c>
      <c r="H108" t="s">
        <v>43</v>
      </c>
      <c r="I108" t="s">
        <v>366</v>
      </c>
      <c r="J108" t="s">
        <v>367</v>
      </c>
      <c r="M108" t="s">
        <v>46</v>
      </c>
      <c r="O108" t="s">
        <v>192</v>
      </c>
      <c r="P108" t="s">
        <v>193</v>
      </c>
      <c r="Q108" t="s">
        <v>49</v>
      </c>
      <c r="R108" t="s">
        <v>178</v>
      </c>
      <c r="S108" s="1">
        <v>46023</v>
      </c>
      <c r="U108" t="s">
        <v>51</v>
      </c>
      <c r="X108" t="s">
        <v>52</v>
      </c>
      <c r="Y108" s="2">
        <v>0</v>
      </c>
      <c r="Z108" s="2">
        <v>203</v>
      </c>
      <c r="AA108">
        <v>1</v>
      </c>
      <c r="AB108" s="3">
        <v>1</v>
      </c>
      <c r="AC108" s="2">
        <v>203</v>
      </c>
      <c r="AD108" s="3">
        <v>0</v>
      </c>
      <c r="AE108" s="2">
        <v>0</v>
      </c>
      <c r="AF108" s="2">
        <v>203</v>
      </c>
      <c r="AK108">
        <v>6123226</v>
      </c>
      <c r="AL108" t="s">
        <v>122</v>
      </c>
    </row>
    <row r="109" spans="1:38" x14ac:dyDescent="0.25">
      <c r="A109" s="1">
        <v>46029</v>
      </c>
      <c r="B109" s="1">
        <v>46029</v>
      </c>
      <c r="C109" t="s">
        <v>38</v>
      </c>
      <c r="D109" t="s">
        <v>39</v>
      </c>
      <c r="E109" t="s">
        <v>40</v>
      </c>
      <c r="F109" t="s">
        <v>41</v>
      </c>
      <c r="G109" t="s">
        <v>42</v>
      </c>
      <c r="H109" t="s">
        <v>43</v>
      </c>
      <c r="I109" t="s">
        <v>368</v>
      </c>
      <c r="J109" t="s">
        <v>369</v>
      </c>
      <c r="M109" t="s">
        <v>71</v>
      </c>
      <c r="O109" t="s">
        <v>72</v>
      </c>
      <c r="P109" t="s">
        <v>73</v>
      </c>
      <c r="Q109" t="s">
        <v>49</v>
      </c>
      <c r="R109" t="s">
        <v>243</v>
      </c>
      <c r="S109" s="1">
        <v>46023</v>
      </c>
      <c r="U109" t="s">
        <v>51</v>
      </c>
      <c r="X109" t="s">
        <v>52</v>
      </c>
      <c r="Y109" s="2">
        <v>0</v>
      </c>
      <c r="Z109" s="2">
        <v>391</v>
      </c>
      <c r="AA109">
        <v>1</v>
      </c>
      <c r="AB109" s="3">
        <v>1</v>
      </c>
      <c r="AC109" s="2">
        <v>391</v>
      </c>
      <c r="AD109" s="3">
        <v>0</v>
      </c>
      <c r="AE109" s="2">
        <v>0</v>
      </c>
      <c r="AF109" s="2">
        <v>391</v>
      </c>
      <c r="AK109">
        <v>6123227</v>
      </c>
      <c r="AL109" t="s">
        <v>122</v>
      </c>
    </row>
    <row r="110" spans="1:38" x14ac:dyDescent="0.25">
      <c r="A110" s="1">
        <v>46029</v>
      </c>
      <c r="B110" s="1">
        <v>46029</v>
      </c>
      <c r="C110" t="s">
        <v>38</v>
      </c>
      <c r="D110" t="s">
        <v>39</v>
      </c>
      <c r="E110" t="s">
        <v>40</v>
      </c>
      <c r="F110" t="s">
        <v>41</v>
      </c>
      <c r="G110" t="s">
        <v>42</v>
      </c>
      <c r="H110" t="s">
        <v>43</v>
      </c>
      <c r="I110" t="s">
        <v>370</v>
      </c>
      <c r="J110" t="s">
        <v>371</v>
      </c>
      <c r="M110" t="s">
        <v>46</v>
      </c>
      <c r="O110" t="s">
        <v>176</v>
      </c>
      <c r="P110" t="s">
        <v>177</v>
      </c>
      <c r="Q110" t="s">
        <v>49</v>
      </c>
      <c r="R110" t="s">
        <v>121</v>
      </c>
      <c r="S110" s="1">
        <v>46023</v>
      </c>
      <c r="U110" t="s">
        <v>51</v>
      </c>
      <c r="X110" t="s">
        <v>52</v>
      </c>
      <c r="Y110" s="2">
        <v>0</v>
      </c>
      <c r="Z110" s="2">
        <v>347</v>
      </c>
      <c r="AA110">
        <v>1</v>
      </c>
      <c r="AB110" s="3">
        <v>1</v>
      </c>
      <c r="AC110" s="2">
        <v>347</v>
      </c>
      <c r="AD110" s="3">
        <v>0</v>
      </c>
      <c r="AE110" s="2">
        <v>0</v>
      </c>
      <c r="AF110" s="2">
        <v>347</v>
      </c>
      <c r="AK110">
        <v>6123228</v>
      </c>
      <c r="AL110" t="s">
        <v>122</v>
      </c>
    </row>
    <row r="111" spans="1:38" x14ac:dyDescent="0.25">
      <c r="A111" s="1">
        <v>46029</v>
      </c>
      <c r="B111" s="1">
        <v>46029</v>
      </c>
      <c r="C111" t="s">
        <v>38</v>
      </c>
      <c r="D111" t="s">
        <v>39</v>
      </c>
      <c r="E111" t="s">
        <v>40</v>
      </c>
      <c r="F111" t="s">
        <v>41</v>
      </c>
      <c r="G111" t="s">
        <v>42</v>
      </c>
      <c r="H111" t="s">
        <v>43</v>
      </c>
      <c r="I111" t="s">
        <v>372</v>
      </c>
      <c r="J111" t="s">
        <v>373</v>
      </c>
      <c r="M111" t="s">
        <v>46</v>
      </c>
      <c r="O111" t="s">
        <v>176</v>
      </c>
      <c r="P111" t="s">
        <v>177</v>
      </c>
      <c r="Q111" t="s">
        <v>49</v>
      </c>
      <c r="R111" t="s">
        <v>178</v>
      </c>
      <c r="S111" s="1">
        <v>46023</v>
      </c>
      <c r="U111" t="s">
        <v>51</v>
      </c>
      <c r="X111" t="s">
        <v>52</v>
      </c>
      <c r="Y111" s="2">
        <v>0</v>
      </c>
      <c r="Z111" s="2">
        <v>203</v>
      </c>
      <c r="AA111">
        <v>1</v>
      </c>
      <c r="AB111" s="3">
        <v>1</v>
      </c>
      <c r="AC111" s="2">
        <v>203</v>
      </c>
      <c r="AD111" s="3">
        <v>0</v>
      </c>
      <c r="AE111" s="2">
        <v>0</v>
      </c>
      <c r="AF111" s="2">
        <v>203</v>
      </c>
      <c r="AK111">
        <v>6123229</v>
      </c>
      <c r="AL111" t="s">
        <v>122</v>
      </c>
    </row>
    <row r="112" spans="1:38" x14ac:dyDescent="0.25">
      <c r="A112" s="1">
        <v>46029</v>
      </c>
      <c r="B112" s="1">
        <v>46029</v>
      </c>
      <c r="C112" t="s">
        <v>38</v>
      </c>
      <c r="D112" t="s">
        <v>39</v>
      </c>
      <c r="E112" t="s">
        <v>40</v>
      </c>
      <c r="F112" t="s">
        <v>41</v>
      </c>
      <c r="G112" t="s">
        <v>42</v>
      </c>
      <c r="H112" t="s">
        <v>43</v>
      </c>
      <c r="I112" t="s">
        <v>374</v>
      </c>
      <c r="J112" t="s">
        <v>375</v>
      </c>
      <c r="M112" t="s">
        <v>118</v>
      </c>
      <c r="O112" t="s">
        <v>94</v>
      </c>
      <c r="P112" t="s">
        <v>95</v>
      </c>
      <c r="Q112" t="s">
        <v>49</v>
      </c>
      <c r="R112" t="s">
        <v>121</v>
      </c>
      <c r="S112" s="1">
        <v>46023</v>
      </c>
      <c r="U112" t="s">
        <v>51</v>
      </c>
      <c r="X112" t="s">
        <v>52</v>
      </c>
      <c r="Y112" s="2">
        <v>0</v>
      </c>
      <c r="Z112" s="2">
        <v>347</v>
      </c>
      <c r="AA112">
        <v>1</v>
      </c>
      <c r="AB112" s="3">
        <v>1</v>
      </c>
      <c r="AC112" s="2">
        <v>347</v>
      </c>
      <c r="AD112" s="3">
        <v>0</v>
      </c>
      <c r="AE112" s="2">
        <v>0</v>
      </c>
      <c r="AF112" s="2">
        <v>347</v>
      </c>
      <c r="AK112">
        <v>6123230</v>
      </c>
      <c r="AL112" t="s">
        <v>122</v>
      </c>
    </row>
    <row r="113" spans="1:38" x14ac:dyDescent="0.25">
      <c r="A113" s="1">
        <v>46029</v>
      </c>
      <c r="B113" s="1">
        <v>46029</v>
      </c>
      <c r="C113" t="s">
        <v>38</v>
      </c>
      <c r="D113" t="s">
        <v>39</v>
      </c>
      <c r="E113" t="s">
        <v>40</v>
      </c>
      <c r="F113" t="s">
        <v>41</v>
      </c>
      <c r="G113" t="s">
        <v>42</v>
      </c>
      <c r="H113" t="s">
        <v>43</v>
      </c>
      <c r="I113" t="s">
        <v>376</v>
      </c>
      <c r="J113" t="s">
        <v>377</v>
      </c>
      <c r="M113" t="s">
        <v>46</v>
      </c>
      <c r="O113" t="s">
        <v>239</v>
      </c>
      <c r="P113" t="s">
        <v>240</v>
      </c>
      <c r="Q113" t="s">
        <v>49</v>
      </c>
      <c r="R113" t="s">
        <v>121</v>
      </c>
      <c r="S113" s="1">
        <v>46023</v>
      </c>
      <c r="U113" t="s">
        <v>51</v>
      </c>
      <c r="X113" t="s">
        <v>52</v>
      </c>
      <c r="Y113" s="2">
        <v>0</v>
      </c>
      <c r="Z113" s="2">
        <v>347</v>
      </c>
      <c r="AA113">
        <v>1</v>
      </c>
      <c r="AB113" s="3">
        <v>1</v>
      </c>
      <c r="AC113" s="2">
        <v>347</v>
      </c>
      <c r="AD113" s="3">
        <v>0</v>
      </c>
      <c r="AE113" s="2">
        <v>0</v>
      </c>
      <c r="AF113" s="2">
        <v>347</v>
      </c>
      <c r="AK113">
        <v>6123231</v>
      </c>
      <c r="AL113" t="s">
        <v>122</v>
      </c>
    </row>
    <row r="114" spans="1:38" x14ac:dyDescent="0.25">
      <c r="A114" s="1">
        <v>46029</v>
      </c>
      <c r="B114" s="1">
        <v>46029</v>
      </c>
      <c r="C114" t="s">
        <v>38</v>
      </c>
      <c r="D114" t="s">
        <v>39</v>
      </c>
      <c r="E114" t="s">
        <v>40</v>
      </c>
      <c r="F114" t="s">
        <v>41</v>
      </c>
      <c r="G114" t="s">
        <v>42</v>
      </c>
      <c r="H114" t="s">
        <v>43</v>
      </c>
      <c r="I114" t="s">
        <v>378</v>
      </c>
      <c r="J114" t="s">
        <v>379</v>
      </c>
      <c r="M114" t="s">
        <v>204</v>
      </c>
      <c r="O114" t="s">
        <v>205</v>
      </c>
      <c r="P114" t="s">
        <v>206</v>
      </c>
      <c r="Q114" t="s">
        <v>49</v>
      </c>
      <c r="R114" t="s">
        <v>121</v>
      </c>
      <c r="S114" s="1">
        <v>46023</v>
      </c>
      <c r="U114" t="s">
        <v>51</v>
      </c>
      <c r="X114" t="s">
        <v>52</v>
      </c>
      <c r="Y114" s="2">
        <v>0</v>
      </c>
      <c r="Z114" s="2">
        <v>347</v>
      </c>
      <c r="AA114">
        <v>1</v>
      </c>
      <c r="AB114" s="3">
        <v>1</v>
      </c>
      <c r="AC114" s="2">
        <v>347</v>
      </c>
      <c r="AD114" s="3">
        <v>0</v>
      </c>
      <c r="AE114" s="2">
        <v>0</v>
      </c>
      <c r="AF114" s="2">
        <v>347</v>
      </c>
      <c r="AK114">
        <v>6123232</v>
      </c>
      <c r="AL114" t="s">
        <v>122</v>
      </c>
    </row>
    <row r="115" spans="1:38" x14ac:dyDescent="0.25">
      <c r="A115" s="1">
        <v>46029</v>
      </c>
      <c r="B115" s="1">
        <v>46029</v>
      </c>
      <c r="C115" t="s">
        <v>38</v>
      </c>
      <c r="D115" t="s">
        <v>39</v>
      </c>
      <c r="E115" t="s">
        <v>40</v>
      </c>
      <c r="F115" t="s">
        <v>41</v>
      </c>
      <c r="G115" t="s">
        <v>42</v>
      </c>
      <c r="H115" t="s">
        <v>43</v>
      </c>
      <c r="I115" t="s">
        <v>380</v>
      </c>
      <c r="J115" t="s">
        <v>381</v>
      </c>
      <c r="M115" t="s">
        <v>196</v>
      </c>
      <c r="O115" t="s">
        <v>197</v>
      </c>
      <c r="P115" t="s">
        <v>198</v>
      </c>
      <c r="Q115" t="s">
        <v>49</v>
      </c>
      <c r="R115" t="s">
        <v>121</v>
      </c>
      <c r="S115" s="1">
        <v>46023</v>
      </c>
      <c r="U115" t="s">
        <v>51</v>
      </c>
      <c r="X115" t="s">
        <v>52</v>
      </c>
      <c r="Y115" s="2">
        <v>0</v>
      </c>
      <c r="Z115" s="2">
        <v>347</v>
      </c>
      <c r="AA115">
        <v>1</v>
      </c>
      <c r="AB115" s="3">
        <v>1</v>
      </c>
      <c r="AC115" s="2">
        <v>347</v>
      </c>
      <c r="AD115" s="3">
        <v>0</v>
      </c>
      <c r="AE115" s="2">
        <v>0</v>
      </c>
      <c r="AF115" s="2">
        <v>347</v>
      </c>
      <c r="AK115">
        <v>6123233</v>
      </c>
      <c r="AL115" t="s">
        <v>122</v>
      </c>
    </row>
    <row r="116" spans="1:38" x14ac:dyDescent="0.25">
      <c r="A116" s="1">
        <v>46029</v>
      </c>
      <c r="B116" s="1">
        <v>46029</v>
      </c>
      <c r="C116" t="s">
        <v>38</v>
      </c>
      <c r="D116" t="s">
        <v>39</v>
      </c>
      <c r="E116" t="s">
        <v>40</v>
      </c>
      <c r="F116" t="s">
        <v>41</v>
      </c>
      <c r="G116" t="s">
        <v>42</v>
      </c>
      <c r="H116" t="s">
        <v>43</v>
      </c>
      <c r="I116" t="s">
        <v>382</v>
      </c>
      <c r="J116" t="s">
        <v>383</v>
      </c>
      <c r="M116" t="s">
        <v>71</v>
      </c>
      <c r="O116" t="s">
        <v>284</v>
      </c>
      <c r="P116" t="s">
        <v>285</v>
      </c>
      <c r="Q116" t="s">
        <v>49</v>
      </c>
      <c r="R116" t="s">
        <v>189</v>
      </c>
      <c r="S116" s="1">
        <v>46023</v>
      </c>
      <c r="U116" t="s">
        <v>51</v>
      </c>
      <c r="X116" t="s">
        <v>52</v>
      </c>
      <c r="Y116" s="2">
        <v>0</v>
      </c>
      <c r="Z116" s="2">
        <v>233</v>
      </c>
      <c r="AA116">
        <v>1</v>
      </c>
      <c r="AB116" s="3">
        <v>1</v>
      </c>
      <c r="AC116" s="2">
        <v>233</v>
      </c>
      <c r="AD116" s="3">
        <v>0</v>
      </c>
      <c r="AE116" s="2">
        <v>0</v>
      </c>
      <c r="AF116" s="2">
        <v>233</v>
      </c>
      <c r="AK116">
        <v>6123234</v>
      </c>
      <c r="AL116" t="s">
        <v>122</v>
      </c>
    </row>
    <row r="117" spans="1:38" x14ac:dyDescent="0.25">
      <c r="A117" s="1">
        <v>46029</v>
      </c>
      <c r="B117" s="1">
        <v>46029</v>
      </c>
      <c r="C117" t="s">
        <v>38</v>
      </c>
      <c r="D117" t="s">
        <v>39</v>
      </c>
      <c r="E117" t="s">
        <v>40</v>
      </c>
      <c r="F117" t="s">
        <v>41</v>
      </c>
      <c r="G117" t="s">
        <v>42</v>
      </c>
      <c r="H117" t="s">
        <v>43</v>
      </c>
      <c r="I117" t="s">
        <v>384</v>
      </c>
      <c r="J117" t="s">
        <v>385</v>
      </c>
      <c r="M117" t="s">
        <v>386</v>
      </c>
      <c r="O117" t="s">
        <v>94</v>
      </c>
      <c r="P117" t="s">
        <v>95</v>
      </c>
      <c r="Q117" t="s">
        <v>49</v>
      </c>
      <c r="R117" t="s">
        <v>121</v>
      </c>
      <c r="S117" s="1">
        <v>46023</v>
      </c>
      <c r="U117" t="s">
        <v>51</v>
      </c>
      <c r="X117" t="s">
        <v>52</v>
      </c>
      <c r="Y117" s="2">
        <v>0</v>
      </c>
      <c r="Z117" s="2">
        <v>347</v>
      </c>
      <c r="AA117">
        <v>1</v>
      </c>
      <c r="AB117" s="3">
        <v>1</v>
      </c>
      <c r="AC117" s="2">
        <v>347</v>
      </c>
      <c r="AD117" s="3">
        <v>0</v>
      </c>
      <c r="AE117" s="2">
        <v>0</v>
      </c>
      <c r="AF117" s="2">
        <v>347</v>
      </c>
      <c r="AK117">
        <v>6123235</v>
      </c>
      <c r="AL117" t="s">
        <v>122</v>
      </c>
    </row>
    <row r="118" spans="1:38" x14ac:dyDescent="0.25">
      <c r="A118" s="1">
        <v>46029</v>
      </c>
      <c r="B118" s="1">
        <v>46029</v>
      </c>
      <c r="C118" t="s">
        <v>38</v>
      </c>
      <c r="D118" t="s">
        <v>39</v>
      </c>
      <c r="E118" t="s">
        <v>40</v>
      </c>
      <c r="F118" t="s">
        <v>41</v>
      </c>
      <c r="G118" t="s">
        <v>42</v>
      </c>
      <c r="H118" t="s">
        <v>43</v>
      </c>
      <c r="I118" t="s">
        <v>387</v>
      </c>
      <c r="J118" t="s">
        <v>388</v>
      </c>
      <c r="M118" t="s">
        <v>389</v>
      </c>
      <c r="O118" t="s">
        <v>390</v>
      </c>
      <c r="P118" t="s">
        <v>391</v>
      </c>
      <c r="Q118" t="s">
        <v>49</v>
      </c>
      <c r="R118" t="s">
        <v>121</v>
      </c>
      <c r="S118" s="1">
        <v>46082</v>
      </c>
      <c r="U118" t="s">
        <v>51</v>
      </c>
      <c r="X118" t="s">
        <v>52</v>
      </c>
      <c r="Y118" s="2">
        <v>0</v>
      </c>
      <c r="Z118" s="2">
        <v>289.17</v>
      </c>
      <c r="AA118">
        <v>1</v>
      </c>
      <c r="AB118" s="3">
        <v>1</v>
      </c>
      <c r="AC118" s="2">
        <v>289.17</v>
      </c>
      <c r="AD118" s="3">
        <v>0</v>
      </c>
      <c r="AE118" s="2">
        <v>0</v>
      </c>
      <c r="AF118" s="2">
        <v>289.17</v>
      </c>
      <c r="AK118">
        <v>6123236</v>
      </c>
      <c r="AL118" t="s">
        <v>392</v>
      </c>
    </row>
    <row r="119" spans="1:38" x14ac:dyDescent="0.25">
      <c r="A119" s="1">
        <v>46029</v>
      </c>
      <c r="B119" s="1">
        <v>46029</v>
      </c>
      <c r="C119" t="s">
        <v>38</v>
      </c>
      <c r="D119" t="s">
        <v>39</v>
      </c>
      <c r="E119" t="s">
        <v>40</v>
      </c>
      <c r="F119" t="s">
        <v>41</v>
      </c>
      <c r="G119" t="s">
        <v>42</v>
      </c>
      <c r="H119" t="s">
        <v>43</v>
      </c>
      <c r="I119" t="s">
        <v>393</v>
      </c>
      <c r="J119" t="s">
        <v>394</v>
      </c>
      <c r="M119" t="s">
        <v>46</v>
      </c>
      <c r="O119" t="s">
        <v>183</v>
      </c>
      <c r="P119" t="s">
        <v>184</v>
      </c>
      <c r="Q119" t="s">
        <v>49</v>
      </c>
      <c r="R119" t="s">
        <v>121</v>
      </c>
      <c r="S119" s="1">
        <v>46023</v>
      </c>
      <c r="U119" t="s">
        <v>51</v>
      </c>
      <c r="X119" t="s">
        <v>52</v>
      </c>
      <c r="Y119" s="2">
        <v>0</v>
      </c>
      <c r="Z119" s="2">
        <v>347</v>
      </c>
      <c r="AA119">
        <v>1</v>
      </c>
      <c r="AB119" s="3">
        <v>1</v>
      </c>
      <c r="AC119" s="2">
        <v>347</v>
      </c>
      <c r="AD119" s="3">
        <v>0</v>
      </c>
      <c r="AE119" s="2">
        <v>0</v>
      </c>
      <c r="AF119" s="2">
        <v>347</v>
      </c>
      <c r="AK119">
        <v>6123237</v>
      </c>
      <c r="AL119" t="s">
        <v>122</v>
      </c>
    </row>
    <row r="120" spans="1:38" x14ac:dyDescent="0.25">
      <c r="A120" s="1">
        <v>46029</v>
      </c>
      <c r="B120" s="1">
        <v>46029</v>
      </c>
      <c r="C120" t="s">
        <v>38</v>
      </c>
      <c r="D120" t="s">
        <v>39</v>
      </c>
      <c r="E120" t="s">
        <v>40</v>
      </c>
      <c r="F120" t="s">
        <v>41</v>
      </c>
      <c r="G120" t="s">
        <v>42</v>
      </c>
      <c r="H120" t="s">
        <v>43</v>
      </c>
      <c r="I120" t="s">
        <v>395</v>
      </c>
      <c r="J120" t="s">
        <v>396</v>
      </c>
      <c r="M120" t="s">
        <v>271</v>
      </c>
      <c r="O120" t="s">
        <v>312</v>
      </c>
      <c r="P120" t="s">
        <v>313</v>
      </c>
      <c r="Q120" t="s">
        <v>49</v>
      </c>
      <c r="R120" t="s">
        <v>121</v>
      </c>
      <c r="S120" s="1">
        <v>46023</v>
      </c>
      <c r="U120" t="s">
        <v>51</v>
      </c>
      <c r="X120" t="s">
        <v>52</v>
      </c>
      <c r="Y120" s="2">
        <v>0</v>
      </c>
      <c r="Z120" s="2">
        <v>347</v>
      </c>
      <c r="AA120">
        <v>1</v>
      </c>
      <c r="AB120" s="3">
        <v>1</v>
      </c>
      <c r="AC120" s="2">
        <v>347</v>
      </c>
      <c r="AD120" s="3">
        <v>0</v>
      </c>
      <c r="AE120" s="2">
        <v>0</v>
      </c>
      <c r="AF120" s="2">
        <v>347</v>
      </c>
      <c r="AK120">
        <v>6123238</v>
      </c>
      <c r="AL120" t="s">
        <v>122</v>
      </c>
    </row>
    <row r="121" spans="1:38" x14ac:dyDescent="0.25">
      <c r="A121" s="1">
        <v>46029</v>
      </c>
      <c r="B121" s="1">
        <v>46029</v>
      </c>
      <c r="C121" t="s">
        <v>38</v>
      </c>
      <c r="D121" t="s">
        <v>39</v>
      </c>
      <c r="E121" t="s">
        <v>40</v>
      </c>
      <c r="F121" t="s">
        <v>41</v>
      </c>
      <c r="G121" t="s">
        <v>42</v>
      </c>
      <c r="H121" t="s">
        <v>43</v>
      </c>
      <c r="I121" t="s">
        <v>397</v>
      </c>
      <c r="J121" t="s">
        <v>398</v>
      </c>
      <c r="M121" t="s">
        <v>71</v>
      </c>
      <c r="O121" t="s">
        <v>348</v>
      </c>
      <c r="P121" t="s">
        <v>349</v>
      </c>
      <c r="Q121" t="s">
        <v>49</v>
      </c>
      <c r="R121" t="s">
        <v>189</v>
      </c>
      <c r="S121" s="1">
        <v>46023</v>
      </c>
      <c r="U121" t="s">
        <v>51</v>
      </c>
      <c r="X121" t="s">
        <v>52</v>
      </c>
      <c r="Y121" s="2">
        <v>0</v>
      </c>
      <c r="Z121" s="2">
        <v>233</v>
      </c>
      <c r="AA121">
        <v>1</v>
      </c>
      <c r="AB121" s="3">
        <v>1</v>
      </c>
      <c r="AC121" s="2">
        <v>233</v>
      </c>
      <c r="AD121" s="3">
        <v>0</v>
      </c>
      <c r="AE121" s="2">
        <v>0</v>
      </c>
      <c r="AF121" s="2">
        <v>233</v>
      </c>
      <c r="AK121">
        <v>6123239</v>
      </c>
      <c r="AL121" t="s">
        <v>122</v>
      </c>
    </row>
    <row r="122" spans="1:38" x14ac:dyDescent="0.25">
      <c r="A122" s="1">
        <v>46029</v>
      </c>
      <c r="B122" s="1">
        <v>46029</v>
      </c>
      <c r="C122" t="s">
        <v>38</v>
      </c>
      <c r="D122" t="s">
        <v>39</v>
      </c>
      <c r="E122" t="s">
        <v>40</v>
      </c>
      <c r="F122" t="s">
        <v>41</v>
      </c>
      <c r="G122" t="s">
        <v>42</v>
      </c>
      <c r="H122" t="s">
        <v>43</v>
      </c>
      <c r="I122" t="s">
        <v>399</v>
      </c>
      <c r="J122" t="s">
        <v>400</v>
      </c>
      <c r="M122" t="s">
        <v>204</v>
      </c>
      <c r="O122" t="s">
        <v>205</v>
      </c>
      <c r="P122" t="s">
        <v>206</v>
      </c>
      <c r="Q122" t="s">
        <v>49</v>
      </c>
      <c r="R122" t="s">
        <v>121</v>
      </c>
      <c r="S122" s="1">
        <v>46023</v>
      </c>
      <c r="U122" t="s">
        <v>51</v>
      </c>
      <c r="X122" t="s">
        <v>52</v>
      </c>
      <c r="Y122" s="2">
        <v>0</v>
      </c>
      <c r="Z122" s="2">
        <v>347</v>
      </c>
      <c r="AA122">
        <v>1</v>
      </c>
      <c r="AB122" s="3">
        <v>1</v>
      </c>
      <c r="AC122" s="2">
        <v>347</v>
      </c>
      <c r="AD122" s="3">
        <v>0</v>
      </c>
      <c r="AE122" s="2">
        <v>0</v>
      </c>
      <c r="AF122" s="2">
        <v>347</v>
      </c>
      <c r="AK122">
        <v>6123240</v>
      </c>
      <c r="AL122" t="s">
        <v>122</v>
      </c>
    </row>
    <row r="123" spans="1:38" x14ac:dyDescent="0.25">
      <c r="A123" s="1">
        <v>46029</v>
      </c>
      <c r="B123" s="1">
        <v>46029</v>
      </c>
      <c r="C123" t="s">
        <v>38</v>
      </c>
      <c r="D123" t="s">
        <v>39</v>
      </c>
      <c r="E123" t="s">
        <v>40</v>
      </c>
      <c r="F123" t="s">
        <v>41</v>
      </c>
      <c r="G123" t="s">
        <v>42</v>
      </c>
      <c r="H123" t="s">
        <v>43</v>
      </c>
      <c r="I123" t="s">
        <v>401</v>
      </c>
      <c r="J123" t="s">
        <v>402</v>
      </c>
      <c r="M123" t="s">
        <v>201</v>
      </c>
      <c r="O123" t="s">
        <v>94</v>
      </c>
      <c r="P123" t="s">
        <v>95</v>
      </c>
      <c r="Q123" t="s">
        <v>49</v>
      </c>
      <c r="R123" t="s">
        <v>121</v>
      </c>
      <c r="S123" s="1">
        <v>46023</v>
      </c>
      <c r="U123" t="s">
        <v>51</v>
      </c>
      <c r="X123" t="s">
        <v>52</v>
      </c>
      <c r="Y123" s="2">
        <v>0</v>
      </c>
      <c r="Z123" s="2">
        <v>347</v>
      </c>
      <c r="AA123">
        <v>1</v>
      </c>
      <c r="AB123" s="3">
        <v>1</v>
      </c>
      <c r="AC123" s="2">
        <v>347</v>
      </c>
      <c r="AD123" s="3">
        <v>0</v>
      </c>
      <c r="AE123" s="2">
        <v>0</v>
      </c>
      <c r="AF123" s="2">
        <v>347</v>
      </c>
      <c r="AK123">
        <v>6123241</v>
      </c>
      <c r="AL123" t="s">
        <v>122</v>
      </c>
    </row>
    <row r="124" spans="1:38" x14ac:dyDescent="0.25">
      <c r="A124" s="1">
        <v>46029</v>
      </c>
      <c r="B124" s="1">
        <v>46029</v>
      </c>
      <c r="C124" t="s">
        <v>38</v>
      </c>
      <c r="D124" t="s">
        <v>39</v>
      </c>
      <c r="E124" t="s">
        <v>40</v>
      </c>
      <c r="F124" t="s">
        <v>41</v>
      </c>
      <c r="G124" t="s">
        <v>42</v>
      </c>
      <c r="H124" t="s">
        <v>43</v>
      </c>
      <c r="I124" t="s">
        <v>403</v>
      </c>
      <c r="J124" t="s">
        <v>404</v>
      </c>
      <c r="M124" t="s">
        <v>118</v>
      </c>
      <c r="O124" t="s">
        <v>67</v>
      </c>
      <c r="P124" t="s">
        <v>68</v>
      </c>
      <c r="Q124" t="s">
        <v>49</v>
      </c>
      <c r="R124" t="s">
        <v>178</v>
      </c>
      <c r="S124" s="1">
        <v>46023</v>
      </c>
      <c r="U124" t="s">
        <v>51</v>
      </c>
      <c r="X124" t="s">
        <v>52</v>
      </c>
      <c r="Y124" s="2">
        <v>0</v>
      </c>
      <c r="Z124" s="2">
        <v>203</v>
      </c>
      <c r="AA124">
        <v>1</v>
      </c>
      <c r="AB124" s="3">
        <v>1</v>
      </c>
      <c r="AC124" s="2">
        <v>203</v>
      </c>
      <c r="AD124" s="3">
        <v>0</v>
      </c>
      <c r="AE124" s="2">
        <v>0</v>
      </c>
      <c r="AF124" s="2">
        <v>203</v>
      </c>
      <c r="AK124">
        <v>6123242</v>
      </c>
      <c r="AL124" t="s">
        <v>122</v>
      </c>
    </row>
    <row r="125" spans="1:38" x14ac:dyDescent="0.25">
      <c r="A125" s="1">
        <v>46029</v>
      </c>
      <c r="B125" s="1">
        <v>46029</v>
      </c>
      <c r="C125" t="s">
        <v>38</v>
      </c>
      <c r="D125" t="s">
        <v>39</v>
      </c>
      <c r="E125" t="s">
        <v>40</v>
      </c>
      <c r="F125" t="s">
        <v>41</v>
      </c>
      <c r="G125" t="s">
        <v>42</v>
      </c>
      <c r="H125" t="s">
        <v>43</v>
      </c>
      <c r="I125" t="s">
        <v>405</v>
      </c>
      <c r="J125" t="s">
        <v>406</v>
      </c>
      <c r="M125" t="s">
        <v>386</v>
      </c>
      <c r="O125" t="s">
        <v>94</v>
      </c>
      <c r="P125" t="s">
        <v>95</v>
      </c>
      <c r="Q125" t="s">
        <v>49</v>
      </c>
      <c r="R125" t="s">
        <v>121</v>
      </c>
      <c r="S125" s="1">
        <v>46023</v>
      </c>
      <c r="U125" t="s">
        <v>51</v>
      </c>
      <c r="X125" t="s">
        <v>52</v>
      </c>
      <c r="Y125" s="2">
        <v>0</v>
      </c>
      <c r="Z125" s="2">
        <v>347</v>
      </c>
      <c r="AA125">
        <v>1</v>
      </c>
      <c r="AB125" s="3">
        <v>1</v>
      </c>
      <c r="AC125" s="2">
        <v>347</v>
      </c>
      <c r="AD125" s="3">
        <v>0</v>
      </c>
      <c r="AE125" s="2">
        <v>0</v>
      </c>
      <c r="AF125" s="2">
        <v>347</v>
      </c>
      <c r="AK125">
        <v>6123244</v>
      </c>
      <c r="AL125" t="s">
        <v>122</v>
      </c>
    </row>
    <row r="126" spans="1:38" x14ac:dyDescent="0.25">
      <c r="A126" s="1">
        <v>46029</v>
      </c>
      <c r="B126" s="1">
        <v>46029</v>
      </c>
      <c r="C126" t="s">
        <v>38</v>
      </c>
      <c r="D126" t="s">
        <v>39</v>
      </c>
      <c r="E126" t="s">
        <v>40</v>
      </c>
      <c r="F126" t="s">
        <v>41</v>
      </c>
      <c r="G126" t="s">
        <v>42</v>
      </c>
      <c r="H126" t="s">
        <v>43</v>
      </c>
      <c r="I126" t="s">
        <v>407</v>
      </c>
      <c r="J126" t="s">
        <v>408</v>
      </c>
      <c r="M126" t="s">
        <v>46</v>
      </c>
      <c r="O126" t="s">
        <v>176</v>
      </c>
      <c r="P126" t="s">
        <v>177</v>
      </c>
      <c r="Q126" t="s">
        <v>49</v>
      </c>
      <c r="R126" t="s">
        <v>121</v>
      </c>
      <c r="S126" s="1">
        <v>46023</v>
      </c>
      <c r="U126" t="s">
        <v>51</v>
      </c>
      <c r="X126" t="s">
        <v>52</v>
      </c>
      <c r="Y126" s="2">
        <v>0</v>
      </c>
      <c r="Z126" s="2">
        <v>347</v>
      </c>
      <c r="AA126">
        <v>1</v>
      </c>
      <c r="AB126" s="3">
        <v>1</v>
      </c>
      <c r="AC126" s="2">
        <v>347</v>
      </c>
      <c r="AD126" s="3">
        <v>0</v>
      </c>
      <c r="AE126" s="2">
        <v>0</v>
      </c>
      <c r="AF126" s="2">
        <v>347</v>
      </c>
      <c r="AK126">
        <v>6123245</v>
      </c>
      <c r="AL126" t="s">
        <v>122</v>
      </c>
    </row>
    <row r="127" spans="1:38" x14ac:dyDescent="0.25">
      <c r="A127" s="1">
        <v>46029</v>
      </c>
      <c r="B127" s="1">
        <v>46029</v>
      </c>
      <c r="C127" t="s">
        <v>38</v>
      </c>
      <c r="D127" t="s">
        <v>39</v>
      </c>
      <c r="E127" t="s">
        <v>40</v>
      </c>
      <c r="F127" t="s">
        <v>41</v>
      </c>
      <c r="G127" t="s">
        <v>42</v>
      </c>
      <c r="H127" t="s">
        <v>43</v>
      </c>
      <c r="I127" t="s">
        <v>409</v>
      </c>
      <c r="J127" t="s">
        <v>410</v>
      </c>
      <c r="M127" t="s">
        <v>66</v>
      </c>
      <c r="O127" t="s">
        <v>246</v>
      </c>
      <c r="P127" t="s">
        <v>247</v>
      </c>
      <c r="Q127" t="s">
        <v>49</v>
      </c>
      <c r="R127" t="s">
        <v>121</v>
      </c>
      <c r="S127" s="1">
        <v>46023</v>
      </c>
      <c r="U127" t="s">
        <v>51</v>
      </c>
      <c r="X127" t="s">
        <v>52</v>
      </c>
      <c r="Y127" s="2">
        <v>0</v>
      </c>
      <c r="Z127" s="2">
        <v>347</v>
      </c>
      <c r="AA127">
        <v>1</v>
      </c>
      <c r="AB127" s="3">
        <v>1</v>
      </c>
      <c r="AC127" s="2">
        <v>347</v>
      </c>
      <c r="AD127" s="3">
        <v>0</v>
      </c>
      <c r="AE127" s="2">
        <v>0</v>
      </c>
      <c r="AF127" s="2">
        <v>347</v>
      </c>
      <c r="AK127">
        <v>6123246</v>
      </c>
      <c r="AL127" t="s">
        <v>122</v>
      </c>
    </row>
    <row r="128" spans="1:38" x14ac:dyDescent="0.25">
      <c r="A128" s="1">
        <v>46029</v>
      </c>
      <c r="B128" s="1">
        <v>46029</v>
      </c>
      <c r="C128" t="s">
        <v>38</v>
      </c>
      <c r="D128" t="s">
        <v>39</v>
      </c>
      <c r="E128" t="s">
        <v>40</v>
      </c>
      <c r="F128" t="s">
        <v>41</v>
      </c>
      <c r="G128" t="s">
        <v>42</v>
      </c>
      <c r="H128" t="s">
        <v>43</v>
      </c>
      <c r="I128" t="s">
        <v>411</v>
      </c>
      <c r="J128" t="s">
        <v>412</v>
      </c>
      <c r="M128" t="s">
        <v>413</v>
      </c>
      <c r="O128" t="s">
        <v>77</v>
      </c>
      <c r="P128" t="s">
        <v>78</v>
      </c>
      <c r="Q128" t="s">
        <v>49</v>
      </c>
      <c r="R128" t="s">
        <v>414</v>
      </c>
      <c r="S128" s="1">
        <v>46023</v>
      </c>
      <c r="U128" t="s">
        <v>51</v>
      </c>
      <c r="X128" t="s">
        <v>52</v>
      </c>
      <c r="Y128" s="2">
        <v>0</v>
      </c>
      <c r="Z128" s="2">
        <v>432</v>
      </c>
      <c r="AA128">
        <v>1</v>
      </c>
      <c r="AB128" s="3">
        <v>1</v>
      </c>
      <c r="AC128" s="2">
        <v>432</v>
      </c>
      <c r="AD128" s="3">
        <v>0</v>
      </c>
      <c r="AE128" s="2">
        <v>0</v>
      </c>
      <c r="AF128" s="2">
        <v>432</v>
      </c>
      <c r="AK128">
        <v>6123247</v>
      </c>
      <c r="AL128" t="s">
        <v>122</v>
      </c>
    </row>
    <row r="129" spans="1:38" x14ac:dyDescent="0.25">
      <c r="A129" s="1">
        <v>46029</v>
      </c>
      <c r="B129" s="1">
        <v>46029</v>
      </c>
      <c r="C129" t="s">
        <v>38</v>
      </c>
      <c r="D129" t="s">
        <v>39</v>
      </c>
      <c r="E129" t="s">
        <v>40</v>
      </c>
      <c r="F129" t="s">
        <v>41</v>
      </c>
      <c r="G129" t="s">
        <v>42</v>
      </c>
      <c r="H129" t="s">
        <v>43</v>
      </c>
      <c r="I129" t="s">
        <v>415</v>
      </c>
      <c r="J129" t="s">
        <v>416</v>
      </c>
      <c r="M129" t="s">
        <v>46</v>
      </c>
      <c r="O129" t="s">
        <v>209</v>
      </c>
      <c r="P129" t="s">
        <v>210</v>
      </c>
      <c r="Q129" t="s">
        <v>49</v>
      </c>
      <c r="R129" t="s">
        <v>121</v>
      </c>
      <c r="S129" s="1">
        <v>46023</v>
      </c>
      <c r="U129" t="s">
        <v>51</v>
      </c>
      <c r="X129" t="s">
        <v>52</v>
      </c>
      <c r="Y129" s="2">
        <v>0</v>
      </c>
      <c r="Z129" s="2">
        <v>347</v>
      </c>
      <c r="AA129">
        <v>1</v>
      </c>
      <c r="AB129" s="3">
        <v>1</v>
      </c>
      <c r="AC129" s="2">
        <v>347</v>
      </c>
      <c r="AD129" s="3">
        <v>0</v>
      </c>
      <c r="AE129" s="2">
        <v>0</v>
      </c>
      <c r="AF129" s="2">
        <v>347</v>
      </c>
      <c r="AK129">
        <v>6123248</v>
      </c>
      <c r="AL129" t="s">
        <v>122</v>
      </c>
    </row>
    <row r="130" spans="1:38" x14ac:dyDescent="0.25">
      <c r="A130" s="1">
        <v>46029</v>
      </c>
      <c r="B130" s="1">
        <v>46029</v>
      </c>
      <c r="C130" t="s">
        <v>38</v>
      </c>
      <c r="D130" t="s">
        <v>39</v>
      </c>
      <c r="E130" t="s">
        <v>40</v>
      </c>
      <c r="F130" t="s">
        <v>41</v>
      </c>
      <c r="G130" t="s">
        <v>42</v>
      </c>
      <c r="H130" t="s">
        <v>43</v>
      </c>
      <c r="I130" t="s">
        <v>417</v>
      </c>
      <c r="J130" t="s">
        <v>418</v>
      </c>
      <c r="M130" t="s">
        <v>196</v>
      </c>
      <c r="O130" t="s">
        <v>197</v>
      </c>
      <c r="P130" t="s">
        <v>198</v>
      </c>
      <c r="Q130" t="s">
        <v>49</v>
      </c>
      <c r="R130" t="s">
        <v>121</v>
      </c>
      <c r="S130" s="1">
        <v>46023</v>
      </c>
      <c r="U130" t="s">
        <v>51</v>
      </c>
      <c r="X130" t="s">
        <v>52</v>
      </c>
      <c r="Y130" s="2">
        <v>0</v>
      </c>
      <c r="Z130" s="2">
        <v>347</v>
      </c>
      <c r="AA130">
        <v>1</v>
      </c>
      <c r="AB130" s="3">
        <v>1</v>
      </c>
      <c r="AC130" s="2">
        <v>347</v>
      </c>
      <c r="AD130" s="3">
        <v>0</v>
      </c>
      <c r="AE130" s="2">
        <v>0</v>
      </c>
      <c r="AF130" s="2">
        <v>347</v>
      </c>
      <c r="AK130">
        <v>6123250</v>
      </c>
      <c r="AL130" t="s">
        <v>122</v>
      </c>
    </row>
    <row r="131" spans="1:38" x14ac:dyDescent="0.25">
      <c r="A131" s="1">
        <v>46029</v>
      </c>
      <c r="B131" s="1">
        <v>46029</v>
      </c>
      <c r="C131" t="s">
        <v>38</v>
      </c>
      <c r="D131" t="s">
        <v>39</v>
      </c>
      <c r="E131" t="s">
        <v>40</v>
      </c>
      <c r="F131" t="s">
        <v>41</v>
      </c>
      <c r="G131" t="s">
        <v>42</v>
      </c>
      <c r="H131" t="s">
        <v>43</v>
      </c>
      <c r="I131" t="s">
        <v>419</v>
      </c>
      <c r="J131" t="s">
        <v>420</v>
      </c>
      <c r="M131" t="s">
        <v>118</v>
      </c>
      <c r="O131" t="s">
        <v>94</v>
      </c>
      <c r="P131" t="s">
        <v>95</v>
      </c>
      <c r="Q131" t="s">
        <v>49</v>
      </c>
      <c r="R131" t="s">
        <v>121</v>
      </c>
      <c r="S131" s="1">
        <v>46023</v>
      </c>
      <c r="U131" t="s">
        <v>51</v>
      </c>
      <c r="X131" t="s">
        <v>52</v>
      </c>
      <c r="Y131" s="2">
        <v>0</v>
      </c>
      <c r="Z131" s="2">
        <v>347</v>
      </c>
      <c r="AA131">
        <v>1</v>
      </c>
      <c r="AB131" s="3">
        <v>1</v>
      </c>
      <c r="AC131" s="2">
        <v>347</v>
      </c>
      <c r="AD131" s="3">
        <v>0</v>
      </c>
      <c r="AE131" s="2">
        <v>0</v>
      </c>
      <c r="AF131" s="2">
        <v>347</v>
      </c>
      <c r="AK131">
        <v>6123251</v>
      </c>
      <c r="AL131" t="s">
        <v>122</v>
      </c>
    </row>
    <row r="132" spans="1:38" x14ac:dyDescent="0.25">
      <c r="A132" s="1">
        <v>46029</v>
      </c>
      <c r="B132" s="1">
        <v>46029</v>
      </c>
      <c r="C132" t="s">
        <v>38</v>
      </c>
      <c r="D132" t="s">
        <v>39</v>
      </c>
      <c r="E132" t="s">
        <v>40</v>
      </c>
      <c r="F132" t="s">
        <v>41</v>
      </c>
      <c r="G132" t="s">
        <v>42</v>
      </c>
      <c r="H132" t="s">
        <v>43</v>
      </c>
      <c r="I132" t="s">
        <v>421</v>
      </c>
      <c r="J132" t="s">
        <v>422</v>
      </c>
      <c r="M132" t="s">
        <v>71</v>
      </c>
      <c r="O132" t="s">
        <v>284</v>
      </c>
      <c r="P132" t="s">
        <v>285</v>
      </c>
      <c r="Q132" t="s">
        <v>49</v>
      </c>
      <c r="R132" t="s">
        <v>189</v>
      </c>
      <c r="S132" s="1">
        <v>46023</v>
      </c>
      <c r="U132" t="s">
        <v>51</v>
      </c>
      <c r="X132" t="s">
        <v>52</v>
      </c>
      <c r="Y132" s="2">
        <v>0</v>
      </c>
      <c r="Z132" s="2">
        <v>233</v>
      </c>
      <c r="AA132">
        <v>1</v>
      </c>
      <c r="AB132" s="3">
        <v>1</v>
      </c>
      <c r="AC132" s="2">
        <v>233</v>
      </c>
      <c r="AD132" s="3">
        <v>0</v>
      </c>
      <c r="AE132" s="2">
        <v>0</v>
      </c>
      <c r="AF132" s="2">
        <v>233</v>
      </c>
      <c r="AK132">
        <v>6123253</v>
      </c>
      <c r="AL132" t="s">
        <v>122</v>
      </c>
    </row>
    <row r="133" spans="1:38" x14ac:dyDescent="0.25">
      <c r="A133" s="1">
        <v>46029</v>
      </c>
      <c r="B133" s="1">
        <v>46029</v>
      </c>
      <c r="C133" t="s">
        <v>38</v>
      </c>
      <c r="D133" t="s">
        <v>39</v>
      </c>
      <c r="E133" t="s">
        <v>40</v>
      </c>
      <c r="F133" t="s">
        <v>41</v>
      </c>
      <c r="G133" t="s">
        <v>42</v>
      </c>
      <c r="H133" t="s">
        <v>43</v>
      </c>
      <c r="I133" t="s">
        <v>423</v>
      </c>
      <c r="J133" t="s">
        <v>424</v>
      </c>
      <c r="M133" t="s">
        <v>71</v>
      </c>
      <c r="O133" t="s">
        <v>72</v>
      </c>
      <c r="P133" t="s">
        <v>73</v>
      </c>
      <c r="Q133" t="s">
        <v>49</v>
      </c>
      <c r="R133" t="s">
        <v>243</v>
      </c>
      <c r="S133" s="1">
        <v>46023</v>
      </c>
      <c r="U133" t="s">
        <v>51</v>
      </c>
      <c r="X133" t="s">
        <v>52</v>
      </c>
      <c r="Y133" s="2">
        <v>0</v>
      </c>
      <c r="Z133" s="2">
        <v>391</v>
      </c>
      <c r="AA133">
        <v>1</v>
      </c>
      <c r="AB133" s="3">
        <v>1</v>
      </c>
      <c r="AC133" s="2">
        <v>391</v>
      </c>
      <c r="AD133" s="3">
        <v>0</v>
      </c>
      <c r="AE133" s="2">
        <v>0</v>
      </c>
      <c r="AF133" s="2">
        <v>391</v>
      </c>
      <c r="AK133">
        <v>6123254</v>
      </c>
      <c r="AL133" t="s">
        <v>122</v>
      </c>
    </row>
    <row r="134" spans="1:38" x14ac:dyDescent="0.25">
      <c r="A134" s="1">
        <v>46029</v>
      </c>
      <c r="B134" s="1">
        <v>46029</v>
      </c>
      <c r="C134" t="s">
        <v>38</v>
      </c>
      <c r="D134" t="s">
        <v>39</v>
      </c>
      <c r="E134" t="s">
        <v>40</v>
      </c>
      <c r="F134" t="s">
        <v>41</v>
      </c>
      <c r="G134" t="s">
        <v>42</v>
      </c>
      <c r="H134" t="s">
        <v>43</v>
      </c>
      <c r="I134" t="s">
        <v>425</v>
      </c>
      <c r="J134" t="s">
        <v>426</v>
      </c>
      <c r="M134" t="s">
        <v>118</v>
      </c>
      <c r="O134" t="s">
        <v>119</v>
      </c>
      <c r="P134" t="s">
        <v>120</v>
      </c>
      <c r="Q134" t="s">
        <v>49</v>
      </c>
      <c r="R134" t="s">
        <v>121</v>
      </c>
      <c r="S134" s="1">
        <v>46023</v>
      </c>
      <c r="U134" t="s">
        <v>51</v>
      </c>
      <c r="X134" t="s">
        <v>52</v>
      </c>
      <c r="Y134" s="2">
        <v>0</v>
      </c>
      <c r="Z134" s="2">
        <v>347</v>
      </c>
      <c r="AA134">
        <v>1</v>
      </c>
      <c r="AB134" s="3">
        <v>1</v>
      </c>
      <c r="AC134" s="2">
        <v>347</v>
      </c>
      <c r="AD134" s="3">
        <v>0</v>
      </c>
      <c r="AE134" s="2">
        <v>0</v>
      </c>
      <c r="AF134" s="2">
        <v>347</v>
      </c>
      <c r="AK134">
        <v>6123257</v>
      </c>
      <c r="AL134" t="s">
        <v>122</v>
      </c>
    </row>
    <row r="135" spans="1:38" x14ac:dyDescent="0.25">
      <c r="A135" s="1">
        <v>46029</v>
      </c>
      <c r="B135" s="1">
        <v>46029</v>
      </c>
      <c r="C135" t="s">
        <v>38</v>
      </c>
      <c r="D135" t="s">
        <v>39</v>
      </c>
      <c r="E135" t="s">
        <v>40</v>
      </c>
      <c r="F135" t="s">
        <v>41</v>
      </c>
      <c r="G135" t="s">
        <v>42</v>
      </c>
      <c r="H135" t="s">
        <v>43</v>
      </c>
      <c r="I135" t="s">
        <v>427</v>
      </c>
      <c r="J135" t="s">
        <v>428</v>
      </c>
      <c r="M135" t="s">
        <v>86</v>
      </c>
      <c r="O135" t="s">
        <v>87</v>
      </c>
      <c r="P135" t="s">
        <v>88</v>
      </c>
      <c r="Q135" t="s">
        <v>49</v>
      </c>
      <c r="R135" t="s">
        <v>121</v>
      </c>
      <c r="S135" s="1">
        <v>46023</v>
      </c>
      <c r="U135" t="s">
        <v>51</v>
      </c>
      <c r="X135" t="s">
        <v>52</v>
      </c>
      <c r="Y135" s="2">
        <v>0</v>
      </c>
      <c r="Z135" s="2">
        <v>347</v>
      </c>
      <c r="AA135">
        <v>1</v>
      </c>
      <c r="AB135" s="3">
        <v>1</v>
      </c>
      <c r="AC135" s="2">
        <v>347</v>
      </c>
      <c r="AD135" s="3">
        <v>0</v>
      </c>
      <c r="AE135" s="2">
        <v>0</v>
      </c>
      <c r="AF135" s="2">
        <v>347</v>
      </c>
      <c r="AK135">
        <v>6123258</v>
      </c>
      <c r="AL135" t="s">
        <v>122</v>
      </c>
    </row>
    <row r="136" spans="1:38" x14ac:dyDescent="0.25">
      <c r="A136" s="1">
        <v>46029</v>
      </c>
      <c r="B136" s="1">
        <v>46029</v>
      </c>
      <c r="C136" t="s">
        <v>38</v>
      </c>
      <c r="D136" t="s">
        <v>39</v>
      </c>
      <c r="E136" t="s">
        <v>40</v>
      </c>
      <c r="F136" t="s">
        <v>41</v>
      </c>
      <c r="G136" t="s">
        <v>42</v>
      </c>
      <c r="H136" t="s">
        <v>43</v>
      </c>
      <c r="I136" t="s">
        <v>429</v>
      </c>
      <c r="J136" t="s">
        <v>430</v>
      </c>
      <c r="M136" t="s">
        <v>46</v>
      </c>
      <c r="O136" t="s">
        <v>67</v>
      </c>
      <c r="P136" t="s">
        <v>68</v>
      </c>
      <c r="Q136" t="s">
        <v>49</v>
      </c>
      <c r="R136" t="s">
        <v>121</v>
      </c>
      <c r="S136" s="1">
        <v>46023</v>
      </c>
      <c r="U136" t="s">
        <v>51</v>
      </c>
      <c r="X136" t="s">
        <v>52</v>
      </c>
      <c r="Y136" s="2">
        <v>0</v>
      </c>
      <c r="Z136" s="2">
        <v>347</v>
      </c>
      <c r="AA136">
        <v>1</v>
      </c>
      <c r="AB136" s="3">
        <v>1</v>
      </c>
      <c r="AC136" s="2">
        <v>347</v>
      </c>
      <c r="AD136" s="3">
        <v>0</v>
      </c>
      <c r="AE136" s="2">
        <v>0</v>
      </c>
      <c r="AF136" s="2">
        <v>347</v>
      </c>
      <c r="AK136">
        <v>6123259</v>
      </c>
      <c r="AL136" t="s">
        <v>122</v>
      </c>
    </row>
    <row r="137" spans="1:38" x14ac:dyDescent="0.25">
      <c r="A137" s="1">
        <v>46029</v>
      </c>
      <c r="B137" s="1">
        <v>46029</v>
      </c>
      <c r="C137" t="s">
        <v>38</v>
      </c>
      <c r="D137" t="s">
        <v>39</v>
      </c>
      <c r="E137" t="s">
        <v>40</v>
      </c>
      <c r="F137" t="s">
        <v>41</v>
      </c>
      <c r="G137" t="s">
        <v>42</v>
      </c>
      <c r="H137" t="s">
        <v>43</v>
      </c>
      <c r="I137" t="s">
        <v>431</v>
      </c>
      <c r="J137" t="s">
        <v>432</v>
      </c>
      <c r="M137" t="s">
        <v>71</v>
      </c>
      <c r="O137" t="s">
        <v>356</v>
      </c>
      <c r="P137" t="s">
        <v>357</v>
      </c>
      <c r="Q137" t="s">
        <v>49</v>
      </c>
      <c r="R137" t="s">
        <v>243</v>
      </c>
      <c r="S137" s="1">
        <v>46023</v>
      </c>
      <c r="U137" t="s">
        <v>51</v>
      </c>
      <c r="X137" t="s">
        <v>52</v>
      </c>
      <c r="Y137" s="2">
        <v>0</v>
      </c>
      <c r="Z137" s="2">
        <v>391</v>
      </c>
      <c r="AA137">
        <v>1</v>
      </c>
      <c r="AB137" s="3">
        <v>1</v>
      </c>
      <c r="AC137" s="2">
        <v>391</v>
      </c>
      <c r="AD137" s="3">
        <v>0</v>
      </c>
      <c r="AE137" s="2">
        <v>0</v>
      </c>
      <c r="AF137" s="2">
        <v>391</v>
      </c>
      <c r="AK137">
        <v>6123260</v>
      </c>
      <c r="AL137" t="s">
        <v>122</v>
      </c>
    </row>
    <row r="138" spans="1:38" x14ac:dyDescent="0.25">
      <c r="A138" s="1">
        <v>46029</v>
      </c>
      <c r="B138" s="1">
        <v>46029</v>
      </c>
      <c r="C138" t="s">
        <v>38</v>
      </c>
      <c r="D138" t="s">
        <v>39</v>
      </c>
      <c r="E138" t="s">
        <v>40</v>
      </c>
      <c r="F138" t="s">
        <v>41</v>
      </c>
      <c r="G138" t="s">
        <v>42</v>
      </c>
      <c r="H138" t="s">
        <v>43</v>
      </c>
      <c r="I138" t="s">
        <v>433</v>
      </c>
      <c r="J138" t="s">
        <v>434</v>
      </c>
      <c r="M138" t="s">
        <v>66</v>
      </c>
      <c r="O138" t="s">
        <v>67</v>
      </c>
      <c r="P138" t="s">
        <v>68</v>
      </c>
      <c r="Q138" t="s">
        <v>49</v>
      </c>
      <c r="R138" t="s">
        <v>178</v>
      </c>
      <c r="S138" s="1">
        <v>46023</v>
      </c>
      <c r="U138" t="s">
        <v>51</v>
      </c>
      <c r="X138" t="s">
        <v>52</v>
      </c>
      <c r="Y138" s="2">
        <v>0</v>
      </c>
      <c r="Z138" s="2">
        <v>203</v>
      </c>
      <c r="AA138">
        <v>1</v>
      </c>
      <c r="AB138" s="3">
        <v>1</v>
      </c>
      <c r="AC138" s="2">
        <v>203</v>
      </c>
      <c r="AD138" s="3">
        <v>0</v>
      </c>
      <c r="AE138" s="2">
        <v>0</v>
      </c>
      <c r="AF138" s="2">
        <v>203</v>
      </c>
      <c r="AK138">
        <v>6123261</v>
      </c>
      <c r="AL138" t="s">
        <v>122</v>
      </c>
    </row>
    <row r="139" spans="1:38" x14ac:dyDescent="0.25">
      <c r="A139" s="1">
        <v>46029</v>
      </c>
      <c r="B139" s="1">
        <v>46029</v>
      </c>
      <c r="C139" t="s">
        <v>38</v>
      </c>
      <c r="D139" t="s">
        <v>39</v>
      </c>
      <c r="E139" t="s">
        <v>40</v>
      </c>
      <c r="F139" t="s">
        <v>41</v>
      </c>
      <c r="G139" t="s">
        <v>42</v>
      </c>
      <c r="H139" t="s">
        <v>43</v>
      </c>
      <c r="I139" t="s">
        <v>435</v>
      </c>
      <c r="J139" t="s">
        <v>436</v>
      </c>
      <c r="M139" t="s">
        <v>196</v>
      </c>
      <c r="O139" t="s">
        <v>251</v>
      </c>
      <c r="P139" t="s">
        <v>252</v>
      </c>
      <c r="Q139" t="s">
        <v>49</v>
      </c>
      <c r="R139" t="s">
        <v>121</v>
      </c>
      <c r="S139" s="1">
        <v>46023</v>
      </c>
      <c r="U139" t="s">
        <v>51</v>
      </c>
      <c r="X139" t="s">
        <v>52</v>
      </c>
      <c r="Y139" s="2">
        <v>0</v>
      </c>
      <c r="Z139" s="2">
        <v>347</v>
      </c>
      <c r="AA139">
        <v>1</v>
      </c>
      <c r="AB139" s="3">
        <v>1</v>
      </c>
      <c r="AC139" s="2">
        <v>347</v>
      </c>
      <c r="AD139" s="3">
        <v>0</v>
      </c>
      <c r="AE139" s="2">
        <v>0</v>
      </c>
      <c r="AF139" s="2">
        <v>347</v>
      </c>
      <c r="AK139">
        <v>6123262</v>
      </c>
      <c r="AL139" t="s">
        <v>122</v>
      </c>
    </row>
    <row r="140" spans="1:38" x14ac:dyDescent="0.25">
      <c r="A140" s="1">
        <v>46029</v>
      </c>
      <c r="B140" s="1">
        <v>46029</v>
      </c>
      <c r="C140" t="s">
        <v>38</v>
      </c>
      <c r="D140" t="s">
        <v>39</v>
      </c>
      <c r="E140" t="s">
        <v>40</v>
      </c>
      <c r="F140" t="s">
        <v>41</v>
      </c>
      <c r="G140" t="s">
        <v>42</v>
      </c>
      <c r="H140" t="s">
        <v>43</v>
      </c>
      <c r="I140" t="s">
        <v>437</v>
      </c>
      <c r="J140" t="s">
        <v>438</v>
      </c>
      <c r="M140" t="s">
        <v>46</v>
      </c>
      <c r="O140" t="s">
        <v>439</v>
      </c>
      <c r="P140" t="s">
        <v>440</v>
      </c>
      <c r="Q140" t="s">
        <v>49</v>
      </c>
      <c r="R140" t="s">
        <v>178</v>
      </c>
      <c r="S140" s="1">
        <v>46023</v>
      </c>
      <c r="U140" t="s">
        <v>51</v>
      </c>
      <c r="X140" t="s">
        <v>52</v>
      </c>
      <c r="Y140" s="2">
        <v>0</v>
      </c>
      <c r="Z140" s="2">
        <v>203</v>
      </c>
      <c r="AA140">
        <v>1</v>
      </c>
      <c r="AB140" s="3">
        <v>1</v>
      </c>
      <c r="AC140" s="2">
        <v>203</v>
      </c>
      <c r="AD140" s="3">
        <v>0</v>
      </c>
      <c r="AE140" s="2">
        <v>0</v>
      </c>
      <c r="AF140" s="2">
        <v>203</v>
      </c>
      <c r="AK140">
        <v>6123263</v>
      </c>
      <c r="AL140" t="s">
        <v>122</v>
      </c>
    </row>
    <row r="141" spans="1:38" x14ac:dyDescent="0.25">
      <c r="A141" s="1">
        <v>46029</v>
      </c>
      <c r="B141" s="1">
        <v>46029</v>
      </c>
      <c r="C141" t="s">
        <v>38</v>
      </c>
      <c r="D141" t="s">
        <v>39</v>
      </c>
      <c r="E141" t="s">
        <v>40</v>
      </c>
      <c r="F141" t="s">
        <v>41</v>
      </c>
      <c r="G141" t="s">
        <v>42</v>
      </c>
      <c r="H141" t="s">
        <v>43</v>
      </c>
      <c r="I141" t="s">
        <v>441</v>
      </c>
      <c r="J141" t="s">
        <v>442</v>
      </c>
      <c r="M141" t="s">
        <v>46</v>
      </c>
      <c r="O141" t="s">
        <v>176</v>
      </c>
      <c r="P141" t="s">
        <v>177</v>
      </c>
      <c r="Q141" t="s">
        <v>49</v>
      </c>
      <c r="R141" t="s">
        <v>248</v>
      </c>
      <c r="S141" s="1">
        <v>46023</v>
      </c>
      <c r="U141" t="s">
        <v>51</v>
      </c>
      <c r="X141" t="s">
        <v>52</v>
      </c>
      <c r="Y141" s="2">
        <v>0</v>
      </c>
      <c r="Z141" s="2">
        <v>313</v>
      </c>
      <c r="AA141">
        <v>1</v>
      </c>
      <c r="AB141" s="3">
        <v>1</v>
      </c>
      <c r="AC141" s="2">
        <v>313</v>
      </c>
      <c r="AD141" s="3">
        <v>0</v>
      </c>
      <c r="AE141" s="2">
        <v>0</v>
      </c>
      <c r="AF141" s="2">
        <v>313</v>
      </c>
      <c r="AK141">
        <v>6123264</v>
      </c>
      <c r="AL141" t="s">
        <v>122</v>
      </c>
    </row>
    <row r="142" spans="1:38" x14ac:dyDescent="0.25">
      <c r="A142" s="1">
        <v>46029</v>
      </c>
      <c r="B142" s="1">
        <v>46029</v>
      </c>
      <c r="C142" t="s">
        <v>38</v>
      </c>
      <c r="D142" t="s">
        <v>39</v>
      </c>
      <c r="E142" t="s">
        <v>40</v>
      </c>
      <c r="F142" t="s">
        <v>41</v>
      </c>
      <c r="G142" t="s">
        <v>42</v>
      </c>
      <c r="H142" t="s">
        <v>43</v>
      </c>
      <c r="I142" t="s">
        <v>443</v>
      </c>
      <c r="J142" t="s">
        <v>444</v>
      </c>
      <c r="M142" t="s">
        <v>46</v>
      </c>
      <c r="O142" t="s">
        <v>176</v>
      </c>
      <c r="P142" t="s">
        <v>177</v>
      </c>
      <c r="Q142" t="s">
        <v>49</v>
      </c>
      <c r="R142" t="s">
        <v>121</v>
      </c>
      <c r="S142" s="1">
        <v>46023</v>
      </c>
      <c r="U142" t="s">
        <v>51</v>
      </c>
      <c r="X142" t="s">
        <v>52</v>
      </c>
      <c r="Y142" s="2">
        <v>0</v>
      </c>
      <c r="Z142" s="2">
        <v>347</v>
      </c>
      <c r="AA142">
        <v>1</v>
      </c>
      <c r="AB142" s="3">
        <v>1</v>
      </c>
      <c r="AC142" s="2">
        <v>347</v>
      </c>
      <c r="AD142" s="3">
        <v>0</v>
      </c>
      <c r="AE142" s="2">
        <v>0</v>
      </c>
      <c r="AF142" s="2">
        <v>347</v>
      </c>
      <c r="AK142">
        <v>6123265</v>
      </c>
      <c r="AL142" t="s">
        <v>122</v>
      </c>
    </row>
    <row r="143" spans="1:38" x14ac:dyDescent="0.25">
      <c r="A143" s="1">
        <v>46029</v>
      </c>
      <c r="B143" s="1">
        <v>46029</v>
      </c>
      <c r="C143" t="s">
        <v>38</v>
      </c>
      <c r="D143" t="s">
        <v>39</v>
      </c>
      <c r="E143" t="s">
        <v>40</v>
      </c>
      <c r="F143" t="s">
        <v>41</v>
      </c>
      <c r="G143" t="s">
        <v>42</v>
      </c>
      <c r="H143" t="s">
        <v>43</v>
      </c>
      <c r="I143" t="s">
        <v>445</v>
      </c>
      <c r="J143" t="s">
        <v>446</v>
      </c>
      <c r="M143" t="s">
        <v>86</v>
      </c>
      <c r="O143" t="s">
        <v>94</v>
      </c>
      <c r="P143" t="s">
        <v>95</v>
      </c>
      <c r="Q143" t="s">
        <v>49</v>
      </c>
      <c r="R143" t="s">
        <v>121</v>
      </c>
      <c r="S143" s="1">
        <v>46023</v>
      </c>
      <c r="U143" t="s">
        <v>51</v>
      </c>
      <c r="X143" t="s">
        <v>52</v>
      </c>
      <c r="Y143" s="2">
        <v>0</v>
      </c>
      <c r="Z143" s="2">
        <v>347</v>
      </c>
      <c r="AA143">
        <v>1</v>
      </c>
      <c r="AB143" s="3">
        <v>1</v>
      </c>
      <c r="AC143" s="2">
        <v>347</v>
      </c>
      <c r="AD143" s="3">
        <v>0</v>
      </c>
      <c r="AE143" s="2">
        <v>0</v>
      </c>
      <c r="AF143" s="2">
        <v>347</v>
      </c>
      <c r="AK143">
        <v>6123266</v>
      </c>
      <c r="AL143" t="s">
        <v>122</v>
      </c>
    </row>
    <row r="144" spans="1:38" x14ac:dyDescent="0.25">
      <c r="A144" s="1">
        <v>46029</v>
      </c>
      <c r="B144" s="1">
        <v>46029</v>
      </c>
      <c r="C144" t="s">
        <v>38</v>
      </c>
      <c r="D144" t="s">
        <v>39</v>
      </c>
      <c r="E144" t="s">
        <v>40</v>
      </c>
      <c r="F144" t="s">
        <v>41</v>
      </c>
      <c r="G144" t="s">
        <v>42</v>
      </c>
      <c r="H144" t="s">
        <v>43</v>
      </c>
      <c r="I144" t="s">
        <v>447</v>
      </c>
      <c r="J144" t="s">
        <v>448</v>
      </c>
      <c r="M144" t="s">
        <v>86</v>
      </c>
      <c r="O144" t="s">
        <v>87</v>
      </c>
      <c r="P144" t="s">
        <v>88</v>
      </c>
      <c r="Q144" t="s">
        <v>49</v>
      </c>
      <c r="R144" t="s">
        <v>121</v>
      </c>
      <c r="S144" s="1">
        <v>46023</v>
      </c>
      <c r="U144" t="s">
        <v>51</v>
      </c>
      <c r="X144" t="s">
        <v>52</v>
      </c>
      <c r="Y144" s="2">
        <v>0</v>
      </c>
      <c r="Z144" s="2">
        <v>347</v>
      </c>
      <c r="AA144">
        <v>1</v>
      </c>
      <c r="AB144" s="3">
        <v>1</v>
      </c>
      <c r="AC144" s="2">
        <v>347</v>
      </c>
      <c r="AD144" s="3">
        <v>0</v>
      </c>
      <c r="AE144" s="2">
        <v>0</v>
      </c>
      <c r="AF144" s="2">
        <v>347</v>
      </c>
      <c r="AK144">
        <v>6123267</v>
      </c>
      <c r="AL144" t="s">
        <v>122</v>
      </c>
    </row>
    <row r="145" spans="1:38" x14ac:dyDescent="0.25">
      <c r="A145" s="1">
        <v>46029</v>
      </c>
      <c r="B145" s="1">
        <v>46029</v>
      </c>
      <c r="C145" t="s">
        <v>38</v>
      </c>
      <c r="D145" t="s">
        <v>39</v>
      </c>
      <c r="E145" t="s">
        <v>40</v>
      </c>
      <c r="F145" t="s">
        <v>41</v>
      </c>
      <c r="G145" t="s">
        <v>42</v>
      </c>
      <c r="H145" t="s">
        <v>43</v>
      </c>
      <c r="I145" t="s">
        <v>449</v>
      </c>
      <c r="J145" t="s">
        <v>450</v>
      </c>
      <c r="M145" t="s">
        <v>271</v>
      </c>
      <c r="O145" t="s">
        <v>94</v>
      </c>
      <c r="P145" t="s">
        <v>95</v>
      </c>
      <c r="Q145" t="s">
        <v>49</v>
      </c>
      <c r="R145" t="s">
        <v>121</v>
      </c>
      <c r="S145" s="1">
        <v>46023</v>
      </c>
      <c r="U145" t="s">
        <v>51</v>
      </c>
      <c r="X145" t="s">
        <v>52</v>
      </c>
      <c r="Y145" s="2">
        <v>0</v>
      </c>
      <c r="Z145" s="2">
        <v>347</v>
      </c>
      <c r="AA145">
        <v>1</v>
      </c>
      <c r="AB145" s="3">
        <v>1</v>
      </c>
      <c r="AC145" s="2">
        <v>347</v>
      </c>
      <c r="AD145" s="3">
        <v>0</v>
      </c>
      <c r="AE145" s="2">
        <v>0</v>
      </c>
      <c r="AF145" s="2">
        <v>347</v>
      </c>
      <c r="AK145">
        <v>6123268</v>
      </c>
      <c r="AL145" t="s">
        <v>122</v>
      </c>
    </row>
    <row r="146" spans="1:38" x14ac:dyDescent="0.25">
      <c r="A146" s="1">
        <v>46029</v>
      </c>
      <c r="B146" s="1">
        <v>46029</v>
      </c>
      <c r="C146" t="s">
        <v>38</v>
      </c>
      <c r="D146" t="s">
        <v>39</v>
      </c>
      <c r="E146" t="s">
        <v>40</v>
      </c>
      <c r="F146" t="s">
        <v>41</v>
      </c>
      <c r="G146" t="s">
        <v>42</v>
      </c>
      <c r="H146" t="s">
        <v>43</v>
      </c>
      <c r="I146" t="s">
        <v>451</v>
      </c>
      <c r="J146" t="s">
        <v>452</v>
      </c>
      <c r="M146" t="s">
        <v>46</v>
      </c>
      <c r="O146" t="s">
        <v>453</v>
      </c>
      <c r="P146" t="s">
        <v>454</v>
      </c>
      <c r="Q146" t="s">
        <v>49</v>
      </c>
      <c r="R146" t="s">
        <v>248</v>
      </c>
      <c r="S146" s="1">
        <v>46023</v>
      </c>
      <c r="U146" t="s">
        <v>51</v>
      </c>
      <c r="X146" t="s">
        <v>52</v>
      </c>
      <c r="Y146" s="2">
        <v>0</v>
      </c>
      <c r="Z146" s="2">
        <v>313</v>
      </c>
      <c r="AA146">
        <v>1</v>
      </c>
      <c r="AB146" s="3">
        <v>1</v>
      </c>
      <c r="AC146" s="2">
        <v>313</v>
      </c>
      <c r="AD146" s="3">
        <v>0</v>
      </c>
      <c r="AE146" s="2">
        <v>0</v>
      </c>
      <c r="AF146" s="2">
        <v>313</v>
      </c>
      <c r="AK146">
        <v>6123270</v>
      </c>
      <c r="AL146" t="s">
        <v>122</v>
      </c>
    </row>
    <row r="147" spans="1:38" x14ac:dyDescent="0.25">
      <c r="A147" s="1">
        <v>46029</v>
      </c>
      <c r="B147" s="1">
        <v>46029</v>
      </c>
      <c r="C147" t="s">
        <v>38</v>
      </c>
      <c r="D147" t="s">
        <v>39</v>
      </c>
      <c r="E147" t="s">
        <v>40</v>
      </c>
      <c r="F147" t="s">
        <v>41</v>
      </c>
      <c r="G147" t="s">
        <v>42</v>
      </c>
      <c r="H147" t="s">
        <v>43</v>
      </c>
      <c r="I147" t="s">
        <v>455</v>
      </c>
      <c r="J147" t="s">
        <v>456</v>
      </c>
      <c r="M147" t="s">
        <v>86</v>
      </c>
      <c r="O147" t="s">
        <v>72</v>
      </c>
      <c r="P147" t="s">
        <v>73</v>
      </c>
      <c r="Q147" t="s">
        <v>49</v>
      </c>
      <c r="R147" t="s">
        <v>121</v>
      </c>
      <c r="S147" s="1">
        <v>46023</v>
      </c>
      <c r="U147" t="s">
        <v>51</v>
      </c>
      <c r="X147" t="s">
        <v>52</v>
      </c>
      <c r="Y147" s="2">
        <v>0</v>
      </c>
      <c r="Z147" s="2">
        <v>347</v>
      </c>
      <c r="AA147">
        <v>1</v>
      </c>
      <c r="AB147" s="3">
        <v>1</v>
      </c>
      <c r="AC147" s="2">
        <v>347</v>
      </c>
      <c r="AD147" s="3">
        <v>0</v>
      </c>
      <c r="AE147" s="2">
        <v>0</v>
      </c>
      <c r="AF147" s="2">
        <v>347</v>
      </c>
      <c r="AK147">
        <v>6123271</v>
      </c>
      <c r="AL147" t="s">
        <v>122</v>
      </c>
    </row>
    <row r="148" spans="1:38" x14ac:dyDescent="0.25">
      <c r="A148" s="1">
        <v>46029</v>
      </c>
      <c r="B148" s="1">
        <v>46029</v>
      </c>
      <c r="C148" t="s">
        <v>38</v>
      </c>
      <c r="D148" t="s">
        <v>39</v>
      </c>
      <c r="E148" t="s">
        <v>40</v>
      </c>
      <c r="F148" t="s">
        <v>41</v>
      </c>
      <c r="G148" t="s">
        <v>42</v>
      </c>
      <c r="H148" t="s">
        <v>43</v>
      </c>
      <c r="I148" t="s">
        <v>457</v>
      </c>
      <c r="J148" t="s">
        <v>458</v>
      </c>
      <c r="M148" t="s">
        <v>204</v>
      </c>
      <c r="O148" t="s">
        <v>205</v>
      </c>
      <c r="P148" t="s">
        <v>206</v>
      </c>
      <c r="Q148" t="s">
        <v>49</v>
      </c>
      <c r="R148" t="s">
        <v>121</v>
      </c>
      <c r="S148" s="1">
        <v>46023</v>
      </c>
      <c r="U148" t="s">
        <v>51</v>
      </c>
      <c r="X148" t="s">
        <v>52</v>
      </c>
      <c r="Y148" s="2">
        <v>0</v>
      </c>
      <c r="Z148" s="2">
        <v>347</v>
      </c>
      <c r="AA148">
        <v>1</v>
      </c>
      <c r="AB148" s="3">
        <v>1</v>
      </c>
      <c r="AC148" s="2">
        <v>347</v>
      </c>
      <c r="AD148" s="3">
        <v>0</v>
      </c>
      <c r="AE148" s="2">
        <v>0</v>
      </c>
      <c r="AF148" s="2">
        <v>347</v>
      </c>
      <c r="AK148">
        <v>6123272</v>
      </c>
      <c r="AL148" t="s">
        <v>122</v>
      </c>
    </row>
    <row r="149" spans="1:38" x14ac:dyDescent="0.25">
      <c r="A149" s="1">
        <v>46029</v>
      </c>
      <c r="B149" s="1">
        <v>46029</v>
      </c>
      <c r="C149" t="s">
        <v>38</v>
      </c>
      <c r="D149" t="s">
        <v>39</v>
      </c>
      <c r="E149" t="s">
        <v>40</v>
      </c>
      <c r="F149" t="s">
        <v>41</v>
      </c>
      <c r="G149" t="s">
        <v>42</v>
      </c>
      <c r="H149" t="s">
        <v>43</v>
      </c>
      <c r="I149" t="s">
        <v>459</v>
      </c>
      <c r="J149" t="s">
        <v>460</v>
      </c>
      <c r="M149" t="s">
        <v>46</v>
      </c>
      <c r="O149" t="s">
        <v>176</v>
      </c>
      <c r="P149" t="s">
        <v>177</v>
      </c>
      <c r="Q149" t="s">
        <v>49</v>
      </c>
      <c r="R149" t="s">
        <v>121</v>
      </c>
      <c r="S149" s="1">
        <v>46023</v>
      </c>
      <c r="U149" t="s">
        <v>51</v>
      </c>
      <c r="X149" t="s">
        <v>52</v>
      </c>
      <c r="Y149" s="2">
        <v>0</v>
      </c>
      <c r="Z149" s="2">
        <v>347</v>
      </c>
      <c r="AA149">
        <v>1</v>
      </c>
      <c r="AB149" s="3">
        <v>1</v>
      </c>
      <c r="AC149" s="2">
        <v>347</v>
      </c>
      <c r="AD149" s="3">
        <v>0</v>
      </c>
      <c r="AE149" s="2">
        <v>0</v>
      </c>
      <c r="AF149" s="2">
        <v>347</v>
      </c>
      <c r="AK149">
        <v>6123273</v>
      </c>
      <c r="AL149" t="s">
        <v>122</v>
      </c>
    </row>
    <row r="150" spans="1:38" x14ac:dyDescent="0.25">
      <c r="A150" s="1">
        <v>46029</v>
      </c>
      <c r="B150" s="1">
        <v>46029</v>
      </c>
      <c r="C150" t="s">
        <v>38</v>
      </c>
      <c r="D150" t="s">
        <v>39</v>
      </c>
      <c r="E150" t="s">
        <v>40</v>
      </c>
      <c r="F150" t="s">
        <v>41</v>
      </c>
      <c r="G150" t="s">
        <v>42</v>
      </c>
      <c r="H150" t="s">
        <v>43</v>
      </c>
      <c r="I150" t="s">
        <v>461</v>
      </c>
      <c r="J150" t="s">
        <v>462</v>
      </c>
      <c r="M150" t="s">
        <v>173</v>
      </c>
      <c r="O150" t="s">
        <v>301</v>
      </c>
      <c r="P150" t="s">
        <v>302</v>
      </c>
      <c r="Q150" t="s">
        <v>49</v>
      </c>
      <c r="R150" t="s">
        <v>121</v>
      </c>
      <c r="S150" s="1">
        <v>46023</v>
      </c>
      <c r="U150" t="s">
        <v>51</v>
      </c>
      <c r="X150" t="s">
        <v>52</v>
      </c>
      <c r="Y150" s="2">
        <v>0</v>
      </c>
      <c r="Z150" s="2">
        <v>347</v>
      </c>
      <c r="AA150">
        <v>1</v>
      </c>
      <c r="AB150" s="3">
        <v>1</v>
      </c>
      <c r="AC150" s="2">
        <v>347</v>
      </c>
      <c r="AD150" s="3">
        <v>0</v>
      </c>
      <c r="AE150" s="2">
        <v>0</v>
      </c>
      <c r="AF150" s="2">
        <v>347</v>
      </c>
      <c r="AK150">
        <v>6123274</v>
      </c>
      <c r="AL150" t="s">
        <v>122</v>
      </c>
    </row>
    <row r="151" spans="1:38" x14ac:dyDescent="0.25">
      <c r="A151" s="1">
        <v>46029</v>
      </c>
      <c r="B151" s="1">
        <v>46029</v>
      </c>
      <c r="C151" t="s">
        <v>38</v>
      </c>
      <c r="D151" t="s">
        <v>39</v>
      </c>
      <c r="E151" t="s">
        <v>40</v>
      </c>
      <c r="F151" t="s">
        <v>41</v>
      </c>
      <c r="G151" t="s">
        <v>42</v>
      </c>
      <c r="H151" t="s">
        <v>43</v>
      </c>
      <c r="I151" t="s">
        <v>463</v>
      </c>
      <c r="J151" t="s">
        <v>464</v>
      </c>
      <c r="M151" t="s">
        <v>86</v>
      </c>
      <c r="O151" t="s">
        <v>219</v>
      </c>
      <c r="P151" t="s">
        <v>220</v>
      </c>
      <c r="Q151" t="s">
        <v>49</v>
      </c>
      <c r="R151" t="s">
        <v>121</v>
      </c>
      <c r="S151" s="1">
        <v>46023</v>
      </c>
      <c r="U151" t="s">
        <v>51</v>
      </c>
      <c r="X151" t="s">
        <v>52</v>
      </c>
      <c r="Y151" s="2">
        <v>0</v>
      </c>
      <c r="Z151" s="2">
        <v>347</v>
      </c>
      <c r="AA151">
        <v>1</v>
      </c>
      <c r="AB151" s="3">
        <v>1</v>
      </c>
      <c r="AC151" s="2">
        <v>347</v>
      </c>
      <c r="AD151" s="3">
        <v>0</v>
      </c>
      <c r="AE151" s="2">
        <v>0</v>
      </c>
      <c r="AF151" s="2">
        <v>347</v>
      </c>
      <c r="AK151">
        <v>6123276</v>
      </c>
      <c r="AL151" t="s">
        <v>122</v>
      </c>
    </row>
    <row r="152" spans="1:38" x14ac:dyDescent="0.25">
      <c r="A152" s="1">
        <v>46029</v>
      </c>
      <c r="B152" s="1">
        <v>46029</v>
      </c>
      <c r="C152" t="s">
        <v>38</v>
      </c>
      <c r="D152" t="s">
        <v>39</v>
      </c>
      <c r="E152" t="s">
        <v>40</v>
      </c>
      <c r="F152" t="s">
        <v>41</v>
      </c>
      <c r="G152" t="s">
        <v>42</v>
      </c>
      <c r="H152" t="s">
        <v>43</v>
      </c>
      <c r="I152" t="s">
        <v>465</v>
      </c>
      <c r="J152" t="s">
        <v>466</v>
      </c>
      <c r="M152" t="s">
        <v>413</v>
      </c>
      <c r="O152" t="s">
        <v>255</v>
      </c>
      <c r="P152" t="s">
        <v>256</v>
      </c>
      <c r="Q152" t="s">
        <v>49</v>
      </c>
      <c r="R152" t="s">
        <v>414</v>
      </c>
      <c r="S152" s="1">
        <v>46023</v>
      </c>
      <c r="U152" t="s">
        <v>51</v>
      </c>
      <c r="X152" t="s">
        <v>52</v>
      </c>
      <c r="Y152" s="2">
        <v>0</v>
      </c>
      <c r="Z152" s="2">
        <v>432</v>
      </c>
      <c r="AA152">
        <v>1</v>
      </c>
      <c r="AB152" s="3">
        <v>1</v>
      </c>
      <c r="AC152" s="2">
        <v>432</v>
      </c>
      <c r="AD152" s="3">
        <v>0</v>
      </c>
      <c r="AE152" s="2">
        <v>0</v>
      </c>
      <c r="AF152" s="2">
        <v>432</v>
      </c>
      <c r="AK152">
        <v>6123277</v>
      </c>
      <c r="AL152" t="s">
        <v>122</v>
      </c>
    </row>
    <row r="153" spans="1:38" x14ac:dyDescent="0.25">
      <c r="A153" s="1">
        <v>46029</v>
      </c>
      <c r="B153" s="1">
        <v>46029</v>
      </c>
      <c r="C153" t="s">
        <v>38</v>
      </c>
      <c r="D153" t="s">
        <v>39</v>
      </c>
      <c r="E153" t="s">
        <v>40</v>
      </c>
      <c r="F153" t="s">
        <v>41</v>
      </c>
      <c r="G153" t="s">
        <v>42</v>
      </c>
      <c r="H153" t="s">
        <v>43</v>
      </c>
      <c r="I153" t="s">
        <v>467</v>
      </c>
      <c r="J153" t="s">
        <v>468</v>
      </c>
      <c r="M153" t="s">
        <v>118</v>
      </c>
      <c r="O153" t="s">
        <v>94</v>
      </c>
      <c r="P153" t="s">
        <v>95</v>
      </c>
      <c r="Q153" t="s">
        <v>49</v>
      </c>
      <c r="R153" t="s">
        <v>121</v>
      </c>
      <c r="S153" s="1">
        <v>46023</v>
      </c>
      <c r="U153" t="s">
        <v>51</v>
      </c>
      <c r="X153" t="s">
        <v>52</v>
      </c>
      <c r="Y153" s="2">
        <v>0</v>
      </c>
      <c r="Z153" s="2">
        <v>347</v>
      </c>
      <c r="AA153">
        <v>1</v>
      </c>
      <c r="AB153" s="3">
        <v>1</v>
      </c>
      <c r="AC153" s="2">
        <v>347</v>
      </c>
      <c r="AD153" s="3">
        <v>0</v>
      </c>
      <c r="AE153" s="2">
        <v>0</v>
      </c>
      <c r="AF153" s="2">
        <v>347</v>
      </c>
      <c r="AK153">
        <v>6123278</v>
      </c>
      <c r="AL153" t="s">
        <v>122</v>
      </c>
    </row>
    <row r="154" spans="1:38" x14ac:dyDescent="0.25">
      <c r="A154" s="1">
        <v>46029</v>
      </c>
      <c r="B154" s="1">
        <v>46029</v>
      </c>
      <c r="C154" t="s">
        <v>38</v>
      </c>
      <c r="D154" t="s">
        <v>39</v>
      </c>
      <c r="E154" t="s">
        <v>40</v>
      </c>
      <c r="F154" t="s">
        <v>41</v>
      </c>
      <c r="G154" t="s">
        <v>42</v>
      </c>
      <c r="H154" t="s">
        <v>43</v>
      </c>
      <c r="I154" t="s">
        <v>469</v>
      </c>
      <c r="J154" t="s">
        <v>470</v>
      </c>
      <c r="M154" t="s">
        <v>46</v>
      </c>
      <c r="O154" t="s">
        <v>312</v>
      </c>
      <c r="P154" t="s">
        <v>313</v>
      </c>
      <c r="Q154" t="s">
        <v>49</v>
      </c>
      <c r="R154" t="s">
        <v>121</v>
      </c>
      <c r="S154" s="1">
        <v>46023</v>
      </c>
      <c r="U154" t="s">
        <v>51</v>
      </c>
      <c r="X154" t="s">
        <v>52</v>
      </c>
      <c r="Y154" s="2">
        <v>0</v>
      </c>
      <c r="Z154" s="2">
        <v>347</v>
      </c>
      <c r="AA154">
        <v>1</v>
      </c>
      <c r="AB154" s="3">
        <v>1</v>
      </c>
      <c r="AC154" s="2">
        <v>347</v>
      </c>
      <c r="AD154" s="3">
        <v>0</v>
      </c>
      <c r="AE154" s="2">
        <v>0</v>
      </c>
      <c r="AF154" s="2">
        <v>347</v>
      </c>
      <c r="AK154">
        <v>6123280</v>
      </c>
      <c r="AL154" t="s">
        <v>122</v>
      </c>
    </row>
    <row r="155" spans="1:38" x14ac:dyDescent="0.25">
      <c r="A155" s="1">
        <v>46029</v>
      </c>
      <c r="B155" s="1">
        <v>46029</v>
      </c>
      <c r="C155" t="s">
        <v>38</v>
      </c>
      <c r="D155" t="s">
        <v>39</v>
      </c>
      <c r="E155" t="s">
        <v>40</v>
      </c>
      <c r="F155" t="s">
        <v>41</v>
      </c>
      <c r="G155" t="s">
        <v>42</v>
      </c>
      <c r="H155" t="s">
        <v>43</v>
      </c>
      <c r="I155" t="s">
        <v>471</v>
      </c>
      <c r="J155" t="s">
        <v>472</v>
      </c>
      <c r="M155" t="s">
        <v>46</v>
      </c>
      <c r="O155" t="s">
        <v>439</v>
      </c>
      <c r="P155" t="s">
        <v>440</v>
      </c>
      <c r="Q155" t="s">
        <v>49</v>
      </c>
      <c r="R155" t="s">
        <v>178</v>
      </c>
      <c r="S155" s="1">
        <v>46023</v>
      </c>
      <c r="U155" t="s">
        <v>51</v>
      </c>
      <c r="X155" t="s">
        <v>52</v>
      </c>
      <c r="Y155" s="2">
        <v>0</v>
      </c>
      <c r="Z155" s="2">
        <v>203</v>
      </c>
      <c r="AA155">
        <v>1</v>
      </c>
      <c r="AB155" s="3">
        <v>1</v>
      </c>
      <c r="AC155" s="2">
        <v>203</v>
      </c>
      <c r="AD155" s="3">
        <v>0</v>
      </c>
      <c r="AE155" s="2">
        <v>0</v>
      </c>
      <c r="AF155" s="2">
        <v>203</v>
      </c>
      <c r="AK155">
        <v>6123281</v>
      </c>
      <c r="AL155" t="s">
        <v>122</v>
      </c>
    </row>
    <row r="156" spans="1:38" x14ac:dyDescent="0.25">
      <c r="A156" s="1">
        <v>46029</v>
      </c>
      <c r="B156" s="1">
        <v>46029</v>
      </c>
      <c r="C156" t="s">
        <v>38</v>
      </c>
      <c r="D156" t="s">
        <v>39</v>
      </c>
      <c r="E156" t="s">
        <v>40</v>
      </c>
      <c r="F156" t="s">
        <v>41</v>
      </c>
      <c r="G156" t="s">
        <v>42</v>
      </c>
      <c r="H156" t="s">
        <v>43</v>
      </c>
      <c r="I156" t="s">
        <v>473</v>
      </c>
      <c r="J156" t="s">
        <v>474</v>
      </c>
      <c r="M156" t="s">
        <v>46</v>
      </c>
      <c r="O156" t="s">
        <v>312</v>
      </c>
      <c r="P156" t="s">
        <v>313</v>
      </c>
      <c r="Q156" t="s">
        <v>49</v>
      </c>
      <c r="R156" t="s">
        <v>121</v>
      </c>
      <c r="S156" s="1">
        <v>46023</v>
      </c>
      <c r="U156" t="s">
        <v>51</v>
      </c>
      <c r="X156" t="s">
        <v>52</v>
      </c>
      <c r="Y156" s="2">
        <v>0</v>
      </c>
      <c r="Z156" s="2">
        <v>347</v>
      </c>
      <c r="AA156">
        <v>1</v>
      </c>
      <c r="AB156" s="3">
        <v>1</v>
      </c>
      <c r="AC156" s="2">
        <v>347</v>
      </c>
      <c r="AD156" s="3">
        <v>0</v>
      </c>
      <c r="AE156" s="2">
        <v>0</v>
      </c>
      <c r="AF156" s="2">
        <v>347</v>
      </c>
      <c r="AK156">
        <v>6123282</v>
      </c>
      <c r="AL156" t="s">
        <v>122</v>
      </c>
    </row>
    <row r="157" spans="1:38" x14ac:dyDescent="0.25">
      <c r="A157" s="1">
        <v>46029</v>
      </c>
      <c r="B157" s="1">
        <v>46029</v>
      </c>
      <c r="C157" t="s">
        <v>38</v>
      </c>
      <c r="D157" t="s">
        <v>39</v>
      </c>
      <c r="E157" t="s">
        <v>40</v>
      </c>
      <c r="F157" t="s">
        <v>41</v>
      </c>
      <c r="G157" t="s">
        <v>42</v>
      </c>
      <c r="H157" t="s">
        <v>43</v>
      </c>
      <c r="I157" t="s">
        <v>475</v>
      </c>
      <c r="J157" t="s">
        <v>476</v>
      </c>
      <c r="M157" t="s">
        <v>196</v>
      </c>
      <c r="O157" t="s">
        <v>197</v>
      </c>
      <c r="P157" t="s">
        <v>198</v>
      </c>
      <c r="Q157" t="s">
        <v>49</v>
      </c>
      <c r="R157" t="s">
        <v>121</v>
      </c>
      <c r="S157" s="1">
        <v>46023</v>
      </c>
      <c r="U157" t="s">
        <v>51</v>
      </c>
      <c r="X157" t="s">
        <v>52</v>
      </c>
      <c r="Y157" s="2">
        <v>0</v>
      </c>
      <c r="Z157" s="2">
        <v>347</v>
      </c>
      <c r="AA157">
        <v>1</v>
      </c>
      <c r="AB157" s="3">
        <v>1</v>
      </c>
      <c r="AC157" s="2">
        <v>347</v>
      </c>
      <c r="AD157" s="3">
        <v>0</v>
      </c>
      <c r="AE157" s="2">
        <v>0</v>
      </c>
      <c r="AF157" s="2">
        <v>347</v>
      </c>
      <c r="AK157">
        <v>6123283</v>
      </c>
      <c r="AL157" t="s">
        <v>122</v>
      </c>
    </row>
    <row r="158" spans="1:38" x14ac:dyDescent="0.25">
      <c r="A158" s="1">
        <v>46029</v>
      </c>
      <c r="B158" s="1">
        <v>46029</v>
      </c>
      <c r="C158" t="s">
        <v>38</v>
      </c>
      <c r="D158" t="s">
        <v>39</v>
      </c>
      <c r="E158" t="s">
        <v>40</v>
      </c>
      <c r="F158" t="s">
        <v>41</v>
      </c>
      <c r="G158" t="s">
        <v>42</v>
      </c>
      <c r="H158" t="s">
        <v>43</v>
      </c>
      <c r="I158" t="s">
        <v>477</v>
      </c>
      <c r="J158" t="s">
        <v>478</v>
      </c>
      <c r="M158" t="s">
        <v>46</v>
      </c>
      <c r="O158" t="s">
        <v>62</v>
      </c>
      <c r="P158" t="s">
        <v>63</v>
      </c>
      <c r="Q158" t="s">
        <v>49</v>
      </c>
      <c r="R158" t="s">
        <v>121</v>
      </c>
      <c r="S158" s="1">
        <v>46023</v>
      </c>
      <c r="U158" t="s">
        <v>51</v>
      </c>
      <c r="X158" t="s">
        <v>52</v>
      </c>
      <c r="Y158" s="2">
        <v>0</v>
      </c>
      <c r="Z158" s="2">
        <v>347</v>
      </c>
      <c r="AA158">
        <v>1</v>
      </c>
      <c r="AB158" s="3">
        <v>1</v>
      </c>
      <c r="AC158" s="2">
        <v>347</v>
      </c>
      <c r="AD158" s="3">
        <v>0</v>
      </c>
      <c r="AE158" s="2">
        <v>0</v>
      </c>
      <c r="AF158" s="2">
        <v>347</v>
      </c>
      <c r="AK158">
        <v>6123284</v>
      </c>
      <c r="AL158" t="s">
        <v>122</v>
      </c>
    </row>
    <row r="159" spans="1:38" x14ac:dyDescent="0.25">
      <c r="A159" s="1">
        <v>46029</v>
      </c>
      <c r="B159" s="1">
        <v>46029</v>
      </c>
      <c r="C159" t="s">
        <v>38</v>
      </c>
      <c r="D159" t="s">
        <v>39</v>
      </c>
      <c r="E159" t="s">
        <v>40</v>
      </c>
      <c r="F159" t="s">
        <v>41</v>
      </c>
      <c r="G159" t="s">
        <v>42</v>
      </c>
      <c r="H159" t="s">
        <v>43</v>
      </c>
      <c r="I159" t="s">
        <v>479</v>
      </c>
      <c r="J159" t="s">
        <v>480</v>
      </c>
      <c r="M159" t="s">
        <v>146</v>
      </c>
      <c r="O159" t="s">
        <v>67</v>
      </c>
      <c r="P159" t="s">
        <v>68</v>
      </c>
      <c r="Q159" t="s">
        <v>49</v>
      </c>
      <c r="R159" t="s">
        <v>178</v>
      </c>
      <c r="S159" s="1">
        <v>46023</v>
      </c>
      <c r="U159" t="s">
        <v>51</v>
      </c>
      <c r="X159" t="s">
        <v>52</v>
      </c>
      <c r="Y159" s="2">
        <v>0</v>
      </c>
      <c r="Z159" s="2">
        <v>203</v>
      </c>
      <c r="AA159">
        <v>1</v>
      </c>
      <c r="AB159" s="3">
        <v>1</v>
      </c>
      <c r="AC159" s="2">
        <v>203</v>
      </c>
      <c r="AD159" s="3">
        <v>0</v>
      </c>
      <c r="AE159" s="2">
        <v>0</v>
      </c>
      <c r="AF159" s="2">
        <v>203</v>
      </c>
      <c r="AK159">
        <v>6123285</v>
      </c>
      <c r="AL159" t="s">
        <v>122</v>
      </c>
    </row>
    <row r="160" spans="1:38" x14ac:dyDescent="0.25">
      <c r="A160" s="1">
        <v>46029</v>
      </c>
      <c r="B160" s="1">
        <v>46029</v>
      </c>
      <c r="C160" t="s">
        <v>38</v>
      </c>
      <c r="D160" t="s">
        <v>39</v>
      </c>
      <c r="E160" t="s">
        <v>40</v>
      </c>
      <c r="F160" t="s">
        <v>41</v>
      </c>
      <c r="G160" t="s">
        <v>42</v>
      </c>
      <c r="H160" t="s">
        <v>43</v>
      </c>
      <c r="I160" t="s">
        <v>481</v>
      </c>
      <c r="J160" t="s">
        <v>482</v>
      </c>
      <c r="M160" t="s">
        <v>223</v>
      </c>
      <c r="O160" t="s">
        <v>94</v>
      </c>
      <c r="P160" t="s">
        <v>95</v>
      </c>
      <c r="Q160" t="s">
        <v>49</v>
      </c>
      <c r="R160" t="s">
        <v>121</v>
      </c>
      <c r="S160" s="1">
        <v>46023</v>
      </c>
      <c r="U160" t="s">
        <v>51</v>
      </c>
      <c r="X160" t="s">
        <v>52</v>
      </c>
      <c r="Y160" s="2">
        <v>0</v>
      </c>
      <c r="Z160" s="2">
        <v>347</v>
      </c>
      <c r="AA160">
        <v>1</v>
      </c>
      <c r="AB160" s="3">
        <v>1</v>
      </c>
      <c r="AC160" s="2">
        <v>347</v>
      </c>
      <c r="AD160" s="3">
        <v>0</v>
      </c>
      <c r="AE160" s="2">
        <v>0</v>
      </c>
      <c r="AF160" s="2">
        <v>347</v>
      </c>
      <c r="AK160">
        <v>6123286</v>
      </c>
      <c r="AL160" t="s">
        <v>122</v>
      </c>
    </row>
    <row r="161" spans="1:38" x14ac:dyDescent="0.25">
      <c r="A161" s="1">
        <v>46029</v>
      </c>
      <c r="B161" s="1">
        <v>46029</v>
      </c>
      <c r="C161" t="s">
        <v>38</v>
      </c>
      <c r="D161" t="s">
        <v>39</v>
      </c>
      <c r="E161" t="s">
        <v>40</v>
      </c>
      <c r="F161" t="s">
        <v>41</v>
      </c>
      <c r="G161" t="s">
        <v>42</v>
      </c>
      <c r="H161" t="s">
        <v>43</v>
      </c>
      <c r="I161" t="s">
        <v>483</v>
      </c>
      <c r="J161" t="s">
        <v>484</v>
      </c>
      <c r="M161" t="s">
        <v>223</v>
      </c>
      <c r="O161" t="s">
        <v>94</v>
      </c>
      <c r="P161" t="s">
        <v>95</v>
      </c>
      <c r="Q161" t="s">
        <v>49</v>
      </c>
      <c r="R161" t="s">
        <v>121</v>
      </c>
      <c r="S161" s="1">
        <v>46023</v>
      </c>
      <c r="U161" t="s">
        <v>51</v>
      </c>
      <c r="X161" t="s">
        <v>52</v>
      </c>
      <c r="Y161" s="2">
        <v>0</v>
      </c>
      <c r="Z161" s="2">
        <v>347</v>
      </c>
      <c r="AA161">
        <v>1</v>
      </c>
      <c r="AB161" s="3">
        <v>1</v>
      </c>
      <c r="AC161" s="2">
        <v>347</v>
      </c>
      <c r="AD161" s="3">
        <v>0</v>
      </c>
      <c r="AE161" s="2">
        <v>0</v>
      </c>
      <c r="AF161" s="2">
        <v>347</v>
      </c>
      <c r="AK161">
        <v>6123287</v>
      </c>
      <c r="AL161" t="s">
        <v>122</v>
      </c>
    </row>
    <row r="162" spans="1:38" x14ac:dyDescent="0.25">
      <c r="A162" s="1">
        <v>46029</v>
      </c>
      <c r="B162" s="1">
        <v>46029</v>
      </c>
      <c r="C162" t="s">
        <v>38</v>
      </c>
      <c r="D162" t="s">
        <v>39</v>
      </c>
      <c r="E162" t="s">
        <v>40</v>
      </c>
      <c r="F162" t="s">
        <v>41</v>
      </c>
      <c r="G162" t="s">
        <v>42</v>
      </c>
      <c r="H162" t="s">
        <v>43</v>
      </c>
      <c r="I162" t="s">
        <v>485</v>
      </c>
      <c r="J162" t="s">
        <v>486</v>
      </c>
      <c r="M162" t="s">
        <v>201</v>
      </c>
      <c r="O162" t="s">
        <v>94</v>
      </c>
      <c r="P162" t="s">
        <v>95</v>
      </c>
      <c r="Q162" t="s">
        <v>49</v>
      </c>
      <c r="R162" t="s">
        <v>121</v>
      </c>
      <c r="S162" s="1">
        <v>46023</v>
      </c>
      <c r="U162" t="s">
        <v>51</v>
      </c>
      <c r="X162" t="s">
        <v>52</v>
      </c>
      <c r="Y162" s="2">
        <v>0</v>
      </c>
      <c r="Z162" s="2">
        <v>347</v>
      </c>
      <c r="AA162">
        <v>1</v>
      </c>
      <c r="AB162" s="3">
        <v>1</v>
      </c>
      <c r="AC162" s="2">
        <v>347</v>
      </c>
      <c r="AD162" s="3">
        <v>0</v>
      </c>
      <c r="AE162" s="2">
        <v>0</v>
      </c>
      <c r="AF162" s="2">
        <v>347</v>
      </c>
      <c r="AK162">
        <v>6123289</v>
      </c>
      <c r="AL162" t="s">
        <v>122</v>
      </c>
    </row>
    <row r="163" spans="1:38" x14ac:dyDescent="0.25">
      <c r="A163" s="1">
        <v>46029</v>
      </c>
      <c r="B163" s="1">
        <v>46029</v>
      </c>
      <c r="C163" t="s">
        <v>38</v>
      </c>
      <c r="D163" t="s">
        <v>39</v>
      </c>
      <c r="E163" t="s">
        <v>40</v>
      </c>
      <c r="F163" t="s">
        <v>41</v>
      </c>
      <c r="G163" t="s">
        <v>42</v>
      </c>
      <c r="H163" t="s">
        <v>43</v>
      </c>
      <c r="I163" t="s">
        <v>487</v>
      </c>
      <c r="J163" t="s">
        <v>488</v>
      </c>
      <c r="M163" t="s">
        <v>118</v>
      </c>
      <c r="O163" t="s">
        <v>94</v>
      </c>
      <c r="P163" t="s">
        <v>95</v>
      </c>
      <c r="Q163" t="s">
        <v>49</v>
      </c>
      <c r="R163" t="s">
        <v>178</v>
      </c>
      <c r="S163" s="1">
        <v>46023</v>
      </c>
      <c r="U163" t="s">
        <v>51</v>
      </c>
      <c r="X163" t="s">
        <v>52</v>
      </c>
      <c r="Y163" s="2">
        <v>0</v>
      </c>
      <c r="Z163" s="2">
        <v>203</v>
      </c>
      <c r="AA163">
        <v>1</v>
      </c>
      <c r="AB163" s="3">
        <v>1</v>
      </c>
      <c r="AC163" s="2">
        <v>203</v>
      </c>
      <c r="AD163" s="3">
        <v>0</v>
      </c>
      <c r="AE163" s="2">
        <v>0</v>
      </c>
      <c r="AF163" s="2">
        <v>203</v>
      </c>
      <c r="AK163">
        <v>6123290</v>
      </c>
      <c r="AL163" t="s">
        <v>122</v>
      </c>
    </row>
    <row r="164" spans="1:38" x14ac:dyDescent="0.25">
      <c r="A164" s="1">
        <v>46029</v>
      </c>
      <c r="B164" s="1">
        <v>46029</v>
      </c>
      <c r="C164" t="s">
        <v>38</v>
      </c>
      <c r="D164" t="s">
        <v>39</v>
      </c>
      <c r="E164" t="s">
        <v>40</v>
      </c>
      <c r="F164" t="s">
        <v>41</v>
      </c>
      <c r="G164" t="s">
        <v>42</v>
      </c>
      <c r="H164" t="s">
        <v>43</v>
      </c>
      <c r="I164" t="s">
        <v>489</v>
      </c>
      <c r="J164" t="s">
        <v>490</v>
      </c>
      <c r="M164" t="s">
        <v>173</v>
      </c>
      <c r="O164" t="s">
        <v>67</v>
      </c>
      <c r="P164" t="s">
        <v>68</v>
      </c>
      <c r="Q164" t="s">
        <v>49</v>
      </c>
      <c r="R164" t="s">
        <v>121</v>
      </c>
      <c r="S164" s="1">
        <v>46023</v>
      </c>
      <c r="U164" t="s">
        <v>51</v>
      </c>
      <c r="X164" t="s">
        <v>52</v>
      </c>
      <c r="Y164" s="2">
        <v>0</v>
      </c>
      <c r="Z164" s="2">
        <v>347</v>
      </c>
      <c r="AA164">
        <v>1</v>
      </c>
      <c r="AB164" s="3">
        <v>1</v>
      </c>
      <c r="AC164" s="2">
        <v>347</v>
      </c>
      <c r="AD164" s="3">
        <v>0</v>
      </c>
      <c r="AE164" s="2">
        <v>0</v>
      </c>
      <c r="AF164" s="2">
        <v>347</v>
      </c>
      <c r="AK164">
        <v>6123291</v>
      </c>
      <c r="AL164" t="s">
        <v>122</v>
      </c>
    </row>
    <row r="165" spans="1:38" x14ac:dyDescent="0.25">
      <c r="A165" s="1">
        <v>46029</v>
      </c>
      <c r="B165" s="1">
        <v>46029</v>
      </c>
      <c r="C165" t="s">
        <v>38</v>
      </c>
      <c r="D165" t="s">
        <v>39</v>
      </c>
      <c r="E165" t="s">
        <v>40</v>
      </c>
      <c r="F165" t="s">
        <v>41</v>
      </c>
      <c r="G165" t="s">
        <v>42</v>
      </c>
      <c r="H165" t="s">
        <v>43</v>
      </c>
      <c r="I165" t="s">
        <v>491</v>
      </c>
      <c r="J165" t="s">
        <v>492</v>
      </c>
      <c r="M165" t="s">
        <v>271</v>
      </c>
      <c r="O165" t="s">
        <v>119</v>
      </c>
      <c r="P165" t="s">
        <v>120</v>
      </c>
      <c r="Q165" t="s">
        <v>49</v>
      </c>
      <c r="R165" t="s">
        <v>121</v>
      </c>
      <c r="S165" s="1">
        <v>46023</v>
      </c>
      <c r="U165" t="s">
        <v>51</v>
      </c>
      <c r="X165" t="s">
        <v>52</v>
      </c>
      <c r="Y165" s="2">
        <v>0</v>
      </c>
      <c r="Z165" s="2">
        <v>347</v>
      </c>
      <c r="AA165">
        <v>1</v>
      </c>
      <c r="AB165" s="3">
        <v>1</v>
      </c>
      <c r="AC165" s="2">
        <v>347</v>
      </c>
      <c r="AD165" s="3">
        <v>0</v>
      </c>
      <c r="AE165" s="2">
        <v>0</v>
      </c>
      <c r="AF165" s="2">
        <v>347</v>
      </c>
      <c r="AK165">
        <v>6123292</v>
      </c>
      <c r="AL165" t="s">
        <v>122</v>
      </c>
    </row>
    <row r="166" spans="1:38" x14ac:dyDescent="0.25">
      <c r="A166" s="1">
        <v>46029</v>
      </c>
      <c r="B166" s="1">
        <v>46029</v>
      </c>
      <c r="C166" t="s">
        <v>38</v>
      </c>
      <c r="D166" t="s">
        <v>39</v>
      </c>
      <c r="E166" t="s">
        <v>40</v>
      </c>
      <c r="F166" t="s">
        <v>41</v>
      </c>
      <c r="G166" t="s">
        <v>42</v>
      </c>
      <c r="H166" t="s">
        <v>43</v>
      </c>
      <c r="I166" t="s">
        <v>493</v>
      </c>
      <c r="J166" t="s">
        <v>494</v>
      </c>
      <c r="M166" t="s">
        <v>71</v>
      </c>
      <c r="O166" t="s">
        <v>255</v>
      </c>
      <c r="P166" t="s">
        <v>256</v>
      </c>
      <c r="Q166" t="s">
        <v>49</v>
      </c>
      <c r="R166" t="s">
        <v>189</v>
      </c>
      <c r="S166" s="1">
        <v>46023</v>
      </c>
      <c r="U166" t="s">
        <v>51</v>
      </c>
      <c r="X166" t="s">
        <v>52</v>
      </c>
      <c r="Y166" s="2">
        <v>0</v>
      </c>
      <c r="Z166" s="2">
        <v>233</v>
      </c>
      <c r="AA166">
        <v>1</v>
      </c>
      <c r="AB166" s="3">
        <v>1</v>
      </c>
      <c r="AC166" s="2">
        <v>233</v>
      </c>
      <c r="AD166" s="3">
        <v>0</v>
      </c>
      <c r="AE166" s="2">
        <v>0</v>
      </c>
      <c r="AF166" s="2">
        <v>233</v>
      </c>
      <c r="AK166">
        <v>6123293</v>
      </c>
      <c r="AL166" t="s">
        <v>122</v>
      </c>
    </row>
    <row r="167" spans="1:38" x14ac:dyDescent="0.25">
      <c r="A167" s="1">
        <v>46029</v>
      </c>
      <c r="B167" s="1">
        <v>46029</v>
      </c>
      <c r="C167" t="s">
        <v>38</v>
      </c>
      <c r="D167" t="s">
        <v>39</v>
      </c>
      <c r="E167" t="s">
        <v>40</v>
      </c>
      <c r="F167" t="s">
        <v>41</v>
      </c>
      <c r="G167" t="s">
        <v>42</v>
      </c>
      <c r="H167" t="s">
        <v>43</v>
      </c>
      <c r="I167" t="s">
        <v>495</v>
      </c>
      <c r="J167" t="s">
        <v>496</v>
      </c>
      <c r="M167" t="s">
        <v>204</v>
      </c>
      <c r="O167" t="s">
        <v>205</v>
      </c>
      <c r="P167" t="s">
        <v>206</v>
      </c>
      <c r="Q167" t="s">
        <v>49</v>
      </c>
      <c r="R167" t="s">
        <v>121</v>
      </c>
      <c r="S167" s="1">
        <v>46023</v>
      </c>
      <c r="U167" t="s">
        <v>51</v>
      </c>
      <c r="X167" t="s">
        <v>52</v>
      </c>
      <c r="Y167" s="2">
        <v>0</v>
      </c>
      <c r="Z167" s="2">
        <v>347</v>
      </c>
      <c r="AA167">
        <v>1</v>
      </c>
      <c r="AB167" s="3">
        <v>1</v>
      </c>
      <c r="AC167" s="2">
        <v>347</v>
      </c>
      <c r="AD167" s="3">
        <v>0</v>
      </c>
      <c r="AE167" s="2">
        <v>0</v>
      </c>
      <c r="AF167" s="2">
        <v>347</v>
      </c>
      <c r="AK167">
        <v>6123294</v>
      </c>
      <c r="AL167" t="s">
        <v>122</v>
      </c>
    </row>
    <row r="168" spans="1:38" x14ac:dyDescent="0.25">
      <c r="A168" s="1">
        <v>46029</v>
      </c>
      <c r="B168" s="1">
        <v>46029</v>
      </c>
      <c r="C168" t="s">
        <v>38</v>
      </c>
      <c r="D168" t="s">
        <v>39</v>
      </c>
      <c r="E168" t="s">
        <v>40</v>
      </c>
      <c r="F168" t="s">
        <v>41</v>
      </c>
      <c r="G168" t="s">
        <v>42</v>
      </c>
      <c r="H168" t="s">
        <v>43</v>
      </c>
      <c r="I168" t="s">
        <v>497</v>
      </c>
      <c r="J168" t="s">
        <v>498</v>
      </c>
      <c r="M168" t="s">
        <v>46</v>
      </c>
      <c r="O168" t="s">
        <v>176</v>
      </c>
      <c r="P168" t="s">
        <v>177</v>
      </c>
      <c r="Q168" t="s">
        <v>49</v>
      </c>
      <c r="R168" t="s">
        <v>248</v>
      </c>
      <c r="S168" s="1">
        <v>46023</v>
      </c>
      <c r="U168" t="s">
        <v>51</v>
      </c>
      <c r="X168" t="s">
        <v>52</v>
      </c>
      <c r="Y168" s="2">
        <v>0</v>
      </c>
      <c r="Z168" s="2">
        <v>313</v>
      </c>
      <c r="AA168">
        <v>1</v>
      </c>
      <c r="AB168" s="3">
        <v>1</v>
      </c>
      <c r="AC168" s="2">
        <v>313</v>
      </c>
      <c r="AD168" s="3">
        <v>0</v>
      </c>
      <c r="AE168" s="2">
        <v>0</v>
      </c>
      <c r="AF168" s="2">
        <v>313</v>
      </c>
      <c r="AK168">
        <v>6123295</v>
      </c>
      <c r="AL168" t="s">
        <v>122</v>
      </c>
    </row>
    <row r="169" spans="1:38" x14ac:dyDescent="0.25">
      <c r="A169" s="1">
        <v>46029</v>
      </c>
      <c r="B169" s="1">
        <v>46029</v>
      </c>
      <c r="C169" t="s">
        <v>38</v>
      </c>
      <c r="D169" t="s">
        <v>39</v>
      </c>
      <c r="E169" t="s">
        <v>40</v>
      </c>
      <c r="F169" t="s">
        <v>41</v>
      </c>
      <c r="G169" t="s">
        <v>42</v>
      </c>
      <c r="H169" t="s">
        <v>43</v>
      </c>
      <c r="I169" t="s">
        <v>499</v>
      </c>
      <c r="J169" t="s">
        <v>500</v>
      </c>
      <c r="M169" t="s">
        <v>71</v>
      </c>
      <c r="O169" t="s">
        <v>72</v>
      </c>
      <c r="P169" t="s">
        <v>73</v>
      </c>
      <c r="Q169" t="s">
        <v>49</v>
      </c>
      <c r="R169" t="s">
        <v>243</v>
      </c>
      <c r="S169" s="1">
        <v>46023</v>
      </c>
      <c r="U169" t="s">
        <v>51</v>
      </c>
      <c r="X169" t="s">
        <v>52</v>
      </c>
      <c r="Y169" s="2">
        <v>0</v>
      </c>
      <c r="Z169" s="2">
        <v>391</v>
      </c>
      <c r="AA169">
        <v>1</v>
      </c>
      <c r="AB169" s="3">
        <v>1</v>
      </c>
      <c r="AC169" s="2">
        <v>391</v>
      </c>
      <c r="AD169" s="3">
        <v>0</v>
      </c>
      <c r="AE169" s="2">
        <v>0</v>
      </c>
      <c r="AF169" s="2">
        <v>391</v>
      </c>
      <c r="AK169">
        <v>6123297</v>
      </c>
      <c r="AL169" t="s">
        <v>122</v>
      </c>
    </row>
    <row r="170" spans="1:38" x14ac:dyDescent="0.25">
      <c r="A170" s="1">
        <v>46029</v>
      </c>
      <c r="B170" s="1">
        <v>46029</v>
      </c>
      <c r="C170" t="s">
        <v>38</v>
      </c>
      <c r="D170" t="s">
        <v>39</v>
      </c>
      <c r="E170" t="s">
        <v>40</v>
      </c>
      <c r="F170" t="s">
        <v>41</v>
      </c>
      <c r="G170" t="s">
        <v>42</v>
      </c>
      <c r="H170" t="s">
        <v>43</v>
      </c>
      <c r="I170" t="s">
        <v>501</v>
      </c>
      <c r="J170" t="s">
        <v>502</v>
      </c>
      <c r="M170" t="s">
        <v>173</v>
      </c>
      <c r="O170" t="s">
        <v>94</v>
      </c>
      <c r="P170" t="s">
        <v>95</v>
      </c>
      <c r="Q170" t="s">
        <v>49</v>
      </c>
      <c r="R170" t="s">
        <v>121</v>
      </c>
      <c r="S170" s="1">
        <v>46023</v>
      </c>
      <c r="U170" t="s">
        <v>51</v>
      </c>
      <c r="X170" t="s">
        <v>52</v>
      </c>
      <c r="Y170" s="2">
        <v>0</v>
      </c>
      <c r="Z170" s="2">
        <v>347</v>
      </c>
      <c r="AA170">
        <v>1</v>
      </c>
      <c r="AB170" s="3">
        <v>1</v>
      </c>
      <c r="AC170" s="2">
        <v>347</v>
      </c>
      <c r="AD170" s="3">
        <v>0</v>
      </c>
      <c r="AE170" s="2">
        <v>0</v>
      </c>
      <c r="AF170" s="2">
        <v>347</v>
      </c>
      <c r="AK170">
        <v>6123300</v>
      </c>
      <c r="AL170" t="s">
        <v>122</v>
      </c>
    </row>
    <row r="171" spans="1:38" x14ac:dyDescent="0.25">
      <c r="A171" s="1">
        <v>46029</v>
      </c>
      <c r="B171" s="1">
        <v>46029</v>
      </c>
      <c r="C171" t="s">
        <v>38</v>
      </c>
      <c r="D171" t="s">
        <v>39</v>
      </c>
      <c r="E171" t="s">
        <v>40</v>
      </c>
      <c r="F171" t="s">
        <v>41</v>
      </c>
      <c r="G171" t="s">
        <v>42</v>
      </c>
      <c r="H171" t="s">
        <v>43</v>
      </c>
      <c r="I171" t="s">
        <v>503</v>
      </c>
      <c r="J171" t="s">
        <v>504</v>
      </c>
      <c r="M171" t="s">
        <v>196</v>
      </c>
      <c r="O171" t="s">
        <v>67</v>
      </c>
      <c r="P171" t="s">
        <v>68</v>
      </c>
      <c r="Q171" t="s">
        <v>49</v>
      </c>
      <c r="R171" t="s">
        <v>121</v>
      </c>
      <c r="S171" s="1">
        <v>46023</v>
      </c>
      <c r="U171" t="s">
        <v>51</v>
      </c>
      <c r="X171" t="s">
        <v>52</v>
      </c>
      <c r="Y171" s="2">
        <v>0</v>
      </c>
      <c r="Z171" s="2">
        <v>347</v>
      </c>
      <c r="AA171">
        <v>1</v>
      </c>
      <c r="AB171" s="3">
        <v>1</v>
      </c>
      <c r="AC171" s="2">
        <v>347</v>
      </c>
      <c r="AD171" s="3">
        <v>0</v>
      </c>
      <c r="AE171" s="2">
        <v>0</v>
      </c>
      <c r="AF171" s="2">
        <v>347</v>
      </c>
      <c r="AK171">
        <v>6123302</v>
      </c>
      <c r="AL171" t="s">
        <v>122</v>
      </c>
    </row>
    <row r="172" spans="1:38" x14ac:dyDescent="0.25">
      <c r="A172" s="1">
        <v>46029</v>
      </c>
      <c r="B172" s="1">
        <v>46029</v>
      </c>
      <c r="C172" t="s">
        <v>38</v>
      </c>
      <c r="D172" t="s">
        <v>39</v>
      </c>
      <c r="E172" t="s">
        <v>40</v>
      </c>
      <c r="F172" t="s">
        <v>41</v>
      </c>
      <c r="G172" t="s">
        <v>42</v>
      </c>
      <c r="H172" t="s">
        <v>43</v>
      </c>
      <c r="I172" t="s">
        <v>505</v>
      </c>
      <c r="J172" t="s">
        <v>506</v>
      </c>
      <c r="M172" t="s">
        <v>86</v>
      </c>
      <c r="O172" t="s">
        <v>219</v>
      </c>
      <c r="P172" t="s">
        <v>220</v>
      </c>
      <c r="Q172" t="s">
        <v>49</v>
      </c>
      <c r="R172" t="s">
        <v>121</v>
      </c>
      <c r="S172" s="1">
        <v>46023</v>
      </c>
      <c r="U172" t="s">
        <v>51</v>
      </c>
      <c r="X172" t="s">
        <v>52</v>
      </c>
      <c r="Y172" s="2">
        <v>0</v>
      </c>
      <c r="Z172" s="2">
        <v>347</v>
      </c>
      <c r="AA172">
        <v>1</v>
      </c>
      <c r="AB172" s="3">
        <v>1</v>
      </c>
      <c r="AC172" s="2">
        <v>347</v>
      </c>
      <c r="AD172" s="3">
        <v>0</v>
      </c>
      <c r="AE172" s="2">
        <v>0</v>
      </c>
      <c r="AF172" s="2">
        <v>347</v>
      </c>
      <c r="AK172">
        <v>6123303</v>
      </c>
      <c r="AL172" t="s">
        <v>122</v>
      </c>
    </row>
    <row r="173" spans="1:38" x14ac:dyDescent="0.25">
      <c r="A173" s="1">
        <v>46029</v>
      </c>
      <c r="B173" s="1">
        <v>46029</v>
      </c>
      <c r="C173" t="s">
        <v>38</v>
      </c>
      <c r="D173" t="s">
        <v>39</v>
      </c>
      <c r="E173" t="s">
        <v>40</v>
      </c>
      <c r="F173" t="s">
        <v>41</v>
      </c>
      <c r="G173" t="s">
        <v>42</v>
      </c>
      <c r="H173" t="s">
        <v>43</v>
      </c>
      <c r="I173" t="s">
        <v>507</v>
      </c>
      <c r="J173" t="s">
        <v>508</v>
      </c>
      <c r="M173" t="s">
        <v>146</v>
      </c>
      <c r="O173" t="s">
        <v>255</v>
      </c>
      <c r="P173" t="s">
        <v>256</v>
      </c>
      <c r="Q173" t="s">
        <v>49</v>
      </c>
      <c r="R173" t="s">
        <v>121</v>
      </c>
      <c r="S173" s="1">
        <v>46023</v>
      </c>
      <c r="U173" t="s">
        <v>51</v>
      </c>
      <c r="X173" t="s">
        <v>52</v>
      </c>
      <c r="Y173" s="2">
        <v>0</v>
      </c>
      <c r="Z173" s="2">
        <v>347</v>
      </c>
      <c r="AA173">
        <v>1</v>
      </c>
      <c r="AB173" s="3">
        <v>1</v>
      </c>
      <c r="AC173" s="2">
        <v>347</v>
      </c>
      <c r="AD173" s="3">
        <v>0</v>
      </c>
      <c r="AE173" s="2">
        <v>0</v>
      </c>
      <c r="AF173" s="2">
        <v>347</v>
      </c>
      <c r="AK173">
        <v>6123304</v>
      </c>
      <c r="AL173" t="s">
        <v>122</v>
      </c>
    </row>
    <row r="174" spans="1:38" x14ac:dyDescent="0.25">
      <c r="A174" s="1">
        <v>46029</v>
      </c>
      <c r="B174" s="1">
        <v>46029</v>
      </c>
      <c r="C174" t="s">
        <v>38</v>
      </c>
      <c r="D174" t="s">
        <v>39</v>
      </c>
      <c r="E174" t="s">
        <v>40</v>
      </c>
      <c r="F174" t="s">
        <v>41</v>
      </c>
      <c r="G174" t="s">
        <v>42</v>
      </c>
      <c r="H174" t="s">
        <v>43</v>
      </c>
      <c r="I174" t="s">
        <v>509</v>
      </c>
      <c r="J174" t="s">
        <v>510</v>
      </c>
      <c r="M174" t="s">
        <v>223</v>
      </c>
      <c r="O174" t="s">
        <v>125</v>
      </c>
      <c r="P174" t="s">
        <v>126</v>
      </c>
      <c r="Q174" t="s">
        <v>49</v>
      </c>
      <c r="R174" t="s">
        <v>121</v>
      </c>
      <c r="S174" s="1">
        <v>46023</v>
      </c>
      <c r="U174" t="s">
        <v>51</v>
      </c>
      <c r="X174" t="s">
        <v>52</v>
      </c>
      <c r="Y174" s="2">
        <v>0</v>
      </c>
      <c r="Z174" s="2">
        <v>347</v>
      </c>
      <c r="AA174">
        <v>1</v>
      </c>
      <c r="AB174" s="3">
        <v>1</v>
      </c>
      <c r="AC174" s="2">
        <v>347</v>
      </c>
      <c r="AD174" s="3">
        <v>0</v>
      </c>
      <c r="AE174" s="2">
        <v>0</v>
      </c>
      <c r="AF174" s="2">
        <v>347</v>
      </c>
      <c r="AK174">
        <v>6123305</v>
      </c>
      <c r="AL174" t="s">
        <v>122</v>
      </c>
    </row>
    <row r="175" spans="1:38" x14ac:dyDescent="0.25">
      <c r="A175" s="1">
        <v>46029</v>
      </c>
      <c r="B175" s="1">
        <v>46029</v>
      </c>
      <c r="C175" t="s">
        <v>38</v>
      </c>
      <c r="D175" t="s">
        <v>39</v>
      </c>
      <c r="E175" t="s">
        <v>40</v>
      </c>
      <c r="F175" t="s">
        <v>41</v>
      </c>
      <c r="G175" t="s">
        <v>42</v>
      </c>
      <c r="H175" t="s">
        <v>43</v>
      </c>
      <c r="I175" t="s">
        <v>511</v>
      </c>
      <c r="J175" t="s">
        <v>512</v>
      </c>
      <c r="M175" t="s">
        <v>204</v>
      </c>
      <c r="O175" t="s">
        <v>62</v>
      </c>
      <c r="P175" t="s">
        <v>63</v>
      </c>
      <c r="Q175" t="s">
        <v>49</v>
      </c>
      <c r="R175" t="s">
        <v>121</v>
      </c>
      <c r="S175" s="1">
        <v>46023</v>
      </c>
      <c r="U175" t="s">
        <v>51</v>
      </c>
      <c r="X175" t="s">
        <v>52</v>
      </c>
      <c r="Y175" s="2">
        <v>0</v>
      </c>
      <c r="Z175" s="2">
        <v>347</v>
      </c>
      <c r="AA175">
        <v>1</v>
      </c>
      <c r="AB175" s="3">
        <v>1</v>
      </c>
      <c r="AC175" s="2">
        <v>347</v>
      </c>
      <c r="AD175" s="3">
        <v>0</v>
      </c>
      <c r="AE175" s="2">
        <v>0</v>
      </c>
      <c r="AF175" s="2">
        <v>347</v>
      </c>
      <c r="AK175">
        <v>6123307</v>
      </c>
      <c r="AL175" t="s">
        <v>122</v>
      </c>
    </row>
    <row r="176" spans="1:38" x14ac:dyDescent="0.25">
      <c r="A176" s="1">
        <v>46029</v>
      </c>
      <c r="B176" s="1">
        <v>46029</v>
      </c>
      <c r="C176" t="s">
        <v>38</v>
      </c>
      <c r="D176" t="s">
        <v>39</v>
      </c>
      <c r="E176" t="s">
        <v>40</v>
      </c>
      <c r="F176" t="s">
        <v>41</v>
      </c>
      <c r="G176" t="s">
        <v>42</v>
      </c>
      <c r="H176" t="s">
        <v>43</v>
      </c>
      <c r="I176" t="s">
        <v>513</v>
      </c>
      <c r="J176" t="s">
        <v>514</v>
      </c>
      <c r="M176" t="s">
        <v>46</v>
      </c>
      <c r="O176" t="s">
        <v>183</v>
      </c>
      <c r="P176" t="s">
        <v>184</v>
      </c>
      <c r="Q176" t="s">
        <v>49</v>
      </c>
      <c r="R176" t="s">
        <v>178</v>
      </c>
      <c r="S176" s="1">
        <v>46023</v>
      </c>
      <c r="U176" t="s">
        <v>51</v>
      </c>
      <c r="X176" t="s">
        <v>52</v>
      </c>
      <c r="Y176" s="2">
        <v>0</v>
      </c>
      <c r="Z176" s="2">
        <v>203</v>
      </c>
      <c r="AA176">
        <v>1</v>
      </c>
      <c r="AB176" s="3">
        <v>1</v>
      </c>
      <c r="AC176" s="2">
        <v>203</v>
      </c>
      <c r="AD176" s="3">
        <v>0</v>
      </c>
      <c r="AE176" s="2">
        <v>0</v>
      </c>
      <c r="AF176" s="2">
        <v>203</v>
      </c>
      <c r="AK176">
        <v>6123308</v>
      </c>
      <c r="AL176" t="s">
        <v>122</v>
      </c>
    </row>
    <row r="177" spans="1:38" x14ac:dyDescent="0.25">
      <c r="A177" s="1">
        <v>46029</v>
      </c>
      <c r="B177" s="1">
        <v>46029</v>
      </c>
      <c r="C177" t="s">
        <v>38</v>
      </c>
      <c r="D177" t="s">
        <v>39</v>
      </c>
      <c r="E177" t="s">
        <v>40</v>
      </c>
      <c r="F177" t="s">
        <v>41</v>
      </c>
      <c r="G177" t="s">
        <v>42</v>
      </c>
      <c r="H177" t="s">
        <v>43</v>
      </c>
      <c r="I177" t="s">
        <v>515</v>
      </c>
      <c r="J177" t="s">
        <v>516</v>
      </c>
      <c r="M177" t="s">
        <v>46</v>
      </c>
      <c r="O177" t="s">
        <v>517</v>
      </c>
      <c r="P177" t="s">
        <v>518</v>
      </c>
      <c r="Q177" t="s">
        <v>49</v>
      </c>
      <c r="R177" t="s">
        <v>121</v>
      </c>
      <c r="S177" s="1">
        <v>46023</v>
      </c>
      <c r="U177" t="s">
        <v>51</v>
      </c>
      <c r="X177" t="s">
        <v>52</v>
      </c>
      <c r="Y177" s="2">
        <v>0</v>
      </c>
      <c r="Z177" s="2">
        <v>347</v>
      </c>
      <c r="AA177">
        <v>1</v>
      </c>
      <c r="AB177" s="3">
        <v>1</v>
      </c>
      <c r="AC177" s="2">
        <v>347</v>
      </c>
      <c r="AD177" s="3">
        <v>0</v>
      </c>
      <c r="AE177" s="2">
        <v>0</v>
      </c>
      <c r="AF177" s="2">
        <v>347</v>
      </c>
      <c r="AK177">
        <v>6123310</v>
      </c>
      <c r="AL177" t="s">
        <v>122</v>
      </c>
    </row>
    <row r="178" spans="1:38" x14ac:dyDescent="0.25">
      <c r="A178" s="1">
        <v>46029</v>
      </c>
      <c r="B178" s="1">
        <v>46029</v>
      </c>
      <c r="C178" t="s">
        <v>38</v>
      </c>
      <c r="D178" t="s">
        <v>39</v>
      </c>
      <c r="E178" t="s">
        <v>40</v>
      </c>
      <c r="F178" t="s">
        <v>41</v>
      </c>
      <c r="G178" t="s">
        <v>42</v>
      </c>
      <c r="H178" t="s">
        <v>43</v>
      </c>
      <c r="I178" t="s">
        <v>519</v>
      </c>
      <c r="J178" t="s">
        <v>520</v>
      </c>
      <c r="M178" t="s">
        <v>204</v>
      </c>
      <c r="O178" t="s">
        <v>324</v>
      </c>
      <c r="P178" t="s">
        <v>325</v>
      </c>
      <c r="Q178" t="s">
        <v>49</v>
      </c>
      <c r="R178" t="s">
        <v>178</v>
      </c>
      <c r="S178" s="1">
        <v>46023</v>
      </c>
      <c r="U178" t="s">
        <v>51</v>
      </c>
      <c r="X178" t="s">
        <v>52</v>
      </c>
      <c r="Y178" s="2">
        <v>0</v>
      </c>
      <c r="Z178" s="2">
        <v>203</v>
      </c>
      <c r="AA178">
        <v>1</v>
      </c>
      <c r="AB178" s="3">
        <v>1</v>
      </c>
      <c r="AC178" s="2">
        <v>203</v>
      </c>
      <c r="AD178" s="3">
        <v>0</v>
      </c>
      <c r="AE178" s="2">
        <v>0</v>
      </c>
      <c r="AF178" s="2">
        <v>203</v>
      </c>
      <c r="AK178">
        <v>6123311</v>
      </c>
      <c r="AL178" t="s">
        <v>122</v>
      </c>
    </row>
    <row r="179" spans="1:38" x14ac:dyDescent="0.25">
      <c r="A179" s="1">
        <v>46029</v>
      </c>
      <c r="B179" s="1">
        <v>46029</v>
      </c>
      <c r="C179" t="s">
        <v>38</v>
      </c>
      <c r="D179" t="s">
        <v>39</v>
      </c>
      <c r="E179" t="s">
        <v>40</v>
      </c>
      <c r="F179" t="s">
        <v>41</v>
      </c>
      <c r="G179" t="s">
        <v>42</v>
      </c>
      <c r="H179" t="s">
        <v>43</v>
      </c>
      <c r="I179" t="s">
        <v>521</v>
      </c>
      <c r="J179" t="s">
        <v>522</v>
      </c>
      <c r="M179" t="s">
        <v>46</v>
      </c>
      <c r="O179" t="s">
        <v>77</v>
      </c>
      <c r="P179" t="s">
        <v>78</v>
      </c>
      <c r="Q179" t="s">
        <v>49</v>
      </c>
      <c r="R179" t="s">
        <v>248</v>
      </c>
      <c r="S179" s="1">
        <v>46023</v>
      </c>
      <c r="U179" t="s">
        <v>51</v>
      </c>
      <c r="X179" t="s">
        <v>52</v>
      </c>
      <c r="Y179" s="2">
        <v>0</v>
      </c>
      <c r="Z179" s="2">
        <v>313</v>
      </c>
      <c r="AA179">
        <v>1</v>
      </c>
      <c r="AB179" s="3">
        <v>1</v>
      </c>
      <c r="AC179" s="2">
        <v>313</v>
      </c>
      <c r="AD179" s="3">
        <v>0</v>
      </c>
      <c r="AE179" s="2">
        <v>0</v>
      </c>
      <c r="AF179" s="2">
        <v>313</v>
      </c>
      <c r="AK179">
        <v>6123312</v>
      </c>
      <c r="AL179" t="s">
        <v>122</v>
      </c>
    </row>
    <row r="180" spans="1:38" x14ac:dyDescent="0.25">
      <c r="A180" s="1">
        <v>46029</v>
      </c>
      <c r="B180" s="1">
        <v>46029</v>
      </c>
      <c r="C180" t="s">
        <v>38</v>
      </c>
      <c r="D180" t="s">
        <v>39</v>
      </c>
      <c r="E180" t="s">
        <v>40</v>
      </c>
      <c r="F180" t="s">
        <v>41</v>
      </c>
      <c r="G180" t="s">
        <v>42</v>
      </c>
      <c r="H180" t="s">
        <v>43</v>
      </c>
      <c r="I180" t="s">
        <v>523</v>
      </c>
      <c r="J180" t="s">
        <v>524</v>
      </c>
      <c r="M180" t="s">
        <v>204</v>
      </c>
      <c r="O180" t="s">
        <v>205</v>
      </c>
      <c r="P180" t="s">
        <v>206</v>
      </c>
      <c r="Q180" t="s">
        <v>49</v>
      </c>
      <c r="R180" t="s">
        <v>248</v>
      </c>
      <c r="S180" s="1">
        <v>46023</v>
      </c>
      <c r="U180" t="s">
        <v>51</v>
      </c>
      <c r="X180" t="s">
        <v>52</v>
      </c>
      <c r="Y180" s="2">
        <v>0</v>
      </c>
      <c r="Z180" s="2">
        <v>313</v>
      </c>
      <c r="AA180">
        <v>1</v>
      </c>
      <c r="AB180" s="3">
        <v>1</v>
      </c>
      <c r="AC180" s="2">
        <v>313</v>
      </c>
      <c r="AD180" s="3">
        <v>0</v>
      </c>
      <c r="AE180" s="2">
        <v>0</v>
      </c>
      <c r="AF180" s="2">
        <v>313</v>
      </c>
      <c r="AK180">
        <v>6123313</v>
      </c>
      <c r="AL180" t="s">
        <v>122</v>
      </c>
    </row>
    <row r="181" spans="1:38" x14ac:dyDescent="0.25">
      <c r="A181" s="1">
        <v>46029</v>
      </c>
      <c r="B181" s="1">
        <v>46029</v>
      </c>
      <c r="C181" t="s">
        <v>38</v>
      </c>
      <c r="D181" t="s">
        <v>39</v>
      </c>
      <c r="E181" t="s">
        <v>40</v>
      </c>
      <c r="F181" t="s">
        <v>41</v>
      </c>
      <c r="G181" t="s">
        <v>42</v>
      </c>
      <c r="H181" t="s">
        <v>43</v>
      </c>
      <c r="I181" t="s">
        <v>525</v>
      </c>
      <c r="J181" t="s">
        <v>526</v>
      </c>
      <c r="M181" t="s">
        <v>118</v>
      </c>
      <c r="O181" t="s">
        <v>77</v>
      </c>
      <c r="P181" t="s">
        <v>78</v>
      </c>
      <c r="Q181" t="s">
        <v>49</v>
      </c>
      <c r="R181" t="s">
        <v>121</v>
      </c>
      <c r="S181" s="1">
        <v>46023</v>
      </c>
      <c r="U181" t="s">
        <v>51</v>
      </c>
      <c r="X181" t="s">
        <v>52</v>
      </c>
      <c r="Y181" s="2">
        <v>0</v>
      </c>
      <c r="Z181" s="2">
        <v>347</v>
      </c>
      <c r="AA181">
        <v>1</v>
      </c>
      <c r="AB181" s="3">
        <v>1</v>
      </c>
      <c r="AC181" s="2">
        <v>347</v>
      </c>
      <c r="AD181" s="3">
        <v>0</v>
      </c>
      <c r="AE181" s="2">
        <v>0</v>
      </c>
      <c r="AF181" s="2">
        <v>347</v>
      </c>
      <c r="AK181">
        <v>6123314</v>
      </c>
      <c r="AL181" t="s">
        <v>122</v>
      </c>
    </row>
    <row r="182" spans="1:38" x14ac:dyDescent="0.25">
      <c r="A182" s="1">
        <v>46029</v>
      </c>
      <c r="B182" s="1">
        <v>46029</v>
      </c>
      <c r="C182" t="s">
        <v>38</v>
      </c>
      <c r="D182" t="s">
        <v>39</v>
      </c>
      <c r="E182" t="s">
        <v>40</v>
      </c>
      <c r="F182" t="s">
        <v>41</v>
      </c>
      <c r="G182" t="s">
        <v>42</v>
      </c>
      <c r="H182" t="s">
        <v>43</v>
      </c>
      <c r="I182" t="s">
        <v>527</v>
      </c>
      <c r="J182" t="s">
        <v>528</v>
      </c>
      <c r="M182" t="s">
        <v>118</v>
      </c>
      <c r="O182" t="s">
        <v>230</v>
      </c>
      <c r="P182" t="s">
        <v>231</v>
      </c>
      <c r="Q182" t="s">
        <v>49</v>
      </c>
      <c r="R182" t="s">
        <v>121</v>
      </c>
      <c r="S182" s="1">
        <v>46023</v>
      </c>
      <c r="U182" t="s">
        <v>51</v>
      </c>
      <c r="X182" t="s">
        <v>52</v>
      </c>
      <c r="Y182" s="2">
        <v>0</v>
      </c>
      <c r="Z182" s="2">
        <v>347</v>
      </c>
      <c r="AA182">
        <v>1</v>
      </c>
      <c r="AB182" s="3">
        <v>1</v>
      </c>
      <c r="AC182" s="2">
        <v>347</v>
      </c>
      <c r="AD182" s="3">
        <v>0</v>
      </c>
      <c r="AE182" s="2">
        <v>0</v>
      </c>
      <c r="AF182" s="2">
        <v>347</v>
      </c>
      <c r="AK182">
        <v>6123315</v>
      </c>
      <c r="AL182" t="s">
        <v>122</v>
      </c>
    </row>
    <row r="183" spans="1:38" x14ac:dyDescent="0.25">
      <c r="A183" s="1">
        <v>46029</v>
      </c>
      <c r="B183" s="1">
        <v>46029</v>
      </c>
      <c r="C183" t="s">
        <v>38</v>
      </c>
      <c r="D183" t="s">
        <v>39</v>
      </c>
      <c r="E183" t="s">
        <v>40</v>
      </c>
      <c r="F183" t="s">
        <v>41</v>
      </c>
      <c r="G183" t="s">
        <v>42</v>
      </c>
      <c r="H183" t="s">
        <v>43</v>
      </c>
      <c r="I183" t="s">
        <v>529</v>
      </c>
      <c r="J183" t="s">
        <v>530</v>
      </c>
      <c r="M183" t="s">
        <v>271</v>
      </c>
      <c r="O183" t="s">
        <v>94</v>
      </c>
      <c r="P183" t="s">
        <v>95</v>
      </c>
      <c r="Q183" t="s">
        <v>49</v>
      </c>
      <c r="R183" t="s">
        <v>121</v>
      </c>
      <c r="S183" s="1">
        <v>46023</v>
      </c>
      <c r="U183" t="s">
        <v>51</v>
      </c>
      <c r="X183" t="s">
        <v>52</v>
      </c>
      <c r="Y183" s="2">
        <v>0</v>
      </c>
      <c r="Z183" s="2">
        <v>347</v>
      </c>
      <c r="AA183">
        <v>1</v>
      </c>
      <c r="AB183" s="3">
        <v>1</v>
      </c>
      <c r="AC183" s="2">
        <v>347</v>
      </c>
      <c r="AD183" s="3">
        <v>0</v>
      </c>
      <c r="AE183" s="2">
        <v>0</v>
      </c>
      <c r="AF183" s="2">
        <v>347</v>
      </c>
      <c r="AK183">
        <v>6123316</v>
      </c>
      <c r="AL183" t="s">
        <v>122</v>
      </c>
    </row>
    <row r="184" spans="1:38" x14ac:dyDescent="0.25">
      <c r="A184" s="1">
        <v>46029</v>
      </c>
      <c r="B184" s="1">
        <v>46029</v>
      </c>
      <c r="C184" t="s">
        <v>38</v>
      </c>
      <c r="D184" t="s">
        <v>39</v>
      </c>
      <c r="E184" t="s">
        <v>40</v>
      </c>
      <c r="F184" t="s">
        <v>41</v>
      </c>
      <c r="G184" t="s">
        <v>42</v>
      </c>
      <c r="H184" t="s">
        <v>43</v>
      </c>
      <c r="I184" t="s">
        <v>531</v>
      </c>
      <c r="J184" t="s">
        <v>532</v>
      </c>
      <c r="M184" t="s">
        <v>196</v>
      </c>
      <c r="O184" t="s">
        <v>251</v>
      </c>
      <c r="P184" t="s">
        <v>252</v>
      </c>
      <c r="Q184" t="s">
        <v>49</v>
      </c>
      <c r="R184" t="s">
        <v>121</v>
      </c>
      <c r="S184" s="1">
        <v>46023</v>
      </c>
      <c r="U184" t="s">
        <v>51</v>
      </c>
      <c r="X184" t="s">
        <v>52</v>
      </c>
      <c r="Y184" s="2">
        <v>0</v>
      </c>
      <c r="Z184" s="2">
        <v>347</v>
      </c>
      <c r="AA184">
        <v>1</v>
      </c>
      <c r="AB184" s="3">
        <v>1</v>
      </c>
      <c r="AC184" s="2">
        <v>347</v>
      </c>
      <c r="AD184" s="3">
        <v>0</v>
      </c>
      <c r="AE184" s="2">
        <v>0</v>
      </c>
      <c r="AF184" s="2">
        <v>347</v>
      </c>
      <c r="AK184">
        <v>6123317</v>
      </c>
      <c r="AL184" t="s">
        <v>122</v>
      </c>
    </row>
    <row r="185" spans="1:38" x14ac:dyDescent="0.25">
      <c r="A185" s="1">
        <v>46029</v>
      </c>
      <c r="B185" s="1">
        <v>46029</v>
      </c>
      <c r="C185" t="s">
        <v>38</v>
      </c>
      <c r="D185" t="s">
        <v>39</v>
      </c>
      <c r="E185" t="s">
        <v>40</v>
      </c>
      <c r="F185" t="s">
        <v>41</v>
      </c>
      <c r="G185" t="s">
        <v>42</v>
      </c>
      <c r="H185" t="s">
        <v>43</v>
      </c>
      <c r="I185" t="s">
        <v>533</v>
      </c>
      <c r="J185" t="s">
        <v>534</v>
      </c>
      <c r="M185" t="s">
        <v>118</v>
      </c>
      <c r="O185" t="s">
        <v>110</v>
      </c>
      <c r="P185" t="s">
        <v>111</v>
      </c>
      <c r="Q185" t="s">
        <v>49</v>
      </c>
      <c r="R185" t="s">
        <v>121</v>
      </c>
      <c r="S185" s="1">
        <v>46023</v>
      </c>
      <c r="U185" t="s">
        <v>51</v>
      </c>
      <c r="X185" t="s">
        <v>52</v>
      </c>
      <c r="Y185" s="2">
        <v>0</v>
      </c>
      <c r="Z185" s="2">
        <v>347</v>
      </c>
      <c r="AA185">
        <v>1</v>
      </c>
      <c r="AB185" s="3">
        <v>1</v>
      </c>
      <c r="AC185" s="2">
        <v>347</v>
      </c>
      <c r="AD185" s="3">
        <v>0</v>
      </c>
      <c r="AE185" s="2">
        <v>0</v>
      </c>
      <c r="AF185" s="2">
        <v>347</v>
      </c>
      <c r="AK185">
        <v>6123318</v>
      </c>
      <c r="AL185" t="s">
        <v>122</v>
      </c>
    </row>
    <row r="186" spans="1:38" x14ac:dyDescent="0.25">
      <c r="A186" s="1">
        <v>46029</v>
      </c>
      <c r="B186" s="1">
        <v>46029</v>
      </c>
      <c r="C186" t="s">
        <v>38</v>
      </c>
      <c r="D186" t="s">
        <v>39</v>
      </c>
      <c r="E186" t="s">
        <v>40</v>
      </c>
      <c r="F186" t="s">
        <v>41</v>
      </c>
      <c r="G186" t="s">
        <v>42</v>
      </c>
      <c r="H186" t="s">
        <v>43</v>
      </c>
      <c r="I186" t="s">
        <v>535</v>
      </c>
      <c r="J186" t="s">
        <v>536</v>
      </c>
      <c r="M186" t="s">
        <v>46</v>
      </c>
      <c r="O186" t="s">
        <v>439</v>
      </c>
      <c r="P186" t="s">
        <v>440</v>
      </c>
      <c r="Q186" t="s">
        <v>49</v>
      </c>
      <c r="R186" t="s">
        <v>178</v>
      </c>
      <c r="S186" s="1">
        <v>46023</v>
      </c>
      <c r="U186" t="s">
        <v>51</v>
      </c>
      <c r="X186" t="s">
        <v>52</v>
      </c>
      <c r="Y186" s="2">
        <v>0</v>
      </c>
      <c r="Z186" s="2">
        <v>203</v>
      </c>
      <c r="AA186">
        <v>1</v>
      </c>
      <c r="AB186" s="3">
        <v>1</v>
      </c>
      <c r="AC186" s="2">
        <v>203</v>
      </c>
      <c r="AD186" s="3">
        <v>0</v>
      </c>
      <c r="AE186" s="2">
        <v>0</v>
      </c>
      <c r="AF186" s="2">
        <v>203</v>
      </c>
      <c r="AK186">
        <v>6123319</v>
      </c>
      <c r="AL186" t="s">
        <v>122</v>
      </c>
    </row>
    <row r="187" spans="1:38" x14ac:dyDescent="0.25">
      <c r="A187" s="1">
        <v>46029</v>
      </c>
      <c r="B187" s="1">
        <v>46029</v>
      </c>
      <c r="C187" t="s">
        <v>38</v>
      </c>
      <c r="D187" t="s">
        <v>39</v>
      </c>
      <c r="E187" t="s">
        <v>40</v>
      </c>
      <c r="F187" t="s">
        <v>41</v>
      </c>
      <c r="G187" t="s">
        <v>42</v>
      </c>
      <c r="H187" t="s">
        <v>43</v>
      </c>
      <c r="I187" t="s">
        <v>537</v>
      </c>
      <c r="J187" t="s">
        <v>538</v>
      </c>
      <c r="M187" t="s">
        <v>204</v>
      </c>
      <c r="O187" t="s">
        <v>324</v>
      </c>
      <c r="P187" t="s">
        <v>325</v>
      </c>
      <c r="Q187" t="s">
        <v>49</v>
      </c>
      <c r="R187" t="s">
        <v>121</v>
      </c>
      <c r="S187" s="1">
        <v>46023</v>
      </c>
      <c r="U187" t="s">
        <v>51</v>
      </c>
      <c r="X187" t="s">
        <v>52</v>
      </c>
      <c r="Y187" s="2">
        <v>0</v>
      </c>
      <c r="Z187" s="2">
        <v>347</v>
      </c>
      <c r="AA187">
        <v>1</v>
      </c>
      <c r="AB187" s="3">
        <v>1</v>
      </c>
      <c r="AC187" s="2">
        <v>347</v>
      </c>
      <c r="AD187" s="3">
        <v>0</v>
      </c>
      <c r="AE187" s="2">
        <v>0</v>
      </c>
      <c r="AF187" s="2">
        <v>347</v>
      </c>
      <c r="AK187">
        <v>6123320</v>
      </c>
      <c r="AL187" t="s">
        <v>122</v>
      </c>
    </row>
    <row r="188" spans="1:38" x14ac:dyDescent="0.25">
      <c r="A188" s="1">
        <v>46029</v>
      </c>
      <c r="B188" s="1">
        <v>46029</v>
      </c>
      <c r="C188" t="s">
        <v>38</v>
      </c>
      <c r="D188" t="s">
        <v>39</v>
      </c>
      <c r="E188" t="s">
        <v>40</v>
      </c>
      <c r="F188" t="s">
        <v>41</v>
      </c>
      <c r="G188" t="s">
        <v>42</v>
      </c>
      <c r="H188" t="s">
        <v>43</v>
      </c>
      <c r="I188" t="s">
        <v>539</v>
      </c>
      <c r="J188" t="s">
        <v>540</v>
      </c>
      <c r="M188" t="s">
        <v>204</v>
      </c>
      <c r="O188" t="s">
        <v>324</v>
      </c>
      <c r="P188" t="s">
        <v>325</v>
      </c>
      <c r="Q188" t="s">
        <v>49</v>
      </c>
      <c r="R188" t="s">
        <v>121</v>
      </c>
      <c r="S188" s="1">
        <v>46023</v>
      </c>
      <c r="U188" t="s">
        <v>51</v>
      </c>
      <c r="X188" t="s">
        <v>52</v>
      </c>
      <c r="Y188" s="2">
        <v>0</v>
      </c>
      <c r="Z188" s="2">
        <v>347</v>
      </c>
      <c r="AA188">
        <v>1</v>
      </c>
      <c r="AB188" s="3">
        <v>1</v>
      </c>
      <c r="AC188" s="2">
        <v>347</v>
      </c>
      <c r="AD188" s="3">
        <v>0</v>
      </c>
      <c r="AE188" s="2">
        <v>0</v>
      </c>
      <c r="AF188" s="2">
        <v>347</v>
      </c>
      <c r="AK188">
        <v>6123321</v>
      </c>
      <c r="AL188" t="s">
        <v>122</v>
      </c>
    </row>
    <row r="189" spans="1:38" x14ac:dyDescent="0.25">
      <c r="A189" s="1">
        <v>46029</v>
      </c>
      <c r="B189" s="1">
        <v>46029</v>
      </c>
      <c r="C189" t="s">
        <v>38</v>
      </c>
      <c r="D189" t="s">
        <v>39</v>
      </c>
      <c r="E189" t="s">
        <v>40</v>
      </c>
      <c r="F189" t="s">
        <v>41</v>
      </c>
      <c r="G189" t="s">
        <v>42</v>
      </c>
      <c r="H189" t="s">
        <v>43</v>
      </c>
      <c r="I189" t="s">
        <v>541</v>
      </c>
      <c r="J189" t="s">
        <v>542</v>
      </c>
      <c r="M189" t="s">
        <v>86</v>
      </c>
      <c r="O189" t="s">
        <v>219</v>
      </c>
      <c r="P189" t="s">
        <v>220</v>
      </c>
      <c r="Q189" t="s">
        <v>49</v>
      </c>
      <c r="R189" t="s">
        <v>121</v>
      </c>
      <c r="S189" s="1">
        <v>46023</v>
      </c>
      <c r="U189" t="s">
        <v>51</v>
      </c>
      <c r="X189" t="s">
        <v>52</v>
      </c>
      <c r="Y189" s="2">
        <v>0</v>
      </c>
      <c r="Z189" s="2">
        <v>347</v>
      </c>
      <c r="AA189">
        <v>1</v>
      </c>
      <c r="AB189" s="3">
        <v>1</v>
      </c>
      <c r="AC189" s="2">
        <v>347</v>
      </c>
      <c r="AD189" s="3">
        <v>0</v>
      </c>
      <c r="AE189" s="2">
        <v>0</v>
      </c>
      <c r="AF189" s="2">
        <v>347</v>
      </c>
      <c r="AK189">
        <v>6123323</v>
      </c>
      <c r="AL189" t="s">
        <v>122</v>
      </c>
    </row>
    <row r="190" spans="1:38" x14ac:dyDescent="0.25">
      <c r="A190" s="1">
        <v>46029</v>
      </c>
      <c r="B190" s="1">
        <v>46029</v>
      </c>
      <c r="C190" t="s">
        <v>38</v>
      </c>
      <c r="D190" t="s">
        <v>39</v>
      </c>
      <c r="E190" t="s">
        <v>40</v>
      </c>
      <c r="F190" t="s">
        <v>41</v>
      </c>
      <c r="G190" t="s">
        <v>42</v>
      </c>
      <c r="H190" t="s">
        <v>43</v>
      </c>
      <c r="I190" t="s">
        <v>543</v>
      </c>
      <c r="J190" t="s">
        <v>544</v>
      </c>
      <c r="M190" t="s">
        <v>204</v>
      </c>
      <c r="O190" t="s">
        <v>205</v>
      </c>
      <c r="P190" t="s">
        <v>206</v>
      </c>
      <c r="Q190" t="s">
        <v>49</v>
      </c>
      <c r="R190" t="s">
        <v>121</v>
      </c>
      <c r="S190" s="1">
        <v>46023</v>
      </c>
      <c r="U190" t="s">
        <v>51</v>
      </c>
      <c r="X190" t="s">
        <v>52</v>
      </c>
      <c r="Y190" s="2">
        <v>0</v>
      </c>
      <c r="Z190" s="2">
        <v>347</v>
      </c>
      <c r="AA190">
        <v>1</v>
      </c>
      <c r="AB190" s="3">
        <v>1</v>
      </c>
      <c r="AC190" s="2">
        <v>347</v>
      </c>
      <c r="AD190" s="3">
        <v>0</v>
      </c>
      <c r="AE190" s="2">
        <v>0</v>
      </c>
      <c r="AF190" s="2">
        <v>347</v>
      </c>
      <c r="AK190">
        <v>6123324</v>
      </c>
      <c r="AL190" t="s">
        <v>122</v>
      </c>
    </row>
    <row r="191" spans="1:38" x14ac:dyDescent="0.25">
      <c r="A191" s="1">
        <v>46029</v>
      </c>
      <c r="B191" s="1">
        <v>46029</v>
      </c>
      <c r="C191" t="s">
        <v>38</v>
      </c>
      <c r="D191" t="s">
        <v>39</v>
      </c>
      <c r="E191" t="s">
        <v>40</v>
      </c>
      <c r="F191" t="s">
        <v>41</v>
      </c>
      <c r="G191" t="s">
        <v>42</v>
      </c>
      <c r="H191" t="s">
        <v>43</v>
      </c>
      <c r="I191" t="s">
        <v>545</v>
      </c>
      <c r="J191" t="s">
        <v>546</v>
      </c>
      <c r="M191" t="s">
        <v>204</v>
      </c>
      <c r="O191" t="s">
        <v>205</v>
      </c>
      <c r="P191" t="s">
        <v>206</v>
      </c>
      <c r="Q191" t="s">
        <v>49</v>
      </c>
      <c r="R191" t="s">
        <v>178</v>
      </c>
      <c r="S191" s="1">
        <v>46023</v>
      </c>
      <c r="U191" t="s">
        <v>51</v>
      </c>
      <c r="X191" t="s">
        <v>52</v>
      </c>
      <c r="Y191" s="2">
        <v>0</v>
      </c>
      <c r="Z191" s="2">
        <v>203</v>
      </c>
      <c r="AA191">
        <v>1</v>
      </c>
      <c r="AB191" s="3">
        <v>1</v>
      </c>
      <c r="AC191" s="2">
        <v>203</v>
      </c>
      <c r="AD191" s="3">
        <v>0</v>
      </c>
      <c r="AE191" s="2">
        <v>0</v>
      </c>
      <c r="AF191" s="2">
        <v>203</v>
      </c>
      <c r="AK191">
        <v>6123325</v>
      </c>
      <c r="AL191" t="s">
        <v>122</v>
      </c>
    </row>
    <row r="192" spans="1:38" x14ac:dyDescent="0.25">
      <c r="A192" s="1">
        <v>46029</v>
      </c>
      <c r="B192" s="1">
        <v>46029</v>
      </c>
      <c r="C192" t="s">
        <v>38</v>
      </c>
      <c r="D192" t="s">
        <v>39</v>
      </c>
      <c r="E192" t="s">
        <v>40</v>
      </c>
      <c r="F192" t="s">
        <v>41</v>
      </c>
      <c r="G192" t="s">
        <v>42</v>
      </c>
      <c r="H192" t="s">
        <v>43</v>
      </c>
      <c r="I192" t="s">
        <v>547</v>
      </c>
      <c r="J192" t="s">
        <v>548</v>
      </c>
      <c r="M192" t="s">
        <v>46</v>
      </c>
      <c r="O192" t="s">
        <v>517</v>
      </c>
      <c r="P192" t="s">
        <v>518</v>
      </c>
      <c r="Q192" t="s">
        <v>49</v>
      </c>
      <c r="R192" t="s">
        <v>121</v>
      </c>
      <c r="S192" s="1">
        <v>46023</v>
      </c>
      <c r="U192" t="s">
        <v>51</v>
      </c>
      <c r="X192" t="s">
        <v>52</v>
      </c>
      <c r="Y192" s="2">
        <v>0</v>
      </c>
      <c r="Z192" s="2">
        <v>347</v>
      </c>
      <c r="AA192">
        <v>1</v>
      </c>
      <c r="AB192" s="3">
        <v>1</v>
      </c>
      <c r="AC192" s="2">
        <v>347</v>
      </c>
      <c r="AD192" s="3">
        <v>0</v>
      </c>
      <c r="AE192" s="2">
        <v>0</v>
      </c>
      <c r="AF192" s="2">
        <v>347</v>
      </c>
      <c r="AK192">
        <v>6123326</v>
      </c>
      <c r="AL192" t="s">
        <v>122</v>
      </c>
    </row>
    <row r="193" spans="1:38" x14ac:dyDescent="0.25">
      <c r="A193" s="1">
        <v>46029</v>
      </c>
      <c r="B193" s="1">
        <v>46029</v>
      </c>
      <c r="C193" t="s">
        <v>38</v>
      </c>
      <c r="D193" t="s">
        <v>39</v>
      </c>
      <c r="E193" t="s">
        <v>40</v>
      </c>
      <c r="F193" t="s">
        <v>41</v>
      </c>
      <c r="G193" t="s">
        <v>42</v>
      </c>
      <c r="H193" t="s">
        <v>43</v>
      </c>
      <c r="I193" t="s">
        <v>549</v>
      </c>
      <c r="J193" t="s">
        <v>550</v>
      </c>
      <c r="M193" t="s">
        <v>294</v>
      </c>
      <c r="O193" t="s">
        <v>119</v>
      </c>
      <c r="P193" t="s">
        <v>120</v>
      </c>
      <c r="Q193" t="s">
        <v>49</v>
      </c>
      <c r="R193" t="s">
        <v>121</v>
      </c>
      <c r="S193" s="1">
        <v>46023</v>
      </c>
      <c r="U193" t="s">
        <v>51</v>
      </c>
      <c r="X193" t="s">
        <v>52</v>
      </c>
      <c r="Y193" s="2">
        <v>0</v>
      </c>
      <c r="Z193" s="2">
        <v>347</v>
      </c>
      <c r="AA193">
        <v>1</v>
      </c>
      <c r="AB193" s="3">
        <v>1</v>
      </c>
      <c r="AC193" s="2">
        <v>347</v>
      </c>
      <c r="AD193" s="3">
        <v>0</v>
      </c>
      <c r="AE193" s="2">
        <v>0</v>
      </c>
      <c r="AF193" s="2">
        <v>347</v>
      </c>
      <c r="AK193">
        <v>6123327</v>
      </c>
      <c r="AL193" t="s">
        <v>122</v>
      </c>
    </row>
    <row r="194" spans="1:38" x14ac:dyDescent="0.25">
      <c r="A194" s="1">
        <v>46029</v>
      </c>
      <c r="B194" s="1">
        <v>46029</v>
      </c>
      <c r="C194" t="s">
        <v>38</v>
      </c>
      <c r="D194" t="s">
        <v>39</v>
      </c>
      <c r="E194" t="s">
        <v>40</v>
      </c>
      <c r="F194" t="s">
        <v>41</v>
      </c>
      <c r="G194" t="s">
        <v>42</v>
      </c>
      <c r="H194" t="s">
        <v>43</v>
      </c>
      <c r="I194" t="s">
        <v>551</v>
      </c>
      <c r="J194" t="s">
        <v>552</v>
      </c>
      <c r="M194" t="s">
        <v>71</v>
      </c>
      <c r="O194" t="s">
        <v>284</v>
      </c>
      <c r="P194" t="s">
        <v>285</v>
      </c>
      <c r="Q194" t="s">
        <v>49</v>
      </c>
      <c r="R194" t="s">
        <v>189</v>
      </c>
      <c r="S194" s="1">
        <v>46023</v>
      </c>
      <c r="U194" t="s">
        <v>51</v>
      </c>
      <c r="X194" t="s">
        <v>52</v>
      </c>
      <c r="Y194" s="2">
        <v>0</v>
      </c>
      <c r="Z194" s="2">
        <v>233</v>
      </c>
      <c r="AA194">
        <v>1</v>
      </c>
      <c r="AB194" s="3">
        <v>1</v>
      </c>
      <c r="AC194" s="2">
        <v>233</v>
      </c>
      <c r="AD194" s="3">
        <v>0</v>
      </c>
      <c r="AE194" s="2">
        <v>0</v>
      </c>
      <c r="AF194" s="2">
        <v>233</v>
      </c>
      <c r="AK194">
        <v>6123328</v>
      </c>
      <c r="AL194" t="s">
        <v>122</v>
      </c>
    </row>
    <row r="195" spans="1:38" x14ac:dyDescent="0.25">
      <c r="A195" s="1">
        <v>46029</v>
      </c>
      <c r="B195" s="1">
        <v>46029</v>
      </c>
      <c r="C195" t="s">
        <v>38</v>
      </c>
      <c r="D195" t="s">
        <v>39</v>
      </c>
      <c r="E195" t="s">
        <v>40</v>
      </c>
      <c r="F195" t="s">
        <v>41</v>
      </c>
      <c r="G195" t="s">
        <v>42</v>
      </c>
      <c r="H195" t="s">
        <v>43</v>
      </c>
      <c r="I195" t="s">
        <v>553</v>
      </c>
      <c r="J195" t="s">
        <v>554</v>
      </c>
      <c r="M195" t="s">
        <v>46</v>
      </c>
      <c r="O195" t="s">
        <v>517</v>
      </c>
      <c r="P195" t="s">
        <v>518</v>
      </c>
      <c r="Q195" t="s">
        <v>49</v>
      </c>
      <c r="R195" t="s">
        <v>121</v>
      </c>
      <c r="S195" s="1">
        <v>46023</v>
      </c>
      <c r="U195" t="s">
        <v>51</v>
      </c>
      <c r="X195" t="s">
        <v>52</v>
      </c>
      <c r="Y195" s="2">
        <v>0</v>
      </c>
      <c r="Z195" s="2">
        <v>347</v>
      </c>
      <c r="AA195">
        <v>1</v>
      </c>
      <c r="AB195" s="3">
        <v>1</v>
      </c>
      <c r="AC195" s="2">
        <v>347</v>
      </c>
      <c r="AD195" s="3">
        <v>0</v>
      </c>
      <c r="AE195" s="2">
        <v>0</v>
      </c>
      <c r="AF195" s="2">
        <v>347</v>
      </c>
      <c r="AK195">
        <v>6123331</v>
      </c>
      <c r="AL195" t="s">
        <v>122</v>
      </c>
    </row>
    <row r="196" spans="1:38" x14ac:dyDescent="0.25">
      <c r="A196" s="1">
        <v>46029</v>
      </c>
      <c r="B196" s="1">
        <v>46029</v>
      </c>
      <c r="C196" t="s">
        <v>38</v>
      </c>
      <c r="D196" t="s">
        <v>39</v>
      </c>
      <c r="E196" t="s">
        <v>40</v>
      </c>
      <c r="F196" t="s">
        <v>41</v>
      </c>
      <c r="G196" t="s">
        <v>42</v>
      </c>
      <c r="H196" t="s">
        <v>43</v>
      </c>
      <c r="I196" t="s">
        <v>555</v>
      </c>
      <c r="J196" t="s">
        <v>556</v>
      </c>
      <c r="M196" t="s">
        <v>118</v>
      </c>
      <c r="O196" t="s">
        <v>94</v>
      </c>
      <c r="P196" t="s">
        <v>95</v>
      </c>
      <c r="Q196" t="s">
        <v>49</v>
      </c>
      <c r="R196" t="s">
        <v>121</v>
      </c>
      <c r="S196" s="1">
        <v>46023</v>
      </c>
      <c r="U196" t="s">
        <v>51</v>
      </c>
      <c r="X196" t="s">
        <v>52</v>
      </c>
      <c r="Y196" s="2">
        <v>0</v>
      </c>
      <c r="Z196" s="2">
        <v>347</v>
      </c>
      <c r="AA196">
        <v>1</v>
      </c>
      <c r="AB196" s="3">
        <v>1</v>
      </c>
      <c r="AC196" s="2">
        <v>347</v>
      </c>
      <c r="AD196" s="3">
        <v>0</v>
      </c>
      <c r="AE196" s="2">
        <v>0</v>
      </c>
      <c r="AF196" s="2">
        <v>347</v>
      </c>
      <c r="AK196">
        <v>6123332</v>
      </c>
      <c r="AL196" t="s">
        <v>122</v>
      </c>
    </row>
    <row r="197" spans="1:38" x14ac:dyDescent="0.25">
      <c r="A197" s="1">
        <v>46029</v>
      </c>
      <c r="B197" s="1">
        <v>46029</v>
      </c>
      <c r="C197" t="s">
        <v>38</v>
      </c>
      <c r="D197" t="s">
        <v>39</v>
      </c>
      <c r="E197" t="s">
        <v>40</v>
      </c>
      <c r="F197" t="s">
        <v>41</v>
      </c>
      <c r="G197" t="s">
        <v>42</v>
      </c>
      <c r="H197" t="s">
        <v>43</v>
      </c>
      <c r="I197" t="s">
        <v>557</v>
      </c>
      <c r="J197" t="s">
        <v>558</v>
      </c>
      <c r="M197" t="s">
        <v>86</v>
      </c>
      <c r="O197" t="s">
        <v>219</v>
      </c>
      <c r="P197" t="s">
        <v>220</v>
      </c>
      <c r="Q197" t="s">
        <v>49</v>
      </c>
      <c r="R197" t="s">
        <v>121</v>
      </c>
      <c r="S197" s="1">
        <v>46023</v>
      </c>
      <c r="U197" t="s">
        <v>51</v>
      </c>
      <c r="X197" t="s">
        <v>52</v>
      </c>
      <c r="Y197" s="2">
        <v>0</v>
      </c>
      <c r="Z197" s="2">
        <v>347</v>
      </c>
      <c r="AA197">
        <v>1</v>
      </c>
      <c r="AB197" s="3">
        <v>1</v>
      </c>
      <c r="AC197" s="2">
        <v>347</v>
      </c>
      <c r="AD197" s="3">
        <v>0</v>
      </c>
      <c r="AE197" s="2">
        <v>0</v>
      </c>
      <c r="AF197" s="2">
        <v>347</v>
      </c>
      <c r="AK197">
        <v>6123333</v>
      </c>
      <c r="AL197" t="s">
        <v>122</v>
      </c>
    </row>
    <row r="198" spans="1:38" x14ac:dyDescent="0.25">
      <c r="A198" s="1">
        <v>46029</v>
      </c>
      <c r="B198" s="1">
        <v>46029</v>
      </c>
      <c r="C198" t="s">
        <v>38</v>
      </c>
      <c r="D198" t="s">
        <v>39</v>
      </c>
      <c r="E198" t="s">
        <v>40</v>
      </c>
      <c r="F198" t="s">
        <v>41</v>
      </c>
      <c r="G198" t="s">
        <v>42</v>
      </c>
      <c r="H198" t="s">
        <v>43</v>
      </c>
      <c r="I198" t="s">
        <v>559</v>
      </c>
      <c r="J198" t="s">
        <v>560</v>
      </c>
      <c r="M198" t="s">
        <v>46</v>
      </c>
      <c r="O198" t="s">
        <v>176</v>
      </c>
      <c r="P198" t="s">
        <v>177</v>
      </c>
      <c r="Q198" t="s">
        <v>49</v>
      </c>
      <c r="R198" t="s">
        <v>121</v>
      </c>
      <c r="S198" s="1">
        <v>46023</v>
      </c>
      <c r="U198" t="s">
        <v>51</v>
      </c>
      <c r="X198" t="s">
        <v>52</v>
      </c>
      <c r="Y198" s="2">
        <v>0</v>
      </c>
      <c r="Z198" s="2">
        <v>347</v>
      </c>
      <c r="AA198">
        <v>1</v>
      </c>
      <c r="AB198" s="3">
        <v>1</v>
      </c>
      <c r="AC198" s="2">
        <v>347</v>
      </c>
      <c r="AD198" s="3">
        <v>0</v>
      </c>
      <c r="AE198" s="2">
        <v>0</v>
      </c>
      <c r="AF198" s="2">
        <v>347</v>
      </c>
      <c r="AK198">
        <v>6123334</v>
      </c>
      <c r="AL198" t="s">
        <v>122</v>
      </c>
    </row>
    <row r="199" spans="1:38" x14ac:dyDescent="0.25">
      <c r="A199" s="1">
        <v>46029</v>
      </c>
      <c r="B199" s="1">
        <v>46029</v>
      </c>
      <c r="C199" t="s">
        <v>38</v>
      </c>
      <c r="D199" t="s">
        <v>39</v>
      </c>
      <c r="E199" t="s">
        <v>40</v>
      </c>
      <c r="F199" t="s">
        <v>41</v>
      </c>
      <c r="G199" t="s">
        <v>42</v>
      </c>
      <c r="H199" t="s">
        <v>43</v>
      </c>
      <c r="I199" t="s">
        <v>561</v>
      </c>
      <c r="J199" t="s">
        <v>562</v>
      </c>
      <c r="M199" t="s">
        <v>46</v>
      </c>
      <c r="O199" t="s">
        <v>110</v>
      </c>
      <c r="P199" t="s">
        <v>111</v>
      </c>
      <c r="Q199" t="s">
        <v>49</v>
      </c>
      <c r="R199" t="s">
        <v>248</v>
      </c>
      <c r="S199" s="1">
        <v>46023</v>
      </c>
      <c r="U199" t="s">
        <v>51</v>
      </c>
      <c r="X199" t="s">
        <v>52</v>
      </c>
      <c r="Y199" s="2">
        <v>0</v>
      </c>
      <c r="Z199" s="2">
        <v>313</v>
      </c>
      <c r="AA199">
        <v>1</v>
      </c>
      <c r="AB199" s="3">
        <v>1</v>
      </c>
      <c r="AC199" s="2">
        <v>313</v>
      </c>
      <c r="AD199" s="3">
        <v>0</v>
      </c>
      <c r="AE199" s="2">
        <v>0</v>
      </c>
      <c r="AF199" s="2">
        <v>313</v>
      </c>
      <c r="AK199">
        <v>6123335</v>
      </c>
      <c r="AL199" t="s">
        <v>122</v>
      </c>
    </row>
    <row r="200" spans="1:38" x14ac:dyDescent="0.25">
      <c r="A200" s="1">
        <v>46029</v>
      </c>
      <c r="B200" s="1">
        <v>46029</v>
      </c>
      <c r="C200" t="s">
        <v>38</v>
      </c>
      <c r="D200" t="s">
        <v>39</v>
      </c>
      <c r="E200" t="s">
        <v>40</v>
      </c>
      <c r="F200" t="s">
        <v>41</v>
      </c>
      <c r="G200" t="s">
        <v>42</v>
      </c>
      <c r="H200" t="s">
        <v>43</v>
      </c>
      <c r="I200" t="s">
        <v>563</v>
      </c>
      <c r="J200" t="s">
        <v>564</v>
      </c>
      <c r="M200" t="s">
        <v>66</v>
      </c>
      <c r="O200" t="s">
        <v>565</v>
      </c>
      <c r="P200" t="s">
        <v>566</v>
      </c>
      <c r="Q200" t="s">
        <v>49</v>
      </c>
      <c r="R200" t="s">
        <v>121</v>
      </c>
      <c r="S200" s="1">
        <v>46023</v>
      </c>
      <c r="U200" t="s">
        <v>51</v>
      </c>
      <c r="X200" t="s">
        <v>52</v>
      </c>
      <c r="Y200" s="2">
        <v>0</v>
      </c>
      <c r="Z200" s="2">
        <v>347</v>
      </c>
      <c r="AA200">
        <v>1</v>
      </c>
      <c r="AB200" s="3">
        <v>1</v>
      </c>
      <c r="AC200" s="2">
        <v>347</v>
      </c>
      <c r="AD200" s="3">
        <v>0</v>
      </c>
      <c r="AE200" s="2">
        <v>0</v>
      </c>
      <c r="AF200" s="2">
        <v>347</v>
      </c>
      <c r="AK200">
        <v>6123336</v>
      </c>
      <c r="AL200" t="s">
        <v>122</v>
      </c>
    </row>
    <row r="201" spans="1:38" x14ac:dyDescent="0.25">
      <c r="A201" s="1">
        <v>46029</v>
      </c>
      <c r="B201" s="1">
        <v>46029</v>
      </c>
      <c r="C201" t="s">
        <v>38</v>
      </c>
      <c r="D201" t="s">
        <v>39</v>
      </c>
      <c r="E201" t="s">
        <v>40</v>
      </c>
      <c r="F201" t="s">
        <v>41</v>
      </c>
      <c r="G201" t="s">
        <v>42</v>
      </c>
      <c r="H201" t="s">
        <v>43</v>
      </c>
      <c r="I201" t="s">
        <v>567</v>
      </c>
      <c r="J201" t="s">
        <v>568</v>
      </c>
      <c r="M201" t="s">
        <v>204</v>
      </c>
      <c r="O201" t="s">
        <v>205</v>
      </c>
      <c r="P201" t="s">
        <v>206</v>
      </c>
      <c r="Q201" t="s">
        <v>49</v>
      </c>
      <c r="R201" t="s">
        <v>178</v>
      </c>
      <c r="S201" s="1">
        <v>46023</v>
      </c>
      <c r="U201" t="s">
        <v>51</v>
      </c>
      <c r="X201" t="s">
        <v>52</v>
      </c>
      <c r="Y201" s="2">
        <v>0</v>
      </c>
      <c r="Z201" s="2">
        <v>203</v>
      </c>
      <c r="AA201">
        <v>1</v>
      </c>
      <c r="AB201" s="3">
        <v>1</v>
      </c>
      <c r="AC201" s="2">
        <v>203</v>
      </c>
      <c r="AD201" s="3">
        <v>0</v>
      </c>
      <c r="AE201" s="2">
        <v>0</v>
      </c>
      <c r="AF201" s="2">
        <v>203</v>
      </c>
      <c r="AK201">
        <v>6123337</v>
      </c>
      <c r="AL201" t="s">
        <v>122</v>
      </c>
    </row>
    <row r="202" spans="1:38" x14ac:dyDescent="0.25">
      <c r="A202" s="1">
        <v>46029</v>
      </c>
      <c r="B202" s="1">
        <v>46029</v>
      </c>
      <c r="C202" t="s">
        <v>38</v>
      </c>
      <c r="D202" t="s">
        <v>39</v>
      </c>
      <c r="E202" t="s">
        <v>40</v>
      </c>
      <c r="F202" t="s">
        <v>41</v>
      </c>
      <c r="G202" t="s">
        <v>42</v>
      </c>
      <c r="H202" t="s">
        <v>43</v>
      </c>
      <c r="I202" t="s">
        <v>569</v>
      </c>
      <c r="J202" t="s">
        <v>570</v>
      </c>
      <c r="M202" t="s">
        <v>146</v>
      </c>
      <c r="O202" t="s">
        <v>149</v>
      </c>
      <c r="P202" t="s">
        <v>150</v>
      </c>
      <c r="Q202" t="s">
        <v>49</v>
      </c>
      <c r="R202" t="s">
        <v>121</v>
      </c>
      <c r="S202" s="1">
        <v>46023</v>
      </c>
      <c r="U202" t="s">
        <v>51</v>
      </c>
      <c r="X202" t="s">
        <v>52</v>
      </c>
      <c r="Y202" s="2">
        <v>0</v>
      </c>
      <c r="Z202" s="2">
        <v>347</v>
      </c>
      <c r="AA202">
        <v>1</v>
      </c>
      <c r="AB202" s="3">
        <v>1</v>
      </c>
      <c r="AC202" s="2">
        <v>347</v>
      </c>
      <c r="AD202" s="3">
        <v>0</v>
      </c>
      <c r="AE202" s="2">
        <v>0</v>
      </c>
      <c r="AF202" s="2">
        <v>347</v>
      </c>
      <c r="AK202">
        <v>6123338</v>
      </c>
      <c r="AL202" t="s">
        <v>122</v>
      </c>
    </row>
    <row r="203" spans="1:38" x14ac:dyDescent="0.25">
      <c r="A203" s="1">
        <v>46029</v>
      </c>
      <c r="B203" s="1">
        <v>46029</v>
      </c>
      <c r="C203" t="s">
        <v>38</v>
      </c>
      <c r="D203" t="s">
        <v>39</v>
      </c>
      <c r="E203" t="s">
        <v>40</v>
      </c>
      <c r="F203" t="s">
        <v>41</v>
      </c>
      <c r="G203" t="s">
        <v>42</v>
      </c>
      <c r="H203" t="s">
        <v>43</v>
      </c>
      <c r="I203" t="s">
        <v>571</v>
      </c>
      <c r="J203" t="s">
        <v>572</v>
      </c>
      <c r="M203" t="s">
        <v>573</v>
      </c>
      <c r="O203" t="s">
        <v>230</v>
      </c>
      <c r="P203" t="s">
        <v>231</v>
      </c>
      <c r="Q203" t="s">
        <v>49</v>
      </c>
      <c r="R203" t="s">
        <v>121</v>
      </c>
      <c r="S203" s="1">
        <v>46023</v>
      </c>
      <c r="U203" t="s">
        <v>51</v>
      </c>
      <c r="X203" t="s">
        <v>52</v>
      </c>
      <c r="Y203" s="2">
        <v>0</v>
      </c>
      <c r="Z203" s="2">
        <v>347</v>
      </c>
      <c r="AA203">
        <v>1</v>
      </c>
      <c r="AB203" s="3">
        <v>1</v>
      </c>
      <c r="AC203" s="2">
        <v>347</v>
      </c>
      <c r="AD203" s="3">
        <v>0</v>
      </c>
      <c r="AE203" s="2">
        <v>0</v>
      </c>
      <c r="AF203" s="2">
        <v>347</v>
      </c>
      <c r="AK203">
        <v>6123339</v>
      </c>
      <c r="AL203" t="s">
        <v>122</v>
      </c>
    </row>
    <row r="204" spans="1:38" x14ac:dyDescent="0.25">
      <c r="A204" s="1">
        <v>46029</v>
      </c>
      <c r="B204" s="1">
        <v>46029</v>
      </c>
      <c r="C204" t="s">
        <v>38</v>
      </c>
      <c r="D204" t="s">
        <v>39</v>
      </c>
      <c r="E204" t="s">
        <v>40</v>
      </c>
      <c r="F204" t="s">
        <v>41</v>
      </c>
      <c r="G204" t="s">
        <v>42</v>
      </c>
      <c r="H204" t="s">
        <v>43</v>
      </c>
      <c r="I204" t="s">
        <v>574</v>
      </c>
      <c r="J204" t="s">
        <v>575</v>
      </c>
      <c r="M204" t="s">
        <v>146</v>
      </c>
      <c r="O204" t="s">
        <v>576</v>
      </c>
      <c r="P204" t="s">
        <v>577</v>
      </c>
      <c r="Q204" t="s">
        <v>49</v>
      </c>
      <c r="R204" t="s">
        <v>121</v>
      </c>
      <c r="S204" s="1">
        <v>46023</v>
      </c>
      <c r="U204" t="s">
        <v>51</v>
      </c>
      <c r="X204" t="s">
        <v>52</v>
      </c>
      <c r="Y204" s="2">
        <v>0</v>
      </c>
      <c r="Z204" s="2">
        <v>347</v>
      </c>
      <c r="AA204">
        <v>1</v>
      </c>
      <c r="AB204" s="3">
        <v>1</v>
      </c>
      <c r="AC204" s="2">
        <v>347</v>
      </c>
      <c r="AD204" s="3">
        <v>0</v>
      </c>
      <c r="AE204" s="2">
        <v>0</v>
      </c>
      <c r="AF204" s="2">
        <v>347</v>
      </c>
      <c r="AK204">
        <v>6123341</v>
      </c>
      <c r="AL204" t="s">
        <v>122</v>
      </c>
    </row>
    <row r="205" spans="1:38" x14ac:dyDescent="0.25">
      <c r="A205" s="1">
        <v>46029</v>
      </c>
      <c r="B205" s="1">
        <v>46029</v>
      </c>
      <c r="C205" t="s">
        <v>38</v>
      </c>
      <c r="D205" t="s">
        <v>39</v>
      </c>
      <c r="E205" t="s">
        <v>40</v>
      </c>
      <c r="F205" t="s">
        <v>41</v>
      </c>
      <c r="G205" t="s">
        <v>42</v>
      </c>
      <c r="H205" t="s">
        <v>43</v>
      </c>
      <c r="I205" t="s">
        <v>578</v>
      </c>
      <c r="J205" t="s">
        <v>579</v>
      </c>
      <c r="M205" t="s">
        <v>86</v>
      </c>
      <c r="O205" t="s">
        <v>219</v>
      </c>
      <c r="P205" t="s">
        <v>220</v>
      </c>
      <c r="Q205" t="s">
        <v>49</v>
      </c>
      <c r="R205" t="s">
        <v>121</v>
      </c>
      <c r="S205" s="1">
        <v>46023</v>
      </c>
      <c r="U205" t="s">
        <v>51</v>
      </c>
      <c r="X205" t="s">
        <v>52</v>
      </c>
      <c r="Y205" s="2">
        <v>0</v>
      </c>
      <c r="Z205" s="2">
        <v>347</v>
      </c>
      <c r="AA205">
        <v>1</v>
      </c>
      <c r="AB205" s="3">
        <v>1</v>
      </c>
      <c r="AC205" s="2">
        <v>347</v>
      </c>
      <c r="AD205" s="3">
        <v>0</v>
      </c>
      <c r="AE205" s="2">
        <v>0</v>
      </c>
      <c r="AF205" s="2">
        <v>347</v>
      </c>
      <c r="AK205">
        <v>6123342</v>
      </c>
      <c r="AL205" t="s">
        <v>122</v>
      </c>
    </row>
    <row r="206" spans="1:38" x14ac:dyDescent="0.25">
      <c r="A206" s="1">
        <v>46029</v>
      </c>
      <c r="B206" s="1">
        <v>46029</v>
      </c>
      <c r="C206" t="s">
        <v>38</v>
      </c>
      <c r="D206" t="s">
        <v>39</v>
      </c>
      <c r="E206" t="s">
        <v>40</v>
      </c>
      <c r="F206" t="s">
        <v>41</v>
      </c>
      <c r="G206" t="s">
        <v>42</v>
      </c>
      <c r="H206" t="s">
        <v>43</v>
      </c>
      <c r="I206" t="s">
        <v>580</v>
      </c>
      <c r="J206" t="s">
        <v>581</v>
      </c>
      <c r="M206" t="s">
        <v>46</v>
      </c>
      <c r="O206" t="s">
        <v>183</v>
      </c>
      <c r="P206" t="s">
        <v>184</v>
      </c>
      <c r="Q206" t="s">
        <v>49</v>
      </c>
      <c r="R206" t="s">
        <v>121</v>
      </c>
      <c r="S206" s="1">
        <v>46023</v>
      </c>
      <c r="U206" t="s">
        <v>51</v>
      </c>
      <c r="X206" t="s">
        <v>52</v>
      </c>
      <c r="Y206" s="2">
        <v>0</v>
      </c>
      <c r="Z206" s="2">
        <v>347</v>
      </c>
      <c r="AA206">
        <v>1</v>
      </c>
      <c r="AB206" s="3">
        <v>1</v>
      </c>
      <c r="AC206" s="2">
        <v>347</v>
      </c>
      <c r="AD206" s="3">
        <v>0</v>
      </c>
      <c r="AE206" s="2">
        <v>0</v>
      </c>
      <c r="AF206" s="2">
        <v>347</v>
      </c>
      <c r="AK206">
        <v>6123343</v>
      </c>
      <c r="AL206" t="s">
        <v>122</v>
      </c>
    </row>
    <row r="207" spans="1:38" x14ac:dyDescent="0.25">
      <c r="A207" s="1">
        <v>46029</v>
      </c>
      <c r="B207" s="1">
        <v>46029</v>
      </c>
      <c r="C207" t="s">
        <v>38</v>
      </c>
      <c r="D207" t="s">
        <v>39</v>
      </c>
      <c r="E207" t="s">
        <v>40</v>
      </c>
      <c r="F207" t="s">
        <v>41</v>
      </c>
      <c r="G207" t="s">
        <v>42</v>
      </c>
      <c r="H207" t="s">
        <v>43</v>
      </c>
      <c r="I207" t="s">
        <v>582</v>
      </c>
      <c r="J207" t="s">
        <v>583</v>
      </c>
      <c r="M207" t="s">
        <v>86</v>
      </c>
      <c r="O207" t="s">
        <v>87</v>
      </c>
      <c r="P207" t="s">
        <v>88</v>
      </c>
      <c r="Q207" t="s">
        <v>49</v>
      </c>
      <c r="R207" t="s">
        <v>121</v>
      </c>
      <c r="S207" s="1">
        <v>46023</v>
      </c>
      <c r="U207" t="s">
        <v>51</v>
      </c>
      <c r="X207" t="s">
        <v>52</v>
      </c>
      <c r="Y207" s="2">
        <v>0</v>
      </c>
      <c r="Z207" s="2">
        <v>347</v>
      </c>
      <c r="AA207">
        <v>1</v>
      </c>
      <c r="AB207" s="3">
        <v>1</v>
      </c>
      <c r="AC207" s="2">
        <v>347</v>
      </c>
      <c r="AD207" s="3">
        <v>0</v>
      </c>
      <c r="AE207" s="2">
        <v>0</v>
      </c>
      <c r="AF207" s="2">
        <v>347</v>
      </c>
      <c r="AK207">
        <v>6123344</v>
      </c>
      <c r="AL207" t="s">
        <v>122</v>
      </c>
    </row>
    <row r="208" spans="1:38" x14ac:dyDescent="0.25">
      <c r="A208" s="1">
        <v>46029</v>
      </c>
      <c r="B208" s="1">
        <v>46029</v>
      </c>
      <c r="C208" t="s">
        <v>38</v>
      </c>
      <c r="D208" t="s">
        <v>39</v>
      </c>
      <c r="E208" t="s">
        <v>40</v>
      </c>
      <c r="F208" t="s">
        <v>41</v>
      </c>
      <c r="G208" t="s">
        <v>42</v>
      </c>
      <c r="H208" t="s">
        <v>43</v>
      </c>
      <c r="I208" t="s">
        <v>584</v>
      </c>
      <c r="J208" t="s">
        <v>585</v>
      </c>
      <c r="M208" t="s">
        <v>46</v>
      </c>
      <c r="O208" t="s">
        <v>67</v>
      </c>
      <c r="P208" t="s">
        <v>68</v>
      </c>
      <c r="Q208" t="s">
        <v>49</v>
      </c>
      <c r="R208" t="s">
        <v>121</v>
      </c>
      <c r="S208" s="1">
        <v>46023</v>
      </c>
      <c r="U208" t="s">
        <v>51</v>
      </c>
      <c r="X208" t="s">
        <v>52</v>
      </c>
      <c r="Y208" s="2">
        <v>0</v>
      </c>
      <c r="Z208" s="2">
        <v>347</v>
      </c>
      <c r="AA208">
        <v>1</v>
      </c>
      <c r="AB208" s="3">
        <v>1</v>
      </c>
      <c r="AC208" s="2">
        <v>347</v>
      </c>
      <c r="AD208" s="3">
        <v>0</v>
      </c>
      <c r="AE208" s="2">
        <v>0</v>
      </c>
      <c r="AF208" s="2">
        <v>347</v>
      </c>
      <c r="AK208">
        <v>6123345</v>
      </c>
      <c r="AL208" t="s">
        <v>122</v>
      </c>
    </row>
    <row r="209" spans="1:38" x14ac:dyDescent="0.25">
      <c r="A209" s="1">
        <v>46029</v>
      </c>
      <c r="B209" s="1">
        <v>46029</v>
      </c>
      <c r="C209" t="s">
        <v>38</v>
      </c>
      <c r="D209" t="s">
        <v>39</v>
      </c>
      <c r="E209" t="s">
        <v>40</v>
      </c>
      <c r="F209" t="s">
        <v>41</v>
      </c>
      <c r="G209" t="s">
        <v>42</v>
      </c>
      <c r="H209" t="s">
        <v>43</v>
      </c>
      <c r="I209" t="s">
        <v>586</v>
      </c>
      <c r="J209" t="s">
        <v>587</v>
      </c>
      <c r="M209" t="s">
        <v>93</v>
      </c>
      <c r="O209" t="s">
        <v>94</v>
      </c>
      <c r="P209" t="s">
        <v>95</v>
      </c>
      <c r="Q209" t="s">
        <v>49</v>
      </c>
      <c r="R209" t="s">
        <v>121</v>
      </c>
      <c r="S209" s="1">
        <v>46023</v>
      </c>
      <c r="U209" t="s">
        <v>51</v>
      </c>
      <c r="X209" t="s">
        <v>52</v>
      </c>
      <c r="Y209" s="2">
        <v>0</v>
      </c>
      <c r="Z209" s="2">
        <v>347</v>
      </c>
      <c r="AA209">
        <v>1</v>
      </c>
      <c r="AB209" s="3">
        <v>1</v>
      </c>
      <c r="AC209" s="2">
        <v>347</v>
      </c>
      <c r="AD209" s="3">
        <v>0</v>
      </c>
      <c r="AE209" s="2">
        <v>0</v>
      </c>
      <c r="AF209" s="2">
        <v>347</v>
      </c>
      <c r="AK209">
        <v>6123346</v>
      </c>
      <c r="AL209" t="s">
        <v>122</v>
      </c>
    </row>
    <row r="210" spans="1:38" x14ac:dyDescent="0.25">
      <c r="A210" s="1">
        <v>46029</v>
      </c>
      <c r="B210" s="1">
        <v>46029</v>
      </c>
      <c r="C210" t="s">
        <v>38</v>
      </c>
      <c r="D210" t="s">
        <v>39</v>
      </c>
      <c r="E210" t="s">
        <v>40</v>
      </c>
      <c r="F210" t="s">
        <v>41</v>
      </c>
      <c r="G210" t="s">
        <v>42</v>
      </c>
      <c r="H210" t="s">
        <v>43</v>
      </c>
      <c r="I210" t="s">
        <v>588</v>
      </c>
      <c r="J210" t="s">
        <v>589</v>
      </c>
      <c r="M210" t="s">
        <v>86</v>
      </c>
      <c r="O210" t="s">
        <v>87</v>
      </c>
      <c r="P210" t="s">
        <v>88</v>
      </c>
      <c r="Q210" t="s">
        <v>49</v>
      </c>
      <c r="R210" t="s">
        <v>121</v>
      </c>
      <c r="S210" s="1">
        <v>46023</v>
      </c>
      <c r="U210" t="s">
        <v>51</v>
      </c>
      <c r="X210" t="s">
        <v>52</v>
      </c>
      <c r="Y210" s="2">
        <v>0</v>
      </c>
      <c r="Z210" s="2">
        <v>347</v>
      </c>
      <c r="AA210">
        <v>1</v>
      </c>
      <c r="AB210" s="3">
        <v>1</v>
      </c>
      <c r="AC210" s="2">
        <v>347</v>
      </c>
      <c r="AD210" s="3">
        <v>0</v>
      </c>
      <c r="AE210" s="2">
        <v>0</v>
      </c>
      <c r="AF210" s="2">
        <v>347</v>
      </c>
      <c r="AK210">
        <v>6123347</v>
      </c>
      <c r="AL210" t="s">
        <v>122</v>
      </c>
    </row>
    <row r="211" spans="1:38" x14ac:dyDescent="0.25">
      <c r="A211" s="1">
        <v>46029</v>
      </c>
      <c r="B211" s="1">
        <v>46029</v>
      </c>
      <c r="C211" t="s">
        <v>38</v>
      </c>
      <c r="D211" t="s">
        <v>39</v>
      </c>
      <c r="E211" t="s">
        <v>40</v>
      </c>
      <c r="F211" t="s">
        <v>41</v>
      </c>
      <c r="G211" t="s">
        <v>42</v>
      </c>
      <c r="H211" t="s">
        <v>43</v>
      </c>
      <c r="I211" t="s">
        <v>590</v>
      </c>
      <c r="J211" t="s">
        <v>591</v>
      </c>
      <c r="M211" t="s">
        <v>46</v>
      </c>
      <c r="O211" t="s">
        <v>176</v>
      </c>
      <c r="P211" t="s">
        <v>177</v>
      </c>
      <c r="Q211" t="s">
        <v>49</v>
      </c>
      <c r="R211" t="s">
        <v>121</v>
      </c>
      <c r="S211" s="1">
        <v>46023</v>
      </c>
      <c r="U211" t="s">
        <v>51</v>
      </c>
      <c r="X211" t="s">
        <v>52</v>
      </c>
      <c r="Y211" s="2">
        <v>0</v>
      </c>
      <c r="Z211" s="2">
        <v>347</v>
      </c>
      <c r="AA211">
        <v>1</v>
      </c>
      <c r="AB211" s="3">
        <v>1</v>
      </c>
      <c r="AC211" s="2">
        <v>347</v>
      </c>
      <c r="AD211" s="3">
        <v>0</v>
      </c>
      <c r="AE211" s="2">
        <v>0</v>
      </c>
      <c r="AF211" s="2">
        <v>347</v>
      </c>
      <c r="AK211">
        <v>6123348</v>
      </c>
      <c r="AL211" t="s">
        <v>122</v>
      </c>
    </row>
    <row r="212" spans="1:38" x14ac:dyDescent="0.25">
      <c r="A212" s="1">
        <v>46029</v>
      </c>
      <c r="B212" s="1">
        <v>46029</v>
      </c>
      <c r="C212" t="s">
        <v>38</v>
      </c>
      <c r="D212" t="s">
        <v>39</v>
      </c>
      <c r="E212" t="s">
        <v>40</v>
      </c>
      <c r="F212" t="s">
        <v>41</v>
      </c>
      <c r="G212" t="s">
        <v>42</v>
      </c>
      <c r="H212" t="s">
        <v>43</v>
      </c>
      <c r="I212" t="s">
        <v>592</v>
      </c>
      <c r="J212" t="s">
        <v>593</v>
      </c>
      <c r="M212" t="s">
        <v>86</v>
      </c>
      <c r="O212" t="s">
        <v>219</v>
      </c>
      <c r="P212" t="s">
        <v>220</v>
      </c>
      <c r="Q212" t="s">
        <v>49</v>
      </c>
      <c r="R212" t="s">
        <v>121</v>
      </c>
      <c r="S212" s="1">
        <v>46023</v>
      </c>
      <c r="U212" t="s">
        <v>51</v>
      </c>
      <c r="X212" t="s">
        <v>52</v>
      </c>
      <c r="Y212" s="2">
        <v>0</v>
      </c>
      <c r="Z212" s="2">
        <v>347</v>
      </c>
      <c r="AA212">
        <v>1</v>
      </c>
      <c r="AB212" s="3">
        <v>1</v>
      </c>
      <c r="AC212" s="2">
        <v>347</v>
      </c>
      <c r="AD212" s="3">
        <v>0</v>
      </c>
      <c r="AE212" s="2">
        <v>0</v>
      </c>
      <c r="AF212" s="2">
        <v>347</v>
      </c>
      <c r="AK212">
        <v>6123349</v>
      </c>
      <c r="AL212" t="s">
        <v>122</v>
      </c>
    </row>
    <row r="213" spans="1:38" x14ac:dyDescent="0.25">
      <c r="A213" s="1">
        <v>46029</v>
      </c>
      <c r="B213" s="1">
        <v>46029</v>
      </c>
      <c r="C213" t="s">
        <v>38</v>
      </c>
      <c r="D213" t="s">
        <v>39</v>
      </c>
      <c r="E213" t="s">
        <v>40</v>
      </c>
      <c r="F213" t="s">
        <v>41</v>
      </c>
      <c r="G213" t="s">
        <v>42</v>
      </c>
      <c r="H213" t="s">
        <v>43</v>
      </c>
      <c r="I213" t="s">
        <v>594</v>
      </c>
      <c r="J213" t="s">
        <v>595</v>
      </c>
      <c r="M213" t="s">
        <v>204</v>
      </c>
      <c r="O213" t="s">
        <v>77</v>
      </c>
      <c r="P213" t="s">
        <v>78</v>
      </c>
      <c r="Q213" t="s">
        <v>49</v>
      </c>
      <c r="R213" t="s">
        <v>121</v>
      </c>
      <c r="S213" s="1">
        <v>46023</v>
      </c>
      <c r="U213" t="s">
        <v>51</v>
      </c>
      <c r="X213" t="s">
        <v>52</v>
      </c>
      <c r="Y213" s="2">
        <v>0</v>
      </c>
      <c r="Z213" s="2">
        <v>347</v>
      </c>
      <c r="AA213">
        <v>1</v>
      </c>
      <c r="AB213" s="3">
        <v>1</v>
      </c>
      <c r="AC213" s="2">
        <v>347</v>
      </c>
      <c r="AD213" s="3">
        <v>0</v>
      </c>
      <c r="AE213" s="2">
        <v>0</v>
      </c>
      <c r="AF213" s="2">
        <v>347</v>
      </c>
      <c r="AK213">
        <v>6123350</v>
      </c>
      <c r="AL213" t="s">
        <v>122</v>
      </c>
    </row>
    <row r="214" spans="1:38" x14ac:dyDescent="0.25">
      <c r="A214" s="1">
        <v>46029</v>
      </c>
      <c r="B214" s="1">
        <v>46029</v>
      </c>
      <c r="C214" t="s">
        <v>38</v>
      </c>
      <c r="D214" t="s">
        <v>39</v>
      </c>
      <c r="E214" t="s">
        <v>40</v>
      </c>
      <c r="F214" t="s">
        <v>41</v>
      </c>
      <c r="G214" t="s">
        <v>42</v>
      </c>
      <c r="H214" t="s">
        <v>43</v>
      </c>
      <c r="I214" t="s">
        <v>596</v>
      </c>
      <c r="J214" t="s">
        <v>597</v>
      </c>
      <c r="M214" t="s">
        <v>86</v>
      </c>
      <c r="O214" t="s">
        <v>219</v>
      </c>
      <c r="P214" t="s">
        <v>220</v>
      </c>
      <c r="Q214" t="s">
        <v>49</v>
      </c>
      <c r="R214" t="s">
        <v>121</v>
      </c>
      <c r="S214" s="1">
        <v>46023</v>
      </c>
      <c r="U214" t="s">
        <v>51</v>
      </c>
      <c r="X214" t="s">
        <v>52</v>
      </c>
      <c r="Y214" s="2">
        <v>0</v>
      </c>
      <c r="Z214" s="2">
        <v>347</v>
      </c>
      <c r="AA214">
        <v>1</v>
      </c>
      <c r="AB214" s="3">
        <v>1</v>
      </c>
      <c r="AC214" s="2">
        <v>347</v>
      </c>
      <c r="AD214" s="3">
        <v>0</v>
      </c>
      <c r="AE214" s="2">
        <v>0</v>
      </c>
      <c r="AF214" s="2">
        <v>347</v>
      </c>
      <c r="AK214">
        <v>6123351</v>
      </c>
      <c r="AL214" t="s">
        <v>122</v>
      </c>
    </row>
    <row r="215" spans="1:38" x14ac:dyDescent="0.25">
      <c r="A215" s="1">
        <v>46029</v>
      </c>
      <c r="B215" s="1">
        <v>46029</v>
      </c>
      <c r="C215" t="s">
        <v>38</v>
      </c>
      <c r="D215" t="s">
        <v>39</v>
      </c>
      <c r="E215" t="s">
        <v>40</v>
      </c>
      <c r="F215" t="s">
        <v>41</v>
      </c>
      <c r="G215" t="s">
        <v>42</v>
      </c>
      <c r="H215" t="s">
        <v>43</v>
      </c>
      <c r="I215" t="s">
        <v>598</v>
      </c>
      <c r="J215" t="s">
        <v>599</v>
      </c>
      <c r="M215" t="s">
        <v>86</v>
      </c>
      <c r="O215" t="s">
        <v>87</v>
      </c>
      <c r="P215" t="s">
        <v>88</v>
      </c>
      <c r="Q215" t="s">
        <v>49</v>
      </c>
      <c r="R215" t="s">
        <v>121</v>
      </c>
      <c r="S215" s="1">
        <v>46023</v>
      </c>
      <c r="U215" t="s">
        <v>51</v>
      </c>
      <c r="X215" t="s">
        <v>52</v>
      </c>
      <c r="Y215" s="2">
        <v>0</v>
      </c>
      <c r="Z215" s="2">
        <v>347</v>
      </c>
      <c r="AA215">
        <v>1</v>
      </c>
      <c r="AB215" s="3">
        <v>1</v>
      </c>
      <c r="AC215" s="2">
        <v>347</v>
      </c>
      <c r="AD215" s="3">
        <v>0</v>
      </c>
      <c r="AE215" s="2">
        <v>0</v>
      </c>
      <c r="AF215" s="2">
        <v>347</v>
      </c>
      <c r="AK215">
        <v>6123353</v>
      </c>
      <c r="AL215" t="s">
        <v>122</v>
      </c>
    </row>
    <row r="216" spans="1:38" x14ac:dyDescent="0.25">
      <c r="A216" s="1">
        <v>46029</v>
      </c>
      <c r="B216" s="1">
        <v>46029</v>
      </c>
      <c r="C216" t="s">
        <v>38</v>
      </c>
      <c r="D216" t="s">
        <v>39</v>
      </c>
      <c r="E216" t="s">
        <v>40</v>
      </c>
      <c r="F216" t="s">
        <v>41</v>
      </c>
      <c r="G216" t="s">
        <v>42</v>
      </c>
      <c r="H216" t="s">
        <v>43</v>
      </c>
      <c r="I216" t="s">
        <v>600</v>
      </c>
      <c r="J216" t="s">
        <v>601</v>
      </c>
      <c r="M216" t="s">
        <v>46</v>
      </c>
      <c r="O216" t="s">
        <v>62</v>
      </c>
      <c r="P216" t="s">
        <v>63</v>
      </c>
      <c r="Q216" t="s">
        <v>49</v>
      </c>
      <c r="R216" t="s">
        <v>121</v>
      </c>
      <c r="S216" s="1">
        <v>46023</v>
      </c>
      <c r="U216" t="s">
        <v>51</v>
      </c>
      <c r="X216" t="s">
        <v>52</v>
      </c>
      <c r="Y216" s="2">
        <v>0</v>
      </c>
      <c r="Z216" s="2">
        <v>347</v>
      </c>
      <c r="AA216">
        <v>1</v>
      </c>
      <c r="AB216" s="3">
        <v>1</v>
      </c>
      <c r="AC216" s="2">
        <v>347</v>
      </c>
      <c r="AD216" s="3">
        <v>0</v>
      </c>
      <c r="AE216" s="2">
        <v>0</v>
      </c>
      <c r="AF216" s="2">
        <v>347</v>
      </c>
      <c r="AK216">
        <v>6123354</v>
      </c>
      <c r="AL216" t="s">
        <v>122</v>
      </c>
    </row>
    <row r="217" spans="1:38" x14ac:dyDescent="0.25">
      <c r="A217" s="1">
        <v>46029</v>
      </c>
      <c r="B217" s="1">
        <v>46029</v>
      </c>
      <c r="C217" t="s">
        <v>38</v>
      </c>
      <c r="D217" t="s">
        <v>39</v>
      </c>
      <c r="E217" t="s">
        <v>40</v>
      </c>
      <c r="F217" t="s">
        <v>41</v>
      </c>
      <c r="G217" t="s">
        <v>42</v>
      </c>
      <c r="H217" t="s">
        <v>43</v>
      </c>
      <c r="I217" t="s">
        <v>602</v>
      </c>
      <c r="J217" t="s">
        <v>603</v>
      </c>
      <c r="M217" t="s">
        <v>86</v>
      </c>
      <c r="O217" t="s">
        <v>87</v>
      </c>
      <c r="P217" t="s">
        <v>88</v>
      </c>
      <c r="Q217" t="s">
        <v>49</v>
      </c>
      <c r="R217" t="s">
        <v>121</v>
      </c>
      <c r="S217" s="1">
        <v>46023</v>
      </c>
      <c r="U217" t="s">
        <v>51</v>
      </c>
      <c r="X217" t="s">
        <v>52</v>
      </c>
      <c r="Y217" s="2">
        <v>0</v>
      </c>
      <c r="Z217" s="2">
        <v>347</v>
      </c>
      <c r="AA217">
        <v>1</v>
      </c>
      <c r="AB217" s="3">
        <v>1</v>
      </c>
      <c r="AC217" s="2">
        <v>347</v>
      </c>
      <c r="AD217" s="3">
        <v>0</v>
      </c>
      <c r="AE217" s="2">
        <v>0</v>
      </c>
      <c r="AF217" s="2">
        <v>347</v>
      </c>
      <c r="AK217">
        <v>6123355</v>
      </c>
      <c r="AL217" t="s">
        <v>122</v>
      </c>
    </row>
    <row r="218" spans="1:38" x14ac:dyDescent="0.25">
      <c r="A218" s="1">
        <v>46029</v>
      </c>
      <c r="B218" s="1">
        <v>46029</v>
      </c>
      <c r="C218" t="s">
        <v>38</v>
      </c>
      <c r="D218" t="s">
        <v>39</v>
      </c>
      <c r="E218" t="s">
        <v>40</v>
      </c>
      <c r="F218" t="s">
        <v>41</v>
      </c>
      <c r="G218" t="s">
        <v>42</v>
      </c>
      <c r="H218" t="s">
        <v>43</v>
      </c>
      <c r="I218" t="s">
        <v>604</v>
      </c>
      <c r="J218" t="s">
        <v>605</v>
      </c>
      <c r="M218" t="s">
        <v>46</v>
      </c>
      <c r="O218" t="s">
        <v>301</v>
      </c>
      <c r="P218" t="s">
        <v>302</v>
      </c>
      <c r="Q218" t="s">
        <v>49</v>
      </c>
      <c r="R218" t="s">
        <v>178</v>
      </c>
      <c r="S218" s="1">
        <v>46023</v>
      </c>
      <c r="U218" t="s">
        <v>51</v>
      </c>
      <c r="X218" t="s">
        <v>52</v>
      </c>
      <c r="Y218" s="2">
        <v>0</v>
      </c>
      <c r="Z218" s="2">
        <v>203</v>
      </c>
      <c r="AA218">
        <v>1</v>
      </c>
      <c r="AB218" s="3">
        <v>1</v>
      </c>
      <c r="AC218" s="2">
        <v>203</v>
      </c>
      <c r="AD218" s="3">
        <v>0</v>
      </c>
      <c r="AE218" s="2">
        <v>0</v>
      </c>
      <c r="AF218" s="2">
        <v>203</v>
      </c>
      <c r="AK218">
        <v>6123356</v>
      </c>
      <c r="AL218" t="s">
        <v>122</v>
      </c>
    </row>
    <row r="219" spans="1:38" x14ac:dyDescent="0.25">
      <c r="A219" s="1">
        <v>46029</v>
      </c>
      <c r="B219" s="1">
        <v>46029</v>
      </c>
      <c r="C219" t="s">
        <v>38</v>
      </c>
      <c r="D219" t="s">
        <v>39</v>
      </c>
      <c r="E219" t="s">
        <v>40</v>
      </c>
      <c r="F219" t="s">
        <v>41</v>
      </c>
      <c r="G219" t="s">
        <v>42</v>
      </c>
      <c r="H219" t="s">
        <v>43</v>
      </c>
      <c r="I219" t="s">
        <v>606</v>
      </c>
      <c r="J219" t="s">
        <v>607</v>
      </c>
      <c r="M219" t="s">
        <v>146</v>
      </c>
      <c r="O219" t="s">
        <v>149</v>
      </c>
      <c r="P219" t="s">
        <v>150</v>
      </c>
      <c r="Q219" t="s">
        <v>49</v>
      </c>
      <c r="R219" t="s">
        <v>121</v>
      </c>
      <c r="S219" s="1">
        <v>46023</v>
      </c>
      <c r="U219" t="s">
        <v>51</v>
      </c>
      <c r="X219" t="s">
        <v>52</v>
      </c>
      <c r="Y219" s="2">
        <v>0</v>
      </c>
      <c r="Z219" s="2">
        <v>347</v>
      </c>
      <c r="AA219">
        <v>1</v>
      </c>
      <c r="AB219" s="3">
        <v>1</v>
      </c>
      <c r="AC219" s="2">
        <v>347</v>
      </c>
      <c r="AD219" s="3">
        <v>0</v>
      </c>
      <c r="AE219" s="2">
        <v>0</v>
      </c>
      <c r="AF219" s="2">
        <v>347</v>
      </c>
      <c r="AK219">
        <v>6123357</v>
      </c>
      <c r="AL219" t="s">
        <v>122</v>
      </c>
    </row>
    <row r="220" spans="1:38" x14ac:dyDescent="0.25">
      <c r="A220" s="1">
        <v>46029</v>
      </c>
      <c r="B220" s="1">
        <v>46029</v>
      </c>
      <c r="C220" t="s">
        <v>38</v>
      </c>
      <c r="D220" t="s">
        <v>39</v>
      </c>
      <c r="E220" t="s">
        <v>40</v>
      </c>
      <c r="F220" t="s">
        <v>41</v>
      </c>
      <c r="G220" t="s">
        <v>42</v>
      </c>
      <c r="H220" t="s">
        <v>43</v>
      </c>
      <c r="I220" t="s">
        <v>608</v>
      </c>
      <c r="J220" t="s">
        <v>609</v>
      </c>
      <c r="M220" t="s">
        <v>389</v>
      </c>
      <c r="O220" t="s">
        <v>67</v>
      </c>
      <c r="P220" t="s">
        <v>68</v>
      </c>
      <c r="Q220" t="s">
        <v>49</v>
      </c>
      <c r="R220" t="s">
        <v>178</v>
      </c>
      <c r="S220" s="1">
        <v>46023</v>
      </c>
      <c r="U220" t="s">
        <v>51</v>
      </c>
      <c r="X220" t="s">
        <v>52</v>
      </c>
      <c r="Y220" s="2">
        <v>0</v>
      </c>
      <c r="Z220" s="2">
        <v>203</v>
      </c>
      <c r="AA220">
        <v>1</v>
      </c>
      <c r="AB220" s="3">
        <v>1</v>
      </c>
      <c r="AC220" s="2">
        <v>203</v>
      </c>
      <c r="AD220" s="3">
        <v>0</v>
      </c>
      <c r="AE220" s="2">
        <v>0</v>
      </c>
      <c r="AF220" s="2">
        <v>203</v>
      </c>
      <c r="AK220">
        <v>6123358</v>
      </c>
      <c r="AL220" t="s">
        <v>122</v>
      </c>
    </row>
    <row r="221" spans="1:38" x14ac:dyDescent="0.25">
      <c r="A221" s="1">
        <v>46029</v>
      </c>
      <c r="B221" s="1">
        <v>46029</v>
      </c>
      <c r="C221" t="s">
        <v>38</v>
      </c>
      <c r="D221" t="s">
        <v>39</v>
      </c>
      <c r="E221" t="s">
        <v>40</v>
      </c>
      <c r="F221" t="s">
        <v>41</v>
      </c>
      <c r="G221" t="s">
        <v>42</v>
      </c>
      <c r="H221" t="s">
        <v>43</v>
      </c>
      <c r="I221" t="s">
        <v>610</v>
      </c>
      <c r="J221" t="s">
        <v>611</v>
      </c>
      <c r="M221" t="s">
        <v>46</v>
      </c>
      <c r="O221" t="s">
        <v>183</v>
      </c>
      <c r="P221" t="s">
        <v>184</v>
      </c>
      <c r="Q221" t="s">
        <v>49</v>
      </c>
      <c r="R221" t="s">
        <v>121</v>
      </c>
      <c r="S221" s="1">
        <v>46023</v>
      </c>
      <c r="U221" t="s">
        <v>51</v>
      </c>
      <c r="X221" t="s">
        <v>52</v>
      </c>
      <c r="Y221" s="2">
        <v>0</v>
      </c>
      <c r="Z221" s="2">
        <v>347</v>
      </c>
      <c r="AA221">
        <v>1</v>
      </c>
      <c r="AB221" s="3">
        <v>1</v>
      </c>
      <c r="AC221" s="2">
        <v>347</v>
      </c>
      <c r="AD221" s="3">
        <v>0</v>
      </c>
      <c r="AE221" s="2">
        <v>0</v>
      </c>
      <c r="AF221" s="2">
        <v>347</v>
      </c>
      <c r="AK221">
        <v>6123359</v>
      </c>
      <c r="AL221" t="s">
        <v>122</v>
      </c>
    </row>
    <row r="222" spans="1:38" x14ac:dyDescent="0.25">
      <c r="A222" s="1">
        <v>46029</v>
      </c>
      <c r="B222" s="1">
        <v>46029</v>
      </c>
      <c r="C222" t="s">
        <v>38</v>
      </c>
      <c r="D222" t="s">
        <v>39</v>
      </c>
      <c r="E222" t="s">
        <v>40</v>
      </c>
      <c r="F222" t="s">
        <v>41</v>
      </c>
      <c r="G222" t="s">
        <v>42</v>
      </c>
      <c r="H222" t="s">
        <v>43</v>
      </c>
      <c r="I222" t="s">
        <v>612</v>
      </c>
      <c r="J222" t="s">
        <v>613</v>
      </c>
      <c r="M222" t="s">
        <v>46</v>
      </c>
      <c r="O222" t="s">
        <v>77</v>
      </c>
      <c r="P222" t="s">
        <v>78</v>
      </c>
      <c r="Q222" t="s">
        <v>49</v>
      </c>
      <c r="R222" t="s">
        <v>178</v>
      </c>
      <c r="S222" s="1">
        <v>46023</v>
      </c>
      <c r="U222" t="s">
        <v>51</v>
      </c>
      <c r="X222" t="s">
        <v>52</v>
      </c>
      <c r="Y222" s="2">
        <v>0</v>
      </c>
      <c r="Z222" s="2">
        <v>203</v>
      </c>
      <c r="AA222">
        <v>1</v>
      </c>
      <c r="AB222" s="3">
        <v>1</v>
      </c>
      <c r="AC222" s="2">
        <v>203</v>
      </c>
      <c r="AD222" s="3">
        <v>0</v>
      </c>
      <c r="AE222" s="2">
        <v>0</v>
      </c>
      <c r="AF222" s="2">
        <v>203</v>
      </c>
      <c r="AK222">
        <v>6123360</v>
      </c>
      <c r="AL222" t="s">
        <v>122</v>
      </c>
    </row>
    <row r="223" spans="1:38" x14ac:dyDescent="0.25">
      <c r="A223" s="1">
        <v>46029</v>
      </c>
      <c r="B223" s="1">
        <v>46029</v>
      </c>
      <c r="C223" t="s">
        <v>38</v>
      </c>
      <c r="D223" t="s">
        <v>39</v>
      </c>
      <c r="E223" t="s">
        <v>40</v>
      </c>
      <c r="F223" t="s">
        <v>41</v>
      </c>
      <c r="G223" t="s">
        <v>42</v>
      </c>
      <c r="H223" t="s">
        <v>43</v>
      </c>
      <c r="I223" t="s">
        <v>614</v>
      </c>
      <c r="J223" t="s">
        <v>615</v>
      </c>
      <c r="M223" t="s">
        <v>86</v>
      </c>
      <c r="O223" t="s">
        <v>87</v>
      </c>
      <c r="P223" t="s">
        <v>88</v>
      </c>
      <c r="Q223" t="s">
        <v>49</v>
      </c>
      <c r="R223" t="s">
        <v>121</v>
      </c>
      <c r="S223" s="1">
        <v>46023</v>
      </c>
      <c r="U223" t="s">
        <v>51</v>
      </c>
      <c r="X223" t="s">
        <v>52</v>
      </c>
      <c r="Y223" s="2">
        <v>0</v>
      </c>
      <c r="Z223" s="2">
        <v>347</v>
      </c>
      <c r="AA223">
        <v>1</v>
      </c>
      <c r="AB223" s="3">
        <v>1</v>
      </c>
      <c r="AC223" s="2">
        <v>347</v>
      </c>
      <c r="AD223" s="3">
        <v>0</v>
      </c>
      <c r="AE223" s="2">
        <v>0</v>
      </c>
      <c r="AF223" s="2">
        <v>347</v>
      </c>
      <c r="AK223">
        <v>6123361</v>
      </c>
      <c r="AL223" t="s">
        <v>122</v>
      </c>
    </row>
    <row r="224" spans="1:38" x14ac:dyDescent="0.25">
      <c r="A224" s="1">
        <v>46029</v>
      </c>
      <c r="B224" s="1">
        <v>46029</v>
      </c>
      <c r="C224" t="s">
        <v>38</v>
      </c>
      <c r="D224" t="s">
        <v>39</v>
      </c>
      <c r="E224" t="s">
        <v>40</v>
      </c>
      <c r="F224" t="s">
        <v>41</v>
      </c>
      <c r="G224" t="s">
        <v>42</v>
      </c>
      <c r="H224" t="s">
        <v>43</v>
      </c>
      <c r="I224" t="s">
        <v>616</v>
      </c>
      <c r="J224" t="s">
        <v>617</v>
      </c>
      <c r="M224" t="s">
        <v>223</v>
      </c>
      <c r="O224" t="s">
        <v>125</v>
      </c>
      <c r="P224" t="s">
        <v>126</v>
      </c>
      <c r="Q224" t="s">
        <v>49</v>
      </c>
      <c r="R224" t="s">
        <v>121</v>
      </c>
      <c r="S224" s="1">
        <v>46023</v>
      </c>
      <c r="U224" t="s">
        <v>51</v>
      </c>
      <c r="X224" t="s">
        <v>52</v>
      </c>
      <c r="Y224" s="2">
        <v>0</v>
      </c>
      <c r="Z224" s="2">
        <v>347</v>
      </c>
      <c r="AA224">
        <v>1</v>
      </c>
      <c r="AB224" s="3">
        <v>1</v>
      </c>
      <c r="AC224" s="2">
        <v>347</v>
      </c>
      <c r="AD224" s="3">
        <v>0</v>
      </c>
      <c r="AE224" s="2">
        <v>0</v>
      </c>
      <c r="AF224" s="2">
        <v>347</v>
      </c>
      <c r="AK224">
        <v>6123362</v>
      </c>
      <c r="AL224" t="s">
        <v>122</v>
      </c>
    </row>
    <row r="225" spans="1:38" x14ac:dyDescent="0.25">
      <c r="A225" s="1">
        <v>46029</v>
      </c>
      <c r="B225" s="1">
        <v>46029</v>
      </c>
      <c r="C225" t="s">
        <v>38</v>
      </c>
      <c r="D225" t="s">
        <v>39</v>
      </c>
      <c r="E225" t="s">
        <v>40</v>
      </c>
      <c r="F225" t="s">
        <v>41</v>
      </c>
      <c r="G225" t="s">
        <v>42</v>
      </c>
      <c r="H225" t="s">
        <v>43</v>
      </c>
      <c r="I225" t="s">
        <v>618</v>
      </c>
      <c r="J225" t="s">
        <v>619</v>
      </c>
      <c r="M225" t="s">
        <v>46</v>
      </c>
      <c r="O225" t="s">
        <v>246</v>
      </c>
      <c r="P225" t="s">
        <v>247</v>
      </c>
      <c r="Q225" t="s">
        <v>49</v>
      </c>
      <c r="R225" t="s">
        <v>121</v>
      </c>
      <c r="S225" s="1">
        <v>46023</v>
      </c>
      <c r="U225" t="s">
        <v>51</v>
      </c>
      <c r="X225" t="s">
        <v>52</v>
      </c>
      <c r="Y225" s="2">
        <v>0</v>
      </c>
      <c r="Z225" s="2">
        <v>347</v>
      </c>
      <c r="AA225">
        <v>1</v>
      </c>
      <c r="AB225" s="3">
        <v>1</v>
      </c>
      <c r="AC225" s="2">
        <v>347</v>
      </c>
      <c r="AD225" s="3">
        <v>0</v>
      </c>
      <c r="AE225" s="2">
        <v>0</v>
      </c>
      <c r="AF225" s="2">
        <v>347</v>
      </c>
      <c r="AK225">
        <v>6123363</v>
      </c>
      <c r="AL225" t="s">
        <v>122</v>
      </c>
    </row>
    <row r="226" spans="1:38" x14ac:dyDescent="0.25">
      <c r="A226" s="1">
        <v>46029</v>
      </c>
      <c r="B226" s="1">
        <v>46029</v>
      </c>
      <c r="C226" t="s">
        <v>38</v>
      </c>
      <c r="D226" t="s">
        <v>39</v>
      </c>
      <c r="E226" t="s">
        <v>40</v>
      </c>
      <c r="F226" t="s">
        <v>41</v>
      </c>
      <c r="G226" t="s">
        <v>42</v>
      </c>
      <c r="H226" t="s">
        <v>43</v>
      </c>
      <c r="I226" t="s">
        <v>620</v>
      </c>
      <c r="J226" t="s">
        <v>621</v>
      </c>
      <c r="M226" t="s">
        <v>204</v>
      </c>
      <c r="O226" t="s">
        <v>205</v>
      </c>
      <c r="P226" t="s">
        <v>206</v>
      </c>
      <c r="Q226" t="s">
        <v>49</v>
      </c>
      <c r="R226" t="s">
        <v>121</v>
      </c>
      <c r="S226" s="1">
        <v>46023</v>
      </c>
      <c r="U226" t="s">
        <v>51</v>
      </c>
      <c r="X226" t="s">
        <v>52</v>
      </c>
      <c r="Y226" s="2">
        <v>0</v>
      </c>
      <c r="Z226" s="2">
        <v>347</v>
      </c>
      <c r="AA226">
        <v>1</v>
      </c>
      <c r="AB226" s="3">
        <v>1</v>
      </c>
      <c r="AC226" s="2">
        <v>347</v>
      </c>
      <c r="AD226" s="3">
        <v>0</v>
      </c>
      <c r="AE226" s="2">
        <v>0</v>
      </c>
      <c r="AF226" s="2">
        <v>347</v>
      </c>
      <c r="AK226">
        <v>6123364</v>
      </c>
      <c r="AL226" t="s">
        <v>122</v>
      </c>
    </row>
    <row r="227" spans="1:38" x14ac:dyDescent="0.25">
      <c r="A227" s="1">
        <v>46029</v>
      </c>
      <c r="B227" s="1">
        <v>46029</v>
      </c>
      <c r="C227" t="s">
        <v>38</v>
      </c>
      <c r="D227" t="s">
        <v>39</v>
      </c>
      <c r="E227" t="s">
        <v>40</v>
      </c>
      <c r="F227" t="s">
        <v>41</v>
      </c>
      <c r="G227" t="s">
        <v>42</v>
      </c>
      <c r="H227" t="s">
        <v>43</v>
      </c>
      <c r="I227" t="s">
        <v>622</v>
      </c>
      <c r="J227" t="s">
        <v>623</v>
      </c>
      <c r="M227" t="s">
        <v>46</v>
      </c>
      <c r="O227" t="s">
        <v>312</v>
      </c>
      <c r="P227" t="s">
        <v>313</v>
      </c>
      <c r="Q227" t="s">
        <v>49</v>
      </c>
      <c r="R227" t="s">
        <v>121</v>
      </c>
      <c r="S227" s="1">
        <v>46023</v>
      </c>
      <c r="U227" t="s">
        <v>51</v>
      </c>
      <c r="X227" t="s">
        <v>52</v>
      </c>
      <c r="Y227" s="2">
        <v>0</v>
      </c>
      <c r="Z227" s="2">
        <v>347</v>
      </c>
      <c r="AA227">
        <v>1</v>
      </c>
      <c r="AB227" s="3">
        <v>1</v>
      </c>
      <c r="AC227" s="2">
        <v>347</v>
      </c>
      <c r="AD227" s="3">
        <v>0</v>
      </c>
      <c r="AE227" s="2">
        <v>0</v>
      </c>
      <c r="AF227" s="2">
        <v>347</v>
      </c>
      <c r="AK227">
        <v>6123365</v>
      </c>
      <c r="AL227" t="s">
        <v>122</v>
      </c>
    </row>
    <row r="228" spans="1:38" x14ac:dyDescent="0.25">
      <c r="A228" s="1">
        <v>46029</v>
      </c>
      <c r="B228" s="1">
        <v>46029</v>
      </c>
      <c r="C228" t="s">
        <v>38</v>
      </c>
      <c r="D228" t="s">
        <v>39</v>
      </c>
      <c r="E228" t="s">
        <v>40</v>
      </c>
      <c r="F228" t="s">
        <v>41</v>
      </c>
      <c r="G228" t="s">
        <v>42</v>
      </c>
      <c r="H228" t="s">
        <v>43</v>
      </c>
      <c r="I228" t="s">
        <v>624</v>
      </c>
      <c r="J228" t="s">
        <v>625</v>
      </c>
      <c r="M228" t="s">
        <v>294</v>
      </c>
      <c r="O228" t="s">
        <v>119</v>
      </c>
      <c r="P228" t="s">
        <v>120</v>
      </c>
      <c r="Q228" t="s">
        <v>49</v>
      </c>
      <c r="R228" t="s">
        <v>121</v>
      </c>
      <c r="S228" s="1">
        <v>46023</v>
      </c>
      <c r="U228" t="s">
        <v>51</v>
      </c>
      <c r="X228" t="s">
        <v>52</v>
      </c>
      <c r="Y228" s="2">
        <v>0</v>
      </c>
      <c r="Z228" s="2">
        <v>347</v>
      </c>
      <c r="AA228">
        <v>1</v>
      </c>
      <c r="AB228" s="3">
        <v>1</v>
      </c>
      <c r="AC228" s="2">
        <v>347</v>
      </c>
      <c r="AD228" s="3">
        <v>0</v>
      </c>
      <c r="AE228" s="2">
        <v>0</v>
      </c>
      <c r="AF228" s="2">
        <v>347</v>
      </c>
      <c r="AK228">
        <v>6123366</v>
      </c>
      <c r="AL228" t="s">
        <v>122</v>
      </c>
    </row>
    <row r="229" spans="1:38" x14ac:dyDescent="0.25">
      <c r="A229" s="1">
        <v>46029</v>
      </c>
      <c r="B229" s="1">
        <v>46029</v>
      </c>
      <c r="C229" t="s">
        <v>38</v>
      </c>
      <c r="D229" t="s">
        <v>39</v>
      </c>
      <c r="E229" t="s">
        <v>40</v>
      </c>
      <c r="F229" t="s">
        <v>41</v>
      </c>
      <c r="G229" t="s">
        <v>42</v>
      </c>
      <c r="H229" t="s">
        <v>43</v>
      </c>
      <c r="I229" t="s">
        <v>626</v>
      </c>
      <c r="J229" t="s">
        <v>627</v>
      </c>
      <c r="M229" t="s">
        <v>196</v>
      </c>
      <c r="O229" t="s">
        <v>197</v>
      </c>
      <c r="P229" t="s">
        <v>198</v>
      </c>
      <c r="Q229" t="s">
        <v>49</v>
      </c>
      <c r="R229" t="s">
        <v>121</v>
      </c>
      <c r="S229" s="1">
        <v>46023</v>
      </c>
      <c r="U229" t="s">
        <v>51</v>
      </c>
      <c r="X229" t="s">
        <v>52</v>
      </c>
      <c r="Y229" s="2">
        <v>0</v>
      </c>
      <c r="Z229" s="2">
        <v>347</v>
      </c>
      <c r="AA229">
        <v>1</v>
      </c>
      <c r="AB229" s="3">
        <v>1</v>
      </c>
      <c r="AC229" s="2">
        <v>347</v>
      </c>
      <c r="AD229" s="3">
        <v>0</v>
      </c>
      <c r="AE229" s="2">
        <v>0</v>
      </c>
      <c r="AF229" s="2">
        <v>347</v>
      </c>
      <c r="AK229">
        <v>6123367</v>
      </c>
      <c r="AL229" t="s">
        <v>122</v>
      </c>
    </row>
    <row r="230" spans="1:38" x14ac:dyDescent="0.25">
      <c r="A230" s="1">
        <v>46029</v>
      </c>
      <c r="B230" s="1">
        <v>46029</v>
      </c>
      <c r="C230" t="s">
        <v>38</v>
      </c>
      <c r="D230" t="s">
        <v>39</v>
      </c>
      <c r="E230" t="s">
        <v>40</v>
      </c>
      <c r="F230" t="s">
        <v>41</v>
      </c>
      <c r="G230" t="s">
        <v>42</v>
      </c>
      <c r="H230" t="s">
        <v>43</v>
      </c>
      <c r="I230" t="s">
        <v>628</v>
      </c>
      <c r="J230" t="s">
        <v>629</v>
      </c>
      <c r="M230" t="s">
        <v>204</v>
      </c>
      <c r="O230" t="s">
        <v>205</v>
      </c>
      <c r="P230" t="s">
        <v>206</v>
      </c>
      <c r="Q230" t="s">
        <v>49</v>
      </c>
      <c r="R230" t="s">
        <v>121</v>
      </c>
      <c r="S230" s="1">
        <v>46023</v>
      </c>
      <c r="U230" t="s">
        <v>51</v>
      </c>
      <c r="X230" t="s">
        <v>52</v>
      </c>
      <c r="Y230" s="2">
        <v>0</v>
      </c>
      <c r="Z230" s="2">
        <v>347</v>
      </c>
      <c r="AA230">
        <v>1</v>
      </c>
      <c r="AB230" s="3">
        <v>1</v>
      </c>
      <c r="AC230" s="2">
        <v>347</v>
      </c>
      <c r="AD230" s="3">
        <v>0</v>
      </c>
      <c r="AE230" s="2">
        <v>0</v>
      </c>
      <c r="AF230" s="2">
        <v>347</v>
      </c>
      <c r="AK230">
        <v>6123368</v>
      </c>
      <c r="AL230" t="s">
        <v>122</v>
      </c>
    </row>
    <row r="231" spans="1:38" x14ac:dyDescent="0.25">
      <c r="A231" s="1">
        <v>46029</v>
      </c>
      <c r="B231" s="1">
        <v>46029</v>
      </c>
      <c r="C231" t="s">
        <v>38</v>
      </c>
      <c r="D231" t="s">
        <v>39</v>
      </c>
      <c r="E231" t="s">
        <v>40</v>
      </c>
      <c r="F231" t="s">
        <v>41</v>
      </c>
      <c r="G231" t="s">
        <v>42</v>
      </c>
      <c r="H231" t="s">
        <v>43</v>
      </c>
      <c r="I231" t="s">
        <v>630</v>
      </c>
      <c r="J231" t="s">
        <v>631</v>
      </c>
      <c r="M231" t="s">
        <v>271</v>
      </c>
      <c r="O231" t="s">
        <v>77</v>
      </c>
      <c r="P231" t="s">
        <v>78</v>
      </c>
      <c r="Q231" t="s">
        <v>49</v>
      </c>
      <c r="R231" t="s">
        <v>121</v>
      </c>
      <c r="S231" s="1">
        <v>46023</v>
      </c>
      <c r="U231" t="s">
        <v>51</v>
      </c>
      <c r="X231" t="s">
        <v>52</v>
      </c>
      <c r="Y231" s="2">
        <v>0</v>
      </c>
      <c r="Z231" s="2">
        <v>347</v>
      </c>
      <c r="AA231">
        <v>1</v>
      </c>
      <c r="AB231" s="3">
        <v>1</v>
      </c>
      <c r="AC231" s="2">
        <v>347</v>
      </c>
      <c r="AD231" s="3">
        <v>0</v>
      </c>
      <c r="AE231" s="2">
        <v>0</v>
      </c>
      <c r="AF231" s="2">
        <v>347</v>
      </c>
      <c r="AK231">
        <v>6123369</v>
      </c>
      <c r="AL231" t="s">
        <v>122</v>
      </c>
    </row>
    <row r="232" spans="1:38" x14ac:dyDescent="0.25">
      <c r="A232" s="1">
        <v>46029</v>
      </c>
      <c r="B232" s="1">
        <v>46029</v>
      </c>
      <c r="C232" t="s">
        <v>38</v>
      </c>
      <c r="D232" t="s">
        <v>39</v>
      </c>
      <c r="E232" t="s">
        <v>40</v>
      </c>
      <c r="F232" t="s">
        <v>41</v>
      </c>
      <c r="G232" t="s">
        <v>42</v>
      </c>
      <c r="H232" t="s">
        <v>43</v>
      </c>
      <c r="I232" t="s">
        <v>632</v>
      </c>
      <c r="J232" t="s">
        <v>633</v>
      </c>
      <c r="M232" t="s">
        <v>66</v>
      </c>
      <c r="O232" t="s">
        <v>209</v>
      </c>
      <c r="P232" t="s">
        <v>210</v>
      </c>
      <c r="Q232" t="s">
        <v>49</v>
      </c>
      <c r="R232" t="s">
        <v>178</v>
      </c>
      <c r="S232" s="1">
        <v>46023</v>
      </c>
      <c r="U232" t="s">
        <v>51</v>
      </c>
      <c r="X232" t="s">
        <v>52</v>
      </c>
      <c r="Y232" s="2">
        <v>0</v>
      </c>
      <c r="Z232" s="2">
        <v>203</v>
      </c>
      <c r="AA232">
        <v>1</v>
      </c>
      <c r="AB232" s="3">
        <v>1</v>
      </c>
      <c r="AC232" s="2">
        <v>203</v>
      </c>
      <c r="AD232" s="3">
        <v>0</v>
      </c>
      <c r="AE232" s="2">
        <v>0</v>
      </c>
      <c r="AF232" s="2">
        <v>203</v>
      </c>
      <c r="AK232">
        <v>6123370</v>
      </c>
      <c r="AL232" t="s">
        <v>122</v>
      </c>
    </row>
    <row r="233" spans="1:38" x14ac:dyDescent="0.25">
      <c r="A233" s="1">
        <v>46029</v>
      </c>
      <c r="B233" s="1">
        <v>46029</v>
      </c>
      <c r="C233" t="s">
        <v>38</v>
      </c>
      <c r="D233" t="s">
        <v>39</v>
      </c>
      <c r="E233" t="s">
        <v>40</v>
      </c>
      <c r="F233" t="s">
        <v>41</v>
      </c>
      <c r="G233" t="s">
        <v>42</v>
      </c>
      <c r="H233" t="s">
        <v>43</v>
      </c>
      <c r="I233" t="s">
        <v>634</v>
      </c>
      <c r="J233" t="s">
        <v>635</v>
      </c>
      <c r="M233" t="s">
        <v>204</v>
      </c>
      <c r="O233" t="s">
        <v>205</v>
      </c>
      <c r="P233" t="s">
        <v>206</v>
      </c>
      <c r="Q233" t="s">
        <v>49</v>
      </c>
      <c r="R233" t="s">
        <v>121</v>
      </c>
      <c r="S233" s="1">
        <v>46023</v>
      </c>
      <c r="U233" t="s">
        <v>51</v>
      </c>
      <c r="X233" t="s">
        <v>52</v>
      </c>
      <c r="Y233" s="2">
        <v>0</v>
      </c>
      <c r="Z233" s="2">
        <v>347</v>
      </c>
      <c r="AA233">
        <v>1</v>
      </c>
      <c r="AB233" s="3">
        <v>1</v>
      </c>
      <c r="AC233" s="2">
        <v>347</v>
      </c>
      <c r="AD233" s="3">
        <v>0</v>
      </c>
      <c r="AE233" s="2">
        <v>0</v>
      </c>
      <c r="AF233" s="2">
        <v>347</v>
      </c>
      <c r="AK233">
        <v>6123371</v>
      </c>
      <c r="AL233" t="s">
        <v>122</v>
      </c>
    </row>
    <row r="234" spans="1:38" x14ac:dyDescent="0.25">
      <c r="A234" s="1">
        <v>46029</v>
      </c>
      <c r="B234" s="1">
        <v>46029</v>
      </c>
      <c r="C234" t="s">
        <v>38</v>
      </c>
      <c r="D234" t="s">
        <v>39</v>
      </c>
      <c r="E234" t="s">
        <v>40</v>
      </c>
      <c r="F234" t="s">
        <v>41</v>
      </c>
      <c r="G234" t="s">
        <v>42</v>
      </c>
      <c r="H234" t="s">
        <v>43</v>
      </c>
      <c r="I234" t="s">
        <v>636</v>
      </c>
      <c r="J234" t="s">
        <v>637</v>
      </c>
      <c r="M234" t="s">
        <v>204</v>
      </c>
      <c r="O234" t="s">
        <v>205</v>
      </c>
      <c r="P234" t="s">
        <v>206</v>
      </c>
      <c r="Q234" t="s">
        <v>49</v>
      </c>
      <c r="R234" t="s">
        <v>121</v>
      </c>
      <c r="S234" s="1">
        <v>46023</v>
      </c>
      <c r="U234" t="s">
        <v>51</v>
      </c>
      <c r="X234" t="s">
        <v>52</v>
      </c>
      <c r="Y234" s="2">
        <v>0</v>
      </c>
      <c r="Z234" s="2">
        <v>347</v>
      </c>
      <c r="AA234">
        <v>1</v>
      </c>
      <c r="AB234" s="3">
        <v>1</v>
      </c>
      <c r="AC234" s="2">
        <v>347</v>
      </c>
      <c r="AD234" s="3">
        <v>0</v>
      </c>
      <c r="AE234" s="2">
        <v>0</v>
      </c>
      <c r="AF234" s="2">
        <v>347</v>
      </c>
      <c r="AK234">
        <v>6123372</v>
      </c>
      <c r="AL234" t="s">
        <v>122</v>
      </c>
    </row>
    <row r="235" spans="1:38" x14ac:dyDescent="0.25">
      <c r="A235" s="1">
        <v>46029</v>
      </c>
      <c r="B235" s="1">
        <v>46029</v>
      </c>
      <c r="C235" t="s">
        <v>38</v>
      </c>
      <c r="D235" t="s">
        <v>39</v>
      </c>
      <c r="E235" t="s">
        <v>40</v>
      </c>
      <c r="F235" t="s">
        <v>41</v>
      </c>
      <c r="G235" t="s">
        <v>42</v>
      </c>
      <c r="H235" t="s">
        <v>43</v>
      </c>
      <c r="I235" t="s">
        <v>638</v>
      </c>
      <c r="J235" t="s">
        <v>639</v>
      </c>
      <c r="M235" t="s">
        <v>46</v>
      </c>
      <c r="O235" t="s">
        <v>640</v>
      </c>
      <c r="P235" t="s">
        <v>641</v>
      </c>
      <c r="Q235" t="s">
        <v>49</v>
      </c>
      <c r="R235" t="s">
        <v>121</v>
      </c>
      <c r="S235" s="1">
        <v>46023</v>
      </c>
      <c r="U235" t="s">
        <v>51</v>
      </c>
      <c r="X235" t="s">
        <v>52</v>
      </c>
      <c r="Y235" s="2">
        <v>0</v>
      </c>
      <c r="Z235" s="2">
        <v>347</v>
      </c>
      <c r="AA235">
        <v>1</v>
      </c>
      <c r="AB235" s="3">
        <v>1</v>
      </c>
      <c r="AC235" s="2">
        <v>347</v>
      </c>
      <c r="AD235" s="3">
        <v>0</v>
      </c>
      <c r="AE235" s="2">
        <v>0</v>
      </c>
      <c r="AF235" s="2">
        <v>347</v>
      </c>
      <c r="AK235">
        <v>6123375</v>
      </c>
      <c r="AL235" t="s">
        <v>122</v>
      </c>
    </row>
    <row r="236" spans="1:38" x14ac:dyDescent="0.25">
      <c r="A236" s="1">
        <v>46029</v>
      </c>
      <c r="B236" s="1">
        <v>46029</v>
      </c>
      <c r="C236" t="s">
        <v>38</v>
      </c>
      <c r="D236" t="s">
        <v>39</v>
      </c>
      <c r="E236" t="s">
        <v>40</v>
      </c>
      <c r="F236" t="s">
        <v>41</v>
      </c>
      <c r="G236" t="s">
        <v>42</v>
      </c>
      <c r="H236" t="s">
        <v>43</v>
      </c>
      <c r="I236" t="s">
        <v>642</v>
      </c>
      <c r="J236" t="s">
        <v>643</v>
      </c>
      <c r="M236" t="s">
        <v>86</v>
      </c>
      <c r="O236" t="s">
        <v>219</v>
      </c>
      <c r="P236" t="s">
        <v>220</v>
      </c>
      <c r="Q236" t="s">
        <v>49</v>
      </c>
      <c r="R236" t="s">
        <v>121</v>
      </c>
      <c r="S236" s="1">
        <v>46023</v>
      </c>
      <c r="U236" t="s">
        <v>51</v>
      </c>
      <c r="X236" t="s">
        <v>52</v>
      </c>
      <c r="Y236" s="2">
        <v>0</v>
      </c>
      <c r="Z236" s="2">
        <v>347</v>
      </c>
      <c r="AA236">
        <v>1</v>
      </c>
      <c r="AB236" s="3">
        <v>1</v>
      </c>
      <c r="AC236" s="2">
        <v>347</v>
      </c>
      <c r="AD236" s="3">
        <v>0</v>
      </c>
      <c r="AE236" s="2">
        <v>0</v>
      </c>
      <c r="AF236" s="2">
        <v>347</v>
      </c>
      <c r="AK236">
        <v>6123377</v>
      </c>
      <c r="AL236" t="s">
        <v>122</v>
      </c>
    </row>
    <row r="237" spans="1:38" x14ac:dyDescent="0.25">
      <c r="A237" s="1">
        <v>46029</v>
      </c>
      <c r="B237" s="1">
        <v>46029</v>
      </c>
      <c r="C237" t="s">
        <v>38</v>
      </c>
      <c r="D237" t="s">
        <v>39</v>
      </c>
      <c r="E237" t="s">
        <v>40</v>
      </c>
      <c r="F237" t="s">
        <v>41</v>
      </c>
      <c r="G237" t="s">
        <v>42</v>
      </c>
      <c r="H237" t="s">
        <v>43</v>
      </c>
      <c r="I237" t="s">
        <v>644</v>
      </c>
      <c r="J237" t="s">
        <v>645</v>
      </c>
      <c r="M237" t="s">
        <v>46</v>
      </c>
      <c r="O237" t="s">
        <v>646</v>
      </c>
      <c r="P237" t="s">
        <v>647</v>
      </c>
      <c r="Q237" t="s">
        <v>49</v>
      </c>
      <c r="R237" t="s">
        <v>121</v>
      </c>
      <c r="S237" s="1">
        <v>46023</v>
      </c>
      <c r="U237" t="s">
        <v>51</v>
      </c>
      <c r="X237" t="s">
        <v>52</v>
      </c>
      <c r="Y237" s="2">
        <v>0</v>
      </c>
      <c r="Z237" s="2">
        <v>347</v>
      </c>
      <c r="AA237">
        <v>1</v>
      </c>
      <c r="AB237" s="3">
        <v>1</v>
      </c>
      <c r="AC237" s="2">
        <v>347</v>
      </c>
      <c r="AD237" s="3">
        <v>0</v>
      </c>
      <c r="AE237" s="2">
        <v>0</v>
      </c>
      <c r="AF237" s="2">
        <v>347</v>
      </c>
      <c r="AK237">
        <v>6123378</v>
      </c>
      <c r="AL237" t="s">
        <v>122</v>
      </c>
    </row>
    <row r="238" spans="1:38" x14ac:dyDescent="0.25">
      <c r="A238" s="1">
        <v>46029</v>
      </c>
      <c r="B238" s="1">
        <v>46029</v>
      </c>
      <c r="C238" t="s">
        <v>38</v>
      </c>
      <c r="D238" t="s">
        <v>39</v>
      </c>
      <c r="E238" t="s">
        <v>40</v>
      </c>
      <c r="F238" t="s">
        <v>41</v>
      </c>
      <c r="G238" t="s">
        <v>42</v>
      </c>
      <c r="H238" t="s">
        <v>43</v>
      </c>
      <c r="I238" t="s">
        <v>648</v>
      </c>
      <c r="J238" t="s">
        <v>649</v>
      </c>
      <c r="M238" t="s">
        <v>223</v>
      </c>
      <c r="O238" t="s">
        <v>94</v>
      </c>
      <c r="P238" t="s">
        <v>95</v>
      </c>
      <c r="Q238" t="s">
        <v>49</v>
      </c>
      <c r="R238" t="s">
        <v>121</v>
      </c>
      <c r="S238" s="1">
        <v>46023</v>
      </c>
      <c r="U238" t="s">
        <v>51</v>
      </c>
      <c r="X238" t="s">
        <v>52</v>
      </c>
      <c r="Y238" s="2">
        <v>0</v>
      </c>
      <c r="Z238" s="2">
        <v>347</v>
      </c>
      <c r="AA238">
        <v>1</v>
      </c>
      <c r="AB238" s="3">
        <v>1</v>
      </c>
      <c r="AC238" s="2">
        <v>347</v>
      </c>
      <c r="AD238" s="3">
        <v>0</v>
      </c>
      <c r="AE238" s="2">
        <v>0</v>
      </c>
      <c r="AF238" s="2">
        <v>347</v>
      </c>
      <c r="AK238">
        <v>6123380</v>
      </c>
      <c r="AL238" t="s">
        <v>122</v>
      </c>
    </row>
    <row r="239" spans="1:38" x14ac:dyDescent="0.25">
      <c r="A239" s="1">
        <v>46029</v>
      </c>
      <c r="B239" s="1">
        <v>46029</v>
      </c>
      <c r="C239" t="s">
        <v>38</v>
      </c>
      <c r="D239" t="s">
        <v>39</v>
      </c>
      <c r="E239" t="s">
        <v>40</v>
      </c>
      <c r="F239" t="s">
        <v>41</v>
      </c>
      <c r="G239" t="s">
        <v>42</v>
      </c>
      <c r="H239" t="s">
        <v>43</v>
      </c>
      <c r="I239" t="s">
        <v>650</v>
      </c>
      <c r="J239" t="s">
        <v>651</v>
      </c>
      <c r="M239" t="s">
        <v>386</v>
      </c>
      <c r="O239" t="s">
        <v>94</v>
      </c>
      <c r="P239" t="s">
        <v>95</v>
      </c>
      <c r="Q239" t="s">
        <v>49</v>
      </c>
      <c r="R239" t="s">
        <v>121</v>
      </c>
      <c r="S239" s="1">
        <v>46023</v>
      </c>
      <c r="U239" t="s">
        <v>51</v>
      </c>
      <c r="X239" t="s">
        <v>52</v>
      </c>
      <c r="Y239" s="2">
        <v>0</v>
      </c>
      <c r="Z239" s="2">
        <v>347</v>
      </c>
      <c r="AA239">
        <v>1</v>
      </c>
      <c r="AB239" s="3">
        <v>1</v>
      </c>
      <c r="AC239" s="2">
        <v>347</v>
      </c>
      <c r="AD239" s="3">
        <v>0</v>
      </c>
      <c r="AE239" s="2">
        <v>0</v>
      </c>
      <c r="AF239" s="2">
        <v>347</v>
      </c>
      <c r="AK239">
        <v>6123381</v>
      </c>
      <c r="AL239" t="s">
        <v>122</v>
      </c>
    </row>
    <row r="240" spans="1:38" x14ac:dyDescent="0.25">
      <c r="A240" s="1">
        <v>46029</v>
      </c>
      <c r="B240" s="1">
        <v>46029</v>
      </c>
      <c r="C240" t="s">
        <v>38</v>
      </c>
      <c r="D240" t="s">
        <v>39</v>
      </c>
      <c r="E240" t="s">
        <v>40</v>
      </c>
      <c r="F240" t="s">
        <v>41</v>
      </c>
      <c r="G240" t="s">
        <v>42</v>
      </c>
      <c r="H240" t="s">
        <v>43</v>
      </c>
      <c r="I240" t="s">
        <v>652</v>
      </c>
      <c r="J240" t="s">
        <v>653</v>
      </c>
      <c r="M240" t="s">
        <v>118</v>
      </c>
      <c r="O240" t="s">
        <v>119</v>
      </c>
      <c r="P240" t="s">
        <v>120</v>
      </c>
      <c r="Q240" t="s">
        <v>49</v>
      </c>
      <c r="R240" t="s">
        <v>178</v>
      </c>
      <c r="S240" s="1">
        <v>46023</v>
      </c>
      <c r="U240" t="s">
        <v>51</v>
      </c>
      <c r="X240" t="s">
        <v>52</v>
      </c>
      <c r="Y240" s="2">
        <v>0</v>
      </c>
      <c r="Z240" s="2">
        <v>203</v>
      </c>
      <c r="AA240">
        <v>1</v>
      </c>
      <c r="AB240" s="3">
        <v>1</v>
      </c>
      <c r="AC240" s="2">
        <v>203</v>
      </c>
      <c r="AD240" s="3">
        <v>0</v>
      </c>
      <c r="AE240" s="2">
        <v>0</v>
      </c>
      <c r="AF240" s="2">
        <v>203</v>
      </c>
      <c r="AK240">
        <v>6123382</v>
      </c>
      <c r="AL240" t="s">
        <v>122</v>
      </c>
    </row>
    <row r="241" spans="1:38" x14ac:dyDescent="0.25">
      <c r="A241" s="1">
        <v>46029</v>
      </c>
      <c r="B241" s="1">
        <v>46029</v>
      </c>
      <c r="C241" t="s">
        <v>38</v>
      </c>
      <c r="D241" t="s">
        <v>39</v>
      </c>
      <c r="E241" t="s">
        <v>40</v>
      </c>
      <c r="F241" t="s">
        <v>41</v>
      </c>
      <c r="G241" t="s">
        <v>42</v>
      </c>
      <c r="H241" t="s">
        <v>43</v>
      </c>
      <c r="I241" t="s">
        <v>654</v>
      </c>
      <c r="J241" t="s">
        <v>655</v>
      </c>
      <c r="M241" t="s">
        <v>86</v>
      </c>
      <c r="O241" t="s">
        <v>87</v>
      </c>
      <c r="P241" t="s">
        <v>88</v>
      </c>
      <c r="Q241" t="s">
        <v>49</v>
      </c>
      <c r="R241" t="s">
        <v>121</v>
      </c>
      <c r="S241" s="1">
        <v>46023</v>
      </c>
      <c r="U241" t="s">
        <v>51</v>
      </c>
      <c r="X241" t="s">
        <v>52</v>
      </c>
      <c r="Y241" s="2">
        <v>0</v>
      </c>
      <c r="Z241" s="2">
        <v>347</v>
      </c>
      <c r="AA241">
        <v>1</v>
      </c>
      <c r="AB241" s="3">
        <v>1</v>
      </c>
      <c r="AC241" s="2">
        <v>347</v>
      </c>
      <c r="AD241" s="3">
        <v>0</v>
      </c>
      <c r="AE241" s="2">
        <v>0</v>
      </c>
      <c r="AF241" s="2">
        <v>347</v>
      </c>
      <c r="AK241">
        <v>6123383</v>
      </c>
      <c r="AL241" t="s">
        <v>122</v>
      </c>
    </row>
    <row r="242" spans="1:38" x14ac:dyDescent="0.25">
      <c r="A242" s="1">
        <v>46029</v>
      </c>
      <c r="B242" s="1">
        <v>46029</v>
      </c>
      <c r="C242" t="s">
        <v>38</v>
      </c>
      <c r="D242" t="s">
        <v>39</v>
      </c>
      <c r="E242" t="s">
        <v>40</v>
      </c>
      <c r="F242" t="s">
        <v>41</v>
      </c>
      <c r="G242" t="s">
        <v>42</v>
      </c>
      <c r="H242" t="s">
        <v>43</v>
      </c>
      <c r="I242" t="s">
        <v>656</v>
      </c>
      <c r="J242" t="s">
        <v>657</v>
      </c>
      <c r="M242" t="s">
        <v>66</v>
      </c>
      <c r="O242" t="s">
        <v>565</v>
      </c>
      <c r="P242" t="s">
        <v>566</v>
      </c>
      <c r="Q242" t="s">
        <v>49</v>
      </c>
      <c r="R242" t="s">
        <v>121</v>
      </c>
      <c r="S242" s="1">
        <v>46023</v>
      </c>
      <c r="U242" t="s">
        <v>51</v>
      </c>
      <c r="X242" t="s">
        <v>52</v>
      </c>
      <c r="Y242" s="2">
        <v>0</v>
      </c>
      <c r="Z242" s="2">
        <v>347</v>
      </c>
      <c r="AA242">
        <v>1</v>
      </c>
      <c r="AB242" s="3">
        <v>1</v>
      </c>
      <c r="AC242" s="2">
        <v>347</v>
      </c>
      <c r="AD242" s="3">
        <v>0</v>
      </c>
      <c r="AE242" s="2">
        <v>0</v>
      </c>
      <c r="AF242" s="2">
        <v>347</v>
      </c>
      <c r="AK242">
        <v>6123384</v>
      </c>
      <c r="AL242" t="s">
        <v>122</v>
      </c>
    </row>
    <row r="243" spans="1:38" x14ac:dyDescent="0.25">
      <c r="A243" s="1">
        <v>46029</v>
      </c>
      <c r="B243" s="1">
        <v>46029</v>
      </c>
      <c r="C243" t="s">
        <v>38</v>
      </c>
      <c r="D243" t="s">
        <v>39</v>
      </c>
      <c r="E243" t="s">
        <v>40</v>
      </c>
      <c r="F243" t="s">
        <v>41</v>
      </c>
      <c r="G243" t="s">
        <v>42</v>
      </c>
      <c r="H243" t="s">
        <v>43</v>
      </c>
      <c r="I243" t="s">
        <v>658</v>
      </c>
      <c r="J243" t="s">
        <v>659</v>
      </c>
      <c r="M243" t="s">
        <v>46</v>
      </c>
      <c r="O243" t="s">
        <v>67</v>
      </c>
      <c r="P243" t="s">
        <v>68</v>
      </c>
      <c r="Q243" t="s">
        <v>49</v>
      </c>
      <c r="R243" t="s">
        <v>121</v>
      </c>
      <c r="S243" s="1">
        <v>46023</v>
      </c>
      <c r="U243" t="s">
        <v>51</v>
      </c>
      <c r="X243" t="s">
        <v>52</v>
      </c>
      <c r="Y243" s="2">
        <v>0</v>
      </c>
      <c r="Z243" s="2">
        <v>347</v>
      </c>
      <c r="AA243">
        <v>1</v>
      </c>
      <c r="AB243" s="3">
        <v>1</v>
      </c>
      <c r="AC243" s="2">
        <v>347</v>
      </c>
      <c r="AD243" s="3">
        <v>0</v>
      </c>
      <c r="AE243" s="2">
        <v>0</v>
      </c>
      <c r="AF243" s="2">
        <v>347</v>
      </c>
      <c r="AK243">
        <v>6123385</v>
      </c>
      <c r="AL243" t="s">
        <v>122</v>
      </c>
    </row>
    <row r="244" spans="1:38" x14ac:dyDescent="0.25">
      <c r="A244" s="1">
        <v>46029</v>
      </c>
      <c r="B244" s="1">
        <v>46029</v>
      </c>
      <c r="C244" t="s">
        <v>38</v>
      </c>
      <c r="D244" t="s">
        <v>39</v>
      </c>
      <c r="E244" t="s">
        <v>40</v>
      </c>
      <c r="F244" t="s">
        <v>41</v>
      </c>
      <c r="G244" t="s">
        <v>42</v>
      </c>
      <c r="H244" t="s">
        <v>43</v>
      </c>
      <c r="I244" t="s">
        <v>660</v>
      </c>
      <c r="J244" t="s">
        <v>661</v>
      </c>
      <c r="M244" t="s">
        <v>146</v>
      </c>
      <c r="O244" t="s">
        <v>94</v>
      </c>
      <c r="P244" t="s">
        <v>95</v>
      </c>
      <c r="Q244" t="s">
        <v>49</v>
      </c>
      <c r="R244" t="s">
        <v>121</v>
      </c>
      <c r="S244" s="1">
        <v>46023</v>
      </c>
      <c r="U244" t="s">
        <v>51</v>
      </c>
      <c r="X244" t="s">
        <v>52</v>
      </c>
      <c r="Y244" s="2">
        <v>0</v>
      </c>
      <c r="Z244" s="2">
        <v>347</v>
      </c>
      <c r="AA244">
        <v>1</v>
      </c>
      <c r="AB244" s="3">
        <v>1</v>
      </c>
      <c r="AC244" s="2">
        <v>347</v>
      </c>
      <c r="AD244" s="3">
        <v>0</v>
      </c>
      <c r="AE244" s="2">
        <v>0</v>
      </c>
      <c r="AF244" s="2">
        <v>347</v>
      </c>
      <c r="AK244">
        <v>6123386</v>
      </c>
      <c r="AL244" t="s">
        <v>122</v>
      </c>
    </row>
    <row r="245" spans="1:38" x14ac:dyDescent="0.25">
      <c r="A245" s="1">
        <v>46029</v>
      </c>
      <c r="B245" s="1">
        <v>46029</v>
      </c>
      <c r="C245" t="s">
        <v>38</v>
      </c>
      <c r="D245" t="s">
        <v>39</v>
      </c>
      <c r="E245" t="s">
        <v>40</v>
      </c>
      <c r="F245" t="s">
        <v>41</v>
      </c>
      <c r="G245" t="s">
        <v>42</v>
      </c>
      <c r="H245" t="s">
        <v>43</v>
      </c>
      <c r="I245" t="s">
        <v>662</v>
      </c>
      <c r="J245" t="s">
        <v>663</v>
      </c>
      <c r="M245" t="s">
        <v>86</v>
      </c>
      <c r="O245" t="s">
        <v>94</v>
      </c>
      <c r="P245" t="s">
        <v>95</v>
      </c>
      <c r="Q245" t="s">
        <v>49</v>
      </c>
      <c r="R245" t="s">
        <v>121</v>
      </c>
      <c r="S245" s="1">
        <v>46023</v>
      </c>
      <c r="U245" t="s">
        <v>51</v>
      </c>
      <c r="X245" t="s">
        <v>52</v>
      </c>
      <c r="Y245" s="2">
        <v>0</v>
      </c>
      <c r="Z245" s="2">
        <v>347</v>
      </c>
      <c r="AA245">
        <v>1</v>
      </c>
      <c r="AB245" s="3">
        <v>1</v>
      </c>
      <c r="AC245" s="2">
        <v>347</v>
      </c>
      <c r="AD245" s="3">
        <v>0</v>
      </c>
      <c r="AE245" s="2">
        <v>0</v>
      </c>
      <c r="AF245" s="2">
        <v>347</v>
      </c>
      <c r="AK245">
        <v>6123387</v>
      </c>
      <c r="AL245" t="s">
        <v>122</v>
      </c>
    </row>
    <row r="246" spans="1:38" x14ac:dyDescent="0.25">
      <c r="A246" s="1">
        <v>46029</v>
      </c>
      <c r="B246" s="1">
        <v>46029</v>
      </c>
      <c r="C246" t="s">
        <v>38</v>
      </c>
      <c r="D246" t="s">
        <v>39</v>
      </c>
      <c r="E246" t="s">
        <v>40</v>
      </c>
      <c r="F246" t="s">
        <v>41</v>
      </c>
      <c r="G246" t="s">
        <v>42</v>
      </c>
      <c r="H246" t="s">
        <v>43</v>
      </c>
      <c r="I246" t="s">
        <v>664</v>
      </c>
      <c r="J246" t="s">
        <v>665</v>
      </c>
      <c r="M246" t="s">
        <v>86</v>
      </c>
      <c r="O246" t="s">
        <v>219</v>
      </c>
      <c r="P246" t="s">
        <v>220</v>
      </c>
      <c r="Q246" t="s">
        <v>49</v>
      </c>
      <c r="R246" t="s">
        <v>121</v>
      </c>
      <c r="S246" s="1">
        <v>46023</v>
      </c>
      <c r="U246" t="s">
        <v>51</v>
      </c>
      <c r="X246" t="s">
        <v>52</v>
      </c>
      <c r="Y246" s="2">
        <v>0</v>
      </c>
      <c r="Z246" s="2">
        <v>347</v>
      </c>
      <c r="AA246">
        <v>1</v>
      </c>
      <c r="AB246" s="3">
        <v>1</v>
      </c>
      <c r="AC246" s="2">
        <v>347</v>
      </c>
      <c r="AD246" s="3">
        <v>0</v>
      </c>
      <c r="AE246" s="2">
        <v>0</v>
      </c>
      <c r="AF246" s="2">
        <v>347</v>
      </c>
      <c r="AK246">
        <v>6123388</v>
      </c>
      <c r="AL246" t="s">
        <v>122</v>
      </c>
    </row>
    <row r="247" spans="1:38" x14ac:dyDescent="0.25">
      <c r="A247" s="1">
        <v>46029</v>
      </c>
      <c r="B247" s="1">
        <v>46029</v>
      </c>
      <c r="C247" t="s">
        <v>38</v>
      </c>
      <c r="D247" t="s">
        <v>39</v>
      </c>
      <c r="E247" t="s">
        <v>40</v>
      </c>
      <c r="F247" t="s">
        <v>41</v>
      </c>
      <c r="G247" t="s">
        <v>42</v>
      </c>
      <c r="H247" t="s">
        <v>43</v>
      </c>
      <c r="I247" t="s">
        <v>666</v>
      </c>
      <c r="J247" t="s">
        <v>667</v>
      </c>
      <c r="M247" t="s">
        <v>196</v>
      </c>
      <c r="O247" t="s">
        <v>251</v>
      </c>
      <c r="P247" t="s">
        <v>252</v>
      </c>
      <c r="Q247" t="s">
        <v>49</v>
      </c>
      <c r="R247" t="s">
        <v>121</v>
      </c>
      <c r="S247" s="1">
        <v>46023</v>
      </c>
      <c r="U247" t="s">
        <v>51</v>
      </c>
      <c r="X247" t="s">
        <v>52</v>
      </c>
      <c r="Y247" s="2">
        <v>0</v>
      </c>
      <c r="Z247" s="2">
        <v>347</v>
      </c>
      <c r="AA247">
        <v>1</v>
      </c>
      <c r="AB247" s="3">
        <v>1</v>
      </c>
      <c r="AC247" s="2">
        <v>347</v>
      </c>
      <c r="AD247" s="3">
        <v>0</v>
      </c>
      <c r="AE247" s="2">
        <v>0</v>
      </c>
      <c r="AF247" s="2">
        <v>347</v>
      </c>
      <c r="AK247">
        <v>6123389</v>
      </c>
      <c r="AL247" t="s">
        <v>122</v>
      </c>
    </row>
    <row r="248" spans="1:38" x14ac:dyDescent="0.25">
      <c r="A248" s="1">
        <v>46029</v>
      </c>
      <c r="B248" s="1">
        <v>46029</v>
      </c>
      <c r="C248" t="s">
        <v>38</v>
      </c>
      <c r="D248" t="s">
        <v>39</v>
      </c>
      <c r="E248" t="s">
        <v>40</v>
      </c>
      <c r="F248" t="s">
        <v>41</v>
      </c>
      <c r="G248" t="s">
        <v>42</v>
      </c>
      <c r="H248" t="s">
        <v>43</v>
      </c>
      <c r="I248" t="s">
        <v>668</v>
      </c>
      <c r="J248" t="s">
        <v>669</v>
      </c>
      <c r="M248" t="s">
        <v>46</v>
      </c>
      <c r="O248" t="s">
        <v>197</v>
      </c>
      <c r="P248" t="s">
        <v>198</v>
      </c>
      <c r="Q248" t="s">
        <v>49</v>
      </c>
      <c r="R248" t="s">
        <v>121</v>
      </c>
      <c r="S248" s="1">
        <v>46023</v>
      </c>
      <c r="U248" t="s">
        <v>51</v>
      </c>
      <c r="X248" t="s">
        <v>52</v>
      </c>
      <c r="Y248" s="2">
        <v>0</v>
      </c>
      <c r="Z248" s="2">
        <v>347</v>
      </c>
      <c r="AA248">
        <v>1</v>
      </c>
      <c r="AB248" s="3">
        <v>1</v>
      </c>
      <c r="AC248" s="2">
        <v>347</v>
      </c>
      <c r="AD248" s="3">
        <v>0</v>
      </c>
      <c r="AE248" s="2">
        <v>0</v>
      </c>
      <c r="AF248" s="2">
        <v>347</v>
      </c>
      <c r="AK248">
        <v>6123390</v>
      </c>
      <c r="AL248" t="s">
        <v>122</v>
      </c>
    </row>
    <row r="249" spans="1:38" x14ac:dyDescent="0.25">
      <c r="A249" s="1">
        <v>46029</v>
      </c>
      <c r="B249" s="1">
        <v>46029</v>
      </c>
      <c r="C249" t="s">
        <v>38</v>
      </c>
      <c r="D249" t="s">
        <v>39</v>
      </c>
      <c r="E249" t="s">
        <v>40</v>
      </c>
      <c r="F249" t="s">
        <v>41</v>
      </c>
      <c r="G249" t="s">
        <v>42</v>
      </c>
      <c r="H249" t="s">
        <v>43</v>
      </c>
      <c r="I249" t="s">
        <v>670</v>
      </c>
      <c r="J249" t="s">
        <v>671</v>
      </c>
      <c r="M249" t="s">
        <v>46</v>
      </c>
      <c r="O249" t="s">
        <v>67</v>
      </c>
      <c r="P249" t="s">
        <v>68</v>
      </c>
      <c r="Q249" t="s">
        <v>49</v>
      </c>
      <c r="R249" t="s">
        <v>121</v>
      </c>
      <c r="S249" s="1">
        <v>46023</v>
      </c>
      <c r="U249" t="s">
        <v>51</v>
      </c>
      <c r="X249" t="s">
        <v>52</v>
      </c>
      <c r="Y249" s="2">
        <v>0</v>
      </c>
      <c r="Z249" s="2">
        <v>347</v>
      </c>
      <c r="AA249">
        <v>1</v>
      </c>
      <c r="AB249" s="3">
        <v>1</v>
      </c>
      <c r="AC249" s="2">
        <v>347</v>
      </c>
      <c r="AD249" s="3">
        <v>0</v>
      </c>
      <c r="AE249" s="2">
        <v>0</v>
      </c>
      <c r="AF249" s="2">
        <v>347</v>
      </c>
      <c r="AK249">
        <v>6123391</v>
      </c>
      <c r="AL249" t="s">
        <v>122</v>
      </c>
    </row>
    <row r="250" spans="1:38" x14ac:dyDescent="0.25">
      <c r="A250" s="1">
        <v>46029</v>
      </c>
      <c r="B250" s="1">
        <v>46029</v>
      </c>
      <c r="C250" t="s">
        <v>38</v>
      </c>
      <c r="D250" t="s">
        <v>39</v>
      </c>
      <c r="E250" t="s">
        <v>40</v>
      </c>
      <c r="F250" t="s">
        <v>41</v>
      </c>
      <c r="G250" t="s">
        <v>42</v>
      </c>
      <c r="H250" t="s">
        <v>43</v>
      </c>
      <c r="I250" t="s">
        <v>672</v>
      </c>
      <c r="J250" t="s">
        <v>673</v>
      </c>
      <c r="M250" t="s">
        <v>71</v>
      </c>
      <c r="O250" t="s">
        <v>255</v>
      </c>
      <c r="P250" t="s">
        <v>256</v>
      </c>
      <c r="Q250" t="s">
        <v>49</v>
      </c>
      <c r="R250" t="s">
        <v>674</v>
      </c>
      <c r="S250" s="1">
        <v>46023</v>
      </c>
      <c r="U250" t="s">
        <v>51</v>
      </c>
      <c r="X250" t="s">
        <v>52</v>
      </c>
      <c r="Y250" s="2">
        <v>0</v>
      </c>
      <c r="Z250" s="2">
        <v>353</v>
      </c>
      <c r="AA250">
        <v>1</v>
      </c>
      <c r="AB250" s="3">
        <v>1</v>
      </c>
      <c r="AC250" s="2">
        <v>353</v>
      </c>
      <c r="AD250" s="3">
        <v>0</v>
      </c>
      <c r="AE250" s="2">
        <v>0</v>
      </c>
      <c r="AF250" s="2">
        <v>353</v>
      </c>
      <c r="AK250">
        <v>6123392</v>
      </c>
      <c r="AL250" t="s">
        <v>122</v>
      </c>
    </row>
    <row r="251" spans="1:38" x14ac:dyDescent="0.25">
      <c r="A251" s="1">
        <v>46029</v>
      </c>
      <c r="B251" s="1">
        <v>46029</v>
      </c>
      <c r="C251" t="s">
        <v>38</v>
      </c>
      <c r="D251" t="s">
        <v>39</v>
      </c>
      <c r="E251" t="s">
        <v>40</v>
      </c>
      <c r="F251" t="s">
        <v>41</v>
      </c>
      <c r="G251" t="s">
        <v>42</v>
      </c>
      <c r="H251" t="s">
        <v>43</v>
      </c>
      <c r="I251" t="s">
        <v>675</v>
      </c>
      <c r="J251" t="s">
        <v>676</v>
      </c>
      <c r="M251" t="s">
        <v>46</v>
      </c>
      <c r="O251" t="s">
        <v>176</v>
      </c>
      <c r="P251" t="s">
        <v>177</v>
      </c>
      <c r="Q251" t="s">
        <v>49</v>
      </c>
      <c r="R251" t="s">
        <v>248</v>
      </c>
      <c r="S251" s="1">
        <v>46023</v>
      </c>
      <c r="U251" t="s">
        <v>51</v>
      </c>
      <c r="X251" t="s">
        <v>52</v>
      </c>
      <c r="Y251" s="2">
        <v>0</v>
      </c>
      <c r="Z251" s="2">
        <v>313</v>
      </c>
      <c r="AA251">
        <v>1</v>
      </c>
      <c r="AB251" s="3">
        <v>1</v>
      </c>
      <c r="AC251" s="2">
        <v>313</v>
      </c>
      <c r="AD251" s="3">
        <v>0</v>
      </c>
      <c r="AE251" s="2">
        <v>0</v>
      </c>
      <c r="AF251" s="2">
        <v>313</v>
      </c>
      <c r="AK251">
        <v>6123394</v>
      </c>
      <c r="AL251" t="s">
        <v>122</v>
      </c>
    </row>
    <row r="252" spans="1:38" x14ac:dyDescent="0.25">
      <c r="A252" s="1">
        <v>46029</v>
      </c>
      <c r="B252" s="1">
        <v>46029</v>
      </c>
      <c r="C252" t="s">
        <v>38</v>
      </c>
      <c r="D252" t="s">
        <v>39</v>
      </c>
      <c r="E252" t="s">
        <v>40</v>
      </c>
      <c r="F252" t="s">
        <v>41</v>
      </c>
      <c r="G252" t="s">
        <v>42</v>
      </c>
      <c r="H252" t="s">
        <v>43</v>
      </c>
      <c r="I252" t="s">
        <v>677</v>
      </c>
      <c r="J252" t="s">
        <v>678</v>
      </c>
      <c r="M252" t="s">
        <v>196</v>
      </c>
      <c r="O252" t="s">
        <v>251</v>
      </c>
      <c r="P252" t="s">
        <v>252</v>
      </c>
      <c r="Q252" t="s">
        <v>49</v>
      </c>
      <c r="R252" t="s">
        <v>121</v>
      </c>
      <c r="S252" s="1">
        <v>46023</v>
      </c>
      <c r="U252" t="s">
        <v>51</v>
      </c>
      <c r="X252" t="s">
        <v>52</v>
      </c>
      <c r="Y252" s="2">
        <v>0</v>
      </c>
      <c r="Z252" s="2">
        <v>347</v>
      </c>
      <c r="AA252">
        <v>1</v>
      </c>
      <c r="AB252" s="3">
        <v>1</v>
      </c>
      <c r="AC252" s="2">
        <v>347</v>
      </c>
      <c r="AD252" s="3">
        <v>0</v>
      </c>
      <c r="AE252" s="2">
        <v>0</v>
      </c>
      <c r="AF252" s="2">
        <v>347</v>
      </c>
      <c r="AK252">
        <v>6123396</v>
      </c>
      <c r="AL252" t="s">
        <v>122</v>
      </c>
    </row>
    <row r="253" spans="1:38" x14ac:dyDescent="0.25">
      <c r="A253" s="1">
        <v>46029</v>
      </c>
      <c r="B253" s="1">
        <v>46029</v>
      </c>
      <c r="C253" t="s">
        <v>38</v>
      </c>
      <c r="D253" t="s">
        <v>39</v>
      </c>
      <c r="E253" t="s">
        <v>40</v>
      </c>
      <c r="F253" t="s">
        <v>41</v>
      </c>
      <c r="G253" t="s">
        <v>42</v>
      </c>
      <c r="H253" t="s">
        <v>43</v>
      </c>
      <c r="I253" t="s">
        <v>679</v>
      </c>
      <c r="J253" t="s">
        <v>680</v>
      </c>
      <c r="M253" t="s">
        <v>86</v>
      </c>
      <c r="O253" t="s">
        <v>219</v>
      </c>
      <c r="P253" t="s">
        <v>220</v>
      </c>
      <c r="Q253" t="s">
        <v>49</v>
      </c>
      <c r="R253" t="s">
        <v>121</v>
      </c>
      <c r="S253" s="1">
        <v>46023</v>
      </c>
      <c r="U253" t="s">
        <v>51</v>
      </c>
      <c r="X253" t="s">
        <v>52</v>
      </c>
      <c r="Y253" s="2">
        <v>0</v>
      </c>
      <c r="Z253" s="2">
        <v>347</v>
      </c>
      <c r="AA253">
        <v>1</v>
      </c>
      <c r="AB253" s="3">
        <v>1</v>
      </c>
      <c r="AC253" s="2">
        <v>347</v>
      </c>
      <c r="AD253" s="3">
        <v>0</v>
      </c>
      <c r="AE253" s="2">
        <v>0</v>
      </c>
      <c r="AF253" s="2">
        <v>347</v>
      </c>
      <c r="AK253">
        <v>6123397</v>
      </c>
      <c r="AL253" t="s">
        <v>122</v>
      </c>
    </row>
    <row r="254" spans="1:38" x14ac:dyDescent="0.25">
      <c r="A254" s="1">
        <v>46029</v>
      </c>
      <c r="B254" s="1">
        <v>46029</v>
      </c>
      <c r="C254" t="s">
        <v>38</v>
      </c>
      <c r="D254" t="s">
        <v>39</v>
      </c>
      <c r="E254" t="s">
        <v>40</v>
      </c>
      <c r="F254" t="s">
        <v>41</v>
      </c>
      <c r="G254" t="s">
        <v>42</v>
      </c>
      <c r="H254" t="s">
        <v>43</v>
      </c>
      <c r="I254" t="s">
        <v>681</v>
      </c>
      <c r="J254" t="s">
        <v>682</v>
      </c>
      <c r="M254" t="s">
        <v>46</v>
      </c>
      <c r="O254" t="s">
        <v>77</v>
      </c>
      <c r="P254" t="s">
        <v>78</v>
      </c>
      <c r="Q254" t="s">
        <v>49</v>
      </c>
      <c r="R254" t="s">
        <v>121</v>
      </c>
      <c r="S254" s="1">
        <v>46023</v>
      </c>
      <c r="U254" t="s">
        <v>51</v>
      </c>
      <c r="X254" t="s">
        <v>52</v>
      </c>
      <c r="Y254" s="2">
        <v>0</v>
      </c>
      <c r="Z254" s="2">
        <v>347</v>
      </c>
      <c r="AA254">
        <v>1</v>
      </c>
      <c r="AB254" s="3">
        <v>1</v>
      </c>
      <c r="AC254" s="2">
        <v>347</v>
      </c>
      <c r="AD254" s="3">
        <v>0</v>
      </c>
      <c r="AE254" s="2">
        <v>0</v>
      </c>
      <c r="AF254" s="2">
        <v>347</v>
      </c>
      <c r="AK254">
        <v>6123398</v>
      </c>
      <c r="AL254" t="s">
        <v>122</v>
      </c>
    </row>
    <row r="255" spans="1:38" x14ac:dyDescent="0.25">
      <c r="A255" s="1">
        <v>46029</v>
      </c>
      <c r="B255" s="1">
        <v>46029</v>
      </c>
      <c r="C255" t="s">
        <v>38</v>
      </c>
      <c r="D255" t="s">
        <v>39</v>
      </c>
      <c r="E255" t="s">
        <v>40</v>
      </c>
      <c r="F255" t="s">
        <v>41</v>
      </c>
      <c r="G255" t="s">
        <v>42</v>
      </c>
      <c r="H255" t="s">
        <v>43</v>
      </c>
      <c r="I255" t="s">
        <v>683</v>
      </c>
      <c r="J255" t="s">
        <v>684</v>
      </c>
      <c r="M255" t="s">
        <v>271</v>
      </c>
      <c r="O255" t="s">
        <v>453</v>
      </c>
      <c r="P255" t="s">
        <v>454</v>
      </c>
      <c r="Q255" t="s">
        <v>49</v>
      </c>
      <c r="R255" t="s">
        <v>121</v>
      </c>
      <c r="S255" s="1">
        <v>46023</v>
      </c>
      <c r="U255" t="s">
        <v>51</v>
      </c>
      <c r="X255" t="s">
        <v>52</v>
      </c>
      <c r="Y255" s="2">
        <v>0</v>
      </c>
      <c r="Z255" s="2">
        <v>347</v>
      </c>
      <c r="AA255">
        <v>1</v>
      </c>
      <c r="AB255" s="3">
        <v>1</v>
      </c>
      <c r="AC255" s="2">
        <v>347</v>
      </c>
      <c r="AD255" s="3">
        <v>0</v>
      </c>
      <c r="AE255" s="2">
        <v>0</v>
      </c>
      <c r="AF255" s="2">
        <v>347</v>
      </c>
      <c r="AK255">
        <v>6123400</v>
      </c>
      <c r="AL255" t="s">
        <v>122</v>
      </c>
    </row>
    <row r="256" spans="1:38" x14ac:dyDescent="0.25">
      <c r="A256" s="1">
        <v>46029</v>
      </c>
      <c r="B256" s="1">
        <v>46029</v>
      </c>
      <c r="C256" t="s">
        <v>38</v>
      </c>
      <c r="D256" t="s">
        <v>39</v>
      </c>
      <c r="E256" t="s">
        <v>40</v>
      </c>
      <c r="F256" t="s">
        <v>41</v>
      </c>
      <c r="G256" t="s">
        <v>42</v>
      </c>
      <c r="H256" t="s">
        <v>43</v>
      </c>
      <c r="I256" t="s">
        <v>685</v>
      </c>
      <c r="J256" t="s">
        <v>686</v>
      </c>
      <c r="M256" t="s">
        <v>71</v>
      </c>
      <c r="O256" t="s">
        <v>255</v>
      </c>
      <c r="P256" t="s">
        <v>256</v>
      </c>
      <c r="Q256" t="s">
        <v>49</v>
      </c>
      <c r="R256" t="s">
        <v>674</v>
      </c>
      <c r="S256" s="1">
        <v>46023</v>
      </c>
      <c r="U256" t="s">
        <v>51</v>
      </c>
      <c r="X256" t="s">
        <v>52</v>
      </c>
      <c r="Y256" s="2">
        <v>0</v>
      </c>
      <c r="Z256" s="2">
        <v>353</v>
      </c>
      <c r="AA256">
        <v>1</v>
      </c>
      <c r="AB256" s="3">
        <v>1</v>
      </c>
      <c r="AC256" s="2">
        <v>353</v>
      </c>
      <c r="AD256" s="3">
        <v>0</v>
      </c>
      <c r="AE256" s="2">
        <v>0</v>
      </c>
      <c r="AF256" s="2">
        <v>353</v>
      </c>
      <c r="AK256">
        <v>6123401</v>
      </c>
      <c r="AL256" t="s">
        <v>122</v>
      </c>
    </row>
    <row r="257" spans="1:38" x14ac:dyDescent="0.25">
      <c r="A257" s="1">
        <v>46029</v>
      </c>
      <c r="B257" s="1">
        <v>46029</v>
      </c>
      <c r="C257" t="s">
        <v>38</v>
      </c>
      <c r="D257" t="s">
        <v>39</v>
      </c>
      <c r="E257" t="s">
        <v>40</v>
      </c>
      <c r="F257" t="s">
        <v>41</v>
      </c>
      <c r="G257" t="s">
        <v>42</v>
      </c>
      <c r="H257" t="s">
        <v>43</v>
      </c>
      <c r="I257" t="s">
        <v>687</v>
      </c>
      <c r="J257" t="s">
        <v>688</v>
      </c>
      <c r="M257" t="s">
        <v>86</v>
      </c>
      <c r="O257" t="s">
        <v>219</v>
      </c>
      <c r="P257" t="s">
        <v>220</v>
      </c>
      <c r="Q257" t="s">
        <v>49</v>
      </c>
      <c r="R257" t="s">
        <v>121</v>
      </c>
      <c r="S257" s="1">
        <v>46023</v>
      </c>
      <c r="U257" t="s">
        <v>51</v>
      </c>
      <c r="X257" t="s">
        <v>52</v>
      </c>
      <c r="Y257" s="2">
        <v>0</v>
      </c>
      <c r="Z257" s="2">
        <v>347</v>
      </c>
      <c r="AA257">
        <v>1</v>
      </c>
      <c r="AB257" s="3">
        <v>1</v>
      </c>
      <c r="AC257" s="2">
        <v>347</v>
      </c>
      <c r="AD257" s="3">
        <v>0</v>
      </c>
      <c r="AE257" s="2">
        <v>0</v>
      </c>
      <c r="AF257" s="2">
        <v>347</v>
      </c>
      <c r="AK257">
        <v>6123402</v>
      </c>
      <c r="AL257" t="s">
        <v>122</v>
      </c>
    </row>
    <row r="258" spans="1:38" x14ac:dyDescent="0.25">
      <c r="A258" s="1">
        <v>46029</v>
      </c>
      <c r="B258" s="1">
        <v>46029</v>
      </c>
      <c r="C258" t="s">
        <v>38</v>
      </c>
      <c r="D258" t="s">
        <v>39</v>
      </c>
      <c r="E258" t="s">
        <v>40</v>
      </c>
      <c r="F258" t="s">
        <v>41</v>
      </c>
      <c r="G258" t="s">
        <v>42</v>
      </c>
      <c r="H258" t="s">
        <v>43</v>
      </c>
      <c r="I258" t="s">
        <v>689</v>
      </c>
      <c r="J258" t="s">
        <v>690</v>
      </c>
      <c r="M258" t="s">
        <v>46</v>
      </c>
      <c r="O258" t="s">
        <v>67</v>
      </c>
      <c r="P258" t="s">
        <v>68</v>
      </c>
      <c r="Q258" t="s">
        <v>49</v>
      </c>
      <c r="R258" t="s">
        <v>121</v>
      </c>
      <c r="S258" s="1">
        <v>46023</v>
      </c>
      <c r="U258" t="s">
        <v>51</v>
      </c>
      <c r="X258" t="s">
        <v>52</v>
      </c>
      <c r="Y258" s="2">
        <v>0</v>
      </c>
      <c r="Z258" s="2">
        <v>347</v>
      </c>
      <c r="AA258">
        <v>1</v>
      </c>
      <c r="AB258" s="3">
        <v>1</v>
      </c>
      <c r="AC258" s="2">
        <v>347</v>
      </c>
      <c r="AD258" s="3">
        <v>0</v>
      </c>
      <c r="AE258" s="2">
        <v>0</v>
      </c>
      <c r="AF258" s="2">
        <v>347</v>
      </c>
      <c r="AK258">
        <v>6123403</v>
      </c>
      <c r="AL258" t="s">
        <v>122</v>
      </c>
    </row>
    <row r="259" spans="1:38" x14ac:dyDescent="0.25">
      <c r="A259" s="1">
        <v>46029</v>
      </c>
      <c r="B259" s="1">
        <v>46029</v>
      </c>
      <c r="C259" t="s">
        <v>38</v>
      </c>
      <c r="D259" t="s">
        <v>39</v>
      </c>
      <c r="E259" t="s">
        <v>40</v>
      </c>
      <c r="F259" t="s">
        <v>41</v>
      </c>
      <c r="G259" t="s">
        <v>42</v>
      </c>
      <c r="H259" t="s">
        <v>43</v>
      </c>
      <c r="I259" t="s">
        <v>691</v>
      </c>
      <c r="J259" t="s">
        <v>692</v>
      </c>
      <c r="M259" t="s">
        <v>196</v>
      </c>
      <c r="O259" t="s">
        <v>197</v>
      </c>
      <c r="P259" t="s">
        <v>198</v>
      </c>
      <c r="Q259" t="s">
        <v>49</v>
      </c>
      <c r="R259" t="s">
        <v>121</v>
      </c>
      <c r="S259" s="1">
        <v>46023</v>
      </c>
      <c r="U259" t="s">
        <v>51</v>
      </c>
      <c r="X259" t="s">
        <v>52</v>
      </c>
      <c r="Y259" s="2">
        <v>0</v>
      </c>
      <c r="Z259" s="2">
        <v>347</v>
      </c>
      <c r="AA259">
        <v>1</v>
      </c>
      <c r="AB259" s="3">
        <v>1</v>
      </c>
      <c r="AC259" s="2">
        <v>347</v>
      </c>
      <c r="AD259" s="3">
        <v>0</v>
      </c>
      <c r="AE259" s="2">
        <v>0</v>
      </c>
      <c r="AF259" s="2">
        <v>347</v>
      </c>
      <c r="AK259">
        <v>6123405</v>
      </c>
      <c r="AL259" t="s">
        <v>122</v>
      </c>
    </row>
    <row r="260" spans="1:38" x14ac:dyDescent="0.25">
      <c r="A260" s="1">
        <v>46029</v>
      </c>
      <c r="B260" s="1">
        <v>46029</v>
      </c>
      <c r="C260" t="s">
        <v>38</v>
      </c>
      <c r="D260" t="s">
        <v>39</v>
      </c>
      <c r="E260" t="s">
        <v>40</v>
      </c>
      <c r="F260" t="s">
        <v>41</v>
      </c>
      <c r="G260" t="s">
        <v>42</v>
      </c>
      <c r="H260" t="s">
        <v>43</v>
      </c>
      <c r="I260" t="s">
        <v>693</v>
      </c>
      <c r="J260" t="s">
        <v>694</v>
      </c>
      <c r="M260" t="s">
        <v>196</v>
      </c>
      <c r="O260" t="s">
        <v>197</v>
      </c>
      <c r="P260" t="s">
        <v>198</v>
      </c>
      <c r="Q260" t="s">
        <v>49</v>
      </c>
      <c r="R260" t="s">
        <v>121</v>
      </c>
      <c r="S260" s="1">
        <v>46023</v>
      </c>
      <c r="U260" t="s">
        <v>51</v>
      </c>
      <c r="X260" t="s">
        <v>52</v>
      </c>
      <c r="Y260" s="2">
        <v>0</v>
      </c>
      <c r="Z260" s="2">
        <v>347</v>
      </c>
      <c r="AA260">
        <v>1</v>
      </c>
      <c r="AB260" s="3">
        <v>1</v>
      </c>
      <c r="AC260" s="2">
        <v>347</v>
      </c>
      <c r="AD260" s="3">
        <v>0</v>
      </c>
      <c r="AE260" s="2">
        <v>0</v>
      </c>
      <c r="AF260" s="2">
        <v>347</v>
      </c>
      <c r="AK260">
        <v>6123406</v>
      </c>
      <c r="AL260" t="s">
        <v>122</v>
      </c>
    </row>
    <row r="261" spans="1:38" x14ac:dyDescent="0.25">
      <c r="A261" s="1">
        <v>46029</v>
      </c>
      <c r="B261" s="1">
        <v>46029</v>
      </c>
      <c r="C261" t="s">
        <v>38</v>
      </c>
      <c r="D261" t="s">
        <v>39</v>
      </c>
      <c r="E261" t="s">
        <v>40</v>
      </c>
      <c r="F261" t="s">
        <v>41</v>
      </c>
      <c r="G261" t="s">
        <v>42</v>
      </c>
      <c r="H261" t="s">
        <v>43</v>
      </c>
      <c r="I261" t="s">
        <v>695</v>
      </c>
      <c r="J261" t="s">
        <v>696</v>
      </c>
      <c r="M261" t="s">
        <v>196</v>
      </c>
      <c r="O261" t="s">
        <v>197</v>
      </c>
      <c r="P261" t="s">
        <v>198</v>
      </c>
      <c r="Q261" t="s">
        <v>49</v>
      </c>
      <c r="R261" t="s">
        <v>121</v>
      </c>
      <c r="S261" s="1">
        <v>46023</v>
      </c>
      <c r="U261" t="s">
        <v>51</v>
      </c>
      <c r="X261" t="s">
        <v>52</v>
      </c>
      <c r="Y261" s="2">
        <v>0</v>
      </c>
      <c r="Z261" s="2">
        <v>347</v>
      </c>
      <c r="AA261">
        <v>1</v>
      </c>
      <c r="AB261" s="3">
        <v>1</v>
      </c>
      <c r="AC261" s="2">
        <v>347</v>
      </c>
      <c r="AD261" s="3">
        <v>0</v>
      </c>
      <c r="AE261" s="2">
        <v>0</v>
      </c>
      <c r="AF261" s="2">
        <v>347</v>
      </c>
      <c r="AK261">
        <v>6123407</v>
      </c>
      <c r="AL261" t="s">
        <v>122</v>
      </c>
    </row>
    <row r="262" spans="1:38" x14ac:dyDescent="0.25">
      <c r="A262" s="1">
        <v>46029</v>
      </c>
      <c r="B262" s="1">
        <v>46029</v>
      </c>
      <c r="C262" t="s">
        <v>38</v>
      </c>
      <c r="D262" t="s">
        <v>39</v>
      </c>
      <c r="E262" t="s">
        <v>40</v>
      </c>
      <c r="F262" t="s">
        <v>41</v>
      </c>
      <c r="G262" t="s">
        <v>42</v>
      </c>
      <c r="H262" t="s">
        <v>43</v>
      </c>
      <c r="I262" t="s">
        <v>697</v>
      </c>
      <c r="J262" t="s">
        <v>698</v>
      </c>
      <c r="M262" t="s">
        <v>699</v>
      </c>
      <c r="O262" t="s">
        <v>255</v>
      </c>
      <c r="P262" t="s">
        <v>256</v>
      </c>
      <c r="Q262" t="s">
        <v>49</v>
      </c>
      <c r="R262" t="s">
        <v>121</v>
      </c>
      <c r="S262" s="1">
        <v>46023</v>
      </c>
      <c r="U262" t="s">
        <v>51</v>
      </c>
      <c r="X262" t="s">
        <v>52</v>
      </c>
      <c r="Y262" s="2">
        <v>0</v>
      </c>
      <c r="Z262" s="2">
        <v>347</v>
      </c>
      <c r="AA262">
        <v>1</v>
      </c>
      <c r="AB262" s="3">
        <v>1</v>
      </c>
      <c r="AC262" s="2">
        <v>347</v>
      </c>
      <c r="AD262" s="3">
        <v>0</v>
      </c>
      <c r="AE262" s="2">
        <v>0</v>
      </c>
      <c r="AF262" s="2">
        <v>347</v>
      </c>
      <c r="AK262">
        <v>6123409</v>
      </c>
      <c r="AL262" t="s">
        <v>122</v>
      </c>
    </row>
    <row r="263" spans="1:38" x14ac:dyDescent="0.25">
      <c r="A263" s="1">
        <v>46029</v>
      </c>
      <c r="B263" s="1">
        <v>46029</v>
      </c>
      <c r="C263" t="s">
        <v>38</v>
      </c>
      <c r="D263" t="s">
        <v>39</v>
      </c>
      <c r="E263" t="s">
        <v>40</v>
      </c>
      <c r="F263" t="s">
        <v>41</v>
      </c>
      <c r="G263" t="s">
        <v>42</v>
      </c>
      <c r="H263" t="s">
        <v>43</v>
      </c>
      <c r="I263" t="s">
        <v>700</v>
      </c>
      <c r="J263" t="s">
        <v>701</v>
      </c>
      <c r="M263" t="s">
        <v>118</v>
      </c>
      <c r="O263" t="s">
        <v>230</v>
      </c>
      <c r="P263" t="s">
        <v>231</v>
      </c>
      <c r="Q263" t="s">
        <v>49</v>
      </c>
      <c r="R263" t="s">
        <v>121</v>
      </c>
      <c r="S263" s="1">
        <v>46023</v>
      </c>
      <c r="U263" t="s">
        <v>51</v>
      </c>
      <c r="X263" t="s">
        <v>52</v>
      </c>
      <c r="Y263" s="2">
        <v>0</v>
      </c>
      <c r="Z263" s="2">
        <v>347</v>
      </c>
      <c r="AA263">
        <v>1</v>
      </c>
      <c r="AB263" s="3">
        <v>1</v>
      </c>
      <c r="AC263" s="2">
        <v>347</v>
      </c>
      <c r="AD263" s="3">
        <v>0</v>
      </c>
      <c r="AE263" s="2">
        <v>0</v>
      </c>
      <c r="AF263" s="2">
        <v>347</v>
      </c>
      <c r="AK263">
        <v>6123410</v>
      </c>
      <c r="AL263" t="s">
        <v>122</v>
      </c>
    </row>
    <row r="264" spans="1:38" x14ac:dyDescent="0.25">
      <c r="A264" s="1">
        <v>46029</v>
      </c>
      <c r="B264" s="1">
        <v>46029</v>
      </c>
      <c r="C264" t="s">
        <v>38</v>
      </c>
      <c r="D264" t="s">
        <v>39</v>
      </c>
      <c r="E264" t="s">
        <v>40</v>
      </c>
      <c r="F264" t="s">
        <v>41</v>
      </c>
      <c r="G264" t="s">
        <v>42</v>
      </c>
      <c r="H264" t="s">
        <v>43</v>
      </c>
      <c r="I264" t="s">
        <v>702</v>
      </c>
      <c r="J264" t="s">
        <v>703</v>
      </c>
      <c r="M264" t="s">
        <v>196</v>
      </c>
      <c r="O264" t="s">
        <v>251</v>
      </c>
      <c r="P264" t="s">
        <v>252</v>
      </c>
      <c r="Q264" t="s">
        <v>49</v>
      </c>
      <c r="R264" t="s">
        <v>121</v>
      </c>
      <c r="S264" s="1">
        <v>46023</v>
      </c>
      <c r="U264" t="s">
        <v>51</v>
      </c>
      <c r="X264" t="s">
        <v>52</v>
      </c>
      <c r="Y264" s="2">
        <v>0</v>
      </c>
      <c r="Z264" s="2">
        <v>347</v>
      </c>
      <c r="AA264">
        <v>1</v>
      </c>
      <c r="AB264" s="3">
        <v>1</v>
      </c>
      <c r="AC264" s="2">
        <v>347</v>
      </c>
      <c r="AD264" s="3">
        <v>0</v>
      </c>
      <c r="AE264" s="2">
        <v>0</v>
      </c>
      <c r="AF264" s="2">
        <v>347</v>
      </c>
      <c r="AK264">
        <v>6123411</v>
      </c>
      <c r="AL264" t="s">
        <v>122</v>
      </c>
    </row>
    <row r="265" spans="1:38" x14ac:dyDescent="0.25">
      <c r="A265" s="1">
        <v>46029</v>
      </c>
      <c r="B265" s="1">
        <v>46029</v>
      </c>
      <c r="C265" t="s">
        <v>38</v>
      </c>
      <c r="D265" t="s">
        <v>39</v>
      </c>
      <c r="E265" t="s">
        <v>40</v>
      </c>
      <c r="F265" t="s">
        <v>41</v>
      </c>
      <c r="G265" t="s">
        <v>42</v>
      </c>
      <c r="H265" t="s">
        <v>43</v>
      </c>
      <c r="I265" t="s">
        <v>704</v>
      </c>
      <c r="J265" t="s">
        <v>705</v>
      </c>
      <c r="M265" t="s">
        <v>118</v>
      </c>
      <c r="O265" t="s">
        <v>390</v>
      </c>
      <c r="P265" t="s">
        <v>391</v>
      </c>
      <c r="Q265" t="s">
        <v>49</v>
      </c>
      <c r="R265" t="s">
        <v>121</v>
      </c>
      <c r="S265" s="1">
        <v>46023</v>
      </c>
      <c r="U265" t="s">
        <v>51</v>
      </c>
      <c r="X265" t="s">
        <v>52</v>
      </c>
      <c r="Y265" s="2">
        <v>0</v>
      </c>
      <c r="Z265" s="2">
        <v>347</v>
      </c>
      <c r="AA265">
        <v>1</v>
      </c>
      <c r="AB265" s="3">
        <v>1</v>
      </c>
      <c r="AC265" s="2">
        <v>347</v>
      </c>
      <c r="AD265" s="3">
        <v>0</v>
      </c>
      <c r="AE265" s="2">
        <v>0</v>
      </c>
      <c r="AF265" s="2">
        <v>347</v>
      </c>
      <c r="AK265">
        <v>6123412</v>
      </c>
      <c r="AL265" t="s">
        <v>122</v>
      </c>
    </row>
    <row r="266" spans="1:38" x14ac:dyDescent="0.25">
      <c r="A266" s="1">
        <v>46029</v>
      </c>
      <c r="B266" s="1">
        <v>46029</v>
      </c>
      <c r="C266" t="s">
        <v>38</v>
      </c>
      <c r="D266" t="s">
        <v>39</v>
      </c>
      <c r="E266" t="s">
        <v>40</v>
      </c>
      <c r="F266" t="s">
        <v>41</v>
      </c>
      <c r="G266" t="s">
        <v>42</v>
      </c>
      <c r="H266" t="s">
        <v>43</v>
      </c>
      <c r="I266" t="s">
        <v>706</v>
      </c>
      <c r="J266" t="s">
        <v>707</v>
      </c>
      <c r="M266" t="s">
        <v>46</v>
      </c>
      <c r="O266" t="s">
        <v>197</v>
      </c>
      <c r="P266" t="s">
        <v>198</v>
      </c>
      <c r="Q266" t="s">
        <v>49</v>
      </c>
      <c r="R266" t="s">
        <v>121</v>
      </c>
      <c r="S266" s="1">
        <v>46023</v>
      </c>
      <c r="U266" t="s">
        <v>51</v>
      </c>
      <c r="X266" t="s">
        <v>52</v>
      </c>
      <c r="Y266" s="2">
        <v>0</v>
      </c>
      <c r="Z266" s="2">
        <v>347</v>
      </c>
      <c r="AA266">
        <v>1</v>
      </c>
      <c r="AB266" s="3">
        <v>1</v>
      </c>
      <c r="AC266" s="2">
        <v>347</v>
      </c>
      <c r="AD266" s="3">
        <v>0</v>
      </c>
      <c r="AE266" s="2">
        <v>0</v>
      </c>
      <c r="AF266" s="2">
        <v>347</v>
      </c>
      <c r="AK266">
        <v>6123413</v>
      </c>
      <c r="AL266" t="s">
        <v>122</v>
      </c>
    </row>
    <row r="267" spans="1:38" x14ac:dyDescent="0.25">
      <c r="A267" s="1">
        <v>46029</v>
      </c>
      <c r="B267" s="1">
        <v>46029</v>
      </c>
      <c r="C267" t="s">
        <v>38</v>
      </c>
      <c r="D267" t="s">
        <v>39</v>
      </c>
      <c r="E267" t="s">
        <v>40</v>
      </c>
      <c r="F267" t="s">
        <v>41</v>
      </c>
      <c r="G267" t="s">
        <v>42</v>
      </c>
      <c r="H267" t="s">
        <v>43</v>
      </c>
      <c r="I267" t="s">
        <v>708</v>
      </c>
      <c r="J267" t="s">
        <v>709</v>
      </c>
      <c r="M267" t="s">
        <v>173</v>
      </c>
      <c r="O267" t="s">
        <v>94</v>
      </c>
      <c r="P267" t="s">
        <v>95</v>
      </c>
      <c r="Q267" t="s">
        <v>49</v>
      </c>
      <c r="R267" t="s">
        <v>121</v>
      </c>
      <c r="S267" s="1">
        <v>46023</v>
      </c>
      <c r="U267" t="s">
        <v>51</v>
      </c>
      <c r="X267" t="s">
        <v>52</v>
      </c>
      <c r="Y267" s="2">
        <v>0</v>
      </c>
      <c r="Z267" s="2">
        <v>347</v>
      </c>
      <c r="AA267">
        <v>1</v>
      </c>
      <c r="AB267" s="3">
        <v>1</v>
      </c>
      <c r="AC267" s="2">
        <v>347</v>
      </c>
      <c r="AD267" s="3">
        <v>0</v>
      </c>
      <c r="AE267" s="2">
        <v>0</v>
      </c>
      <c r="AF267" s="2">
        <v>347</v>
      </c>
      <c r="AK267">
        <v>6123414</v>
      </c>
      <c r="AL267" t="s">
        <v>122</v>
      </c>
    </row>
    <row r="268" spans="1:38" x14ac:dyDescent="0.25">
      <c r="A268" s="1">
        <v>46029</v>
      </c>
      <c r="B268" s="1">
        <v>46029</v>
      </c>
      <c r="C268" t="s">
        <v>38</v>
      </c>
      <c r="D268" t="s">
        <v>39</v>
      </c>
      <c r="E268" t="s">
        <v>40</v>
      </c>
      <c r="F268" t="s">
        <v>41</v>
      </c>
      <c r="G268" t="s">
        <v>42</v>
      </c>
      <c r="H268" t="s">
        <v>43</v>
      </c>
      <c r="I268" t="s">
        <v>710</v>
      </c>
      <c r="J268" t="s">
        <v>711</v>
      </c>
      <c r="M268" t="s">
        <v>196</v>
      </c>
      <c r="O268" t="s">
        <v>197</v>
      </c>
      <c r="P268" t="s">
        <v>198</v>
      </c>
      <c r="Q268" t="s">
        <v>49</v>
      </c>
      <c r="R268" t="s">
        <v>121</v>
      </c>
      <c r="S268" s="1">
        <v>46023</v>
      </c>
      <c r="U268" t="s">
        <v>51</v>
      </c>
      <c r="X268" t="s">
        <v>52</v>
      </c>
      <c r="Y268" s="2">
        <v>0</v>
      </c>
      <c r="Z268" s="2">
        <v>347</v>
      </c>
      <c r="AA268">
        <v>1</v>
      </c>
      <c r="AB268" s="3">
        <v>1</v>
      </c>
      <c r="AC268" s="2">
        <v>347</v>
      </c>
      <c r="AD268" s="3">
        <v>0</v>
      </c>
      <c r="AE268" s="2">
        <v>0</v>
      </c>
      <c r="AF268" s="2">
        <v>347</v>
      </c>
      <c r="AK268">
        <v>6123416</v>
      </c>
      <c r="AL268" t="s">
        <v>122</v>
      </c>
    </row>
    <row r="269" spans="1:38" x14ac:dyDescent="0.25">
      <c r="A269" s="1">
        <v>46029</v>
      </c>
      <c r="B269" s="1">
        <v>46029</v>
      </c>
      <c r="C269" t="s">
        <v>38</v>
      </c>
      <c r="D269" t="s">
        <v>39</v>
      </c>
      <c r="E269" t="s">
        <v>40</v>
      </c>
      <c r="F269" t="s">
        <v>41</v>
      </c>
      <c r="G269" t="s">
        <v>42</v>
      </c>
      <c r="H269" t="s">
        <v>43</v>
      </c>
      <c r="I269" t="s">
        <v>712</v>
      </c>
      <c r="J269" t="s">
        <v>713</v>
      </c>
      <c r="M269" t="s">
        <v>146</v>
      </c>
      <c r="O269" t="s">
        <v>77</v>
      </c>
      <c r="P269" t="s">
        <v>78</v>
      </c>
      <c r="Q269" t="s">
        <v>49</v>
      </c>
      <c r="R269" t="s">
        <v>178</v>
      </c>
      <c r="S269" s="1">
        <v>46023</v>
      </c>
      <c r="U269" t="s">
        <v>51</v>
      </c>
      <c r="X269" t="s">
        <v>52</v>
      </c>
      <c r="Y269" s="2">
        <v>0</v>
      </c>
      <c r="Z269" s="2">
        <v>203</v>
      </c>
      <c r="AA269">
        <v>1</v>
      </c>
      <c r="AB269" s="3">
        <v>1</v>
      </c>
      <c r="AC269" s="2">
        <v>203</v>
      </c>
      <c r="AD269" s="3">
        <v>0</v>
      </c>
      <c r="AE269" s="2">
        <v>0</v>
      </c>
      <c r="AF269" s="2">
        <v>203</v>
      </c>
      <c r="AK269">
        <v>6123417</v>
      </c>
      <c r="AL269" t="s">
        <v>122</v>
      </c>
    </row>
    <row r="270" spans="1:38" x14ac:dyDescent="0.25">
      <c r="A270" s="1">
        <v>46029</v>
      </c>
      <c r="B270" s="1">
        <v>46029</v>
      </c>
      <c r="C270" t="s">
        <v>38</v>
      </c>
      <c r="D270" t="s">
        <v>39</v>
      </c>
      <c r="E270" t="s">
        <v>40</v>
      </c>
      <c r="F270" t="s">
        <v>41</v>
      </c>
      <c r="G270" t="s">
        <v>42</v>
      </c>
      <c r="H270" t="s">
        <v>43</v>
      </c>
      <c r="I270" t="s">
        <v>714</v>
      </c>
      <c r="J270" t="s">
        <v>715</v>
      </c>
      <c r="M270" t="s">
        <v>46</v>
      </c>
      <c r="O270" t="s">
        <v>77</v>
      </c>
      <c r="P270" t="s">
        <v>78</v>
      </c>
      <c r="Q270" t="s">
        <v>49</v>
      </c>
      <c r="R270" t="s">
        <v>121</v>
      </c>
      <c r="S270" s="1">
        <v>46023</v>
      </c>
      <c r="U270" t="s">
        <v>51</v>
      </c>
      <c r="X270" t="s">
        <v>52</v>
      </c>
      <c r="Y270" s="2">
        <v>0</v>
      </c>
      <c r="Z270" s="2">
        <v>347</v>
      </c>
      <c r="AA270">
        <v>1</v>
      </c>
      <c r="AB270" s="3">
        <v>1</v>
      </c>
      <c r="AC270" s="2">
        <v>347</v>
      </c>
      <c r="AD270" s="3">
        <v>0</v>
      </c>
      <c r="AE270" s="2">
        <v>0</v>
      </c>
      <c r="AF270" s="2">
        <v>347</v>
      </c>
      <c r="AK270">
        <v>6123418</v>
      </c>
      <c r="AL270" t="s">
        <v>122</v>
      </c>
    </row>
    <row r="271" spans="1:38" x14ac:dyDescent="0.25">
      <c r="A271" s="1">
        <v>46029</v>
      </c>
      <c r="B271" s="1">
        <v>46029</v>
      </c>
      <c r="C271" t="s">
        <v>38</v>
      </c>
      <c r="D271" t="s">
        <v>39</v>
      </c>
      <c r="E271" t="s">
        <v>40</v>
      </c>
      <c r="F271" t="s">
        <v>41</v>
      </c>
      <c r="G271" t="s">
        <v>42</v>
      </c>
      <c r="H271" t="s">
        <v>43</v>
      </c>
      <c r="I271" t="s">
        <v>716</v>
      </c>
      <c r="J271" t="s">
        <v>717</v>
      </c>
      <c r="M271" t="s">
        <v>271</v>
      </c>
      <c r="O271" t="s">
        <v>94</v>
      </c>
      <c r="P271" t="s">
        <v>95</v>
      </c>
      <c r="Q271" t="s">
        <v>49</v>
      </c>
      <c r="R271" t="s">
        <v>121</v>
      </c>
      <c r="S271" s="1">
        <v>46023</v>
      </c>
      <c r="U271" t="s">
        <v>51</v>
      </c>
      <c r="X271" t="s">
        <v>52</v>
      </c>
      <c r="Y271" s="2">
        <v>0</v>
      </c>
      <c r="Z271" s="2">
        <v>347</v>
      </c>
      <c r="AA271">
        <v>1</v>
      </c>
      <c r="AB271" s="3">
        <v>1</v>
      </c>
      <c r="AC271" s="2">
        <v>347</v>
      </c>
      <c r="AD271" s="3">
        <v>0</v>
      </c>
      <c r="AE271" s="2">
        <v>0</v>
      </c>
      <c r="AF271" s="2">
        <v>347</v>
      </c>
      <c r="AK271">
        <v>6123419</v>
      </c>
      <c r="AL271" t="s">
        <v>122</v>
      </c>
    </row>
    <row r="272" spans="1:38" x14ac:dyDescent="0.25">
      <c r="A272" s="1">
        <v>46029</v>
      </c>
      <c r="B272" s="1">
        <v>46029</v>
      </c>
      <c r="C272" t="s">
        <v>38</v>
      </c>
      <c r="D272" t="s">
        <v>39</v>
      </c>
      <c r="E272" t="s">
        <v>40</v>
      </c>
      <c r="F272" t="s">
        <v>41</v>
      </c>
      <c r="G272" t="s">
        <v>42</v>
      </c>
      <c r="H272" t="s">
        <v>43</v>
      </c>
      <c r="I272" t="s">
        <v>718</v>
      </c>
      <c r="J272" t="s">
        <v>719</v>
      </c>
      <c r="M272" t="s">
        <v>46</v>
      </c>
      <c r="O272" t="s">
        <v>149</v>
      </c>
      <c r="P272" t="s">
        <v>150</v>
      </c>
      <c r="Q272" t="s">
        <v>49</v>
      </c>
      <c r="R272" t="s">
        <v>50</v>
      </c>
      <c r="S272" s="1">
        <v>46023</v>
      </c>
      <c r="U272" t="s">
        <v>51</v>
      </c>
      <c r="X272" t="s">
        <v>52</v>
      </c>
      <c r="Y272" s="2">
        <v>0</v>
      </c>
      <c r="Z272" s="2">
        <v>25</v>
      </c>
      <c r="AA272">
        <v>1</v>
      </c>
      <c r="AB272" s="3">
        <v>1</v>
      </c>
      <c r="AC272" s="2">
        <v>25</v>
      </c>
      <c r="AD272" s="3">
        <v>0</v>
      </c>
      <c r="AE272" s="2">
        <v>0</v>
      </c>
      <c r="AF272" s="2">
        <v>25</v>
      </c>
      <c r="AK272">
        <v>6123086</v>
      </c>
    </row>
    <row r="273" spans="1:36" x14ac:dyDescent="0.25">
      <c r="A273" s="1">
        <v>46029</v>
      </c>
      <c r="B273" s="1">
        <v>46029</v>
      </c>
      <c r="C273" t="s">
        <v>720</v>
      </c>
      <c r="D273" t="s">
        <v>39</v>
      </c>
      <c r="E273" t="s">
        <v>40</v>
      </c>
      <c r="F273" t="s">
        <v>41</v>
      </c>
      <c r="G273" t="s">
        <v>42</v>
      </c>
      <c r="H273" t="s">
        <v>43</v>
      </c>
      <c r="I273" t="s">
        <v>721</v>
      </c>
      <c r="J273" t="s">
        <v>722</v>
      </c>
      <c r="M273" t="s">
        <v>723</v>
      </c>
      <c r="O273" t="s">
        <v>724</v>
      </c>
      <c r="P273" t="s">
        <v>725</v>
      </c>
      <c r="Q273" t="s">
        <v>726</v>
      </c>
      <c r="R273" t="s">
        <v>50</v>
      </c>
      <c r="S273" s="1">
        <v>46023</v>
      </c>
      <c r="U273" t="s">
        <v>51</v>
      </c>
      <c r="X273" t="s">
        <v>52</v>
      </c>
      <c r="AC273" s="2"/>
      <c r="AF273" s="2">
        <v>25</v>
      </c>
      <c r="AG273" s="2">
        <v>0</v>
      </c>
      <c r="AJ273" s="2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58EBD-0118-461F-8928-829D128EDF76}">
  <dimension ref="A1:AM233"/>
  <sheetViews>
    <sheetView topLeftCell="A199" workbookViewId="0">
      <selection activeCell="D2" sqref="D2:D232"/>
    </sheetView>
  </sheetViews>
  <sheetFormatPr defaultRowHeight="15" x14ac:dyDescent="0.25"/>
  <cols>
    <col min="1" max="1" width="23.28515625" style="4" bestFit="1" customWidth="1"/>
    <col min="2" max="2" width="23.28515625" style="4" customWidth="1"/>
    <col min="3" max="3" width="17.42578125" customWidth="1"/>
    <col min="6" max="6" width="27.28515625" bestFit="1" customWidth="1"/>
    <col min="7" max="7" width="59.140625" bestFit="1" customWidth="1"/>
    <col min="13" max="13" width="16.140625" bestFit="1" customWidth="1"/>
    <col min="14" max="14" width="20.28515625" bestFit="1" customWidth="1"/>
    <col min="15" max="15" width="24.140625" bestFit="1" customWidth="1"/>
  </cols>
  <sheetData>
    <row r="1" spans="1:14" x14ac:dyDescent="0.25">
      <c r="A1" s="4" t="s">
        <v>8</v>
      </c>
      <c r="C1" t="s">
        <v>9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I1" t="s">
        <v>24</v>
      </c>
      <c r="J1" t="s">
        <v>25</v>
      </c>
      <c r="K1" t="s">
        <v>26</v>
      </c>
      <c r="L1" t="s">
        <v>28</v>
      </c>
      <c r="M1" t="s">
        <v>37</v>
      </c>
    </row>
    <row r="2" spans="1:14" s="7" customFormat="1" x14ac:dyDescent="0.25">
      <c r="A2" s="6">
        <v>101615215200</v>
      </c>
      <c r="B2" s="6" t="str">
        <f t="shared" ref="B2:B20" si="0">CONCATENATE(A2,"OVR")</f>
        <v>101615215200OVR</v>
      </c>
      <c r="C2" s="7" t="s">
        <v>722</v>
      </c>
      <c r="D2" s="7" t="s">
        <v>723</v>
      </c>
      <c r="E2" s="7">
        <v>20411454</v>
      </c>
      <c r="F2" s="7" t="s">
        <v>741</v>
      </c>
      <c r="G2" s="7" t="s">
        <v>50</v>
      </c>
      <c r="H2" s="8">
        <v>46023</v>
      </c>
      <c r="L2" s="9">
        <v>-25</v>
      </c>
      <c r="N2" s="7" t="s">
        <v>728</v>
      </c>
    </row>
    <row r="3" spans="1:14" s="7" customFormat="1" x14ac:dyDescent="0.25">
      <c r="A3" s="6">
        <v>102254238500</v>
      </c>
      <c r="B3" s="6" t="str">
        <f t="shared" si="0"/>
        <v>102254238500OVR</v>
      </c>
      <c r="C3" s="7" t="s">
        <v>80</v>
      </c>
      <c r="D3" s="7" t="s">
        <v>71</v>
      </c>
      <c r="E3" s="7">
        <v>20411454</v>
      </c>
      <c r="F3" s="7" t="s">
        <v>741</v>
      </c>
      <c r="G3" s="7" t="s">
        <v>83</v>
      </c>
      <c r="H3" s="8">
        <v>46023</v>
      </c>
      <c r="I3" s="9">
        <v>0</v>
      </c>
      <c r="J3" s="9">
        <v>15</v>
      </c>
      <c r="K3" s="7">
        <v>1</v>
      </c>
      <c r="L3" s="9">
        <v>15</v>
      </c>
      <c r="N3" s="7" t="s">
        <v>728</v>
      </c>
    </row>
    <row r="4" spans="1:14" s="7" customFormat="1" x14ac:dyDescent="0.25">
      <c r="A4" s="6">
        <v>102254727000</v>
      </c>
      <c r="B4" s="6" t="str">
        <f t="shared" si="0"/>
        <v>102254727000OVR</v>
      </c>
      <c r="C4" s="7" t="s">
        <v>97</v>
      </c>
      <c r="D4" s="7" t="s">
        <v>71</v>
      </c>
      <c r="E4" s="7">
        <v>20411454</v>
      </c>
      <c r="F4" s="7" t="s">
        <v>741</v>
      </c>
      <c r="G4" s="7" t="s">
        <v>98</v>
      </c>
      <c r="H4" s="8">
        <v>46054</v>
      </c>
      <c r="I4" s="9">
        <v>0</v>
      </c>
      <c r="J4" s="9">
        <v>22.92</v>
      </c>
      <c r="K4" s="7">
        <v>1</v>
      </c>
      <c r="L4" s="9">
        <v>22.92</v>
      </c>
      <c r="M4" s="7" t="s">
        <v>99</v>
      </c>
      <c r="N4" s="7" t="s">
        <v>728</v>
      </c>
    </row>
    <row r="5" spans="1:14" s="7" customFormat="1" x14ac:dyDescent="0.25">
      <c r="A5" s="6">
        <v>101331296200</v>
      </c>
      <c r="B5" s="6" t="str">
        <f t="shared" si="0"/>
        <v>101331296200OVR</v>
      </c>
      <c r="C5" s="7" t="s">
        <v>45</v>
      </c>
      <c r="D5" s="7" t="s">
        <v>46</v>
      </c>
      <c r="E5" s="7">
        <v>20411454</v>
      </c>
      <c r="F5" s="7" t="s">
        <v>741</v>
      </c>
      <c r="G5" s="7" t="s">
        <v>50</v>
      </c>
      <c r="H5" s="8">
        <v>46023</v>
      </c>
      <c r="I5" s="9">
        <v>0</v>
      </c>
      <c r="J5" s="9">
        <v>25</v>
      </c>
      <c r="K5" s="7">
        <v>1</v>
      </c>
      <c r="L5" s="9">
        <v>25</v>
      </c>
      <c r="N5" s="7" t="s">
        <v>728</v>
      </c>
    </row>
    <row r="6" spans="1:14" s="7" customFormat="1" x14ac:dyDescent="0.25">
      <c r="A6" s="6">
        <v>101789518700</v>
      </c>
      <c r="B6" s="6" t="str">
        <f t="shared" si="0"/>
        <v>101789518700OVR</v>
      </c>
      <c r="C6" s="7" t="s">
        <v>54</v>
      </c>
      <c r="D6" s="7" t="s">
        <v>55</v>
      </c>
      <c r="E6" s="7">
        <v>20411454</v>
      </c>
      <c r="F6" s="7" t="s">
        <v>741</v>
      </c>
      <c r="G6" s="7" t="s">
        <v>50</v>
      </c>
      <c r="H6" s="8">
        <v>46023</v>
      </c>
      <c r="I6" s="9">
        <v>0</v>
      </c>
      <c r="J6" s="9">
        <v>25</v>
      </c>
      <c r="K6" s="7">
        <v>1</v>
      </c>
      <c r="L6" s="9">
        <v>25</v>
      </c>
      <c r="N6" s="7" t="s">
        <v>728</v>
      </c>
    </row>
    <row r="7" spans="1:14" s="7" customFormat="1" x14ac:dyDescent="0.25">
      <c r="A7" s="6">
        <v>101802560700</v>
      </c>
      <c r="B7" s="6" t="str">
        <f t="shared" si="0"/>
        <v>101802560700OVR</v>
      </c>
      <c r="C7" s="7" t="s">
        <v>57</v>
      </c>
      <c r="D7" s="7" t="s">
        <v>46</v>
      </c>
      <c r="E7" s="7">
        <v>20411454</v>
      </c>
      <c r="F7" s="7" t="s">
        <v>741</v>
      </c>
      <c r="G7" s="7" t="s">
        <v>50</v>
      </c>
      <c r="H7" s="8">
        <v>46023</v>
      </c>
      <c r="I7" s="9">
        <v>0</v>
      </c>
      <c r="J7" s="9">
        <v>25</v>
      </c>
      <c r="K7" s="7">
        <v>1</v>
      </c>
      <c r="L7" s="9">
        <v>25</v>
      </c>
      <c r="N7" s="7" t="s">
        <v>728</v>
      </c>
    </row>
    <row r="8" spans="1:14" s="7" customFormat="1" x14ac:dyDescent="0.25">
      <c r="A8" s="6">
        <v>102117344900</v>
      </c>
      <c r="B8" s="6" t="str">
        <f t="shared" si="0"/>
        <v>102117344900OVR</v>
      </c>
      <c r="C8" s="7" t="s">
        <v>61</v>
      </c>
      <c r="D8" s="7" t="s">
        <v>46</v>
      </c>
      <c r="E8" s="7">
        <v>20411454</v>
      </c>
      <c r="F8" s="7" t="s">
        <v>741</v>
      </c>
      <c r="G8" s="7" t="s">
        <v>50</v>
      </c>
      <c r="H8" s="8">
        <v>46023</v>
      </c>
      <c r="I8" s="9">
        <v>0</v>
      </c>
      <c r="J8" s="9">
        <v>25</v>
      </c>
      <c r="K8" s="7">
        <v>1</v>
      </c>
      <c r="L8" s="9">
        <v>25</v>
      </c>
      <c r="N8" s="7" t="s">
        <v>728</v>
      </c>
    </row>
    <row r="9" spans="1:14" s="7" customFormat="1" x14ac:dyDescent="0.25">
      <c r="A9" s="6">
        <v>102244134600</v>
      </c>
      <c r="B9" s="6" t="str">
        <f t="shared" si="0"/>
        <v>102244134600OVR</v>
      </c>
      <c r="C9" s="7" t="s">
        <v>65</v>
      </c>
      <c r="D9" s="7" t="s">
        <v>66</v>
      </c>
      <c r="E9" s="7">
        <v>20411454</v>
      </c>
      <c r="F9" s="7" t="s">
        <v>741</v>
      </c>
      <c r="G9" s="7" t="s">
        <v>50</v>
      </c>
      <c r="H9" s="8">
        <v>46023</v>
      </c>
      <c r="I9" s="9">
        <v>0</v>
      </c>
      <c r="J9" s="9">
        <v>25</v>
      </c>
      <c r="K9" s="7">
        <v>1</v>
      </c>
      <c r="L9" s="9">
        <v>25</v>
      </c>
      <c r="N9" s="7" t="s">
        <v>728</v>
      </c>
    </row>
    <row r="10" spans="1:14" s="7" customFormat="1" x14ac:dyDescent="0.25">
      <c r="A10" s="6">
        <v>102253822400</v>
      </c>
      <c r="B10" s="6" t="str">
        <f t="shared" si="0"/>
        <v>102253822400OVR</v>
      </c>
      <c r="C10" s="7" t="s">
        <v>70</v>
      </c>
      <c r="D10" s="7" t="s">
        <v>71</v>
      </c>
      <c r="E10" s="7">
        <v>20411454</v>
      </c>
      <c r="F10" s="7" t="s">
        <v>741</v>
      </c>
      <c r="G10" s="7" t="s">
        <v>50</v>
      </c>
      <c r="H10" s="8">
        <v>46023</v>
      </c>
      <c r="I10" s="9">
        <v>0</v>
      </c>
      <c r="J10" s="9">
        <v>25</v>
      </c>
      <c r="K10" s="7">
        <v>1</v>
      </c>
      <c r="L10" s="9">
        <v>25</v>
      </c>
      <c r="N10" s="7" t="s">
        <v>728</v>
      </c>
    </row>
    <row r="11" spans="1:14" s="7" customFormat="1" x14ac:dyDescent="0.25">
      <c r="A11" s="6">
        <v>102254077200</v>
      </c>
      <c r="B11" s="6" t="str">
        <f t="shared" si="0"/>
        <v>102254077200OVR</v>
      </c>
      <c r="C11" s="7" t="s">
        <v>75</v>
      </c>
      <c r="D11" s="7" t="s">
        <v>76</v>
      </c>
      <c r="E11" s="7">
        <v>20411454</v>
      </c>
      <c r="F11" s="7" t="s">
        <v>741</v>
      </c>
      <c r="G11" s="7" t="s">
        <v>50</v>
      </c>
      <c r="H11" s="8">
        <v>46023</v>
      </c>
      <c r="I11" s="9">
        <v>0</v>
      </c>
      <c r="J11" s="9">
        <v>25</v>
      </c>
      <c r="K11" s="7">
        <v>1</v>
      </c>
      <c r="L11" s="9">
        <v>25</v>
      </c>
      <c r="N11" s="7" t="s">
        <v>728</v>
      </c>
    </row>
    <row r="12" spans="1:14" s="7" customFormat="1" x14ac:dyDescent="0.25">
      <c r="A12" s="6">
        <v>102254388600</v>
      </c>
      <c r="B12" s="6" t="str">
        <f t="shared" si="0"/>
        <v>102254388600OVR</v>
      </c>
      <c r="C12" s="7" t="s">
        <v>85</v>
      </c>
      <c r="D12" s="7" t="s">
        <v>86</v>
      </c>
      <c r="E12" s="7">
        <v>20411454</v>
      </c>
      <c r="F12" s="7" t="s">
        <v>741</v>
      </c>
      <c r="G12" s="7" t="s">
        <v>50</v>
      </c>
      <c r="H12" s="8">
        <v>46023</v>
      </c>
      <c r="I12" s="9">
        <v>0</v>
      </c>
      <c r="J12" s="9">
        <v>25</v>
      </c>
      <c r="K12" s="7">
        <v>1</v>
      </c>
      <c r="L12" s="9">
        <v>25</v>
      </c>
      <c r="N12" s="7" t="s">
        <v>728</v>
      </c>
    </row>
    <row r="13" spans="1:14" s="7" customFormat="1" x14ac:dyDescent="0.25">
      <c r="A13" s="6">
        <v>102254394100</v>
      </c>
      <c r="B13" s="6" t="str">
        <f t="shared" si="0"/>
        <v>102254394100OVR</v>
      </c>
      <c r="C13" s="7" t="s">
        <v>90</v>
      </c>
      <c r="D13" s="7" t="s">
        <v>86</v>
      </c>
      <c r="E13" s="7">
        <v>20411454</v>
      </c>
      <c r="F13" s="7" t="s">
        <v>741</v>
      </c>
      <c r="G13" s="7" t="s">
        <v>50</v>
      </c>
      <c r="H13" s="8">
        <v>46023</v>
      </c>
      <c r="I13" s="9">
        <v>0</v>
      </c>
      <c r="J13" s="9">
        <v>25</v>
      </c>
      <c r="K13" s="7">
        <v>1</v>
      </c>
      <c r="L13" s="9">
        <v>25</v>
      </c>
      <c r="N13" s="7" t="s">
        <v>728</v>
      </c>
    </row>
    <row r="14" spans="1:14" s="7" customFormat="1" x14ac:dyDescent="0.25">
      <c r="A14" s="6">
        <v>102254527700</v>
      </c>
      <c r="B14" s="6" t="str">
        <f t="shared" si="0"/>
        <v>102254527700OVR</v>
      </c>
      <c r="C14" s="7" t="s">
        <v>92</v>
      </c>
      <c r="D14" s="7" t="s">
        <v>93</v>
      </c>
      <c r="E14" s="7">
        <v>20411454</v>
      </c>
      <c r="F14" s="7" t="s">
        <v>741</v>
      </c>
      <c r="G14" s="7" t="s">
        <v>50</v>
      </c>
      <c r="H14" s="8">
        <v>46023</v>
      </c>
      <c r="I14" s="9">
        <v>0</v>
      </c>
      <c r="J14" s="9">
        <v>25</v>
      </c>
      <c r="K14" s="7">
        <v>1</v>
      </c>
      <c r="L14" s="9">
        <v>25</v>
      </c>
      <c r="N14" s="7" t="s">
        <v>728</v>
      </c>
    </row>
    <row r="15" spans="1:14" s="7" customFormat="1" x14ac:dyDescent="0.25">
      <c r="A15" s="6">
        <v>102254749200</v>
      </c>
      <c r="B15" s="6" t="str">
        <f t="shared" si="0"/>
        <v>102254749200OVR</v>
      </c>
      <c r="C15" s="7" t="s">
        <v>101</v>
      </c>
      <c r="D15" s="7" t="s">
        <v>86</v>
      </c>
      <c r="E15" s="7">
        <v>20411454</v>
      </c>
      <c r="F15" s="7" t="s">
        <v>741</v>
      </c>
      <c r="G15" s="7" t="s">
        <v>50</v>
      </c>
      <c r="H15" s="8">
        <v>46023</v>
      </c>
      <c r="I15" s="9">
        <v>0</v>
      </c>
      <c r="J15" s="9">
        <v>25</v>
      </c>
      <c r="K15" s="7">
        <v>1</v>
      </c>
      <c r="L15" s="9">
        <v>25</v>
      </c>
      <c r="N15" s="7" t="s">
        <v>728</v>
      </c>
    </row>
    <row r="16" spans="1:14" s="7" customFormat="1" x14ac:dyDescent="0.25">
      <c r="A16" s="6">
        <v>102254763000</v>
      </c>
      <c r="B16" s="6" t="str">
        <f t="shared" si="0"/>
        <v>102254763000OVR</v>
      </c>
      <c r="C16" s="7" t="s">
        <v>103</v>
      </c>
      <c r="D16" s="7" t="s">
        <v>86</v>
      </c>
      <c r="E16" s="7">
        <v>20411454</v>
      </c>
      <c r="F16" s="7" t="s">
        <v>741</v>
      </c>
      <c r="G16" s="7" t="s">
        <v>50</v>
      </c>
      <c r="H16" s="8">
        <v>46023</v>
      </c>
      <c r="I16" s="9">
        <v>0</v>
      </c>
      <c r="J16" s="9">
        <v>25</v>
      </c>
      <c r="K16" s="7">
        <v>1</v>
      </c>
      <c r="L16" s="9">
        <v>25</v>
      </c>
      <c r="N16" s="7" t="s">
        <v>728</v>
      </c>
    </row>
    <row r="17" spans="1:39" s="7" customFormat="1" x14ac:dyDescent="0.25">
      <c r="A17" s="6">
        <v>102254768700</v>
      </c>
      <c r="B17" s="6" t="str">
        <f t="shared" si="0"/>
        <v>102254768700OVR</v>
      </c>
      <c r="C17" s="7" t="s">
        <v>105</v>
      </c>
      <c r="D17" s="7" t="s">
        <v>76</v>
      </c>
      <c r="E17" s="7">
        <v>20411454</v>
      </c>
      <c r="F17" s="7" t="s">
        <v>741</v>
      </c>
      <c r="G17" s="7" t="s">
        <v>50</v>
      </c>
      <c r="H17" s="8">
        <v>46023</v>
      </c>
      <c r="I17" s="9">
        <v>0</v>
      </c>
      <c r="J17" s="9">
        <v>25</v>
      </c>
      <c r="K17" s="7">
        <v>1</v>
      </c>
      <c r="L17" s="9">
        <v>25</v>
      </c>
      <c r="N17" s="7" t="s">
        <v>728</v>
      </c>
    </row>
    <row r="18" spans="1:39" s="7" customFormat="1" x14ac:dyDescent="0.25">
      <c r="A18" s="6">
        <v>102254954300</v>
      </c>
      <c r="B18" s="6" t="str">
        <f t="shared" si="0"/>
        <v>102254954300OVR</v>
      </c>
      <c r="C18" s="7" t="s">
        <v>109</v>
      </c>
      <c r="D18" s="7" t="s">
        <v>46</v>
      </c>
      <c r="E18" s="7">
        <v>20411454</v>
      </c>
      <c r="F18" s="7" t="s">
        <v>741</v>
      </c>
      <c r="G18" s="7" t="s">
        <v>50</v>
      </c>
      <c r="H18" s="8">
        <v>46023</v>
      </c>
      <c r="I18" s="9">
        <v>0</v>
      </c>
      <c r="J18" s="9">
        <v>25</v>
      </c>
      <c r="K18" s="7">
        <v>1</v>
      </c>
      <c r="L18" s="9">
        <v>25</v>
      </c>
      <c r="N18" s="7" t="s">
        <v>728</v>
      </c>
    </row>
    <row r="19" spans="1:39" s="7" customFormat="1" x14ac:dyDescent="0.25">
      <c r="A19" s="6">
        <v>102254985900</v>
      </c>
      <c r="B19" s="6" t="str">
        <f t="shared" si="0"/>
        <v>102254985900OVR</v>
      </c>
      <c r="C19" s="7" t="s">
        <v>113</v>
      </c>
      <c r="D19" s="7" t="s">
        <v>71</v>
      </c>
      <c r="E19" s="7">
        <v>20411454</v>
      </c>
      <c r="F19" s="7" t="s">
        <v>741</v>
      </c>
      <c r="G19" s="7" t="s">
        <v>50</v>
      </c>
      <c r="H19" s="8">
        <v>46023</v>
      </c>
      <c r="I19" s="9">
        <v>0</v>
      </c>
      <c r="J19" s="9">
        <v>25</v>
      </c>
      <c r="K19" s="7">
        <v>1</v>
      </c>
      <c r="L19" s="9">
        <v>25</v>
      </c>
      <c r="N19" s="7" t="s">
        <v>728</v>
      </c>
    </row>
    <row r="20" spans="1:39" s="7" customFormat="1" x14ac:dyDescent="0.25">
      <c r="A20" s="6" t="s">
        <v>727</v>
      </c>
      <c r="B20" s="6" t="str">
        <f t="shared" si="0"/>
        <v>MEQNDVYM00000159652OVR</v>
      </c>
      <c r="C20" s="7" t="s">
        <v>719</v>
      </c>
      <c r="D20" s="7" t="s">
        <v>46</v>
      </c>
      <c r="E20" s="7">
        <v>20411454</v>
      </c>
      <c r="F20" s="7" t="s">
        <v>741</v>
      </c>
      <c r="G20" s="7" t="s">
        <v>50</v>
      </c>
      <c r="H20" s="8">
        <v>46023</v>
      </c>
      <c r="I20" s="9">
        <v>0</v>
      </c>
      <c r="J20" s="9">
        <v>25</v>
      </c>
      <c r="K20" s="7">
        <v>1</v>
      </c>
      <c r="L20" s="9">
        <v>25</v>
      </c>
      <c r="N20" s="7" t="s">
        <v>728</v>
      </c>
    </row>
    <row r="21" spans="1:39" s="7" customFormat="1" x14ac:dyDescent="0.25">
      <c r="A21" s="5">
        <v>984024242</v>
      </c>
      <c r="B21" s="5" t="str">
        <f>CONCATENATE(A21,1)</f>
        <v>9840242421</v>
      </c>
      <c r="C21" t="s">
        <v>673</v>
      </c>
      <c r="D21" t="s">
        <v>71</v>
      </c>
      <c r="E21">
        <v>17425766</v>
      </c>
      <c r="F21" t="s">
        <v>256</v>
      </c>
      <c r="G21" t="s">
        <v>674</v>
      </c>
      <c r="H21" s="1">
        <v>46023</v>
      </c>
      <c r="I21" s="2">
        <v>0</v>
      </c>
      <c r="J21" s="2">
        <v>353</v>
      </c>
      <c r="K21">
        <v>1</v>
      </c>
      <c r="L21" s="2">
        <v>353</v>
      </c>
      <c r="M21" t="s">
        <v>122</v>
      </c>
      <c r="N21" t="s">
        <v>739</v>
      </c>
      <c r="O21" t="s">
        <v>737</v>
      </c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</row>
    <row r="22" spans="1:39" x14ac:dyDescent="0.25">
      <c r="A22" s="5">
        <v>989655225</v>
      </c>
      <c r="B22" s="5" t="str">
        <f>CONCATENATE(A22,1)</f>
        <v>9896552251</v>
      </c>
      <c r="C22" t="s">
        <v>686</v>
      </c>
      <c r="D22" t="s">
        <v>71</v>
      </c>
      <c r="E22">
        <v>17425766</v>
      </c>
      <c r="F22" t="s">
        <v>256</v>
      </c>
      <c r="G22" t="s">
        <v>674</v>
      </c>
      <c r="H22" s="1">
        <v>46023</v>
      </c>
      <c r="I22" s="2">
        <v>0</v>
      </c>
      <c r="J22" s="2">
        <v>353</v>
      </c>
      <c r="K22">
        <v>1</v>
      </c>
      <c r="L22" s="2">
        <v>353</v>
      </c>
      <c r="M22" t="s">
        <v>122</v>
      </c>
      <c r="N22" t="s">
        <v>739</v>
      </c>
      <c r="O22" t="s">
        <v>737</v>
      </c>
    </row>
    <row r="23" spans="1:39" x14ac:dyDescent="0.25">
      <c r="A23" s="5">
        <v>928872953</v>
      </c>
      <c r="B23" s="5" t="str">
        <f t="shared" ref="B23:B30" si="1">CONCATENATE(A23,11)</f>
        <v>92887295311</v>
      </c>
      <c r="C23" t="s">
        <v>412</v>
      </c>
      <c r="D23" t="s">
        <v>413</v>
      </c>
      <c r="E23">
        <v>19645587</v>
      </c>
      <c r="F23" t="s">
        <v>78</v>
      </c>
      <c r="G23" t="s">
        <v>414</v>
      </c>
      <c r="H23" s="1">
        <v>46023</v>
      </c>
      <c r="I23" s="2">
        <v>0</v>
      </c>
      <c r="J23" s="2">
        <v>432</v>
      </c>
      <c r="K23">
        <v>1</v>
      </c>
      <c r="L23" s="2">
        <v>432</v>
      </c>
      <c r="M23" t="s">
        <v>122</v>
      </c>
      <c r="N23" t="s">
        <v>735</v>
      </c>
      <c r="O23" t="s">
        <v>736</v>
      </c>
    </row>
    <row r="24" spans="1:39" x14ac:dyDescent="0.25">
      <c r="A24" s="5">
        <v>940482810</v>
      </c>
      <c r="B24" s="5" t="str">
        <f t="shared" si="1"/>
        <v>94048281011</v>
      </c>
      <c r="C24" t="s">
        <v>466</v>
      </c>
      <c r="D24" t="s">
        <v>413</v>
      </c>
      <c r="E24">
        <v>17425766</v>
      </c>
      <c r="F24" t="s">
        <v>256</v>
      </c>
      <c r="G24" t="s">
        <v>414</v>
      </c>
      <c r="H24" s="1">
        <v>46023</v>
      </c>
      <c r="I24" s="2">
        <v>0</v>
      </c>
      <c r="J24" s="2">
        <v>432</v>
      </c>
      <c r="K24">
        <v>1</v>
      </c>
      <c r="L24" s="2">
        <v>432</v>
      </c>
      <c r="M24" t="s">
        <v>122</v>
      </c>
      <c r="N24" t="s">
        <v>735</v>
      </c>
      <c r="O24" t="s">
        <v>736</v>
      </c>
    </row>
    <row r="25" spans="1:39" x14ac:dyDescent="0.25">
      <c r="A25" s="5">
        <v>907559980</v>
      </c>
      <c r="B25" s="5" t="str">
        <f t="shared" si="1"/>
        <v>90755998011</v>
      </c>
      <c r="C25" t="s">
        <v>242</v>
      </c>
      <c r="D25" t="s">
        <v>71</v>
      </c>
      <c r="E25">
        <v>17528908</v>
      </c>
      <c r="F25" t="s">
        <v>73</v>
      </c>
      <c r="G25" t="s">
        <v>243</v>
      </c>
      <c r="H25" s="1">
        <v>46023</v>
      </c>
      <c r="I25" s="2">
        <v>0</v>
      </c>
      <c r="J25" s="2">
        <v>391</v>
      </c>
      <c r="K25">
        <v>1</v>
      </c>
      <c r="L25" s="2">
        <v>391</v>
      </c>
      <c r="M25" t="s">
        <v>122</v>
      </c>
      <c r="N25" t="s">
        <v>740</v>
      </c>
      <c r="O25" t="s">
        <v>738</v>
      </c>
    </row>
    <row r="26" spans="1:39" x14ac:dyDescent="0.25">
      <c r="A26" s="5">
        <v>920890366</v>
      </c>
      <c r="B26" s="5" t="str">
        <f t="shared" si="1"/>
        <v>92089036611</v>
      </c>
      <c r="C26" t="s">
        <v>355</v>
      </c>
      <c r="D26" t="s">
        <v>71</v>
      </c>
      <c r="E26">
        <v>18710070</v>
      </c>
      <c r="F26" t="s">
        <v>357</v>
      </c>
      <c r="G26" t="s">
        <v>243</v>
      </c>
      <c r="H26" s="1">
        <v>46023</v>
      </c>
      <c r="I26" s="2">
        <v>0</v>
      </c>
      <c r="J26" s="2">
        <v>391</v>
      </c>
      <c r="K26">
        <v>1</v>
      </c>
      <c r="L26" s="2">
        <v>391</v>
      </c>
      <c r="M26" t="s">
        <v>122</v>
      </c>
      <c r="N26" t="s">
        <v>740</v>
      </c>
      <c r="O26" t="s">
        <v>738</v>
      </c>
    </row>
    <row r="27" spans="1:39" x14ac:dyDescent="0.25">
      <c r="A27" s="5">
        <v>924333171</v>
      </c>
      <c r="B27" s="5" t="str">
        <f t="shared" si="1"/>
        <v>92433317111</v>
      </c>
      <c r="C27" t="s">
        <v>369</v>
      </c>
      <c r="D27" t="s">
        <v>71</v>
      </c>
      <c r="E27">
        <v>17528908</v>
      </c>
      <c r="F27" t="s">
        <v>73</v>
      </c>
      <c r="G27" t="s">
        <v>243</v>
      </c>
      <c r="H27" s="1">
        <v>46023</v>
      </c>
      <c r="I27" s="2">
        <v>0</v>
      </c>
      <c r="J27" s="2">
        <v>391</v>
      </c>
      <c r="K27">
        <v>1</v>
      </c>
      <c r="L27" s="2">
        <v>391</v>
      </c>
      <c r="M27" t="s">
        <v>122</v>
      </c>
      <c r="N27" t="s">
        <v>740</v>
      </c>
      <c r="O27" t="s">
        <v>738</v>
      </c>
    </row>
    <row r="28" spans="1:39" x14ac:dyDescent="0.25">
      <c r="A28" s="5">
        <v>932172054</v>
      </c>
      <c r="B28" s="5" t="str">
        <f t="shared" si="1"/>
        <v>93217205411</v>
      </c>
      <c r="C28" t="s">
        <v>424</v>
      </c>
      <c r="D28" t="s">
        <v>71</v>
      </c>
      <c r="E28">
        <v>17528908</v>
      </c>
      <c r="F28" t="s">
        <v>73</v>
      </c>
      <c r="G28" t="s">
        <v>243</v>
      </c>
      <c r="H28" s="1">
        <v>46023</v>
      </c>
      <c r="I28" s="2">
        <v>0</v>
      </c>
      <c r="J28" s="2">
        <v>391</v>
      </c>
      <c r="K28">
        <v>1</v>
      </c>
      <c r="L28" s="2">
        <v>391</v>
      </c>
      <c r="M28" t="s">
        <v>122</v>
      </c>
      <c r="N28" t="s">
        <v>740</v>
      </c>
      <c r="O28" t="s">
        <v>738</v>
      </c>
    </row>
    <row r="29" spans="1:39" x14ac:dyDescent="0.25">
      <c r="A29" s="5">
        <v>935295130</v>
      </c>
      <c r="B29" s="5" t="str">
        <f t="shared" si="1"/>
        <v>93529513011</v>
      </c>
      <c r="C29" t="s">
        <v>432</v>
      </c>
      <c r="D29" t="s">
        <v>71</v>
      </c>
      <c r="E29">
        <v>18710070</v>
      </c>
      <c r="F29" t="s">
        <v>357</v>
      </c>
      <c r="G29" t="s">
        <v>243</v>
      </c>
      <c r="H29" s="1">
        <v>46023</v>
      </c>
      <c r="I29" s="2">
        <v>0</v>
      </c>
      <c r="J29" s="2">
        <v>391</v>
      </c>
      <c r="K29">
        <v>1</v>
      </c>
      <c r="L29" s="2">
        <v>391</v>
      </c>
      <c r="M29" t="s">
        <v>122</v>
      </c>
      <c r="N29" t="s">
        <v>740</v>
      </c>
      <c r="O29" t="s">
        <v>738</v>
      </c>
    </row>
    <row r="30" spans="1:39" x14ac:dyDescent="0.25">
      <c r="A30" s="5">
        <v>949404698</v>
      </c>
      <c r="B30" s="5" t="str">
        <f t="shared" si="1"/>
        <v>94940469811</v>
      </c>
      <c r="C30" t="s">
        <v>500</v>
      </c>
      <c r="D30" t="s">
        <v>71</v>
      </c>
      <c r="E30">
        <v>17528908</v>
      </c>
      <c r="F30" t="s">
        <v>73</v>
      </c>
      <c r="G30" t="s">
        <v>243</v>
      </c>
      <c r="H30" s="1">
        <v>46023</v>
      </c>
      <c r="I30" s="2">
        <v>0</v>
      </c>
      <c r="J30" s="2">
        <v>391</v>
      </c>
      <c r="K30">
        <v>1</v>
      </c>
      <c r="L30" s="2">
        <v>391</v>
      </c>
      <c r="M30" t="s">
        <v>122</v>
      </c>
      <c r="N30" t="s">
        <v>740</v>
      </c>
      <c r="O30" t="s">
        <v>738</v>
      </c>
    </row>
    <row r="31" spans="1:39" x14ac:dyDescent="0.25">
      <c r="A31" s="5">
        <v>926371909</v>
      </c>
      <c r="B31" s="5" t="str">
        <f t="shared" ref="B31:B40" si="2">CONCATENATE(A31,1)</f>
        <v>9263719091</v>
      </c>
      <c r="C31" t="s">
        <v>388</v>
      </c>
      <c r="D31" t="s">
        <v>389</v>
      </c>
      <c r="E31">
        <v>9079571</v>
      </c>
      <c r="F31" t="s">
        <v>391</v>
      </c>
      <c r="G31" t="s">
        <v>121</v>
      </c>
      <c r="H31" s="1">
        <v>46082</v>
      </c>
      <c r="I31" s="2">
        <v>0</v>
      </c>
      <c r="J31" s="2">
        <v>289.17</v>
      </c>
      <c r="K31">
        <v>1</v>
      </c>
      <c r="L31" s="2">
        <v>289.17</v>
      </c>
      <c r="M31" t="s">
        <v>392</v>
      </c>
      <c r="N31" t="s">
        <v>730</v>
      </c>
      <c r="O31" t="s">
        <v>733</v>
      </c>
      <c r="P31">
        <f>313/12*11</f>
        <v>286.91666666666663</v>
      </c>
    </row>
    <row r="32" spans="1:39" x14ac:dyDescent="0.25">
      <c r="A32" s="5">
        <v>908064971</v>
      </c>
      <c r="B32" s="5" t="str">
        <f t="shared" si="2"/>
        <v>9080649711</v>
      </c>
      <c r="C32" t="s">
        <v>245</v>
      </c>
      <c r="D32" t="s">
        <v>71</v>
      </c>
      <c r="E32">
        <v>18754354</v>
      </c>
      <c r="F32" t="s">
        <v>247</v>
      </c>
      <c r="G32" t="s">
        <v>248</v>
      </c>
      <c r="H32" s="1">
        <v>46023</v>
      </c>
      <c r="I32" s="2">
        <v>0</v>
      </c>
      <c r="J32" s="2">
        <v>313</v>
      </c>
      <c r="K32">
        <v>1</v>
      </c>
      <c r="L32" s="2">
        <v>313</v>
      </c>
      <c r="M32" t="s">
        <v>122</v>
      </c>
      <c r="N32" t="s">
        <v>730</v>
      </c>
      <c r="O32" t="s">
        <v>732</v>
      </c>
    </row>
    <row r="33" spans="1:15" x14ac:dyDescent="0.25">
      <c r="A33" s="5">
        <v>922578545</v>
      </c>
      <c r="B33" s="5" t="str">
        <f t="shared" si="2"/>
        <v>9225785451</v>
      </c>
      <c r="C33" t="s">
        <v>365</v>
      </c>
      <c r="D33" t="s">
        <v>46</v>
      </c>
      <c r="E33">
        <v>19586992</v>
      </c>
      <c r="F33" t="s">
        <v>111</v>
      </c>
      <c r="G33" t="s">
        <v>248</v>
      </c>
      <c r="H33" s="1">
        <v>46023</v>
      </c>
      <c r="I33" s="2">
        <v>0</v>
      </c>
      <c r="J33" s="2">
        <v>313</v>
      </c>
      <c r="K33">
        <v>1</v>
      </c>
      <c r="L33" s="2">
        <v>313</v>
      </c>
      <c r="M33" t="s">
        <v>122</v>
      </c>
      <c r="N33" t="s">
        <v>730</v>
      </c>
      <c r="O33" t="s">
        <v>732</v>
      </c>
    </row>
    <row r="34" spans="1:15" x14ac:dyDescent="0.25">
      <c r="A34" s="5">
        <v>936494692</v>
      </c>
      <c r="B34" s="5" t="str">
        <f t="shared" si="2"/>
        <v>9364946921</v>
      </c>
      <c r="C34" t="s">
        <v>442</v>
      </c>
      <c r="D34" t="s">
        <v>46</v>
      </c>
      <c r="E34">
        <v>8244481</v>
      </c>
      <c r="F34" t="s">
        <v>177</v>
      </c>
      <c r="G34" t="s">
        <v>248</v>
      </c>
      <c r="H34" s="1">
        <v>46023</v>
      </c>
      <c r="I34" s="2">
        <v>0</v>
      </c>
      <c r="J34" s="2">
        <v>313</v>
      </c>
      <c r="K34">
        <v>1</v>
      </c>
      <c r="L34" s="2">
        <v>313</v>
      </c>
      <c r="M34" t="s">
        <v>122</v>
      </c>
      <c r="N34" t="s">
        <v>730</v>
      </c>
      <c r="O34" t="s">
        <v>732</v>
      </c>
    </row>
    <row r="35" spans="1:15" x14ac:dyDescent="0.25">
      <c r="A35" s="5">
        <v>938190981</v>
      </c>
      <c r="B35" s="5" t="str">
        <f t="shared" si="2"/>
        <v>9381909811</v>
      </c>
      <c r="C35" t="s">
        <v>452</v>
      </c>
      <c r="D35" t="s">
        <v>46</v>
      </c>
      <c r="E35">
        <v>19615078</v>
      </c>
      <c r="F35" t="s">
        <v>454</v>
      </c>
      <c r="G35" t="s">
        <v>248</v>
      </c>
      <c r="H35" s="1">
        <v>46023</v>
      </c>
      <c r="I35" s="2">
        <v>0</v>
      </c>
      <c r="J35" s="2">
        <v>313</v>
      </c>
      <c r="K35">
        <v>1</v>
      </c>
      <c r="L35" s="2">
        <v>313</v>
      </c>
      <c r="M35" t="s">
        <v>122</v>
      </c>
      <c r="N35" t="s">
        <v>730</v>
      </c>
      <c r="O35" t="s">
        <v>732</v>
      </c>
    </row>
    <row r="36" spans="1:15" x14ac:dyDescent="0.25">
      <c r="A36" s="5">
        <v>948246326</v>
      </c>
      <c r="B36" s="5" t="str">
        <f t="shared" si="2"/>
        <v>9482463261</v>
      </c>
      <c r="C36" t="s">
        <v>498</v>
      </c>
      <c r="D36" t="s">
        <v>46</v>
      </c>
      <c r="E36">
        <v>8244481</v>
      </c>
      <c r="F36" t="s">
        <v>177</v>
      </c>
      <c r="G36" t="s">
        <v>248</v>
      </c>
      <c r="H36" s="1">
        <v>46023</v>
      </c>
      <c r="I36" s="2">
        <v>0</v>
      </c>
      <c r="J36" s="2">
        <v>313</v>
      </c>
      <c r="K36">
        <v>1</v>
      </c>
      <c r="L36" s="2">
        <v>313</v>
      </c>
      <c r="M36" t="s">
        <v>122</v>
      </c>
      <c r="N36" t="s">
        <v>730</v>
      </c>
      <c r="O36" t="s">
        <v>732</v>
      </c>
    </row>
    <row r="37" spans="1:15" x14ac:dyDescent="0.25">
      <c r="A37" s="5">
        <v>953263323</v>
      </c>
      <c r="B37" s="5" t="str">
        <f t="shared" si="2"/>
        <v>9532633231</v>
      </c>
      <c r="C37" t="s">
        <v>522</v>
      </c>
      <c r="D37" t="s">
        <v>46</v>
      </c>
      <c r="E37">
        <v>19645587</v>
      </c>
      <c r="F37" t="s">
        <v>78</v>
      </c>
      <c r="G37" t="s">
        <v>248</v>
      </c>
      <c r="H37" s="1">
        <v>46023</v>
      </c>
      <c r="I37" s="2">
        <v>0</v>
      </c>
      <c r="J37" s="2">
        <v>313</v>
      </c>
      <c r="K37">
        <v>1</v>
      </c>
      <c r="L37" s="2">
        <v>313</v>
      </c>
      <c r="M37" t="s">
        <v>122</v>
      </c>
      <c r="N37" t="s">
        <v>730</v>
      </c>
      <c r="O37" t="s">
        <v>732</v>
      </c>
    </row>
    <row r="38" spans="1:15" x14ac:dyDescent="0.25">
      <c r="A38" s="5">
        <v>953320892</v>
      </c>
      <c r="B38" s="5" t="str">
        <f t="shared" si="2"/>
        <v>9533208921</v>
      </c>
      <c r="C38" t="s">
        <v>524</v>
      </c>
      <c r="D38" t="s">
        <v>204</v>
      </c>
      <c r="E38">
        <v>16849453</v>
      </c>
      <c r="F38" t="s">
        <v>206</v>
      </c>
      <c r="G38" t="s">
        <v>248</v>
      </c>
      <c r="H38" s="1">
        <v>46023</v>
      </c>
      <c r="I38" s="2">
        <v>0</v>
      </c>
      <c r="J38" s="2">
        <v>313</v>
      </c>
      <c r="K38">
        <v>1</v>
      </c>
      <c r="L38" s="2">
        <v>313</v>
      </c>
      <c r="M38" t="s">
        <v>122</v>
      </c>
      <c r="N38" t="s">
        <v>730</v>
      </c>
      <c r="O38" t="s">
        <v>732</v>
      </c>
    </row>
    <row r="39" spans="1:15" x14ac:dyDescent="0.25">
      <c r="A39" s="5">
        <v>961895690</v>
      </c>
      <c r="B39" s="5" t="str">
        <f t="shared" si="2"/>
        <v>9618956901</v>
      </c>
      <c r="C39" t="s">
        <v>562</v>
      </c>
      <c r="D39" t="s">
        <v>46</v>
      </c>
      <c r="E39">
        <v>19586992</v>
      </c>
      <c r="F39" t="s">
        <v>111</v>
      </c>
      <c r="G39" t="s">
        <v>248</v>
      </c>
      <c r="H39" s="1">
        <v>46023</v>
      </c>
      <c r="I39" s="2">
        <v>0</v>
      </c>
      <c r="J39" s="2">
        <v>313</v>
      </c>
      <c r="K39">
        <v>1</v>
      </c>
      <c r="L39" s="2">
        <v>313</v>
      </c>
      <c r="M39" t="s">
        <v>122</v>
      </c>
      <c r="N39" t="s">
        <v>730</v>
      </c>
      <c r="O39" t="s">
        <v>732</v>
      </c>
    </row>
    <row r="40" spans="1:15" x14ac:dyDescent="0.25">
      <c r="A40" s="5">
        <v>985176570</v>
      </c>
      <c r="B40" s="5" t="str">
        <f t="shared" si="2"/>
        <v>9851765701</v>
      </c>
      <c r="C40" t="s">
        <v>676</v>
      </c>
      <c r="D40" t="s">
        <v>46</v>
      </c>
      <c r="E40">
        <v>8244481</v>
      </c>
      <c r="F40" t="s">
        <v>177</v>
      </c>
      <c r="G40" t="s">
        <v>248</v>
      </c>
      <c r="H40" s="1">
        <v>46023</v>
      </c>
      <c r="I40" s="2">
        <v>0</v>
      </c>
      <c r="J40" s="2">
        <v>313</v>
      </c>
      <c r="K40">
        <v>1</v>
      </c>
      <c r="L40" s="2">
        <v>313</v>
      </c>
      <c r="M40" t="s">
        <v>122</v>
      </c>
      <c r="N40" t="s">
        <v>730</v>
      </c>
      <c r="O40" t="s">
        <v>732</v>
      </c>
    </row>
    <row r="41" spans="1:15" x14ac:dyDescent="0.25">
      <c r="A41" s="5">
        <v>116903874</v>
      </c>
      <c r="B41" s="5" t="str">
        <f t="shared" ref="B41:B72" si="3">CONCATENATE(A41,11)</f>
        <v>11690387411</v>
      </c>
      <c r="C41" t="s">
        <v>117</v>
      </c>
      <c r="D41" t="s">
        <v>118</v>
      </c>
      <c r="E41">
        <v>20003537</v>
      </c>
      <c r="F41" t="s">
        <v>120</v>
      </c>
      <c r="G41" t="s">
        <v>121</v>
      </c>
      <c r="H41" s="1">
        <v>46023</v>
      </c>
      <c r="I41" s="2">
        <v>0</v>
      </c>
      <c r="J41" s="2">
        <v>347</v>
      </c>
      <c r="K41">
        <v>1</v>
      </c>
      <c r="L41" s="2">
        <v>347</v>
      </c>
      <c r="M41" t="s">
        <v>122</v>
      </c>
      <c r="N41" t="s">
        <v>734</v>
      </c>
      <c r="O41" t="s">
        <v>731</v>
      </c>
    </row>
    <row r="42" spans="1:15" x14ac:dyDescent="0.25">
      <c r="A42" s="5">
        <v>123531250</v>
      </c>
      <c r="B42" s="5" t="str">
        <f t="shared" si="3"/>
        <v>12353125011</v>
      </c>
      <c r="C42" t="s">
        <v>124</v>
      </c>
      <c r="D42" t="s">
        <v>118</v>
      </c>
      <c r="E42">
        <v>17859093</v>
      </c>
      <c r="F42" t="s">
        <v>126</v>
      </c>
      <c r="G42" t="s">
        <v>121</v>
      </c>
      <c r="H42" s="1">
        <v>46023</v>
      </c>
      <c r="I42" s="2">
        <v>0</v>
      </c>
      <c r="J42" s="2">
        <v>347</v>
      </c>
      <c r="K42">
        <v>1</v>
      </c>
      <c r="L42" s="2">
        <v>347</v>
      </c>
      <c r="M42" t="s">
        <v>122</v>
      </c>
      <c r="N42" t="s">
        <v>734</v>
      </c>
      <c r="O42" t="s">
        <v>731</v>
      </c>
    </row>
    <row r="43" spans="1:15" x14ac:dyDescent="0.25">
      <c r="A43" s="5">
        <v>125392427</v>
      </c>
      <c r="B43" s="5" t="str">
        <f t="shared" si="3"/>
        <v>12539242711</v>
      </c>
      <c r="C43" t="s">
        <v>128</v>
      </c>
      <c r="D43" t="s">
        <v>86</v>
      </c>
      <c r="E43">
        <v>18142208</v>
      </c>
      <c r="F43" t="s">
        <v>88</v>
      </c>
      <c r="G43" t="s">
        <v>121</v>
      </c>
      <c r="H43" s="1">
        <v>46023</v>
      </c>
      <c r="I43" s="2">
        <v>0</v>
      </c>
      <c r="J43" s="2">
        <v>347</v>
      </c>
      <c r="K43">
        <v>1</v>
      </c>
      <c r="L43" s="2">
        <v>347</v>
      </c>
      <c r="M43" t="s">
        <v>122</v>
      </c>
      <c r="N43" t="s">
        <v>734</v>
      </c>
      <c r="O43" t="s">
        <v>731</v>
      </c>
    </row>
    <row r="44" spans="1:15" x14ac:dyDescent="0.25">
      <c r="A44" s="5">
        <v>125404927</v>
      </c>
      <c r="B44" s="5" t="str">
        <f t="shared" si="3"/>
        <v>12540492711</v>
      </c>
      <c r="C44" t="s">
        <v>130</v>
      </c>
      <c r="D44" t="s">
        <v>131</v>
      </c>
      <c r="E44">
        <v>17195620</v>
      </c>
      <c r="F44" t="s">
        <v>133</v>
      </c>
      <c r="G44" t="s">
        <v>121</v>
      </c>
      <c r="H44" s="1">
        <v>46023</v>
      </c>
      <c r="I44" s="2">
        <v>0</v>
      </c>
      <c r="J44" s="2">
        <v>347</v>
      </c>
      <c r="K44">
        <v>1</v>
      </c>
      <c r="L44" s="2">
        <v>347</v>
      </c>
      <c r="M44" t="s">
        <v>122</v>
      </c>
      <c r="N44" t="s">
        <v>734</v>
      </c>
      <c r="O44" t="s">
        <v>731</v>
      </c>
    </row>
    <row r="45" spans="1:15" x14ac:dyDescent="0.25">
      <c r="A45" s="5">
        <v>129949159</v>
      </c>
      <c r="B45" s="5" t="str">
        <f t="shared" si="3"/>
        <v>12994915911</v>
      </c>
      <c r="C45" t="s">
        <v>135</v>
      </c>
      <c r="D45" t="s">
        <v>86</v>
      </c>
      <c r="E45">
        <v>18598357</v>
      </c>
      <c r="F45" t="s">
        <v>137</v>
      </c>
      <c r="G45" t="s">
        <v>121</v>
      </c>
      <c r="H45" s="1">
        <v>46023</v>
      </c>
      <c r="I45" s="2">
        <v>0</v>
      </c>
      <c r="J45" s="2">
        <v>347</v>
      </c>
      <c r="K45">
        <v>1</v>
      </c>
      <c r="L45" s="2">
        <v>347</v>
      </c>
      <c r="M45" t="s">
        <v>122</v>
      </c>
      <c r="N45" t="s">
        <v>734</v>
      </c>
      <c r="O45" t="s">
        <v>731</v>
      </c>
    </row>
    <row r="46" spans="1:15" x14ac:dyDescent="0.25">
      <c r="A46" s="5">
        <v>134111141</v>
      </c>
      <c r="B46" s="5" t="str">
        <f t="shared" si="3"/>
        <v>13411114111</v>
      </c>
      <c r="C46" t="s">
        <v>139</v>
      </c>
      <c r="D46" t="s">
        <v>140</v>
      </c>
      <c r="E46">
        <v>17859093</v>
      </c>
      <c r="F46" t="s">
        <v>126</v>
      </c>
      <c r="G46" t="s">
        <v>121</v>
      </c>
      <c r="H46" s="1">
        <v>46023</v>
      </c>
      <c r="I46" s="2">
        <v>0</v>
      </c>
      <c r="J46" s="2">
        <v>347</v>
      </c>
      <c r="K46">
        <v>1</v>
      </c>
      <c r="L46" s="2">
        <v>347</v>
      </c>
      <c r="M46" t="s">
        <v>122</v>
      </c>
      <c r="N46" t="s">
        <v>734</v>
      </c>
      <c r="O46" t="s">
        <v>731</v>
      </c>
    </row>
    <row r="47" spans="1:15" x14ac:dyDescent="0.25">
      <c r="A47" s="5">
        <v>134330785</v>
      </c>
      <c r="B47" s="5" t="str">
        <f t="shared" si="3"/>
        <v>13433078511</v>
      </c>
      <c r="C47" t="s">
        <v>142</v>
      </c>
      <c r="D47" t="s">
        <v>143</v>
      </c>
      <c r="E47">
        <v>2158366</v>
      </c>
      <c r="F47" t="s">
        <v>63</v>
      </c>
      <c r="G47" t="s">
        <v>121</v>
      </c>
      <c r="H47" s="1">
        <v>46023</v>
      </c>
      <c r="I47" s="2">
        <v>0</v>
      </c>
      <c r="J47" s="2">
        <v>347</v>
      </c>
      <c r="K47">
        <v>1</v>
      </c>
      <c r="L47" s="2">
        <v>347</v>
      </c>
      <c r="M47" t="s">
        <v>122</v>
      </c>
      <c r="N47" t="s">
        <v>734</v>
      </c>
      <c r="O47" t="s">
        <v>731</v>
      </c>
    </row>
    <row r="48" spans="1:15" x14ac:dyDescent="0.25">
      <c r="A48" s="5">
        <v>134395369</v>
      </c>
      <c r="B48" s="5" t="str">
        <f t="shared" si="3"/>
        <v>13439536911</v>
      </c>
      <c r="C48" t="s">
        <v>145</v>
      </c>
      <c r="D48" t="s">
        <v>146</v>
      </c>
      <c r="E48">
        <v>9213293</v>
      </c>
      <c r="F48" t="s">
        <v>68</v>
      </c>
      <c r="G48" t="s">
        <v>121</v>
      </c>
      <c r="H48" s="1">
        <v>46023</v>
      </c>
      <c r="I48" s="2">
        <v>0</v>
      </c>
      <c r="J48" s="2">
        <v>347</v>
      </c>
      <c r="K48">
        <v>1</v>
      </c>
      <c r="L48" s="2">
        <v>347</v>
      </c>
      <c r="M48" t="s">
        <v>122</v>
      </c>
      <c r="N48" t="s">
        <v>734</v>
      </c>
      <c r="O48" t="s">
        <v>731</v>
      </c>
    </row>
    <row r="49" spans="1:15" x14ac:dyDescent="0.25">
      <c r="A49" s="5">
        <v>134517961</v>
      </c>
      <c r="B49" s="5" t="str">
        <f t="shared" si="3"/>
        <v>13451796111</v>
      </c>
      <c r="C49" t="s">
        <v>148</v>
      </c>
      <c r="D49" t="s">
        <v>118</v>
      </c>
      <c r="E49">
        <v>16912722</v>
      </c>
      <c r="F49" t="s">
        <v>150</v>
      </c>
      <c r="G49" t="s">
        <v>121</v>
      </c>
      <c r="H49" s="1">
        <v>46023</v>
      </c>
      <c r="I49" s="2">
        <v>0</v>
      </c>
      <c r="J49" s="2">
        <v>347</v>
      </c>
      <c r="K49">
        <v>1</v>
      </c>
      <c r="L49" s="2">
        <v>347</v>
      </c>
      <c r="M49" t="s">
        <v>122</v>
      </c>
      <c r="N49" t="s">
        <v>734</v>
      </c>
      <c r="O49" t="s">
        <v>731</v>
      </c>
    </row>
    <row r="50" spans="1:15" x14ac:dyDescent="0.25">
      <c r="A50" s="5">
        <v>134595699</v>
      </c>
      <c r="B50" s="5" t="str">
        <f t="shared" si="3"/>
        <v>13459569911</v>
      </c>
      <c r="C50" t="s">
        <v>152</v>
      </c>
      <c r="D50" t="s">
        <v>131</v>
      </c>
      <c r="E50">
        <v>5442438</v>
      </c>
      <c r="F50" t="s">
        <v>154</v>
      </c>
      <c r="G50" t="s">
        <v>121</v>
      </c>
      <c r="H50" s="1">
        <v>46023</v>
      </c>
      <c r="I50" s="2">
        <v>0</v>
      </c>
      <c r="J50" s="2">
        <v>347</v>
      </c>
      <c r="K50">
        <v>1</v>
      </c>
      <c r="L50" s="2">
        <v>347</v>
      </c>
      <c r="M50" t="s">
        <v>122</v>
      </c>
      <c r="N50" t="s">
        <v>734</v>
      </c>
      <c r="O50" t="s">
        <v>731</v>
      </c>
    </row>
    <row r="51" spans="1:15" x14ac:dyDescent="0.25">
      <c r="A51" s="5">
        <v>134606398</v>
      </c>
      <c r="B51" s="5" t="str">
        <f t="shared" si="3"/>
        <v>13460639811</v>
      </c>
      <c r="C51" t="s">
        <v>156</v>
      </c>
      <c r="D51" t="s">
        <v>118</v>
      </c>
      <c r="E51">
        <v>16912722</v>
      </c>
      <c r="F51" t="s">
        <v>150</v>
      </c>
      <c r="G51" t="s">
        <v>121</v>
      </c>
      <c r="H51" s="1">
        <v>46023</v>
      </c>
      <c r="I51" s="2">
        <v>0</v>
      </c>
      <c r="J51" s="2">
        <v>347</v>
      </c>
      <c r="K51">
        <v>1</v>
      </c>
      <c r="L51" s="2">
        <v>347</v>
      </c>
      <c r="M51" t="s">
        <v>122</v>
      </c>
      <c r="N51" t="s">
        <v>734</v>
      </c>
      <c r="O51" t="s">
        <v>731</v>
      </c>
    </row>
    <row r="52" spans="1:15" x14ac:dyDescent="0.25">
      <c r="A52" s="5">
        <v>134698577</v>
      </c>
      <c r="B52" s="5" t="str">
        <f t="shared" si="3"/>
        <v>13469857711</v>
      </c>
      <c r="C52" t="s">
        <v>158</v>
      </c>
      <c r="D52" t="s">
        <v>131</v>
      </c>
      <c r="E52">
        <v>5442438</v>
      </c>
      <c r="F52" t="s">
        <v>154</v>
      </c>
      <c r="G52" t="s">
        <v>121</v>
      </c>
      <c r="H52" s="1">
        <v>46023</v>
      </c>
      <c r="I52" s="2">
        <v>0</v>
      </c>
      <c r="J52" s="2">
        <v>347</v>
      </c>
      <c r="K52">
        <v>1</v>
      </c>
      <c r="L52" s="2">
        <v>347</v>
      </c>
      <c r="M52" t="s">
        <v>122</v>
      </c>
      <c r="N52" t="s">
        <v>734</v>
      </c>
      <c r="O52" t="s">
        <v>731</v>
      </c>
    </row>
    <row r="53" spans="1:15" x14ac:dyDescent="0.25">
      <c r="A53" s="5">
        <v>134790046</v>
      </c>
      <c r="B53" s="5" t="str">
        <f t="shared" si="3"/>
        <v>13479004611</v>
      </c>
      <c r="C53" t="s">
        <v>160</v>
      </c>
      <c r="D53" t="s">
        <v>66</v>
      </c>
      <c r="E53">
        <v>20003537</v>
      </c>
      <c r="F53" t="s">
        <v>120</v>
      </c>
      <c r="G53" t="s">
        <v>121</v>
      </c>
      <c r="H53" s="1">
        <v>46023</v>
      </c>
      <c r="I53" s="2">
        <v>0</v>
      </c>
      <c r="J53" s="2">
        <v>347</v>
      </c>
      <c r="K53">
        <v>1</v>
      </c>
      <c r="L53" s="2">
        <v>347</v>
      </c>
      <c r="M53" t="s">
        <v>122</v>
      </c>
      <c r="N53" t="s">
        <v>734</v>
      </c>
      <c r="O53" t="s">
        <v>731</v>
      </c>
    </row>
    <row r="54" spans="1:15" x14ac:dyDescent="0.25">
      <c r="A54" s="5">
        <v>134831885</v>
      </c>
      <c r="B54" s="5" t="str">
        <f t="shared" si="3"/>
        <v>13483188511</v>
      </c>
      <c r="C54" t="s">
        <v>162</v>
      </c>
      <c r="D54" t="s">
        <v>86</v>
      </c>
      <c r="E54">
        <v>18142208</v>
      </c>
      <c r="F54" t="s">
        <v>88</v>
      </c>
      <c r="G54" t="s">
        <v>121</v>
      </c>
      <c r="H54" s="1">
        <v>46023</v>
      </c>
      <c r="I54" s="2">
        <v>0</v>
      </c>
      <c r="J54" s="2">
        <v>347</v>
      </c>
      <c r="K54">
        <v>1</v>
      </c>
      <c r="L54" s="2">
        <v>347</v>
      </c>
      <c r="M54" t="s">
        <v>122</v>
      </c>
      <c r="N54" t="s">
        <v>734</v>
      </c>
      <c r="O54" t="s">
        <v>731</v>
      </c>
    </row>
    <row r="55" spans="1:15" x14ac:dyDescent="0.25">
      <c r="A55" s="5">
        <v>135010181</v>
      </c>
      <c r="B55" s="5" t="str">
        <f t="shared" si="3"/>
        <v>13501018111</v>
      </c>
      <c r="C55" t="s">
        <v>164</v>
      </c>
      <c r="D55" t="s">
        <v>131</v>
      </c>
      <c r="E55">
        <v>5442438</v>
      </c>
      <c r="F55" t="s">
        <v>154</v>
      </c>
      <c r="G55" t="s">
        <v>121</v>
      </c>
      <c r="H55" s="1">
        <v>46023</v>
      </c>
      <c r="I55" s="2">
        <v>0</v>
      </c>
      <c r="J55" s="2">
        <v>347</v>
      </c>
      <c r="K55">
        <v>1</v>
      </c>
      <c r="L55" s="2">
        <v>347</v>
      </c>
      <c r="M55" t="s">
        <v>122</v>
      </c>
      <c r="N55" t="s">
        <v>734</v>
      </c>
      <c r="O55" t="s">
        <v>731</v>
      </c>
    </row>
    <row r="56" spans="1:15" x14ac:dyDescent="0.25">
      <c r="A56" s="5">
        <v>135040328</v>
      </c>
      <c r="B56" s="5" t="str">
        <f t="shared" si="3"/>
        <v>13504032811</v>
      </c>
      <c r="C56" t="s">
        <v>166</v>
      </c>
      <c r="D56" t="s">
        <v>86</v>
      </c>
      <c r="E56">
        <v>21435997</v>
      </c>
      <c r="F56" t="s">
        <v>95</v>
      </c>
      <c r="G56" t="s">
        <v>121</v>
      </c>
      <c r="H56" s="1">
        <v>46023</v>
      </c>
      <c r="I56" s="2">
        <v>0</v>
      </c>
      <c r="J56" s="2">
        <v>347</v>
      </c>
      <c r="K56">
        <v>1</v>
      </c>
      <c r="L56" s="2">
        <v>347</v>
      </c>
      <c r="M56" t="s">
        <v>122</v>
      </c>
      <c r="N56" t="s">
        <v>734</v>
      </c>
      <c r="O56" t="s">
        <v>731</v>
      </c>
    </row>
    <row r="57" spans="1:15" x14ac:dyDescent="0.25">
      <c r="A57" s="5">
        <v>831885646</v>
      </c>
      <c r="B57" s="5" t="str">
        <f t="shared" si="3"/>
        <v>83188564611</v>
      </c>
      <c r="C57" t="s">
        <v>168</v>
      </c>
      <c r="D57" t="s">
        <v>118</v>
      </c>
      <c r="E57">
        <v>21435997</v>
      </c>
      <c r="F57" t="s">
        <v>95</v>
      </c>
      <c r="G57" t="s">
        <v>121</v>
      </c>
      <c r="H57" s="1">
        <v>46023</v>
      </c>
      <c r="I57" s="2">
        <v>0</v>
      </c>
      <c r="J57" s="2">
        <v>347</v>
      </c>
      <c r="K57">
        <v>1</v>
      </c>
      <c r="L57" s="2">
        <v>347</v>
      </c>
      <c r="M57" t="s">
        <v>122</v>
      </c>
      <c r="N57" t="s">
        <v>734</v>
      </c>
      <c r="O57" t="s">
        <v>731</v>
      </c>
    </row>
    <row r="58" spans="1:15" x14ac:dyDescent="0.25">
      <c r="A58" s="5">
        <v>900209919</v>
      </c>
      <c r="B58" s="5" t="str">
        <f t="shared" si="3"/>
        <v>90020991911</v>
      </c>
      <c r="C58" t="s">
        <v>170</v>
      </c>
      <c r="D58" t="s">
        <v>146</v>
      </c>
      <c r="E58">
        <v>17859093</v>
      </c>
      <c r="F58" t="s">
        <v>126</v>
      </c>
      <c r="G58" t="s">
        <v>121</v>
      </c>
      <c r="H58" s="1">
        <v>46023</v>
      </c>
      <c r="I58" s="2">
        <v>0</v>
      </c>
      <c r="J58" s="2">
        <v>347</v>
      </c>
      <c r="K58">
        <v>1</v>
      </c>
      <c r="L58" s="2">
        <v>347</v>
      </c>
      <c r="M58" t="s">
        <v>122</v>
      </c>
      <c r="N58" t="s">
        <v>734</v>
      </c>
      <c r="O58" t="s">
        <v>731</v>
      </c>
    </row>
    <row r="59" spans="1:15" x14ac:dyDescent="0.25">
      <c r="A59" s="5">
        <v>900999478</v>
      </c>
      <c r="B59" s="5" t="str">
        <f t="shared" si="3"/>
        <v>90099947811</v>
      </c>
      <c r="C59" t="s">
        <v>172</v>
      </c>
      <c r="D59" t="s">
        <v>173</v>
      </c>
      <c r="E59">
        <v>9213293</v>
      </c>
      <c r="F59" t="s">
        <v>68</v>
      </c>
      <c r="G59" t="s">
        <v>121</v>
      </c>
      <c r="H59" s="1">
        <v>46023</v>
      </c>
      <c r="I59" s="2">
        <v>0</v>
      </c>
      <c r="J59" s="2">
        <v>347</v>
      </c>
      <c r="K59">
        <v>1</v>
      </c>
      <c r="L59" s="2">
        <v>347</v>
      </c>
      <c r="M59" t="s">
        <v>122</v>
      </c>
      <c r="N59" t="s">
        <v>734</v>
      </c>
      <c r="O59" t="s">
        <v>731</v>
      </c>
    </row>
    <row r="60" spans="1:15" x14ac:dyDescent="0.25">
      <c r="A60" s="5">
        <v>901566459</v>
      </c>
      <c r="B60" s="5" t="str">
        <f t="shared" si="3"/>
        <v>90156645911</v>
      </c>
      <c r="C60" t="s">
        <v>180</v>
      </c>
      <c r="D60" t="s">
        <v>46</v>
      </c>
      <c r="E60">
        <v>19586992</v>
      </c>
      <c r="F60" t="s">
        <v>111</v>
      </c>
      <c r="G60" t="s">
        <v>121</v>
      </c>
      <c r="H60" s="1">
        <v>46023</v>
      </c>
      <c r="I60" s="2">
        <v>0</v>
      </c>
      <c r="J60" s="2">
        <v>347</v>
      </c>
      <c r="K60">
        <v>1</v>
      </c>
      <c r="L60" s="2">
        <v>347</v>
      </c>
      <c r="M60" t="s">
        <v>122</v>
      </c>
      <c r="N60" t="s">
        <v>734</v>
      </c>
      <c r="O60" t="s">
        <v>731</v>
      </c>
    </row>
    <row r="61" spans="1:15" x14ac:dyDescent="0.25">
      <c r="A61" s="5">
        <v>902156178</v>
      </c>
      <c r="B61" s="5" t="str">
        <f t="shared" si="3"/>
        <v>90215617811</v>
      </c>
      <c r="C61" t="s">
        <v>182</v>
      </c>
      <c r="D61" t="s">
        <v>46</v>
      </c>
      <c r="E61">
        <v>16228684</v>
      </c>
      <c r="F61" t="s">
        <v>184</v>
      </c>
      <c r="G61" t="s">
        <v>121</v>
      </c>
      <c r="H61" s="1">
        <v>46023</v>
      </c>
      <c r="I61" s="2">
        <v>0</v>
      </c>
      <c r="J61" s="2">
        <v>347</v>
      </c>
      <c r="K61">
        <v>1</v>
      </c>
      <c r="L61" s="2">
        <v>347</v>
      </c>
      <c r="M61" t="s">
        <v>122</v>
      </c>
      <c r="N61" t="s">
        <v>734</v>
      </c>
      <c r="O61" t="s">
        <v>731</v>
      </c>
    </row>
    <row r="62" spans="1:15" x14ac:dyDescent="0.25">
      <c r="A62" s="5">
        <v>902305533</v>
      </c>
      <c r="B62" s="5" t="str">
        <f t="shared" si="3"/>
        <v>90230553311</v>
      </c>
      <c r="C62" t="s">
        <v>191</v>
      </c>
      <c r="D62" t="s">
        <v>46</v>
      </c>
      <c r="E62">
        <v>20490188</v>
      </c>
      <c r="F62" t="s">
        <v>193</v>
      </c>
      <c r="G62" t="s">
        <v>121</v>
      </c>
      <c r="H62" s="1">
        <v>46023</v>
      </c>
      <c r="I62" s="2">
        <v>0</v>
      </c>
      <c r="J62" s="2">
        <v>347</v>
      </c>
      <c r="K62">
        <v>1</v>
      </c>
      <c r="L62" s="2">
        <v>347</v>
      </c>
      <c r="M62" t="s">
        <v>122</v>
      </c>
      <c r="N62" t="s">
        <v>734</v>
      </c>
      <c r="O62" t="s">
        <v>731</v>
      </c>
    </row>
    <row r="63" spans="1:15" x14ac:dyDescent="0.25">
      <c r="A63" s="5">
        <v>902914656</v>
      </c>
      <c r="B63" s="5" t="str">
        <f t="shared" si="3"/>
        <v>90291465611</v>
      </c>
      <c r="C63" t="s">
        <v>195</v>
      </c>
      <c r="D63" t="s">
        <v>196</v>
      </c>
      <c r="E63">
        <v>16865615</v>
      </c>
      <c r="F63" t="s">
        <v>198</v>
      </c>
      <c r="G63" t="s">
        <v>121</v>
      </c>
      <c r="H63" s="1">
        <v>46023</v>
      </c>
      <c r="I63" s="2">
        <v>0</v>
      </c>
      <c r="J63" s="2">
        <v>347</v>
      </c>
      <c r="K63">
        <v>1</v>
      </c>
      <c r="L63" s="2">
        <v>347</v>
      </c>
      <c r="M63" t="s">
        <v>122</v>
      </c>
      <c r="N63" t="s">
        <v>734</v>
      </c>
      <c r="O63" t="s">
        <v>731</v>
      </c>
    </row>
    <row r="64" spans="1:15" x14ac:dyDescent="0.25">
      <c r="A64" s="5">
        <v>903158563</v>
      </c>
      <c r="B64" s="5" t="str">
        <f t="shared" si="3"/>
        <v>90315856311</v>
      </c>
      <c r="C64" t="s">
        <v>200</v>
      </c>
      <c r="D64" t="s">
        <v>201</v>
      </c>
      <c r="E64">
        <v>21435997</v>
      </c>
      <c r="F64" t="s">
        <v>95</v>
      </c>
      <c r="G64" t="s">
        <v>121</v>
      </c>
      <c r="H64" s="1">
        <v>46023</v>
      </c>
      <c r="I64" s="2">
        <v>0</v>
      </c>
      <c r="J64" s="2">
        <v>347</v>
      </c>
      <c r="K64">
        <v>1</v>
      </c>
      <c r="L64" s="2">
        <v>347</v>
      </c>
      <c r="M64" t="s">
        <v>122</v>
      </c>
      <c r="N64" t="s">
        <v>734</v>
      </c>
      <c r="O64" t="s">
        <v>731</v>
      </c>
    </row>
    <row r="65" spans="1:15" x14ac:dyDescent="0.25">
      <c r="A65" s="5">
        <v>903355671</v>
      </c>
      <c r="B65" s="5" t="str">
        <f t="shared" si="3"/>
        <v>90335567111</v>
      </c>
      <c r="C65" t="s">
        <v>203</v>
      </c>
      <c r="D65" t="s">
        <v>204</v>
      </c>
      <c r="E65">
        <v>16849453</v>
      </c>
      <c r="F65" t="s">
        <v>206</v>
      </c>
      <c r="G65" t="s">
        <v>121</v>
      </c>
      <c r="H65" s="1">
        <v>46023</v>
      </c>
      <c r="I65" s="2">
        <v>0</v>
      </c>
      <c r="J65" s="2">
        <v>347</v>
      </c>
      <c r="K65">
        <v>1</v>
      </c>
      <c r="L65" s="2">
        <v>347</v>
      </c>
      <c r="M65" t="s">
        <v>122</v>
      </c>
      <c r="N65" t="s">
        <v>734</v>
      </c>
      <c r="O65" t="s">
        <v>731</v>
      </c>
    </row>
    <row r="66" spans="1:15" x14ac:dyDescent="0.25">
      <c r="A66" s="5">
        <v>904803303</v>
      </c>
      <c r="B66" s="5" t="str">
        <f t="shared" si="3"/>
        <v>90480330311</v>
      </c>
      <c r="C66" t="s">
        <v>208</v>
      </c>
      <c r="D66" t="s">
        <v>66</v>
      </c>
      <c r="E66">
        <v>19396223</v>
      </c>
      <c r="F66" t="s">
        <v>210</v>
      </c>
      <c r="G66" t="s">
        <v>121</v>
      </c>
      <c r="H66" s="1">
        <v>46023</v>
      </c>
      <c r="I66" s="2">
        <v>0</v>
      </c>
      <c r="J66" s="2">
        <v>347</v>
      </c>
      <c r="K66">
        <v>1</v>
      </c>
      <c r="L66" s="2">
        <v>347</v>
      </c>
      <c r="M66" t="s">
        <v>122</v>
      </c>
      <c r="N66" t="s">
        <v>734</v>
      </c>
      <c r="O66" t="s">
        <v>731</v>
      </c>
    </row>
    <row r="67" spans="1:15" x14ac:dyDescent="0.25">
      <c r="A67" s="5">
        <v>905009866</v>
      </c>
      <c r="B67" s="5" t="str">
        <f t="shared" si="3"/>
        <v>90500986611</v>
      </c>
      <c r="C67" t="s">
        <v>212</v>
      </c>
      <c r="D67" t="s">
        <v>93</v>
      </c>
      <c r="E67">
        <v>21435997</v>
      </c>
      <c r="F67" t="s">
        <v>95</v>
      </c>
      <c r="G67" t="s">
        <v>121</v>
      </c>
      <c r="H67" s="1">
        <v>46023</v>
      </c>
      <c r="I67" s="2">
        <v>0</v>
      </c>
      <c r="J67" s="2">
        <v>347</v>
      </c>
      <c r="K67">
        <v>1</v>
      </c>
      <c r="L67" s="2">
        <v>347</v>
      </c>
      <c r="M67" t="s">
        <v>122</v>
      </c>
      <c r="N67" t="s">
        <v>734</v>
      </c>
      <c r="O67" t="s">
        <v>731</v>
      </c>
    </row>
    <row r="68" spans="1:15" x14ac:dyDescent="0.25">
      <c r="A68" s="5">
        <v>905055820</v>
      </c>
      <c r="B68" s="5" t="str">
        <f t="shared" si="3"/>
        <v>90505582011</v>
      </c>
      <c r="C68" t="s">
        <v>214</v>
      </c>
      <c r="D68" t="s">
        <v>46</v>
      </c>
      <c r="E68">
        <v>9213293</v>
      </c>
      <c r="F68" t="s">
        <v>68</v>
      </c>
      <c r="G68" t="s">
        <v>121</v>
      </c>
      <c r="H68" s="1">
        <v>46023</v>
      </c>
      <c r="I68" s="2">
        <v>0</v>
      </c>
      <c r="J68" s="2">
        <v>347</v>
      </c>
      <c r="K68">
        <v>1</v>
      </c>
      <c r="L68" s="2">
        <v>347</v>
      </c>
      <c r="M68" t="s">
        <v>122</v>
      </c>
      <c r="N68" t="s">
        <v>734</v>
      </c>
      <c r="O68" t="s">
        <v>731</v>
      </c>
    </row>
    <row r="69" spans="1:15" x14ac:dyDescent="0.25">
      <c r="A69" s="5">
        <v>905161845</v>
      </c>
      <c r="B69" s="5" t="str">
        <f t="shared" si="3"/>
        <v>90516184511</v>
      </c>
      <c r="C69" t="s">
        <v>218</v>
      </c>
      <c r="D69" t="s">
        <v>86</v>
      </c>
      <c r="E69">
        <v>21564088</v>
      </c>
      <c r="F69" t="s">
        <v>220</v>
      </c>
      <c r="G69" t="s">
        <v>121</v>
      </c>
      <c r="H69" s="1">
        <v>46023</v>
      </c>
      <c r="I69" s="2">
        <v>0</v>
      </c>
      <c r="J69" s="2">
        <v>347</v>
      </c>
      <c r="K69">
        <v>1</v>
      </c>
      <c r="L69" s="2">
        <v>347</v>
      </c>
      <c r="M69" t="s">
        <v>122</v>
      </c>
      <c r="N69" t="s">
        <v>734</v>
      </c>
      <c r="O69" t="s">
        <v>731</v>
      </c>
    </row>
    <row r="70" spans="1:15" x14ac:dyDescent="0.25">
      <c r="A70" s="5">
        <v>905283105</v>
      </c>
      <c r="B70" s="5" t="str">
        <f t="shared" si="3"/>
        <v>90528310511</v>
      </c>
      <c r="C70" t="s">
        <v>222</v>
      </c>
      <c r="D70" t="s">
        <v>223</v>
      </c>
      <c r="E70">
        <v>19279958</v>
      </c>
      <c r="F70" t="s">
        <v>225</v>
      </c>
      <c r="G70" t="s">
        <v>121</v>
      </c>
      <c r="H70" s="1">
        <v>46023</v>
      </c>
      <c r="I70" s="2">
        <v>0</v>
      </c>
      <c r="J70" s="2">
        <v>347</v>
      </c>
      <c r="K70">
        <v>1</v>
      </c>
      <c r="L70" s="2">
        <v>347</v>
      </c>
      <c r="M70" t="s">
        <v>122</v>
      </c>
      <c r="N70" t="s">
        <v>734</v>
      </c>
      <c r="O70" t="s">
        <v>731</v>
      </c>
    </row>
    <row r="71" spans="1:15" x14ac:dyDescent="0.25">
      <c r="A71" s="5">
        <v>905287605</v>
      </c>
      <c r="B71" s="5" t="str">
        <f t="shared" si="3"/>
        <v>90528760511</v>
      </c>
      <c r="C71" t="s">
        <v>227</v>
      </c>
      <c r="D71" t="s">
        <v>46</v>
      </c>
      <c r="E71">
        <v>8244481</v>
      </c>
      <c r="F71" t="s">
        <v>177</v>
      </c>
      <c r="G71" t="s">
        <v>121</v>
      </c>
      <c r="H71" s="1">
        <v>46023</v>
      </c>
      <c r="I71" s="2">
        <v>0</v>
      </c>
      <c r="J71" s="2">
        <v>347</v>
      </c>
      <c r="K71">
        <v>1</v>
      </c>
      <c r="L71" s="2">
        <v>347</v>
      </c>
      <c r="M71" t="s">
        <v>122</v>
      </c>
      <c r="N71" t="s">
        <v>734</v>
      </c>
      <c r="O71" t="s">
        <v>731</v>
      </c>
    </row>
    <row r="72" spans="1:15" x14ac:dyDescent="0.25">
      <c r="A72" s="5">
        <v>905419578</v>
      </c>
      <c r="B72" s="5" t="str">
        <f t="shared" si="3"/>
        <v>90541957811</v>
      </c>
      <c r="C72" t="s">
        <v>229</v>
      </c>
      <c r="D72" t="s">
        <v>118</v>
      </c>
      <c r="E72">
        <v>19200754</v>
      </c>
      <c r="F72" t="s">
        <v>231</v>
      </c>
      <c r="G72" t="s">
        <v>121</v>
      </c>
      <c r="H72" s="1">
        <v>46023</v>
      </c>
      <c r="I72" s="2">
        <v>0</v>
      </c>
      <c r="J72" s="2">
        <v>347</v>
      </c>
      <c r="K72">
        <v>1</v>
      </c>
      <c r="L72" s="2">
        <v>347</v>
      </c>
      <c r="M72" t="s">
        <v>122</v>
      </c>
      <c r="N72" t="s">
        <v>734</v>
      </c>
      <c r="O72" t="s">
        <v>731</v>
      </c>
    </row>
    <row r="73" spans="1:15" x14ac:dyDescent="0.25">
      <c r="A73" s="5">
        <v>905945740</v>
      </c>
      <c r="B73" s="5" t="str">
        <f t="shared" ref="B73:B104" si="4">CONCATENATE(A73,11)</f>
        <v>90594574011</v>
      </c>
      <c r="C73" t="s">
        <v>233</v>
      </c>
      <c r="D73" t="s">
        <v>66</v>
      </c>
      <c r="E73">
        <v>9213293</v>
      </c>
      <c r="F73" t="s">
        <v>68</v>
      </c>
      <c r="G73" t="s">
        <v>121</v>
      </c>
      <c r="H73" s="1">
        <v>46023</v>
      </c>
      <c r="I73" s="2">
        <v>0</v>
      </c>
      <c r="J73" s="2">
        <v>347</v>
      </c>
      <c r="K73">
        <v>1</v>
      </c>
      <c r="L73" s="2">
        <v>347</v>
      </c>
      <c r="M73" t="s">
        <v>122</v>
      </c>
      <c r="N73" t="s">
        <v>734</v>
      </c>
      <c r="O73" t="s">
        <v>731</v>
      </c>
    </row>
    <row r="74" spans="1:15" x14ac:dyDescent="0.25">
      <c r="A74" s="5">
        <v>906430980</v>
      </c>
      <c r="B74" s="5" t="str">
        <f t="shared" si="4"/>
        <v>90643098011</v>
      </c>
      <c r="C74" t="s">
        <v>235</v>
      </c>
      <c r="D74" t="s">
        <v>46</v>
      </c>
      <c r="E74">
        <v>9213293</v>
      </c>
      <c r="F74" t="s">
        <v>68</v>
      </c>
      <c r="G74" t="s">
        <v>121</v>
      </c>
      <c r="H74" s="1">
        <v>46023</v>
      </c>
      <c r="I74" s="2">
        <v>0</v>
      </c>
      <c r="J74" s="2">
        <v>347</v>
      </c>
      <c r="K74">
        <v>1</v>
      </c>
      <c r="L74" s="2">
        <v>347</v>
      </c>
      <c r="M74" t="s">
        <v>122</v>
      </c>
      <c r="N74" t="s">
        <v>734</v>
      </c>
      <c r="O74" t="s">
        <v>731</v>
      </c>
    </row>
    <row r="75" spans="1:15" x14ac:dyDescent="0.25">
      <c r="A75" s="5">
        <v>907480147</v>
      </c>
      <c r="B75" s="5" t="str">
        <f t="shared" si="4"/>
        <v>90748014711</v>
      </c>
      <c r="C75" t="s">
        <v>237</v>
      </c>
      <c r="D75" t="s">
        <v>238</v>
      </c>
      <c r="E75">
        <v>8325282</v>
      </c>
      <c r="F75" t="s">
        <v>240</v>
      </c>
      <c r="G75" t="s">
        <v>121</v>
      </c>
      <c r="H75" s="1">
        <v>46023</v>
      </c>
      <c r="I75" s="2">
        <v>0</v>
      </c>
      <c r="J75" s="2">
        <v>347</v>
      </c>
      <c r="K75">
        <v>1</v>
      </c>
      <c r="L75" s="2">
        <v>347</v>
      </c>
      <c r="M75" t="s">
        <v>122</v>
      </c>
      <c r="N75" t="s">
        <v>734</v>
      </c>
      <c r="O75" t="s">
        <v>731</v>
      </c>
    </row>
    <row r="76" spans="1:15" x14ac:dyDescent="0.25">
      <c r="A76" s="5">
        <v>908140248</v>
      </c>
      <c r="B76" s="5" t="str">
        <f t="shared" si="4"/>
        <v>90814024811</v>
      </c>
      <c r="C76" t="s">
        <v>250</v>
      </c>
      <c r="D76" t="s">
        <v>196</v>
      </c>
      <c r="E76">
        <v>6634327</v>
      </c>
      <c r="F76" t="s">
        <v>252</v>
      </c>
      <c r="G76" t="s">
        <v>121</v>
      </c>
      <c r="H76" s="1">
        <v>46023</v>
      </c>
      <c r="I76" s="2">
        <v>0</v>
      </c>
      <c r="J76" s="2">
        <v>347</v>
      </c>
      <c r="K76">
        <v>1</v>
      </c>
      <c r="L76" s="2">
        <v>347</v>
      </c>
      <c r="M76" t="s">
        <v>122</v>
      </c>
      <c r="N76" t="s">
        <v>734</v>
      </c>
      <c r="O76" t="s">
        <v>731</v>
      </c>
    </row>
    <row r="77" spans="1:15" x14ac:dyDescent="0.25">
      <c r="A77" s="5">
        <v>908745437</v>
      </c>
      <c r="B77" s="5" t="str">
        <f t="shared" si="4"/>
        <v>90874543711</v>
      </c>
      <c r="C77" t="s">
        <v>258</v>
      </c>
      <c r="D77" t="s">
        <v>46</v>
      </c>
      <c r="E77">
        <v>16865615</v>
      </c>
      <c r="F77" t="s">
        <v>198</v>
      </c>
      <c r="G77" t="s">
        <v>121</v>
      </c>
      <c r="H77" s="1">
        <v>46023</v>
      </c>
      <c r="I77" s="2">
        <v>0</v>
      </c>
      <c r="J77" s="2">
        <v>347</v>
      </c>
      <c r="K77">
        <v>1</v>
      </c>
      <c r="L77" s="2">
        <v>347</v>
      </c>
      <c r="M77" t="s">
        <v>122</v>
      </c>
      <c r="N77" t="s">
        <v>734</v>
      </c>
      <c r="O77" t="s">
        <v>731</v>
      </c>
    </row>
    <row r="78" spans="1:15" x14ac:dyDescent="0.25">
      <c r="A78" s="5">
        <v>909753788</v>
      </c>
      <c r="B78" s="5" t="str">
        <f t="shared" si="4"/>
        <v>90975378811</v>
      </c>
      <c r="C78" t="s">
        <v>264</v>
      </c>
      <c r="D78" t="s">
        <v>86</v>
      </c>
      <c r="E78">
        <v>21564088</v>
      </c>
      <c r="F78" t="s">
        <v>220</v>
      </c>
      <c r="G78" t="s">
        <v>121</v>
      </c>
      <c r="H78" s="1">
        <v>46023</v>
      </c>
      <c r="I78" s="2">
        <v>0</v>
      </c>
      <c r="J78" s="2">
        <v>347</v>
      </c>
      <c r="K78">
        <v>1</v>
      </c>
      <c r="L78" s="2">
        <v>347</v>
      </c>
      <c r="M78" t="s">
        <v>122</v>
      </c>
      <c r="N78" t="s">
        <v>734</v>
      </c>
      <c r="O78" t="s">
        <v>731</v>
      </c>
    </row>
    <row r="79" spans="1:15" x14ac:dyDescent="0.25">
      <c r="A79" s="5">
        <v>909963590</v>
      </c>
      <c r="B79" s="5" t="str">
        <f t="shared" si="4"/>
        <v>90996359011</v>
      </c>
      <c r="C79" t="s">
        <v>266</v>
      </c>
      <c r="D79" t="s">
        <v>46</v>
      </c>
      <c r="E79">
        <v>16228684</v>
      </c>
      <c r="F79" t="s">
        <v>184</v>
      </c>
      <c r="G79" t="s">
        <v>121</v>
      </c>
      <c r="H79" s="1">
        <v>46023</v>
      </c>
      <c r="I79" s="2">
        <v>0</v>
      </c>
      <c r="J79" s="2">
        <v>347</v>
      </c>
      <c r="K79">
        <v>1</v>
      </c>
      <c r="L79" s="2">
        <v>347</v>
      </c>
      <c r="M79" t="s">
        <v>122</v>
      </c>
      <c r="N79" t="s">
        <v>734</v>
      </c>
      <c r="O79" t="s">
        <v>731</v>
      </c>
    </row>
    <row r="80" spans="1:15" x14ac:dyDescent="0.25">
      <c r="A80" s="5">
        <v>910103142</v>
      </c>
      <c r="B80" s="5" t="str">
        <f t="shared" si="4"/>
        <v>91010314211</v>
      </c>
      <c r="C80" t="s">
        <v>268</v>
      </c>
      <c r="D80" t="s">
        <v>86</v>
      </c>
      <c r="E80">
        <v>21564088</v>
      </c>
      <c r="F80" t="s">
        <v>220</v>
      </c>
      <c r="G80" t="s">
        <v>121</v>
      </c>
      <c r="H80" s="1">
        <v>46023</v>
      </c>
      <c r="I80" s="2">
        <v>0</v>
      </c>
      <c r="J80" s="2">
        <v>347</v>
      </c>
      <c r="K80">
        <v>1</v>
      </c>
      <c r="L80" s="2">
        <v>347</v>
      </c>
      <c r="M80" t="s">
        <v>122</v>
      </c>
      <c r="N80" t="s">
        <v>734</v>
      </c>
      <c r="O80" t="s">
        <v>731</v>
      </c>
    </row>
    <row r="81" spans="1:15" x14ac:dyDescent="0.25">
      <c r="A81" s="5">
        <v>910393030</v>
      </c>
      <c r="B81" s="5" t="str">
        <f t="shared" si="4"/>
        <v>91039303011</v>
      </c>
      <c r="C81" t="s">
        <v>270</v>
      </c>
      <c r="D81" t="s">
        <v>271</v>
      </c>
      <c r="E81">
        <v>19645587</v>
      </c>
      <c r="F81" t="s">
        <v>78</v>
      </c>
      <c r="G81" t="s">
        <v>121</v>
      </c>
      <c r="H81" s="1">
        <v>46023</v>
      </c>
      <c r="I81" s="2">
        <v>0</v>
      </c>
      <c r="J81" s="2">
        <v>347</v>
      </c>
      <c r="K81">
        <v>1</v>
      </c>
      <c r="L81" s="2">
        <v>347</v>
      </c>
      <c r="M81" t="s">
        <v>122</v>
      </c>
      <c r="N81" t="s">
        <v>734</v>
      </c>
      <c r="O81" t="s">
        <v>731</v>
      </c>
    </row>
    <row r="82" spans="1:15" x14ac:dyDescent="0.25">
      <c r="A82" s="5">
        <v>910479691</v>
      </c>
      <c r="B82" s="5" t="str">
        <f t="shared" si="4"/>
        <v>91047969111</v>
      </c>
      <c r="C82" t="s">
        <v>273</v>
      </c>
      <c r="D82" t="s">
        <v>118</v>
      </c>
      <c r="E82">
        <v>19200754</v>
      </c>
      <c r="F82" t="s">
        <v>231</v>
      </c>
      <c r="G82" t="s">
        <v>121</v>
      </c>
      <c r="H82" s="1">
        <v>46023</v>
      </c>
      <c r="I82" s="2">
        <v>0</v>
      </c>
      <c r="J82" s="2">
        <v>347</v>
      </c>
      <c r="K82">
        <v>1</v>
      </c>
      <c r="L82" s="2">
        <v>347</v>
      </c>
      <c r="M82" t="s">
        <v>122</v>
      </c>
      <c r="N82" t="s">
        <v>734</v>
      </c>
      <c r="O82" t="s">
        <v>731</v>
      </c>
    </row>
    <row r="83" spans="1:15" x14ac:dyDescent="0.25">
      <c r="A83" s="5">
        <v>911214375</v>
      </c>
      <c r="B83" s="5" t="str">
        <f t="shared" si="4"/>
        <v>91121437511</v>
      </c>
      <c r="C83" t="s">
        <v>277</v>
      </c>
      <c r="D83" t="s">
        <v>204</v>
      </c>
      <c r="E83">
        <v>19200754</v>
      </c>
      <c r="F83" t="s">
        <v>231</v>
      </c>
      <c r="G83" t="s">
        <v>121</v>
      </c>
      <c r="H83" s="1">
        <v>46023</v>
      </c>
      <c r="I83" s="2">
        <v>0</v>
      </c>
      <c r="J83" s="2">
        <v>347</v>
      </c>
      <c r="K83">
        <v>1</v>
      </c>
      <c r="L83" s="2">
        <v>347</v>
      </c>
      <c r="M83" t="s">
        <v>122</v>
      </c>
      <c r="N83" t="s">
        <v>734</v>
      </c>
      <c r="O83" t="s">
        <v>731</v>
      </c>
    </row>
    <row r="84" spans="1:15" x14ac:dyDescent="0.25">
      <c r="A84" s="5">
        <v>911540541</v>
      </c>
      <c r="B84" s="5" t="str">
        <f t="shared" si="4"/>
        <v>91154054111</v>
      </c>
      <c r="C84" t="s">
        <v>279</v>
      </c>
      <c r="D84" t="s">
        <v>66</v>
      </c>
      <c r="E84">
        <v>8325282</v>
      </c>
      <c r="F84" t="s">
        <v>240</v>
      </c>
      <c r="G84" t="s">
        <v>121</v>
      </c>
      <c r="H84" s="1">
        <v>46023</v>
      </c>
      <c r="I84" s="2">
        <v>0</v>
      </c>
      <c r="J84" s="2">
        <v>347</v>
      </c>
      <c r="K84">
        <v>1</v>
      </c>
      <c r="L84" s="2">
        <v>347</v>
      </c>
      <c r="M84" t="s">
        <v>122</v>
      </c>
      <c r="N84" t="s">
        <v>734</v>
      </c>
      <c r="O84" t="s">
        <v>731</v>
      </c>
    </row>
    <row r="85" spans="1:15" x14ac:dyDescent="0.25">
      <c r="A85" s="5">
        <v>911761487</v>
      </c>
      <c r="B85" s="5" t="str">
        <f t="shared" si="4"/>
        <v>91176148711</v>
      </c>
      <c r="C85" t="s">
        <v>281</v>
      </c>
      <c r="D85" t="s">
        <v>46</v>
      </c>
      <c r="E85">
        <v>8244481</v>
      </c>
      <c r="F85" t="s">
        <v>177</v>
      </c>
      <c r="G85" t="s">
        <v>121</v>
      </c>
      <c r="H85" s="1">
        <v>46023</v>
      </c>
      <c r="I85" s="2">
        <v>0</v>
      </c>
      <c r="J85" s="2">
        <v>347</v>
      </c>
      <c r="K85">
        <v>1</v>
      </c>
      <c r="L85" s="2">
        <v>347</v>
      </c>
      <c r="M85" t="s">
        <v>122</v>
      </c>
      <c r="N85" t="s">
        <v>734</v>
      </c>
      <c r="O85" t="s">
        <v>731</v>
      </c>
    </row>
    <row r="86" spans="1:15" x14ac:dyDescent="0.25">
      <c r="A86" s="5">
        <v>913131528</v>
      </c>
      <c r="B86" s="5" t="str">
        <f t="shared" si="4"/>
        <v>91313152811</v>
      </c>
      <c r="C86" t="s">
        <v>291</v>
      </c>
      <c r="D86" t="s">
        <v>146</v>
      </c>
      <c r="E86">
        <v>19200754</v>
      </c>
      <c r="F86" t="s">
        <v>231</v>
      </c>
      <c r="G86" t="s">
        <v>121</v>
      </c>
      <c r="H86" s="1">
        <v>46023</v>
      </c>
      <c r="I86" s="2">
        <v>0</v>
      </c>
      <c r="J86" s="2">
        <v>347</v>
      </c>
      <c r="K86">
        <v>1</v>
      </c>
      <c r="L86" s="2">
        <v>347</v>
      </c>
      <c r="M86" t="s">
        <v>122</v>
      </c>
      <c r="N86" t="s">
        <v>734</v>
      </c>
      <c r="O86" t="s">
        <v>731</v>
      </c>
    </row>
    <row r="87" spans="1:15" x14ac:dyDescent="0.25">
      <c r="A87" s="5">
        <v>913470859</v>
      </c>
      <c r="B87" s="5" t="str">
        <f t="shared" si="4"/>
        <v>91347085911</v>
      </c>
      <c r="C87" t="s">
        <v>293</v>
      </c>
      <c r="D87" t="s">
        <v>294</v>
      </c>
      <c r="E87">
        <v>21435997</v>
      </c>
      <c r="F87" t="s">
        <v>95</v>
      </c>
      <c r="G87" t="s">
        <v>121</v>
      </c>
      <c r="H87" s="1">
        <v>46023</v>
      </c>
      <c r="I87" s="2">
        <v>0</v>
      </c>
      <c r="J87" s="2">
        <v>347</v>
      </c>
      <c r="K87">
        <v>1</v>
      </c>
      <c r="L87" s="2">
        <v>347</v>
      </c>
      <c r="M87" t="s">
        <v>122</v>
      </c>
      <c r="N87" t="s">
        <v>734</v>
      </c>
      <c r="O87" t="s">
        <v>731</v>
      </c>
    </row>
    <row r="88" spans="1:15" x14ac:dyDescent="0.25">
      <c r="A88" s="5">
        <v>914188230</v>
      </c>
      <c r="B88" s="5" t="str">
        <f t="shared" si="4"/>
        <v>91418823011</v>
      </c>
      <c r="C88" t="s">
        <v>296</v>
      </c>
      <c r="D88" t="s">
        <v>173</v>
      </c>
      <c r="E88">
        <v>21435997</v>
      </c>
      <c r="F88" t="s">
        <v>95</v>
      </c>
      <c r="G88" t="s">
        <v>121</v>
      </c>
      <c r="H88" s="1">
        <v>46023</v>
      </c>
      <c r="I88" s="2">
        <v>0</v>
      </c>
      <c r="J88" s="2">
        <v>347</v>
      </c>
      <c r="K88">
        <v>1</v>
      </c>
      <c r="L88" s="2">
        <v>347</v>
      </c>
      <c r="M88" t="s">
        <v>122</v>
      </c>
      <c r="N88" t="s">
        <v>734</v>
      </c>
      <c r="O88" t="s">
        <v>731</v>
      </c>
    </row>
    <row r="89" spans="1:15" x14ac:dyDescent="0.25">
      <c r="A89" s="5">
        <v>914374312</v>
      </c>
      <c r="B89" s="5" t="str">
        <f t="shared" si="4"/>
        <v>91437431211</v>
      </c>
      <c r="C89" t="s">
        <v>298</v>
      </c>
      <c r="D89" t="s">
        <v>118</v>
      </c>
      <c r="E89">
        <v>20003537</v>
      </c>
      <c r="F89" t="s">
        <v>120</v>
      </c>
      <c r="G89" t="s">
        <v>121</v>
      </c>
      <c r="H89" s="1">
        <v>46023</v>
      </c>
      <c r="I89" s="2">
        <v>0</v>
      </c>
      <c r="J89" s="2">
        <v>347</v>
      </c>
      <c r="K89">
        <v>1</v>
      </c>
      <c r="L89" s="2">
        <v>347</v>
      </c>
      <c r="M89" t="s">
        <v>122</v>
      </c>
      <c r="N89" t="s">
        <v>734</v>
      </c>
      <c r="O89" t="s">
        <v>731</v>
      </c>
    </row>
    <row r="90" spans="1:15" x14ac:dyDescent="0.25">
      <c r="A90" s="5">
        <v>914414427</v>
      </c>
      <c r="B90" s="5" t="str">
        <f t="shared" si="4"/>
        <v>91441442711</v>
      </c>
      <c r="C90" t="s">
        <v>304</v>
      </c>
      <c r="D90" t="s">
        <v>46</v>
      </c>
      <c r="E90">
        <v>9213293</v>
      </c>
      <c r="F90" t="s">
        <v>68</v>
      </c>
      <c r="G90" t="s">
        <v>121</v>
      </c>
      <c r="H90" s="1">
        <v>46023</v>
      </c>
      <c r="I90" s="2">
        <v>0</v>
      </c>
      <c r="J90" s="2">
        <v>347</v>
      </c>
      <c r="K90">
        <v>1</v>
      </c>
      <c r="L90" s="2">
        <v>347</v>
      </c>
      <c r="M90" t="s">
        <v>122</v>
      </c>
      <c r="N90" t="s">
        <v>734</v>
      </c>
      <c r="O90" t="s">
        <v>731</v>
      </c>
    </row>
    <row r="91" spans="1:15" x14ac:dyDescent="0.25">
      <c r="A91" s="5">
        <v>914487918</v>
      </c>
      <c r="B91" s="5" t="str">
        <f t="shared" si="4"/>
        <v>91448791811</v>
      </c>
      <c r="C91" t="s">
        <v>306</v>
      </c>
      <c r="D91" t="s">
        <v>204</v>
      </c>
      <c r="E91">
        <v>16849453</v>
      </c>
      <c r="F91" t="s">
        <v>206</v>
      </c>
      <c r="G91" t="s">
        <v>121</v>
      </c>
      <c r="H91" s="1">
        <v>46023</v>
      </c>
      <c r="I91" s="2">
        <v>0</v>
      </c>
      <c r="J91" s="2">
        <v>347</v>
      </c>
      <c r="K91">
        <v>1</v>
      </c>
      <c r="L91" s="2">
        <v>347</v>
      </c>
      <c r="M91" t="s">
        <v>122</v>
      </c>
      <c r="N91" t="s">
        <v>734</v>
      </c>
      <c r="O91" t="s">
        <v>731</v>
      </c>
    </row>
    <row r="92" spans="1:15" x14ac:dyDescent="0.25">
      <c r="A92" s="5">
        <v>914548418</v>
      </c>
      <c r="B92" s="5" t="str">
        <f t="shared" si="4"/>
        <v>91454841811</v>
      </c>
      <c r="C92" t="s">
        <v>308</v>
      </c>
      <c r="D92" t="s">
        <v>309</v>
      </c>
      <c r="E92">
        <v>19645587</v>
      </c>
      <c r="F92" t="s">
        <v>78</v>
      </c>
      <c r="G92" t="s">
        <v>121</v>
      </c>
      <c r="H92" s="1">
        <v>46023</v>
      </c>
      <c r="I92" s="2">
        <v>0</v>
      </c>
      <c r="J92" s="2">
        <v>347</v>
      </c>
      <c r="K92">
        <v>1</v>
      </c>
      <c r="L92" s="2">
        <v>347</v>
      </c>
      <c r="M92" t="s">
        <v>122</v>
      </c>
      <c r="N92" t="s">
        <v>734</v>
      </c>
      <c r="O92" t="s">
        <v>731</v>
      </c>
    </row>
    <row r="93" spans="1:15" x14ac:dyDescent="0.25">
      <c r="A93" s="5">
        <v>914644399</v>
      </c>
      <c r="B93" s="5" t="str">
        <f t="shared" si="4"/>
        <v>91464439911</v>
      </c>
      <c r="C93" t="s">
        <v>311</v>
      </c>
      <c r="D93" t="s">
        <v>46</v>
      </c>
      <c r="E93">
        <v>8405446</v>
      </c>
      <c r="F93" t="s">
        <v>313</v>
      </c>
      <c r="G93" t="s">
        <v>121</v>
      </c>
      <c r="H93" s="1">
        <v>46023</v>
      </c>
      <c r="I93" s="2">
        <v>0</v>
      </c>
      <c r="J93" s="2">
        <v>347</v>
      </c>
      <c r="K93">
        <v>1</v>
      </c>
      <c r="L93" s="2">
        <v>347</v>
      </c>
      <c r="M93" t="s">
        <v>122</v>
      </c>
      <c r="N93" t="s">
        <v>734</v>
      </c>
      <c r="O93" t="s">
        <v>731</v>
      </c>
    </row>
    <row r="94" spans="1:15" x14ac:dyDescent="0.25">
      <c r="A94" s="5">
        <v>915194475</v>
      </c>
      <c r="B94" s="5" t="str">
        <f t="shared" si="4"/>
        <v>91519447511</v>
      </c>
      <c r="C94" t="s">
        <v>319</v>
      </c>
      <c r="D94" t="s">
        <v>271</v>
      </c>
      <c r="E94">
        <v>8405446</v>
      </c>
      <c r="F94" t="s">
        <v>313</v>
      </c>
      <c r="G94" t="s">
        <v>121</v>
      </c>
      <c r="H94" s="1">
        <v>46023</v>
      </c>
      <c r="I94" s="2">
        <v>0</v>
      </c>
      <c r="J94" s="2">
        <v>347</v>
      </c>
      <c r="K94">
        <v>1</v>
      </c>
      <c r="L94" s="2">
        <v>347</v>
      </c>
      <c r="M94" t="s">
        <v>122</v>
      </c>
      <c r="N94" t="s">
        <v>734</v>
      </c>
      <c r="O94" t="s">
        <v>731</v>
      </c>
    </row>
    <row r="95" spans="1:15" x14ac:dyDescent="0.25">
      <c r="A95" s="5">
        <v>915280693</v>
      </c>
      <c r="B95" s="5" t="str">
        <f t="shared" si="4"/>
        <v>91528069311</v>
      </c>
      <c r="C95" t="s">
        <v>321</v>
      </c>
      <c r="D95" t="s">
        <v>223</v>
      </c>
      <c r="E95">
        <v>21435997</v>
      </c>
      <c r="F95" t="s">
        <v>95</v>
      </c>
      <c r="G95" t="s">
        <v>121</v>
      </c>
      <c r="H95" s="1">
        <v>46023</v>
      </c>
      <c r="I95" s="2">
        <v>0</v>
      </c>
      <c r="J95" s="2">
        <v>347</v>
      </c>
      <c r="K95">
        <v>1</v>
      </c>
      <c r="L95" s="2">
        <v>347</v>
      </c>
      <c r="M95" t="s">
        <v>122</v>
      </c>
      <c r="N95" t="s">
        <v>734</v>
      </c>
      <c r="O95" t="s">
        <v>731</v>
      </c>
    </row>
    <row r="96" spans="1:15" x14ac:dyDescent="0.25">
      <c r="A96" s="5">
        <v>915748197</v>
      </c>
      <c r="B96" s="5" t="str">
        <f t="shared" si="4"/>
        <v>91574819711</v>
      </c>
      <c r="C96" t="s">
        <v>323</v>
      </c>
      <c r="D96" t="s">
        <v>204</v>
      </c>
      <c r="E96">
        <v>20724564</v>
      </c>
      <c r="F96" t="s">
        <v>325</v>
      </c>
      <c r="G96" t="s">
        <v>121</v>
      </c>
      <c r="H96" s="1">
        <v>46023</v>
      </c>
      <c r="I96" s="2">
        <v>0</v>
      </c>
      <c r="J96" s="2">
        <v>347</v>
      </c>
      <c r="K96">
        <v>1</v>
      </c>
      <c r="L96" s="2">
        <v>347</v>
      </c>
      <c r="M96" t="s">
        <v>122</v>
      </c>
      <c r="N96" t="s">
        <v>734</v>
      </c>
      <c r="O96" t="s">
        <v>731</v>
      </c>
    </row>
    <row r="97" spans="1:15" x14ac:dyDescent="0.25">
      <c r="A97" s="5">
        <v>915909518</v>
      </c>
      <c r="B97" s="5" t="str">
        <f t="shared" si="4"/>
        <v>91590951811</v>
      </c>
      <c r="C97" t="s">
        <v>327</v>
      </c>
      <c r="D97" t="s">
        <v>46</v>
      </c>
      <c r="E97">
        <v>9213293</v>
      </c>
      <c r="F97" t="s">
        <v>68</v>
      </c>
      <c r="G97" t="s">
        <v>121</v>
      </c>
      <c r="H97" s="1">
        <v>46023</v>
      </c>
      <c r="I97" s="2">
        <v>0</v>
      </c>
      <c r="J97" s="2">
        <v>347</v>
      </c>
      <c r="K97">
        <v>1</v>
      </c>
      <c r="L97" s="2">
        <v>347</v>
      </c>
      <c r="M97" t="s">
        <v>122</v>
      </c>
      <c r="N97" t="s">
        <v>734</v>
      </c>
      <c r="O97" t="s">
        <v>731</v>
      </c>
    </row>
    <row r="98" spans="1:15" x14ac:dyDescent="0.25">
      <c r="A98" s="5">
        <v>916076903</v>
      </c>
      <c r="B98" s="5" t="str">
        <f t="shared" si="4"/>
        <v>91607690311</v>
      </c>
      <c r="C98" t="s">
        <v>329</v>
      </c>
      <c r="D98" t="s">
        <v>204</v>
      </c>
      <c r="E98">
        <v>16849453</v>
      </c>
      <c r="F98" t="s">
        <v>206</v>
      </c>
      <c r="G98" t="s">
        <v>121</v>
      </c>
      <c r="H98" s="1">
        <v>46023</v>
      </c>
      <c r="I98" s="2">
        <v>0</v>
      </c>
      <c r="J98" s="2">
        <v>347</v>
      </c>
      <c r="K98">
        <v>1</v>
      </c>
      <c r="L98" s="2">
        <v>347</v>
      </c>
      <c r="M98" t="s">
        <v>122</v>
      </c>
      <c r="N98" t="s">
        <v>734</v>
      </c>
      <c r="O98" t="s">
        <v>731</v>
      </c>
    </row>
    <row r="99" spans="1:15" x14ac:dyDescent="0.25">
      <c r="A99" s="5">
        <v>916611937</v>
      </c>
      <c r="B99" s="5" t="str">
        <f t="shared" si="4"/>
        <v>91661193711</v>
      </c>
      <c r="C99" t="s">
        <v>331</v>
      </c>
      <c r="D99" t="s">
        <v>86</v>
      </c>
      <c r="E99">
        <v>18142208</v>
      </c>
      <c r="F99" t="s">
        <v>88</v>
      </c>
      <c r="G99" t="s">
        <v>121</v>
      </c>
      <c r="H99" s="1">
        <v>46023</v>
      </c>
      <c r="I99" s="2">
        <v>0</v>
      </c>
      <c r="J99" s="2">
        <v>347</v>
      </c>
      <c r="K99">
        <v>1</v>
      </c>
      <c r="L99" s="2">
        <v>347</v>
      </c>
      <c r="M99" t="s">
        <v>122</v>
      </c>
      <c r="N99" t="s">
        <v>734</v>
      </c>
      <c r="O99" t="s">
        <v>731</v>
      </c>
    </row>
    <row r="100" spans="1:15" x14ac:dyDescent="0.25">
      <c r="A100" s="5">
        <v>916967924</v>
      </c>
      <c r="B100" s="5" t="str">
        <f t="shared" si="4"/>
        <v>91696792411</v>
      </c>
      <c r="C100" t="s">
        <v>335</v>
      </c>
      <c r="D100" t="s">
        <v>66</v>
      </c>
      <c r="E100">
        <v>19279958</v>
      </c>
      <c r="F100" t="s">
        <v>225</v>
      </c>
      <c r="G100" t="s">
        <v>121</v>
      </c>
      <c r="H100" s="1">
        <v>46023</v>
      </c>
      <c r="I100" s="2">
        <v>0</v>
      </c>
      <c r="J100" s="2">
        <v>347</v>
      </c>
      <c r="K100">
        <v>1</v>
      </c>
      <c r="L100" s="2">
        <v>347</v>
      </c>
      <c r="M100" t="s">
        <v>122</v>
      </c>
      <c r="N100" t="s">
        <v>734</v>
      </c>
      <c r="O100" t="s">
        <v>731</v>
      </c>
    </row>
    <row r="101" spans="1:15" x14ac:dyDescent="0.25">
      <c r="A101" s="5">
        <v>917471347</v>
      </c>
      <c r="B101" s="5" t="str">
        <f t="shared" si="4"/>
        <v>91747134711</v>
      </c>
      <c r="C101" t="s">
        <v>337</v>
      </c>
      <c r="D101" t="s">
        <v>223</v>
      </c>
      <c r="E101">
        <v>21435997</v>
      </c>
      <c r="F101" t="s">
        <v>95</v>
      </c>
      <c r="G101" t="s">
        <v>121</v>
      </c>
      <c r="H101" s="1">
        <v>46023</v>
      </c>
      <c r="I101" s="2">
        <v>0</v>
      </c>
      <c r="J101" s="2">
        <v>347</v>
      </c>
      <c r="K101">
        <v>1</v>
      </c>
      <c r="L101" s="2">
        <v>347</v>
      </c>
      <c r="M101" t="s">
        <v>122</v>
      </c>
      <c r="N101" t="s">
        <v>734</v>
      </c>
      <c r="O101" t="s">
        <v>731</v>
      </c>
    </row>
    <row r="102" spans="1:15" x14ac:dyDescent="0.25">
      <c r="A102" s="5">
        <v>917929060</v>
      </c>
      <c r="B102" s="5" t="str">
        <f t="shared" si="4"/>
        <v>91792906011</v>
      </c>
      <c r="C102" t="s">
        <v>341</v>
      </c>
      <c r="D102" t="s">
        <v>204</v>
      </c>
      <c r="E102">
        <v>9213293</v>
      </c>
      <c r="F102" t="s">
        <v>68</v>
      </c>
      <c r="G102" t="s">
        <v>121</v>
      </c>
      <c r="H102" s="1">
        <v>46023</v>
      </c>
      <c r="I102" s="2">
        <v>0</v>
      </c>
      <c r="J102" s="2">
        <v>347</v>
      </c>
      <c r="K102">
        <v>1</v>
      </c>
      <c r="L102" s="2">
        <v>347</v>
      </c>
      <c r="M102" t="s">
        <v>122</v>
      </c>
      <c r="N102" t="s">
        <v>734</v>
      </c>
      <c r="O102" t="s">
        <v>731</v>
      </c>
    </row>
    <row r="103" spans="1:15" x14ac:dyDescent="0.25">
      <c r="A103" s="5">
        <v>919263664</v>
      </c>
      <c r="B103" s="5" t="str">
        <f t="shared" si="4"/>
        <v>91926366411</v>
      </c>
      <c r="C103" t="s">
        <v>343</v>
      </c>
      <c r="D103" t="s">
        <v>86</v>
      </c>
      <c r="E103">
        <v>21435997</v>
      </c>
      <c r="F103" t="s">
        <v>95</v>
      </c>
      <c r="G103" t="s">
        <v>121</v>
      </c>
      <c r="H103" s="1">
        <v>46023</v>
      </c>
      <c r="I103" s="2">
        <v>0</v>
      </c>
      <c r="J103" s="2">
        <v>347</v>
      </c>
      <c r="K103">
        <v>1</v>
      </c>
      <c r="L103" s="2">
        <v>347</v>
      </c>
      <c r="M103" t="s">
        <v>122</v>
      </c>
      <c r="N103" t="s">
        <v>734</v>
      </c>
      <c r="O103" t="s">
        <v>731</v>
      </c>
    </row>
    <row r="104" spans="1:15" x14ac:dyDescent="0.25">
      <c r="A104" s="5">
        <v>919848005</v>
      </c>
      <c r="B104" s="5" t="str">
        <f t="shared" si="4"/>
        <v>91984800511</v>
      </c>
      <c r="C104" t="s">
        <v>345</v>
      </c>
      <c r="D104" t="s">
        <v>46</v>
      </c>
      <c r="E104">
        <v>8244481</v>
      </c>
      <c r="F104" t="s">
        <v>177</v>
      </c>
      <c r="G104" t="s">
        <v>121</v>
      </c>
      <c r="H104" s="1">
        <v>46023</v>
      </c>
      <c r="I104" s="2">
        <v>0</v>
      </c>
      <c r="J104" s="2">
        <v>347</v>
      </c>
      <c r="K104">
        <v>1</v>
      </c>
      <c r="L104" s="2">
        <v>347</v>
      </c>
      <c r="M104" t="s">
        <v>122</v>
      </c>
      <c r="N104" t="s">
        <v>734</v>
      </c>
      <c r="O104" t="s">
        <v>731</v>
      </c>
    </row>
    <row r="105" spans="1:15" x14ac:dyDescent="0.25">
      <c r="A105" s="5">
        <v>920616139</v>
      </c>
      <c r="B105" s="5" t="str">
        <f t="shared" ref="B105:B136" si="5">CONCATENATE(A105,11)</f>
        <v>92061613911</v>
      </c>
      <c r="C105" t="s">
        <v>353</v>
      </c>
      <c r="D105" t="s">
        <v>86</v>
      </c>
      <c r="E105">
        <v>18142208</v>
      </c>
      <c r="F105" t="s">
        <v>88</v>
      </c>
      <c r="G105" t="s">
        <v>121</v>
      </c>
      <c r="H105" s="1">
        <v>46023</v>
      </c>
      <c r="I105" s="2">
        <v>0</v>
      </c>
      <c r="J105" s="2">
        <v>347</v>
      </c>
      <c r="K105">
        <v>1</v>
      </c>
      <c r="L105" s="2">
        <v>347</v>
      </c>
      <c r="M105" t="s">
        <v>122</v>
      </c>
      <c r="N105" t="s">
        <v>734</v>
      </c>
      <c r="O105" t="s">
        <v>731</v>
      </c>
    </row>
    <row r="106" spans="1:15" x14ac:dyDescent="0.25">
      <c r="A106" s="5">
        <v>921081744</v>
      </c>
      <c r="B106" s="5" t="str">
        <f t="shared" si="5"/>
        <v>92108174411</v>
      </c>
      <c r="C106" t="s">
        <v>359</v>
      </c>
      <c r="D106" t="s">
        <v>86</v>
      </c>
      <c r="E106">
        <v>21564088</v>
      </c>
      <c r="F106" t="s">
        <v>220</v>
      </c>
      <c r="G106" t="s">
        <v>121</v>
      </c>
      <c r="H106" s="1">
        <v>46023</v>
      </c>
      <c r="I106" s="2">
        <v>0</v>
      </c>
      <c r="J106" s="2">
        <v>347</v>
      </c>
      <c r="K106">
        <v>1</v>
      </c>
      <c r="L106" s="2">
        <v>347</v>
      </c>
      <c r="M106" t="s">
        <v>122</v>
      </c>
      <c r="N106" t="s">
        <v>734</v>
      </c>
      <c r="O106" t="s">
        <v>731</v>
      </c>
    </row>
    <row r="107" spans="1:15" x14ac:dyDescent="0.25">
      <c r="A107" s="5">
        <v>921982102</v>
      </c>
      <c r="B107" s="5" t="str">
        <f t="shared" si="5"/>
        <v>92198210211</v>
      </c>
      <c r="C107" t="s">
        <v>361</v>
      </c>
      <c r="D107" t="s">
        <v>46</v>
      </c>
      <c r="E107">
        <v>21435997</v>
      </c>
      <c r="F107" t="s">
        <v>95</v>
      </c>
      <c r="G107" t="s">
        <v>121</v>
      </c>
      <c r="H107" s="1">
        <v>46023</v>
      </c>
      <c r="I107" s="2">
        <v>0</v>
      </c>
      <c r="J107" s="2">
        <v>347</v>
      </c>
      <c r="K107">
        <v>1</v>
      </c>
      <c r="L107" s="2">
        <v>347</v>
      </c>
      <c r="M107" t="s">
        <v>122</v>
      </c>
      <c r="N107" t="s">
        <v>734</v>
      </c>
      <c r="O107" t="s">
        <v>731</v>
      </c>
    </row>
    <row r="108" spans="1:15" x14ac:dyDescent="0.25">
      <c r="A108" s="5">
        <v>924573691</v>
      </c>
      <c r="B108" s="5" t="str">
        <f t="shared" si="5"/>
        <v>92457369111</v>
      </c>
      <c r="C108" t="s">
        <v>371</v>
      </c>
      <c r="D108" t="s">
        <v>46</v>
      </c>
      <c r="E108">
        <v>8244481</v>
      </c>
      <c r="F108" t="s">
        <v>177</v>
      </c>
      <c r="G108" t="s">
        <v>121</v>
      </c>
      <c r="H108" s="1">
        <v>46023</v>
      </c>
      <c r="I108" s="2">
        <v>0</v>
      </c>
      <c r="J108" s="2">
        <v>347</v>
      </c>
      <c r="K108">
        <v>1</v>
      </c>
      <c r="L108" s="2">
        <v>347</v>
      </c>
      <c r="M108" t="s">
        <v>122</v>
      </c>
      <c r="N108" t="s">
        <v>734</v>
      </c>
      <c r="O108" t="s">
        <v>731</v>
      </c>
    </row>
    <row r="109" spans="1:15" x14ac:dyDescent="0.25">
      <c r="A109" s="5">
        <v>925189893</v>
      </c>
      <c r="B109" s="5" t="str">
        <f t="shared" si="5"/>
        <v>92518989311</v>
      </c>
      <c r="C109" t="s">
        <v>375</v>
      </c>
      <c r="D109" t="s">
        <v>118</v>
      </c>
      <c r="E109">
        <v>21435997</v>
      </c>
      <c r="F109" t="s">
        <v>95</v>
      </c>
      <c r="G109" t="s">
        <v>121</v>
      </c>
      <c r="H109" s="1">
        <v>46023</v>
      </c>
      <c r="I109" s="2">
        <v>0</v>
      </c>
      <c r="J109" s="2">
        <v>347</v>
      </c>
      <c r="K109">
        <v>1</v>
      </c>
      <c r="L109" s="2">
        <v>347</v>
      </c>
      <c r="M109" t="s">
        <v>122</v>
      </c>
      <c r="N109" t="s">
        <v>734</v>
      </c>
      <c r="O109" t="s">
        <v>731</v>
      </c>
    </row>
    <row r="110" spans="1:15" x14ac:dyDescent="0.25">
      <c r="A110" s="5">
        <v>925781093</v>
      </c>
      <c r="B110" s="5" t="str">
        <f t="shared" si="5"/>
        <v>92578109311</v>
      </c>
      <c r="C110" t="s">
        <v>377</v>
      </c>
      <c r="D110" t="s">
        <v>46</v>
      </c>
      <c r="E110">
        <v>8325282</v>
      </c>
      <c r="F110" t="s">
        <v>240</v>
      </c>
      <c r="G110" t="s">
        <v>121</v>
      </c>
      <c r="H110" s="1">
        <v>46023</v>
      </c>
      <c r="I110" s="2">
        <v>0</v>
      </c>
      <c r="J110" s="2">
        <v>347</v>
      </c>
      <c r="K110">
        <v>1</v>
      </c>
      <c r="L110" s="2">
        <v>347</v>
      </c>
      <c r="M110" t="s">
        <v>122</v>
      </c>
      <c r="N110" t="s">
        <v>734</v>
      </c>
      <c r="O110" t="s">
        <v>731</v>
      </c>
    </row>
    <row r="111" spans="1:15" x14ac:dyDescent="0.25">
      <c r="A111" s="5">
        <v>925982271</v>
      </c>
      <c r="B111" s="5" t="str">
        <f t="shared" si="5"/>
        <v>92598227111</v>
      </c>
      <c r="C111" t="s">
        <v>379</v>
      </c>
      <c r="D111" t="s">
        <v>204</v>
      </c>
      <c r="E111">
        <v>16849453</v>
      </c>
      <c r="F111" t="s">
        <v>206</v>
      </c>
      <c r="G111" t="s">
        <v>121</v>
      </c>
      <c r="H111" s="1">
        <v>46023</v>
      </c>
      <c r="I111" s="2">
        <v>0</v>
      </c>
      <c r="J111" s="2">
        <v>347</v>
      </c>
      <c r="K111">
        <v>1</v>
      </c>
      <c r="L111" s="2">
        <v>347</v>
      </c>
      <c r="M111" t="s">
        <v>122</v>
      </c>
      <c r="N111" t="s">
        <v>734</v>
      </c>
      <c r="O111" t="s">
        <v>731</v>
      </c>
    </row>
    <row r="112" spans="1:15" x14ac:dyDescent="0.25">
      <c r="A112" s="5">
        <v>925995823</v>
      </c>
      <c r="B112" s="5" t="str">
        <f t="shared" si="5"/>
        <v>92599582311</v>
      </c>
      <c r="C112" t="s">
        <v>381</v>
      </c>
      <c r="D112" t="s">
        <v>196</v>
      </c>
      <c r="E112">
        <v>16865615</v>
      </c>
      <c r="F112" t="s">
        <v>198</v>
      </c>
      <c r="G112" t="s">
        <v>121</v>
      </c>
      <c r="H112" s="1">
        <v>46023</v>
      </c>
      <c r="I112" s="2">
        <v>0</v>
      </c>
      <c r="J112" s="2">
        <v>347</v>
      </c>
      <c r="K112">
        <v>1</v>
      </c>
      <c r="L112" s="2">
        <v>347</v>
      </c>
      <c r="M112" t="s">
        <v>122</v>
      </c>
      <c r="N112" t="s">
        <v>734</v>
      </c>
      <c r="O112" t="s">
        <v>731</v>
      </c>
    </row>
    <row r="113" spans="1:15" x14ac:dyDescent="0.25">
      <c r="A113" s="5">
        <v>926295813</v>
      </c>
      <c r="B113" s="5" t="str">
        <f t="shared" si="5"/>
        <v>92629581311</v>
      </c>
      <c r="C113" t="s">
        <v>385</v>
      </c>
      <c r="D113" t="s">
        <v>386</v>
      </c>
      <c r="E113">
        <v>21435997</v>
      </c>
      <c r="F113" t="s">
        <v>95</v>
      </c>
      <c r="G113" t="s">
        <v>121</v>
      </c>
      <c r="H113" s="1">
        <v>46023</v>
      </c>
      <c r="I113" s="2">
        <v>0</v>
      </c>
      <c r="J113" s="2">
        <v>347</v>
      </c>
      <c r="K113">
        <v>1</v>
      </c>
      <c r="L113" s="2">
        <v>347</v>
      </c>
      <c r="M113" t="s">
        <v>122</v>
      </c>
      <c r="N113" t="s">
        <v>734</v>
      </c>
      <c r="O113" t="s">
        <v>731</v>
      </c>
    </row>
    <row r="114" spans="1:15" x14ac:dyDescent="0.25">
      <c r="A114" s="5">
        <v>926739998</v>
      </c>
      <c r="B114" s="5" t="str">
        <f t="shared" si="5"/>
        <v>92673999811</v>
      </c>
      <c r="C114" t="s">
        <v>394</v>
      </c>
      <c r="D114" t="s">
        <v>46</v>
      </c>
      <c r="E114">
        <v>16228684</v>
      </c>
      <c r="F114" t="s">
        <v>184</v>
      </c>
      <c r="G114" t="s">
        <v>121</v>
      </c>
      <c r="H114" s="1">
        <v>46023</v>
      </c>
      <c r="I114" s="2">
        <v>0</v>
      </c>
      <c r="J114" s="2">
        <v>347</v>
      </c>
      <c r="K114">
        <v>1</v>
      </c>
      <c r="L114" s="2">
        <v>347</v>
      </c>
      <c r="M114" t="s">
        <v>122</v>
      </c>
      <c r="N114" t="s">
        <v>734</v>
      </c>
      <c r="O114" t="s">
        <v>731</v>
      </c>
    </row>
    <row r="115" spans="1:15" x14ac:dyDescent="0.25">
      <c r="A115" s="5">
        <v>927130361</v>
      </c>
      <c r="B115" s="5" t="str">
        <f t="shared" si="5"/>
        <v>92713036111</v>
      </c>
      <c r="C115" t="s">
        <v>396</v>
      </c>
      <c r="D115" t="s">
        <v>271</v>
      </c>
      <c r="E115">
        <v>8405446</v>
      </c>
      <c r="F115" t="s">
        <v>313</v>
      </c>
      <c r="G115" t="s">
        <v>121</v>
      </c>
      <c r="H115" s="1">
        <v>46023</v>
      </c>
      <c r="I115" s="2">
        <v>0</v>
      </c>
      <c r="J115" s="2">
        <v>347</v>
      </c>
      <c r="K115">
        <v>1</v>
      </c>
      <c r="L115" s="2">
        <v>347</v>
      </c>
      <c r="M115" t="s">
        <v>122</v>
      </c>
      <c r="N115" t="s">
        <v>734</v>
      </c>
      <c r="O115" t="s">
        <v>731</v>
      </c>
    </row>
    <row r="116" spans="1:15" x14ac:dyDescent="0.25">
      <c r="A116" s="5">
        <v>927632891</v>
      </c>
      <c r="B116" s="5" t="str">
        <f t="shared" si="5"/>
        <v>92763289111</v>
      </c>
      <c r="C116" t="s">
        <v>400</v>
      </c>
      <c r="D116" t="s">
        <v>204</v>
      </c>
      <c r="E116">
        <v>16849453</v>
      </c>
      <c r="F116" t="s">
        <v>206</v>
      </c>
      <c r="G116" t="s">
        <v>121</v>
      </c>
      <c r="H116" s="1">
        <v>46023</v>
      </c>
      <c r="I116" s="2">
        <v>0</v>
      </c>
      <c r="J116" s="2">
        <v>347</v>
      </c>
      <c r="K116">
        <v>1</v>
      </c>
      <c r="L116" s="2">
        <v>347</v>
      </c>
      <c r="M116" t="s">
        <v>122</v>
      </c>
      <c r="N116" t="s">
        <v>734</v>
      </c>
      <c r="O116" t="s">
        <v>731</v>
      </c>
    </row>
    <row r="117" spans="1:15" x14ac:dyDescent="0.25">
      <c r="A117" s="5">
        <v>927844077</v>
      </c>
      <c r="B117" s="5" t="str">
        <f t="shared" si="5"/>
        <v>92784407711</v>
      </c>
      <c r="C117" t="s">
        <v>402</v>
      </c>
      <c r="D117" t="s">
        <v>201</v>
      </c>
      <c r="E117">
        <v>21435997</v>
      </c>
      <c r="F117" t="s">
        <v>95</v>
      </c>
      <c r="G117" t="s">
        <v>121</v>
      </c>
      <c r="H117" s="1">
        <v>46023</v>
      </c>
      <c r="I117" s="2">
        <v>0</v>
      </c>
      <c r="J117" s="2">
        <v>347</v>
      </c>
      <c r="K117">
        <v>1</v>
      </c>
      <c r="L117" s="2">
        <v>347</v>
      </c>
      <c r="M117" t="s">
        <v>122</v>
      </c>
      <c r="N117" t="s">
        <v>734</v>
      </c>
      <c r="O117" t="s">
        <v>731</v>
      </c>
    </row>
    <row r="118" spans="1:15" x14ac:dyDescent="0.25">
      <c r="A118" s="5">
        <v>928198692</v>
      </c>
      <c r="B118" s="5" t="str">
        <f t="shared" si="5"/>
        <v>92819869211</v>
      </c>
      <c r="C118" t="s">
        <v>406</v>
      </c>
      <c r="D118" t="s">
        <v>386</v>
      </c>
      <c r="E118">
        <v>21435997</v>
      </c>
      <c r="F118" t="s">
        <v>95</v>
      </c>
      <c r="G118" t="s">
        <v>121</v>
      </c>
      <c r="H118" s="1">
        <v>46023</v>
      </c>
      <c r="I118" s="2">
        <v>0</v>
      </c>
      <c r="J118" s="2">
        <v>347</v>
      </c>
      <c r="K118">
        <v>1</v>
      </c>
      <c r="L118" s="2">
        <v>347</v>
      </c>
      <c r="M118" t="s">
        <v>122</v>
      </c>
      <c r="N118" t="s">
        <v>734</v>
      </c>
      <c r="O118" t="s">
        <v>731</v>
      </c>
    </row>
    <row r="119" spans="1:15" x14ac:dyDescent="0.25">
      <c r="A119" s="5">
        <v>928559266</v>
      </c>
      <c r="B119" s="5" t="str">
        <f t="shared" si="5"/>
        <v>92855926611</v>
      </c>
      <c r="C119" t="s">
        <v>408</v>
      </c>
      <c r="D119" t="s">
        <v>46</v>
      </c>
      <c r="E119">
        <v>8244481</v>
      </c>
      <c r="F119" t="s">
        <v>177</v>
      </c>
      <c r="G119" t="s">
        <v>121</v>
      </c>
      <c r="H119" s="1">
        <v>46023</v>
      </c>
      <c r="I119" s="2">
        <v>0</v>
      </c>
      <c r="J119" s="2">
        <v>347</v>
      </c>
      <c r="K119">
        <v>1</v>
      </c>
      <c r="L119" s="2">
        <v>347</v>
      </c>
      <c r="M119" t="s">
        <v>122</v>
      </c>
      <c r="N119" t="s">
        <v>734</v>
      </c>
      <c r="O119" t="s">
        <v>731</v>
      </c>
    </row>
    <row r="120" spans="1:15" x14ac:dyDescent="0.25">
      <c r="A120" s="5">
        <v>928754393</v>
      </c>
      <c r="B120" s="5" t="str">
        <f t="shared" si="5"/>
        <v>92875439311</v>
      </c>
      <c r="C120" t="s">
        <v>410</v>
      </c>
      <c r="D120" t="s">
        <v>66</v>
      </c>
      <c r="E120">
        <v>18754354</v>
      </c>
      <c r="F120" t="s">
        <v>247</v>
      </c>
      <c r="G120" t="s">
        <v>121</v>
      </c>
      <c r="H120" s="1">
        <v>46023</v>
      </c>
      <c r="I120" s="2">
        <v>0</v>
      </c>
      <c r="J120" s="2">
        <v>347</v>
      </c>
      <c r="K120">
        <v>1</v>
      </c>
      <c r="L120" s="2">
        <v>347</v>
      </c>
      <c r="M120" t="s">
        <v>122</v>
      </c>
      <c r="N120" t="s">
        <v>734</v>
      </c>
      <c r="O120" t="s">
        <v>731</v>
      </c>
    </row>
    <row r="121" spans="1:15" x14ac:dyDescent="0.25">
      <c r="A121" s="5">
        <v>929823819</v>
      </c>
      <c r="B121" s="5" t="str">
        <f t="shared" si="5"/>
        <v>92982381911</v>
      </c>
      <c r="C121" t="s">
        <v>416</v>
      </c>
      <c r="D121" t="s">
        <v>46</v>
      </c>
      <c r="E121">
        <v>19396223</v>
      </c>
      <c r="F121" t="s">
        <v>210</v>
      </c>
      <c r="G121" t="s">
        <v>121</v>
      </c>
      <c r="H121" s="1">
        <v>46023</v>
      </c>
      <c r="I121" s="2">
        <v>0</v>
      </c>
      <c r="J121" s="2">
        <v>347</v>
      </c>
      <c r="K121">
        <v>1</v>
      </c>
      <c r="L121" s="2">
        <v>347</v>
      </c>
      <c r="M121" t="s">
        <v>122</v>
      </c>
      <c r="N121" t="s">
        <v>734</v>
      </c>
      <c r="O121" t="s">
        <v>731</v>
      </c>
    </row>
    <row r="122" spans="1:15" x14ac:dyDescent="0.25">
      <c r="A122" s="5">
        <v>930179026</v>
      </c>
      <c r="B122" s="5" t="str">
        <f t="shared" si="5"/>
        <v>93017902611</v>
      </c>
      <c r="C122" t="s">
        <v>418</v>
      </c>
      <c r="D122" t="s">
        <v>196</v>
      </c>
      <c r="E122">
        <v>16865615</v>
      </c>
      <c r="F122" t="s">
        <v>198</v>
      </c>
      <c r="G122" t="s">
        <v>121</v>
      </c>
      <c r="H122" s="1">
        <v>46023</v>
      </c>
      <c r="I122" s="2">
        <v>0</v>
      </c>
      <c r="J122" s="2">
        <v>347</v>
      </c>
      <c r="K122">
        <v>1</v>
      </c>
      <c r="L122" s="2">
        <v>347</v>
      </c>
      <c r="M122" t="s">
        <v>122</v>
      </c>
      <c r="N122" t="s">
        <v>734</v>
      </c>
      <c r="O122" t="s">
        <v>731</v>
      </c>
    </row>
    <row r="123" spans="1:15" x14ac:dyDescent="0.25">
      <c r="A123" s="5">
        <v>930773109</v>
      </c>
      <c r="B123" s="5" t="str">
        <f t="shared" si="5"/>
        <v>93077310911</v>
      </c>
      <c r="C123" t="s">
        <v>420</v>
      </c>
      <c r="D123" t="s">
        <v>118</v>
      </c>
      <c r="E123">
        <v>21435997</v>
      </c>
      <c r="F123" t="s">
        <v>95</v>
      </c>
      <c r="G123" t="s">
        <v>121</v>
      </c>
      <c r="H123" s="1">
        <v>46023</v>
      </c>
      <c r="I123" s="2">
        <v>0</v>
      </c>
      <c r="J123" s="2">
        <v>347</v>
      </c>
      <c r="K123">
        <v>1</v>
      </c>
      <c r="L123" s="2">
        <v>347</v>
      </c>
      <c r="M123" t="s">
        <v>122</v>
      </c>
      <c r="N123" t="s">
        <v>734</v>
      </c>
      <c r="O123" t="s">
        <v>731</v>
      </c>
    </row>
    <row r="124" spans="1:15" x14ac:dyDescent="0.25">
      <c r="A124" s="5">
        <v>932826929</v>
      </c>
      <c r="B124" s="5" t="str">
        <f t="shared" si="5"/>
        <v>93282692911</v>
      </c>
      <c r="C124" t="s">
        <v>426</v>
      </c>
      <c r="D124" t="s">
        <v>118</v>
      </c>
      <c r="E124">
        <v>20003537</v>
      </c>
      <c r="F124" t="s">
        <v>120</v>
      </c>
      <c r="G124" t="s">
        <v>121</v>
      </c>
      <c r="H124" s="1">
        <v>46023</v>
      </c>
      <c r="I124" s="2">
        <v>0</v>
      </c>
      <c r="J124" s="2">
        <v>347</v>
      </c>
      <c r="K124">
        <v>1</v>
      </c>
      <c r="L124" s="2">
        <v>347</v>
      </c>
      <c r="M124" t="s">
        <v>122</v>
      </c>
      <c r="N124" t="s">
        <v>734</v>
      </c>
      <c r="O124" t="s">
        <v>731</v>
      </c>
    </row>
    <row r="125" spans="1:15" x14ac:dyDescent="0.25">
      <c r="A125" s="5">
        <v>934299868</v>
      </c>
      <c r="B125" s="5" t="str">
        <f t="shared" si="5"/>
        <v>93429986811</v>
      </c>
      <c r="C125" t="s">
        <v>428</v>
      </c>
      <c r="D125" t="s">
        <v>86</v>
      </c>
      <c r="E125">
        <v>18142208</v>
      </c>
      <c r="F125" t="s">
        <v>88</v>
      </c>
      <c r="G125" t="s">
        <v>121</v>
      </c>
      <c r="H125" s="1">
        <v>46023</v>
      </c>
      <c r="I125" s="2">
        <v>0</v>
      </c>
      <c r="J125" s="2">
        <v>347</v>
      </c>
      <c r="K125">
        <v>1</v>
      </c>
      <c r="L125" s="2">
        <v>347</v>
      </c>
      <c r="M125" t="s">
        <v>122</v>
      </c>
      <c r="N125" t="s">
        <v>734</v>
      </c>
      <c r="O125" t="s">
        <v>731</v>
      </c>
    </row>
    <row r="126" spans="1:15" x14ac:dyDescent="0.25">
      <c r="A126" s="5">
        <v>934930012</v>
      </c>
      <c r="B126" s="5" t="str">
        <f t="shared" si="5"/>
        <v>93493001211</v>
      </c>
      <c r="C126" t="s">
        <v>430</v>
      </c>
      <c r="D126" t="s">
        <v>46</v>
      </c>
      <c r="E126">
        <v>9213293</v>
      </c>
      <c r="F126" t="s">
        <v>68</v>
      </c>
      <c r="G126" t="s">
        <v>121</v>
      </c>
      <c r="H126" s="1">
        <v>46023</v>
      </c>
      <c r="I126" s="2">
        <v>0</v>
      </c>
      <c r="J126" s="2">
        <v>347</v>
      </c>
      <c r="K126">
        <v>1</v>
      </c>
      <c r="L126" s="2">
        <v>347</v>
      </c>
      <c r="M126" t="s">
        <v>122</v>
      </c>
      <c r="N126" t="s">
        <v>734</v>
      </c>
      <c r="O126" t="s">
        <v>731</v>
      </c>
    </row>
    <row r="127" spans="1:15" x14ac:dyDescent="0.25">
      <c r="A127" s="5">
        <v>935960267</v>
      </c>
      <c r="B127" s="5" t="str">
        <f t="shared" si="5"/>
        <v>93596026711</v>
      </c>
      <c r="C127" t="s">
        <v>436</v>
      </c>
      <c r="D127" t="s">
        <v>196</v>
      </c>
      <c r="E127">
        <v>6634327</v>
      </c>
      <c r="F127" t="s">
        <v>252</v>
      </c>
      <c r="G127" t="s">
        <v>121</v>
      </c>
      <c r="H127" s="1">
        <v>46023</v>
      </c>
      <c r="I127" s="2">
        <v>0</v>
      </c>
      <c r="J127" s="2">
        <v>347</v>
      </c>
      <c r="K127">
        <v>1</v>
      </c>
      <c r="L127" s="2">
        <v>347</v>
      </c>
      <c r="M127" t="s">
        <v>122</v>
      </c>
      <c r="N127" t="s">
        <v>734</v>
      </c>
      <c r="O127" t="s">
        <v>731</v>
      </c>
    </row>
    <row r="128" spans="1:15" x14ac:dyDescent="0.25">
      <c r="A128" s="5">
        <v>937147240</v>
      </c>
      <c r="B128" s="5" t="str">
        <f t="shared" si="5"/>
        <v>93714724011</v>
      </c>
      <c r="C128" t="s">
        <v>444</v>
      </c>
      <c r="D128" t="s">
        <v>46</v>
      </c>
      <c r="E128">
        <v>8244481</v>
      </c>
      <c r="F128" t="s">
        <v>177</v>
      </c>
      <c r="G128" t="s">
        <v>121</v>
      </c>
      <c r="H128" s="1">
        <v>46023</v>
      </c>
      <c r="I128" s="2">
        <v>0</v>
      </c>
      <c r="J128" s="2">
        <v>347</v>
      </c>
      <c r="K128">
        <v>1</v>
      </c>
      <c r="L128" s="2">
        <v>347</v>
      </c>
      <c r="M128" t="s">
        <v>122</v>
      </c>
      <c r="N128" t="s">
        <v>734</v>
      </c>
      <c r="O128" t="s">
        <v>731</v>
      </c>
    </row>
    <row r="129" spans="1:15" x14ac:dyDescent="0.25">
      <c r="A129" s="5">
        <v>937444625</v>
      </c>
      <c r="B129" s="5" t="str">
        <f t="shared" si="5"/>
        <v>93744462511</v>
      </c>
      <c r="C129" t="s">
        <v>446</v>
      </c>
      <c r="D129" t="s">
        <v>86</v>
      </c>
      <c r="E129">
        <v>21435997</v>
      </c>
      <c r="F129" t="s">
        <v>95</v>
      </c>
      <c r="G129" t="s">
        <v>121</v>
      </c>
      <c r="H129" s="1">
        <v>46023</v>
      </c>
      <c r="I129" s="2">
        <v>0</v>
      </c>
      <c r="J129" s="2">
        <v>347</v>
      </c>
      <c r="K129">
        <v>1</v>
      </c>
      <c r="L129" s="2">
        <v>347</v>
      </c>
      <c r="M129" t="s">
        <v>122</v>
      </c>
      <c r="N129" t="s">
        <v>734</v>
      </c>
      <c r="O129" t="s">
        <v>731</v>
      </c>
    </row>
    <row r="130" spans="1:15" x14ac:dyDescent="0.25">
      <c r="A130" s="5">
        <v>938019670</v>
      </c>
      <c r="B130" s="5" t="str">
        <f t="shared" si="5"/>
        <v>93801967011</v>
      </c>
      <c r="C130" t="s">
        <v>448</v>
      </c>
      <c r="D130" t="s">
        <v>86</v>
      </c>
      <c r="E130">
        <v>18142208</v>
      </c>
      <c r="F130" t="s">
        <v>88</v>
      </c>
      <c r="G130" t="s">
        <v>121</v>
      </c>
      <c r="H130" s="1">
        <v>46023</v>
      </c>
      <c r="I130" s="2">
        <v>0</v>
      </c>
      <c r="J130" s="2">
        <v>347</v>
      </c>
      <c r="K130">
        <v>1</v>
      </c>
      <c r="L130" s="2">
        <v>347</v>
      </c>
      <c r="M130" t="s">
        <v>122</v>
      </c>
      <c r="N130" t="s">
        <v>734</v>
      </c>
      <c r="O130" t="s">
        <v>731</v>
      </c>
    </row>
    <row r="131" spans="1:15" x14ac:dyDescent="0.25">
      <c r="A131" s="5">
        <v>938042900</v>
      </c>
      <c r="B131" s="5" t="str">
        <f t="shared" si="5"/>
        <v>93804290011</v>
      </c>
      <c r="C131" t="s">
        <v>450</v>
      </c>
      <c r="D131" t="s">
        <v>271</v>
      </c>
      <c r="E131">
        <v>21435997</v>
      </c>
      <c r="F131" t="s">
        <v>95</v>
      </c>
      <c r="G131" t="s">
        <v>121</v>
      </c>
      <c r="H131" s="1">
        <v>46023</v>
      </c>
      <c r="I131" s="2">
        <v>0</v>
      </c>
      <c r="J131" s="2">
        <v>347</v>
      </c>
      <c r="K131">
        <v>1</v>
      </c>
      <c r="L131" s="2">
        <v>347</v>
      </c>
      <c r="M131" t="s">
        <v>122</v>
      </c>
      <c r="N131" t="s">
        <v>734</v>
      </c>
      <c r="O131" t="s">
        <v>731</v>
      </c>
    </row>
    <row r="132" spans="1:15" x14ac:dyDescent="0.25">
      <c r="A132" s="5">
        <v>938289187</v>
      </c>
      <c r="B132" s="5" t="str">
        <f t="shared" si="5"/>
        <v>93828918711</v>
      </c>
      <c r="C132" t="s">
        <v>456</v>
      </c>
      <c r="D132" t="s">
        <v>86</v>
      </c>
      <c r="E132">
        <v>17528908</v>
      </c>
      <c r="F132" t="s">
        <v>73</v>
      </c>
      <c r="G132" t="s">
        <v>121</v>
      </c>
      <c r="H132" s="1">
        <v>46023</v>
      </c>
      <c r="I132" s="2">
        <v>0</v>
      </c>
      <c r="J132" s="2">
        <v>347</v>
      </c>
      <c r="K132">
        <v>1</v>
      </c>
      <c r="L132" s="2">
        <v>347</v>
      </c>
      <c r="M132" t="s">
        <v>122</v>
      </c>
      <c r="N132" t="s">
        <v>734</v>
      </c>
      <c r="O132" t="s">
        <v>731</v>
      </c>
    </row>
    <row r="133" spans="1:15" x14ac:dyDescent="0.25">
      <c r="A133" s="5">
        <v>938375183</v>
      </c>
      <c r="B133" s="5" t="str">
        <f t="shared" si="5"/>
        <v>93837518311</v>
      </c>
      <c r="C133" t="s">
        <v>458</v>
      </c>
      <c r="D133" t="s">
        <v>204</v>
      </c>
      <c r="E133">
        <v>16849453</v>
      </c>
      <c r="F133" t="s">
        <v>206</v>
      </c>
      <c r="G133" t="s">
        <v>121</v>
      </c>
      <c r="H133" s="1">
        <v>46023</v>
      </c>
      <c r="I133" s="2">
        <v>0</v>
      </c>
      <c r="J133" s="2">
        <v>347</v>
      </c>
      <c r="K133">
        <v>1</v>
      </c>
      <c r="L133" s="2">
        <v>347</v>
      </c>
      <c r="M133" t="s">
        <v>122</v>
      </c>
      <c r="N133" t="s">
        <v>734</v>
      </c>
      <c r="O133" t="s">
        <v>731</v>
      </c>
    </row>
    <row r="134" spans="1:15" x14ac:dyDescent="0.25">
      <c r="A134" s="5">
        <v>939081601</v>
      </c>
      <c r="B134" s="5" t="str">
        <f t="shared" si="5"/>
        <v>93908160111</v>
      </c>
      <c r="C134" t="s">
        <v>460</v>
      </c>
      <c r="D134" t="s">
        <v>46</v>
      </c>
      <c r="E134">
        <v>8244481</v>
      </c>
      <c r="F134" t="s">
        <v>177</v>
      </c>
      <c r="G134" t="s">
        <v>121</v>
      </c>
      <c r="H134" s="1">
        <v>46023</v>
      </c>
      <c r="I134" s="2">
        <v>0</v>
      </c>
      <c r="J134" s="2">
        <v>347</v>
      </c>
      <c r="K134">
        <v>1</v>
      </c>
      <c r="L134" s="2">
        <v>347</v>
      </c>
      <c r="M134" t="s">
        <v>122</v>
      </c>
      <c r="N134" t="s">
        <v>734</v>
      </c>
      <c r="O134" t="s">
        <v>731</v>
      </c>
    </row>
    <row r="135" spans="1:15" x14ac:dyDescent="0.25">
      <c r="A135" s="5">
        <v>939353500</v>
      </c>
      <c r="B135" s="5" t="str">
        <f t="shared" si="5"/>
        <v>93935350011</v>
      </c>
      <c r="C135" t="s">
        <v>462</v>
      </c>
      <c r="D135" t="s">
        <v>173</v>
      </c>
      <c r="E135">
        <v>16683808</v>
      </c>
      <c r="F135" t="s">
        <v>302</v>
      </c>
      <c r="G135" t="s">
        <v>121</v>
      </c>
      <c r="H135" s="1">
        <v>46023</v>
      </c>
      <c r="I135" s="2">
        <v>0</v>
      </c>
      <c r="J135" s="2">
        <v>347</v>
      </c>
      <c r="K135">
        <v>1</v>
      </c>
      <c r="L135" s="2">
        <v>347</v>
      </c>
      <c r="M135" t="s">
        <v>122</v>
      </c>
      <c r="N135" t="s">
        <v>734</v>
      </c>
      <c r="O135" t="s">
        <v>731</v>
      </c>
    </row>
    <row r="136" spans="1:15" x14ac:dyDescent="0.25">
      <c r="A136" s="5">
        <v>940088163</v>
      </c>
      <c r="B136" s="5" t="str">
        <f t="shared" si="5"/>
        <v>94008816311</v>
      </c>
      <c r="C136" t="s">
        <v>464</v>
      </c>
      <c r="D136" t="s">
        <v>86</v>
      </c>
      <c r="E136">
        <v>21564088</v>
      </c>
      <c r="F136" t="s">
        <v>220</v>
      </c>
      <c r="G136" t="s">
        <v>121</v>
      </c>
      <c r="H136" s="1">
        <v>46023</v>
      </c>
      <c r="I136" s="2">
        <v>0</v>
      </c>
      <c r="J136" s="2">
        <v>347</v>
      </c>
      <c r="K136">
        <v>1</v>
      </c>
      <c r="L136" s="2">
        <v>347</v>
      </c>
      <c r="M136" t="s">
        <v>122</v>
      </c>
      <c r="N136" t="s">
        <v>734</v>
      </c>
      <c r="O136" t="s">
        <v>731</v>
      </c>
    </row>
    <row r="137" spans="1:15" x14ac:dyDescent="0.25">
      <c r="A137" s="5">
        <v>940523473</v>
      </c>
      <c r="B137" s="5" t="str">
        <f t="shared" ref="B137:B168" si="6">CONCATENATE(A137,11)</f>
        <v>94052347311</v>
      </c>
      <c r="C137" t="s">
        <v>468</v>
      </c>
      <c r="D137" t="s">
        <v>118</v>
      </c>
      <c r="E137">
        <v>21435997</v>
      </c>
      <c r="F137" t="s">
        <v>95</v>
      </c>
      <c r="G137" t="s">
        <v>121</v>
      </c>
      <c r="H137" s="1">
        <v>46023</v>
      </c>
      <c r="I137" s="2">
        <v>0</v>
      </c>
      <c r="J137" s="2">
        <v>347</v>
      </c>
      <c r="K137">
        <v>1</v>
      </c>
      <c r="L137" s="2">
        <v>347</v>
      </c>
      <c r="M137" t="s">
        <v>122</v>
      </c>
      <c r="N137" t="s">
        <v>734</v>
      </c>
      <c r="O137" t="s">
        <v>731</v>
      </c>
    </row>
    <row r="138" spans="1:15" x14ac:dyDescent="0.25">
      <c r="A138" s="5">
        <v>940902300</v>
      </c>
      <c r="B138" s="5" t="str">
        <f t="shared" si="6"/>
        <v>94090230011</v>
      </c>
      <c r="C138" t="s">
        <v>470</v>
      </c>
      <c r="D138" t="s">
        <v>46</v>
      </c>
      <c r="E138">
        <v>8405446</v>
      </c>
      <c r="F138" t="s">
        <v>313</v>
      </c>
      <c r="G138" t="s">
        <v>121</v>
      </c>
      <c r="H138" s="1">
        <v>46023</v>
      </c>
      <c r="I138" s="2">
        <v>0</v>
      </c>
      <c r="J138" s="2">
        <v>347</v>
      </c>
      <c r="K138">
        <v>1</v>
      </c>
      <c r="L138" s="2">
        <v>347</v>
      </c>
      <c r="M138" t="s">
        <v>122</v>
      </c>
      <c r="N138" t="s">
        <v>734</v>
      </c>
      <c r="O138" t="s">
        <v>731</v>
      </c>
    </row>
    <row r="139" spans="1:15" x14ac:dyDescent="0.25">
      <c r="A139" s="5">
        <v>941105248</v>
      </c>
      <c r="B139" s="5" t="str">
        <f t="shared" si="6"/>
        <v>94110524811</v>
      </c>
      <c r="C139" t="s">
        <v>474</v>
      </c>
      <c r="D139" t="s">
        <v>46</v>
      </c>
      <c r="E139">
        <v>8405446</v>
      </c>
      <c r="F139" t="s">
        <v>313</v>
      </c>
      <c r="G139" t="s">
        <v>121</v>
      </c>
      <c r="H139" s="1">
        <v>46023</v>
      </c>
      <c r="I139" s="2">
        <v>0</v>
      </c>
      <c r="J139" s="2">
        <v>347</v>
      </c>
      <c r="K139">
        <v>1</v>
      </c>
      <c r="L139" s="2">
        <v>347</v>
      </c>
      <c r="M139" t="s">
        <v>122</v>
      </c>
      <c r="N139" t="s">
        <v>734</v>
      </c>
      <c r="O139" t="s">
        <v>731</v>
      </c>
    </row>
    <row r="140" spans="1:15" x14ac:dyDescent="0.25">
      <c r="A140" s="5">
        <v>941312219</v>
      </c>
      <c r="B140" s="5" t="str">
        <f t="shared" si="6"/>
        <v>94131221911</v>
      </c>
      <c r="C140" t="s">
        <v>476</v>
      </c>
      <c r="D140" t="s">
        <v>196</v>
      </c>
      <c r="E140">
        <v>16865615</v>
      </c>
      <c r="F140" t="s">
        <v>198</v>
      </c>
      <c r="G140" t="s">
        <v>121</v>
      </c>
      <c r="H140" s="1">
        <v>46023</v>
      </c>
      <c r="I140" s="2">
        <v>0</v>
      </c>
      <c r="J140" s="2">
        <v>347</v>
      </c>
      <c r="K140">
        <v>1</v>
      </c>
      <c r="L140" s="2">
        <v>347</v>
      </c>
      <c r="M140" t="s">
        <v>122</v>
      </c>
      <c r="N140" t="s">
        <v>734</v>
      </c>
      <c r="O140" t="s">
        <v>731</v>
      </c>
    </row>
    <row r="141" spans="1:15" x14ac:dyDescent="0.25">
      <c r="A141" s="5">
        <v>941505435</v>
      </c>
      <c r="B141" s="5" t="str">
        <f t="shared" si="6"/>
        <v>94150543511</v>
      </c>
      <c r="C141" t="s">
        <v>478</v>
      </c>
      <c r="D141" t="s">
        <v>46</v>
      </c>
      <c r="E141">
        <v>2158366</v>
      </c>
      <c r="F141" t="s">
        <v>63</v>
      </c>
      <c r="G141" t="s">
        <v>121</v>
      </c>
      <c r="H141" s="1">
        <v>46023</v>
      </c>
      <c r="I141" s="2">
        <v>0</v>
      </c>
      <c r="J141" s="2">
        <v>347</v>
      </c>
      <c r="K141">
        <v>1</v>
      </c>
      <c r="L141" s="2">
        <v>347</v>
      </c>
      <c r="M141" t="s">
        <v>122</v>
      </c>
      <c r="N141" t="s">
        <v>734</v>
      </c>
      <c r="O141" t="s">
        <v>731</v>
      </c>
    </row>
    <row r="142" spans="1:15" x14ac:dyDescent="0.25">
      <c r="A142" s="5">
        <v>943440592</v>
      </c>
      <c r="B142" s="5" t="str">
        <f t="shared" si="6"/>
        <v>94344059211</v>
      </c>
      <c r="C142" t="s">
        <v>482</v>
      </c>
      <c r="D142" t="s">
        <v>223</v>
      </c>
      <c r="E142">
        <v>21435997</v>
      </c>
      <c r="F142" t="s">
        <v>95</v>
      </c>
      <c r="G142" t="s">
        <v>121</v>
      </c>
      <c r="H142" s="1">
        <v>46023</v>
      </c>
      <c r="I142" s="2">
        <v>0</v>
      </c>
      <c r="J142" s="2">
        <v>347</v>
      </c>
      <c r="K142">
        <v>1</v>
      </c>
      <c r="L142" s="2">
        <v>347</v>
      </c>
      <c r="M142" t="s">
        <v>122</v>
      </c>
      <c r="N142" t="s">
        <v>734</v>
      </c>
      <c r="O142" t="s">
        <v>731</v>
      </c>
    </row>
    <row r="143" spans="1:15" x14ac:dyDescent="0.25">
      <c r="A143" s="5">
        <v>943723547</v>
      </c>
      <c r="B143" s="5" t="str">
        <f t="shared" si="6"/>
        <v>94372354711</v>
      </c>
      <c r="C143" t="s">
        <v>484</v>
      </c>
      <c r="D143" t="s">
        <v>223</v>
      </c>
      <c r="E143">
        <v>21435997</v>
      </c>
      <c r="F143" t="s">
        <v>95</v>
      </c>
      <c r="G143" t="s">
        <v>121</v>
      </c>
      <c r="H143" s="1">
        <v>46023</v>
      </c>
      <c r="I143" s="2">
        <v>0</v>
      </c>
      <c r="J143" s="2">
        <v>347</v>
      </c>
      <c r="K143">
        <v>1</v>
      </c>
      <c r="L143" s="2">
        <v>347</v>
      </c>
      <c r="M143" t="s">
        <v>122</v>
      </c>
      <c r="N143" t="s">
        <v>734</v>
      </c>
      <c r="O143" t="s">
        <v>731</v>
      </c>
    </row>
    <row r="144" spans="1:15" x14ac:dyDescent="0.25">
      <c r="A144" s="5">
        <v>945833745</v>
      </c>
      <c r="B144" s="5" t="str">
        <f t="shared" si="6"/>
        <v>94583374511</v>
      </c>
      <c r="C144" t="s">
        <v>486</v>
      </c>
      <c r="D144" t="s">
        <v>201</v>
      </c>
      <c r="E144">
        <v>21435997</v>
      </c>
      <c r="F144" t="s">
        <v>95</v>
      </c>
      <c r="G144" t="s">
        <v>121</v>
      </c>
      <c r="H144" s="1">
        <v>46023</v>
      </c>
      <c r="I144" s="2">
        <v>0</v>
      </c>
      <c r="J144" s="2">
        <v>347</v>
      </c>
      <c r="K144">
        <v>1</v>
      </c>
      <c r="L144" s="2">
        <v>347</v>
      </c>
      <c r="M144" t="s">
        <v>122</v>
      </c>
      <c r="N144" t="s">
        <v>734</v>
      </c>
      <c r="O144" t="s">
        <v>731</v>
      </c>
    </row>
    <row r="145" spans="1:15" x14ac:dyDescent="0.25">
      <c r="A145" s="5">
        <v>947312937</v>
      </c>
      <c r="B145" s="5" t="str">
        <f t="shared" si="6"/>
        <v>94731293711</v>
      </c>
      <c r="C145" t="s">
        <v>490</v>
      </c>
      <c r="D145" t="s">
        <v>173</v>
      </c>
      <c r="E145">
        <v>9213293</v>
      </c>
      <c r="F145" t="s">
        <v>68</v>
      </c>
      <c r="G145" t="s">
        <v>121</v>
      </c>
      <c r="H145" s="1">
        <v>46023</v>
      </c>
      <c r="I145" s="2">
        <v>0</v>
      </c>
      <c r="J145" s="2">
        <v>347</v>
      </c>
      <c r="K145">
        <v>1</v>
      </c>
      <c r="L145" s="2">
        <v>347</v>
      </c>
      <c r="M145" t="s">
        <v>122</v>
      </c>
      <c r="N145" t="s">
        <v>734</v>
      </c>
      <c r="O145" t="s">
        <v>731</v>
      </c>
    </row>
    <row r="146" spans="1:15" x14ac:dyDescent="0.25">
      <c r="A146" s="5">
        <v>947466255</v>
      </c>
      <c r="B146" s="5" t="str">
        <f t="shared" si="6"/>
        <v>94746625511</v>
      </c>
      <c r="C146" t="s">
        <v>492</v>
      </c>
      <c r="D146" t="s">
        <v>271</v>
      </c>
      <c r="E146">
        <v>20003537</v>
      </c>
      <c r="F146" t="s">
        <v>120</v>
      </c>
      <c r="G146" t="s">
        <v>121</v>
      </c>
      <c r="H146" s="1">
        <v>46023</v>
      </c>
      <c r="I146" s="2">
        <v>0</v>
      </c>
      <c r="J146" s="2">
        <v>347</v>
      </c>
      <c r="K146">
        <v>1</v>
      </c>
      <c r="L146" s="2">
        <v>347</v>
      </c>
      <c r="M146" t="s">
        <v>122</v>
      </c>
      <c r="N146" t="s">
        <v>734</v>
      </c>
      <c r="O146" t="s">
        <v>731</v>
      </c>
    </row>
    <row r="147" spans="1:15" x14ac:dyDescent="0.25">
      <c r="A147" s="5">
        <v>947965835</v>
      </c>
      <c r="B147" s="5" t="str">
        <f t="shared" si="6"/>
        <v>94796583511</v>
      </c>
      <c r="C147" t="s">
        <v>496</v>
      </c>
      <c r="D147" t="s">
        <v>204</v>
      </c>
      <c r="E147">
        <v>16849453</v>
      </c>
      <c r="F147" t="s">
        <v>206</v>
      </c>
      <c r="G147" t="s">
        <v>121</v>
      </c>
      <c r="H147" s="1">
        <v>46023</v>
      </c>
      <c r="I147" s="2">
        <v>0</v>
      </c>
      <c r="J147" s="2">
        <v>347</v>
      </c>
      <c r="K147">
        <v>1</v>
      </c>
      <c r="L147" s="2">
        <v>347</v>
      </c>
      <c r="M147" t="s">
        <v>122</v>
      </c>
      <c r="N147" t="s">
        <v>734</v>
      </c>
      <c r="O147" t="s">
        <v>731</v>
      </c>
    </row>
    <row r="148" spans="1:15" x14ac:dyDescent="0.25">
      <c r="A148" s="5">
        <v>950346489</v>
      </c>
      <c r="B148" s="5" t="str">
        <f t="shared" si="6"/>
        <v>95034648911</v>
      </c>
      <c r="C148" t="s">
        <v>502</v>
      </c>
      <c r="D148" t="s">
        <v>173</v>
      </c>
      <c r="E148">
        <v>21435997</v>
      </c>
      <c r="F148" t="s">
        <v>95</v>
      </c>
      <c r="G148" t="s">
        <v>121</v>
      </c>
      <c r="H148" s="1">
        <v>46023</v>
      </c>
      <c r="I148" s="2">
        <v>0</v>
      </c>
      <c r="J148" s="2">
        <v>347</v>
      </c>
      <c r="K148">
        <v>1</v>
      </c>
      <c r="L148" s="2">
        <v>347</v>
      </c>
      <c r="M148" t="s">
        <v>122</v>
      </c>
      <c r="N148" t="s">
        <v>734</v>
      </c>
      <c r="O148" t="s">
        <v>731</v>
      </c>
    </row>
    <row r="149" spans="1:15" x14ac:dyDescent="0.25">
      <c r="A149" s="5">
        <v>951067902</v>
      </c>
      <c r="B149" s="5" t="str">
        <f t="shared" si="6"/>
        <v>95106790211</v>
      </c>
      <c r="C149" t="s">
        <v>504</v>
      </c>
      <c r="D149" t="s">
        <v>196</v>
      </c>
      <c r="E149">
        <v>9213293</v>
      </c>
      <c r="F149" t="s">
        <v>68</v>
      </c>
      <c r="G149" t="s">
        <v>121</v>
      </c>
      <c r="H149" s="1">
        <v>46023</v>
      </c>
      <c r="I149" s="2">
        <v>0</v>
      </c>
      <c r="J149" s="2">
        <v>347</v>
      </c>
      <c r="K149">
        <v>1</v>
      </c>
      <c r="L149" s="2">
        <v>347</v>
      </c>
      <c r="M149" t="s">
        <v>122</v>
      </c>
      <c r="N149" t="s">
        <v>734</v>
      </c>
      <c r="O149" t="s">
        <v>731</v>
      </c>
    </row>
    <row r="150" spans="1:15" x14ac:dyDescent="0.25">
      <c r="A150" s="5">
        <v>951192792</v>
      </c>
      <c r="B150" s="5" t="str">
        <f t="shared" si="6"/>
        <v>95119279211</v>
      </c>
      <c r="C150" t="s">
        <v>506</v>
      </c>
      <c r="D150" t="s">
        <v>86</v>
      </c>
      <c r="E150">
        <v>21564088</v>
      </c>
      <c r="F150" t="s">
        <v>220</v>
      </c>
      <c r="G150" t="s">
        <v>121</v>
      </c>
      <c r="H150" s="1">
        <v>46023</v>
      </c>
      <c r="I150" s="2">
        <v>0</v>
      </c>
      <c r="J150" s="2">
        <v>347</v>
      </c>
      <c r="K150">
        <v>1</v>
      </c>
      <c r="L150" s="2">
        <v>347</v>
      </c>
      <c r="M150" t="s">
        <v>122</v>
      </c>
      <c r="N150" t="s">
        <v>734</v>
      </c>
      <c r="O150" t="s">
        <v>731</v>
      </c>
    </row>
    <row r="151" spans="1:15" x14ac:dyDescent="0.25">
      <c r="A151" s="5">
        <v>951566976</v>
      </c>
      <c r="B151" s="5" t="str">
        <f t="shared" si="6"/>
        <v>95156697611</v>
      </c>
      <c r="C151" t="s">
        <v>508</v>
      </c>
      <c r="D151" t="s">
        <v>146</v>
      </c>
      <c r="E151">
        <v>17425766</v>
      </c>
      <c r="F151" t="s">
        <v>256</v>
      </c>
      <c r="G151" t="s">
        <v>121</v>
      </c>
      <c r="H151" s="1">
        <v>46023</v>
      </c>
      <c r="I151" s="2">
        <v>0</v>
      </c>
      <c r="J151" s="2">
        <v>347</v>
      </c>
      <c r="K151">
        <v>1</v>
      </c>
      <c r="L151" s="2">
        <v>347</v>
      </c>
      <c r="M151" t="s">
        <v>122</v>
      </c>
      <c r="N151" t="s">
        <v>734</v>
      </c>
      <c r="O151" t="s">
        <v>731</v>
      </c>
    </row>
    <row r="152" spans="1:15" x14ac:dyDescent="0.25">
      <c r="A152" s="5">
        <v>951859059</v>
      </c>
      <c r="B152" s="5" t="str">
        <f t="shared" si="6"/>
        <v>95185905911</v>
      </c>
      <c r="C152" t="s">
        <v>510</v>
      </c>
      <c r="D152" t="s">
        <v>223</v>
      </c>
      <c r="E152">
        <v>17859093</v>
      </c>
      <c r="F152" t="s">
        <v>126</v>
      </c>
      <c r="G152" t="s">
        <v>121</v>
      </c>
      <c r="H152" s="1">
        <v>46023</v>
      </c>
      <c r="I152" s="2">
        <v>0</v>
      </c>
      <c r="J152" s="2">
        <v>347</v>
      </c>
      <c r="K152">
        <v>1</v>
      </c>
      <c r="L152" s="2">
        <v>347</v>
      </c>
      <c r="M152" t="s">
        <v>122</v>
      </c>
      <c r="N152" t="s">
        <v>734</v>
      </c>
      <c r="O152" t="s">
        <v>731</v>
      </c>
    </row>
    <row r="153" spans="1:15" x14ac:dyDescent="0.25">
      <c r="A153" s="5">
        <v>952238366</v>
      </c>
      <c r="B153" s="5" t="str">
        <f t="shared" si="6"/>
        <v>95223836611</v>
      </c>
      <c r="C153" t="s">
        <v>512</v>
      </c>
      <c r="D153" t="s">
        <v>204</v>
      </c>
      <c r="E153">
        <v>2158366</v>
      </c>
      <c r="F153" t="s">
        <v>63</v>
      </c>
      <c r="G153" t="s">
        <v>121</v>
      </c>
      <c r="H153" s="1">
        <v>46023</v>
      </c>
      <c r="I153" s="2">
        <v>0</v>
      </c>
      <c r="J153" s="2">
        <v>347</v>
      </c>
      <c r="K153">
        <v>1</v>
      </c>
      <c r="L153" s="2">
        <v>347</v>
      </c>
      <c r="M153" t="s">
        <v>122</v>
      </c>
      <c r="N153" t="s">
        <v>734</v>
      </c>
      <c r="O153" t="s">
        <v>731</v>
      </c>
    </row>
    <row r="154" spans="1:15" x14ac:dyDescent="0.25">
      <c r="A154" s="5">
        <v>952857667</v>
      </c>
      <c r="B154" s="5" t="str">
        <f t="shared" si="6"/>
        <v>95285766711</v>
      </c>
      <c r="C154" t="s">
        <v>516</v>
      </c>
      <c r="D154" t="s">
        <v>46</v>
      </c>
      <c r="E154">
        <v>18828278</v>
      </c>
      <c r="F154" t="s">
        <v>518</v>
      </c>
      <c r="G154" t="s">
        <v>121</v>
      </c>
      <c r="H154" s="1">
        <v>46023</v>
      </c>
      <c r="I154" s="2">
        <v>0</v>
      </c>
      <c r="J154" s="2">
        <v>347</v>
      </c>
      <c r="K154">
        <v>1</v>
      </c>
      <c r="L154" s="2">
        <v>347</v>
      </c>
      <c r="M154" t="s">
        <v>122</v>
      </c>
      <c r="N154" t="s">
        <v>734</v>
      </c>
      <c r="O154" t="s">
        <v>731</v>
      </c>
    </row>
    <row r="155" spans="1:15" x14ac:dyDescent="0.25">
      <c r="A155" s="5">
        <v>954290609</v>
      </c>
      <c r="B155" s="5" t="str">
        <f t="shared" si="6"/>
        <v>95429060911</v>
      </c>
      <c r="C155" t="s">
        <v>526</v>
      </c>
      <c r="D155" t="s">
        <v>118</v>
      </c>
      <c r="E155">
        <v>19645587</v>
      </c>
      <c r="F155" t="s">
        <v>78</v>
      </c>
      <c r="G155" t="s">
        <v>121</v>
      </c>
      <c r="H155" s="1">
        <v>46023</v>
      </c>
      <c r="I155" s="2">
        <v>0</v>
      </c>
      <c r="J155" s="2">
        <v>347</v>
      </c>
      <c r="K155">
        <v>1</v>
      </c>
      <c r="L155" s="2">
        <v>347</v>
      </c>
      <c r="M155" t="s">
        <v>122</v>
      </c>
      <c r="N155" t="s">
        <v>734</v>
      </c>
      <c r="O155" t="s">
        <v>731</v>
      </c>
    </row>
    <row r="156" spans="1:15" x14ac:dyDescent="0.25">
      <c r="A156" s="5">
        <v>954358611</v>
      </c>
      <c r="B156" s="5" t="str">
        <f t="shared" si="6"/>
        <v>95435861111</v>
      </c>
      <c r="C156" t="s">
        <v>528</v>
      </c>
      <c r="D156" t="s">
        <v>118</v>
      </c>
      <c r="E156">
        <v>19200754</v>
      </c>
      <c r="F156" t="s">
        <v>231</v>
      </c>
      <c r="G156" t="s">
        <v>121</v>
      </c>
      <c r="H156" s="1">
        <v>46023</v>
      </c>
      <c r="I156" s="2">
        <v>0</v>
      </c>
      <c r="J156" s="2">
        <v>347</v>
      </c>
      <c r="K156">
        <v>1</v>
      </c>
      <c r="L156" s="2">
        <v>347</v>
      </c>
      <c r="M156" t="s">
        <v>122</v>
      </c>
      <c r="N156" t="s">
        <v>734</v>
      </c>
      <c r="O156" t="s">
        <v>731</v>
      </c>
    </row>
    <row r="157" spans="1:15" x14ac:dyDescent="0.25">
      <c r="A157" s="5">
        <v>954677244</v>
      </c>
      <c r="B157" s="5" t="str">
        <f t="shared" si="6"/>
        <v>95467724411</v>
      </c>
      <c r="C157" t="s">
        <v>530</v>
      </c>
      <c r="D157" t="s">
        <v>271</v>
      </c>
      <c r="E157">
        <v>21435997</v>
      </c>
      <c r="F157" t="s">
        <v>95</v>
      </c>
      <c r="G157" t="s">
        <v>121</v>
      </c>
      <c r="H157" s="1">
        <v>46023</v>
      </c>
      <c r="I157" s="2">
        <v>0</v>
      </c>
      <c r="J157" s="2">
        <v>347</v>
      </c>
      <c r="K157">
        <v>1</v>
      </c>
      <c r="L157" s="2">
        <v>347</v>
      </c>
      <c r="M157" t="s">
        <v>122</v>
      </c>
      <c r="N157" t="s">
        <v>734</v>
      </c>
      <c r="O157" t="s">
        <v>731</v>
      </c>
    </row>
    <row r="158" spans="1:15" x14ac:dyDescent="0.25">
      <c r="A158" s="5">
        <v>955821745</v>
      </c>
      <c r="B158" s="5" t="str">
        <f t="shared" si="6"/>
        <v>95582174511</v>
      </c>
      <c r="C158" t="s">
        <v>532</v>
      </c>
      <c r="D158" t="s">
        <v>196</v>
      </c>
      <c r="E158">
        <v>6634327</v>
      </c>
      <c r="F158" t="s">
        <v>252</v>
      </c>
      <c r="G158" t="s">
        <v>121</v>
      </c>
      <c r="H158" s="1">
        <v>46023</v>
      </c>
      <c r="I158" s="2">
        <v>0</v>
      </c>
      <c r="J158" s="2">
        <v>347</v>
      </c>
      <c r="K158">
        <v>1</v>
      </c>
      <c r="L158" s="2">
        <v>347</v>
      </c>
      <c r="M158" t="s">
        <v>122</v>
      </c>
      <c r="N158" t="s">
        <v>734</v>
      </c>
      <c r="O158" t="s">
        <v>731</v>
      </c>
    </row>
    <row r="159" spans="1:15" x14ac:dyDescent="0.25">
      <c r="A159" s="5">
        <v>956030204</v>
      </c>
      <c r="B159" s="5" t="str">
        <f t="shared" si="6"/>
        <v>95603020411</v>
      </c>
      <c r="C159" t="s">
        <v>534</v>
      </c>
      <c r="D159" t="s">
        <v>118</v>
      </c>
      <c r="E159">
        <v>19586992</v>
      </c>
      <c r="F159" t="s">
        <v>111</v>
      </c>
      <c r="G159" t="s">
        <v>121</v>
      </c>
      <c r="H159" s="1">
        <v>46023</v>
      </c>
      <c r="I159" s="2">
        <v>0</v>
      </c>
      <c r="J159" s="2">
        <v>347</v>
      </c>
      <c r="K159">
        <v>1</v>
      </c>
      <c r="L159" s="2">
        <v>347</v>
      </c>
      <c r="M159" t="s">
        <v>122</v>
      </c>
      <c r="N159" t="s">
        <v>734</v>
      </c>
      <c r="O159" t="s">
        <v>731</v>
      </c>
    </row>
    <row r="160" spans="1:15" x14ac:dyDescent="0.25">
      <c r="A160" s="5">
        <v>957358780</v>
      </c>
      <c r="B160" s="5" t="str">
        <f t="shared" si="6"/>
        <v>95735878011</v>
      </c>
      <c r="C160" t="s">
        <v>538</v>
      </c>
      <c r="D160" t="s">
        <v>204</v>
      </c>
      <c r="E160">
        <v>20724564</v>
      </c>
      <c r="F160" t="s">
        <v>325</v>
      </c>
      <c r="G160" t="s">
        <v>121</v>
      </c>
      <c r="H160" s="1">
        <v>46023</v>
      </c>
      <c r="I160" s="2">
        <v>0</v>
      </c>
      <c r="J160" s="2">
        <v>347</v>
      </c>
      <c r="K160">
        <v>1</v>
      </c>
      <c r="L160" s="2">
        <v>347</v>
      </c>
      <c r="M160" t="s">
        <v>122</v>
      </c>
      <c r="N160" t="s">
        <v>734</v>
      </c>
      <c r="O160" t="s">
        <v>731</v>
      </c>
    </row>
    <row r="161" spans="1:15" x14ac:dyDescent="0.25">
      <c r="A161" s="5">
        <v>957935210</v>
      </c>
      <c r="B161" s="5" t="str">
        <f t="shared" si="6"/>
        <v>95793521011</v>
      </c>
      <c r="C161" t="s">
        <v>540</v>
      </c>
      <c r="D161" t="s">
        <v>204</v>
      </c>
      <c r="E161">
        <v>20724564</v>
      </c>
      <c r="F161" t="s">
        <v>325</v>
      </c>
      <c r="G161" t="s">
        <v>121</v>
      </c>
      <c r="H161" s="1">
        <v>46023</v>
      </c>
      <c r="I161" s="2">
        <v>0</v>
      </c>
      <c r="J161" s="2">
        <v>347</v>
      </c>
      <c r="K161">
        <v>1</v>
      </c>
      <c r="L161" s="2">
        <v>347</v>
      </c>
      <c r="M161" t="s">
        <v>122</v>
      </c>
      <c r="N161" t="s">
        <v>734</v>
      </c>
      <c r="O161" t="s">
        <v>731</v>
      </c>
    </row>
    <row r="162" spans="1:15" x14ac:dyDescent="0.25">
      <c r="A162" s="5">
        <v>958881862</v>
      </c>
      <c r="B162" s="5" t="str">
        <f t="shared" si="6"/>
        <v>95888186211</v>
      </c>
      <c r="C162" t="s">
        <v>542</v>
      </c>
      <c r="D162" t="s">
        <v>86</v>
      </c>
      <c r="E162">
        <v>21564088</v>
      </c>
      <c r="F162" t="s">
        <v>220</v>
      </c>
      <c r="G162" t="s">
        <v>121</v>
      </c>
      <c r="H162" s="1">
        <v>46023</v>
      </c>
      <c r="I162" s="2">
        <v>0</v>
      </c>
      <c r="J162" s="2">
        <v>347</v>
      </c>
      <c r="K162">
        <v>1</v>
      </c>
      <c r="L162" s="2">
        <v>347</v>
      </c>
      <c r="M162" t="s">
        <v>122</v>
      </c>
      <c r="N162" t="s">
        <v>734</v>
      </c>
      <c r="O162" t="s">
        <v>731</v>
      </c>
    </row>
    <row r="163" spans="1:15" x14ac:dyDescent="0.25">
      <c r="A163" s="5">
        <v>959144340</v>
      </c>
      <c r="B163" s="5" t="str">
        <f t="shared" si="6"/>
        <v>95914434011</v>
      </c>
      <c r="C163" t="s">
        <v>544</v>
      </c>
      <c r="D163" t="s">
        <v>204</v>
      </c>
      <c r="E163">
        <v>16849453</v>
      </c>
      <c r="F163" t="s">
        <v>206</v>
      </c>
      <c r="G163" t="s">
        <v>121</v>
      </c>
      <c r="H163" s="1">
        <v>46023</v>
      </c>
      <c r="I163" s="2">
        <v>0</v>
      </c>
      <c r="J163" s="2">
        <v>347</v>
      </c>
      <c r="K163">
        <v>1</v>
      </c>
      <c r="L163" s="2">
        <v>347</v>
      </c>
      <c r="M163" t="s">
        <v>122</v>
      </c>
      <c r="N163" t="s">
        <v>734</v>
      </c>
      <c r="O163" t="s">
        <v>731</v>
      </c>
    </row>
    <row r="164" spans="1:15" x14ac:dyDescent="0.25">
      <c r="A164" s="5">
        <v>959706673</v>
      </c>
      <c r="B164" s="5" t="str">
        <f t="shared" si="6"/>
        <v>95970667311</v>
      </c>
      <c r="C164" t="s">
        <v>548</v>
      </c>
      <c r="D164" t="s">
        <v>46</v>
      </c>
      <c r="E164">
        <v>18828278</v>
      </c>
      <c r="F164" t="s">
        <v>518</v>
      </c>
      <c r="G164" t="s">
        <v>121</v>
      </c>
      <c r="H164" s="1">
        <v>46023</v>
      </c>
      <c r="I164" s="2">
        <v>0</v>
      </c>
      <c r="J164" s="2">
        <v>347</v>
      </c>
      <c r="K164">
        <v>1</v>
      </c>
      <c r="L164" s="2">
        <v>347</v>
      </c>
      <c r="M164" t="s">
        <v>122</v>
      </c>
      <c r="N164" t="s">
        <v>734</v>
      </c>
      <c r="O164" t="s">
        <v>731</v>
      </c>
    </row>
    <row r="165" spans="1:15" x14ac:dyDescent="0.25">
      <c r="A165" s="5">
        <v>959922002</v>
      </c>
      <c r="B165" s="5" t="str">
        <f t="shared" si="6"/>
        <v>95992200211</v>
      </c>
      <c r="C165" t="s">
        <v>550</v>
      </c>
      <c r="D165" t="s">
        <v>294</v>
      </c>
      <c r="E165">
        <v>20003537</v>
      </c>
      <c r="F165" t="s">
        <v>120</v>
      </c>
      <c r="G165" t="s">
        <v>121</v>
      </c>
      <c r="H165" s="1">
        <v>46023</v>
      </c>
      <c r="I165" s="2">
        <v>0</v>
      </c>
      <c r="J165" s="2">
        <v>347</v>
      </c>
      <c r="K165">
        <v>1</v>
      </c>
      <c r="L165" s="2">
        <v>347</v>
      </c>
      <c r="M165" t="s">
        <v>122</v>
      </c>
      <c r="N165" t="s">
        <v>734</v>
      </c>
      <c r="O165" t="s">
        <v>731</v>
      </c>
    </row>
    <row r="166" spans="1:15" x14ac:dyDescent="0.25">
      <c r="A166" s="5">
        <v>960900496</v>
      </c>
      <c r="B166" s="5" t="str">
        <f t="shared" si="6"/>
        <v>96090049611</v>
      </c>
      <c r="C166" t="s">
        <v>554</v>
      </c>
      <c r="D166" t="s">
        <v>46</v>
      </c>
      <c r="E166">
        <v>18828278</v>
      </c>
      <c r="F166" t="s">
        <v>518</v>
      </c>
      <c r="G166" t="s">
        <v>121</v>
      </c>
      <c r="H166" s="1">
        <v>46023</v>
      </c>
      <c r="I166" s="2">
        <v>0</v>
      </c>
      <c r="J166" s="2">
        <v>347</v>
      </c>
      <c r="K166">
        <v>1</v>
      </c>
      <c r="L166" s="2">
        <v>347</v>
      </c>
      <c r="M166" t="s">
        <v>122</v>
      </c>
      <c r="N166" t="s">
        <v>734</v>
      </c>
      <c r="O166" t="s">
        <v>731</v>
      </c>
    </row>
    <row r="167" spans="1:15" x14ac:dyDescent="0.25">
      <c r="A167" s="5">
        <v>961022284</v>
      </c>
      <c r="B167" s="5" t="str">
        <f t="shared" si="6"/>
        <v>96102228411</v>
      </c>
      <c r="C167" t="s">
        <v>556</v>
      </c>
      <c r="D167" t="s">
        <v>118</v>
      </c>
      <c r="E167">
        <v>21435997</v>
      </c>
      <c r="F167" t="s">
        <v>95</v>
      </c>
      <c r="G167" t="s">
        <v>121</v>
      </c>
      <c r="H167" s="1">
        <v>46023</v>
      </c>
      <c r="I167" s="2">
        <v>0</v>
      </c>
      <c r="J167" s="2">
        <v>347</v>
      </c>
      <c r="K167">
        <v>1</v>
      </c>
      <c r="L167" s="2">
        <v>347</v>
      </c>
      <c r="M167" t="s">
        <v>122</v>
      </c>
      <c r="N167" t="s">
        <v>734</v>
      </c>
      <c r="O167" t="s">
        <v>731</v>
      </c>
    </row>
    <row r="168" spans="1:15" x14ac:dyDescent="0.25">
      <c r="A168" s="5">
        <v>961164040</v>
      </c>
      <c r="B168" s="5" t="str">
        <f t="shared" si="6"/>
        <v>96116404011</v>
      </c>
      <c r="C168" t="s">
        <v>558</v>
      </c>
      <c r="D168" t="s">
        <v>86</v>
      </c>
      <c r="E168">
        <v>21564088</v>
      </c>
      <c r="F168" t="s">
        <v>220</v>
      </c>
      <c r="G168" t="s">
        <v>121</v>
      </c>
      <c r="H168" s="1">
        <v>46023</v>
      </c>
      <c r="I168" s="2">
        <v>0</v>
      </c>
      <c r="J168" s="2">
        <v>347</v>
      </c>
      <c r="K168">
        <v>1</v>
      </c>
      <c r="L168" s="2">
        <v>347</v>
      </c>
      <c r="M168" t="s">
        <v>122</v>
      </c>
      <c r="N168" t="s">
        <v>734</v>
      </c>
      <c r="O168" t="s">
        <v>731</v>
      </c>
    </row>
    <row r="169" spans="1:15" x14ac:dyDescent="0.25">
      <c r="A169" s="5">
        <v>961535224</v>
      </c>
      <c r="B169" s="5" t="str">
        <f t="shared" ref="B169:B200" si="7">CONCATENATE(A169,11)</f>
        <v>96153522411</v>
      </c>
      <c r="C169" t="s">
        <v>560</v>
      </c>
      <c r="D169" t="s">
        <v>46</v>
      </c>
      <c r="E169">
        <v>8244481</v>
      </c>
      <c r="F169" t="s">
        <v>177</v>
      </c>
      <c r="G169" t="s">
        <v>121</v>
      </c>
      <c r="H169" s="1">
        <v>46023</v>
      </c>
      <c r="I169" s="2">
        <v>0</v>
      </c>
      <c r="J169" s="2">
        <v>347</v>
      </c>
      <c r="K169">
        <v>1</v>
      </c>
      <c r="L169" s="2">
        <v>347</v>
      </c>
      <c r="M169" t="s">
        <v>122</v>
      </c>
      <c r="N169" t="s">
        <v>734</v>
      </c>
      <c r="O169" t="s">
        <v>731</v>
      </c>
    </row>
    <row r="170" spans="1:15" x14ac:dyDescent="0.25">
      <c r="A170" s="5">
        <v>961901926</v>
      </c>
      <c r="B170" s="5" t="str">
        <f t="shared" si="7"/>
        <v>96190192611</v>
      </c>
      <c r="C170" t="s">
        <v>564</v>
      </c>
      <c r="D170" t="s">
        <v>66</v>
      </c>
      <c r="E170">
        <v>17301495</v>
      </c>
      <c r="F170" t="s">
        <v>566</v>
      </c>
      <c r="G170" t="s">
        <v>121</v>
      </c>
      <c r="H170" s="1">
        <v>46023</v>
      </c>
      <c r="I170" s="2">
        <v>0</v>
      </c>
      <c r="J170" s="2">
        <v>347</v>
      </c>
      <c r="K170">
        <v>1</v>
      </c>
      <c r="L170" s="2">
        <v>347</v>
      </c>
      <c r="M170" t="s">
        <v>122</v>
      </c>
      <c r="N170" t="s">
        <v>734</v>
      </c>
      <c r="O170" t="s">
        <v>731</v>
      </c>
    </row>
    <row r="171" spans="1:15" x14ac:dyDescent="0.25">
      <c r="A171" s="5">
        <v>962362898</v>
      </c>
      <c r="B171" s="5" t="str">
        <f t="shared" si="7"/>
        <v>96236289811</v>
      </c>
      <c r="C171" t="s">
        <v>570</v>
      </c>
      <c r="D171" t="s">
        <v>146</v>
      </c>
      <c r="E171">
        <v>16912722</v>
      </c>
      <c r="F171" t="s">
        <v>150</v>
      </c>
      <c r="G171" t="s">
        <v>121</v>
      </c>
      <c r="H171" s="1">
        <v>46023</v>
      </c>
      <c r="I171" s="2">
        <v>0</v>
      </c>
      <c r="J171" s="2">
        <v>347</v>
      </c>
      <c r="K171">
        <v>1</v>
      </c>
      <c r="L171" s="2">
        <v>347</v>
      </c>
      <c r="M171" t="s">
        <v>122</v>
      </c>
      <c r="N171" t="s">
        <v>734</v>
      </c>
      <c r="O171" t="s">
        <v>731</v>
      </c>
    </row>
    <row r="172" spans="1:15" x14ac:dyDescent="0.25">
      <c r="A172" s="5">
        <v>962461960</v>
      </c>
      <c r="B172" s="5" t="str">
        <f t="shared" si="7"/>
        <v>96246196011</v>
      </c>
      <c r="C172" t="s">
        <v>572</v>
      </c>
      <c r="D172" t="s">
        <v>573</v>
      </c>
      <c r="E172">
        <v>19200754</v>
      </c>
      <c r="F172" t="s">
        <v>231</v>
      </c>
      <c r="G172" t="s">
        <v>121</v>
      </c>
      <c r="H172" s="1">
        <v>46023</v>
      </c>
      <c r="I172" s="2">
        <v>0</v>
      </c>
      <c r="J172" s="2">
        <v>347</v>
      </c>
      <c r="K172">
        <v>1</v>
      </c>
      <c r="L172" s="2">
        <v>347</v>
      </c>
      <c r="M172" t="s">
        <v>122</v>
      </c>
      <c r="N172" t="s">
        <v>734</v>
      </c>
      <c r="O172" t="s">
        <v>731</v>
      </c>
    </row>
    <row r="173" spans="1:15" x14ac:dyDescent="0.25">
      <c r="A173" s="5">
        <v>962941470</v>
      </c>
      <c r="B173" s="5" t="str">
        <f t="shared" si="7"/>
        <v>96294147011</v>
      </c>
      <c r="C173" t="s">
        <v>575</v>
      </c>
      <c r="D173" t="s">
        <v>146</v>
      </c>
      <c r="E173">
        <v>16202925</v>
      </c>
      <c r="F173" t="s">
        <v>577</v>
      </c>
      <c r="G173" t="s">
        <v>121</v>
      </c>
      <c r="H173" s="1">
        <v>46023</v>
      </c>
      <c r="I173" s="2">
        <v>0</v>
      </c>
      <c r="J173" s="2">
        <v>347</v>
      </c>
      <c r="K173">
        <v>1</v>
      </c>
      <c r="L173" s="2">
        <v>347</v>
      </c>
      <c r="M173" t="s">
        <v>122</v>
      </c>
      <c r="N173" t="s">
        <v>734</v>
      </c>
      <c r="O173" t="s">
        <v>731</v>
      </c>
    </row>
    <row r="174" spans="1:15" x14ac:dyDescent="0.25">
      <c r="A174" s="5">
        <v>963867523</v>
      </c>
      <c r="B174" s="5" t="str">
        <f t="shared" si="7"/>
        <v>96386752311</v>
      </c>
      <c r="C174" t="s">
        <v>579</v>
      </c>
      <c r="D174" t="s">
        <v>86</v>
      </c>
      <c r="E174">
        <v>21564088</v>
      </c>
      <c r="F174" t="s">
        <v>220</v>
      </c>
      <c r="G174" t="s">
        <v>121</v>
      </c>
      <c r="H174" s="1">
        <v>46023</v>
      </c>
      <c r="I174" s="2">
        <v>0</v>
      </c>
      <c r="J174" s="2">
        <v>347</v>
      </c>
      <c r="K174">
        <v>1</v>
      </c>
      <c r="L174" s="2">
        <v>347</v>
      </c>
      <c r="M174" t="s">
        <v>122</v>
      </c>
      <c r="N174" t="s">
        <v>734</v>
      </c>
      <c r="O174" t="s">
        <v>731</v>
      </c>
    </row>
    <row r="175" spans="1:15" x14ac:dyDescent="0.25">
      <c r="A175" s="5">
        <v>964109438</v>
      </c>
      <c r="B175" s="5" t="str">
        <f t="shared" si="7"/>
        <v>96410943811</v>
      </c>
      <c r="C175" t="s">
        <v>581</v>
      </c>
      <c r="D175" t="s">
        <v>46</v>
      </c>
      <c r="E175">
        <v>16228684</v>
      </c>
      <c r="F175" t="s">
        <v>184</v>
      </c>
      <c r="G175" t="s">
        <v>121</v>
      </c>
      <c r="H175" s="1">
        <v>46023</v>
      </c>
      <c r="I175" s="2">
        <v>0</v>
      </c>
      <c r="J175" s="2">
        <v>347</v>
      </c>
      <c r="K175">
        <v>1</v>
      </c>
      <c r="L175" s="2">
        <v>347</v>
      </c>
      <c r="M175" t="s">
        <v>122</v>
      </c>
      <c r="N175" t="s">
        <v>734</v>
      </c>
      <c r="O175" t="s">
        <v>731</v>
      </c>
    </row>
    <row r="176" spans="1:15" x14ac:dyDescent="0.25">
      <c r="A176" s="5">
        <v>964375898</v>
      </c>
      <c r="B176" s="5" t="str">
        <f t="shared" si="7"/>
        <v>96437589811</v>
      </c>
      <c r="C176" t="s">
        <v>583</v>
      </c>
      <c r="D176" t="s">
        <v>86</v>
      </c>
      <c r="E176">
        <v>18142208</v>
      </c>
      <c r="F176" t="s">
        <v>88</v>
      </c>
      <c r="G176" t="s">
        <v>121</v>
      </c>
      <c r="H176" s="1">
        <v>46023</v>
      </c>
      <c r="I176" s="2">
        <v>0</v>
      </c>
      <c r="J176" s="2">
        <v>347</v>
      </c>
      <c r="K176">
        <v>1</v>
      </c>
      <c r="L176" s="2">
        <v>347</v>
      </c>
      <c r="M176" t="s">
        <v>122</v>
      </c>
      <c r="N176" t="s">
        <v>734</v>
      </c>
      <c r="O176" t="s">
        <v>731</v>
      </c>
    </row>
    <row r="177" spans="1:15" x14ac:dyDescent="0.25">
      <c r="A177" s="5">
        <v>964616624</v>
      </c>
      <c r="B177" s="5" t="str">
        <f t="shared" si="7"/>
        <v>96461662411</v>
      </c>
      <c r="C177" t="s">
        <v>585</v>
      </c>
      <c r="D177" t="s">
        <v>46</v>
      </c>
      <c r="E177">
        <v>9213293</v>
      </c>
      <c r="F177" t="s">
        <v>68</v>
      </c>
      <c r="G177" t="s">
        <v>121</v>
      </c>
      <c r="H177" s="1">
        <v>46023</v>
      </c>
      <c r="I177" s="2">
        <v>0</v>
      </c>
      <c r="J177" s="2">
        <v>347</v>
      </c>
      <c r="K177">
        <v>1</v>
      </c>
      <c r="L177" s="2">
        <v>347</v>
      </c>
      <c r="M177" t="s">
        <v>122</v>
      </c>
      <c r="N177" t="s">
        <v>734</v>
      </c>
      <c r="O177" t="s">
        <v>731</v>
      </c>
    </row>
    <row r="178" spans="1:15" x14ac:dyDescent="0.25">
      <c r="A178" s="5">
        <v>965649864</v>
      </c>
      <c r="B178" s="5" t="str">
        <f t="shared" si="7"/>
        <v>96564986411</v>
      </c>
      <c r="C178" t="s">
        <v>587</v>
      </c>
      <c r="D178" t="s">
        <v>93</v>
      </c>
      <c r="E178">
        <v>21435997</v>
      </c>
      <c r="F178" t="s">
        <v>95</v>
      </c>
      <c r="G178" t="s">
        <v>121</v>
      </c>
      <c r="H178" s="1">
        <v>46023</v>
      </c>
      <c r="I178" s="2">
        <v>0</v>
      </c>
      <c r="J178" s="2">
        <v>347</v>
      </c>
      <c r="K178">
        <v>1</v>
      </c>
      <c r="L178" s="2">
        <v>347</v>
      </c>
      <c r="M178" t="s">
        <v>122</v>
      </c>
      <c r="N178" t="s">
        <v>734</v>
      </c>
      <c r="O178" t="s">
        <v>731</v>
      </c>
    </row>
    <row r="179" spans="1:15" x14ac:dyDescent="0.25">
      <c r="A179" s="5">
        <v>966327102</v>
      </c>
      <c r="B179" s="5" t="str">
        <f t="shared" si="7"/>
        <v>96632710211</v>
      </c>
      <c r="C179" t="s">
        <v>589</v>
      </c>
      <c r="D179" t="s">
        <v>86</v>
      </c>
      <c r="E179">
        <v>18142208</v>
      </c>
      <c r="F179" t="s">
        <v>88</v>
      </c>
      <c r="G179" t="s">
        <v>121</v>
      </c>
      <c r="H179" s="1">
        <v>46023</v>
      </c>
      <c r="I179" s="2">
        <v>0</v>
      </c>
      <c r="J179" s="2">
        <v>347</v>
      </c>
      <c r="K179">
        <v>1</v>
      </c>
      <c r="L179" s="2">
        <v>347</v>
      </c>
      <c r="M179" t="s">
        <v>122</v>
      </c>
      <c r="N179" t="s">
        <v>734</v>
      </c>
      <c r="O179" t="s">
        <v>731</v>
      </c>
    </row>
    <row r="180" spans="1:15" x14ac:dyDescent="0.25">
      <c r="A180" s="5">
        <v>967180800</v>
      </c>
      <c r="B180" s="5" t="str">
        <f t="shared" si="7"/>
        <v>96718080011</v>
      </c>
      <c r="C180" t="s">
        <v>591</v>
      </c>
      <c r="D180" t="s">
        <v>46</v>
      </c>
      <c r="E180">
        <v>8244481</v>
      </c>
      <c r="F180" t="s">
        <v>177</v>
      </c>
      <c r="G180" t="s">
        <v>121</v>
      </c>
      <c r="H180" s="1">
        <v>46023</v>
      </c>
      <c r="I180" s="2">
        <v>0</v>
      </c>
      <c r="J180" s="2">
        <v>347</v>
      </c>
      <c r="K180">
        <v>1</v>
      </c>
      <c r="L180" s="2">
        <v>347</v>
      </c>
      <c r="M180" t="s">
        <v>122</v>
      </c>
      <c r="N180" t="s">
        <v>734</v>
      </c>
      <c r="O180" t="s">
        <v>731</v>
      </c>
    </row>
    <row r="181" spans="1:15" x14ac:dyDescent="0.25">
      <c r="A181" s="5">
        <v>967878737</v>
      </c>
      <c r="B181" s="5" t="str">
        <f t="shared" si="7"/>
        <v>96787873711</v>
      </c>
      <c r="C181" t="s">
        <v>593</v>
      </c>
      <c r="D181" t="s">
        <v>86</v>
      </c>
      <c r="E181">
        <v>21564088</v>
      </c>
      <c r="F181" t="s">
        <v>220</v>
      </c>
      <c r="G181" t="s">
        <v>121</v>
      </c>
      <c r="H181" s="1">
        <v>46023</v>
      </c>
      <c r="I181" s="2">
        <v>0</v>
      </c>
      <c r="J181" s="2">
        <v>347</v>
      </c>
      <c r="K181">
        <v>1</v>
      </c>
      <c r="L181" s="2">
        <v>347</v>
      </c>
      <c r="M181" t="s">
        <v>122</v>
      </c>
      <c r="N181" t="s">
        <v>734</v>
      </c>
      <c r="O181" t="s">
        <v>731</v>
      </c>
    </row>
    <row r="182" spans="1:15" x14ac:dyDescent="0.25">
      <c r="A182" s="5">
        <v>967982621</v>
      </c>
      <c r="B182" s="5" t="str">
        <f t="shared" si="7"/>
        <v>96798262111</v>
      </c>
      <c r="C182" t="s">
        <v>595</v>
      </c>
      <c r="D182" t="s">
        <v>204</v>
      </c>
      <c r="E182">
        <v>19645587</v>
      </c>
      <c r="F182" t="s">
        <v>78</v>
      </c>
      <c r="G182" t="s">
        <v>121</v>
      </c>
      <c r="H182" s="1">
        <v>46023</v>
      </c>
      <c r="I182" s="2">
        <v>0</v>
      </c>
      <c r="J182" s="2">
        <v>347</v>
      </c>
      <c r="K182">
        <v>1</v>
      </c>
      <c r="L182" s="2">
        <v>347</v>
      </c>
      <c r="M182" t="s">
        <v>122</v>
      </c>
      <c r="N182" t="s">
        <v>734</v>
      </c>
      <c r="O182" t="s">
        <v>731</v>
      </c>
    </row>
    <row r="183" spans="1:15" x14ac:dyDescent="0.25">
      <c r="A183" s="5">
        <v>969061683</v>
      </c>
      <c r="B183" s="5" t="str">
        <f t="shared" si="7"/>
        <v>96906168311</v>
      </c>
      <c r="C183" t="s">
        <v>597</v>
      </c>
      <c r="D183" t="s">
        <v>86</v>
      </c>
      <c r="E183">
        <v>21564088</v>
      </c>
      <c r="F183" t="s">
        <v>220</v>
      </c>
      <c r="G183" t="s">
        <v>121</v>
      </c>
      <c r="H183" s="1">
        <v>46023</v>
      </c>
      <c r="I183" s="2">
        <v>0</v>
      </c>
      <c r="J183" s="2">
        <v>347</v>
      </c>
      <c r="K183">
        <v>1</v>
      </c>
      <c r="L183" s="2">
        <v>347</v>
      </c>
      <c r="M183" t="s">
        <v>122</v>
      </c>
      <c r="N183" t="s">
        <v>734</v>
      </c>
      <c r="O183" t="s">
        <v>731</v>
      </c>
    </row>
    <row r="184" spans="1:15" x14ac:dyDescent="0.25">
      <c r="A184" s="5">
        <v>969806734</v>
      </c>
      <c r="B184" s="5" t="str">
        <f t="shared" si="7"/>
        <v>96980673411</v>
      </c>
      <c r="C184" t="s">
        <v>599</v>
      </c>
      <c r="D184" t="s">
        <v>86</v>
      </c>
      <c r="E184">
        <v>18142208</v>
      </c>
      <c r="F184" t="s">
        <v>88</v>
      </c>
      <c r="G184" t="s">
        <v>121</v>
      </c>
      <c r="H184" s="1">
        <v>46023</v>
      </c>
      <c r="I184" s="2">
        <v>0</v>
      </c>
      <c r="J184" s="2">
        <v>347</v>
      </c>
      <c r="K184">
        <v>1</v>
      </c>
      <c r="L184" s="2">
        <v>347</v>
      </c>
      <c r="M184" t="s">
        <v>122</v>
      </c>
      <c r="N184" t="s">
        <v>734</v>
      </c>
      <c r="O184" t="s">
        <v>731</v>
      </c>
    </row>
    <row r="185" spans="1:15" x14ac:dyDescent="0.25">
      <c r="A185" s="5">
        <v>970254922</v>
      </c>
      <c r="B185" s="5" t="str">
        <f t="shared" si="7"/>
        <v>97025492211</v>
      </c>
      <c r="C185" t="s">
        <v>601</v>
      </c>
      <c r="D185" t="s">
        <v>46</v>
      </c>
      <c r="E185">
        <v>2158366</v>
      </c>
      <c r="F185" t="s">
        <v>63</v>
      </c>
      <c r="G185" t="s">
        <v>121</v>
      </c>
      <c r="H185" s="1">
        <v>46023</v>
      </c>
      <c r="I185" s="2">
        <v>0</v>
      </c>
      <c r="J185" s="2">
        <v>347</v>
      </c>
      <c r="K185">
        <v>1</v>
      </c>
      <c r="L185" s="2">
        <v>347</v>
      </c>
      <c r="M185" t="s">
        <v>122</v>
      </c>
      <c r="N185" t="s">
        <v>734</v>
      </c>
      <c r="O185" t="s">
        <v>731</v>
      </c>
    </row>
    <row r="186" spans="1:15" x14ac:dyDescent="0.25">
      <c r="A186" s="5">
        <v>970380792</v>
      </c>
      <c r="B186" s="5" t="str">
        <f t="shared" si="7"/>
        <v>97038079211</v>
      </c>
      <c r="C186" t="s">
        <v>603</v>
      </c>
      <c r="D186" t="s">
        <v>86</v>
      </c>
      <c r="E186">
        <v>18142208</v>
      </c>
      <c r="F186" t="s">
        <v>88</v>
      </c>
      <c r="G186" t="s">
        <v>121</v>
      </c>
      <c r="H186" s="1">
        <v>46023</v>
      </c>
      <c r="I186" s="2">
        <v>0</v>
      </c>
      <c r="J186" s="2">
        <v>347</v>
      </c>
      <c r="K186">
        <v>1</v>
      </c>
      <c r="L186" s="2">
        <v>347</v>
      </c>
      <c r="M186" t="s">
        <v>122</v>
      </c>
      <c r="N186" t="s">
        <v>734</v>
      </c>
      <c r="O186" t="s">
        <v>731</v>
      </c>
    </row>
    <row r="187" spans="1:15" x14ac:dyDescent="0.25">
      <c r="A187" s="5">
        <v>970893671</v>
      </c>
      <c r="B187" s="5" t="str">
        <f t="shared" si="7"/>
        <v>97089367111</v>
      </c>
      <c r="C187" t="s">
        <v>607</v>
      </c>
      <c r="D187" t="s">
        <v>146</v>
      </c>
      <c r="E187">
        <v>16912722</v>
      </c>
      <c r="F187" t="s">
        <v>150</v>
      </c>
      <c r="G187" t="s">
        <v>121</v>
      </c>
      <c r="H187" s="1">
        <v>46023</v>
      </c>
      <c r="I187" s="2">
        <v>0</v>
      </c>
      <c r="J187" s="2">
        <v>347</v>
      </c>
      <c r="K187">
        <v>1</v>
      </c>
      <c r="L187" s="2">
        <v>347</v>
      </c>
      <c r="M187" t="s">
        <v>122</v>
      </c>
      <c r="N187" t="s">
        <v>734</v>
      </c>
      <c r="O187" t="s">
        <v>731</v>
      </c>
    </row>
    <row r="188" spans="1:15" x14ac:dyDescent="0.25">
      <c r="A188" s="5">
        <v>971706292</v>
      </c>
      <c r="B188" s="5" t="str">
        <f t="shared" si="7"/>
        <v>97170629211</v>
      </c>
      <c r="C188" t="s">
        <v>611</v>
      </c>
      <c r="D188" t="s">
        <v>46</v>
      </c>
      <c r="E188">
        <v>16228684</v>
      </c>
      <c r="F188" t="s">
        <v>184</v>
      </c>
      <c r="G188" t="s">
        <v>121</v>
      </c>
      <c r="H188" s="1">
        <v>46023</v>
      </c>
      <c r="I188" s="2">
        <v>0</v>
      </c>
      <c r="J188" s="2">
        <v>347</v>
      </c>
      <c r="K188">
        <v>1</v>
      </c>
      <c r="L188" s="2">
        <v>347</v>
      </c>
      <c r="M188" t="s">
        <v>122</v>
      </c>
      <c r="N188" t="s">
        <v>734</v>
      </c>
      <c r="O188" t="s">
        <v>731</v>
      </c>
    </row>
    <row r="189" spans="1:15" x14ac:dyDescent="0.25">
      <c r="A189" s="5">
        <v>972530567</v>
      </c>
      <c r="B189" s="5" t="str">
        <f t="shared" si="7"/>
        <v>97253056711</v>
      </c>
      <c r="C189" t="s">
        <v>615</v>
      </c>
      <c r="D189" t="s">
        <v>86</v>
      </c>
      <c r="E189">
        <v>18142208</v>
      </c>
      <c r="F189" t="s">
        <v>88</v>
      </c>
      <c r="G189" t="s">
        <v>121</v>
      </c>
      <c r="H189" s="1">
        <v>46023</v>
      </c>
      <c r="I189" s="2">
        <v>0</v>
      </c>
      <c r="J189" s="2">
        <v>347</v>
      </c>
      <c r="K189">
        <v>1</v>
      </c>
      <c r="L189" s="2">
        <v>347</v>
      </c>
      <c r="M189" t="s">
        <v>122</v>
      </c>
      <c r="N189" t="s">
        <v>734</v>
      </c>
      <c r="O189" t="s">
        <v>731</v>
      </c>
    </row>
    <row r="190" spans="1:15" x14ac:dyDescent="0.25">
      <c r="A190" s="5">
        <v>972544206</v>
      </c>
      <c r="B190" s="5" t="str">
        <f t="shared" si="7"/>
        <v>97254420611</v>
      </c>
      <c r="C190" t="s">
        <v>617</v>
      </c>
      <c r="D190" t="s">
        <v>223</v>
      </c>
      <c r="E190">
        <v>17859093</v>
      </c>
      <c r="F190" t="s">
        <v>126</v>
      </c>
      <c r="G190" t="s">
        <v>121</v>
      </c>
      <c r="H190" s="1">
        <v>46023</v>
      </c>
      <c r="I190" s="2">
        <v>0</v>
      </c>
      <c r="J190" s="2">
        <v>347</v>
      </c>
      <c r="K190">
        <v>1</v>
      </c>
      <c r="L190" s="2">
        <v>347</v>
      </c>
      <c r="M190" t="s">
        <v>122</v>
      </c>
      <c r="N190" t="s">
        <v>734</v>
      </c>
      <c r="O190" t="s">
        <v>731</v>
      </c>
    </row>
    <row r="191" spans="1:15" x14ac:dyDescent="0.25">
      <c r="A191" s="5">
        <v>973009221</v>
      </c>
      <c r="B191" s="5" t="str">
        <f t="shared" si="7"/>
        <v>97300922111</v>
      </c>
      <c r="C191" t="s">
        <v>619</v>
      </c>
      <c r="D191" t="s">
        <v>46</v>
      </c>
      <c r="E191">
        <v>18754354</v>
      </c>
      <c r="F191" t="s">
        <v>247</v>
      </c>
      <c r="G191" t="s">
        <v>121</v>
      </c>
      <c r="H191" s="1">
        <v>46023</v>
      </c>
      <c r="I191" s="2">
        <v>0</v>
      </c>
      <c r="J191" s="2">
        <v>347</v>
      </c>
      <c r="K191">
        <v>1</v>
      </c>
      <c r="L191" s="2">
        <v>347</v>
      </c>
      <c r="M191" t="s">
        <v>122</v>
      </c>
      <c r="N191" t="s">
        <v>734</v>
      </c>
      <c r="O191" t="s">
        <v>731</v>
      </c>
    </row>
    <row r="192" spans="1:15" x14ac:dyDescent="0.25">
      <c r="A192" s="5">
        <v>973694305</v>
      </c>
      <c r="B192" s="5" t="str">
        <f t="shared" si="7"/>
        <v>97369430511</v>
      </c>
      <c r="C192" t="s">
        <v>621</v>
      </c>
      <c r="D192" t="s">
        <v>204</v>
      </c>
      <c r="E192">
        <v>16849453</v>
      </c>
      <c r="F192" t="s">
        <v>206</v>
      </c>
      <c r="G192" t="s">
        <v>121</v>
      </c>
      <c r="H192" s="1">
        <v>46023</v>
      </c>
      <c r="I192" s="2">
        <v>0</v>
      </c>
      <c r="J192" s="2">
        <v>347</v>
      </c>
      <c r="K192">
        <v>1</v>
      </c>
      <c r="L192" s="2">
        <v>347</v>
      </c>
      <c r="M192" t="s">
        <v>122</v>
      </c>
      <c r="N192" t="s">
        <v>734</v>
      </c>
      <c r="O192" t="s">
        <v>731</v>
      </c>
    </row>
    <row r="193" spans="1:15" x14ac:dyDescent="0.25">
      <c r="A193" s="5">
        <v>973756831</v>
      </c>
      <c r="B193" s="5" t="str">
        <f t="shared" si="7"/>
        <v>97375683111</v>
      </c>
      <c r="C193" t="s">
        <v>623</v>
      </c>
      <c r="D193" t="s">
        <v>46</v>
      </c>
      <c r="E193">
        <v>8405446</v>
      </c>
      <c r="F193" t="s">
        <v>313</v>
      </c>
      <c r="G193" t="s">
        <v>121</v>
      </c>
      <c r="H193" s="1">
        <v>46023</v>
      </c>
      <c r="I193" s="2">
        <v>0</v>
      </c>
      <c r="J193" s="2">
        <v>347</v>
      </c>
      <c r="K193">
        <v>1</v>
      </c>
      <c r="L193" s="2">
        <v>347</v>
      </c>
      <c r="M193" t="s">
        <v>122</v>
      </c>
      <c r="N193" t="s">
        <v>734</v>
      </c>
      <c r="O193" t="s">
        <v>731</v>
      </c>
    </row>
    <row r="194" spans="1:15" x14ac:dyDescent="0.25">
      <c r="A194" s="5">
        <v>974244915</v>
      </c>
      <c r="B194" s="5" t="str">
        <f t="shared" si="7"/>
        <v>97424491511</v>
      </c>
      <c r="C194" t="s">
        <v>625</v>
      </c>
      <c r="D194" t="s">
        <v>294</v>
      </c>
      <c r="E194">
        <v>20003537</v>
      </c>
      <c r="F194" t="s">
        <v>120</v>
      </c>
      <c r="G194" t="s">
        <v>121</v>
      </c>
      <c r="H194" s="1">
        <v>46023</v>
      </c>
      <c r="I194" s="2">
        <v>0</v>
      </c>
      <c r="J194" s="2">
        <v>347</v>
      </c>
      <c r="K194">
        <v>1</v>
      </c>
      <c r="L194" s="2">
        <v>347</v>
      </c>
      <c r="M194" t="s">
        <v>122</v>
      </c>
      <c r="N194" t="s">
        <v>734</v>
      </c>
      <c r="O194" t="s">
        <v>731</v>
      </c>
    </row>
    <row r="195" spans="1:15" x14ac:dyDescent="0.25">
      <c r="A195" s="5">
        <v>975389023</v>
      </c>
      <c r="B195" s="5" t="str">
        <f t="shared" si="7"/>
        <v>97538902311</v>
      </c>
      <c r="C195" t="s">
        <v>627</v>
      </c>
      <c r="D195" t="s">
        <v>196</v>
      </c>
      <c r="E195">
        <v>16865615</v>
      </c>
      <c r="F195" t="s">
        <v>198</v>
      </c>
      <c r="G195" t="s">
        <v>121</v>
      </c>
      <c r="H195" s="1">
        <v>46023</v>
      </c>
      <c r="I195" s="2">
        <v>0</v>
      </c>
      <c r="J195" s="2">
        <v>347</v>
      </c>
      <c r="K195">
        <v>1</v>
      </c>
      <c r="L195" s="2">
        <v>347</v>
      </c>
      <c r="M195" t="s">
        <v>122</v>
      </c>
      <c r="N195" t="s">
        <v>734</v>
      </c>
      <c r="O195" t="s">
        <v>731</v>
      </c>
    </row>
    <row r="196" spans="1:15" x14ac:dyDescent="0.25">
      <c r="A196" s="5">
        <v>975511320</v>
      </c>
      <c r="B196" s="5" t="str">
        <f t="shared" si="7"/>
        <v>97551132011</v>
      </c>
      <c r="C196" t="s">
        <v>629</v>
      </c>
      <c r="D196" t="s">
        <v>204</v>
      </c>
      <c r="E196">
        <v>16849453</v>
      </c>
      <c r="F196" t="s">
        <v>206</v>
      </c>
      <c r="G196" t="s">
        <v>121</v>
      </c>
      <c r="H196" s="1">
        <v>46023</v>
      </c>
      <c r="I196" s="2">
        <v>0</v>
      </c>
      <c r="J196" s="2">
        <v>347</v>
      </c>
      <c r="K196">
        <v>1</v>
      </c>
      <c r="L196" s="2">
        <v>347</v>
      </c>
      <c r="M196" t="s">
        <v>122</v>
      </c>
      <c r="N196" t="s">
        <v>734</v>
      </c>
      <c r="O196" t="s">
        <v>731</v>
      </c>
    </row>
    <row r="197" spans="1:15" x14ac:dyDescent="0.25">
      <c r="A197" s="5">
        <v>976065098</v>
      </c>
      <c r="B197" s="5" t="str">
        <f t="shared" si="7"/>
        <v>97606509811</v>
      </c>
      <c r="C197" t="s">
        <v>631</v>
      </c>
      <c r="D197" t="s">
        <v>271</v>
      </c>
      <c r="E197">
        <v>19645587</v>
      </c>
      <c r="F197" t="s">
        <v>78</v>
      </c>
      <c r="G197" t="s">
        <v>121</v>
      </c>
      <c r="H197" s="1">
        <v>46023</v>
      </c>
      <c r="I197" s="2">
        <v>0</v>
      </c>
      <c r="J197" s="2">
        <v>347</v>
      </c>
      <c r="K197">
        <v>1</v>
      </c>
      <c r="L197" s="2">
        <v>347</v>
      </c>
      <c r="M197" t="s">
        <v>122</v>
      </c>
      <c r="N197" t="s">
        <v>734</v>
      </c>
      <c r="O197" t="s">
        <v>731</v>
      </c>
    </row>
    <row r="198" spans="1:15" x14ac:dyDescent="0.25">
      <c r="A198" s="5">
        <v>977831852</v>
      </c>
      <c r="B198" s="5" t="str">
        <f t="shared" si="7"/>
        <v>97783185211</v>
      </c>
      <c r="C198" t="s">
        <v>635</v>
      </c>
      <c r="D198" t="s">
        <v>204</v>
      </c>
      <c r="E198">
        <v>16849453</v>
      </c>
      <c r="F198" t="s">
        <v>206</v>
      </c>
      <c r="G198" t="s">
        <v>121</v>
      </c>
      <c r="H198" s="1">
        <v>46023</v>
      </c>
      <c r="I198" s="2">
        <v>0</v>
      </c>
      <c r="J198" s="2">
        <v>347</v>
      </c>
      <c r="K198">
        <v>1</v>
      </c>
      <c r="L198" s="2">
        <v>347</v>
      </c>
      <c r="M198" t="s">
        <v>122</v>
      </c>
      <c r="N198" t="s">
        <v>734</v>
      </c>
      <c r="O198" t="s">
        <v>731</v>
      </c>
    </row>
    <row r="199" spans="1:15" x14ac:dyDescent="0.25">
      <c r="A199" s="5">
        <v>977886088</v>
      </c>
      <c r="B199" s="5" t="str">
        <f t="shared" si="7"/>
        <v>97788608811</v>
      </c>
      <c r="C199" t="s">
        <v>637</v>
      </c>
      <c r="D199" t="s">
        <v>204</v>
      </c>
      <c r="E199">
        <v>16849453</v>
      </c>
      <c r="F199" t="s">
        <v>206</v>
      </c>
      <c r="G199" t="s">
        <v>121</v>
      </c>
      <c r="H199" s="1">
        <v>46023</v>
      </c>
      <c r="I199" s="2">
        <v>0</v>
      </c>
      <c r="J199" s="2">
        <v>347</v>
      </c>
      <c r="K199">
        <v>1</v>
      </c>
      <c r="L199" s="2">
        <v>347</v>
      </c>
      <c r="M199" t="s">
        <v>122</v>
      </c>
      <c r="N199" t="s">
        <v>734</v>
      </c>
      <c r="O199" t="s">
        <v>731</v>
      </c>
    </row>
    <row r="200" spans="1:15" x14ac:dyDescent="0.25">
      <c r="A200" s="5">
        <v>978655359</v>
      </c>
      <c r="B200" s="5" t="str">
        <f t="shared" si="7"/>
        <v>97865535911</v>
      </c>
      <c r="C200" t="s">
        <v>639</v>
      </c>
      <c r="D200" t="s">
        <v>46</v>
      </c>
      <c r="E200">
        <v>19268643</v>
      </c>
      <c r="F200" t="s">
        <v>641</v>
      </c>
      <c r="G200" t="s">
        <v>121</v>
      </c>
      <c r="H200" s="1">
        <v>46023</v>
      </c>
      <c r="I200" s="2">
        <v>0</v>
      </c>
      <c r="J200" s="2">
        <v>347</v>
      </c>
      <c r="K200">
        <v>1</v>
      </c>
      <c r="L200" s="2">
        <v>347</v>
      </c>
      <c r="M200" t="s">
        <v>122</v>
      </c>
      <c r="N200" t="s">
        <v>734</v>
      </c>
      <c r="O200" t="s">
        <v>731</v>
      </c>
    </row>
    <row r="201" spans="1:15" x14ac:dyDescent="0.25">
      <c r="A201" s="5">
        <v>979158235</v>
      </c>
      <c r="B201" s="5" t="str">
        <f t="shared" ref="B201:B232" si="8">CONCATENATE(A201,11)</f>
        <v>97915823511</v>
      </c>
      <c r="C201" t="s">
        <v>643</v>
      </c>
      <c r="D201" t="s">
        <v>86</v>
      </c>
      <c r="E201">
        <v>21564088</v>
      </c>
      <c r="F201" t="s">
        <v>220</v>
      </c>
      <c r="G201" t="s">
        <v>121</v>
      </c>
      <c r="H201" s="1">
        <v>46023</v>
      </c>
      <c r="I201" s="2">
        <v>0</v>
      </c>
      <c r="J201" s="2">
        <v>347</v>
      </c>
      <c r="K201">
        <v>1</v>
      </c>
      <c r="L201" s="2">
        <v>347</v>
      </c>
      <c r="M201" t="s">
        <v>122</v>
      </c>
      <c r="N201" t="s">
        <v>734</v>
      </c>
      <c r="O201" t="s">
        <v>731</v>
      </c>
    </row>
    <row r="202" spans="1:15" x14ac:dyDescent="0.25">
      <c r="A202" s="5">
        <v>979408187</v>
      </c>
      <c r="B202" s="5" t="str">
        <f t="shared" si="8"/>
        <v>97940818711</v>
      </c>
      <c r="C202" t="s">
        <v>645</v>
      </c>
      <c r="D202" t="s">
        <v>46</v>
      </c>
      <c r="E202" t="e">
        <v>#N/A</v>
      </c>
      <c r="F202" t="s">
        <v>647</v>
      </c>
      <c r="G202" t="s">
        <v>121</v>
      </c>
      <c r="H202" s="1">
        <v>46023</v>
      </c>
      <c r="I202" s="2">
        <v>0</v>
      </c>
      <c r="J202" s="2">
        <v>347</v>
      </c>
      <c r="K202">
        <v>1</v>
      </c>
      <c r="L202" s="2">
        <v>347</v>
      </c>
      <c r="M202" t="s">
        <v>122</v>
      </c>
      <c r="N202" t="s">
        <v>734</v>
      </c>
      <c r="O202" t="s">
        <v>731</v>
      </c>
    </row>
    <row r="203" spans="1:15" x14ac:dyDescent="0.25">
      <c r="A203" s="5">
        <v>979478312</v>
      </c>
      <c r="B203" s="5" t="str">
        <f t="shared" si="8"/>
        <v>97947831211</v>
      </c>
      <c r="C203" t="s">
        <v>649</v>
      </c>
      <c r="D203" t="s">
        <v>223</v>
      </c>
      <c r="E203">
        <v>21435997</v>
      </c>
      <c r="F203" t="s">
        <v>95</v>
      </c>
      <c r="G203" t="s">
        <v>121</v>
      </c>
      <c r="H203" s="1">
        <v>46023</v>
      </c>
      <c r="I203" s="2">
        <v>0</v>
      </c>
      <c r="J203" s="2">
        <v>347</v>
      </c>
      <c r="K203">
        <v>1</v>
      </c>
      <c r="L203" s="2">
        <v>347</v>
      </c>
      <c r="M203" t="s">
        <v>122</v>
      </c>
      <c r="N203" t="s">
        <v>734</v>
      </c>
      <c r="O203" t="s">
        <v>731</v>
      </c>
    </row>
    <row r="204" spans="1:15" x14ac:dyDescent="0.25">
      <c r="A204" s="5">
        <v>979600179</v>
      </c>
      <c r="B204" s="5" t="str">
        <f t="shared" si="8"/>
        <v>97960017911</v>
      </c>
      <c r="C204" t="s">
        <v>651</v>
      </c>
      <c r="D204" t="s">
        <v>386</v>
      </c>
      <c r="E204">
        <v>21435997</v>
      </c>
      <c r="F204" t="s">
        <v>95</v>
      </c>
      <c r="G204" t="s">
        <v>121</v>
      </c>
      <c r="H204" s="1">
        <v>46023</v>
      </c>
      <c r="I204" s="2">
        <v>0</v>
      </c>
      <c r="J204" s="2">
        <v>347</v>
      </c>
      <c r="K204">
        <v>1</v>
      </c>
      <c r="L204" s="2">
        <v>347</v>
      </c>
      <c r="M204" t="s">
        <v>122</v>
      </c>
      <c r="N204" t="s">
        <v>734</v>
      </c>
      <c r="O204" t="s">
        <v>731</v>
      </c>
    </row>
    <row r="205" spans="1:15" x14ac:dyDescent="0.25">
      <c r="A205" s="5">
        <v>980349869</v>
      </c>
      <c r="B205" s="5" t="str">
        <f t="shared" si="8"/>
        <v>98034986911</v>
      </c>
      <c r="C205" t="s">
        <v>655</v>
      </c>
      <c r="D205" t="s">
        <v>86</v>
      </c>
      <c r="E205">
        <v>18142208</v>
      </c>
      <c r="F205" t="s">
        <v>88</v>
      </c>
      <c r="G205" t="s">
        <v>121</v>
      </c>
      <c r="H205" s="1">
        <v>46023</v>
      </c>
      <c r="I205" s="2">
        <v>0</v>
      </c>
      <c r="J205" s="2">
        <v>347</v>
      </c>
      <c r="K205">
        <v>1</v>
      </c>
      <c r="L205" s="2">
        <v>347</v>
      </c>
      <c r="M205" t="s">
        <v>122</v>
      </c>
      <c r="N205" t="s">
        <v>734</v>
      </c>
      <c r="O205" t="s">
        <v>731</v>
      </c>
    </row>
    <row r="206" spans="1:15" x14ac:dyDescent="0.25">
      <c r="A206" s="5">
        <v>980595326</v>
      </c>
      <c r="B206" s="5" t="str">
        <f t="shared" si="8"/>
        <v>98059532611</v>
      </c>
      <c r="C206" t="s">
        <v>657</v>
      </c>
      <c r="D206" t="s">
        <v>66</v>
      </c>
      <c r="E206">
        <v>17301495</v>
      </c>
      <c r="F206" t="s">
        <v>566</v>
      </c>
      <c r="G206" t="s">
        <v>121</v>
      </c>
      <c r="H206" s="1">
        <v>46023</v>
      </c>
      <c r="I206" s="2">
        <v>0</v>
      </c>
      <c r="J206" s="2">
        <v>347</v>
      </c>
      <c r="K206">
        <v>1</v>
      </c>
      <c r="L206" s="2">
        <v>347</v>
      </c>
      <c r="M206" t="s">
        <v>122</v>
      </c>
      <c r="N206" t="s">
        <v>734</v>
      </c>
      <c r="O206" t="s">
        <v>731</v>
      </c>
    </row>
    <row r="207" spans="1:15" x14ac:dyDescent="0.25">
      <c r="A207" s="5">
        <v>981391094</v>
      </c>
      <c r="B207" s="5" t="str">
        <f t="shared" si="8"/>
        <v>98139109411</v>
      </c>
      <c r="C207" t="s">
        <v>659</v>
      </c>
      <c r="D207" t="s">
        <v>46</v>
      </c>
      <c r="E207">
        <v>9213293</v>
      </c>
      <c r="F207" t="s">
        <v>68</v>
      </c>
      <c r="G207" t="s">
        <v>121</v>
      </c>
      <c r="H207" s="1">
        <v>46023</v>
      </c>
      <c r="I207" s="2">
        <v>0</v>
      </c>
      <c r="J207" s="2">
        <v>347</v>
      </c>
      <c r="K207">
        <v>1</v>
      </c>
      <c r="L207" s="2">
        <v>347</v>
      </c>
      <c r="M207" t="s">
        <v>122</v>
      </c>
      <c r="N207" t="s">
        <v>734</v>
      </c>
      <c r="O207" t="s">
        <v>731</v>
      </c>
    </row>
    <row r="208" spans="1:15" x14ac:dyDescent="0.25">
      <c r="A208" s="5">
        <v>981424265</v>
      </c>
      <c r="B208" s="5" t="str">
        <f t="shared" si="8"/>
        <v>98142426511</v>
      </c>
      <c r="C208" t="s">
        <v>661</v>
      </c>
      <c r="D208" t="s">
        <v>146</v>
      </c>
      <c r="E208">
        <v>21435997</v>
      </c>
      <c r="F208" t="s">
        <v>95</v>
      </c>
      <c r="G208" t="s">
        <v>121</v>
      </c>
      <c r="H208" s="1">
        <v>46023</v>
      </c>
      <c r="I208" s="2">
        <v>0</v>
      </c>
      <c r="J208" s="2">
        <v>347</v>
      </c>
      <c r="K208">
        <v>1</v>
      </c>
      <c r="L208" s="2">
        <v>347</v>
      </c>
      <c r="M208" t="s">
        <v>122</v>
      </c>
      <c r="N208" t="s">
        <v>734</v>
      </c>
      <c r="O208" t="s">
        <v>731</v>
      </c>
    </row>
    <row r="209" spans="1:15" x14ac:dyDescent="0.25">
      <c r="A209" s="5">
        <v>981525836</v>
      </c>
      <c r="B209" s="5" t="str">
        <f t="shared" si="8"/>
        <v>98152583611</v>
      </c>
      <c r="C209" t="s">
        <v>663</v>
      </c>
      <c r="D209" t="s">
        <v>86</v>
      </c>
      <c r="E209">
        <v>21435997</v>
      </c>
      <c r="F209" t="s">
        <v>95</v>
      </c>
      <c r="G209" t="s">
        <v>121</v>
      </c>
      <c r="H209" s="1">
        <v>46023</v>
      </c>
      <c r="I209" s="2">
        <v>0</v>
      </c>
      <c r="J209" s="2">
        <v>347</v>
      </c>
      <c r="K209">
        <v>1</v>
      </c>
      <c r="L209" s="2">
        <v>347</v>
      </c>
      <c r="M209" t="s">
        <v>122</v>
      </c>
      <c r="N209" t="s">
        <v>734</v>
      </c>
      <c r="O209" t="s">
        <v>731</v>
      </c>
    </row>
    <row r="210" spans="1:15" x14ac:dyDescent="0.25">
      <c r="A210" s="5">
        <v>981648667</v>
      </c>
      <c r="B210" s="5" t="str">
        <f t="shared" si="8"/>
        <v>98164866711</v>
      </c>
      <c r="C210" t="s">
        <v>665</v>
      </c>
      <c r="D210" t="s">
        <v>86</v>
      </c>
      <c r="E210">
        <v>21564088</v>
      </c>
      <c r="F210" t="s">
        <v>220</v>
      </c>
      <c r="G210" t="s">
        <v>121</v>
      </c>
      <c r="H210" s="1">
        <v>46023</v>
      </c>
      <c r="I210" s="2">
        <v>0</v>
      </c>
      <c r="J210" s="2">
        <v>347</v>
      </c>
      <c r="K210">
        <v>1</v>
      </c>
      <c r="L210" s="2">
        <v>347</v>
      </c>
      <c r="M210" t="s">
        <v>122</v>
      </c>
      <c r="N210" t="s">
        <v>734</v>
      </c>
      <c r="O210" t="s">
        <v>731</v>
      </c>
    </row>
    <row r="211" spans="1:15" x14ac:dyDescent="0.25">
      <c r="A211" s="5">
        <v>982017456</v>
      </c>
      <c r="B211" s="5" t="str">
        <f t="shared" si="8"/>
        <v>98201745611</v>
      </c>
      <c r="C211" t="s">
        <v>667</v>
      </c>
      <c r="D211" t="s">
        <v>196</v>
      </c>
      <c r="E211">
        <v>6634327</v>
      </c>
      <c r="F211" t="s">
        <v>252</v>
      </c>
      <c r="G211" t="s">
        <v>121</v>
      </c>
      <c r="H211" s="1">
        <v>46023</v>
      </c>
      <c r="I211" s="2">
        <v>0</v>
      </c>
      <c r="J211" s="2">
        <v>347</v>
      </c>
      <c r="K211">
        <v>1</v>
      </c>
      <c r="L211" s="2">
        <v>347</v>
      </c>
      <c r="M211" t="s">
        <v>122</v>
      </c>
      <c r="N211" t="s">
        <v>734</v>
      </c>
      <c r="O211" t="s">
        <v>731</v>
      </c>
    </row>
    <row r="212" spans="1:15" x14ac:dyDescent="0.25">
      <c r="A212" s="5">
        <v>982804488</v>
      </c>
      <c r="B212" s="5" t="str">
        <f t="shared" si="8"/>
        <v>98280448811</v>
      </c>
      <c r="C212" t="s">
        <v>669</v>
      </c>
      <c r="D212" t="s">
        <v>46</v>
      </c>
      <c r="E212">
        <v>16865615</v>
      </c>
      <c r="F212" t="s">
        <v>198</v>
      </c>
      <c r="G212" t="s">
        <v>121</v>
      </c>
      <c r="H212" s="1">
        <v>46023</v>
      </c>
      <c r="I212" s="2">
        <v>0</v>
      </c>
      <c r="J212" s="2">
        <v>347</v>
      </c>
      <c r="K212">
        <v>1</v>
      </c>
      <c r="L212" s="2">
        <v>347</v>
      </c>
      <c r="M212" t="s">
        <v>122</v>
      </c>
      <c r="N212" t="s">
        <v>734</v>
      </c>
      <c r="O212" t="s">
        <v>731</v>
      </c>
    </row>
    <row r="213" spans="1:15" x14ac:dyDescent="0.25">
      <c r="A213" s="5">
        <v>983780202</v>
      </c>
      <c r="B213" s="5" t="str">
        <f t="shared" si="8"/>
        <v>98378020211</v>
      </c>
      <c r="C213" t="s">
        <v>671</v>
      </c>
      <c r="D213" t="s">
        <v>46</v>
      </c>
      <c r="E213">
        <v>9213293</v>
      </c>
      <c r="F213" t="s">
        <v>68</v>
      </c>
      <c r="G213" t="s">
        <v>121</v>
      </c>
      <c r="H213" s="1">
        <v>46023</v>
      </c>
      <c r="I213" s="2">
        <v>0</v>
      </c>
      <c r="J213" s="2">
        <v>347</v>
      </c>
      <c r="K213">
        <v>1</v>
      </c>
      <c r="L213" s="2">
        <v>347</v>
      </c>
      <c r="M213" t="s">
        <v>122</v>
      </c>
      <c r="N213" t="s">
        <v>734</v>
      </c>
      <c r="O213" t="s">
        <v>731</v>
      </c>
    </row>
    <row r="214" spans="1:15" x14ac:dyDescent="0.25">
      <c r="A214" s="5">
        <v>986833979</v>
      </c>
      <c r="B214" s="5" t="str">
        <f t="shared" si="8"/>
        <v>98683397911</v>
      </c>
      <c r="C214" t="s">
        <v>678</v>
      </c>
      <c r="D214" t="s">
        <v>196</v>
      </c>
      <c r="E214">
        <v>6634327</v>
      </c>
      <c r="F214" t="s">
        <v>252</v>
      </c>
      <c r="G214" t="s">
        <v>121</v>
      </c>
      <c r="H214" s="1">
        <v>46023</v>
      </c>
      <c r="I214" s="2">
        <v>0</v>
      </c>
      <c r="J214" s="2">
        <v>347</v>
      </c>
      <c r="K214">
        <v>1</v>
      </c>
      <c r="L214" s="2">
        <v>347</v>
      </c>
      <c r="M214" t="s">
        <v>122</v>
      </c>
      <c r="N214" t="s">
        <v>734</v>
      </c>
      <c r="O214" t="s">
        <v>731</v>
      </c>
    </row>
    <row r="215" spans="1:15" x14ac:dyDescent="0.25">
      <c r="A215" s="5">
        <v>986917543</v>
      </c>
      <c r="B215" s="5" t="str">
        <f t="shared" si="8"/>
        <v>98691754311</v>
      </c>
      <c r="C215" t="s">
        <v>680</v>
      </c>
      <c r="D215" t="s">
        <v>86</v>
      </c>
      <c r="E215">
        <v>21564088</v>
      </c>
      <c r="F215" t="s">
        <v>220</v>
      </c>
      <c r="G215" t="s">
        <v>121</v>
      </c>
      <c r="H215" s="1">
        <v>46023</v>
      </c>
      <c r="I215" s="2">
        <v>0</v>
      </c>
      <c r="J215" s="2">
        <v>347</v>
      </c>
      <c r="K215">
        <v>1</v>
      </c>
      <c r="L215" s="2">
        <v>347</v>
      </c>
      <c r="M215" t="s">
        <v>122</v>
      </c>
      <c r="N215" t="s">
        <v>734</v>
      </c>
      <c r="O215" t="s">
        <v>731</v>
      </c>
    </row>
    <row r="216" spans="1:15" x14ac:dyDescent="0.25">
      <c r="A216" s="5">
        <v>987907924</v>
      </c>
      <c r="B216" s="5" t="str">
        <f t="shared" si="8"/>
        <v>98790792411</v>
      </c>
      <c r="C216" t="s">
        <v>682</v>
      </c>
      <c r="D216" t="s">
        <v>46</v>
      </c>
      <c r="E216">
        <v>19645587</v>
      </c>
      <c r="F216" t="s">
        <v>78</v>
      </c>
      <c r="G216" t="s">
        <v>121</v>
      </c>
      <c r="H216" s="1">
        <v>46023</v>
      </c>
      <c r="I216" s="2">
        <v>0</v>
      </c>
      <c r="J216" s="2">
        <v>347</v>
      </c>
      <c r="K216">
        <v>1</v>
      </c>
      <c r="L216" s="2">
        <v>347</v>
      </c>
      <c r="M216" t="s">
        <v>122</v>
      </c>
      <c r="N216" t="s">
        <v>734</v>
      </c>
      <c r="O216" t="s">
        <v>731</v>
      </c>
    </row>
    <row r="217" spans="1:15" x14ac:dyDescent="0.25">
      <c r="A217" s="5">
        <v>988729741</v>
      </c>
      <c r="B217" s="5" t="str">
        <f t="shared" si="8"/>
        <v>98872974111</v>
      </c>
      <c r="C217" t="s">
        <v>684</v>
      </c>
      <c r="D217" t="s">
        <v>271</v>
      </c>
      <c r="E217">
        <v>19615078</v>
      </c>
      <c r="F217" t="s">
        <v>454</v>
      </c>
      <c r="G217" t="s">
        <v>121</v>
      </c>
      <c r="H217" s="1">
        <v>46023</v>
      </c>
      <c r="I217" s="2">
        <v>0</v>
      </c>
      <c r="J217" s="2">
        <v>347</v>
      </c>
      <c r="K217">
        <v>1</v>
      </c>
      <c r="L217" s="2">
        <v>347</v>
      </c>
      <c r="M217" t="s">
        <v>122</v>
      </c>
      <c r="N217" t="s">
        <v>734</v>
      </c>
      <c r="O217" t="s">
        <v>731</v>
      </c>
    </row>
    <row r="218" spans="1:15" x14ac:dyDescent="0.25">
      <c r="A218" s="5">
        <v>989689044</v>
      </c>
      <c r="B218" s="5" t="str">
        <f t="shared" si="8"/>
        <v>98968904411</v>
      </c>
      <c r="C218" t="s">
        <v>688</v>
      </c>
      <c r="D218" t="s">
        <v>86</v>
      </c>
      <c r="E218">
        <v>21564088</v>
      </c>
      <c r="F218" t="s">
        <v>220</v>
      </c>
      <c r="G218" t="s">
        <v>121</v>
      </c>
      <c r="H218" s="1">
        <v>46023</v>
      </c>
      <c r="I218" s="2">
        <v>0</v>
      </c>
      <c r="J218" s="2">
        <v>347</v>
      </c>
      <c r="K218">
        <v>1</v>
      </c>
      <c r="L218" s="2">
        <v>347</v>
      </c>
      <c r="M218" t="s">
        <v>122</v>
      </c>
      <c r="N218" t="s">
        <v>734</v>
      </c>
      <c r="O218" t="s">
        <v>731</v>
      </c>
    </row>
    <row r="219" spans="1:15" x14ac:dyDescent="0.25">
      <c r="A219" s="5">
        <v>990114406</v>
      </c>
      <c r="B219" s="5" t="str">
        <f t="shared" si="8"/>
        <v>99011440611</v>
      </c>
      <c r="C219" t="s">
        <v>690</v>
      </c>
      <c r="D219" t="s">
        <v>46</v>
      </c>
      <c r="E219">
        <v>9213293</v>
      </c>
      <c r="F219" t="s">
        <v>68</v>
      </c>
      <c r="G219" t="s">
        <v>121</v>
      </c>
      <c r="H219" s="1">
        <v>46023</v>
      </c>
      <c r="I219" s="2">
        <v>0</v>
      </c>
      <c r="J219" s="2">
        <v>347</v>
      </c>
      <c r="K219">
        <v>1</v>
      </c>
      <c r="L219" s="2">
        <v>347</v>
      </c>
      <c r="M219" t="s">
        <v>122</v>
      </c>
      <c r="N219" t="s">
        <v>734</v>
      </c>
      <c r="O219" t="s">
        <v>731</v>
      </c>
    </row>
    <row r="220" spans="1:15" x14ac:dyDescent="0.25">
      <c r="A220" s="5">
        <v>992342705</v>
      </c>
      <c r="B220" s="5" t="str">
        <f t="shared" si="8"/>
        <v>99234270511</v>
      </c>
      <c r="C220" t="s">
        <v>692</v>
      </c>
      <c r="D220" t="s">
        <v>196</v>
      </c>
      <c r="E220">
        <v>16865615</v>
      </c>
      <c r="F220" t="s">
        <v>198</v>
      </c>
      <c r="G220" t="s">
        <v>121</v>
      </c>
      <c r="H220" s="1">
        <v>46023</v>
      </c>
      <c r="I220" s="2">
        <v>0</v>
      </c>
      <c r="J220" s="2">
        <v>347</v>
      </c>
      <c r="K220">
        <v>1</v>
      </c>
      <c r="L220" s="2">
        <v>347</v>
      </c>
      <c r="M220" t="s">
        <v>122</v>
      </c>
      <c r="N220" t="s">
        <v>734</v>
      </c>
      <c r="O220" t="s">
        <v>731</v>
      </c>
    </row>
    <row r="221" spans="1:15" x14ac:dyDescent="0.25">
      <c r="A221" s="5">
        <v>992499817</v>
      </c>
      <c r="B221" s="5" t="str">
        <f t="shared" si="8"/>
        <v>99249981711</v>
      </c>
      <c r="C221" t="s">
        <v>694</v>
      </c>
      <c r="D221" t="s">
        <v>196</v>
      </c>
      <c r="E221">
        <v>16865615</v>
      </c>
      <c r="F221" t="s">
        <v>198</v>
      </c>
      <c r="G221" t="s">
        <v>121</v>
      </c>
      <c r="H221" s="1">
        <v>46023</v>
      </c>
      <c r="I221" s="2">
        <v>0</v>
      </c>
      <c r="J221" s="2">
        <v>347</v>
      </c>
      <c r="K221">
        <v>1</v>
      </c>
      <c r="L221" s="2">
        <v>347</v>
      </c>
      <c r="M221" t="s">
        <v>122</v>
      </c>
      <c r="N221" t="s">
        <v>734</v>
      </c>
      <c r="O221" t="s">
        <v>731</v>
      </c>
    </row>
    <row r="222" spans="1:15" x14ac:dyDescent="0.25">
      <c r="A222" s="5">
        <v>992644120</v>
      </c>
      <c r="B222" s="5" t="str">
        <f t="shared" si="8"/>
        <v>99264412011</v>
      </c>
      <c r="C222" t="s">
        <v>696</v>
      </c>
      <c r="D222" t="s">
        <v>196</v>
      </c>
      <c r="E222">
        <v>16865615</v>
      </c>
      <c r="F222" t="s">
        <v>198</v>
      </c>
      <c r="G222" t="s">
        <v>121</v>
      </c>
      <c r="H222" s="1">
        <v>46023</v>
      </c>
      <c r="I222" s="2">
        <v>0</v>
      </c>
      <c r="J222" s="2">
        <v>347</v>
      </c>
      <c r="K222">
        <v>1</v>
      </c>
      <c r="L222" s="2">
        <v>347</v>
      </c>
      <c r="M222" t="s">
        <v>122</v>
      </c>
      <c r="N222" t="s">
        <v>734</v>
      </c>
      <c r="O222" t="s">
        <v>731</v>
      </c>
    </row>
    <row r="223" spans="1:15" x14ac:dyDescent="0.25">
      <c r="A223" s="5">
        <v>993107229</v>
      </c>
      <c r="B223" s="5" t="str">
        <f t="shared" si="8"/>
        <v>99310722911</v>
      </c>
      <c r="C223" t="s">
        <v>698</v>
      </c>
      <c r="D223" t="s">
        <v>699</v>
      </c>
      <c r="E223">
        <v>17425766</v>
      </c>
      <c r="F223" t="s">
        <v>256</v>
      </c>
      <c r="G223" t="s">
        <v>121</v>
      </c>
      <c r="H223" s="1">
        <v>46023</v>
      </c>
      <c r="I223" s="2">
        <v>0</v>
      </c>
      <c r="J223" s="2">
        <v>347</v>
      </c>
      <c r="K223">
        <v>1</v>
      </c>
      <c r="L223" s="2">
        <v>347</v>
      </c>
      <c r="M223" t="s">
        <v>122</v>
      </c>
      <c r="N223" t="s">
        <v>734</v>
      </c>
      <c r="O223" t="s">
        <v>731</v>
      </c>
    </row>
    <row r="224" spans="1:15" x14ac:dyDescent="0.25">
      <c r="A224" s="5">
        <v>993173798</v>
      </c>
      <c r="B224" s="5" t="str">
        <f t="shared" si="8"/>
        <v>99317379811</v>
      </c>
      <c r="C224" t="s">
        <v>701</v>
      </c>
      <c r="D224" t="s">
        <v>118</v>
      </c>
      <c r="E224">
        <v>19200754</v>
      </c>
      <c r="F224" t="s">
        <v>231</v>
      </c>
      <c r="G224" t="s">
        <v>121</v>
      </c>
      <c r="H224" s="1">
        <v>46023</v>
      </c>
      <c r="I224" s="2">
        <v>0</v>
      </c>
      <c r="J224" s="2">
        <v>347</v>
      </c>
      <c r="K224">
        <v>1</v>
      </c>
      <c r="L224" s="2">
        <v>347</v>
      </c>
      <c r="M224" t="s">
        <v>122</v>
      </c>
      <c r="N224" t="s">
        <v>734</v>
      </c>
      <c r="O224" t="s">
        <v>731</v>
      </c>
    </row>
    <row r="225" spans="1:39" x14ac:dyDescent="0.25">
      <c r="A225" s="5">
        <v>993350281</v>
      </c>
      <c r="B225" s="5" t="str">
        <f t="shared" si="8"/>
        <v>99335028111</v>
      </c>
      <c r="C225" t="s">
        <v>703</v>
      </c>
      <c r="D225" t="s">
        <v>196</v>
      </c>
      <c r="E225">
        <v>6634327</v>
      </c>
      <c r="F225" t="s">
        <v>252</v>
      </c>
      <c r="G225" t="s">
        <v>121</v>
      </c>
      <c r="H225" s="1">
        <v>46023</v>
      </c>
      <c r="I225" s="2">
        <v>0</v>
      </c>
      <c r="J225" s="2">
        <v>347</v>
      </c>
      <c r="K225">
        <v>1</v>
      </c>
      <c r="L225" s="2">
        <v>347</v>
      </c>
      <c r="M225" t="s">
        <v>122</v>
      </c>
      <c r="N225" t="s">
        <v>734</v>
      </c>
      <c r="O225" t="s">
        <v>731</v>
      </c>
    </row>
    <row r="226" spans="1:39" x14ac:dyDescent="0.25">
      <c r="A226" s="5">
        <v>993410662</v>
      </c>
      <c r="B226" s="5" t="str">
        <f t="shared" si="8"/>
        <v>99341066211</v>
      </c>
      <c r="C226" t="s">
        <v>705</v>
      </c>
      <c r="D226" t="s">
        <v>118</v>
      </c>
      <c r="E226">
        <v>9079571</v>
      </c>
      <c r="F226" t="s">
        <v>391</v>
      </c>
      <c r="G226" t="s">
        <v>121</v>
      </c>
      <c r="H226" s="1">
        <v>46023</v>
      </c>
      <c r="I226" s="2">
        <v>0</v>
      </c>
      <c r="J226" s="2">
        <v>347</v>
      </c>
      <c r="K226">
        <v>1</v>
      </c>
      <c r="L226" s="2">
        <v>347</v>
      </c>
      <c r="M226" t="s">
        <v>122</v>
      </c>
      <c r="N226" t="s">
        <v>734</v>
      </c>
      <c r="O226" t="s">
        <v>731</v>
      </c>
    </row>
    <row r="227" spans="1:39" x14ac:dyDescent="0.25">
      <c r="A227" s="5">
        <v>994055549</v>
      </c>
      <c r="B227" s="5" t="str">
        <f t="shared" si="8"/>
        <v>99405554911</v>
      </c>
      <c r="C227" t="s">
        <v>707</v>
      </c>
      <c r="D227" t="s">
        <v>46</v>
      </c>
      <c r="E227">
        <v>16865615</v>
      </c>
      <c r="F227" t="s">
        <v>198</v>
      </c>
      <c r="G227" t="s">
        <v>121</v>
      </c>
      <c r="H227" s="1">
        <v>46023</v>
      </c>
      <c r="I227" s="2">
        <v>0</v>
      </c>
      <c r="J227" s="2">
        <v>347</v>
      </c>
      <c r="K227">
        <v>1</v>
      </c>
      <c r="L227" s="2">
        <v>347</v>
      </c>
      <c r="M227" t="s">
        <v>122</v>
      </c>
      <c r="N227" t="s">
        <v>734</v>
      </c>
      <c r="O227" t="s">
        <v>731</v>
      </c>
    </row>
    <row r="228" spans="1:39" x14ac:dyDescent="0.25">
      <c r="A228" s="5">
        <v>995080570</v>
      </c>
      <c r="B228" s="5" t="str">
        <f t="shared" si="8"/>
        <v>99508057011</v>
      </c>
      <c r="C228" t="s">
        <v>709</v>
      </c>
      <c r="D228" t="s">
        <v>173</v>
      </c>
      <c r="E228">
        <v>21435997</v>
      </c>
      <c r="F228" t="s">
        <v>95</v>
      </c>
      <c r="G228" t="s">
        <v>121</v>
      </c>
      <c r="H228" s="1">
        <v>46023</v>
      </c>
      <c r="I228" s="2">
        <v>0</v>
      </c>
      <c r="J228" s="2">
        <v>347</v>
      </c>
      <c r="K228">
        <v>1</v>
      </c>
      <c r="L228" s="2">
        <v>347</v>
      </c>
      <c r="M228" t="s">
        <v>122</v>
      </c>
      <c r="N228" t="s">
        <v>734</v>
      </c>
      <c r="O228" t="s">
        <v>731</v>
      </c>
    </row>
    <row r="229" spans="1:39" x14ac:dyDescent="0.25">
      <c r="A229" s="5">
        <v>995591428</v>
      </c>
      <c r="B229" s="5" t="str">
        <f t="shared" si="8"/>
        <v>99559142811</v>
      </c>
      <c r="C229" t="s">
        <v>711</v>
      </c>
      <c r="D229" t="s">
        <v>196</v>
      </c>
      <c r="E229">
        <v>16865615</v>
      </c>
      <c r="F229" t="s">
        <v>198</v>
      </c>
      <c r="G229" t="s">
        <v>121</v>
      </c>
      <c r="H229" s="1">
        <v>46023</v>
      </c>
      <c r="I229" s="2">
        <v>0</v>
      </c>
      <c r="J229" s="2">
        <v>347</v>
      </c>
      <c r="K229">
        <v>1</v>
      </c>
      <c r="L229" s="2">
        <v>347</v>
      </c>
      <c r="M229" t="s">
        <v>122</v>
      </c>
      <c r="N229" t="s">
        <v>734</v>
      </c>
      <c r="O229" t="s">
        <v>731</v>
      </c>
    </row>
    <row r="230" spans="1:39" x14ac:dyDescent="0.25">
      <c r="A230" s="5">
        <v>996928045</v>
      </c>
      <c r="B230" s="5" t="str">
        <f t="shared" si="8"/>
        <v>99692804511</v>
      </c>
      <c r="C230" t="s">
        <v>715</v>
      </c>
      <c r="D230" t="s">
        <v>46</v>
      </c>
      <c r="E230">
        <v>19645587</v>
      </c>
      <c r="F230" t="s">
        <v>78</v>
      </c>
      <c r="G230" t="s">
        <v>121</v>
      </c>
      <c r="H230" s="1">
        <v>46023</v>
      </c>
      <c r="I230" s="2">
        <v>0</v>
      </c>
      <c r="J230" s="2">
        <v>347</v>
      </c>
      <c r="K230">
        <v>1</v>
      </c>
      <c r="L230" s="2">
        <v>347</v>
      </c>
      <c r="M230" t="s">
        <v>122</v>
      </c>
      <c r="N230" t="s">
        <v>734</v>
      </c>
      <c r="O230" t="s">
        <v>731</v>
      </c>
    </row>
    <row r="231" spans="1:39" x14ac:dyDescent="0.25">
      <c r="A231" s="5">
        <v>997869450</v>
      </c>
      <c r="B231" s="5" t="str">
        <f t="shared" si="8"/>
        <v>99786945011</v>
      </c>
      <c r="C231" t="s">
        <v>717</v>
      </c>
      <c r="D231" t="s">
        <v>271</v>
      </c>
      <c r="E231">
        <v>21435997</v>
      </c>
      <c r="F231" t="s">
        <v>95</v>
      </c>
      <c r="G231" t="s">
        <v>121</v>
      </c>
      <c r="H231" s="1">
        <v>46023</v>
      </c>
      <c r="I231" s="2">
        <v>0</v>
      </c>
      <c r="J231" s="2">
        <v>347</v>
      </c>
      <c r="K231">
        <v>1</v>
      </c>
      <c r="L231" s="2">
        <v>347</v>
      </c>
      <c r="M231" t="s">
        <v>122</v>
      </c>
      <c r="N231" t="s">
        <v>734</v>
      </c>
      <c r="O231" t="s">
        <v>731</v>
      </c>
    </row>
    <row r="232" spans="1:39" x14ac:dyDescent="0.25">
      <c r="A232" s="6">
        <v>920226796</v>
      </c>
      <c r="B232" s="6" t="str">
        <f>CONCATENATE(A232,"OVR")</f>
        <v>920226796OVR</v>
      </c>
      <c r="C232" s="7" t="s">
        <v>347</v>
      </c>
      <c r="D232" s="7" t="s">
        <v>71</v>
      </c>
      <c r="E232" s="7">
        <v>20411454</v>
      </c>
      <c r="F232" s="7" t="s">
        <v>741</v>
      </c>
      <c r="G232" s="7" t="s">
        <v>351</v>
      </c>
      <c r="H232" s="8">
        <v>46023</v>
      </c>
      <c r="I232" s="9">
        <v>0</v>
      </c>
      <c r="J232" s="9">
        <v>113</v>
      </c>
      <c r="K232" s="7">
        <v>1</v>
      </c>
      <c r="L232" s="9">
        <v>113</v>
      </c>
      <c r="M232" s="7"/>
      <c r="N232" s="7" t="s">
        <v>729</v>
      </c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</row>
    <row r="233" spans="1:39" x14ac:dyDescent="0.25">
      <c r="A233" s="5"/>
      <c r="B233" s="5"/>
      <c r="H233" s="1"/>
      <c r="I233" s="2"/>
      <c r="J233" s="2"/>
      <c r="L233" s="2"/>
    </row>
  </sheetData>
  <sortState xmlns:xlrd2="http://schemas.microsoft.com/office/spreadsheetml/2017/richdata2" ref="A2:AM274">
    <sortCondition ref="N2:N274"/>
    <sortCondition ref="L2:L27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35201-C0F8-49C1-AFAC-A0E4ACEAB585}">
  <dimension ref="A1:P42"/>
  <sheetViews>
    <sheetView tabSelected="1" workbookViewId="0">
      <selection activeCell="B2" sqref="B2"/>
    </sheetView>
  </sheetViews>
  <sheetFormatPr defaultRowHeight="15" x14ac:dyDescent="0.25"/>
  <cols>
    <col min="1" max="1" width="14.140625" bestFit="1" customWidth="1"/>
    <col min="2" max="2" width="12" bestFit="1" customWidth="1"/>
    <col min="3" max="3" width="22.5703125" bestFit="1" customWidth="1"/>
    <col min="6" max="6" width="24.5703125" bestFit="1" customWidth="1"/>
    <col min="7" max="7" width="59.140625" bestFit="1" customWidth="1"/>
    <col min="15" max="15" width="24.42578125" bestFit="1" customWidth="1"/>
  </cols>
  <sheetData>
    <row r="1" spans="1:16" x14ac:dyDescent="0.25">
      <c r="A1" s="4" t="s">
        <v>8</v>
      </c>
      <c r="B1" s="4"/>
      <c r="C1" t="s">
        <v>9</v>
      </c>
      <c r="D1" t="s">
        <v>12</v>
      </c>
      <c r="E1" t="s">
        <v>14</v>
      </c>
      <c r="F1" t="s">
        <v>15</v>
      </c>
      <c r="G1" t="s">
        <v>17</v>
      </c>
      <c r="H1" t="s">
        <v>18</v>
      </c>
      <c r="I1" t="s">
        <v>24</v>
      </c>
      <c r="J1" t="s">
        <v>25</v>
      </c>
      <c r="K1" t="s">
        <v>26</v>
      </c>
      <c r="L1" t="s">
        <v>28</v>
      </c>
      <c r="M1" t="s">
        <v>37</v>
      </c>
    </row>
    <row r="2" spans="1:16" x14ac:dyDescent="0.25">
      <c r="A2" s="5">
        <v>901037707</v>
      </c>
      <c r="B2" s="5" t="str">
        <f>CONCATENATE(A2,13)</f>
        <v>90103770713</v>
      </c>
      <c r="C2" t="s">
        <v>175</v>
      </c>
      <c r="D2" t="s">
        <v>46</v>
      </c>
      <c r="E2">
        <v>8244481</v>
      </c>
      <c r="F2" t="s">
        <v>177</v>
      </c>
      <c r="G2" t="s">
        <v>178</v>
      </c>
      <c r="H2" s="1">
        <v>46023</v>
      </c>
      <c r="I2" s="2">
        <v>0</v>
      </c>
      <c r="J2" s="2">
        <v>203</v>
      </c>
      <c r="K2">
        <v>1</v>
      </c>
      <c r="L2" s="2">
        <v>203</v>
      </c>
      <c r="M2" t="s">
        <v>122</v>
      </c>
      <c r="O2" t="s">
        <v>742</v>
      </c>
      <c r="P2" t="s">
        <v>744</v>
      </c>
    </row>
    <row r="3" spans="1:16" x14ac:dyDescent="0.25">
      <c r="A3" s="5">
        <v>905157294</v>
      </c>
      <c r="B3" s="5" t="str">
        <f t="shared" ref="B3:B42" si="0">CONCATENATE(A3,13)</f>
        <v>90515729413</v>
      </c>
      <c r="C3" t="s">
        <v>216</v>
      </c>
      <c r="D3" t="s">
        <v>146</v>
      </c>
      <c r="E3">
        <v>9213293</v>
      </c>
      <c r="F3" t="s">
        <v>68</v>
      </c>
      <c r="G3" t="s">
        <v>178</v>
      </c>
      <c r="H3" s="1">
        <v>46023</v>
      </c>
      <c r="I3" s="2">
        <v>0</v>
      </c>
      <c r="J3" s="2">
        <v>203</v>
      </c>
      <c r="K3">
        <v>1</v>
      </c>
      <c r="L3" s="2">
        <v>203</v>
      </c>
      <c r="M3" t="s">
        <v>122</v>
      </c>
      <c r="O3" t="s">
        <v>742</v>
      </c>
      <c r="P3" t="s">
        <v>744</v>
      </c>
    </row>
    <row r="4" spans="1:16" x14ac:dyDescent="0.25">
      <c r="A4" s="5">
        <v>908826935</v>
      </c>
      <c r="B4" s="5" t="str">
        <f t="shared" si="0"/>
        <v>90882693513</v>
      </c>
      <c r="C4" t="s">
        <v>260</v>
      </c>
      <c r="D4" t="s">
        <v>118</v>
      </c>
      <c r="E4">
        <v>21435997</v>
      </c>
      <c r="F4" t="s">
        <v>95</v>
      </c>
      <c r="G4" t="s">
        <v>178</v>
      </c>
      <c r="H4" s="1">
        <v>46023</v>
      </c>
      <c r="I4" s="2">
        <v>0</v>
      </c>
      <c r="J4" s="2">
        <v>203</v>
      </c>
      <c r="K4">
        <v>1</v>
      </c>
      <c r="L4" s="2">
        <v>203</v>
      </c>
      <c r="M4" t="s">
        <v>122</v>
      </c>
      <c r="O4" t="s">
        <v>742</v>
      </c>
      <c r="P4" t="s">
        <v>744</v>
      </c>
    </row>
    <row r="5" spans="1:16" x14ac:dyDescent="0.25">
      <c r="A5" s="5">
        <v>909120643</v>
      </c>
      <c r="B5" s="5" t="str">
        <f t="shared" si="0"/>
        <v>90912064313</v>
      </c>
      <c r="C5" t="s">
        <v>262</v>
      </c>
      <c r="D5" t="s">
        <v>146</v>
      </c>
      <c r="E5">
        <v>2158366</v>
      </c>
      <c r="F5" t="s">
        <v>63</v>
      </c>
      <c r="G5" t="s">
        <v>178</v>
      </c>
      <c r="H5" s="1">
        <v>46023</v>
      </c>
      <c r="I5" s="2">
        <v>0</v>
      </c>
      <c r="J5" s="2">
        <v>203</v>
      </c>
      <c r="K5">
        <v>1</v>
      </c>
      <c r="L5" s="2">
        <v>203</v>
      </c>
      <c r="M5" t="s">
        <v>122</v>
      </c>
      <c r="O5" t="s">
        <v>742</v>
      </c>
      <c r="P5" t="s">
        <v>744</v>
      </c>
    </row>
    <row r="6" spans="1:16" x14ac:dyDescent="0.25">
      <c r="A6" s="5">
        <v>910837839</v>
      </c>
      <c r="B6" s="5" t="str">
        <f t="shared" si="0"/>
        <v>91083783913</v>
      </c>
      <c r="C6" t="s">
        <v>275</v>
      </c>
      <c r="D6" t="s">
        <v>143</v>
      </c>
      <c r="E6">
        <v>20003537</v>
      </c>
      <c r="F6" t="s">
        <v>120</v>
      </c>
      <c r="G6" t="s">
        <v>178</v>
      </c>
      <c r="H6" s="1">
        <v>46023</v>
      </c>
      <c r="I6" s="2">
        <v>0</v>
      </c>
      <c r="J6" s="2">
        <v>203</v>
      </c>
      <c r="K6">
        <v>1</v>
      </c>
      <c r="L6" s="2">
        <v>203</v>
      </c>
      <c r="M6" t="s">
        <v>122</v>
      </c>
      <c r="O6" t="s">
        <v>742</v>
      </c>
      <c r="P6" t="s">
        <v>744</v>
      </c>
    </row>
    <row r="7" spans="1:16" x14ac:dyDescent="0.25">
      <c r="A7" s="5">
        <v>912672491</v>
      </c>
      <c r="B7" s="5" t="str">
        <f t="shared" si="0"/>
        <v>91267249113</v>
      </c>
      <c r="C7" t="s">
        <v>287</v>
      </c>
      <c r="D7" t="s">
        <v>118</v>
      </c>
      <c r="E7">
        <v>19645587</v>
      </c>
      <c r="F7" t="s">
        <v>78</v>
      </c>
      <c r="G7" t="s">
        <v>178</v>
      </c>
      <c r="H7" s="1">
        <v>46023</v>
      </c>
      <c r="I7" s="2">
        <v>0</v>
      </c>
      <c r="J7" s="2">
        <v>203</v>
      </c>
      <c r="K7">
        <v>1</v>
      </c>
      <c r="L7" s="2">
        <v>203</v>
      </c>
      <c r="M7" t="s">
        <v>122</v>
      </c>
      <c r="O7" t="s">
        <v>742</v>
      </c>
      <c r="P7" t="s">
        <v>744</v>
      </c>
    </row>
    <row r="8" spans="1:16" x14ac:dyDescent="0.25">
      <c r="A8" s="5">
        <v>913076466</v>
      </c>
      <c r="B8" s="5" t="str">
        <f t="shared" si="0"/>
        <v>91307646613</v>
      </c>
      <c r="C8" t="s">
        <v>289</v>
      </c>
      <c r="D8" t="s">
        <v>204</v>
      </c>
      <c r="E8">
        <v>16849453</v>
      </c>
      <c r="F8" t="s">
        <v>206</v>
      </c>
      <c r="G8" t="s">
        <v>178</v>
      </c>
      <c r="H8" s="1">
        <v>46023</v>
      </c>
      <c r="I8" s="2">
        <v>0</v>
      </c>
      <c r="J8" s="2">
        <v>203</v>
      </c>
      <c r="K8">
        <v>1</v>
      </c>
      <c r="L8" s="2">
        <v>203</v>
      </c>
      <c r="M8" t="s">
        <v>122</v>
      </c>
      <c r="O8" t="s">
        <v>742</v>
      </c>
      <c r="P8" t="s">
        <v>744</v>
      </c>
    </row>
    <row r="9" spans="1:16" x14ac:dyDescent="0.25">
      <c r="A9" s="5">
        <v>914385881</v>
      </c>
      <c r="B9" s="5" t="str">
        <f t="shared" si="0"/>
        <v>91438588113</v>
      </c>
      <c r="C9" t="s">
        <v>300</v>
      </c>
      <c r="D9" t="s">
        <v>46</v>
      </c>
      <c r="E9">
        <v>16683808</v>
      </c>
      <c r="F9" t="s">
        <v>302</v>
      </c>
      <c r="G9" t="s">
        <v>178</v>
      </c>
      <c r="H9" s="1">
        <v>46023</v>
      </c>
      <c r="I9" s="2">
        <v>0</v>
      </c>
      <c r="J9" s="2">
        <v>203</v>
      </c>
      <c r="K9">
        <v>1</v>
      </c>
      <c r="L9" s="2">
        <v>203</v>
      </c>
      <c r="M9" t="s">
        <v>122</v>
      </c>
      <c r="O9" t="s">
        <v>742</v>
      </c>
      <c r="P9" t="s">
        <v>744</v>
      </c>
    </row>
    <row r="10" spans="1:16" x14ac:dyDescent="0.25">
      <c r="A10" s="5">
        <v>914979534</v>
      </c>
      <c r="B10" s="5" t="str">
        <f t="shared" si="0"/>
        <v>91497953413</v>
      </c>
      <c r="C10" t="s">
        <v>317</v>
      </c>
      <c r="D10" t="s">
        <v>46</v>
      </c>
      <c r="E10">
        <v>20490188</v>
      </c>
      <c r="F10" t="s">
        <v>193</v>
      </c>
      <c r="G10" t="s">
        <v>178</v>
      </c>
      <c r="H10" s="1">
        <v>46023</v>
      </c>
      <c r="I10" s="2">
        <v>0</v>
      </c>
      <c r="J10" s="2">
        <v>203</v>
      </c>
      <c r="K10">
        <v>1</v>
      </c>
      <c r="L10" s="2">
        <v>203</v>
      </c>
      <c r="M10" t="s">
        <v>122</v>
      </c>
      <c r="O10" t="s">
        <v>742</v>
      </c>
      <c r="P10" t="s">
        <v>744</v>
      </c>
    </row>
    <row r="11" spans="1:16" x14ac:dyDescent="0.25">
      <c r="A11" s="5">
        <v>916827423</v>
      </c>
      <c r="B11" s="5" t="str">
        <f t="shared" si="0"/>
        <v>91682742313</v>
      </c>
      <c r="C11" t="s">
        <v>333</v>
      </c>
      <c r="D11" t="s">
        <v>66</v>
      </c>
      <c r="E11">
        <v>9213293</v>
      </c>
      <c r="F11" t="s">
        <v>68</v>
      </c>
      <c r="G11" t="s">
        <v>178</v>
      </c>
      <c r="H11" s="1">
        <v>46023</v>
      </c>
      <c r="I11" s="2">
        <v>0</v>
      </c>
      <c r="J11" s="2">
        <v>203</v>
      </c>
      <c r="K11">
        <v>1</v>
      </c>
      <c r="L11" s="2">
        <v>203</v>
      </c>
      <c r="M11" t="s">
        <v>122</v>
      </c>
      <c r="O11" t="s">
        <v>742</v>
      </c>
      <c r="P11" t="s">
        <v>744</v>
      </c>
    </row>
    <row r="12" spans="1:16" x14ac:dyDescent="0.25">
      <c r="A12" s="5">
        <v>917701101</v>
      </c>
      <c r="B12" s="5" t="str">
        <f t="shared" si="0"/>
        <v>91770110113</v>
      </c>
      <c r="C12" t="s">
        <v>339</v>
      </c>
      <c r="D12" t="s">
        <v>46</v>
      </c>
      <c r="E12">
        <v>21435997</v>
      </c>
      <c r="F12" t="s">
        <v>95</v>
      </c>
      <c r="G12" t="s">
        <v>178</v>
      </c>
      <c r="H12" s="1">
        <v>46023</v>
      </c>
      <c r="I12" s="2">
        <v>0</v>
      </c>
      <c r="J12" s="2">
        <v>203</v>
      </c>
      <c r="K12">
        <v>1</v>
      </c>
      <c r="L12" s="2">
        <v>203</v>
      </c>
      <c r="M12" t="s">
        <v>122</v>
      </c>
      <c r="O12" t="s">
        <v>742</v>
      </c>
      <c r="P12" t="s">
        <v>744</v>
      </c>
    </row>
    <row r="13" spans="1:16" x14ac:dyDescent="0.25">
      <c r="A13" s="5">
        <v>922935380</v>
      </c>
      <c r="B13" s="5" t="str">
        <f t="shared" si="0"/>
        <v>92293538013</v>
      </c>
      <c r="C13" t="s">
        <v>367</v>
      </c>
      <c r="D13" t="s">
        <v>46</v>
      </c>
      <c r="E13">
        <v>20490188</v>
      </c>
      <c r="F13" t="s">
        <v>193</v>
      </c>
      <c r="G13" t="s">
        <v>178</v>
      </c>
      <c r="H13" s="1">
        <v>46023</v>
      </c>
      <c r="I13" s="2">
        <v>0</v>
      </c>
      <c r="J13" s="2">
        <v>203</v>
      </c>
      <c r="K13">
        <v>1</v>
      </c>
      <c r="L13" s="2">
        <v>203</v>
      </c>
      <c r="M13" t="s">
        <v>122</v>
      </c>
      <c r="O13" t="s">
        <v>742</v>
      </c>
      <c r="P13" t="s">
        <v>744</v>
      </c>
    </row>
    <row r="14" spans="1:16" x14ac:dyDescent="0.25">
      <c r="A14" s="5">
        <v>924864657</v>
      </c>
      <c r="B14" s="5" t="str">
        <f t="shared" si="0"/>
        <v>92486465713</v>
      </c>
      <c r="C14" t="s">
        <v>373</v>
      </c>
      <c r="D14" t="s">
        <v>46</v>
      </c>
      <c r="E14">
        <v>8244481</v>
      </c>
      <c r="F14" t="s">
        <v>177</v>
      </c>
      <c r="G14" t="s">
        <v>178</v>
      </c>
      <c r="H14" s="1">
        <v>46023</v>
      </c>
      <c r="I14" s="2">
        <v>0</v>
      </c>
      <c r="J14" s="2">
        <v>203</v>
      </c>
      <c r="K14">
        <v>1</v>
      </c>
      <c r="L14" s="2">
        <v>203</v>
      </c>
      <c r="M14" t="s">
        <v>122</v>
      </c>
      <c r="O14" t="s">
        <v>742</v>
      </c>
      <c r="P14" t="s">
        <v>744</v>
      </c>
    </row>
    <row r="15" spans="1:16" x14ac:dyDescent="0.25">
      <c r="A15" s="5">
        <v>927960226</v>
      </c>
      <c r="B15" s="5" t="str">
        <f t="shared" si="0"/>
        <v>92796022613</v>
      </c>
      <c r="C15" t="s">
        <v>404</v>
      </c>
      <c r="D15" t="s">
        <v>118</v>
      </c>
      <c r="E15">
        <v>9213293</v>
      </c>
      <c r="F15" t="s">
        <v>68</v>
      </c>
      <c r="G15" t="s">
        <v>178</v>
      </c>
      <c r="H15" s="1">
        <v>46023</v>
      </c>
      <c r="I15" s="2">
        <v>0</v>
      </c>
      <c r="J15" s="2">
        <v>203</v>
      </c>
      <c r="K15">
        <v>1</v>
      </c>
      <c r="L15" s="2">
        <v>203</v>
      </c>
      <c r="M15" t="s">
        <v>122</v>
      </c>
      <c r="O15" t="s">
        <v>742</v>
      </c>
      <c r="P15" t="s">
        <v>744</v>
      </c>
    </row>
    <row r="16" spans="1:16" x14ac:dyDescent="0.25">
      <c r="A16" s="5">
        <v>935597255</v>
      </c>
      <c r="B16" s="5" t="str">
        <f t="shared" si="0"/>
        <v>93559725513</v>
      </c>
      <c r="C16" t="s">
        <v>434</v>
      </c>
      <c r="D16" t="s">
        <v>66</v>
      </c>
      <c r="E16">
        <v>9213293</v>
      </c>
      <c r="F16" t="s">
        <v>68</v>
      </c>
      <c r="G16" t="s">
        <v>178</v>
      </c>
      <c r="H16" s="1">
        <v>46023</v>
      </c>
      <c r="I16" s="2">
        <v>0</v>
      </c>
      <c r="J16" s="2">
        <v>203</v>
      </c>
      <c r="K16">
        <v>1</v>
      </c>
      <c r="L16" s="2">
        <v>203</v>
      </c>
      <c r="M16" t="s">
        <v>122</v>
      </c>
      <c r="O16" t="s">
        <v>742</v>
      </c>
      <c r="P16" t="s">
        <v>744</v>
      </c>
    </row>
    <row r="17" spans="1:16" x14ac:dyDescent="0.25">
      <c r="A17" s="5">
        <v>936250397</v>
      </c>
      <c r="B17" s="5" t="str">
        <f t="shared" si="0"/>
        <v>93625039713</v>
      </c>
      <c r="C17" t="s">
        <v>438</v>
      </c>
      <c r="D17" t="s">
        <v>46</v>
      </c>
      <c r="E17">
        <v>8814784</v>
      </c>
      <c r="F17" t="s">
        <v>440</v>
      </c>
      <c r="G17" t="s">
        <v>178</v>
      </c>
      <c r="H17" s="1">
        <v>46023</v>
      </c>
      <c r="I17" s="2">
        <v>0</v>
      </c>
      <c r="J17" s="2">
        <v>203</v>
      </c>
      <c r="K17">
        <v>1</v>
      </c>
      <c r="L17" s="2">
        <v>203</v>
      </c>
      <c r="M17" t="s">
        <v>122</v>
      </c>
      <c r="O17" t="s">
        <v>742</v>
      </c>
      <c r="P17" t="s">
        <v>744</v>
      </c>
    </row>
    <row r="18" spans="1:16" x14ac:dyDescent="0.25">
      <c r="A18" s="5">
        <v>940967614</v>
      </c>
      <c r="B18" s="5" t="str">
        <f t="shared" si="0"/>
        <v>94096761413</v>
      </c>
      <c r="C18" t="s">
        <v>472</v>
      </c>
      <c r="D18" t="s">
        <v>46</v>
      </c>
      <c r="E18">
        <v>8814784</v>
      </c>
      <c r="F18" t="s">
        <v>440</v>
      </c>
      <c r="G18" t="s">
        <v>178</v>
      </c>
      <c r="H18" s="1">
        <v>46023</v>
      </c>
      <c r="I18" s="2">
        <v>0</v>
      </c>
      <c r="J18" s="2">
        <v>203</v>
      </c>
      <c r="K18">
        <v>1</v>
      </c>
      <c r="L18" s="2">
        <v>203</v>
      </c>
      <c r="M18" t="s">
        <v>122</v>
      </c>
      <c r="O18" t="s">
        <v>742</v>
      </c>
      <c r="P18" t="s">
        <v>744</v>
      </c>
    </row>
    <row r="19" spans="1:16" x14ac:dyDescent="0.25">
      <c r="A19" s="5">
        <v>942402608</v>
      </c>
      <c r="B19" s="5" t="str">
        <f t="shared" si="0"/>
        <v>94240260813</v>
      </c>
      <c r="C19" t="s">
        <v>480</v>
      </c>
      <c r="D19" t="s">
        <v>146</v>
      </c>
      <c r="E19">
        <v>9213293</v>
      </c>
      <c r="F19" t="s">
        <v>68</v>
      </c>
      <c r="G19" t="s">
        <v>178</v>
      </c>
      <c r="H19" s="1">
        <v>46023</v>
      </c>
      <c r="I19" s="2">
        <v>0</v>
      </c>
      <c r="J19" s="2">
        <v>203</v>
      </c>
      <c r="K19">
        <v>1</v>
      </c>
      <c r="L19" s="2">
        <v>203</v>
      </c>
      <c r="M19" t="s">
        <v>122</v>
      </c>
      <c r="O19" t="s">
        <v>742</v>
      </c>
      <c r="P19" t="s">
        <v>744</v>
      </c>
    </row>
    <row r="20" spans="1:16" x14ac:dyDescent="0.25">
      <c r="A20" s="5">
        <v>946295942</v>
      </c>
      <c r="B20" s="5" t="str">
        <f t="shared" si="0"/>
        <v>94629594213</v>
      </c>
      <c r="C20" t="s">
        <v>488</v>
      </c>
      <c r="D20" t="s">
        <v>118</v>
      </c>
      <c r="E20">
        <v>21435997</v>
      </c>
      <c r="F20" t="s">
        <v>95</v>
      </c>
      <c r="G20" t="s">
        <v>178</v>
      </c>
      <c r="H20" s="1">
        <v>46023</v>
      </c>
      <c r="I20" s="2">
        <v>0</v>
      </c>
      <c r="J20" s="2">
        <v>203</v>
      </c>
      <c r="K20">
        <v>1</v>
      </c>
      <c r="L20" s="2">
        <v>203</v>
      </c>
      <c r="M20" t="s">
        <v>122</v>
      </c>
      <c r="O20" t="s">
        <v>742</v>
      </c>
      <c r="P20" t="s">
        <v>744</v>
      </c>
    </row>
    <row r="21" spans="1:16" x14ac:dyDescent="0.25">
      <c r="A21" s="5">
        <v>952495296</v>
      </c>
      <c r="B21" s="5" t="str">
        <f t="shared" si="0"/>
        <v>95249529613</v>
      </c>
      <c r="C21" t="s">
        <v>514</v>
      </c>
      <c r="D21" t="s">
        <v>46</v>
      </c>
      <c r="E21">
        <v>16228684</v>
      </c>
      <c r="F21" t="s">
        <v>184</v>
      </c>
      <c r="G21" t="s">
        <v>178</v>
      </c>
      <c r="H21" s="1">
        <v>46023</v>
      </c>
      <c r="I21" s="2">
        <v>0</v>
      </c>
      <c r="J21" s="2">
        <v>203</v>
      </c>
      <c r="K21">
        <v>1</v>
      </c>
      <c r="L21" s="2">
        <v>203</v>
      </c>
      <c r="M21" t="s">
        <v>122</v>
      </c>
      <c r="O21" t="s">
        <v>742</v>
      </c>
      <c r="P21" t="s">
        <v>744</v>
      </c>
    </row>
    <row r="22" spans="1:16" x14ac:dyDescent="0.25">
      <c r="A22" s="5">
        <v>953114727</v>
      </c>
      <c r="B22" s="5" t="str">
        <f t="shared" si="0"/>
        <v>95311472713</v>
      </c>
      <c r="C22" t="s">
        <v>520</v>
      </c>
      <c r="D22" t="s">
        <v>204</v>
      </c>
      <c r="E22">
        <v>20724564</v>
      </c>
      <c r="F22" t="s">
        <v>325</v>
      </c>
      <c r="G22" t="s">
        <v>178</v>
      </c>
      <c r="H22" s="1">
        <v>46023</v>
      </c>
      <c r="I22" s="2">
        <v>0</v>
      </c>
      <c r="J22" s="2">
        <v>203</v>
      </c>
      <c r="K22">
        <v>1</v>
      </c>
      <c r="L22" s="2">
        <v>203</v>
      </c>
      <c r="M22" t="s">
        <v>122</v>
      </c>
      <c r="O22" t="s">
        <v>742</v>
      </c>
      <c r="P22" t="s">
        <v>744</v>
      </c>
    </row>
    <row r="23" spans="1:16" x14ac:dyDescent="0.25">
      <c r="A23" s="5">
        <v>957051758</v>
      </c>
      <c r="B23" s="5" t="str">
        <f t="shared" si="0"/>
        <v>95705175813</v>
      </c>
      <c r="C23" t="s">
        <v>536</v>
      </c>
      <c r="D23" t="s">
        <v>46</v>
      </c>
      <c r="E23">
        <v>8814784</v>
      </c>
      <c r="F23" t="s">
        <v>440</v>
      </c>
      <c r="G23" t="s">
        <v>178</v>
      </c>
      <c r="H23" s="1">
        <v>46023</v>
      </c>
      <c r="I23" s="2">
        <v>0</v>
      </c>
      <c r="J23" s="2">
        <v>203</v>
      </c>
      <c r="K23">
        <v>1</v>
      </c>
      <c r="L23" s="2">
        <v>203</v>
      </c>
      <c r="M23" t="s">
        <v>122</v>
      </c>
      <c r="O23" t="s">
        <v>742</v>
      </c>
      <c r="P23" t="s">
        <v>744</v>
      </c>
    </row>
    <row r="24" spans="1:16" x14ac:dyDescent="0.25">
      <c r="A24" s="5">
        <v>959264118</v>
      </c>
      <c r="B24" s="5" t="str">
        <f t="shared" si="0"/>
        <v>95926411813</v>
      </c>
      <c r="C24" t="s">
        <v>546</v>
      </c>
      <c r="D24" t="s">
        <v>204</v>
      </c>
      <c r="E24">
        <v>16849453</v>
      </c>
      <c r="F24" t="s">
        <v>206</v>
      </c>
      <c r="G24" t="s">
        <v>178</v>
      </c>
      <c r="H24" s="1">
        <v>46023</v>
      </c>
      <c r="I24" s="2">
        <v>0</v>
      </c>
      <c r="J24" s="2">
        <v>203</v>
      </c>
      <c r="K24">
        <v>1</v>
      </c>
      <c r="L24" s="2">
        <v>203</v>
      </c>
      <c r="M24" t="s">
        <v>122</v>
      </c>
      <c r="O24" t="s">
        <v>742</v>
      </c>
      <c r="P24" t="s">
        <v>744</v>
      </c>
    </row>
    <row r="25" spans="1:16" x14ac:dyDescent="0.25">
      <c r="A25" s="5">
        <v>962143922</v>
      </c>
      <c r="B25" s="5" t="str">
        <f t="shared" si="0"/>
        <v>96214392213</v>
      </c>
      <c r="C25" t="s">
        <v>568</v>
      </c>
      <c r="D25" t="s">
        <v>204</v>
      </c>
      <c r="E25">
        <v>16849453</v>
      </c>
      <c r="F25" t="s">
        <v>206</v>
      </c>
      <c r="G25" t="s">
        <v>178</v>
      </c>
      <c r="H25" s="1">
        <v>46023</v>
      </c>
      <c r="I25" s="2">
        <v>0</v>
      </c>
      <c r="J25" s="2">
        <v>203</v>
      </c>
      <c r="K25">
        <v>1</v>
      </c>
      <c r="L25" s="2">
        <v>203</v>
      </c>
      <c r="M25" t="s">
        <v>122</v>
      </c>
      <c r="O25" t="s">
        <v>742</v>
      </c>
      <c r="P25" t="s">
        <v>744</v>
      </c>
    </row>
    <row r="26" spans="1:16" x14ac:dyDescent="0.25">
      <c r="A26" s="5">
        <v>970415198</v>
      </c>
      <c r="B26" s="5" t="str">
        <f t="shared" si="0"/>
        <v>97041519813</v>
      </c>
      <c r="C26" t="s">
        <v>605</v>
      </c>
      <c r="D26" t="s">
        <v>46</v>
      </c>
      <c r="E26">
        <v>16683808</v>
      </c>
      <c r="F26" t="s">
        <v>302</v>
      </c>
      <c r="G26" t="s">
        <v>178</v>
      </c>
      <c r="H26" s="1">
        <v>46023</v>
      </c>
      <c r="I26" s="2">
        <v>0</v>
      </c>
      <c r="J26" s="2">
        <v>203</v>
      </c>
      <c r="K26">
        <v>1</v>
      </c>
      <c r="L26" s="2">
        <v>203</v>
      </c>
      <c r="M26" t="s">
        <v>122</v>
      </c>
      <c r="O26" t="s">
        <v>742</v>
      </c>
      <c r="P26" t="s">
        <v>744</v>
      </c>
    </row>
    <row r="27" spans="1:16" x14ac:dyDescent="0.25">
      <c r="A27" s="5">
        <v>970961326</v>
      </c>
      <c r="B27" s="5" t="str">
        <f t="shared" si="0"/>
        <v>97096132613</v>
      </c>
      <c r="C27" t="s">
        <v>609</v>
      </c>
      <c r="D27" t="s">
        <v>389</v>
      </c>
      <c r="E27">
        <v>9213293</v>
      </c>
      <c r="F27" t="s">
        <v>68</v>
      </c>
      <c r="G27" t="s">
        <v>178</v>
      </c>
      <c r="H27" s="1">
        <v>46023</v>
      </c>
      <c r="I27" s="2">
        <v>0</v>
      </c>
      <c r="J27" s="2">
        <v>203</v>
      </c>
      <c r="K27">
        <v>1</v>
      </c>
      <c r="L27" s="2">
        <v>203</v>
      </c>
      <c r="M27" t="s">
        <v>122</v>
      </c>
      <c r="O27" t="s">
        <v>742</v>
      </c>
      <c r="P27" t="s">
        <v>744</v>
      </c>
    </row>
    <row r="28" spans="1:16" x14ac:dyDescent="0.25">
      <c r="A28" s="5">
        <v>971783268</v>
      </c>
      <c r="B28" s="5" t="str">
        <f t="shared" si="0"/>
        <v>97178326813</v>
      </c>
      <c r="C28" t="s">
        <v>613</v>
      </c>
      <c r="D28" t="s">
        <v>46</v>
      </c>
      <c r="E28">
        <v>19645587</v>
      </c>
      <c r="F28" t="s">
        <v>78</v>
      </c>
      <c r="G28" t="s">
        <v>178</v>
      </c>
      <c r="H28" s="1">
        <v>46023</v>
      </c>
      <c r="I28" s="2">
        <v>0</v>
      </c>
      <c r="J28" s="2">
        <v>203</v>
      </c>
      <c r="K28">
        <v>1</v>
      </c>
      <c r="L28" s="2">
        <v>203</v>
      </c>
      <c r="M28" t="s">
        <v>122</v>
      </c>
      <c r="O28" t="s">
        <v>742</v>
      </c>
      <c r="P28" t="s">
        <v>744</v>
      </c>
    </row>
    <row r="29" spans="1:16" x14ac:dyDescent="0.25">
      <c r="A29" s="5">
        <v>976246874</v>
      </c>
      <c r="B29" s="5" t="str">
        <f t="shared" si="0"/>
        <v>97624687413</v>
      </c>
      <c r="C29" t="s">
        <v>633</v>
      </c>
      <c r="D29" t="s">
        <v>66</v>
      </c>
      <c r="E29">
        <v>19396223</v>
      </c>
      <c r="F29" t="s">
        <v>210</v>
      </c>
      <c r="G29" t="s">
        <v>178</v>
      </c>
      <c r="H29" s="1">
        <v>46023</v>
      </c>
      <c r="I29" s="2">
        <v>0</v>
      </c>
      <c r="J29" s="2">
        <v>203</v>
      </c>
      <c r="K29">
        <v>1</v>
      </c>
      <c r="L29" s="2">
        <v>203</v>
      </c>
      <c r="M29" t="s">
        <v>122</v>
      </c>
      <c r="O29" t="s">
        <v>742</v>
      </c>
      <c r="P29" t="s">
        <v>744</v>
      </c>
    </row>
    <row r="30" spans="1:16" x14ac:dyDescent="0.25">
      <c r="A30" s="5">
        <v>979705830</v>
      </c>
      <c r="B30" s="5" t="str">
        <f t="shared" si="0"/>
        <v>97970583013</v>
      </c>
      <c r="C30" t="s">
        <v>653</v>
      </c>
      <c r="D30" t="s">
        <v>118</v>
      </c>
      <c r="E30">
        <v>20003537</v>
      </c>
      <c r="F30" t="s">
        <v>120</v>
      </c>
      <c r="G30" t="s">
        <v>178</v>
      </c>
      <c r="H30" s="1">
        <v>46023</v>
      </c>
      <c r="I30" s="2">
        <v>0</v>
      </c>
      <c r="J30" s="2">
        <v>203</v>
      </c>
      <c r="K30">
        <v>1</v>
      </c>
      <c r="L30" s="2">
        <v>203</v>
      </c>
      <c r="M30" t="s">
        <v>122</v>
      </c>
      <c r="O30" t="s">
        <v>742</v>
      </c>
      <c r="P30" t="s">
        <v>744</v>
      </c>
    </row>
    <row r="31" spans="1:16" x14ac:dyDescent="0.25">
      <c r="A31" s="5">
        <v>996235595</v>
      </c>
      <c r="B31" s="5" t="str">
        <f t="shared" si="0"/>
        <v>99623559513</v>
      </c>
      <c r="C31" t="s">
        <v>713</v>
      </c>
      <c r="D31" t="s">
        <v>146</v>
      </c>
      <c r="E31">
        <v>19645587</v>
      </c>
      <c r="F31" t="s">
        <v>78</v>
      </c>
      <c r="G31" t="s">
        <v>178</v>
      </c>
      <c r="H31" s="1">
        <v>46023</v>
      </c>
      <c r="I31" s="2">
        <v>0</v>
      </c>
      <c r="J31" s="2">
        <v>203</v>
      </c>
      <c r="K31">
        <v>1</v>
      </c>
      <c r="L31" s="2">
        <v>203</v>
      </c>
      <c r="M31" t="s">
        <v>122</v>
      </c>
      <c r="O31" t="s">
        <v>742</v>
      </c>
      <c r="P31" t="s">
        <v>744</v>
      </c>
    </row>
    <row r="32" spans="1:16" x14ac:dyDescent="0.25">
      <c r="A32" s="5">
        <v>902244700</v>
      </c>
      <c r="B32" s="5" t="str">
        <f t="shared" si="0"/>
        <v>90224470013</v>
      </c>
      <c r="C32" t="s">
        <v>186</v>
      </c>
      <c r="D32" t="s">
        <v>71</v>
      </c>
      <c r="E32">
        <v>18794740</v>
      </c>
      <c r="F32" t="s">
        <v>188</v>
      </c>
      <c r="G32" t="s">
        <v>189</v>
      </c>
      <c r="H32" s="1">
        <v>46023</v>
      </c>
      <c r="I32" s="2">
        <v>0</v>
      </c>
      <c r="J32" s="2">
        <v>233</v>
      </c>
      <c r="K32">
        <v>1</v>
      </c>
      <c r="L32" s="2">
        <v>233</v>
      </c>
      <c r="M32" t="s">
        <v>122</v>
      </c>
      <c r="O32" t="s">
        <v>743</v>
      </c>
      <c r="P32" t="s">
        <v>745</v>
      </c>
    </row>
    <row r="33" spans="1:16" x14ac:dyDescent="0.25">
      <c r="A33" s="5">
        <v>908618918</v>
      </c>
      <c r="B33" s="5" t="str">
        <f t="shared" si="0"/>
        <v>90861891813</v>
      </c>
      <c r="C33" t="s">
        <v>254</v>
      </c>
      <c r="D33" t="s">
        <v>71</v>
      </c>
      <c r="E33">
        <v>17425766</v>
      </c>
      <c r="F33" t="s">
        <v>256</v>
      </c>
      <c r="G33" t="s">
        <v>189</v>
      </c>
      <c r="H33" s="1">
        <v>46023</v>
      </c>
      <c r="I33" s="2">
        <v>0</v>
      </c>
      <c r="J33" s="2">
        <v>233</v>
      </c>
      <c r="K33">
        <v>1</v>
      </c>
      <c r="L33" s="2">
        <v>233</v>
      </c>
      <c r="M33" t="s">
        <v>122</v>
      </c>
      <c r="O33" t="s">
        <v>743</v>
      </c>
      <c r="P33" t="s">
        <v>745</v>
      </c>
    </row>
    <row r="34" spans="1:16" x14ac:dyDescent="0.25">
      <c r="A34" s="5">
        <v>912444947</v>
      </c>
      <c r="B34" s="5" t="str">
        <f t="shared" si="0"/>
        <v>91244494713</v>
      </c>
      <c r="C34" t="s">
        <v>283</v>
      </c>
      <c r="D34" t="s">
        <v>71</v>
      </c>
      <c r="E34">
        <v>15950276</v>
      </c>
      <c r="F34" t="s">
        <v>285</v>
      </c>
      <c r="G34" t="s">
        <v>189</v>
      </c>
      <c r="H34" s="1">
        <v>46023</v>
      </c>
      <c r="I34" s="2">
        <v>0</v>
      </c>
      <c r="J34" s="2">
        <v>233</v>
      </c>
      <c r="K34">
        <v>1</v>
      </c>
      <c r="L34" s="2">
        <v>233</v>
      </c>
      <c r="M34" t="s">
        <v>122</v>
      </c>
      <c r="O34" t="s">
        <v>743</v>
      </c>
      <c r="P34" t="s">
        <v>745</v>
      </c>
    </row>
    <row r="35" spans="1:16" x14ac:dyDescent="0.25">
      <c r="A35" s="5">
        <v>914857307</v>
      </c>
      <c r="B35" s="5" t="str">
        <f t="shared" si="0"/>
        <v>91485730713</v>
      </c>
      <c r="C35" t="s">
        <v>315</v>
      </c>
      <c r="D35" t="s">
        <v>71</v>
      </c>
      <c r="E35">
        <v>15950276</v>
      </c>
      <c r="F35" t="s">
        <v>285</v>
      </c>
      <c r="G35" t="s">
        <v>189</v>
      </c>
      <c r="H35" s="1">
        <v>46023</v>
      </c>
      <c r="I35" s="2">
        <v>0</v>
      </c>
      <c r="J35" s="2">
        <v>233</v>
      </c>
      <c r="K35">
        <v>1</v>
      </c>
      <c r="L35" s="2">
        <v>233</v>
      </c>
      <c r="M35" t="s">
        <v>122</v>
      </c>
      <c r="O35" t="s">
        <v>743</v>
      </c>
      <c r="P35" t="s">
        <v>745</v>
      </c>
    </row>
    <row r="36" spans="1:16" x14ac:dyDescent="0.25">
      <c r="A36" s="5">
        <v>920226796</v>
      </c>
      <c r="B36" s="5" t="str">
        <f t="shared" si="0"/>
        <v>92022679613</v>
      </c>
      <c r="C36" t="s">
        <v>347</v>
      </c>
      <c r="D36" t="s">
        <v>71</v>
      </c>
      <c r="E36">
        <v>19278370</v>
      </c>
      <c r="F36" t="s">
        <v>349</v>
      </c>
      <c r="G36" t="s">
        <v>189</v>
      </c>
      <c r="H36" s="1">
        <v>46023</v>
      </c>
      <c r="I36" s="2">
        <v>0</v>
      </c>
      <c r="J36" s="2">
        <v>233</v>
      </c>
      <c r="K36">
        <v>1</v>
      </c>
      <c r="L36" s="2">
        <v>233</v>
      </c>
      <c r="M36" t="s">
        <v>122</v>
      </c>
      <c r="O36" t="s">
        <v>743</v>
      </c>
      <c r="P36" t="s">
        <v>745</v>
      </c>
    </row>
    <row r="37" spans="1:16" x14ac:dyDescent="0.25">
      <c r="A37" s="5">
        <v>922533835</v>
      </c>
      <c r="B37" s="5" t="str">
        <f t="shared" si="0"/>
        <v>92253383513</v>
      </c>
      <c r="C37" t="s">
        <v>363</v>
      </c>
      <c r="D37" t="s">
        <v>71</v>
      </c>
      <c r="E37">
        <v>17425766</v>
      </c>
      <c r="F37" t="s">
        <v>256</v>
      </c>
      <c r="G37" t="s">
        <v>189</v>
      </c>
      <c r="H37" s="1">
        <v>46023</v>
      </c>
      <c r="I37" s="2">
        <v>0</v>
      </c>
      <c r="J37" s="2">
        <v>233</v>
      </c>
      <c r="K37">
        <v>1</v>
      </c>
      <c r="L37" s="2">
        <v>233</v>
      </c>
      <c r="M37" t="s">
        <v>122</v>
      </c>
      <c r="O37" t="s">
        <v>743</v>
      </c>
      <c r="P37" t="s">
        <v>745</v>
      </c>
    </row>
    <row r="38" spans="1:16" x14ac:dyDescent="0.25">
      <c r="A38" s="5">
        <v>926065200</v>
      </c>
      <c r="B38" s="5" t="str">
        <f t="shared" si="0"/>
        <v>92606520013</v>
      </c>
      <c r="C38" t="s">
        <v>383</v>
      </c>
      <c r="D38" t="s">
        <v>71</v>
      </c>
      <c r="E38">
        <v>15950276</v>
      </c>
      <c r="F38" t="s">
        <v>285</v>
      </c>
      <c r="G38" t="s">
        <v>189</v>
      </c>
      <c r="H38" s="1">
        <v>46023</v>
      </c>
      <c r="I38" s="2">
        <v>0</v>
      </c>
      <c r="J38" s="2">
        <v>233</v>
      </c>
      <c r="K38">
        <v>1</v>
      </c>
      <c r="L38" s="2">
        <v>233</v>
      </c>
      <c r="M38" t="s">
        <v>122</v>
      </c>
      <c r="O38" t="s">
        <v>743</v>
      </c>
      <c r="P38" t="s">
        <v>745</v>
      </c>
    </row>
    <row r="39" spans="1:16" x14ac:dyDescent="0.25">
      <c r="A39" s="5">
        <v>927551590</v>
      </c>
      <c r="B39" s="5" t="str">
        <f t="shared" si="0"/>
        <v>92755159013</v>
      </c>
      <c r="C39" t="s">
        <v>398</v>
      </c>
      <c r="D39" t="s">
        <v>71</v>
      </c>
      <c r="E39">
        <v>19278370</v>
      </c>
      <c r="F39" t="s">
        <v>349</v>
      </c>
      <c r="G39" t="s">
        <v>189</v>
      </c>
      <c r="H39" s="1">
        <v>46023</v>
      </c>
      <c r="I39" s="2">
        <v>0</v>
      </c>
      <c r="J39" s="2">
        <v>233</v>
      </c>
      <c r="K39">
        <v>1</v>
      </c>
      <c r="L39" s="2">
        <v>233</v>
      </c>
      <c r="M39" t="s">
        <v>122</v>
      </c>
      <c r="O39" t="s">
        <v>743</v>
      </c>
      <c r="P39" t="s">
        <v>745</v>
      </c>
    </row>
    <row r="40" spans="1:16" x14ac:dyDescent="0.25">
      <c r="A40" s="5">
        <v>930958899</v>
      </c>
      <c r="B40" s="5" t="str">
        <f t="shared" si="0"/>
        <v>93095889913</v>
      </c>
      <c r="C40" t="s">
        <v>422</v>
      </c>
      <c r="D40" t="s">
        <v>71</v>
      </c>
      <c r="E40">
        <v>15950276</v>
      </c>
      <c r="F40" t="s">
        <v>285</v>
      </c>
      <c r="G40" t="s">
        <v>189</v>
      </c>
      <c r="H40" s="1">
        <v>46023</v>
      </c>
      <c r="I40" s="2">
        <v>0</v>
      </c>
      <c r="J40" s="2">
        <v>233</v>
      </c>
      <c r="K40">
        <v>1</v>
      </c>
      <c r="L40" s="2">
        <v>233</v>
      </c>
      <c r="M40" t="s">
        <v>122</v>
      </c>
      <c r="O40" t="s">
        <v>743</v>
      </c>
      <c r="P40" t="s">
        <v>745</v>
      </c>
    </row>
    <row r="41" spans="1:16" x14ac:dyDescent="0.25">
      <c r="A41" s="5">
        <v>947844989</v>
      </c>
      <c r="B41" s="5" t="str">
        <f t="shared" si="0"/>
        <v>94784498913</v>
      </c>
      <c r="C41" t="s">
        <v>494</v>
      </c>
      <c r="D41" t="s">
        <v>71</v>
      </c>
      <c r="E41">
        <v>17425766</v>
      </c>
      <c r="F41" t="s">
        <v>256</v>
      </c>
      <c r="G41" t="s">
        <v>189</v>
      </c>
      <c r="H41" s="1">
        <v>46023</v>
      </c>
      <c r="I41" s="2">
        <v>0</v>
      </c>
      <c r="J41" s="2">
        <v>233</v>
      </c>
      <c r="K41">
        <v>1</v>
      </c>
      <c r="L41" s="2">
        <v>233</v>
      </c>
      <c r="M41" t="s">
        <v>122</v>
      </c>
      <c r="O41" t="s">
        <v>743</v>
      </c>
      <c r="P41" t="s">
        <v>745</v>
      </c>
    </row>
    <row r="42" spans="1:16" x14ac:dyDescent="0.25">
      <c r="A42" s="5">
        <v>960467852</v>
      </c>
      <c r="B42" s="5" t="str">
        <f t="shared" si="0"/>
        <v>96046785213</v>
      </c>
      <c r="C42" t="s">
        <v>552</v>
      </c>
      <c r="D42" t="s">
        <v>71</v>
      </c>
      <c r="E42">
        <v>15950276</v>
      </c>
      <c r="F42" t="s">
        <v>285</v>
      </c>
      <c r="G42" t="s">
        <v>189</v>
      </c>
      <c r="H42" s="1">
        <v>46023</v>
      </c>
      <c r="I42" s="2">
        <v>0</v>
      </c>
      <c r="J42" s="2">
        <v>233</v>
      </c>
      <c r="K42">
        <v>1</v>
      </c>
      <c r="L42" s="2">
        <v>233</v>
      </c>
      <c r="M42" t="s">
        <v>122</v>
      </c>
      <c r="O42" t="s">
        <v>743</v>
      </c>
      <c r="P42" t="s">
        <v>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New Business Agent Statement - </vt:lpstr>
      <vt:lpstr>Sheet1</vt:lpstr>
      <vt:lpstr>on hold - done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92</dc:creator>
  <cp:lastModifiedBy>Loula Irene Cabel</cp:lastModifiedBy>
  <dcterms:created xsi:type="dcterms:W3CDTF">2026-01-08T06:23:06Z</dcterms:created>
  <dcterms:modified xsi:type="dcterms:W3CDTF">2026-01-19T16:15:50Z</dcterms:modified>
</cp:coreProperties>
</file>