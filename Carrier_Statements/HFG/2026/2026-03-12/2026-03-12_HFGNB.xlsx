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3-12-26\"/>
    </mc:Choice>
  </mc:AlternateContent>
  <xr:revisionPtr revIDLastSave="0" documentId="13_ncr:1_{06188E32-2B98-4628-A9C1-37C245F716F5}" xr6:coauthVersionLast="47" xr6:coauthVersionMax="47" xr10:uidLastSave="{00000000-0000-0000-0000-000000000000}"/>
  <bookViews>
    <workbookView xWindow="-120" yWindow="-120" windowWidth="29040" windowHeight="16440" activeTab="1" xr2:uid="{EC1A2604-5A1B-4EBA-B776-3F8686B51BDA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9" i="2" l="1"/>
  <c r="B80" i="2"/>
  <c r="B78" i="2"/>
  <c r="B77" i="2"/>
  <c r="B76" i="2"/>
  <c r="B70" i="2"/>
  <c r="B69" i="2"/>
  <c r="B68" i="2"/>
  <c r="B67" i="2"/>
  <c r="B66" i="2"/>
  <c r="B65" i="2"/>
  <c r="B64" i="2"/>
  <c r="B75" i="2"/>
  <c r="B74" i="2"/>
  <c r="B73" i="2"/>
  <c r="B72" i="2"/>
  <c r="B71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<sst xmlns="http://schemas.openxmlformats.org/spreadsheetml/2006/main" count="1793" uniqueCount="376">
  <si>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</si>
  <si>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</si>
  <si>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</si>
  <si>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</si>
  <si>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</si>
  <si>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</si>
  <si>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</si>
  <si>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</si>
  <si>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</si>
  <si>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</si>
  <si>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</si>
  <si>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</si>
  <si>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</si>
  <si>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</si>
  <si>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</si>
  <si>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</si>
  <si>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</si>
  <si>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</si>
  <si>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</si>
  <si>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</si>
  <si>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</si>
  <si>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</si>
  <si>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</si>
  <si>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</si>
  <si>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</si>
  <si>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</si>
  <si>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</si>
  <si>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</si>
  <si>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</si>
  <si>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</si>
  <si>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</si>
  <si>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</si>
  <si>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</si>
  <si>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</si>
  <si>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</si>
  <si>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</si>
  <si>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</si>
  <si>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</si>
  <si>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</si>
  <si>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</si>
  <si>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</si>
  <si>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</si>
  <si>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</si>
  <si>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</si>
  <si>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'00009450432K</t>
  </si>
  <si>
    <t>KIM RODRIGUEZ</t>
  </si>
  <si>
    <t>OK</t>
  </si>
  <si>
    <t>'043638</t>
  </si>
  <si>
    <t>THOMAS PARDUE</t>
  </si>
  <si>
    <t>ACTIVE</t>
  </si>
  <si>
    <t>Humana MA 2019+ Level 15- 175/108</t>
  </si>
  <si>
    <t>Monthly</t>
  </si>
  <si>
    <t>AV</t>
  </si>
  <si>
    <t>'00015885031K</t>
  </si>
  <si>
    <t>HASSAN EL KHALDY</t>
  </si>
  <si>
    <t>IL</t>
  </si>
  <si>
    <t>'045966</t>
  </si>
  <si>
    <t>ANTONIA NEVAREZ</t>
  </si>
  <si>
    <t>'00017723008K</t>
  </si>
  <si>
    <t>SAMUEL LA COUR</t>
  </si>
  <si>
    <t>IN</t>
  </si>
  <si>
    <t>'045967</t>
  </si>
  <si>
    <t>DANNA GREEN</t>
  </si>
  <si>
    <t>'00018033933K</t>
  </si>
  <si>
    <t>GLORIA LINDSAY</t>
  </si>
  <si>
    <t>MD</t>
  </si>
  <si>
    <t>'045717</t>
  </si>
  <si>
    <t>RONALD MAX</t>
  </si>
  <si>
    <t>Humana MA 2019+ Level 15- 175/108 Repl 2024</t>
  </si>
  <si>
    <t>'00018137754K</t>
  </si>
  <si>
    <t>LINDA DAVIS</t>
  </si>
  <si>
    <t>'041686</t>
  </si>
  <si>
    <t>DALE WALENGA</t>
  </si>
  <si>
    <t>'00018990622K</t>
  </si>
  <si>
    <t>ROSEMARY YAZJI</t>
  </si>
  <si>
    <t>PA</t>
  </si>
  <si>
    <t>'045603</t>
  </si>
  <si>
    <t>ANDREW CHOI</t>
  </si>
  <si>
    <t>'00020280401K</t>
  </si>
  <si>
    <t>FARAG ELGEROUSHI</t>
  </si>
  <si>
    <t>OH</t>
  </si>
  <si>
    <t>'045670</t>
  </si>
  <si>
    <t>STEVEN BRANDT</t>
  </si>
  <si>
    <t>'00023808539K</t>
  </si>
  <si>
    <t>LARRY GREEN</t>
  </si>
  <si>
    <t>'043705</t>
  </si>
  <si>
    <t>MICHAEL DUNAVANT</t>
  </si>
  <si>
    <t>'00024267849KPC</t>
  </si>
  <si>
    <t>LOU ANDREWS</t>
  </si>
  <si>
    <t>MI</t>
  </si>
  <si>
    <t>'045591</t>
  </si>
  <si>
    <t>CHRISTOPHER BROUSSEAU</t>
  </si>
  <si>
    <t>Active</t>
  </si>
  <si>
    <t>Humana MA Bonus Upload 03-11-2026.xlsx</t>
  </si>
  <si>
    <t>'00024392640K</t>
  </si>
  <si>
    <t>SHERRILEE CLARK</t>
  </si>
  <si>
    <t>CO</t>
  </si>
  <si>
    <t>'045621</t>
  </si>
  <si>
    <t>HEATHER GESKE</t>
  </si>
  <si>
    <t>'00024452316K</t>
  </si>
  <si>
    <t>TIMOTHY COOPER</t>
  </si>
  <si>
    <t>'00024917841K</t>
  </si>
  <si>
    <t>PAMELA COOPER</t>
  </si>
  <si>
    <t>'00025640927K</t>
  </si>
  <si>
    <t>ROSENA BLAKNEY</t>
  </si>
  <si>
    <t>'043969</t>
  </si>
  <si>
    <t>STACEY PORTUGAL</t>
  </si>
  <si>
    <t>'00025861349K</t>
  </si>
  <si>
    <t>VICKIE HOLTZCLAW</t>
  </si>
  <si>
    <t>'00026168351K</t>
  </si>
  <si>
    <t>JOYCE BROWN</t>
  </si>
  <si>
    <t>'045605</t>
  </si>
  <si>
    <t>GARY PORTUGAL</t>
  </si>
  <si>
    <t>'00026168601K</t>
  </si>
  <si>
    <t>JOHN TAUER</t>
  </si>
  <si>
    <t>'045618</t>
  </si>
  <si>
    <t>STEPHANIE DRAPAC</t>
  </si>
  <si>
    <t>'00026171252K</t>
  </si>
  <si>
    <t>ANA CIOATA</t>
  </si>
  <si>
    <t>'043618</t>
  </si>
  <si>
    <t>SAADIA ABDUL</t>
  </si>
  <si>
    <t>'00026171456K</t>
  </si>
  <si>
    <t>GIUSEPPA TRUPIANO</t>
  </si>
  <si>
    <t>'045638</t>
  </si>
  <si>
    <t>RICHARD YALE</t>
  </si>
  <si>
    <t>'00026173515K</t>
  </si>
  <si>
    <t>JOHN CARDONE</t>
  </si>
  <si>
    <t>'045613</t>
  </si>
  <si>
    <t>RICARDO SANTOS</t>
  </si>
  <si>
    <t>'00026174068K</t>
  </si>
  <si>
    <t>DIANE MAJOR</t>
  </si>
  <si>
    <t>'043682</t>
  </si>
  <si>
    <t>GREGORY TEIPEL</t>
  </si>
  <si>
    <t>'00026176659K</t>
  </si>
  <si>
    <t>TSOGTERDENE AYUR</t>
  </si>
  <si>
    <t>'043758</t>
  </si>
  <si>
    <t>NASANDELGER ZANA</t>
  </si>
  <si>
    <t>'00026177289K</t>
  </si>
  <si>
    <t>JANET MAST</t>
  </si>
  <si>
    <t>FL</t>
  </si>
  <si>
    <t>'043692</t>
  </si>
  <si>
    <t>ADAM RICHTER</t>
  </si>
  <si>
    <t>'00026179736K</t>
  </si>
  <si>
    <t>TERANCE MILLER</t>
  </si>
  <si>
    <t>'043714</t>
  </si>
  <si>
    <t>BRIAN STROHMAN</t>
  </si>
  <si>
    <t>'00026179940K</t>
  </si>
  <si>
    <t>CAROLYN MILLINER</t>
  </si>
  <si>
    <t>'045671</t>
  </si>
  <si>
    <t>ROBERT SHAPIRO</t>
  </si>
  <si>
    <t>'00026180183K</t>
  </si>
  <si>
    <t>DONALD LEMAY</t>
  </si>
  <si>
    <t>'043748</t>
  </si>
  <si>
    <t>SCOTT FINE</t>
  </si>
  <si>
    <t>'00026181638K</t>
  </si>
  <si>
    <t>PAULA ANGELINI</t>
  </si>
  <si>
    <t>'00026182740K</t>
  </si>
  <si>
    <t>MARIA AVILA</t>
  </si>
  <si>
    <t>'00026184402K</t>
  </si>
  <si>
    <t>AMEERUNNISA BEGUM</t>
  </si>
  <si>
    <t>'00026192900K</t>
  </si>
  <si>
    <t>DAYNA SCHUBKEGEL</t>
  </si>
  <si>
    <t>'045684</t>
  </si>
  <si>
    <t>JILL SHEPARD</t>
  </si>
  <si>
    <t>'00026196920K</t>
  </si>
  <si>
    <t>EDIE SEHR</t>
  </si>
  <si>
    <t>'043637</t>
  </si>
  <si>
    <t>CHRISTIAN TAUGNER</t>
  </si>
  <si>
    <t>'00026200326K</t>
  </si>
  <si>
    <t>FELICIA WHITE</t>
  </si>
  <si>
    <t>DC</t>
  </si>
  <si>
    <t>'00026200337K</t>
  </si>
  <si>
    <t>CAROLE WHITE</t>
  </si>
  <si>
    <t>'00026203201K</t>
  </si>
  <si>
    <t>CHERYL BARMANN</t>
  </si>
  <si>
    <t>'00026207167K</t>
  </si>
  <si>
    <t>MARLA KASANCHI</t>
  </si>
  <si>
    <t>'045639</t>
  </si>
  <si>
    <t>STEVEN WERNER</t>
  </si>
  <si>
    <t>'101580286400</t>
  </si>
  <si>
    <t>PHYLLIS BENTLEY</t>
  </si>
  <si>
    <t>'043611</t>
  </si>
  <si>
    <t>TIMOTHY POWERS</t>
  </si>
  <si>
    <t>Aetna MAPD NMO to MMO - 2025+ New E-App</t>
  </si>
  <si>
    <t>Aetna MA Bonus Upload 03-11-2026.xlsx</t>
  </si>
  <si>
    <t>'102266066700</t>
  </si>
  <si>
    <t>YVETTE TURNER</t>
  </si>
  <si>
    <t>Aetna MAPD NMO to MMO - 2025+ Replace E-App</t>
  </si>
  <si>
    <t>9/12 PRORATE</t>
  </si>
  <si>
    <t>'102266103000</t>
  </si>
  <si>
    <t>LOUIS HILLIARD</t>
  </si>
  <si>
    <t>10/12 PRORATE</t>
  </si>
  <si>
    <t>'102266145500</t>
  </si>
  <si>
    <t>GARY DEVOS</t>
  </si>
  <si>
    <t>'102266469300</t>
  </si>
  <si>
    <t>LAWRENCE VAUGHAN</t>
  </si>
  <si>
    <t>MO</t>
  </si>
  <si>
    <t>'102266469400</t>
  </si>
  <si>
    <t>DONNA GRAYSON</t>
  </si>
  <si>
    <t>'102266484400</t>
  </si>
  <si>
    <t>EDWARD GRAYSON</t>
  </si>
  <si>
    <t>'64U1X9L21</t>
  </si>
  <si>
    <t>VICTOR RIVERA</t>
  </si>
  <si>
    <t>'045984</t>
  </si>
  <si>
    <t>JEANET REYES</t>
  </si>
  <si>
    <t>Cigna MAPD FMO to GA 1-1-19+ - New</t>
  </si>
  <si>
    <t>'968897499</t>
  </si>
  <si>
    <t>DANIEL DAVIDSON</t>
  </si>
  <si>
    <t>'043585</t>
  </si>
  <si>
    <t>PETER RICHTER</t>
  </si>
  <si>
    <t>UHC MAPD Street payable to upline PA/CT- 2026 Replace</t>
  </si>
  <si>
    <t>'968897499OV</t>
  </si>
  <si>
    <t>UHC MA Direct 2025 New Full</t>
  </si>
  <si>
    <t>'A04439288</t>
  </si>
  <si>
    <t>MICHELE WALKER</t>
  </si>
  <si>
    <t>UHC AARP Med Supp 2025+ IN All Plans</t>
  </si>
  <si>
    <t>'A04439914</t>
  </si>
  <si>
    <t>RICK MCCLAIN</t>
  </si>
  <si>
    <t>'A04440933</t>
  </si>
  <si>
    <t>KEVIN HOMMEL</t>
  </si>
  <si>
    <t>'A04441101</t>
  </si>
  <si>
    <t>JAMES SHERMAN</t>
  </si>
  <si>
    <t>TX</t>
  </si>
  <si>
    <t>UHC AARP Med Supp 2026+ AZ IL KS ME NC TN WV Plan B C D F G</t>
  </si>
  <si>
    <t>'A04441179</t>
  </si>
  <si>
    <t>PATRICIA SHERMAN</t>
  </si>
  <si>
    <t>'A04441639</t>
  </si>
  <si>
    <t>EDNA SCHENKEL</t>
  </si>
  <si>
    <t>UHC AARP Med Supp 2025+ FL Area 1 Plan B C F G</t>
  </si>
  <si>
    <t>'MEQNPDZM00005502643</t>
  </si>
  <si>
    <t>SANDRA MOORE</t>
  </si>
  <si>
    <t>CB</t>
  </si>
  <si>
    <t>'00009528640KPC</t>
  </si>
  <si>
    <t>ELENA OSORIO</t>
  </si>
  <si>
    <t>CHARGEBACK</t>
  </si>
  <si>
    <t>'00011949132KPC</t>
  </si>
  <si>
    <t>JOANNE HALL</t>
  </si>
  <si>
    <t>'00015726718KPC</t>
  </si>
  <si>
    <t>KAY GRIZZLE</t>
  </si>
  <si>
    <t>'045607</t>
  </si>
  <si>
    <t>PAMELA DEATON</t>
  </si>
  <si>
    <t>'00018736051KPC</t>
  </si>
  <si>
    <t>GERALYN BURNS</t>
  </si>
  <si>
    <t>SC</t>
  </si>
  <si>
    <t>'046013</t>
  </si>
  <si>
    <t>GREGG ARENSON</t>
  </si>
  <si>
    <t>'00022044647KPC</t>
  </si>
  <si>
    <t>SHARON YOUNG</t>
  </si>
  <si>
    <t>TN</t>
  </si>
  <si>
    <t>'00023808539KPDPPC</t>
  </si>
  <si>
    <t>Humana PDP 2019+ Level 15- 15/0</t>
  </si>
  <si>
    <t>'00024452316KPC</t>
  </si>
  <si>
    <t>'00024672561KPC</t>
  </si>
  <si>
    <t>PEGGY LANG</t>
  </si>
  <si>
    <t>'045604</t>
  </si>
  <si>
    <t>JEFFREY HORN</t>
  </si>
  <si>
    <t>'00024681663KPC</t>
  </si>
  <si>
    <t>ALBERTO RIVERA</t>
  </si>
  <si>
    <t>'045709</t>
  </si>
  <si>
    <t>ESTHER HERRERA-LARSEN</t>
  </si>
  <si>
    <t>'00024917841KPC</t>
  </si>
  <si>
    <t>'00025648659KPC</t>
  </si>
  <si>
    <t>PENNY WRIGHT</t>
  </si>
  <si>
    <t>'00025704306KPC</t>
  </si>
  <si>
    <t>CLEMENTINE JOHNSON</t>
  </si>
  <si>
    <t>'00025861349KPC</t>
  </si>
  <si>
    <t>'00026150044KCB</t>
  </si>
  <si>
    <t>TAMANE ZULKOSKI</t>
  </si>
  <si>
    <t>'047621</t>
  </si>
  <si>
    <t>TOM SERIO</t>
  </si>
  <si>
    <t>'101061083700CB</t>
  </si>
  <si>
    <t>JAMES THOMAS</t>
  </si>
  <si>
    <t>'043679</t>
  </si>
  <si>
    <t>DEBORAH INSKIPT</t>
  </si>
  <si>
    <t>Aetna MAPD NMO to MMO - 2025+ New Paper</t>
  </si>
  <si>
    <t>'101819351300CB</t>
  </si>
  <si>
    <t>SONIA MARQUEZ</t>
  </si>
  <si>
    <t>'043625</t>
  </si>
  <si>
    <t>PATSAMON THANADABOUTH</t>
  </si>
  <si>
    <t>'102205311400PC</t>
  </si>
  <si>
    <t>ANNA CONNER</t>
  </si>
  <si>
    <t>'54L3H2U31CB</t>
  </si>
  <si>
    <t>BRENDA GIGLIO</t>
  </si>
  <si>
    <t>'56U6F6X48CB</t>
  </si>
  <si>
    <t>MARVA MCAFEE</t>
  </si>
  <si>
    <t>'045632</t>
  </si>
  <si>
    <t>BARRY SCHUMANN</t>
  </si>
  <si>
    <t>'914644399CB</t>
  </si>
  <si>
    <t>INSANOUK THANADABOUTH</t>
  </si>
  <si>
    <t>UHC MAPD Street payable to upline- 2026 Replace</t>
  </si>
  <si>
    <t>'914644399OVCB</t>
  </si>
  <si>
    <t>'925982271CB</t>
  </si>
  <si>
    <t>RANDYL MCCAULEY</t>
  </si>
  <si>
    <t>'925982271OVCB</t>
  </si>
  <si>
    <t>'961164040CB</t>
  </si>
  <si>
    <t>WILLIAM FOUST</t>
  </si>
  <si>
    <t>'043974</t>
  </si>
  <si>
    <t>JENNIFER HALSAVER</t>
  </si>
  <si>
    <t>'961164040OVCB</t>
  </si>
  <si>
    <t>'962143922CB</t>
  </si>
  <si>
    <t>JAMES LOWE</t>
  </si>
  <si>
    <t>UHC MAPD Street payable to upline- 2026 Replace - Other</t>
  </si>
  <si>
    <t>'962143922OVCB</t>
  </si>
  <si>
    <t>UHC MA Direct 2025 New Full - Other</t>
  </si>
  <si>
    <t>'A04437368CB</t>
  </si>
  <si>
    <t>LINDA DIVITO</t>
  </si>
  <si>
    <t>'043739</t>
  </si>
  <si>
    <t>ANDREA PETRUNGARO</t>
  </si>
  <si>
    <t>00009450432K</t>
  </si>
  <si>
    <t>00015885031K</t>
  </si>
  <si>
    <t>00017723008K</t>
  </si>
  <si>
    <t>00018033933K</t>
  </si>
  <si>
    <t>00018137754K</t>
  </si>
  <si>
    <t>00018990622K</t>
  </si>
  <si>
    <t>00020280401K</t>
  </si>
  <si>
    <t>00023808539K</t>
  </si>
  <si>
    <t>00024392640K</t>
  </si>
  <si>
    <t>00024452316K</t>
  </si>
  <si>
    <t>00024917841K</t>
  </si>
  <si>
    <t>00025640927K</t>
  </si>
  <si>
    <t>00025861349K</t>
  </si>
  <si>
    <t>00026168351K</t>
  </si>
  <si>
    <t>00026168601K</t>
  </si>
  <si>
    <t>00026171252K</t>
  </si>
  <si>
    <t>00026171456K</t>
  </si>
  <si>
    <t>00026173515K</t>
  </si>
  <si>
    <t>00026174068K</t>
  </si>
  <si>
    <t>00026176659K</t>
  </si>
  <si>
    <t>00026177289K</t>
  </si>
  <si>
    <t>00026179736K</t>
  </si>
  <si>
    <t>00026179940K</t>
  </si>
  <si>
    <t>00026180183K</t>
  </si>
  <si>
    <t>00026181638K</t>
  </si>
  <si>
    <t>00026182740K</t>
  </si>
  <si>
    <t>00026184402K</t>
  </si>
  <si>
    <t>00026192900K</t>
  </si>
  <si>
    <t>00026196920K</t>
  </si>
  <si>
    <t>00026200326K</t>
  </si>
  <si>
    <t>00026200337K</t>
  </si>
  <si>
    <t>00026203201K</t>
  </si>
  <si>
    <t>00026207167K</t>
  </si>
  <si>
    <t>64U1X9L21</t>
  </si>
  <si>
    <t>A04439288</t>
  </si>
  <si>
    <t>A04439914</t>
  </si>
  <si>
    <t>A04440933</t>
  </si>
  <si>
    <t>A04441101</t>
  </si>
  <si>
    <t>A04441179</t>
  </si>
  <si>
    <t>A04441639</t>
  </si>
  <si>
    <t>MEQNPDZM00005502643</t>
  </si>
  <si>
    <t>00024267849K</t>
  </si>
  <si>
    <t>00009528640K</t>
  </si>
  <si>
    <t>00011949132K</t>
  </si>
  <si>
    <t>00015726718K</t>
  </si>
  <si>
    <t>00018736051K</t>
  </si>
  <si>
    <t>00022044647K</t>
  </si>
  <si>
    <t>00023808539KPDP</t>
  </si>
  <si>
    <t>00024672561K</t>
  </si>
  <si>
    <t>00024681663K</t>
  </si>
  <si>
    <t>00025648659K</t>
  </si>
  <si>
    <t>00025704306K</t>
  </si>
  <si>
    <t>00026150044K</t>
  </si>
  <si>
    <t>54L3H2U31</t>
  </si>
  <si>
    <t>56U6F6X48</t>
  </si>
  <si>
    <t>A04437368</t>
  </si>
  <si>
    <t>Aetna MAPD OVR</t>
  </si>
  <si>
    <t>Cigna MAPD Ovr</t>
  </si>
  <si>
    <t>Humana MAPD OVR</t>
  </si>
  <si>
    <t>Humana PDP</t>
  </si>
  <si>
    <t>UHC AARP MS FL Area 1- Plan B C F G</t>
  </si>
  <si>
    <t>UHC MAPD Ovr 2026</t>
  </si>
  <si>
    <t>UHC MAPD 2026*</t>
  </si>
  <si>
    <t>UHC 2026 CT, PA, DC *</t>
  </si>
  <si>
    <t>2026 UHC MAPD National*</t>
  </si>
  <si>
    <t>[%/$=347][prorate=12/12]</t>
  </si>
  <si>
    <t>Main Line Benefits</t>
  </si>
  <si>
    <t>[%/$=391][prorate=10/12]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</si>
</sst>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70D1-2D8F-472C-A5BB-785B0417F2B9}">
  <dimension ref="A1:AL80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5703125" bestFit="1" customWidth="1"/>
    <col min="10" max="10" width="26.5703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58.28515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46092</v>
      </c>
      <c r="B2" s="1">
        <v>46093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46082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6401960</v>
      </c>
    </row>
    <row r="3" spans="1:38" x14ac:dyDescent="0.25">
      <c r="A3" s="1">
        <v>46092</v>
      </c>
      <c r="B3" s="1">
        <v>46093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46082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6401961</v>
      </c>
    </row>
    <row r="4" spans="1:38" x14ac:dyDescent="0.25">
      <c r="A4" s="1">
        <v>46092</v>
      </c>
      <c r="B4" s="1">
        <v>46093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50</v>
      </c>
      <c r="S4" s="1">
        <v>46082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6401962</v>
      </c>
    </row>
    <row r="5" spans="1:38" x14ac:dyDescent="0.25">
      <c r="A5" s="1">
        <v>46092</v>
      </c>
      <c r="B5" s="1">
        <v>46093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65</v>
      </c>
      <c r="O5" t="s">
        <v>66</v>
      </c>
      <c r="P5" t="s">
        <v>67</v>
      </c>
      <c r="Q5" t="s">
        <v>49</v>
      </c>
      <c r="R5" t="s">
        <v>68</v>
      </c>
      <c r="S5" s="1">
        <v>46082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6401795</v>
      </c>
    </row>
    <row r="6" spans="1:38" x14ac:dyDescent="0.25">
      <c r="A6" s="1">
        <v>46092</v>
      </c>
      <c r="B6" s="1">
        <v>46093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55</v>
      </c>
      <c r="O6" t="s">
        <v>71</v>
      </c>
      <c r="P6" t="s">
        <v>72</v>
      </c>
      <c r="Q6" t="s">
        <v>49</v>
      </c>
      <c r="R6" t="s">
        <v>68</v>
      </c>
      <c r="S6" s="1">
        <v>46082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6401796</v>
      </c>
    </row>
    <row r="7" spans="1:38" x14ac:dyDescent="0.25">
      <c r="A7" s="1">
        <v>46092</v>
      </c>
      <c r="B7" s="1">
        <v>46093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75</v>
      </c>
      <c r="O7" t="s">
        <v>76</v>
      </c>
      <c r="P7" t="s">
        <v>77</v>
      </c>
      <c r="Q7" t="s">
        <v>49</v>
      </c>
      <c r="R7" t="s">
        <v>68</v>
      </c>
      <c r="S7" s="1">
        <v>46082</v>
      </c>
      <c r="U7" t="s">
        <v>51</v>
      </c>
      <c r="X7" t="s">
        <v>52</v>
      </c>
      <c r="Y7" s="2">
        <v>0</v>
      </c>
      <c r="Z7" s="2">
        <v>108</v>
      </c>
      <c r="AA7">
        <v>1</v>
      </c>
      <c r="AB7" s="3">
        <v>1</v>
      </c>
      <c r="AC7" s="2">
        <v>108</v>
      </c>
      <c r="AD7" s="3">
        <v>0</v>
      </c>
      <c r="AE7" s="2">
        <v>0</v>
      </c>
      <c r="AF7" s="2">
        <v>108</v>
      </c>
      <c r="AK7">
        <v>6401797</v>
      </c>
    </row>
    <row r="8" spans="1:38" x14ac:dyDescent="0.25">
      <c r="A8" s="1">
        <v>46092</v>
      </c>
      <c r="B8" s="1">
        <v>46093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80</v>
      </c>
      <c r="O8" t="s">
        <v>81</v>
      </c>
      <c r="P8" t="s">
        <v>82</v>
      </c>
      <c r="Q8" t="s">
        <v>49</v>
      </c>
      <c r="R8" t="s">
        <v>50</v>
      </c>
      <c r="S8" s="1">
        <v>46082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6401963</v>
      </c>
    </row>
    <row r="9" spans="1:38" x14ac:dyDescent="0.25">
      <c r="A9" s="1">
        <v>46092</v>
      </c>
      <c r="B9" s="1">
        <v>46093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83</v>
      </c>
      <c r="J9" t="s">
        <v>84</v>
      </c>
      <c r="M9" t="s">
        <v>55</v>
      </c>
      <c r="O9" t="s">
        <v>85</v>
      </c>
      <c r="P9" t="s">
        <v>86</v>
      </c>
      <c r="Q9" t="s">
        <v>49</v>
      </c>
      <c r="R9" t="s">
        <v>50</v>
      </c>
      <c r="S9" s="1">
        <v>46082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6401964</v>
      </c>
    </row>
    <row r="10" spans="1:38" x14ac:dyDescent="0.25">
      <c r="A10" s="1">
        <v>46092</v>
      </c>
      <c r="B10" s="1">
        <v>46093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87</v>
      </c>
      <c r="J10" t="s">
        <v>88</v>
      </c>
      <c r="M10" t="s">
        <v>89</v>
      </c>
      <c r="O10" t="s">
        <v>90</v>
      </c>
      <c r="P10" t="s">
        <v>91</v>
      </c>
      <c r="Q10" t="s">
        <v>92</v>
      </c>
      <c r="R10" t="s">
        <v>50</v>
      </c>
      <c r="S10" s="1">
        <v>46023</v>
      </c>
      <c r="U10" t="s">
        <v>51</v>
      </c>
      <c r="X10" t="s">
        <v>52</v>
      </c>
      <c r="Y10" s="2">
        <v>0</v>
      </c>
      <c r="Z10" s="2">
        <v>145.25</v>
      </c>
      <c r="AA10">
        <v>1</v>
      </c>
      <c r="AB10" s="3">
        <v>1</v>
      </c>
      <c r="AC10" s="2">
        <v>145.25</v>
      </c>
      <c r="AD10" s="3">
        <v>0</v>
      </c>
      <c r="AE10" s="2">
        <v>0</v>
      </c>
      <c r="AF10" s="2">
        <v>145.25</v>
      </c>
      <c r="AK10">
        <v>0</v>
      </c>
      <c r="AL10" t="s">
        <v>93</v>
      </c>
    </row>
    <row r="11" spans="1:38" x14ac:dyDescent="0.25">
      <c r="A11" s="1">
        <v>46092</v>
      </c>
      <c r="B11" s="1">
        <v>46093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94</v>
      </c>
      <c r="J11" t="s">
        <v>95</v>
      </c>
      <c r="M11" t="s">
        <v>96</v>
      </c>
      <c r="O11" t="s">
        <v>97</v>
      </c>
      <c r="P11" t="s">
        <v>98</v>
      </c>
      <c r="Q11" t="s">
        <v>49</v>
      </c>
      <c r="R11" t="s">
        <v>50</v>
      </c>
      <c r="S11" s="1">
        <v>46082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6401965</v>
      </c>
    </row>
    <row r="12" spans="1:38" x14ac:dyDescent="0.25">
      <c r="A12" s="1">
        <v>46092</v>
      </c>
      <c r="B12" s="1">
        <v>46093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99</v>
      </c>
      <c r="J12" t="s">
        <v>100</v>
      </c>
      <c r="M12" t="s">
        <v>60</v>
      </c>
      <c r="O12" t="s">
        <v>61</v>
      </c>
      <c r="P12" t="s">
        <v>62</v>
      </c>
      <c r="Q12" t="s">
        <v>49</v>
      </c>
      <c r="R12" t="s">
        <v>68</v>
      </c>
      <c r="S12" s="1">
        <v>46082</v>
      </c>
      <c r="U12" t="s">
        <v>51</v>
      </c>
      <c r="X12" t="s">
        <v>52</v>
      </c>
      <c r="Y12" s="2">
        <v>0</v>
      </c>
      <c r="Z12" s="2">
        <v>108</v>
      </c>
      <c r="AA12">
        <v>1</v>
      </c>
      <c r="AB12" s="3">
        <v>1</v>
      </c>
      <c r="AC12" s="2">
        <v>108</v>
      </c>
      <c r="AD12" s="3">
        <v>0</v>
      </c>
      <c r="AE12" s="2">
        <v>0</v>
      </c>
      <c r="AF12" s="2">
        <v>108</v>
      </c>
      <c r="AK12">
        <v>6401798</v>
      </c>
    </row>
    <row r="13" spans="1:38" x14ac:dyDescent="0.25">
      <c r="A13" s="1">
        <v>46092</v>
      </c>
      <c r="B13" s="1">
        <v>46093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101</v>
      </c>
      <c r="J13" t="s">
        <v>102</v>
      </c>
      <c r="M13" t="s">
        <v>60</v>
      </c>
      <c r="O13" t="s">
        <v>61</v>
      </c>
      <c r="P13" t="s">
        <v>62</v>
      </c>
      <c r="Q13" t="s">
        <v>49</v>
      </c>
      <c r="R13" t="s">
        <v>68</v>
      </c>
      <c r="S13" s="1">
        <v>46082</v>
      </c>
      <c r="U13" t="s">
        <v>51</v>
      </c>
      <c r="X13" t="s">
        <v>52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6401799</v>
      </c>
    </row>
    <row r="14" spans="1:38" x14ac:dyDescent="0.25">
      <c r="A14" s="1">
        <v>46092</v>
      </c>
      <c r="B14" s="1">
        <v>46093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103</v>
      </c>
      <c r="J14" t="s">
        <v>104</v>
      </c>
      <c r="M14" t="s">
        <v>55</v>
      </c>
      <c r="O14" t="s">
        <v>105</v>
      </c>
      <c r="P14" t="s">
        <v>106</v>
      </c>
      <c r="Q14" t="s">
        <v>92</v>
      </c>
      <c r="R14" t="s">
        <v>50</v>
      </c>
      <c r="S14" s="1">
        <v>46023</v>
      </c>
      <c r="U14" t="s">
        <v>51</v>
      </c>
      <c r="X14" t="s">
        <v>52</v>
      </c>
      <c r="Y14" s="2">
        <v>0</v>
      </c>
      <c r="Z14" s="2">
        <v>145.25</v>
      </c>
      <c r="AA14">
        <v>1</v>
      </c>
      <c r="AB14" s="3">
        <v>1</v>
      </c>
      <c r="AC14" s="2">
        <v>145.25</v>
      </c>
      <c r="AD14" s="3">
        <v>0</v>
      </c>
      <c r="AE14" s="2">
        <v>0</v>
      </c>
      <c r="AF14" s="2">
        <v>145.25</v>
      </c>
      <c r="AK14">
        <v>0</v>
      </c>
      <c r="AL14" t="s">
        <v>93</v>
      </c>
    </row>
    <row r="15" spans="1:38" x14ac:dyDescent="0.25">
      <c r="A15" s="1">
        <v>46092</v>
      </c>
      <c r="B15" s="1">
        <v>46093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107</v>
      </c>
      <c r="J15" t="s">
        <v>108</v>
      </c>
      <c r="M15" t="s">
        <v>60</v>
      </c>
      <c r="O15" t="s">
        <v>61</v>
      </c>
      <c r="P15" t="s">
        <v>62</v>
      </c>
      <c r="Q15" t="s">
        <v>49</v>
      </c>
      <c r="R15" t="s">
        <v>68</v>
      </c>
      <c r="S15" s="1">
        <v>46082</v>
      </c>
      <c r="U15" t="s">
        <v>51</v>
      </c>
      <c r="X15" t="s">
        <v>52</v>
      </c>
      <c r="Y15" s="2">
        <v>0</v>
      </c>
      <c r="Z15" s="2">
        <v>108</v>
      </c>
      <c r="AA15">
        <v>1</v>
      </c>
      <c r="AB15" s="3">
        <v>1</v>
      </c>
      <c r="AC15" s="2">
        <v>108</v>
      </c>
      <c r="AD15" s="3">
        <v>0</v>
      </c>
      <c r="AE15" s="2">
        <v>0</v>
      </c>
      <c r="AF15" s="2">
        <v>108</v>
      </c>
      <c r="AK15">
        <v>6401800</v>
      </c>
    </row>
    <row r="16" spans="1:38" x14ac:dyDescent="0.25">
      <c r="A16" s="1">
        <v>46092</v>
      </c>
      <c r="B16" s="1">
        <v>46093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109</v>
      </c>
      <c r="J16" t="s">
        <v>110</v>
      </c>
      <c r="M16" t="s">
        <v>55</v>
      </c>
      <c r="O16" t="s">
        <v>111</v>
      </c>
      <c r="P16" t="s">
        <v>112</v>
      </c>
      <c r="Q16" t="s">
        <v>49</v>
      </c>
      <c r="R16" t="s">
        <v>50</v>
      </c>
      <c r="S16" s="1">
        <v>46082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6401966</v>
      </c>
    </row>
    <row r="17" spans="1:37" x14ac:dyDescent="0.25">
      <c r="A17" s="1">
        <v>46092</v>
      </c>
      <c r="B17" s="1">
        <v>46093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113</v>
      </c>
      <c r="J17" t="s">
        <v>114</v>
      </c>
      <c r="M17" t="s">
        <v>55</v>
      </c>
      <c r="O17" t="s">
        <v>115</v>
      </c>
      <c r="P17" t="s">
        <v>116</v>
      </c>
      <c r="Q17" t="s">
        <v>49</v>
      </c>
      <c r="R17" t="s">
        <v>50</v>
      </c>
      <c r="S17" s="1">
        <v>46082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6401967</v>
      </c>
    </row>
    <row r="18" spans="1:37" x14ac:dyDescent="0.25">
      <c r="A18" s="1">
        <v>46092</v>
      </c>
      <c r="B18" s="1">
        <v>46093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117</v>
      </c>
      <c r="J18" t="s">
        <v>118</v>
      </c>
      <c r="M18" t="s">
        <v>55</v>
      </c>
      <c r="O18" t="s">
        <v>119</v>
      </c>
      <c r="P18" t="s">
        <v>120</v>
      </c>
      <c r="Q18" t="s">
        <v>49</v>
      </c>
      <c r="R18" t="s">
        <v>50</v>
      </c>
      <c r="S18" s="1">
        <v>46082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6401968</v>
      </c>
    </row>
    <row r="19" spans="1:37" x14ac:dyDescent="0.25">
      <c r="A19" s="1">
        <v>46092</v>
      </c>
      <c r="B19" s="1">
        <v>46093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121</v>
      </c>
      <c r="J19" t="s">
        <v>122</v>
      </c>
      <c r="M19" t="s">
        <v>55</v>
      </c>
      <c r="O19" t="s">
        <v>123</v>
      </c>
      <c r="P19" t="s">
        <v>124</v>
      </c>
      <c r="Q19" t="s">
        <v>49</v>
      </c>
      <c r="R19" t="s">
        <v>50</v>
      </c>
      <c r="S19" s="1">
        <v>46082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6401969</v>
      </c>
    </row>
    <row r="20" spans="1:37" x14ac:dyDescent="0.25">
      <c r="A20" s="1">
        <v>46092</v>
      </c>
      <c r="B20" s="1">
        <v>46093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125</v>
      </c>
      <c r="J20" t="s">
        <v>126</v>
      </c>
      <c r="M20" t="s">
        <v>55</v>
      </c>
      <c r="O20" t="s">
        <v>127</v>
      </c>
      <c r="P20" t="s">
        <v>128</v>
      </c>
      <c r="Q20" t="s">
        <v>49</v>
      </c>
      <c r="R20" t="s">
        <v>50</v>
      </c>
      <c r="S20" s="1">
        <v>46082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6401970</v>
      </c>
    </row>
    <row r="21" spans="1:37" x14ac:dyDescent="0.25">
      <c r="A21" s="1">
        <v>46092</v>
      </c>
      <c r="B21" s="1">
        <v>46093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129</v>
      </c>
      <c r="J21" t="s">
        <v>130</v>
      </c>
      <c r="M21" t="s">
        <v>80</v>
      </c>
      <c r="O21" t="s">
        <v>131</v>
      </c>
      <c r="P21" t="s">
        <v>132</v>
      </c>
      <c r="Q21" t="s">
        <v>49</v>
      </c>
      <c r="R21" t="s">
        <v>50</v>
      </c>
      <c r="S21" s="1">
        <v>46143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6401971</v>
      </c>
    </row>
    <row r="22" spans="1:37" x14ac:dyDescent="0.25">
      <c r="A22" s="1">
        <v>46092</v>
      </c>
      <c r="B22" s="1">
        <v>46093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133</v>
      </c>
      <c r="J22" t="s">
        <v>134</v>
      </c>
      <c r="M22" t="s">
        <v>55</v>
      </c>
      <c r="O22" t="s">
        <v>135</v>
      </c>
      <c r="P22" t="s">
        <v>136</v>
      </c>
      <c r="Q22" t="s">
        <v>49</v>
      </c>
      <c r="R22" t="s">
        <v>50</v>
      </c>
      <c r="S22" s="1">
        <v>46082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6401972</v>
      </c>
    </row>
    <row r="23" spans="1:37" x14ac:dyDescent="0.25">
      <c r="A23" s="1">
        <v>46092</v>
      </c>
      <c r="B23" s="1">
        <v>46093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137</v>
      </c>
      <c r="J23" t="s">
        <v>138</v>
      </c>
      <c r="M23" t="s">
        <v>139</v>
      </c>
      <c r="O23" t="s">
        <v>140</v>
      </c>
      <c r="P23" t="s">
        <v>141</v>
      </c>
      <c r="Q23" t="s">
        <v>49</v>
      </c>
      <c r="R23" t="s">
        <v>50</v>
      </c>
      <c r="S23" s="1">
        <v>46082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6401973</v>
      </c>
    </row>
    <row r="24" spans="1:37" x14ac:dyDescent="0.25">
      <c r="A24" s="1">
        <v>46092</v>
      </c>
      <c r="B24" s="1">
        <v>46093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142</v>
      </c>
      <c r="J24" t="s">
        <v>143</v>
      </c>
      <c r="M24" t="s">
        <v>55</v>
      </c>
      <c r="O24" t="s">
        <v>144</v>
      </c>
      <c r="P24" t="s">
        <v>145</v>
      </c>
      <c r="Q24" t="s">
        <v>49</v>
      </c>
      <c r="R24" t="s">
        <v>50</v>
      </c>
      <c r="S24" s="1">
        <v>46113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6401945</v>
      </c>
    </row>
    <row r="25" spans="1:37" x14ac:dyDescent="0.25">
      <c r="A25" s="1">
        <v>46092</v>
      </c>
      <c r="B25" s="1">
        <v>46093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146</v>
      </c>
      <c r="J25" t="s">
        <v>147</v>
      </c>
      <c r="M25" t="s">
        <v>55</v>
      </c>
      <c r="O25" t="s">
        <v>148</v>
      </c>
      <c r="P25" t="s">
        <v>149</v>
      </c>
      <c r="Q25" t="s">
        <v>49</v>
      </c>
      <c r="R25" t="s">
        <v>50</v>
      </c>
      <c r="S25" s="1">
        <v>46082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6401974</v>
      </c>
    </row>
    <row r="26" spans="1:37" x14ac:dyDescent="0.25">
      <c r="A26" s="1">
        <v>46092</v>
      </c>
      <c r="B26" s="1">
        <v>46093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150</v>
      </c>
      <c r="J26" t="s">
        <v>151</v>
      </c>
      <c r="M26" t="s">
        <v>139</v>
      </c>
      <c r="O26" t="s">
        <v>152</v>
      </c>
      <c r="P26" t="s">
        <v>153</v>
      </c>
      <c r="Q26" t="s">
        <v>49</v>
      </c>
      <c r="R26" t="s">
        <v>50</v>
      </c>
      <c r="S26" s="1">
        <v>46082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6401946</v>
      </c>
    </row>
    <row r="27" spans="1:37" x14ac:dyDescent="0.25">
      <c r="A27" s="1">
        <v>46092</v>
      </c>
      <c r="B27" s="1">
        <v>46093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154</v>
      </c>
      <c r="J27" t="s">
        <v>155</v>
      </c>
      <c r="M27" t="s">
        <v>55</v>
      </c>
      <c r="O27" t="s">
        <v>105</v>
      </c>
      <c r="P27" t="s">
        <v>106</v>
      </c>
      <c r="Q27" t="s">
        <v>49</v>
      </c>
      <c r="R27" t="s">
        <v>50</v>
      </c>
      <c r="S27" s="1">
        <v>46082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6401975</v>
      </c>
    </row>
    <row r="28" spans="1:37" x14ac:dyDescent="0.25">
      <c r="A28" s="1">
        <v>46092</v>
      </c>
      <c r="B28" s="1">
        <v>46093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156</v>
      </c>
      <c r="J28" t="s">
        <v>157</v>
      </c>
      <c r="M28" t="s">
        <v>139</v>
      </c>
      <c r="O28" t="s">
        <v>111</v>
      </c>
      <c r="P28" t="s">
        <v>112</v>
      </c>
      <c r="Q28" t="s">
        <v>49</v>
      </c>
      <c r="R28" t="s">
        <v>50</v>
      </c>
      <c r="S28" s="1">
        <v>46143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6401976</v>
      </c>
    </row>
    <row r="29" spans="1:37" x14ac:dyDescent="0.25">
      <c r="A29" s="1">
        <v>46092</v>
      </c>
      <c r="B29" s="1">
        <v>46093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158</v>
      </c>
      <c r="J29" t="s">
        <v>159</v>
      </c>
      <c r="M29" t="s">
        <v>55</v>
      </c>
      <c r="O29" t="s">
        <v>119</v>
      </c>
      <c r="P29" t="s">
        <v>120</v>
      </c>
      <c r="Q29" t="s">
        <v>49</v>
      </c>
      <c r="R29" t="s">
        <v>50</v>
      </c>
      <c r="S29" s="1">
        <v>46113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6401977</v>
      </c>
    </row>
    <row r="30" spans="1:37" x14ac:dyDescent="0.25">
      <c r="A30" s="1">
        <v>46092</v>
      </c>
      <c r="B30" s="1">
        <v>46093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160</v>
      </c>
      <c r="J30" t="s">
        <v>161</v>
      </c>
      <c r="M30" t="s">
        <v>80</v>
      </c>
      <c r="O30" t="s">
        <v>162</v>
      </c>
      <c r="P30" t="s">
        <v>163</v>
      </c>
      <c r="Q30" t="s">
        <v>49</v>
      </c>
      <c r="R30" t="s">
        <v>50</v>
      </c>
      <c r="S30" s="1">
        <v>46082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6401948</v>
      </c>
    </row>
    <row r="31" spans="1:37" x14ac:dyDescent="0.25">
      <c r="A31" s="1">
        <v>46092</v>
      </c>
      <c r="B31" s="1">
        <v>46093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164</v>
      </c>
      <c r="J31" t="s">
        <v>165</v>
      </c>
      <c r="M31" t="s">
        <v>55</v>
      </c>
      <c r="O31" t="s">
        <v>166</v>
      </c>
      <c r="P31" t="s">
        <v>167</v>
      </c>
      <c r="Q31" t="s">
        <v>49</v>
      </c>
      <c r="R31" t="s">
        <v>50</v>
      </c>
      <c r="S31" s="1">
        <v>46082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6401950</v>
      </c>
    </row>
    <row r="32" spans="1:37" x14ac:dyDescent="0.25">
      <c r="A32" s="1">
        <v>46092</v>
      </c>
      <c r="B32" s="1">
        <v>46093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168</v>
      </c>
      <c r="J32" t="s">
        <v>169</v>
      </c>
      <c r="M32" t="s">
        <v>170</v>
      </c>
      <c r="O32" t="s">
        <v>140</v>
      </c>
      <c r="P32" t="s">
        <v>141</v>
      </c>
      <c r="Q32" t="s">
        <v>49</v>
      </c>
      <c r="R32" t="s">
        <v>50</v>
      </c>
      <c r="S32" s="1">
        <v>46082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6401978</v>
      </c>
    </row>
    <row r="33" spans="1:38" x14ac:dyDescent="0.25">
      <c r="A33" s="1">
        <v>46092</v>
      </c>
      <c r="B33" s="1">
        <v>46093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171</v>
      </c>
      <c r="J33" t="s">
        <v>172</v>
      </c>
      <c r="M33" t="s">
        <v>65</v>
      </c>
      <c r="O33" t="s">
        <v>66</v>
      </c>
      <c r="P33" t="s">
        <v>67</v>
      </c>
      <c r="Q33" t="s">
        <v>49</v>
      </c>
      <c r="R33" t="s">
        <v>50</v>
      </c>
      <c r="S33" s="1">
        <v>46082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6401979</v>
      </c>
    </row>
    <row r="34" spans="1:38" x14ac:dyDescent="0.25">
      <c r="A34" s="1">
        <v>46092</v>
      </c>
      <c r="B34" s="1">
        <v>46093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173</v>
      </c>
      <c r="J34" t="s">
        <v>174</v>
      </c>
      <c r="M34" t="s">
        <v>55</v>
      </c>
      <c r="O34" t="s">
        <v>76</v>
      </c>
      <c r="P34" t="s">
        <v>77</v>
      </c>
      <c r="Q34" t="s">
        <v>49</v>
      </c>
      <c r="R34" t="s">
        <v>50</v>
      </c>
      <c r="S34" s="1">
        <v>46113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6401980</v>
      </c>
    </row>
    <row r="35" spans="1:38" x14ac:dyDescent="0.25">
      <c r="A35" s="1">
        <v>46092</v>
      </c>
      <c r="B35" s="1">
        <v>46093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175</v>
      </c>
      <c r="J35" t="s">
        <v>176</v>
      </c>
      <c r="M35" t="s">
        <v>55</v>
      </c>
      <c r="O35" t="s">
        <v>177</v>
      </c>
      <c r="P35" t="s">
        <v>178</v>
      </c>
      <c r="Q35" t="s">
        <v>49</v>
      </c>
      <c r="R35" t="s">
        <v>50</v>
      </c>
      <c r="S35" s="1">
        <v>46082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6401981</v>
      </c>
    </row>
    <row r="36" spans="1:38" x14ac:dyDescent="0.25">
      <c r="A36" s="1">
        <v>46092</v>
      </c>
      <c r="B36" s="1">
        <v>46093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179</v>
      </c>
      <c r="J36" t="s">
        <v>180</v>
      </c>
      <c r="M36" t="s">
        <v>75</v>
      </c>
      <c r="O36" t="s">
        <v>181</v>
      </c>
      <c r="P36" t="s">
        <v>182</v>
      </c>
      <c r="Q36" t="s">
        <v>92</v>
      </c>
      <c r="R36" t="s">
        <v>183</v>
      </c>
      <c r="S36" s="1">
        <v>46023</v>
      </c>
      <c r="U36" t="s">
        <v>51</v>
      </c>
      <c r="X36" t="s">
        <v>52</v>
      </c>
      <c r="Y36" s="2">
        <v>0</v>
      </c>
      <c r="Z36" s="2">
        <v>2.08</v>
      </c>
      <c r="AA36">
        <v>1</v>
      </c>
      <c r="AB36" s="3">
        <v>1</v>
      </c>
      <c r="AC36" s="2">
        <v>2.08</v>
      </c>
      <c r="AD36" s="3">
        <v>0</v>
      </c>
      <c r="AE36" s="2">
        <v>0</v>
      </c>
      <c r="AF36" s="2">
        <v>2.08</v>
      </c>
      <c r="AK36">
        <v>0</v>
      </c>
      <c r="AL36" t="s">
        <v>184</v>
      </c>
    </row>
    <row r="37" spans="1:38" x14ac:dyDescent="0.25">
      <c r="A37" s="1">
        <v>46092</v>
      </c>
      <c r="B37" s="1">
        <v>46093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185</v>
      </c>
      <c r="J37" t="s">
        <v>186</v>
      </c>
      <c r="M37" t="s">
        <v>55</v>
      </c>
      <c r="O37" t="s">
        <v>111</v>
      </c>
      <c r="P37" t="s">
        <v>112</v>
      </c>
      <c r="Q37" t="s">
        <v>49</v>
      </c>
      <c r="R37" t="s">
        <v>187</v>
      </c>
      <c r="S37" s="1">
        <v>46113</v>
      </c>
      <c r="U37" t="s">
        <v>51</v>
      </c>
      <c r="X37" t="s">
        <v>52</v>
      </c>
      <c r="Y37" s="2">
        <v>0</v>
      </c>
      <c r="Z37" s="2">
        <v>18.75</v>
      </c>
      <c r="AA37">
        <v>1</v>
      </c>
      <c r="AB37" s="3">
        <v>1</v>
      </c>
      <c r="AC37" s="2">
        <v>18.75</v>
      </c>
      <c r="AD37" s="3">
        <v>0</v>
      </c>
      <c r="AE37" s="2">
        <v>0</v>
      </c>
      <c r="AF37" s="2">
        <v>18.75</v>
      </c>
      <c r="AK37">
        <v>6401507</v>
      </c>
      <c r="AL37" t="s">
        <v>188</v>
      </c>
    </row>
    <row r="38" spans="1:38" x14ac:dyDescent="0.25">
      <c r="A38" s="1">
        <v>46092</v>
      </c>
      <c r="B38" s="1">
        <v>46093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189</v>
      </c>
      <c r="J38" t="s">
        <v>190</v>
      </c>
      <c r="M38" t="s">
        <v>75</v>
      </c>
      <c r="O38" t="s">
        <v>181</v>
      </c>
      <c r="P38" t="s">
        <v>182</v>
      </c>
      <c r="Q38" t="s">
        <v>49</v>
      </c>
      <c r="R38" t="s">
        <v>187</v>
      </c>
      <c r="S38" s="1">
        <v>46082</v>
      </c>
      <c r="U38" t="s">
        <v>51</v>
      </c>
      <c r="X38" t="s">
        <v>52</v>
      </c>
      <c r="Y38" s="2">
        <v>0</v>
      </c>
      <c r="Z38" s="2">
        <v>20.83</v>
      </c>
      <c r="AA38">
        <v>1</v>
      </c>
      <c r="AB38" s="3">
        <v>1</v>
      </c>
      <c r="AC38" s="2">
        <v>20.83</v>
      </c>
      <c r="AD38" s="3">
        <v>0</v>
      </c>
      <c r="AE38" s="2">
        <v>0</v>
      </c>
      <c r="AF38" s="2">
        <v>20.83</v>
      </c>
      <c r="AK38">
        <v>6401482</v>
      </c>
      <c r="AL38" t="s">
        <v>191</v>
      </c>
    </row>
    <row r="39" spans="1:38" x14ac:dyDescent="0.25">
      <c r="A39" s="1">
        <v>46092</v>
      </c>
      <c r="B39" s="1">
        <v>46093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192</v>
      </c>
      <c r="J39" t="s">
        <v>193</v>
      </c>
      <c r="M39" t="s">
        <v>80</v>
      </c>
      <c r="O39" t="s">
        <v>162</v>
      </c>
      <c r="P39" t="s">
        <v>163</v>
      </c>
      <c r="Q39" t="s">
        <v>49</v>
      </c>
      <c r="R39" t="s">
        <v>187</v>
      </c>
      <c r="S39" s="1">
        <v>46113</v>
      </c>
      <c r="U39" t="s">
        <v>51</v>
      </c>
      <c r="X39" t="s">
        <v>52</v>
      </c>
      <c r="Y39" s="2">
        <v>0</v>
      </c>
      <c r="Z39" s="2">
        <v>18.75</v>
      </c>
      <c r="AA39">
        <v>1</v>
      </c>
      <c r="AB39" s="3">
        <v>1</v>
      </c>
      <c r="AC39" s="2">
        <v>18.75</v>
      </c>
      <c r="AD39" s="3">
        <v>0</v>
      </c>
      <c r="AE39" s="2">
        <v>0</v>
      </c>
      <c r="AF39" s="2">
        <v>18.75</v>
      </c>
      <c r="AK39">
        <v>6401470</v>
      </c>
      <c r="AL39" t="s">
        <v>188</v>
      </c>
    </row>
    <row r="40" spans="1:38" x14ac:dyDescent="0.25">
      <c r="A40" s="1">
        <v>46092</v>
      </c>
      <c r="B40" s="1">
        <v>46093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194</v>
      </c>
      <c r="J40" t="s">
        <v>195</v>
      </c>
      <c r="M40" t="s">
        <v>196</v>
      </c>
      <c r="O40" t="s">
        <v>131</v>
      </c>
      <c r="P40" t="s">
        <v>132</v>
      </c>
      <c r="Q40" t="s">
        <v>49</v>
      </c>
      <c r="R40" t="s">
        <v>187</v>
      </c>
      <c r="S40" s="1">
        <v>46082</v>
      </c>
      <c r="U40" t="s">
        <v>51</v>
      </c>
      <c r="X40" t="s">
        <v>52</v>
      </c>
      <c r="Y40" s="2">
        <v>0</v>
      </c>
      <c r="Z40" s="2">
        <v>20.83</v>
      </c>
      <c r="AA40">
        <v>1</v>
      </c>
      <c r="AB40" s="3">
        <v>1</v>
      </c>
      <c r="AC40" s="2">
        <v>20.83</v>
      </c>
      <c r="AD40" s="3">
        <v>0</v>
      </c>
      <c r="AE40" s="2">
        <v>0</v>
      </c>
      <c r="AF40" s="2">
        <v>20.83</v>
      </c>
      <c r="AK40">
        <v>6401508</v>
      </c>
      <c r="AL40" t="s">
        <v>191</v>
      </c>
    </row>
    <row r="41" spans="1:38" x14ac:dyDescent="0.25">
      <c r="A41" s="1">
        <v>46092</v>
      </c>
      <c r="B41" s="1">
        <v>46093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197</v>
      </c>
      <c r="J41" t="s">
        <v>198</v>
      </c>
      <c r="M41" t="s">
        <v>80</v>
      </c>
      <c r="O41" t="s">
        <v>162</v>
      </c>
      <c r="P41" t="s">
        <v>163</v>
      </c>
      <c r="Q41" t="s">
        <v>49</v>
      </c>
      <c r="R41" t="s">
        <v>187</v>
      </c>
      <c r="S41" s="1">
        <v>46082</v>
      </c>
      <c r="U41" t="s">
        <v>51</v>
      </c>
      <c r="X41" t="s">
        <v>52</v>
      </c>
      <c r="Y41" s="2">
        <v>0</v>
      </c>
      <c r="Z41" s="2">
        <v>20.83</v>
      </c>
      <c r="AA41">
        <v>1</v>
      </c>
      <c r="AB41" s="3">
        <v>1</v>
      </c>
      <c r="AC41" s="2">
        <v>20.83</v>
      </c>
      <c r="AD41" s="3">
        <v>0</v>
      </c>
      <c r="AE41" s="2">
        <v>0</v>
      </c>
      <c r="AF41" s="2">
        <v>20.83</v>
      </c>
      <c r="AK41">
        <v>6401476</v>
      </c>
      <c r="AL41" t="s">
        <v>191</v>
      </c>
    </row>
    <row r="42" spans="1:38" x14ac:dyDescent="0.25">
      <c r="A42" s="1">
        <v>46092</v>
      </c>
      <c r="B42" s="1">
        <v>46093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199</v>
      </c>
      <c r="J42" t="s">
        <v>200</v>
      </c>
      <c r="M42" t="s">
        <v>80</v>
      </c>
      <c r="O42" t="s">
        <v>162</v>
      </c>
      <c r="P42" t="s">
        <v>163</v>
      </c>
      <c r="Q42" t="s">
        <v>49</v>
      </c>
      <c r="R42" t="s">
        <v>187</v>
      </c>
      <c r="S42" s="1">
        <v>46082</v>
      </c>
      <c r="U42" t="s">
        <v>51</v>
      </c>
      <c r="X42" t="s">
        <v>52</v>
      </c>
      <c r="Y42" s="2">
        <v>0</v>
      </c>
      <c r="Z42" s="2">
        <v>20.83</v>
      </c>
      <c r="AA42">
        <v>1</v>
      </c>
      <c r="AB42" s="3">
        <v>1</v>
      </c>
      <c r="AC42" s="2">
        <v>20.83</v>
      </c>
      <c r="AD42" s="3">
        <v>0</v>
      </c>
      <c r="AE42" s="2">
        <v>0</v>
      </c>
      <c r="AF42" s="2">
        <v>20.83</v>
      </c>
      <c r="AK42">
        <v>6401477</v>
      </c>
      <c r="AL42" t="s">
        <v>191</v>
      </c>
    </row>
    <row r="43" spans="1:38" x14ac:dyDescent="0.25">
      <c r="A43" s="1">
        <v>46092</v>
      </c>
      <c r="B43" s="1">
        <v>46093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201</v>
      </c>
      <c r="J43" t="s">
        <v>202</v>
      </c>
      <c r="M43" t="s">
        <v>55</v>
      </c>
      <c r="O43" t="s">
        <v>203</v>
      </c>
      <c r="P43" t="s">
        <v>204</v>
      </c>
      <c r="Q43" t="s">
        <v>49</v>
      </c>
      <c r="R43" t="s">
        <v>205</v>
      </c>
      <c r="S43" s="1">
        <v>46082</v>
      </c>
      <c r="U43" t="s">
        <v>51</v>
      </c>
      <c r="X43" t="s">
        <v>52</v>
      </c>
      <c r="Y43" s="2">
        <v>0</v>
      </c>
      <c r="Z43" s="2">
        <v>100</v>
      </c>
      <c r="AA43">
        <v>1</v>
      </c>
      <c r="AB43" s="3">
        <v>1</v>
      </c>
      <c r="AC43" s="2">
        <v>100</v>
      </c>
      <c r="AD43" s="3">
        <v>0</v>
      </c>
      <c r="AE43" s="2">
        <v>0</v>
      </c>
      <c r="AF43" s="2">
        <v>100</v>
      </c>
      <c r="AK43">
        <v>6401559</v>
      </c>
    </row>
    <row r="44" spans="1:38" x14ac:dyDescent="0.25">
      <c r="A44" s="1">
        <v>46092</v>
      </c>
      <c r="B44" s="1">
        <v>46093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206</v>
      </c>
      <c r="J44" t="s">
        <v>207</v>
      </c>
      <c r="M44" t="s">
        <v>75</v>
      </c>
      <c r="O44" t="s">
        <v>208</v>
      </c>
      <c r="P44" t="s">
        <v>209</v>
      </c>
      <c r="Q44" t="s">
        <v>49</v>
      </c>
      <c r="R44" t="s">
        <v>210</v>
      </c>
      <c r="S44" s="1">
        <v>46082</v>
      </c>
      <c r="U44" t="s">
        <v>51</v>
      </c>
      <c r="X44" t="s">
        <v>52</v>
      </c>
      <c r="Y44" s="2">
        <v>0</v>
      </c>
      <c r="Z44" s="2">
        <v>325.83</v>
      </c>
      <c r="AA44">
        <v>1</v>
      </c>
      <c r="AB44" s="3">
        <v>1</v>
      </c>
      <c r="AC44" s="2">
        <v>325.83</v>
      </c>
      <c r="AD44" s="3">
        <v>0</v>
      </c>
      <c r="AE44" s="2">
        <v>0</v>
      </c>
      <c r="AF44" s="2">
        <v>325.83</v>
      </c>
      <c r="AK44">
        <v>6402186</v>
      </c>
      <c r="AL44" t="s">
        <v>191</v>
      </c>
    </row>
    <row r="45" spans="1:38" x14ac:dyDescent="0.25">
      <c r="A45" s="1">
        <v>46092</v>
      </c>
      <c r="B45" s="1">
        <v>46093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211</v>
      </c>
      <c r="J45" t="s">
        <v>207</v>
      </c>
      <c r="M45" t="s">
        <v>75</v>
      </c>
      <c r="O45" t="s">
        <v>208</v>
      </c>
      <c r="P45" t="s">
        <v>209</v>
      </c>
      <c r="Q45" t="s">
        <v>49</v>
      </c>
      <c r="R45" t="s">
        <v>212</v>
      </c>
      <c r="S45" s="1">
        <v>46082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6402184</v>
      </c>
    </row>
    <row r="46" spans="1:38" x14ac:dyDescent="0.25">
      <c r="A46" s="1">
        <v>46092</v>
      </c>
      <c r="B46" s="1">
        <v>46093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213</v>
      </c>
      <c r="J46" t="s">
        <v>214</v>
      </c>
      <c r="M46" t="s">
        <v>60</v>
      </c>
      <c r="O46" t="s">
        <v>61</v>
      </c>
      <c r="P46" t="s">
        <v>62</v>
      </c>
      <c r="Q46" t="s">
        <v>49</v>
      </c>
      <c r="R46" t="s">
        <v>215</v>
      </c>
      <c r="S46" s="1">
        <v>46143</v>
      </c>
      <c r="U46" t="s">
        <v>51</v>
      </c>
      <c r="X46" t="s">
        <v>52</v>
      </c>
      <c r="Y46" s="2">
        <v>0</v>
      </c>
      <c r="Z46" s="2">
        <v>31.02</v>
      </c>
      <c r="AA46">
        <v>9</v>
      </c>
      <c r="AB46" s="3">
        <v>1</v>
      </c>
      <c r="AC46" s="2">
        <v>279.18</v>
      </c>
      <c r="AD46" s="3">
        <v>0</v>
      </c>
      <c r="AE46" s="2">
        <v>0</v>
      </c>
      <c r="AF46" s="2">
        <v>279.18</v>
      </c>
      <c r="AK46">
        <v>6402052</v>
      </c>
    </row>
    <row r="47" spans="1:38" x14ac:dyDescent="0.25">
      <c r="A47" s="1">
        <v>46092</v>
      </c>
      <c r="B47" s="1">
        <v>46093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216</v>
      </c>
      <c r="J47" t="s">
        <v>217</v>
      </c>
      <c r="M47" t="s">
        <v>60</v>
      </c>
      <c r="O47" t="s">
        <v>61</v>
      </c>
      <c r="P47" t="s">
        <v>62</v>
      </c>
      <c r="Q47" t="s">
        <v>49</v>
      </c>
      <c r="R47" t="s">
        <v>215</v>
      </c>
      <c r="S47" s="1">
        <v>46143</v>
      </c>
      <c r="U47" t="s">
        <v>51</v>
      </c>
      <c r="X47" t="s">
        <v>52</v>
      </c>
      <c r="Y47" s="2">
        <v>0</v>
      </c>
      <c r="Z47" s="2">
        <v>31.02</v>
      </c>
      <c r="AA47">
        <v>9</v>
      </c>
      <c r="AB47" s="3">
        <v>1</v>
      </c>
      <c r="AC47" s="2">
        <v>279.18</v>
      </c>
      <c r="AD47" s="3">
        <v>0</v>
      </c>
      <c r="AE47" s="2">
        <v>0</v>
      </c>
      <c r="AF47" s="2">
        <v>279.18</v>
      </c>
      <c r="AK47">
        <v>6402053</v>
      </c>
    </row>
    <row r="48" spans="1:38" x14ac:dyDescent="0.25">
      <c r="A48" s="1">
        <v>46092</v>
      </c>
      <c r="B48" s="1">
        <v>46093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218</v>
      </c>
      <c r="J48" t="s">
        <v>219</v>
      </c>
      <c r="M48" t="s">
        <v>60</v>
      </c>
      <c r="O48" t="s">
        <v>61</v>
      </c>
      <c r="P48" t="s">
        <v>62</v>
      </c>
      <c r="Q48" t="s">
        <v>49</v>
      </c>
      <c r="R48" t="s">
        <v>215</v>
      </c>
      <c r="S48" s="1">
        <v>46082</v>
      </c>
      <c r="U48" t="s">
        <v>51</v>
      </c>
      <c r="X48" t="s">
        <v>52</v>
      </c>
      <c r="Y48" s="2">
        <v>0</v>
      </c>
      <c r="Z48" s="2">
        <v>31.02</v>
      </c>
      <c r="AA48">
        <v>9</v>
      </c>
      <c r="AB48" s="3">
        <v>1</v>
      </c>
      <c r="AC48" s="2">
        <v>279.18</v>
      </c>
      <c r="AD48" s="3">
        <v>0</v>
      </c>
      <c r="AE48" s="2">
        <v>0</v>
      </c>
      <c r="AF48" s="2">
        <v>279.18</v>
      </c>
      <c r="AK48">
        <v>6402054</v>
      </c>
    </row>
    <row r="49" spans="1:37" x14ac:dyDescent="0.25">
      <c r="A49" s="1">
        <v>46092</v>
      </c>
      <c r="B49" s="1">
        <v>46093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220</v>
      </c>
      <c r="J49" t="s">
        <v>221</v>
      </c>
      <c r="M49" t="s">
        <v>222</v>
      </c>
      <c r="O49" t="s">
        <v>71</v>
      </c>
      <c r="P49" t="s">
        <v>72</v>
      </c>
      <c r="Q49" t="s">
        <v>49</v>
      </c>
      <c r="R49" t="s">
        <v>223</v>
      </c>
      <c r="S49" s="1">
        <v>46113</v>
      </c>
      <c r="U49" t="s">
        <v>51</v>
      </c>
      <c r="X49" t="s">
        <v>52</v>
      </c>
      <c r="Y49" s="2">
        <v>0</v>
      </c>
      <c r="Z49" s="2">
        <v>31.5</v>
      </c>
      <c r="AA49">
        <v>9</v>
      </c>
      <c r="AB49" s="3">
        <v>1</v>
      </c>
      <c r="AC49" s="2">
        <v>283.5</v>
      </c>
      <c r="AD49" s="3">
        <v>0</v>
      </c>
      <c r="AE49" s="2">
        <v>0</v>
      </c>
      <c r="AF49" s="2">
        <v>283.5</v>
      </c>
      <c r="AK49">
        <v>6402055</v>
      </c>
    </row>
    <row r="50" spans="1:37" x14ac:dyDescent="0.25">
      <c r="A50" s="1">
        <v>46092</v>
      </c>
      <c r="B50" s="1">
        <v>46093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224</v>
      </c>
      <c r="J50" t="s">
        <v>225</v>
      </c>
      <c r="M50" t="s">
        <v>222</v>
      </c>
      <c r="O50" t="s">
        <v>71</v>
      </c>
      <c r="P50" t="s">
        <v>72</v>
      </c>
      <c r="Q50" t="s">
        <v>49</v>
      </c>
      <c r="R50" t="s">
        <v>223</v>
      </c>
      <c r="S50" s="1">
        <v>46174</v>
      </c>
      <c r="U50" t="s">
        <v>51</v>
      </c>
      <c r="X50" t="s">
        <v>52</v>
      </c>
      <c r="Y50" s="2">
        <v>0</v>
      </c>
      <c r="Z50" s="2">
        <v>31.5</v>
      </c>
      <c r="AA50">
        <v>9</v>
      </c>
      <c r="AB50" s="3">
        <v>1</v>
      </c>
      <c r="AC50" s="2">
        <v>283.5</v>
      </c>
      <c r="AD50" s="3">
        <v>0</v>
      </c>
      <c r="AE50" s="2">
        <v>0</v>
      </c>
      <c r="AF50" s="2">
        <v>283.5</v>
      </c>
      <c r="AK50">
        <v>6402056</v>
      </c>
    </row>
    <row r="51" spans="1:37" x14ac:dyDescent="0.25">
      <c r="A51" s="1">
        <v>46092</v>
      </c>
      <c r="B51" s="1">
        <v>46093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226</v>
      </c>
      <c r="J51" t="s">
        <v>227</v>
      </c>
      <c r="M51" t="s">
        <v>139</v>
      </c>
      <c r="O51" t="s">
        <v>105</v>
      </c>
      <c r="P51" t="s">
        <v>106</v>
      </c>
      <c r="Q51" t="s">
        <v>49</v>
      </c>
      <c r="R51" t="s">
        <v>228</v>
      </c>
      <c r="S51" s="1">
        <v>46082</v>
      </c>
      <c r="U51" t="s">
        <v>51</v>
      </c>
      <c r="X51" t="s">
        <v>52</v>
      </c>
      <c r="Y51" s="2">
        <v>0</v>
      </c>
      <c r="Z51" s="2">
        <v>58.19</v>
      </c>
      <c r="AA51">
        <v>9</v>
      </c>
      <c r="AB51" s="3">
        <v>1</v>
      </c>
      <c r="AC51" s="2">
        <v>523.71</v>
      </c>
      <c r="AD51" s="3">
        <v>0</v>
      </c>
      <c r="AE51" s="2">
        <v>0</v>
      </c>
      <c r="AF51" s="2">
        <v>523.71</v>
      </c>
      <c r="AK51">
        <v>6402057</v>
      </c>
    </row>
    <row r="52" spans="1:37" x14ac:dyDescent="0.25">
      <c r="A52" s="1">
        <v>46092</v>
      </c>
      <c r="B52" s="1">
        <v>46093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229</v>
      </c>
      <c r="J52" t="s">
        <v>230</v>
      </c>
      <c r="M52" t="s">
        <v>55</v>
      </c>
      <c r="O52" t="s">
        <v>111</v>
      </c>
      <c r="P52" t="s">
        <v>112</v>
      </c>
      <c r="Q52" t="s">
        <v>49</v>
      </c>
      <c r="R52" t="s">
        <v>183</v>
      </c>
      <c r="S52" s="1">
        <v>46023</v>
      </c>
      <c r="U52" t="s">
        <v>51</v>
      </c>
      <c r="X52" t="s">
        <v>52</v>
      </c>
      <c r="Y52" s="2">
        <v>0</v>
      </c>
      <c r="Z52" s="2">
        <v>25</v>
      </c>
      <c r="AA52">
        <v>1</v>
      </c>
      <c r="AB52" s="3">
        <v>1</v>
      </c>
      <c r="AC52" s="2">
        <v>25</v>
      </c>
      <c r="AD52" s="3">
        <v>0</v>
      </c>
      <c r="AE52" s="2">
        <v>0</v>
      </c>
      <c r="AF52" s="2">
        <v>25</v>
      </c>
      <c r="AK52">
        <v>6401521</v>
      </c>
    </row>
    <row r="53" spans="1:37" x14ac:dyDescent="0.25">
      <c r="A53" s="1">
        <v>46092</v>
      </c>
      <c r="B53" s="1">
        <v>46093</v>
      </c>
      <c r="C53" t="s">
        <v>231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232</v>
      </c>
      <c r="J53" t="s">
        <v>233</v>
      </c>
      <c r="M53" t="s">
        <v>55</v>
      </c>
      <c r="O53" t="s">
        <v>56</v>
      </c>
      <c r="P53" t="s">
        <v>57</v>
      </c>
      <c r="Q53" t="s">
        <v>234</v>
      </c>
      <c r="R53" t="s">
        <v>50</v>
      </c>
      <c r="S53" s="1">
        <v>46023</v>
      </c>
      <c r="U53" t="s">
        <v>51</v>
      </c>
      <c r="X53" t="s">
        <v>52</v>
      </c>
      <c r="AF53" s="2">
        <v>175</v>
      </c>
      <c r="AG53" s="2">
        <v>0</v>
      </c>
      <c r="AJ53" s="2">
        <v>145.25</v>
      </c>
    </row>
    <row r="54" spans="1:37" x14ac:dyDescent="0.25">
      <c r="A54" s="1">
        <v>46092</v>
      </c>
      <c r="B54" s="1">
        <v>46093</v>
      </c>
      <c r="C54" t="s">
        <v>231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235</v>
      </c>
      <c r="J54" t="s">
        <v>236</v>
      </c>
      <c r="M54" t="s">
        <v>55</v>
      </c>
      <c r="O54" t="s">
        <v>123</v>
      </c>
      <c r="P54" t="s">
        <v>124</v>
      </c>
      <c r="Q54" t="s">
        <v>234</v>
      </c>
      <c r="R54" t="s">
        <v>50</v>
      </c>
      <c r="S54" s="1">
        <v>46023</v>
      </c>
      <c r="U54" t="s">
        <v>51</v>
      </c>
      <c r="X54" t="s">
        <v>52</v>
      </c>
      <c r="AF54" s="2">
        <v>175</v>
      </c>
      <c r="AG54" s="2">
        <v>0</v>
      </c>
      <c r="AJ54" s="2">
        <v>145.25</v>
      </c>
    </row>
    <row r="55" spans="1:37" x14ac:dyDescent="0.25">
      <c r="A55" s="1">
        <v>46092</v>
      </c>
      <c r="B55" s="1">
        <v>46093</v>
      </c>
      <c r="C55" t="s">
        <v>231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237</v>
      </c>
      <c r="J55" t="s">
        <v>238</v>
      </c>
      <c r="M55" t="s">
        <v>55</v>
      </c>
      <c r="O55" t="s">
        <v>239</v>
      </c>
      <c r="P55" t="s">
        <v>240</v>
      </c>
      <c r="Q55" t="s">
        <v>234</v>
      </c>
      <c r="R55" t="s">
        <v>68</v>
      </c>
      <c r="S55" s="1">
        <v>46023</v>
      </c>
      <c r="U55" t="s">
        <v>51</v>
      </c>
      <c r="X55" t="s">
        <v>52</v>
      </c>
      <c r="AF55" s="2">
        <v>108</v>
      </c>
      <c r="AG55" s="2">
        <v>0</v>
      </c>
      <c r="AJ55" s="2">
        <v>89.64</v>
      </c>
    </row>
    <row r="56" spans="1:37" x14ac:dyDescent="0.25">
      <c r="A56" s="1">
        <v>46092</v>
      </c>
      <c r="B56" s="1">
        <v>46093</v>
      </c>
      <c r="C56" t="s">
        <v>231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241</v>
      </c>
      <c r="J56" t="s">
        <v>242</v>
      </c>
      <c r="M56" t="s">
        <v>243</v>
      </c>
      <c r="O56" t="s">
        <v>244</v>
      </c>
      <c r="P56" t="s">
        <v>245</v>
      </c>
      <c r="Q56" t="s">
        <v>234</v>
      </c>
      <c r="R56" t="s">
        <v>50</v>
      </c>
      <c r="S56" s="1">
        <v>46023</v>
      </c>
      <c r="U56" t="s">
        <v>51</v>
      </c>
      <c r="X56" t="s">
        <v>52</v>
      </c>
      <c r="AF56" s="2">
        <v>175</v>
      </c>
      <c r="AG56" s="2">
        <v>0</v>
      </c>
      <c r="AJ56" s="2">
        <v>145.25</v>
      </c>
    </row>
    <row r="57" spans="1:37" x14ac:dyDescent="0.25">
      <c r="A57" s="1">
        <v>46092</v>
      </c>
      <c r="B57" s="1">
        <v>46093</v>
      </c>
      <c r="C57" t="s">
        <v>231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246</v>
      </c>
      <c r="J57" t="s">
        <v>247</v>
      </c>
      <c r="M57" t="s">
        <v>248</v>
      </c>
      <c r="O57" t="s">
        <v>61</v>
      </c>
      <c r="P57" t="s">
        <v>62</v>
      </c>
      <c r="Q57" t="s">
        <v>234</v>
      </c>
      <c r="R57" t="s">
        <v>50</v>
      </c>
      <c r="S57" s="1">
        <v>46023</v>
      </c>
      <c r="U57" t="s">
        <v>51</v>
      </c>
      <c r="X57" t="s">
        <v>52</v>
      </c>
      <c r="AF57" s="2">
        <v>175</v>
      </c>
      <c r="AG57" s="2">
        <v>0</v>
      </c>
      <c r="AJ57" s="2">
        <v>145.25</v>
      </c>
    </row>
    <row r="58" spans="1:37" x14ac:dyDescent="0.25">
      <c r="A58" s="1">
        <v>46092</v>
      </c>
      <c r="B58" s="1">
        <v>46093</v>
      </c>
      <c r="C58" t="s">
        <v>231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249</v>
      </c>
      <c r="J58" t="s">
        <v>84</v>
      </c>
      <c r="M58" t="s">
        <v>55</v>
      </c>
      <c r="O58" t="s">
        <v>239</v>
      </c>
      <c r="P58" t="s">
        <v>240</v>
      </c>
      <c r="Q58" t="s">
        <v>234</v>
      </c>
      <c r="R58" t="s">
        <v>250</v>
      </c>
      <c r="S58" s="1">
        <v>46023</v>
      </c>
      <c r="U58" t="s">
        <v>51</v>
      </c>
      <c r="X58" t="s">
        <v>52</v>
      </c>
      <c r="AF58" s="2">
        <v>15</v>
      </c>
      <c r="AG58" s="2">
        <v>0</v>
      </c>
      <c r="AJ58" s="2">
        <v>12.45</v>
      </c>
    </row>
    <row r="59" spans="1:37" x14ac:dyDescent="0.25">
      <c r="A59" s="1">
        <v>46092</v>
      </c>
      <c r="B59" s="1">
        <v>46093</v>
      </c>
      <c r="C59" t="s">
        <v>231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251</v>
      </c>
      <c r="J59" t="s">
        <v>100</v>
      </c>
      <c r="M59" t="s">
        <v>60</v>
      </c>
      <c r="O59" t="s">
        <v>61</v>
      </c>
      <c r="P59" t="s">
        <v>62</v>
      </c>
      <c r="Q59" t="s">
        <v>234</v>
      </c>
      <c r="R59" t="s">
        <v>50</v>
      </c>
      <c r="S59" s="1">
        <v>46023</v>
      </c>
      <c r="U59" t="s">
        <v>51</v>
      </c>
      <c r="X59" t="s">
        <v>52</v>
      </c>
      <c r="AF59" s="2">
        <v>175</v>
      </c>
      <c r="AG59" s="2">
        <v>0</v>
      </c>
      <c r="AJ59" s="2">
        <v>145.25</v>
      </c>
    </row>
    <row r="60" spans="1:37" x14ac:dyDescent="0.25">
      <c r="A60" s="1">
        <v>46092</v>
      </c>
      <c r="B60" s="1">
        <v>46093</v>
      </c>
      <c r="C60" t="s">
        <v>231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252</v>
      </c>
      <c r="J60" t="s">
        <v>253</v>
      </c>
      <c r="M60" t="s">
        <v>139</v>
      </c>
      <c r="O60" t="s">
        <v>254</v>
      </c>
      <c r="P60" t="s">
        <v>255</v>
      </c>
      <c r="Q60" t="s">
        <v>234</v>
      </c>
      <c r="R60" t="s">
        <v>50</v>
      </c>
      <c r="S60" s="1">
        <v>46023</v>
      </c>
      <c r="U60" t="s">
        <v>51</v>
      </c>
      <c r="X60" t="s">
        <v>52</v>
      </c>
      <c r="AF60" s="2">
        <v>175</v>
      </c>
      <c r="AG60" s="2">
        <v>0</v>
      </c>
      <c r="AJ60" s="2">
        <v>145.25</v>
      </c>
    </row>
    <row r="61" spans="1:37" x14ac:dyDescent="0.25">
      <c r="A61" s="1">
        <v>46092</v>
      </c>
      <c r="B61" s="1">
        <v>46093</v>
      </c>
      <c r="C61" t="s">
        <v>231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256</v>
      </c>
      <c r="J61" t="s">
        <v>257</v>
      </c>
      <c r="M61" t="s">
        <v>55</v>
      </c>
      <c r="O61" t="s">
        <v>258</v>
      </c>
      <c r="P61" t="s">
        <v>259</v>
      </c>
      <c r="Q61" t="s">
        <v>234</v>
      </c>
      <c r="R61" t="s">
        <v>50</v>
      </c>
      <c r="S61" s="1">
        <v>46023</v>
      </c>
      <c r="U61" t="s">
        <v>51</v>
      </c>
      <c r="X61" t="s">
        <v>52</v>
      </c>
      <c r="AF61" s="2">
        <v>175</v>
      </c>
      <c r="AG61" s="2">
        <v>0</v>
      </c>
      <c r="AJ61" s="2">
        <v>145.25</v>
      </c>
    </row>
    <row r="62" spans="1:37" x14ac:dyDescent="0.25">
      <c r="A62" s="1">
        <v>46092</v>
      </c>
      <c r="B62" s="1">
        <v>46093</v>
      </c>
      <c r="C62" t="s">
        <v>231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260</v>
      </c>
      <c r="J62" t="s">
        <v>102</v>
      </c>
      <c r="M62" t="s">
        <v>60</v>
      </c>
      <c r="O62" t="s">
        <v>61</v>
      </c>
      <c r="P62" t="s">
        <v>62</v>
      </c>
      <c r="Q62" t="s">
        <v>234</v>
      </c>
      <c r="R62" t="s">
        <v>50</v>
      </c>
      <c r="S62" s="1">
        <v>46054</v>
      </c>
      <c r="U62" t="s">
        <v>51</v>
      </c>
      <c r="X62" t="s">
        <v>52</v>
      </c>
      <c r="AF62" s="2">
        <v>175</v>
      </c>
      <c r="AG62" s="2">
        <v>0</v>
      </c>
      <c r="AJ62" s="2">
        <v>145.25</v>
      </c>
    </row>
    <row r="63" spans="1:37" x14ac:dyDescent="0.25">
      <c r="A63" s="1">
        <v>46092</v>
      </c>
      <c r="B63" s="1">
        <v>46093</v>
      </c>
      <c r="C63" t="s">
        <v>231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261</v>
      </c>
      <c r="J63" t="s">
        <v>262</v>
      </c>
      <c r="M63" t="s">
        <v>139</v>
      </c>
      <c r="O63" t="s">
        <v>47</v>
      </c>
      <c r="P63" t="s">
        <v>48</v>
      </c>
      <c r="Q63" t="s">
        <v>234</v>
      </c>
      <c r="R63" t="s">
        <v>50</v>
      </c>
      <c r="S63" s="1">
        <v>46023</v>
      </c>
      <c r="U63" t="s">
        <v>51</v>
      </c>
      <c r="X63" t="s">
        <v>52</v>
      </c>
      <c r="AF63" s="2">
        <v>175</v>
      </c>
      <c r="AG63" s="2">
        <v>0</v>
      </c>
      <c r="AJ63" s="2">
        <v>145.25</v>
      </c>
    </row>
    <row r="64" spans="1:37" x14ac:dyDescent="0.25">
      <c r="A64" s="1">
        <v>46092</v>
      </c>
      <c r="B64" s="1">
        <v>46093</v>
      </c>
      <c r="C64" t="s">
        <v>231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263</v>
      </c>
      <c r="J64" t="s">
        <v>264</v>
      </c>
      <c r="M64" t="s">
        <v>222</v>
      </c>
      <c r="O64" t="s">
        <v>123</v>
      </c>
      <c r="P64" t="s">
        <v>124</v>
      </c>
      <c r="Q64" t="s">
        <v>234</v>
      </c>
      <c r="R64" t="s">
        <v>50</v>
      </c>
      <c r="S64" s="1">
        <v>46023</v>
      </c>
      <c r="U64" t="s">
        <v>51</v>
      </c>
      <c r="X64" t="s">
        <v>52</v>
      </c>
      <c r="AF64" s="2">
        <v>175</v>
      </c>
      <c r="AG64" s="2">
        <v>0</v>
      </c>
      <c r="AJ64" s="2">
        <v>145.25</v>
      </c>
    </row>
    <row r="65" spans="1:36" x14ac:dyDescent="0.25">
      <c r="A65" s="1">
        <v>46092</v>
      </c>
      <c r="B65" s="1">
        <v>46093</v>
      </c>
      <c r="C65" t="s">
        <v>231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265</v>
      </c>
      <c r="J65" t="s">
        <v>108</v>
      </c>
      <c r="M65" t="s">
        <v>60</v>
      </c>
      <c r="O65" t="s">
        <v>61</v>
      </c>
      <c r="P65" t="s">
        <v>62</v>
      </c>
      <c r="Q65" t="s">
        <v>234</v>
      </c>
      <c r="R65" t="s">
        <v>50</v>
      </c>
      <c r="S65" s="1">
        <v>46023</v>
      </c>
      <c r="U65" t="s">
        <v>51</v>
      </c>
      <c r="X65" t="s">
        <v>52</v>
      </c>
      <c r="AF65" s="2">
        <v>175</v>
      </c>
      <c r="AG65" s="2">
        <v>0</v>
      </c>
      <c r="AJ65" s="2">
        <v>145.25</v>
      </c>
    </row>
    <row r="66" spans="1:36" x14ac:dyDescent="0.25">
      <c r="A66" s="1">
        <v>46092</v>
      </c>
      <c r="B66" s="1">
        <v>46093</v>
      </c>
      <c r="C66" t="s">
        <v>231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266</v>
      </c>
      <c r="J66" t="s">
        <v>267</v>
      </c>
      <c r="M66" t="s">
        <v>55</v>
      </c>
      <c r="O66" t="s">
        <v>268</v>
      </c>
      <c r="P66" t="s">
        <v>269</v>
      </c>
      <c r="Q66" t="s">
        <v>234</v>
      </c>
      <c r="R66" t="s">
        <v>50</v>
      </c>
      <c r="S66" s="1">
        <v>46082</v>
      </c>
      <c r="U66" t="s">
        <v>51</v>
      </c>
      <c r="X66" t="s">
        <v>52</v>
      </c>
      <c r="AF66" s="2">
        <v>175</v>
      </c>
      <c r="AG66" s="2">
        <v>0</v>
      </c>
      <c r="AJ66" s="2">
        <v>175</v>
      </c>
    </row>
    <row r="67" spans="1:36" x14ac:dyDescent="0.25">
      <c r="A67" s="1">
        <v>46092</v>
      </c>
      <c r="B67" s="1">
        <v>46093</v>
      </c>
      <c r="C67" t="s">
        <v>231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270</v>
      </c>
      <c r="J67" t="s">
        <v>271</v>
      </c>
      <c r="M67" t="s">
        <v>75</v>
      </c>
      <c r="O67" t="s">
        <v>272</v>
      </c>
      <c r="P67" t="s">
        <v>273</v>
      </c>
      <c r="Q67" t="s">
        <v>234</v>
      </c>
      <c r="R67" t="s">
        <v>274</v>
      </c>
      <c r="S67" s="1">
        <v>46023</v>
      </c>
      <c r="U67" t="s">
        <v>51</v>
      </c>
      <c r="X67" t="s">
        <v>52</v>
      </c>
      <c r="AF67" s="2">
        <v>15</v>
      </c>
      <c r="AG67" s="2">
        <v>0</v>
      </c>
      <c r="AJ67" s="2">
        <v>15</v>
      </c>
    </row>
    <row r="68" spans="1:36" x14ac:dyDescent="0.25">
      <c r="A68" s="1">
        <v>46092</v>
      </c>
      <c r="B68" s="1">
        <v>46093</v>
      </c>
      <c r="C68" t="s">
        <v>231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275</v>
      </c>
      <c r="J68" t="s">
        <v>276</v>
      </c>
      <c r="M68" t="s">
        <v>55</v>
      </c>
      <c r="O68" t="s">
        <v>277</v>
      </c>
      <c r="P68" t="s">
        <v>278</v>
      </c>
      <c r="Q68" t="s">
        <v>234</v>
      </c>
      <c r="R68" t="s">
        <v>183</v>
      </c>
      <c r="S68" s="1">
        <v>46023</v>
      </c>
      <c r="U68" t="s">
        <v>51</v>
      </c>
      <c r="X68" t="s">
        <v>52</v>
      </c>
      <c r="AF68" s="2">
        <v>25</v>
      </c>
      <c r="AG68" s="2">
        <v>0</v>
      </c>
      <c r="AJ68" s="2">
        <v>25</v>
      </c>
    </row>
    <row r="69" spans="1:36" x14ac:dyDescent="0.25">
      <c r="A69" s="1">
        <v>46092</v>
      </c>
      <c r="B69" s="1">
        <v>46093</v>
      </c>
      <c r="C69" t="s">
        <v>231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279</v>
      </c>
      <c r="J69" t="s">
        <v>280</v>
      </c>
      <c r="M69" t="s">
        <v>55</v>
      </c>
      <c r="O69" t="s">
        <v>239</v>
      </c>
      <c r="P69" t="s">
        <v>240</v>
      </c>
      <c r="Q69" t="s">
        <v>234</v>
      </c>
      <c r="R69" t="s">
        <v>274</v>
      </c>
      <c r="S69" s="1">
        <v>46023</v>
      </c>
      <c r="U69" t="s">
        <v>51</v>
      </c>
      <c r="X69" t="s">
        <v>52</v>
      </c>
      <c r="AF69" s="2">
        <v>15</v>
      </c>
      <c r="AG69" s="2">
        <v>0</v>
      </c>
      <c r="AJ69" s="2">
        <v>12.5</v>
      </c>
    </row>
    <row r="70" spans="1:36" x14ac:dyDescent="0.25">
      <c r="A70" s="1">
        <v>46092</v>
      </c>
      <c r="B70" s="1">
        <v>46093</v>
      </c>
      <c r="C70" t="s">
        <v>231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281</v>
      </c>
      <c r="J70" t="s">
        <v>282</v>
      </c>
      <c r="M70" t="s">
        <v>222</v>
      </c>
      <c r="O70" t="s">
        <v>105</v>
      </c>
      <c r="P70" t="s">
        <v>106</v>
      </c>
      <c r="Q70" t="s">
        <v>234</v>
      </c>
      <c r="R70" t="s">
        <v>205</v>
      </c>
      <c r="S70" s="1">
        <v>46023</v>
      </c>
      <c r="U70" t="s">
        <v>51</v>
      </c>
      <c r="X70" t="s">
        <v>52</v>
      </c>
      <c r="AF70" s="2">
        <v>100</v>
      </c>
      <c r="AG70" s="2">
        <v>0</v>
      </c>
      <c r="AJ70" s="2">
        <v>100</v>
      </c>
    </row>
    <row r="71" spans="1:36" x14ac:dyDescent="0.25">
      <c r="A71" s="1">
        <v>46092</v>
      </c>
      <c r="B71" s="1">
        <v>46093</v>
      </c>
      <c r="C71" t="s">
        <v>231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283</v>
      </c>
      <c r="J71" t="s">
        <v>284</v>
      </c>
      <c r="M71" t="s">
        <v>55</v>
      </c>
      <c r="O71" t="s">
        <v>285</v>
      </c>
      <c r="P71" t="s">
        <v>286</v>
      </c>
      <c r="Q71" t="s">
        <v>234</v>
      </c>
      <c r="R71" t="s">
        <v>205</v>
      </c>
      <c r="S71" s="1">
        <v>46082</v>
      </c>
      <c r="U71" t="s">
        <v>51</v>
      </c>
      <c r="X71" t="s">
        <v>52</v>
      </c>
      <c r="AF71" s="2">
        <v>100</v>
      </c>
      <c r="AG71" s="2">
        <v>0</v>
      </c>
      <c r="AJ71" s="2">
        <v>100</v>
      </c>
    </row>
    <row r="72" spans="1:36" x14ac:dyDescent="0.25">
      <c r="A72" s="1">
        <v>46092</v>
      </c>
      <c r="B72" s="1">
        <v>46093</v>
      </c>
      <c r="C72" t="s">
        <v>231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287</v>
      </c>
      <c r="J72" t="s">
        <v>288</v>
      </c>
      <c r="M72" t="s">
        <v>55</v>
      </c>
      <c r="O72" t="s">
        <v>277</v>
      </c>
      <c r="P72" t="s">
        <v>278</v>
      </c>
      <c r="Q72" t="s">
        <v>234</v>
      </c>
      <c r="R72" t="s">
        <v>289</v>
      </c>
      <c r="S72" s="1">
        <v>46023</v>
      </c>
      <c r="U72" t="s">
        <v>51</v>
      </c>
      <c r="X72" t="s">
        <v>52</v>
      </c>
      <c r="AF72" s="2">
        <v>347</v>
      </c>
      <c r="AG72" s="2">
        <v>0</v>
      </c>
      <c r="AJ72" s="2">
        <v>347</v>
      </c>
    </row>
    <row r="73" spans="1:36" x14ac:dyDescent="0.25">
      <c r="A73" s="1">
        <v>46092</v>
      </c>
      <c r="B73" s="1">
        <v>46093</v>
      </c>
      <c r="C73" t="s">
        <v>231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290</v>
      </c>
      <c r="J73" t="s">
        <v>288</v>
      </c>
      <c r="M73" t="s">
        <v>55</v>
      </c>
      <c r="O73" t="s">
        <v>277</v>
      </c>
      <c r="P73" t="s">
        <v>278</v>
      </c>
      <c r="Q73" t="s">
        <v>234</v>
      </c>
      <c r="R73" t="s">
        <v>212</v>
      </c>
      <c r="S73" s="1">
        <v>46023</v>
      </c>
      <c r="U73" t="s">
        <v>51</v>
      </c>
      <c r="X73" t="s">
        <v>52</v>
      </c>
      <c r="AF73" s="2">
        <v>175</v>
      </c>
      <c r="AG73" s="2">
        <v>0</v>
      </c>
      <c r="AJ73" s="2">
        <v>175</v>
      </c>
    </row>
    <row r="74" spans="1:36" x14ac:dyDescent="0.25">
      <c r="A74" s="1">
        <v>46092</v>
      </c>
      <c r="B74" s="1">
        <v>46093</v>
      </c>
      <c r="C74" t="s">
        <v>231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291</v>
      </c>
      <c r="J74" t="s">
        <v>292</v>
      </c>
      <c r="M74" t="s">
        <v>60</v>
      </c>
      <c r="O74" t="s">
        <v>61</v>
      </c>
      <c r="P74" t="s">
        <v>62</v>
      </c>
      <c r="Q74" t="s">
        <v>234</v>
      </c>
      <c r="R74" t="s">
        <v>289</v>
      </c>
      <c r="S74" s="1">
        <v>46023</v>
      </c>
      <c r="U74" t="s">
        <v>51</v>
      </c>
      <c r="X74" t="s">
        <v>52</v>
      </c>
      <c r="AF74" s="2">
        <v>347</v>
      </c>
      <c r="AG74" s="2">
        <v>0</v>
      </c>
      <c r="AJ74" s="2">
        <v>347</v>
      </c>
    </row>
    <row r="75" spans="1:36" x14ac:dyDescent="0.25">
      <c r="A75" s="1">
        <v>46092</v>
      </c>
      <c r="B75" s="1">
        <v>46093</v>
      </c>
      <c r="C75" t="s">
        <v>231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293</v>
      </c>
      <c r="J75" t="s">
        <v>292</v>
      </c>
      <c r="M75" t="s">
        <v>60</v>
      </c>
      <c r="O75" t="s">
        <v>61</v>
      </c>
      <c r="P75" t="s">
        <v>62</v>
      </c>
      <c r="Q75" t="s">
        <v>234</v>
      </c>
      <c r="R75" t="s">
        <v>212</v>
      </c>
      <c r="S75" s="1">
        <v>46023</v>
      </c>
      <c r="U75" t="s">
        <v>51</v>
      </c>
      <c r="X75" t="s">
        <v>52</v>
      </c>
      <c r="AF75" s="2">
        <v>175</v>
      </c>
      <c r="AG75" s="2">
        <v>0</v>
      </c>
      <c r="AJ75" s="2">
        <v>175</v>
      </c>
    </row>
    <row r="76" spans="1:36" x14ac:dyDescent="0.25">
      <c r="A76" s="1">
        <v>46092</v>
      </c>
      <c r="B76" s="1">
        <v>46093</v>
      </c>
      <c r="C76" t="s">
        <v>231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294</v>
      </c>
      <c r="J76" t="s">
        <v>295</v>
      </c>
      <c r="M76" t="s">
        <v>80</v>
      </c>
      <c r="O76" t="s">
        <v>296</v>
      </c>
      <c r="P76" t="s">
        <v>297</v>
      </c>
      <c r="Q76" t="s">
        <v>234</v>
      </c>
      <c r="R76" t="s">
        <v>289</v>
      </c>
      <c r="S76" s="1">
        <v>46023</v>
      </c>
      <c r="U76" t="s">
        <v>51</v>
      </c>
      <c r="X76" t="s">
        <v>52</v>
      </c>
      <c r="AF76" s="2">
        <v>347</v>
      </c>
      <c r="AG76" s="2">
        <v>0</v>
      </c>
      <c r="AJ76" s="2">
        <v>347</v>
      </c>
    </row>
    <row r="77" spans="1:36" x14ac:dyDescent="0.25">
      <c r="A77" s="1">
        <v>46092</v>
      </c>
      <c r="B77" s="1">
        <v>46093</v>
      </c>
      <c r="C77" t="s">
        <v>231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298</v>
      </c>
      <c r="J77" t="s">
        <v>295</v>
      </c>
      <c r="M77" t="s">
        <v>80</v>
      </c>
      <c r="O77" t="s">
        <v>296</v>
      </c>
      <c r="P77" t="s">
        <v>297</v>
      </c>
      <c r="Q77" t="s">
        <v>234</v>
      </c>
      <c r="R77" t="s">
        <v>212</v>
      </c>
      <c r="S77" s="1">
        <v>46023</v>
      </c>
      <c r="U77" t="s">
        <v>51</v>
      </c>
      <c r="X77" t="s">
        <v>52</v>
      </c>
      <c r="AF77" s="2">
        <v>175</v>
      </c>
      <c r="AG77" s="2">
        <v>0</v>
      </c>
      <c r="AJ77" s="2">
        <v>175</v>
      </c>
    </row>
    <row r="78" spans="1:36" x14ac:dyDescent="0.25">
      <c r="A78" s="1">
        <v>46092</v>
      </c>
      <c r="B78" s="1">
        <v>46093</v>
      </c>
      <c r="C78" t="s">
        <v>231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299</v>
      </c>
      <c r="J78" t="s">
        <v>300</v>
      </c>
      <c r="M78" t="s">
        <v>60</v>
      </c>
      <c r="O78" t="s">
        <v>61</v>
      </c>
      <c r="P78" t="s">
        <v>62</v>
      </c>
      <c r="Q78" t="s">
        <v>234</v>
      </c>
      <c r="R78" t="s">
        <v>301</v>
      </c>
      <c r="S78" s="1">
        <v>46023</v>
      </c>
      <c r="U78" t="s">
        <v>51</v>
      </c>
      <c r="X78" t="s">
        <v>52</v>
      </c>
      <c r="AF78" s="2">
        <v>203</v>
      </c>
      <c r="AG78" s="2">
        <v>0</v>
      </c>
      <c r="AJ78" s="2">
        <v>203</v>
      </c>
    </row>
    <row r="79" spans="1:36" x14ac:dyDescent="0.25">
      <c r="A79" s="1">
        <v>46092</v>
      </c>
      <c r="B79" s="1">
        <v>46093</v>
      </c>
      <c r="C79" t="s">
        <v>231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302</v>
      </c>
      <c r="J79" t="s">
        <v>300</v>
      </c>
      <c r="M79" t="s">
        <v>60</v>
      </c>
      <c r="O79" t="s">
        <v>61</v>
      </c>
      <c r="P79" t="s">
        <v>62</v>
      </c>
      <c r="Q79" t="s">
        <v>234</v>
      </c>
      <c r="R79" t="s">
        <v>303</v>
      </c>
      <c r="S79" s="1">
        <v>46023</v>
      </c>
      <c r="U79" t="s">
        <v>51</v>
      </c>
      <c r="X79" t="s">
        <v>52</v>
      </c>
      <c r="AF79" s="2">
        <v>113</v>
      </c>
      <c r="AG79" s="2">
        <v>0</v>
      </c>
      <c r="AJ79" s="2">
        <v>113</v>
      </c>
    </row>
    <row r="80" spans="1:36" x14ac:dyDescent="0.25">
      <c r="A80" s="1">
        <v>46092</v>
      </c>
      <c r="B80" s="1">
        <v>46093</v>
      </c>
      <c r="C80" t="s">
        <v>231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304</v>
      </c>
      <c r="J80" t="s">
        <v>305</v>
      </c>
      <c r="M80" t="s">
        <v>55</v>
      </c>
      <c r="O80" t="s">
        <v>306</v>
      </c>
      <c r="P80" t="s">
        <v>307</v>
      </c>
      <c r="Q80" t="s">
        <v>234</v>
      </c>
      <c r="R80" t="s">
        <v>223</v>
      </c>
      <c r="S80" s="1">
        <v>46113</v>
      </c>
      <c r="U80" t="s">
        <v>51</v>
      </c>
      <c r="X80" t="s">
        <v>52</v>
      </c>
      <c r="AF80" s="2">
        <v>283.5</v>
      </c>
      <c r="AG80" s="2">
        <v>0</v>
      </c>
      <c r="AJ80" s="2">
        <v>283.5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09D5-E709-4298-819D-0DB7A295D557}">
  <dimension ref="A1:P80"/>
  <sheetViews>
    <sheetView tabSelected="1" topLeftCell="B65" workbookViewId="0">
      <selection activeCell="P2" sqref="P2:P80"/>
    </sheetView>
  </sheetViews>
  <sheetFormatPr defaultRowHeight="15" x14ac:dyDescent="0.25"/>
  <cols>
    <col min="1" max="1" width="16.28515625" customWidth="1"/>
    <col min="2" max="2" width="17" bestFit="1" customWidth="1"/>
    <col min="3" max="3" width="18.140625" customWidth="1"/>
    <col min="4" max="4" width="5.5703125" bestFit="1" customWidth="1"/>
    <col min="5" max="5" width="10.140625" customWidth="1"/>
    <col min="6" max="6" width="18.5703125" customWidth="1"/>
    <col min="7" max="7" width="12.85546875" bestFit="1" customWidth="1"/>
    <col min="8" max="8" width="58.7109375" customWidth="1"/>
    <col min="9" max="9" width="10.140625" bestFit="1" customWidth="1"/>
    <col min="10" max="10" width="8.85546875" customWidth="1"/>
    <col min="11" max="11" width="6.5703125" customWidth="1"/>
    <col min="12" max="12" width="8.28515625" customWidth="1"/>
    <col min="13" max="13" width="39.140625" bestFit="1" customWidth="1"/>
  </cols>
  <sheetData>
    <row r="1" spans="1:14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25</v>
      </c>
      <c r="K1" t="s">
        <v>26</v>
      </c>
      <c r="L1" t="s">
        <v>28</v>
      </c>
      <c r="M1" t="s">
        <v>37</v>
      </c>
    </row>
    <row r="2" spans="1:14" x14ac:dyDescent="0.25">
      <c r="A2" s="4">
        <v>101580286400</v>
      </c>
      <c r="B2" s="4" t="str">
        <f>CONCATENATE(A2,"OVR")</f>
        <v>101580286400OVR</v>
      </c>
      <c r="C2" t="s">
        <v>180</v>
      </c>
      <c r="D2" t="s">
        <v>75</v>
      </c>
      <c r="E2">
        <v>20411454</v>
      </c>
      <c r="F2" t="s">
        <v>374</v>
      </c>
      <c r="G2" t="s">
        <v>92</v>
      </c>
      <c r="H2" t="s">
        <v>183</v>
      </c>
      <c r="I2" s="1">
        <v>46023</v>
      </c>
      <c r="J2" s="2">
        <v>2.08</v>
      </c>
      <c r="K2">
        <v>1</v>
      </c>
      <c r="L2" s="2">
        <v>2.08</v>
      </c>
      <c r="M2" t="s">
        <v>184</v>
      </c>
      <c r="N2" t="s">
        <v>364</v>
      </c>
    </row>
    <row r="3" spans="1:14" x14ac:dyDescent="0.25">
      <c r="A3" s="4" t="s">
        <v>348</v>
      </c>
      <c r="B3" s="4" t="str">
        <f t="shared" ref="B3:B62" si="0">CONCATENATE(A3,"OVR")</f>
        <v>MEQNPDZM00005502643OVR</v>
      </c>
      <c r="C3" t="s">
        <v>230</v>
      </c>
      <c r="D3" t="s">
        <v>55</v>
      </c>
      <c r="E3">
        <v>20411454</v>
      </c>
      <c r="F3" t="s">
        <v>374</v>
      </c>
      <c r="G3" t="s">
        <v>49</v>
      </c>
      <c r="H3" t="s">
        <v>183</v>
      </c>
      <c r="I3" s="1">
        <v>46023</v>
      </c>
      <c r="J3" s="2">
        <v>25</v>
      </c>
      <c r="K3">
        <v>1</v>
      </c>
      <c r="L3" s="2">
        <v>25</v>
      </c>
      <c r="N3" t="s">
        <v>364</v>
      </c>
    </row>
    <row r="4" spans="1:14" x14ac:dyDescent="0.25">
      <c r="A4" s="4">
        <v>101819351300</v>
      </c>
      <c r="B4" s="4" t="str">
        <f t="shared" si="0"/>
        <v>101819351300OVR</v>
      </c>
      <c r="C4" t="s">
        <v>276</v>
      </c>
      <c r="D4" t="s">
        <v>55</v>
      </c>
      <c r="E4">
        <v>20411454</v>
      </c>
      <c r="F4" t="s">
        <v>374</v>
      </c>
      <c r="G4" t="s">
        <v>234</v>
      </c>
      <c r="H4" t="s">
        <v>183</v>
      </c>
      <c r="I4" s="1">
        <v>46023</v>
      </c>
      <c r="L4">
        <v>-25</v>
      </c>
      <c r="N4" t="s">
        <v>364</v>
      </c>
    </row>
    <row r="5" spans="1:14" x14ac:dyDescent="0.25">
      <c r="A5" s="4">
        <v>101061083700</v>
      </c>
      <c r="B5" s="4" t="str">
        <f t="shared" si="0"/>
        <v>101061083700OVR</v>
      </c>
      <c r="C5" t="s">
        <v>271</v>
      </c>
      <c r="D5" t="s">
        <v>75</v>
      </c>
      <c r="E5">
        <v>20411454</v>
      </c>
      <c r="F5" t="s">
        <v>374</v>
      </c>
      <c r="G5" t="s">
        <v>234</v>
      </c>
      <c r="H5" t="s">
        <v>274</v>
      </c>
      <c r="I5" s="1">
        <v>46023</v>
      </c>
      <c r="L5">
        <v>-15</v>
      </c>
      <c r="N5" t="s">
        <v>364</v>
      </c>
    </row>
    <row r="6" spans="1:14" x14ac:dyDescent="0.25">
      <c r="A6" s="4">
        <v>102205311400</v>
      </c>
      <c r="B6" s="4" t="str">
        <f t="shared" si="0"/>
        <v>102205311400OVR</v>
      </c>
      <c r="C6" t="s">
        <v>280</v>
      </c>
      <c r="D6" t="s">
        <v>55</v>
      </c>
      <c r="E6">
        <v>20411454</v>
      </c>
      <c r="F6" t="s">
        <v>374</v>
      </c>
      <c r="G6" t="s">
        <v>234</v>
      </c>
      <c r="H6" t="s">
        <v>274</v>
      </c>
      <c r="I6" s="1">
        <v>46023</v>
      </c>
      <c r="L6">
        <v>-12.5</v>
      </c>
      <c r="N6" t="s">
        <v>364</v>
      </c>
    </row>
    <row r="7" spans="1:14" x14ac:dyDescent="0.25">
      <c r="A7" s="4">
        <v>102266066700</v>
      </c>
      <c r="B7" s="4" t="str">
        <f t="shared" si="0"/>
        <v>102266066700OVR</v>
      </c>
      <c r="C7" t="s">
        <v>186</v>
      </c>
      <c r="D7" t="s">
        <v>55</v>
      </c>
      <c r="E7">
        <v>20411454</v>
      </c>
      <c r="F7" t="s">
        <v>374</v>
      </c>
      <c r="G7" t="s">
        <v>49</v>
      </c>
      <c r="H7" t="s">
        <v>187</v>
      </c>
      <c r="I7" s="1">
        <v>46113</v>
      </c>
      <c r="J7" s="2">
        <v>18.75</v>
      </c>
      <c r="K7">
        <v>1</v>
      </c>
      <c r="L7" s="2">
        <v>18.75</v>
      </c>
      <c r="M7" t="s">
        <v>188</v>
      </c>
      <c r="N7" t="s">
        <v>364</v>
      </c>
    </row>
    <row r="8" spans="1:14" x14ac:dyDescent="0.25">
      <c r="A8" s="4">
        <v>102266103000</v>
      </c>
      <c r="B8" s="4" t="str">
        <f t="shared" si="0"/>
        <v>102266103000OVR</v>
      </c>
      <c r="C8" t="s">
        <v>190</v>
      </c>
      <c r="D8" t="s">
        <v>75</v>
      </c>
      <c r="E8">
        <v>20411454</v>
      </c>
      <c r="F8" t="s">
        <v>374</v>
      </c>
      <c r="G8" t="s">
        <v>49</v>
      </c>
      <c r="H8" t="s">
        <v>187</v>
      </c>
      <c r="I8" s="1">
        <v>46082</v>
      </c>
      <c r="J8" s="2">
        <v>20.83</v>
      </c>
      <c r="K8">
        <v>1</v>
      </c>
      <c r="L8" s="2">
        <v>20.83</v>
      </c>
      <c r="M8" t="s">
        <v>191</v>
      </c>
      <c r="N8" t="s">
        <v>364</v>
      </c>
    </row>
    <row r="9" spans="1:14" x14ac:dyDescent="0.25">
      <c r="A9" s="4">
        <v>102266145500</v>
      </c>
      <c r="B9" s="4" t="str">
        <f t="shared" si="0"/>
        <v>102266145500OVR</v>
      </c>
      <c r="C9" t="s">
        <v>193</v>
      </c>
      <c r="D9" t="s">
        <v>80</v>
      </c>
      <c r="E9">
        <v>20411454</v>
      </c>
      <c r="F9" t="s">
        <v>374</v>
      </c>
      <c r="G9" t="s">
        <v>49</v>
      </c>
      <c r="H9" t="s">
        <v>187</v>
      </c>
      <c r="I9" s="1">
        <v>46113</v>
      </c>
      <c r="J9" s="2">
        <v>18.75</v>
      </c>
      <c r="K9">
        <v>1</v>
      </c>
      <c r="L9" s="2">
        <v>18.75</v>
      </c>
      <c r="M9" t="s">
        <v>188</v>
      </c>
      <c r="N9" t="s">
        <v>364</v>
      </c>
    </row>
    <row r="10" spans="1:14" x14ac:dyDescent="0.25">
      <c r="A10" s="4">
        <v>102266469300</v>
      </c>
      <c r="B10" s="4" t="str">
        <f t="shared" si="0"/>
        <v>102266469300OVR</v>
      </c>
      <c r="C10" t="s">
        <v>195</v>
      </c>
      <c r="D10" t="s">
        <v>196</v>
      </c>
      <c r="E10">
        <v>20411454</v>
      </c>
      <c r="F10" t="s">
        <v>374</v>
      </c>
      <c r="G10" t="s">
        <v>49</v>
      </c>
      <c r="H10" t="s">
        <v>187</v>
      </c>
      <c r="I10" s="1">
        <v>46082</v>
      </c>
      <c r="J10" s="2">
        <v>20.83</v>
      </c>
      <c r="K10">
        <v>1</v>
      </c>
      <c r="L10" s="2">
        <v>20.83</v>
      </c>
      <c r="M10" t="s">
        <v>191</v>
      </c>
      <c r="N10" t="s">
        <v>364</v>
      </c>
    </row>
    <row r="11" spans="1:14" x14ac:dyDescent="0.25">
      <c r="A11" s="4">
        <v>102266469400</v>
      </c>
      <c r="B11" s="4" t="str">
        <f t="shared" si="0"/>
        <v>102266469400OVR</v>
      </c>
      <c r="C11" t="s">
        <v>198</v>
      </c>
      <c r="D11" t="s">
        <v>80</v>
      </c>
      <c r="E11">
        <v>20411454</v>
      </c>
      <c r="F11" t="s">
        <v>374</v>
      </c>
      <c r="G11" t="s">
        <v>49</v>
      </c>
      <c r="H11" t="s">
        <v>187</v>
      </c>
      <c r="I11" s="1">
        <v>46082</v>
      </c>
      <c r="J11" s="2">
        <v>20.83</v>
      </c>
      <c r="K11">
        <v>1</v>
      </c>
      <c r="L11" s="2">
        <v>20.83</v>
      </c>
      <c r="M11" t="s">
        <v>191</v>
      </c>
      <c r="N11" t="s">
        <v>364</v>
      </c>
    </row>
    <row r="12" spans="1:14" x14ac:dyDescent="0.25">
      <c r="A12" s="4">
        <v>102266484400</v>
      </c>
      <c r="B12" s="4" t="str">
        <f t="shared" si="0"/>
        <v>102266484400OVR</v>
      </c>
      <c r="C12" t="s">
        <v>200</v>
      </c>
      <c r="D12" t="s">
        <v>80</v>
      </c>
      <c r="E12">
        <v>20411454</v>
      </c>
      <c r="F12" t="s">
        <v>374</v>
      </c>
      <c r="G12" t="s">
        <v>49</v>
      </c>
      <c r="H12" t="s">
        <v>187</v>
      </c>
      <c r="I12" s="1">
        <v>46082</v>
      </c>
      <c r="J12" s="2">
        <v>20.83</v>
      </c>
      <c r="K12">
        <v>1</v>
      </c>
      <c r="L12" s="2">
        <v>20.83</v>
      </c>
      <c r="M12" t="s">
        <v>191</v>
      </c>
      <c r="N12" t="s">
        <v>364</v>
      </c>
    </row>
    <row r="13" spans="1:14" x14ac:dyDescent="0.25">
      <c r="A13" s="4" t="s">
        <v>341</v>
      </c>
      <c r="B13" s="4" t="str">
        <f t="shared" si="0"/>
        <v>64U1X9L21OVR</v>
      </c>
      <c r="C13" t="s">
        <v>202</v>
      </c>
      <c r="D13" t="s">
        <v>55</v>
      </c>
      <c r="E13">
        <v>20411454</v>
      </c>
      <c r="F13" t="s">
        <v>374</v>
      </c>
      <c r="G13" t="s">
        <v>49</v>
      </c>
      <c r="H13" t="s">
        <v>205</v>
      </c>
      <c r="I13" s="1">
        <v>46082</v>
      </c>
      <c r="J13" s="2">
        <v>100</v>
      </c>
      <c r="K13">
        <v>1</v>
      </c>
      <c r="L13" s="2">
        <v>100</v>
      </c>
      <c r="N13" t="s">
        <v>365</v>
      </c>
    </row>
    <row r="14" spans="1:14" x14ac:dyDescent="0.25">
      <c r="A14" s="4" t="s">
        <v>361</v>
      </c>
      <c r="B14" s="4" t="str">
        <f t="shared" si="0"/>
        <v>54L3H2U31OVR</v>
      </c>
      <c r="C14" t="s">
        <v>282</v>
      </c>
      <c r="D14" t="s">
        <v>222</v>
      </c>
      <c r="E14">
        <v>20411454</v>
      </c>
      <c r="F14" t="s">
        <v>374</v>
      </c>
      <c r="G14" t="s">
        <v>234</v>
      </c>
      <c r="H14" t="s">
        <v>205</v>
      </c>
      <c r="I14" s="1">
        <v>46023</v>
      </c>
      <c r="L14">
        <v>-100</v>
      </c>
      <c r="N14" t="s">
        <v>365</v>
      </c>
    </row>
    <row r="15" spans="1:14" x14ac:dyDescent="0.25">
      <c r="A15" s="4" t="s">
        <v>362</v>
      </c>
      <c r="B15" s="4" t="str">
        <f t="shared" si="0"/>
        <v>56U6F6X48OVR</v>
      </c>
      <c r="C15" t="s">
        <v>284</v>
      </c>
      <c r="D15" t="s">
        <v>55</v>
      </c>
      <c r="E15">
        <v>20411454</v>
      </c>
      <c r="F15" t="s">
        <v>374</v>
      </c>
      <c r="G15" t="s">
        <v>234</v>
      </c>
      <c r="H15" t="s">
        <v>205</v>
      </c>
      <c r="I15" s="1">
        <v>46082</v>
      </c>
      <c r="L15">
        <v>-100</v>
      </c>
      <c r="N15" t="s">
        <v>365</v>
      </c>
    </row>
    <row r="16" spans="1:14" x14ac:dyDescent="0.25">
      <c r="A16" s="4" t="s">
        <v>308</v>
      </c>
      <c r="B16" s="4" t="str">
        <f t="shared" si="0"/>
        <v>00009450432KOVR</v>
      </c>
      <c r="C16" t="s">
        <v>45</v>
      </c>
      <c r="D16" t="s">
        <v>46</v>
      </c>
      <c r="E16">
        <v>20411454</v>
      </c>
      <c r="F16" t="s">
        <v>374</v>
      </c>
      <c r="G16" t="s">
        <v>49</v>
      </c>
      <c r="H16" t="s">
        <v>50</v>
      </c>
      <c r="I16" s="1">
        <v>46082</v>
      </c>
      <c r="J16" s="2">
        <v>175</v>
      </c>
      <c r="K16">
        <v>1</v>
      </c>
      <c r="L16" s="2">
        <v>175</v>
      </c>
      <c r="N16" t="s">
        <v>366</v>
      </c>
    </row>
    <row r="17" spans="1:14" x14ac:dyDescent="0.25">
      <c r="A17" s="4" t="s">
        <v>309</v>
      </c>
      <c r="B17" s="4" t="str">
        <f t="shared" si="0"/>
        <v>00015885031KOVR</v>
      </c>
      <c r="C17" t="s">
        <v>54</v>
      </c>
      <c r="D17" t="s">
        <v>55</v>
      </c>
      <c r="E17">
        <v>20411454</v>
      </c>
      <c r="F17" t="s">
        <v>374</v>
      </c>
      <c r="G17" t="s">
        <v>49</v>
      </c>
      <c r="H17" t="s">
        <v>50</v>
      </c>
      <c r="I17" s="1">
        <v>46082</v>
      </c>
      <c r="J17" s="2">
        <v>175</v>
      </c>
      <c r="K17">
        <v>1</v>
      </c>
      <c r="L17" s="2">
        <v>175</v>
      </c>
      <c r="N17" t="s">
        <v>366</v>
      </c>
    </row>
    <row r="18" spans="1:14" x14ac:dyDescent="0.25">
      <c r="A18" s="4" t="s">
        <v>310</v>
      </c>
      <c r="B18" s="4" t="str">
        <f t="shared" si="0"/>
        <v>00017723008KOVR</v>
      </c>
      <c r="C18" t="s">
        <v>59</v>
      </c>
      <c r="D18" t="s">
        <v>60</v>
      </c>
      <c r="E18">
        <v>20411454</v>
      </c>
      <c r="F18" t="s">
        <v>374</v>
      </c>
      <c r="G18" t="s">
        <v>49</v>
      </c>
      <c r="H18" t="s">
        <v>50</v>
      </c>
      <c r="I18" s="1">
        <v>46082</v>
      </c>
      <c r="J18" s="2">
        <v>175</v>
      </c>
      <c r="K18">
        <v>1</v>
      </c>
      <c r="L18" s="2">
        <v>175</v>
      </c>
      <c r="N18" t="s">
        <v>366</v>
      </c>
    </row>
    <row r="19" spans="1:14" x14ac:dyDescent="0.25">
      <c r="A19" s="4" t="s">
        <v>314</v>
      </c>
      <c r="B19" s="4" t="str">
        <f t="shared" si="0"/>
        <v>00020280401KOVR</v>
      </c>
      <c r="C19" t="s">
        <v>79</v>
      </c>
      <c r="D19" t="s">
        <v>80</v>
      </c>
      <c r="E19">
        <v>20411454</v>
      </c>
      <c r="F19" t="s">
        <v>374</v>
      </c>
      <c r="G19" t="s">
        <v>49</v>
      </c>
      <c r="H19" t="s">
        <v>50</v>
      </c>
      <c r="I19" s="1">
        <v>46082</v>
      </c>
      <c r="J19" s="2">
        <v>175</v>
      </c>
      <c r="K19">
        <v>1</v>
      </c>
      <c r="L19" s="2">
        <v>175</v>
      </c>
      <c r="N19" t="s">
        <v>366</v>
      </c>
    </row>
    <row r="20" spans="1:14" x14ac:dyDescent="0.25">
      <c r="A20" s="4" t="s">
        <v>315</v>
      </c>
      <c r="B20" s="4" t="str">
        <f t="shared" si="0"/>
        <v>00023808539KOVR</v>
      </c>
      <c r="C20" t="s">
        <v>84</v>
      </c>
      <c r="D20" t="s">
        <v>55</v>
      </c>
      <c r="E20">
        <v>20411454</v>
      </c>
      <c r="F20" t="s">
        <v>374</v>
      </c>
      <c r="G20" t="s">
        <v>49</v>
      </c>
      <c r="H20" t="s">
        <v>50</v>
      </c>
      <c r="I20" s="1">
        <v>46082</v>
      </c>
      <c r="J20" s="2">
        <v>175</v>
      </c>
      <c r="K20">
        <v>1</v>
      </c>
      <c r="L20" s="2">
        <v>175</v>
      </c>
      <c r="N20" t="s">
        <v>366</v>
      </c>
    </row>
    <row r="21" spans="1:14" x14ac:dyDescent="0.25">
      <c r="A21" s="4" t="s">
        <v>349</v>
      </c>
      <c r="B21" s="4" t="str">
        <f t="shared" si="0"/>
        <v>00024267849KOVR</v>
      </c>
      <c r="C21" t="s">
        <v>88</v>
      </c>
      <c r="D21" t="s">
        <v>89</v>
      </c>
      <c r="E21">
        <v>20411454</v>
      </c>
      <c r="F21" t="s">
        <v>374</v>
      </c>
      <c r="G21" t="s">
        <v>92</v>
      </c>
      <c r="H21" t="s">
        <v>50</v>
      </c>
      <c r="I21" s="1">
        <v>46023</v>
      </c>
      <c r="J21" s="2">
        <v>145.25</v>
      </c>
      <c r="K21">
        <v>1</v>
      </c>
      <c r="L21" s="2">
        <v>145.25</v>
      </c>
      <c r="M21" t="s">
        <v>93</v>
      </c>
      <c r="N21" t="s">
        <v>366</v>
      </c>
    </row>
    <row r="22" spans="1:14" x14ac:dyDescent="0.25">
      <c r="A22" s="4" t="s">
        <v>316</v>
      </c>
      <c r="B22" s="4" t="str">
        <f t="shared" si="0"/>
        <v>00024392640KOVR</v>
      </c>
      <c r="C22" t="s">
        <v>95</v>
      </c>
      <c r="D22" t="s">
        <v>96</v>
      </c>
      <c r="E22">
        <v>20411454</v>
      </c>
      <c r="F22" t="s">
        <v>374</v>
      </c>
      <c r="G22" t="s">
        <v>49</v>
      </c>
      <c r="H22" t="s">
        <v>50</v>
      </c>
      <c r="I22" s="1">
        <v>46082</v>
      </c>
      <c r="J22" s="2">
        <v>175</v>
      </c>
      <c r="K22">
        <v>1</v>
      </c>
      <c r="L22" s="2">
        <v>175</v>
      </c>
      <c r="N22" t="s">
        <v>366</v>
      </c>
    </row>
    <row r="23" spans="1:14" x14ac:dyDescent="0.25">
      <c r="A23" s="4" t="s">
        <v>319</v>
      </c>
      <c r="B23" s="4" t="str">
        <f t="shared" si="0"/>
        <v>00025640927KOVR</v>
      </c>
      <c r="C23" t="s">
        <v>104</v>
      </c>
      <c r="D23" t="s">
        <v>55</v>
      </c>
      <c r="E23">
        <v>20411454</v>
      </c>
      <c r="F23" t="s">
        <v>374</v>
      </c>
      <c r="G23" t="s">
        <v>92</v>
      </c>
      <c r="H23" t="s">
        <v>50</v>
      </c>
      <c r="I23" s="1">
        <v>46023</v>
      </c>
      <c r="J23" s="2">
        <v>145.25</v>
      </c>
      <c r="K23">
        <v>1</v>
      </c>
      <c r="L23" s="2">
        <v>145.25</v>
      </c>
      <c r="M23" t="s">
        <v>93</v>
      </c>
      <c r="N23" t="s">
        <v>366</v>
      </c>
    </row>
    <row r="24" spans="1:14" x14ac:dyDescent="0.25">
      <c r="A24" s="4" t="s">
        <v>321</v>
      </c>
      <c r="B24" s="4" t="str">
        <f t="shared" si="0"/>
        <v>00026168351KOVR</v>
      </c>
      <c r="C24" t="s">
        <v>110</v>
      </c>
      <c r="D24" t="s">
        <v>55</v>
      </c>
      <c r="E24">
        <v>20411454</v>
      </c>
      <c r="F24" t="s">
        <v>374</v>
      </c>
      <c r="G24" t="s">
        <v>49</v>
      </c>
      <c r="H24" t="s">
        <v>50</v>
      </c>
      <c r="I24" s="1">
        <v>46082</v>
      </c>
      <c r="J24" s="2">
        <v>175</v>
      </c>
      <c r="K24">
        <v>1</v>
      </c>
      <c r="L24" s="2">
        <v>175</v>
      </c>
      <c r="N24" t="s">
        <v>366</v>
      </c>
    </row>
    <row r="25" spans="1:14" x14ac:dyDescent="0.25">
      <c r="A25" s="4" t="s">
        <v>322</v>
      </c>
      <c r="B25" s="4" t="str">
        <f t="shared" si="0"/>
        <v>00026168601KOVR</v>
      </c>
      <c r="C25" t="s">
        <v>114</v>
      </c>
      <c r="D25" t="s">
        <v>55</v>
      </c>
      <c r="E25">
        <v>20411454</v>
      </c>
      <c r="F25" t="s">
        <v>374</v>
      </c>
      <c r="G25" t="s">
        <v>49</v>
      </c>
      <c r="H25" t="s">
        <v>50</v>
      </c>
      <c r="I25" s="1">
        <v>46082</v>
      </c>
      <c r="J25" s="2">
        <v>175</v>
      </c>
      <c r="K25">
        <v>1</v>
      </c>
      <c r="L25" s="2">
        <v>175</v>
      </c>
      <c r="N25" t="s">
        <v>366</v>
      </c>
    </row>
    <row r="26" spans="1:14" x14ac:dyDescent="0.25">
      <c r="A26" s="4" t="s">
        <v>323</v>
      </c>
      <c r="B26" s="4" t="str">
        <f t="shared" si="0"/>
        <v>00026171252KOVR</v>
      </c>
      <c r="C26" t="s">
        <v>118</v>
      </c>
      <c r="D26" t="s">
        <v>55</v>
      </c>
      <c r="E26">
        <v>20411454</v>
      </c>
      <c r="F26" t="s">
        <v>374</v>
      </c>
      <c r="G26" t="s">
        <v>49</v>
      </c>
      <c r="H26" t="s">
        <v>50</v>
      </c>
      <c r="I26" s="1">
        <v>46082</v>
      </c>
      <c r="J26" s="2">
        <v>175</v>
      </c>
      <c r="K26">
        <v>1</v>
      </c>
      <c r="L26" s="2">
        <v>175</v>
      </c>
      <c r="N26" t="s">
        <v>366</v>
      </c>
    </row>
    <row r="27" spans="1:14" x14ac:dyDescent="0.25">
      <c r="A27" s="4" t="s">
        <v>324</v>
      </c>
      <c r="B27" s="4" t="str">
        <f t="shared" si="0"/>
        <v>00026171456KOVR</v>
      </c>
      <c r="C27" t="s">
        <v>122</v>
      </c>
      <c r="D27" t="s">
        <v>55</v>
      </c>
      <c r="E27">
        <v>20411454</v>
      </c>
      <c r="F27" t="s">
        <v>374</v>
      </c>
      <c r="G27" t="s">
        <v>49</v>
      </c>
      <c r="H27" t="s">
        <v>50</v>
      </c>
      <c r="I27" s="1">
        <v>46082</v>
      </c>
      <c r="J27" s="2">
        <v>175</v>
      </c>
      <c r="K27">
        <v>1</v>
      </c>
      <c r="L27" s="2">
        <v>175</v>
      </c>
      <c r="N27" t="s">
        <v>366</v>
      </c>
    </row>
    <row r="28" spans="1:14" x14ac:dyDescent="0.25">
      <c r="A28" s="4" t="s">
        <v>325</v>
      </c>
      <c r="B28" s="4" t="str">
        <f t="shared" si="0"/>
        <v>00026173515KOVR</v>
      </c>
      <c r="C28" t="s">
        <v>126</v>
      </c>
      <c r="D28" t="s">
        <v>55</v>
      </c>
      <c r="E28">
        <v>20411454</v>
      </c>
      <c r="F28" t="s">
        <v>374</v>
      </c>
      <c r="G28" t="s">
        <v>49</v>
      </c>
      <c r="H28" t="s">
        <v>50</v>
      </c>
      <c r="I28" s="1">
        <v>46082</v>
      </c>
      <c r="J28" s="2">
        <v>175</v>
      </c>
      <c r="K28">
        <v>1</v>
      </c>
      <c r="L28" s="2">
        <v>175</v>
      </c>
      <c r="N28" t="s">
        <v>366</v>
      </c>
    </row>
    <row r="29" spans="1:14" x14ac:dyDescent="0.25">
      <c r="A29" s="4" t="s">
        <v>326</v>
      </c>
      <c r="B29" s="4" t="str">
        <f t="shared" si="0"/>
        <v>00026174068KOVR</v>
      </c>
      <c r="C29" t="s">
        <v>130</v>
      </c>
      <c r="D29" t="s">
        <v>80</v>
      </c>
      <c r="E29">
        <v>20411454</v>
      </c>
      <c r="F29" t="s">
        <v>374</v>
      </c>
      <c r="G29" t="s">
        <v>49</v>
      </c>
      <c r="H29" t="s">
        <v>50</v>
      </c>
      <c r="I29" s="1">
        <v>46143</v>
      </c>
      <c r="J29" s="2">
        <v>175</v>
      </c>
      <c r="K29">
        <v>1</v>
      </c>
      <c r="L29" s="2">
        <v>175</v>
      </c>
      <c r="N29" t="s">
        <v>366</v>
      </c>
    </row>
    <row r="30" spans="1:14" x14ac:dyDescent="0.25">
      <c r="A30" s="4" t="s">
        <v>327</v>
      </c>
      <c r="B30" s="4" t="str">
        <f t="shared" si="0"/>
        <v>00026176659KOVR</v>
      </c>
      <c r="C30" t="s">
        <v>134</v>
      </c>
      <c r="D30" t="s">
        <v>55</v>
      </c>
      <c r="E30">
        <v>20411454</v>
      </c>
      <c r="F30" t="s">
        <v>374</v>
      </c>
      <c r="G30" t="s">
        <v>49</v>
      </c>
      <c r="H30" t="s">
        <v>50</v>
      </c>
      <c r="I30" s="1">
        <v>46082</v>
      </c>
      <c r="J30" s="2">
        <v>175</v>
      </c>
      <c r="K30">
        <v>1</v>
      </c>
      <c r="L30" s="2">
        <v>175</v>
      </c>
      <c r="N30" t="s">
        <v>366</v>
      </c>
    </row>
    <row r="31" spans="1:14" x14ac:dyDescent="0.25">
      <c r="A31" s="4" t="s">
        <v>328</v>
      </c>
      <c r="B31" s="4" t="str">
        <f t="shared" si="0"/>
        <v>00026177289KOVR</v>
      </c>
      <c r="C31" t="s">
        <v>138</v>
      </c>
      <c r="D31" t="s">
        <v>139</v>
      </c>
      <c r="E31">
        <v>20411454</v>
      </c>
      <c r="F31" t="s">
        <v>374</v>
      </c>
      <c r="G31" t="s">
        <v>49</v>
      </c>
      <c r="H31" t="s">
        <v>50</v>
      </c>
      <c r="I31" s="1">
        <v>46082</v>
      </c>
      <c r="J31" s="2">
        <v>175</v>
      </c>
      <c r="K31">
        <v>1</v>
      </c>
      <c r="L31" s="2">
        <v>175</v>
      </c>
      <c r="N31" t="s">
        <v>366</v>
      </c>
    </row>
    <row r="32" spans="1:14" x14ac:dyDescent="0.25">
      <c r="A32" s="4" t="s">
        <v>329</v>
      </c>
      <c r="B32" s="4" t="str">
        <f t="shared" si="0"/>
        <v>00026179736KOVR</v>
      </c>
      <c r="C32" t="s">
        <v>143</v>
      </c>
      <c r="D32" t="s">
        <v>55</v>
      </c>
      <c r="E32">
        <v>20411454</v>
      </c>
      <c r="F32" t="s">
        <v>374</v>
      </c>
      <c r="G32" t="s">
        <v>49</v>
      </c>
      <c r="H32" t="s">
        <v>50</v>
      </c>
      <c r="I32" s="1">
        <v>46113</v>
      </c>
      <c r="J32" s="2">
        <v>175</v>
      </c>
      <c r="K32">
        <v>1</v>
      </c>
      <c r="L32" s="2">
        <v>175</v>
      </c>
      <c r="N32" t="s">
        <v>366</v>
      </c>
    </row>
    <row r="33" spans="1:14" x14ac:dyDescent="0.25">
      <c r="A33" s="4" t="s">
        <v>330</v>
      </c>
      <c r="B33" s="4" t="str">
        <f t="shared" si="0"/>
        <v>00026179940KOVR</v>
      </c>
      <c r="C33" t="s">
        <v>147</v>
      </c>
      <c r="D33" t="s">
        <v>55</v>
      </c>
      <c r="E33">
        <v>20411454</v>
      </c>
      <c r="F33" t="s">
        <v>374</v>
      </c>
      <c r="G33" t="s">
        <v>49</v>
      </c>
      <c r="H33" t="s">
        <v>50</v>
      </c>
      <c r="I33" s="1">
        <v>46082</v>
      </c>
      <c r="J33" s="2">
        <v>175</v>
      </c>
      <c r="K33">
        <v>1</v>
      </c>
      <c r="L33" s="2">
        <v>175</v>
      </c>
      <c r="N33" t="s">
        <v>366</v>
      </c>
    </row>
    <row r="34" spans="1:14" x14ac:dyDescent="0.25">
      <c r="A34" s="4" t="s">
        <v>331</v>
      </c>
      <c r="B34" s="4" t="str">
        <f t="shared" si="0"/>
        <v>00026180183KOVR</v>
      </c>
      <c r="C34" t="s">
        <v>151</v>
      </c>
      <c r="D34" t="s">
        <v>139</v>
      </c>
      <c r="E34">
        <v>20411454</v>
      </c>
      <c r="F34" t="s">
        <v>374</v>
      </c>
      <c r="G34" t="s">
        <v>49</v>
      </c>
      <c r="H34" t="s">
        <v>50</v>
      </c>
      <c r="I34" s="1">
        <v>46082</v>
      </c>
      <c r="J34" s="2">
        <v>175</v>
      </c>
      <c r="K34">
        <v>1</v>
      </c>
      <c r="L34" s="2">
        <v>175</v>
      </c>
      <c r="N34" t="s">
        <v>366</v>
      </c>
    </row>
    <row r="35" spans="1:14" x14ac:dyDescent="0.25">
      <c r="A35" s="4" t="s">
        <v>332</v>
      </c>
      <c r="B35" s="4" t="str">
        <f t="shared" si="0"/>
        <v>00026181638KOVR</v>
      </c>
      <c r="C35" t="s">
        <v>155</v>
      </c>
      <c r="D35" t="s">
        <v>55</v>
      </c>
      <c r="E35">
        <v>20411454</v>
      </c>
      <c r="F35" t="s">
        <v>374</v>
      </c>
      <c r="G35" t="s">
        <v>49</v>
      </c>
      <c r="H35" t="s">
        <v>50</v>
      </c>
      <c r="I35" s="1">
        <v>46082</v>
      </c>
      <c r="J35" s="2">
        <v>175</v>
      </c>
      <c r="K35">
        <v>1</v>
      </c>
      <c r="L35" s="2">
        <v>175</v>
      </c>
      <c r="N35" t="s">
        <v>366</v>
      </c>
    </row>
    <row r="36" spans="1:14" x14ac:dyDescent="0.25">
      <c r="A36" s="4" t="s">
        <v>333</v>
      </c>
      <c r="B36" s="4" t="str">
        <f t="shared" si="0"/>
        <v>00026182740KOVR</v>
      </c>
      <c r="C36" t="s">
        <v>157</v>
      </c>
      <c r="D36" t="s">
        <v>139</v>
      </c>
      <c r="E36">
        <v>20411454</v>
      </c>
      <c r="F36" t="s">
        <v>374</v>
      </c>
      <c r="G36" t="s">
        <v>49</v>
      </c>
      <c r="H36" t="s">
        <v>50</v>
      </c>
      <c r="I36" s="1">
        <v>46143</v>
      </c>
      <c r="J36" s="2">
        <v>175</v>
      </c>
      <c r="K36">
        <v>1</v>
      </c>
      <c r="L36" s="2">
        <v>175</v>
      </c>
      <c r="N36" t="s">
        <v>366</v>
      </c>
    </row>
    <row r="37" spans="1:14" x14ac:dyDescent="0.25">
      <c r="A37" s="4" t="s">
        <v>334</v>
      </c>
      <c r="B37" s="4" t="str">
        <f t="shared" si="0"/>
        <v>00026184402KOVR</v>
      </c>
      <c r="C37" t="s">
        <v>159</v>
      </c>
      <c r="D37" t="s">
        <v>55</v>
      </c>
      <c r="E37">
        <v>20411454</v>
      </c>
      <c r="F37" t="s">
        <v>374</v>
      </c>
      <c r="G37" t="s">
        <v>49</v>
      </c>
      <c r="H37" t="s">
        <v>50</v>
      </c>
      <c r="I37" s="1">
        <v>46113</v>
      </c>
      <c r="J37" s="2">
        <v>175</v>
      </c>
      <c r="K37">
        <v>1</v>
      </c>
      <c r="L37" s="2">
        <v>175</v>
      </c>
      <c r="N37" t="s">
        <v>366</v>
      </c>
    </row>
    <row r="38" spans="1:14" x14ac:dyDescent="0.25">
      <c r="A38" s="4" t="s">
        <v>335</v>
      </c>
      <c r="B38" s="4" t="str">
        <f t="shared" si="0"/>
        <v>00026192900KOVR</v>
      </c>
      <c r="C38" t="s">
        <v>161</v>
      </c>
      <c r="D38" t="s">
        <v>80</v>
      </c>
      <c r="E38">
        <v>20411454</v>
      </c>
      <c r="F38" t="s">
        <v>374</v>
      </c>
      <c r="G38" t="s">
        <v>49</v>
      </c>
      <c r="H38" t="s">
        <v>50</v>
      </c>
      <c r="I38" s="1">
        <v>46082</v>
      </c>
      <c r="J38" s="2">
        <v>175</v>
      </c>
      <c r="K38">
        <v>1</v>
      </c>
      <c r="L38" s="2">
        <v>175</v>
      </c>
      <c r="N38" t="s">
        <v>366</v>
      </c>
    </row>
    <row r="39" spans="1:14" x14ac:dyDescent="0.25">
      <c r="A39" s="4" t="s">
        <v>336</v>
      </c>
      <c r="B39" s="4" t="str">
        <f t="shared" si="0"/>
        <v>00026196920KOVR</v>
      </c>
      <c r="C39" t="s">
        <v>165</v>
      </c>
      <c r="D39" t="s">
        <v>55</v>
      </c>
      <c r="E39">
        <v>20411454</v>
      </c>
      <c r="F39" t="s">
        <v>374</v>
      </c>
      <c r="G39" t="s">
        <v>49</v>
      </c>
      <c r="H39" t="s">
        <v>50</v>
      </c>
      <c r="I39" s="1">
        <v>46082</v>
      </c>
      <c r="J39" s="2">
        <v>175</v>
      </c>
      <c r="K39">
        <v>1</v>
      </c>
      <c r="L39" s="2">
        <v>175</v>
      </c>
      <c r="N39" t="s">
        <v>366</v>
      </c>
    </row>
    <row r="40" spans="1:14" x14ac:dyDescent="0.25">
      <c r="A40" s="4" t="s">
        <v>337</v>
      </c>
      <c r="B40" s="4" t="str">
        <f t="shared" si="0"/>
        <v>00026200326KOVR</v>
      </c>
      <c r="C40" t="s">
        <v>169</v>
      </c>
      <c r="D40" t="s">
        <v>170</v>
      </c>
      <c r="E40">
        <v>20411454</v>
      </c>
      <c r="F40" t="s">
        <v>374</v>
      </c>
      <c r="G40" t="s">
        <v>49</v>
      </c>
      <c r="H40" t="s">
        <v>50</v>
      </c>
      <c r="I40" s="1">
        <v>46082</v>
      </c>
      <c r="J40" s="2">
        <v>175</v>
      </c>
      <c r="K40">
        <v>1</v>
      </c>
      <c r="L40" s="2">
        <v>175</v>
      </c>
      <c r="N40" t="s">
        <v>366</v>
      </c>
    </row>
    <row r="41" spans="1:14" x14ac:dyDescent="0.25">
      <c r="A41" s="4" t="s">
        <v>338</v>
      </c>
      <c r="B41" s="4" t="str">
        <f t="shared" si="0"/>
        <v>00026200337KOVR</v>
      </c>
      <c r="C41" t="s">
        <v>172</v>
      </c>
      <c r="D41" t="s">
        <v>65</v>
      </c>
      <c r="E41">
        <v>20411454</v>
      </c>
      <c r="F41" t="s">
        <v>374</v>
      </c>
      <c r="G41" t="s">
        <v>49</v>
      </c>
      <c r="H41" t="s">
        <v>50</v>
      </c>
      <c r="I41" s="1">
        <v>46082</v>
      </c>
      <c r="J41" s="2">
        <v>175</v>
      </c>
      <c r="K41">
        <v>1</v>
      </c>
      <c r="L41" s="2">
        <v>175</v>
      </c>
      <c r="N41" t="s">
        <v>366</v>
      </c>
    </row>
    <row r="42" spans="1:14" x14ac:dyDescent="0.25">
      <c r="A42" s="4" t="s">
        <v>339</v>
      </c>
      <c r="B42" s="4" t="str">
        <f t="shared" si="0"/>
        <v>00026203201KOVR</v>
      </c>
      <c r="C42" t="s">
        <v>174</v>
      </c>
      <c r="D42" t="s">
        <v>55</v>
      </c>
      <c r="E42">
        <v>20411454</v>
      </c>
      <c r="F42" t="s">
        <v>374</v>
      </c>
      <c r="G42" t="s">
        <v>49</v>
      </c>
      <c r="H42" t="s">
        <v>50</v>
      </c>
      <c r="I42" s="1">
        <v>46113</v>
      </c>
      <c r="J42" s="2">
        <v>175</v>
      </c>
      <c r="K42">
        <v>1</v>
      </c>
      <c r="L42" s="2">
        <v>175</v>
      </c>
      <c r="N42" t="s">
        <v>366</v>
      </c>
    </row>
    <row r="43" spans="1:14" x14ac:dyDescent="0.25">
      <c r="A43" s="4" t="s">
        <v>340</v>
      </c>
      <c r="B43" s="4" t="str">
        <f t="shared" si="0"/>
        <v>00026207167KOVR</v>
      </c>
      <c r="C43" t="s">
        <v>176</v>
      </c>
      <c r="D43" t="s">
        <v>55</v>
      </c>
      <c r="E43">
        <v>20411454</v>
      </c>
      <c r="F43" t="s">
        <v>374</v>
      </c>
      <c r="G43" t="s">
        <v>49</v>
      </c>
      <c r="H43" t="s">
        <v>50</v>
      </c>
      <c r="I43" s="1">
        <v>46082</v>
      </c>
      <c r="J43" s="2">
        <v>175</v>
      </c>
      <c r="K43">
        <v>1</v>
      </c>
      <c r="L43" s="2">
        <v>175</v>
      </c>
      <c r="N43" t="s">
        <v>366</v>
      </c>
    </row>
    <row r="44" spans="1:14" x14ac:dyDescent="0.25">
      <c r="A44" s="4" t="s">
        <v>350</v>
      </c>
      <c r="B44" s="4" t="str">
        <f t="shared" si="0"/>
        <v>00009528640KOVR</v>
      </c>
      <c r="C44" t="s">
        <v>233</v>
      </c>
      <c r="D44" t="s">
        <v>55</v>
      </c>
      <c r="E44">
        <v>20411454</v>
      </c>
      <c r="F44" t="s">
        <v>374</v>
      </c>
      <c r="G44" t="s">
        <v>234</v>
      </c>
      <c r="H44" t="s">
        <v>50</v>
      </c>
      <c r="I44" s="1">
        <v>46023</v>
      </c>
      <c r="L44">
        <v>-145.25</v>
      </c>
      <c r="N44" t="s">
        <v>366</v>
      </c>
    </row>
    <row r="45" spans="1:14" x14ac:dyDescent="0.25">
      <c r="A45" s="4" t="s">
        <v>351</v>
      </c>
      <c r="B45" s="4" t="str">
        <f t="shared" si="0"/>
        <v>00011949132KOVR</v>
      </c>
      <c r="C45" t="s">
        <v>236</v>
      </c>
      <c r="D45" t="s">
        <v>55</v>
      </c>
      <c r="E45">
        <v>20411454</v>
      </c>
      <c r="F45" t="s">
        <v>374</v>
      </c>
      <c r="G45" t="s">
        <v>234</v>
      </c>
      <c r="H45" t="s">
        <v>50</v>
      </c>
      <c r="I45" s="1">
        <v>46023</v>
      </c>
      <c r="L45">
        <v>-145.25</v>
      </c>
      <c r="N45" t="s">
        <v>366</v>
      </c>
    </row>
    <row r="46" spans="1:14" x14ac:dyDescent="0.25">
      <c r="A46" s="4" t="s">
        <v>353</v>
      </c>
      <c r="B46" s="4" t="str">
        <f t="shared" si="0"/>
        <v>00018736051KOVR</v>
      </c>
      <c r="C46" t="s">
        <v>242</v>
      </c>
      <c r="D46" t="s">
        <v>243</v>
      </c>
      <c r="E46">
        <v>20411454</v>
      </c>
      <c r="F46" t="s">
        <v>374</v>
      </c>
      <c r="G46" t="s">
        <v>234</v>
      </c>
      <c r="H46" t="s">
        <v>50</v>
      </c>
      <c r="I46" s="1">
        <v>46023</v>
      </c>
      <c r="L46">
        <v>-145.25</v>
      </c>
      <c r="N46" t="s">
        <v>366</v>
      </c>
    </row>
    <row r="47" spans="1:14" x14ac:dyDescent="0.25">
      <c r="A47" s="4" t="s">
        <v>354</v>
      </c>
      <c r="B47" s="4" t="str">
        <f t="shared" si="0"/>
        <v>00022044647KOVR</v>
      </c>
      <c r="C47" t="s">
        <v>247</v>
      </c>
      <c r="D47" t="s">
        <v>248</v>
      </c>
      <c r="E47">
        <v>20411454</v>
      </c>
      <c r="F47" t="s">
        <v>374</v>
      </c>
      <c r="G47" t="s">
        <v>234</v>
      </c>
      <c r="H47" t="s">
        <v>50</v>
      </c>
      <c r="I47" s="1">
        <v>46023</v>
      </c>
      <c r="L47">
        <v>-145.25</v>
      </c>
      <c r="N47" t="s">
        <v>366</v>
      </c>
    </row>
    <row r="48" spans="1:14" x14ac:dyDescent="0.25">
      <c r="A48" s="4" t="s">
        <v>317</v>
      </c>
      <c r="B48" s="4" t="str">
        <f t="shared" si="0"/>
        <v>00024452316KOVR</v>
      </c>
      <c r="C48" t="s">
        <v>100</v>
      </c>
      <c r="D48" t="s">
        <v>60</v>
      </c>
      <c r="E48">
        <v>20411454</v>
      </c>
      <c r="F48" t="s">
        <v>374</v>
      </c>
      <c r="G48" t="s">
        <v>234</v>
      </c>
      <c r="H48" t="s">
        <v>50</v>
      </c>
      <c r="I48" s="1">
        <v>46023</v>
      </c>
      <c r="L48">
        <v>-145.25</v>
      </c>
      <c r="N48" t="s">
        <v>366</v>
      </c>
    </row>
    <row r="49" spans="1:14" x14ac:dyDescent="0.25">
      <c r="A49" s="4" t="s">
        <v>356</v>
      </c>
      <c r="B49" s="4" t="str">
        <f t="shared" si="0"/>
        <v>00024672561KOVR</v>
      </c>
      <c r="C49" t="s">
        <v>253</v>
      </c>
      <c r="D49" t="s">
        <v>139</v>
      </c>
      <c r="E49">
        <v>20411454</v>
      </c>
      <c r="F49" t="s">
        <v>374</v>
      </c>
      <c r="G49" t="s">
        <v>234</v>
      </c>
      <c r="H49" t="s">
        <v>50</v>
      </c>
      <c r="I49" s="1">
        <v>46023</v>
      </c>
      <c r="L49">
        <v>-145.25</v>
      </c>
      <c r="N49" t="s">
        <v>366</v>
      </c>
    </row>
    <row r="50" spans="1:14" x14ac:dyDescent="0.25">
      <c r="A50" s="4" t="s">
        <v>357</v>
      </c>
      <c r="B50" s="4" t="str">
        <f t="shared" si="0"/>
        <v>00024681663KOVR</v>
      </c>
      <c r="C50" t="s">
        <v>257</v>
      </c>
      <c r="D50" t="s">
        <v>55</v>
      </c>
      <c r="E50">
        <v>20411454</v>
      </c>
      <c r="F50" t="s">
        <v>374</v>
      </c>
      <c r="G50" t="s">
        <v>234</v>
      </c>
      <c r="H50" t="s">
        <v>50</v>
      </c>
      <c r="I50" s="1">
        <v>46023</v>
      </c>
      <c r="L50">
        <v>-145.25</v>
      </c>
      <c r="N50" t="s">
        <v>366</v>
      </c>
    </row>
    <row r="51" spans="1:14" x14ac:dyDescent="0.25">
      <c r="A51" s="4" t="s">
        <v>318</v>
      </c>
      <c r="B51" s="4" t="str">
        <f t="shared" si="0"/>
        <v>00024917841KOVR</v>
      </c>
      <c r="C51" t="s">
        <v>102</v>
      </c>
      <c r="D51" t="s">
        <v>60</v>
      </c>
      <c r="E51">
        <v>20411454</v>
      </c>
      <c r="F51" t="s">
        <v>374</v>
      </c>
      <c r="G51" t="s">
        <v>234</v>
      </c>
      <c r="H51" t="s">
        <v>50</v>
      </c>
      <c r="I51" s="1">
        <v>46054</v>
      </c>
      <c r="L51">
        <v>-145.25</v>
      </c>
      <c r="N51" t="s">
        <v>366</v>
      </c>
    </row>
    <row r="52" spans="1:14" x14ac:dyDescent="0.25">
      <c r="A52" s="4" t="s">
        <v>358</v>
      </c>
      <c r="B52" s="4" t="str">
        <f t="shared" si="0"/>
        <v>00025648659KOVR</v>
      </c>
      <c r="C52" t="s">
        <v>262</v>
      </c>
      <c r="D52" t="s">
        <v>139</v>
      </c>
      <c r="E52">
        <v>20411454</v>
      </c>
      <c r="F52" t="s">
        <v>374</v>
      </c>
      <c r="G52" t="s">
        <v>234</v>
      </c>
      <c r="H52" t="s">
        <v>50</v>
      </c>
      <c r="I52" s="1">
        <v>46023</v>
      </c>
      <c r="L52">
        <v>-145.25</v>
      </c>
      <c r="N52" t="s">
        <v>366</v>
      </c>
    </row>
    <row r="53" spans="1:14" x14ac:dyDescent="0.25">
      <c r="A53" s="4" t="s">
        <v>359</v>
      </c>
      <c r="B53" s="4" t="str">
        <f t="shared" si="0"/>
        <v>00025704306KOVR</v>
      </c>
      <c r="C53" t="s">
        <v>264</v>
      </c>
      <c r="D53" t="s">
        <v>222</v>
      </c>
      <c r="E53">
        <v>20411454</v>
      </c>
      <c r="F53" t="s">
        <v>374</v>
      </c>
      <c r="G53" t="s">
        <v>234</v>
      </c>
      <c r="H53" t="s">
        <v>50</v>
      </c>
      <c r="I53" s="1">
        <v>46023</v>
      </c>
      <c r="L53">
        <v>-145.25</v>
      </c>
      <c r="N53" t="s">
        <v>366</v>
      </c>
    </row>
    <row r="54" spans="1:14" x14ac:dyDescent="0.25">
      <c r="A54" s="4" t="s">
        <v>320</v>
      </c>
      <c r="B54" s="4" t="str">
        <f t="shared" si="0"/>
        <v>00025861349KOVR</v>
      </c>
      <c r="C54" t="s">
        <v>108</v>
      </c>
      <c r="D54" t="s">
        <v>60</v>
      </c>
      <c r="E54">
        <v>20411454</v>
      </c>
      <c r="F54" t="s">
        <v>374</v>
      </c>
      <c r="G54" t="s">
        <v>234</v>
      </c>
      <c r="H54" t="s">
        <v>50</v>
      </c>
      <c r="I54" s="1">
        <v>46023</v>
      </c>
      <c r="L54">
        <v>-145.25</v>
      </c>
      <c r="N54" t="s">
        <v>366</v>
      </c>
    </row>
    <row r="55" spans="1:14" x14ac:dyDescent="0.25">
      <c r="A55" s="4" t="s">
        <v>360</v>
      </c>
      <c r="B55" s="4" t="str">
        <f t="shared" si="0"/>
        <v>00026150044KOVR</v>
      </c>
      <c r="C55" t="s">
        <v>267</v>
      </c>
      <c r="D55" t="s">
        <v>55</v>
      </c>
      <c r="E55">
        <v>20411454</v>
      </c>
      <c r="F55" t="s">
        <v>374</v>
      </c>
      <c r="G55" t="s">
        <v>234</v>
      </c>
      <c r="H55" t="s">
        <v>50</v>
      </c>
      <c r="I55" s="1">
        <v>46082</v>
      </c>
      <c r="L55">
        <v>-175</v>
      </c>
      <c r="N55" t="s">
        <v>366</v>
      </c>
    </row>
    <row r="56" spans="1:14" x14ac:dyDescent="0.25">
      <c r="A56" s="4" t="s">
        <v>311</v>
      </c>
      <c r="B56" s="4" t="str">
        <f t="shared" si="0"/>
        <v>00018033933KOVR</v>
      </c>
      <c r="C56" t="s">
        <v>64</v>
      </c>
      <c r="D56" t="s">
        <v>65</v>
      </c>
      <c r="E56">
        <v>20411454</v>
      </c>
      <c r="F56" t="s">
        <v>374</v>
      </c>
      <c r="G56" t="s">
        <v>49</v>
      </c>
      <c r="H56" t="s">
        <v>68</v>
      </c>
      <c r="I56" s="1">
        <v>46082</v>
      </c>
      <c r="J56" s="2">
        <v>108</v>
      </c>
      <c r="K56">
        <v>1</v>
      </c>
      <c r="L56" s="2">
        <v>108</v>
      </c>
      <c r="N56" t="s">
        <v>366</v>
      </c>
    </row>
    <row r="57" spans="1:14" x14ac:dyDescent="0.25">
      <c r="A57" s="4" t="s">
        <v>312</v>
      </c>
      <c r="B57" s="4" t="str">
        <f t="shared" si="0"/>
        <v>00018137754KOVR</v>
      </c>
      <c r="C57" t="s">
        <v>70</v>
      </c>
      <c r="D57" t="s">
        <v>55</v>
      </c>
      <c r="E57">
        <v>20411454</v>
      </c>
      <c r="F57" t="s">
        <v>374</v>
      </c>
      <c r="G57" t="s">
        <v>49</v>
      </c>
      <c r="H57" t="s">
        <v>68</v>
      </c>
      <c r="I57" s="1">
        <v>46082</v>
      </c>
      <c r="J57" s="2">
        <v>108</v>
      </c>
      <c r="K57">
        <v>1</v>
      </c>
      <c r="L57" s="2">
        <v>108</v>
      </c>
      <c r="N57" t="s">
        <v>366</v>
      </c>
    </row>
    <row r="58" spans="1:14" x14ac:dyDescent="0.25">
      <c r="A58" s="4" t="s">
        <v>313</v>
      </c>
      <c r="B58" s="4" t="str">
        <f t="shared" si="0"/>
        <v>00018990622KOVR</v>
      </c>
      <c r="C58" t="s">
        <v>74</v>
      </c>
      <c r="D58" t="s">
        <v>75</v>
      </c>
      <c r="E58">
        <v>20411454</v>
      </c>
      <c r="F58" t="s">
        <v>374</v>
      </c>
      <c r="G58" t="s">
        <v>49</v>
      </c>
      <c r="H58" t="s">
        <v>68</v>
      </c>
      <c r="I58" s="1">
        <v>46082</v>
      </c>
      <c r="J58" s="2">
        <v>108</v>
      </c>
      <c r="K58">
        <v>1</v>
      </c>
      <c r="L58" s="2">
        <v>108</v>
      </c>
      <c r="N58" t="s">
        <v>366</v>
      </c>
    </row>
    <row r="59" spans="1:14" x14ac:dyDescent="0.25">
      <c r="A59" s="4" t="s">
        <v>317</v>
      </c>
      <c r="B59" s="4" t="str">
        <f t="shared" si="0"/>
        <v>00024452316KOVR</v>
      </c>
      <c r="C59" t="s">
        <v>100</v>
      </c>
      <c r="D59" t="s">
        <v>60</v>
      </c>
      <c r="E59">
        <v>20411454</v>
      </c>
      <c r="F59" t="s">
        <v>374</v>
      </c>
      <c r="G59" t="s">
        <v>49</v>
      </c>
      <c r="H59" t="s">
        <v>68</v>
      </c>
      <c r="I59" s="1">
        <v>46082</v>
      </c>
      <c r="J59" s="2">
        <v>108</v>
      </c>
      <c r="K59">
        <v>1</v>
      </c>
      <c r="L59" s="2">
        <v>108</v>
      </c>
      <c r="N59" t="s">
        <v>366</v>
      </c>
    </row>
    <row r="60" spans="1:14" x14ac:dyDescent="0.25">
      <c r="A60" s="4" t="s">
        <v>318</v>
      </c>
      <c r="B60" s="4" t="str">
        <f t="shared" si="0"/>
        <v>00024917841KOVR</v>
      </c>
      <c r="C60" t="s">
        <v>102</v>
      </c>
      <c r="D60" t="s">
        <v>60</v>
      </c>
      <c r="E60">
        <v>20411454</v>
      </c>
      <c r="F60" t="s">
        <v>374</v>
      </c>
      <c r="G60" t="s">
        <v>49</v>
      </c>
      <c r="H60" t="s">
        <v>68</v>
      </c>
      <c r="I60" s="1">
        <v>46082</v>
      </c>
      <c r="J60" s="2">
        <v>108</v>
      </c>
      <c r="K60">
        <v>1</v>
      </c>
      <c r="L60" s="2">
        <v>108</v>
      </c>
      <c r="N60" t="s">
        <v>366</v>
      </c>
    </row>
    <row r="61" spans="1:14" x14ac:dyDescent="0.25">
      <c r="A61" s="4" t="s">
        <v>320</v>
      </c>
      <c r="B61" s="4" t="str">
        <f t="shared" si="0"/>
        <v>00025861349KOVR</v>
      </c>
      <c r="C61" t="s">
        <v>108</v>
      </c>
      <c r="D61" t="s">
        <v>60</v>
      </c>
      <c r="E61">
        <v>20411454</v>
      </c>
      <c r="F61" t="s">
        <v>374</v>
      </c>
      <c r="G61" t="s">
        <v>49</v>
      </c>
      <c r="H61" t="s">
        <v>68</v>
      </c>
      <c r="I61" s="1">
        <v>46082</v>
      </c>
      <c r="J61" s="2">
        <v>108</v>
      </c>
      <c r="K61">
        <v>1</v>
      </c>
      <c r="L61" s="2">
        <v>108</v>
      </c>
      <c r="N61" t="s">
        <v>366</v>
      </c>
    </row>
    <row r="62" spans="1:14" x14ac:dyDescent="0.25">
      <c r="A62" s="4" t="s">
        <v>352</v>
      </c>
      <c r="B62" s="4" t="str">
        <f t="shared" si="0"/>
        <v>00015726718KOVR</v>
      </c>
      <c r="C62" t="s">
        <v>238</v>
      </c>
      <c r="D62" t="s">
        <v>55</v>
      </c>
      <c r="E62">
        <v>20411454</v>
      </c>
      <c r="F62" t="s">
        <v>374</v>
      </c>
      <c r="G62" t="s">
        <v>234</v>
      </c>
      <c r="H62" t="s">
        <v>68</v>
      </c>
      <c r="I62" s="1">
        <v>46023</v>
      </c>
      <c r="L62">
        <v>-89.64</v>
      </c>
      <c r="N62" t="s">
        <v>366</v>
      </c>
    </row>
    <row r="63" spans="1:14" s="6" customFormat="1" x14ac:dyDescent="0.25">
      <c r="A63" s="5" t="s">
        <v>355</v>
      </c>
      <c r="B63" s="5" t="s">
        <v>355</v>
      </c>
      <c r="C63" s="6" t="s">
        <v>84</v>
      </c>
      <c r="D63" s="6" t="s">
        <v>55</v>
      </c>
      <c r="E63" s="6">
        <v>8244481</v>
      </c>
      <c r="F63" s="6" t="s">
        <v>240</v>
      </c>
      <c r="G63" s="6" t="s">
        <v>234</v>
      </c>
      <c r="H63" s="6" t="s">
        <v>250</v>
      </c>
      <c r="I63" s="7">
        <v>46023</v>
      </c>
      <c r="L63" s="6">
        <v>-12.45</v>
      </c>
      <c r="N63" s="6" t="s">
        <v>367</v>
      </c>
    </row>
    <row r="64" spans="1:14" s="6" customFormat="1" x14ac:dyDescent="0.25">
      <c r="A64" s="5" t="s">
        <v>347</v>
      </c>
      <c r="B64" s="5" t="str">
        <f>CONCATENATE(A64,1)</f>
        <v>A044416391</v>
      </c>
      <c r="C64" s="6" t="s">
        <v>227</v>
      </c>
      <c r="D64" s="6" t="s">
        <v>139</v>
      </c>
      <c r="E64" s="6">
        <v>19645587</v>
      </c>
      <c r="F64" s="6" t="s">
        <v>106</v>
      </c>
      <c r="G64" s="6" t="s">
        <v>49</v>
      </c>
      <c r="H64" s="6" t="s">
        <v>228</v>
      </c>
      <c r="I64" s="7">
        <v>46082</v>
      </c>
      <c r="J64" s="8">
        <v>58.19</v>
      </c>
      <c r="K64" s="6">
        <v>9</v>
      </c>
      <c r="L64" s="8">
        <v>523.71</v>
      </c>
      <c r="N64" s="6" t="s">
        <v>368</v>
      </c>
    </row>
    <row r="65" spans="1:16" s="6" customFormat="1" x14ac:dyDescent="0.25">
      <c r="A65" s="5" t="s">
        <v>342</v>
      </c>
      <c r="B65" s="5" t="str">
        <f t="shared" ref="B65:B70" si="1">CONCATENATE(A65,1)</f>
        <v>A044392881</v>
      </c>
      <c r="C65" s="6" t="s">
        <v>214</v>
      </c>
      <c r="D65" s="6" t="s">
        <v>60</v>
      </c>
      <c r="E65" s="6">
        <v>16849453</v>
      </c>
      <c r="F65" s="6" t="s">
        <v>62</v>
      </c>
      <c r="G65" s="6" t="s">
        <v>49</v>
      </c>
      <c r="H65" s="6" t="s">
        <v>215</v>
      </c>
      <c r="I65" s="7">
        <v>46143</v>
      </c>
      <c r="J65" s="8">
        <v>31.02</v>
      </c>
      <c r="K65" s="6">
        <v>9</v>
      </c>
      <c r="L65" s="8">
        <v>279.18</v>
      </c>
      <c r="N65" s="6" t="s">
        <v>215</v>
      </c>
    </row>
    <row r="66" spans="1:16" s="6" customFormat="1" x14ac:dyDescent="0.25">
      <c r="A66" s="5" t="s">
        <v>343</v>
      </c>
      <c r="B66" s="5" t="str">
        <f t="shared" si="1"/>
        <v>A044399141</v>
      </c>
      <c r="C66" s="6" t="s">
        <v>217</v>
      </c>
      <c r="D66" s="6" t="s">
        <v>60</v>
      </c>
      <c r="E66" s="6">
        <v>16849453</v>
      </c>
      <c r="F66" s="6" t="s">
        <v>62</v>
      </c>
      <c r="G66" s="6" t="s">
        <v>49</v>
      </c>
      <c r="H66" s="6" t="s">
        <v>215</v>
      </c>
      <c r="I66" s="7">
        <v>46143</v>
      </c>
      <c r="J66" s="8">
        <v>31.02</v>
      </c>
      <c r="K66" s="6">
        <v>9</v>
      </c>
      <c r="L66" s="8">
        <v>279.18</v>
      </c>
      <c r="N66" s="6" t="s">
        <v>215</v>
      </c>
    </row>
    <row r="67" spans="1:16" s="6" customFormat="1" x14ac:dyDescent="0.25">
      <c r="A67" s="5" t="s">
        <v>344</v>
      </c>
      <c r="B67" s="5" t="str">
        <f t="shared" si="1"/>
        <v>A044409331</v>
      </c>
      <c r="C67" s="6" t="s">
        <v>219</v>
      </c>
      <c r="D67" s="6" t="s">
        <v>60</v>
      </c>
      <c r="E67" s="6">
        <v>16849453</v>
      </c>
      <c r="F67" s="6" t="s">
        <v>62</v>
      </c>
      <c r="G67" s="6" t="s">
        <v>49</v>
      </c>
      <c r="H67" s="6" t="s">
        <v>215</v>
      </c>
      <c r="I67" s="7">
        <v>46082</v>
      </c>
      <c r="J67" s="8">
        <v>31.02</v>
      </c>
      <c r="K67" s="6">
        <v>9</v>
      </c>
      <c r="L67" s="8">
        <v>279.18</v>
      </c>
      <c r="N67" s="6" t="s">
        <v>215</v>
      </c>
    </row>
    <row r="68" spans="1:16" s="6" customFormat="1" x14ac:dyDescent="0.25">
      <c r="A68" s="5" t="s">
        <v>345</v>
      </c>
      <c r="B68" s="5" t="str">
        <f t="shared" si="1"/>
        <v>A044411011</v>
      </c>
      <c r="C68" s="6" t="s">
        <v>221</v>
      </c>
      <c r="D68" s="6" t="s">
        <v>222</v>
      </c>
      <c r="E68" s="6">
        <v>8325282</v>
      </c>
      <c r="F68" s="6" t="s">
        <v>72</v>
      </c>
      <c r="G68" s="6" t="s">
        <v>49</v>
      </c>
      <c r="H68" s="6" t="s">
        <v>223</v>
      </c>
      <c r="I68" s="7">
        <v>46113</v>
      </c>
      <c r="J68" s="8">
        <v>31.5</v>
      </c>
      <c r="K68" s="6">
        <v>9</v>
      </c>
      <c r="L68" s="8">
        <v>283.5</v>
      </c>
      <c r="N68" s="6" t="s">
        <v>223</v>
      </c>
    </row>
    <row r="69" spans="1:16" s="6" customFormat="1" x14ac:dyDescent="0.25">
      <c r="A69" s="5" t="s">
        <v>346</v>
      </c>
      <c r="B69" s="5" t="str">
        <f t="shared" si="1"/>
        <v>A044411791</v>
      </c>
      <c r="C69" s="6" t="s">
        <v>225</v>
      </c>
      <c r="D69" s="6" t="s">
        <v>222</v>
      </c>
      <c r="E69" s="6">
        <v>8325282</v>
      </c>
      <c r="F69" s="6" t="s">
        <v>72</v>
      </c>
      <c r="G69" s="6" t="s">
        <v>49</v>
      </c>
      <c r="H69" s="6" t="s">
        <v>223</v>
      </c>
      <c r="I69" s="7">
        <v>46174</v>
      </c>
      <c r="J69" s="8">
        <v>31.5</v>
      </c>
      <c r="K69" s="6">
        <v>9</v>
      </c>
      <c r="L69" s="8">
        <v>283.5</v>
      </c>
      <c r="N69" s="6" t="s">
        <v>223</v>
      </c>
    </row>
    <row r="70" spans="1:16" s="6" customFormat="1" x14ac:dyDescent="0.25">
      <c r="A70" s="5" t="s">
        <v>363</v>
      </c>
      <c r="B70" s="5" t="str">
        <f t="shared" si="1"/>
        <v>A044373681</v>
      </c>
      <c r="C70" s="6" t="s">
        <v>305</v>
      </c>
      <c r="D70" s="6" t="s">
        <v>55</v>
      </c>
      <c r="E70" s="6">
        <v>16912722</v>
      </c>
      <c r="F70" s="6" t="s">
        <v>307</v>
      </c>
      <c r="G70" s="6" t="s">
        <v>234</v>
      </c>
      <c r="H70" s="6" t="s">
        <v>223</v>
      </c>
      <c r="I70" s="7">
        <v>46113</v>
      </c>
      <c r="L70" s="6">
        <v>-283.5</v>
      </c>
      <c r="N70" s="6" t="s">
        <v>223</v>
      </c>
    </row>
    <row r="71" spans="1:16" x14ac:dyDescent="0.25">
      <c r="A71" s="4">
        <v>968897499</v>
      </c>
      <c r="B71" s="4" t="str">
        <f t="shared" ref="B71:B75" si="2">CONCATENATE(A71,"OVR")</f>
        <v>968897499OVR</v>
      </c>
      <c r="C71" t="s">
        <v>207</v>
      </c>
      <c r="D71" t="s">
        <v>75</v>
      </c>
      <c r="E71">
        <v>20411454</v>
      </c>
      <c r="F71" t="s">
        <v>374</v>
      </c>
      <c r="G71" t="s">
        <v>49</v>
      </c>
      <c r="H71" t="s">
        <v>212</v>
      </c>
      <c r="I71" s="1">
        <v>46082</v>
      </c>
      <c r="J71" s="2">
        <v>175</v>
      </c>
      <c r="K71">
        <v>1</v>
      </c>
      <c r="L71" s="2">
        <v>175</v>
      </c>
      <c r="N71" t="s">
        <v>369</v>
      </c>
    </row>
    <row r="72" spans="1:16" x14ac:dyDescent="0.25">
      <c r="A72" s="4">
        <v>914644399</v>
      </c>
      <c r="B72" s="4" t="str">
        <f t="shared" si="2"/>
        <v>914644399OVR</v>
      </c>
      <c r="C72" t="s">
        <v>288</v>
      </c>
      <c r="D72" t="s">
        <v>55</v>
      </c>
      <c r="E72">
        <v>20411454</v>
      </c>
      <c r="F72" t="s">
        <v>374</v>
      </c>
      <c r="G72" t="s">
        <v>234</v>
      </c>
      <c r="H72" t="s">
        <v>212</v>
      </c>
      <c r="I72" s="1">
        <v>46023</v>
      </c>
      <c r="L72">
        <v>-175</v>
      </c>
      <c r="N72" t="s">
        <v>369</v>
      </c>
    </row>
    <row r="73" spans="1:16" x14ac:dyDescent="0.25">
      <c r="A73" s="4">
        <v>925982271</v>
      </c>
      <c r="B73" s="4" t="str">
        <f t="shared" si="2"/>
        <v>925982271OVR</v>
      </c>
      <c r="C73" t="s">
        <v>292</v>
      </c>
      <c r="D73" t="s">
        <v>60</v>
      </c>
      <c r="E73">
        <v>20411454</v>
      </c>
      <c r="F73" t="s">
        <v>374</v>
      </c>
      <c r="G73" t="s">
        <v>234</v>
      </c>
      <c r="H73" t="s">
        <v>212</v>
      </c>
      <c r="I73" s="1">
        <v>46023</v>
      </c>
      <c r="L73">
        <v>-175</v>
      </c>
      <c r="N73" t="s">
        <v>369</v>
      </c>
    </row>
    <row r="74" spans="1:16" x14ac:dyDescent="0.25">
      <c r="A74" s="4">
        <v>961164040</v>
      </c>
      <c r="B74" s="4" t="str">
        <f t="shared" si="2"/>
        <v>961164040OVR</v>
      </c>
      <c r="C74" t="s">
        <v>295</v>
      </c>
      <c r="D74" t="s">
        <v>80</v>
      </c>
      <c r="E74">
        <v>20411454</v>
      </c>
      <c r="F74" t="s">
        <v>374</v>
      </c>
      <c r="G74" t="s">
        <v>234</v>
      </c>
      <c r="H74" t="s">
        <v>212</v>
      </c>
      <c r="I74" s="1">
        <v>46023</v>
      </c>
      <c r="L74">
        <v>-175</v>
      </c>
      <c r="N74" t="s">
        <v>369</v>
      </c>
    </row>
    <row r="75" spans="1:16" x14ac:dyDescent="0.25">
      <c r="A75" s="4">
        <v>962143922</v>
      </c>
      <c r="B75" s="4" t="str">
        <f t="shared" si="2"/>
        <v>962143922OVR</v>
      </c>
      <c r="C75" t="s">
        <v>300</v>
      </c>
      <c r="D75" t="s">
        <v>60</v>
      </c>
      <c r="E75">
        <v>20411454</v>
      </c>
      <c r="F75" t="s">
        <v>374</v>
      </c>
      <c r="G75" t="s">
        <v>234</v>
      </c>
      <c r="H75" t="s">
        <v>303</v>
      </c>
      <c r="I75" s="1">
        <v>46023</v>
      </c>
      <c r="L75">
        <v>-113</v>
      </c>
      <c r="N75" t="s">
        <v>369</v>
      </c>
    </row>
    <row r="76" spans="1:16" s="6" customFormat="1" x14ac:dyDescent="0.25">
      <c r="A76" s="5">
        <v>914644399</v>
      </c>
      <c r="B76" s="5" t="str">
        <f>CONCATENATE(A76,11)</f>
        <v>91464439911</v>
      </c>
      <c r="C76" s="6" t="s">
        <v>288</v>
      </c>
      <c r="D76" s="6" t="s">
        <v>55</v>
      </c>
      <c r="E76" s="6">
        <v>8405446</v>
      </c>
      <c r="F76" s="6" t="s">
        <v>278</v>
      </c>
      <c r="G76" s="6" t="s">
        <v>234</v>
      </c>
      <c r="H76" s="6" t="s">
        <v>289</v>
      </c>
      <c r="I76" s="7">
        <v>46023</v>
      </c>
      <c r="L76" s="6">
        <v>-347</v>
      </c>
      <c r="N76" s="6" t="s">
        <v>370</v>
      </c>
      <c r="P76" s="6" t="s">
        <v>373</v>
      </c>
    </row>
    <row r="77" spans="1:16" s="6" customFormat="1" x14ac:dyDescent="0.25">
      <c r="A77" s="5">
        <v>925982271</v>
      </c>
      <c r="B77" s="5" t="str">
        <f t="shared" ref="B77:B78" si="3">CONCATENATE(A77,11)</f>
        <v>92598227111</v>
      </c>
      <c r="C77" s="6" t="s">
        <v>292</v>
      </c>
      <c r="D77" s="6" t="s">
        <v>60</v>
      </c>
      <c r="E77" s="6">
        <v>16849453</v>
      </c>
      <c r="F77" s="6" t="s">
        <v>62</v>
      </c>
      <c r="G77" s="6" t="s">
        <v>234</v>
      </c>
      <c r="H77" s="6" t="s">
        <v>289</v>
      </c>
      <c r="I77" s="7">
        <v>46023</v>
      </c>
      <c r="L77" s="6">
        <v>-347</v>
      </c>
      <c r="N77" s="6" t="s">
        <v>370</v>
      </c>
      <c r="P77" s="6" t="s">
        <v>373</v>
      </c>
    </row>
    <row r="78" spans="1:16" s="6" customFormat="1" x14ac:dyDescent="0.25">
      <c r="A78" s="5">
        <v>961164040</v>
      </c>
      <c r="B78" s="5" t="str">
        <f t="shared" si="3"/>
        <v>96116404011</v>
      </c>
      <c r="C78" s="6" t="s">
        <v>295</v>
      </c>
      <c r="D78" s="6" t="s">
        <v>80</v>
      </c>
      <c r="E78" s="6">
        <v>21564088</v>
      </c>
      <c r="F78" s="6" t="s">
        <v>297</v>
      </c>
      <c r="G78" s="6" t="s">
        <v>234</v>
      </c>
      <c r="H78" s="6" t="s">
        <v>289</v>
      </c>
      <c r="I78" s="7">
        <v>46023</v>
      </c>
      <c r="L78" s="6">
        <v>-347</v>
      </c>
      <c r="N78" s="6" t="s">
        <v>370</v>
      </c>
      <c r="P78" s="6" t="s">
        <v>373</v>
      </c>
    </row>
    <row r="79" spans="1:16" s="6" customFormat="1" x14ac:dyDescent="0.25">
      <c r="A79" s="5">
        <v>962143922</v>
      </c>
      <c r="B79" s="5" t="str">
        <f>CONCATENATE(A79,13)</f>
        <v>96214392213</v>
      </c>
      <c r="C79" s="6" t="s">
        <v>300</v>
      </c>
      <c r="D79" s="6" t="s">
        <v>60</v>
      </c>
      <c r="E79" s="6">
        <v>16849453</v>
      </c>
      <c r="F79" s="6" t="s">
        <v>62</v>
      </c>
      <c r="G79" s="6" t="s">
        <v>234</v>
      </c>
      <c r="H79" s="6" t="s">
        <v>301</v>
      </c>
      <c r="I79" s="7">
        <v>46023</v>
      </c>
      <c r="L79" s="6">
        <v>-203</v>
      </c>
      <c r="N79" s="6" t="s">
        <v>372</v>
      </c>
    </row>
    <row r="80" spans="1:16" s="6" customFormat="1" x14ac:dyDescent="0.25">
      <c r="A80" s="5">
        <v>968897499</v>
      </c>
      <c r="B80" s="5" t="str">
        <f>CONCATENATE(A80,11)</f>
        <v>96889749911</v>
      </c>
      <c r="C80" s="6" t="s">
        <v>207</v>
      </c>
      <c r="D80" s="6" t="s">
        <v>75</v>
      </c>
      <c r="E80" s="6">
        <v>16509456</v>
      </c>
      <c r="F80" s="6" t="s">
        <v>209</v>
      </c>
      <c r="G80" s="6" t="s">
        <v>49</v>
      </c>
      <c r="H80" s="6" t="s">
        <v>210</v>
      </c>
      <c r="I80" s="7">
        <v>46082</v>
      </c>
      <c r="J80" s="8">
        <v>325.83</v>
      </c>
      <c r="K80" s="6">
        <v>1</v>
      </c>
      <c r="L80" s="8">
        <v>325.83</v>
      </c>
      <c r="M80" s="6" t="s">
        <v>191</v>
      </c>
      <c r="N80" s="6" t="s">
        <v>371</v>
      </c>
      <c r="P80" s="6" t="s">
        <v>375</v>
      </c>
    </row>
  </sheetData>
  <sortState xmlns:xlrd2="http://schemas.microsoft.com/office/spreadsheetml/2017/richdata2" ref="A2:AM80">
    <sortCondition ref="H2:H80"/>
  </sortState>
  <pageMargins left="0.7" right="0.7" top="0.75" bottom="0.75" header="0.3" footer="0.3"/>
  <ignoredErrors>
    <ignoredError sqref="B7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2026-03-13T08:03:44Z</dcterms:created>
  <dcterms:modified xsi:type="dcterms:W3CDTF">2026-03-13T17:04:01Z</dcterms:modified>
</cp:coreProperties>
</file>