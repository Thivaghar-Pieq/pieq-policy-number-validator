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Business Agent Statement - 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ZWwnb/rxn9KIUtxo8e8AbPm2Accu3pq8i4+QcbEKfgw="/>
    </ext>
  </extLst>
</workbook>
</file>

<file path=xl/sharedStrings.xml><?xml version="1.0" encoding="utf-8"?>
<sst xmlns="http://schemas.openxmlformats.org/spreadsheetml/2006/main" count="2326" uniqueCount="435">
  <si>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</si>
  <si>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</si>
  <si>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</si>
  <si>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</si>
  <si>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</si>
  <si>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</si>
  <si>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</si>
  <si>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</si>
  <si>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</si>
  <si>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</si>
  <si>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</si>
  <si>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</si>
  <si>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</si>
  <si>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</si>
  <si>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</si>
  <si>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</si>
  <si>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</si>
  <si>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</si>
  <si>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</si>
  <si>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</si>
  <si>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</si>
  <si>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</si>
  <si>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</si>
  <si>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</si>
  <si>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</si>
  <si>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</si>
  <si>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</si>
  <si>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</si>
  <si>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</si>
  <si>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</si>
  <si>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</si>
  <si>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</si>
  <si>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</si>
  <si>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</si>
  <si>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</si>
  <si>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</si>
  <si>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</si>
  <si>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</si>
  <si>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</si>
  <si>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</si>
  <si>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</si>
  <si>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</si>
  <si>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</si>
  <si>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</si>
  <si>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'00005161142K</t>
  </si>
  <si>
    <t>OLGA ERWIN</t>
  </si>
  <si>
    <t>IL</t>
  </si>
  <si>
    <t>'041686</t>
  </si>
  <si>
    <t>DALE WALENGA</t>
  </si>
  <si>
    <t>ACTIVE</t>
  </si>
  <si>
    <t>Humana MA 2019+ Level 15- 175/108</t>
  </si>
  <si>
    <t>Monthly</t>
  </si>
  <si>
    <t>AV</t>
  </si>
  <si>
    <t>'00007441841K</t>
  </si>
  <si>
    <t>DAVID FRIED</t>
  </si>
  <si>
    <t>FL</t>
  </si>
  <si>
    <t>'045601</t>
  </si>
  <si>
    <t>CAROL FOLEY</t>
  </si>
  <si>
    <t>Humana MA 2019+ Level 15- 175/108 Repl 2024</t>
  </si>
  <si>
    <t>'00010301628K</t>
  </si>
  <si>
    <t>RUSSELL PHILLIP</t>
  </si>
  <si>
    <t>'045611</t>
  </si>
  <si>
    <t>FRANK LISKOVEC</t>
  </si>
  <si>
    <t>'00014331293K</t>
  </si>
  <si>
    <t>DAVID DEITERING</t>
  </si>
  <si>
    <t>'043689</t>
  </si>
  <si>
    <t>ANNE MARIE KOZACHECK</t>
  </si>
  <si>
    <t>'00020275216K</t>
  </si>
  <si>
    <t>JOSHUA FUGATE</t>
  </si>
  <si>
    <t>'046124</t>
  </si>
  <si>
    <t>KENNETH WEITZMAN</t>
  </si>
  <si>
    <t>'00022077130K</t>
  </si>
  <si>
    <t>JEFFREY GILBERT</t>
  </si>
  <si>
    <t>'043682</t>
  </si>
  <si>
    <t>GREGORY TEIPEL</t>
  </si>
  <si>
    <t>'00022547161K</t>
  </si>
  <si>
    <t>GRACIELA LOPEZ CANO</t>
  </si>
  <si>
    <t>'043633</t>
  </si>
  <si>
    <t>RICHARD WUENSCH</t>
  </si>
  <si>
    <t>'00022818773K</t>
  </si>
  <si>
    <t>VICTORIA HOJNACKI</t>
  </si>
  <si>
    <t>'045605</t>
  </si>
  <si>
    <t>GARY PORTUGAL</t>
  </si>
  <si>
    <t>'00023765948K</t>
  </si>
  <si>
    <t>RUSSELL LANCE</t>
  </si>
  <si>
    <t>'00025072160K</t>
  </si>
  <si>
    <t>ADELWISA LACSAMANA</t>
  </si>
  <si>
    <t>'043969</t>
  </si>
  <si>
    <t>STACEY PORTUGAL</t>
  </si>
  <si>
    <t>'00025905887K</t>
  </si>
  <si>
    <t>MICHAEL DINELLI</t>
  </si>
  <si>
    <t>'045638</t>
  </si>
  <si>
    <t>RICHARD YALE</t>
  </si>
  <si>
    <t>'00025988970K</t>
  </si>
  <si>
    <t>BARBARA MAYES</t>
  </si>
  <si>
    <t>'043813</t>
  </si>
  <si>
    <t>VICTOR FUENTES</t>
  </si>
  <si>
    <t>'00025991996K</t>
  </si>
  <si>
    <t>DEBORAH MYERS</t>
  </si>
  <si>
    <t>TX</t>
  </si>
  <si>
    <t>'00025992906K</t>
  </si>
  <si>
    <t>VITO MARCHESE</t>
  </si>
  <si>
    <t>'043618</t>
  </si>
  <si>
    <t>SAADIA ABDUL</t>
  </si>
  <si>
    <t>'00025992989K</t>
  </si>
  <si>
    <t>KAMMY CHAFSHINO</t>
  </si>
  <si>
    <t>'00025993104K</t>
  </si>
  <si>
    <t>BRENDA MARANO</t>
  </si>
  <si>
    <t>'043739</t>
  </si>
  <si>
    <t>ANDREA PETRUNGARO</t>
  </si>
  <si>
    <t>'00025993770K</t>
  </si>
  <si>
    <t>JESSICA RODRIGUEZ</t>
  </si>
  <si>
    <t>'045709</t>
  </si>
  <si>
    <t>ESTHER HERRERA-LARSEN</t>
  </si>
  <si>
    <t>'00025994616K</t>
  </si>
  <si>
    <t>MICHAEL PIERSON</t>
  </si>
  <si>
    <t>IN</t>
  </si>
  <si>
    <t>'00025994876K</t>
  </si>
  <si>
    <t>PAUL MASKE</t>
  </si>
  <si>
    <t>'045622</t>
  </si>
  <si>
    <t>JACOB YALE</t>
  </si>
  <si>
    <t>'00025995117K</t>
  </si>
  <si>
    <t>THERESE MASKE</t>
  </si>
  <si>
    <t>'00025995548K</t>
  </si>
  <si>
    <t>LIBRADA JONES</t>
  </si>
  <si>
    <t>'045966</t>
  </si>
  <si>
    <t>ANTONIA NEVAREZ</t>
  </si>
  <si>
    <t>'00025996277K</t>
  </si>
  <si>
    <t>RAYMOND YOUNG</t>
  </si>
  <si>
    <t>'045712</t>
  </si>
  <si>
    <t>GREGORY HANSFORD</t>
  </si>
  <si>
    <t>'00025996984K</t>
  </si>
  <si>
    <t>MICHAEL LANGE</t>
  </si>
  <si>
    <t>WI</t>
  </si>
  <si>
    <t>'043714</t>
  </si>
  <si>
    <t>BRIAN STROHMAN</t>
  </si>
  <si>
    <t>'00025997642K</t>
  </si>
  <si>
    <t>MARIA TORRES</t>
  </si>
  <si>
    <t>'00025998613K</t>
  </si>
  <si>
    <t>MICHAEL GREENFIELD</t>
  </si>
  <si>
    <t>'00025999972K</t>
  </si>
  <si>
    <t>GREGORY SCHURING</t>
  </si>
  <si>
    <t>'045772</t>
  </si>
  <si>
    <t>JASON ROLLER</t>
  </si>
  <si>
    <t>'00026000036K</t>
  </si>
  <si>
    <t>GARY RATH</t>
  </si>
  <si>
    <t>'045603</t>
  </si>
  <si>
    <t>ANDREW CHOI</t>
  </si>
  <si>
    <t>'00026001687K</t>
  </si>
  <si>
    <t>JANET POTEMPA</t>
  </si>
  <si>
    <t>'00026003640K</t>
  </si>
  <si>
    <t>DESSIE CROCKETT</t>
  </si>
  <si>
    <t>'00026004105K</t>
  </si>
  <si>
    <t>PHILIP PERKINS</t>
  </si>
  <si>
    <t>NJ</t>
  </si>
  <si>
    <t>'00026004114K</t>
  </si>
  <si>
    <t>LESLIE MCCLAIN</t>
  </si>
  <si>
    <t>'046034</t>
  </si>
  <si>
    <t>INES BERG</t>
  </si>
  <si>
    <t>'00026004412K</t>
  </si>
  <si>
    <t>MARY HARVEY</t>
  </si>
  <si>
    <t>'00026008241K</t>
  </si>
  <si>
    <t>LENA OHANIAN</t>
  </si>
  <si>
    <t>'00026010194K</t>
  </si>
  <si>
    <t>DENISE SCALISI</t>
  </si>
  <si>
    <t>MI</t>
  </si>
  <si>
    <t>'00026010619K</t>
  </si>
  <si>
    <t>DONNA LOWE</t>
  </si>
  <si>
    <t>'00026019734K</t>
  </si>
  <si>
    <t>DEBORAH KORSAK</t>
  </si>
  <si>
    <t>'00026019851K</t>
  </si>
  <si>
    <t>LISA HOLLEY</t>
  </si>
  <si>
    <t>OH</t>
  </si>
  <si>
    <t>'045684</t>
  </si>
  <si>
    <t>JILL SHEPARD</t>
  </si>
  <si>
    <t>'101073576600</t>
  </si>
  <si>
    <t>SANDRA MCNALLY</t>
  </si>
  <si>
    <t>PA</t>
  </si>
  <si>
    <t>'043679</t>
  </si>
  <si>
    <t>DEBORAH INSKIPT</t>
  </si>
  <si>
    <t>Aetna MAPD NMO to MMO - 2025+ New Paper</t>
  </si>
  <si>
    <t>'101137289600</t>
  </si>
  <si>
    <t>TIMOTHY MCNALLY</t>
  </si>
  <si>
    <t>'101540529700</t>
  </si>
  <si>
    <t>SAMUELLA RANKINS</t>
  </si>
  <si>
    <t>'045632</t>
  </si>
  <si>
    <t>BARRY SCHUMANN</t>
  </si>
  <si>
    <t>Aetna MAPD NMO to MMO - 2025+ Replace E-App</t>
  </si>
  <si>
    <t>11/12 PRORATE</t>
  </si>
  <si>
    <t>'101553342700</t>
  </si>
  <si>
    <t>DEBRA SIMMONS</t>
  </si>
  <si>
    <t>'101827047700</t>
  </si>
  <si>
    <t>FELIX PEREZ</t>
  </si>
  <si>
    <t>'101853191600</t>
  </si>
  <si>
    <t>DAVE PITTS</t>
  </si>
  <si>
    <t>'101914614500</t>
  </si>
  <si>
    <t>SALLY TRAUTMAN</t>
  </si>
  <si>
    <t>'101944018800</t>
  </si>
  <si>
    <t>PATRICIA PEREZ</t>
  </si>
  <si>
    <t>'102085640800</t>
  </si>
  <si>
    <t>JUDETTE TUMMILLO</t>
  </si>
  <si>
    <t>'102211743600</t>
  </si>
  <si>
    <t>JUDITH TRIMBLE</t>
  </si>
  <si>
    <t>'043705</t>
  </si>
  <si>
    <t>MICHAEL DUNAVANT</t>
  </si>
  <si>
    <t>'102257789500</t>
  </si>
  <si>
    <t>ALISON LUSE</t>
  </si>
  <si>
    <t>'045637</t>
  </si>
  <si>
    <t>'102257970500</t>
  </si>
  <si>
    <t>CYNTHIA SINGLETON</t>
  </si>
  <si>
    <t>'045670</t>
  </si>
  <si>
    <t>STEVEN BRANDT</t>
  </si>
  <si>
    <t>'102258019000</t>
  </si>
  <si>
    <t>MOLLY NEAL</t>
  </si>
  <si>
    <t>'045421</t>
  </si>
  <si>
    <t>MATTHEW SHERMAN</t>
  </si>
  <si>
    <t>10/12 PRORATE</t>
  </si>
  <si>
    <t>'102258040100</t>
  </si>
  <si>
    <t>CAROL OESTERLING</t>
  </si>
  <si>
    <t>'043611</t>
  </si>
  <si>
    <t>TIMOTHY POWERS</t>
  </si>
  <si>
    <t>'102258053100</t>
  </si>
  <si>
    <t>SUSAN ROBLEY</t>
  </si>
  <si>
    <t>OR</t>
  </si>
  <si>
    <t>'045591</t>
  </si>
  <si>
    <t>CHRISTOPHER BROUSSEAU</t>
  </si>
  <si>
    <t>'102258131500</t>
  </si>
  <si>
    <t>ROBERT CIAFREI</t>
  </si>
  <si>
    <t>'043610</t>
  </si>
  <si>
    <t>KLAUS HERCHENRODER</t>
  </si>
  <si>
    <t>'102258238800</t>
  </si>
  <si>
    <t>CATHERINE ANGUISH</t>
  </si>
  <si>
    <t>'043692</t>
  </si>
  <si>
    <t>ADAM RICHTER</t>
  </si>
  <si>
    <t>'102258252200</t>
  </si>
  <si>
    <t>CHARLES MCGINNIS</t>
  </si>
  <si>
    <t>'102258411800</t>
  </si>
  <si>
    <t>MICHAEL ROSE</t>
  </si>
  <si>
    <t>'102258436500</t>
  </si>
  <si>
    <t>DAVID NEAL</t>
  </si>
  <si>
    <t>'102258640900</t>
  </si>
  <si>
    <t>DANNY BORLAND</t>
  </si>
  <si>
    <t>'102259025800</t>
  </si>
  <si>
    <t>SCOTT ULERY</t>
  </si>
  <si>
    <t>'102259307900</t>
  </si>
  <si>
    <t>JOYCE MOORE</t>
  </si>
  <si>
    <t>'102259315500</t>
  </si>
  <si>
    <t>TAMMY THOMAS</t>
  </si>
  <si>
    <t>'102259346100</t>
  </si>
  <si>
    <t>JOHN POLLARD</t>
  </si>
  <si>
    <t>'102259399800</t>
  </si>
  <si>
    <t>RONALD BRALLIER</t>
  </si>
  <si>
    <t>'102259407200</t>
  </si>
  <si>
    <t>ROBIN BRALLIER</t>
  </si>
  <si>
    <t>'102259416600</t>
  </si>
  <si>
    <t>THOMAS MACHOR</t>
  </si>
  <si>
    <t>'127561452</t>
  </si>
  <si>
    <t>CYNTHIA KOERNER</t>
  </si>
  <si>
    <t>WA</t>
  </si>
  <si>
    <t>'045981</t>
  </si>
  <si>
    <t>JAKE SHULMAN</t>
  </si>
  <si>
    <t>UHC MAPD Street payable to upline- 2026 Replace</t>
  </si>
  <si>
    <t>'127561452OV</t>
  </si>
  <si>
    <t>UHC MA Direct 2025 New Initial Prorated</t>
  </si>
  <si>
    <t>'135441688</t>
  </si>
  <si>
    <t>DIANE MCCALL</t>
  </si>
  <si>
    <t>'040060</t>
  </si>
  <si>
    <t>RYAN SHEPARD</t>
  </si>
  <si>
    <t>'135441688OV</t>
  </si>
  <si>
    <t>UHC MA Direct 2025 New Full</t>
  </si>
  <si>
    <t>'915597096</t>
  </si>
  <si>
    <t>DONNA HOFFMAN</t>
  </si>
  <si>
    <t>'045621</t>
  </si>
  <si>
    <t>HEATHER GESKE</t>
  </si>
  <si>
    <t>12/12 PRORATE</t>
  </si>
  <si>
    <t>'915597096OV</t>
  </si>
  <si>
    <t>'931294540</t>
  </si>
  <si>
    <t>PHILLIP BLOCKER</t>
  </si>
  <si>
    <t>'931294540OV</t>
  </si>
  <si>
    <t>'945648838</t>
  </si>
  <si>
    <t>BOBBY SISK</t>
  </si>
  <si>
    <t>CA</t>
  </si>
  <si>
    <t>UHC MAPD Street payable to upline - 2024 New</t>
  </si>
  <si>
    <t>'952775529</t>
  </si>
  <si>
    <t>KATHLEEN DOUGHERTY</t>
  </si>
  <si>
    <t>UHC MA GA 2025 New Full</t>
  </si>
  <si>
    <t>'A04421904</t>
  </si>
  <si>
    <t>MATTHEW VISLAY</t>
  </si>
  <si>
    <t>'045967</t>
  </si>
  <si>
    <t>DANNA GREEN</t>
  </si>
  <si>
    <t>UHC AARP Med Supp 2025+ IN All Plans</t>
  </si>
  <si>
    <t>'A04421907</t>
  </si>
  <si>
    <t>VALENTINA FIELDS</t>
  </si>
  <si>
    <t>'A04421952</t>
  </si>
  <si>
    <t>HUGH RIEGGER</t>
  </si>
  <si>
    <t>UHC AARP Med Supp 2026+ AZ IL KS ME NC TN WV Plan B C D F G</t>
  </si>
  <si>
    <t>'A04423890</t>
  </si>
  <si>
    <t>BETHANY EICKMAN</t>
  </si>
  <si>
    <t>'A04424674</t>
  </si>
  <si>
    <t>ALICE DECK</t>
  </si>
  <si>
    <t>'045673</t>
  </si>
  <si>
    <t>MARK ROCCIA</t>
  </si>
  <si>
    <t>UHC AARP Med Supp 2026+ PA Plan B C F G</t>
  </si>
  <si>
    <t>'A04425118</t>
  </si>
  <si>
    <t>TERRY OBERTO</t>
  </si>
  <si>
    <t>UHC AARP Med Supp 2025+ FL Area 4 Plan B C F G</t>
  </si>
  <si>
    <t>'MEQNQXIX00001348472</t>
  </si>
  <si>
    <t>ESTHER BONNER</t>
  </si>
  <si>
    <t>CB</t>
  </si>
  <si>
    <t>'00010925119KPC</t>
  </si>
  <si>
    <t>LINDA THOMPSON</t>
  </si>
  <si>
    <t>CHARGEBACK</t>
  </si>
  <si>
    <t>'00013052842KPC</t>
  </si>
  <si>
    <t>ANNIE MCKNIGHT</t>
  </si>
  <si>
    <t>LA</t>
  </si>
  <si>
    <t>'046024</t>
  </si>
  <si>
    <t>LATESHA (TC) ROSE</t>
  </si>
  <si>
    <t>'00018036187KPC</t>
  </si>
  <si>
    <t>LINDA VILLIO</t>
  </si>
  <si>
    <t>'00022547161KPC</t>
  </si>
  <si>
    <t>'00024066949KPC</t>
  </si>
  <si>
    <t>ADOLFO AMARO</t>
  </si>
  <si>
    <t>'043718</t>
  </si>
  <si>
    <t>CHAD YALE</t>
  </si>
  <si>
    <t>'00024961235KCB</t>
  </si>
  <si>
    <t>'00025933601KCB</t>
  </si>
  <si>
    <t>NORMA DITTO</t>
  </si>
  <si>
    <t>'101134953100CB</t>
  </si>
  <si>
    <t>JANET KELLY</t>
  </si>
  <si>
    <t>Aetna MAPD NMO to MMO - 2025+ New E-App</t>
  </si>
  <si>
    <t>'101137276600CB</t>
  </si>
  <si>
    <t>ALICIA ALTON</t>
  </si>
  <si>
    <t>'101228663400CB</t>
  </si>
  <si>
    <t>IRENE KLOK</t>
  </si>
  <si>
    <t>NA</t>
  </si>
  <si>
    <t>'101580286400PC</t>
  </si>
  <si>
    <t>PHYLLIS BENTLEY</t>
  </si>
  <si>
    <t>'102239785600CB</t>
  </si>
  <si>
    <t>CAROL MCPHERSON</t>
  </si>
  <si>
    <t>'102255647600PC</t>
  </si>
  <si>
    <t>JOHN WALSH</t>
  </si>
  <si>
    <t>SC</t>
  </si>
  <si>
    <t>'045607</t>
  </si>
  <si>
    <t>PAMELA DEATON</t>
  </si>
  <si>
    <t>'25R6A4R22CB</t>
  </si>
  <si>
    <t>CHRISTOPHER BILEK</t>
  </si>
  <si>
    <t>Cigna MAPD FMO to GA 1-1-19+ - New</t>
  </si>
  <si>
    <t>'49L6A3A59CB</t>
  </si>
  <si>
    <t>KIM ROTHERY</t>
  </si>
  <si>
    <t>'64A7F1H37CB</t>
  </si>
  <si>
    <t>DEBRA STOUT</t>
  </si>
  <si>
    <t>'69H7U6A93CB</t>
  </si>
  <si>
    <t>ELIZABETH EDWARDS</t>
  </si>
  <si>
    <t>MD</t>
  </si>
  <si>
    <t>'045717</t>
  </si>
  <si>
    <t>RONALD MAX</t>
  </si>
  <si>
    <t>'905055820CB</t>
  </si>
  <si>
    <t>'905055820OVCB</t>
  </si>
  <si>
    <t>'MEQNQMZM00001984088CB</t>
  </si>
  <si>
    <t>ARNETTA CRAIG</t>
  </si>
  <si>
    <t>'Health Bonus</t>
  </si>
  <si>
    <t>Commissions Heartland</t>
  </si>
  <si>
    <t>MO</t>
  </si>
  <si>
    <t>'100000</t>
  </si>
  <si>
    <t>HEARTLAND FINANCIAL GROUP</t>
  </si>
  <si>
    <t>Active</t>
  </si>
  <si>
    <t>Health Bonus</t>
  </si>
  <si>
    <t>OTHER</t>
  </si>
  <si>
    <t xml:space="preserve"> Line Benefits Health Bonus Upload 02-03-2026.xlsx</t>
  </si>
  <si>
    <t>Main Line Benefits</t>
  </si>
  <si>
    <t>Aetna MAPD OVR</t>
  </si>
  <si>
    <t>MEQNQMZM00001984088</t>
  </si>
  <si>
    <t>MEQNQXIX00001348472</t>
  </si>
  <si>
    <t>25R6A4R22</t>
  </si>
  <si>
    <t>Cigna MAPD Ovr</t>
  </si>
  <si>
    <t>49L6A3A59</t>
  </si>
  <si>
    <t>64A7F1H37</t>
  </si>
  <si>
    <t>69H7U6A93</t>
  </si>
  <si>
    <t>00005161142K</t>
  </si>
  <si>
    <t>Humana MAPD OVR</t>
  </si>
  <si>
    <t>00010301628K</t>
  </si>
  <si>
    <t>00014331293K</t>
  </si>
  <si>
    <t>00020275216K</t>
  </si>
  <si>
    <t>00022077130K</t>
  </si>
  <si>
    <t>00022818773K</t>
  </si>
  <si>
    <t>00025072160K</t>
  </si>
  <si>
    <t>00025905887K</t>
  </si>
  <si>
    <t>00025988970K</t>
  </si>
  <si>
    <t>00025991996K</t>
  </si>
  <si>
    <t>00025992906K</t>
  </si>
  <si>
    <t>00025992989K</t>
  </si>
  <si>
    <t>00025993104K</t>
  </si>
  <si>
    <t>00025993770K</t>
  </si>
  <si>
    <t>00025994616K</t>
  </si>
  <si>
    <t>00025994876K</t>
  </si>
  <si>
    <t>00025995117K</t>
  </si>
  <si>
    <t>00025995548K</t>
  </si>
  <si>
    <t>00025996277K</t>
  </si>
  <si>
    <t>00025996984K</t>
  </si>
  <si>
    <t>00025997642K</t>
  </si>
  <si>
    <t>00025998613K</t>
  </si>
  <si>
    <t>00025999972K</t>
  </si>
  <si>
    <t>00026000036K</t>
  </si>
  <si>
    <t>00026001687K</t>
  </si>
  <si>
    <t>00026003640K</t>
  </si>
  <si>
    <t>00026004105K</t>
  </si>
  <si>
    <t>00026004114K</t>
  </si>
  <si>
    <t>00026004412K</t>
  </si>
  <si>
    <t>00026008241K</t>
  </si>
  <si>
    <t>00026010194K</t>
  </si>
  <si>
    <t>00026010619K</t>
  </si>
  <si>
    <t>00026019734K</t>
  </si>
  <si>
    <t>00026019851K</t>
  </si>
  <si>
    <t>00013052842K</t>
  </si>
  <si>
    <t>00018036187K</t>
  </si>
  <si>
    <t>00022547161K</t>
  </si>
  <si>
    <t>00024066949K</t>
  </si>
  <si>
    <t>00024961235K</t>
  </si>
  <si>
    <t>00025933601K</t>
  </si>
  <si>
    <t>00007441841K</t>
  </si>
  <si>
    <t>00023765948K</t>
  </si>
  <si>
    <t>00010925119K</t>
  </si>
  <si>
    <t>A04421904</t>
  </si>
  <si>
    <t>A04421907</t>
  </si>
  <si>
    <t>A04423890</t>
  </si>
  <si>
    <t>A04421952</t>
  </si>
  <si>
    <t>A04424674</t>
  </si>
  <si>
    <t>A04425118</t>
  </si>
  <si>
    <t>UHC AARP MS FL Area 4- Plan B C F G</t>
  </si>
  <si>
    <t>UHC MAPD 2026*</t>
  </si>
  <si>
    <t>[%/$=347][prorate=11/12]</t>
  </si>
  <si>
    <t>[%/$=347][prorate=12/12]</t>
  </si>
  <si>
    <t>UHC MAPD Nat 2024!</t>
  </si>
  <si>
    <t>[%/$=611]</t>
  </si>
  <si>
    <t>UHC MAPD Ovr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</si>
</sst>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;[Red]\-&quot;$&quot;#,##0.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0" fillId="0" fontId="2" numFmtId="10" xfId="0" applyFont="1" applyNumberFormat="1"/>
    <xf borderId="0" fillId="0" fontId="2" numFmtId="1" xfId="0" applyAlignment="1" applyFont="1" applyNumberFormat="1">
      <alignment horizontal="left"/>
    </xf>
    <xf borderId="0" fillId="0" fontId="2" numFmtId="0" xfId="0" applyFont="1"/>
    <xf borderId="1" fillId="2" fontId="2" numFmtId="1" xfId="0" applyAlignment="1" applyBorder="1" applyFill="1" applyFont="1" applyNumberFormat="1">
      <alignment horizontal="left"/>
    </xf>
    <xf borderId="1" fillId="2" fontId="2" numFmtId="0" xfId="0" applyBorder="1" applyFont="1"/>
    <xf borderId="1" fillId="2" fontId="2" numFmtId="14" xfId="0" applyBorder="1" applyFont="1" applyNumberFormat="1"/>
    <xf borderId="1" fillId="2" fontId="2" numFmtId="164" xfId="0" applyBorder="1" applyFont="1" applyNumberFormat="1"/>
    <xf borderId="1" fillId="2" fontId="3" numFmtId="1" xfId="0" applyAlignment="1" applyBorder="1" applyFont="1" applyNumberFormat="1">
      <alignment horizontal="left"/>
    </xf>
    <xf borderId="1" fillId="2" fontId="3" numFmtId="0" xfId="0" applyBorder="1" applyFont="1"/>
    <xf borderId="1" fillId="2" fontId="3" numFmtId="14" xfId="0" applyBorder="1" applyFont="1" applyNumberFormat="1"/>
    <xf borderId="1" fillId="2" fontId="3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5.57"/>
    <col customWidth="1" min="3" max="3" width="14.43"/>
    <col customWidth="1" min="4" max="4" width="11.57"/>
    <col customWidth="1" min="5" max="5" width="28.14"/>
    <col customWidth="1" min="6" max="6" width="8.43"/>
    <col customWidth="1" min="7" max="7" width="6.29"/>
    <col customWidth="1" min="8" max="8" width="17.43"/>
    <col customWidth="1" min="9" max="9" width="27.0"/>
    <col customWidth="1" min="10" max="10" width="21.43"/>
    <col customWidth="1" min="11" max="11" width="8.0"/>
    <col customWidth="1" min="12" max="12" width="4.43"/>
    <col customWidth="1" min="13" max="13" width="5.43"/>
    <col customWidth="1" min="14" max="14" width="8.57"/>
    <col customWidth="1" min="15" max="15" width="15.14"/>
    <col customWidth="1" min="16" max="16" width="27.86"/>
    <col customWidth="1" min="17" max="17" width="12.71"/>
    <col customWidth="1" min="18" max="18" width="56.86"/>
    <col customWidth="1" min="19" max="19" width="9.86"/>
    <col customWidth="1" min="20" max="20" width="11.86"/>
    <col customWidth="1" min="21" max="21" width="14.14"/>
    <col customWidth="1" min="22" max="22" width="11.86"/>
    <col customWidth="1" min="23" max="23" width="15.43"/>
    <col customWidth="1" min="24" max="24" width="9.0"/>
    <col customWidth="1" min="25" max="25" width="17.29"/>
    <col customWidth="1" min="26" max="26" width="15.14"/>
    <col customWidth="1" min="27" max="27" width="16.57"/>
    <col customWidth="1" min="28" max="28" width="15.86"/>
    <col customWidth="1" min="29" max="29" width="16.71"/>
    <col customWidth="1" min="30" max="30" width="11.43"/>
    <col customWidth="1" min="31" max="31" width="14.57"/>
    <col customWidth="1" min="32" max="32" width="10.71"/>
    <col customWidth="1" min="33" max="33" width="12.71"/>
    <col customWidth="1" min="34" max="34" width="18.0"/>
    <col customWidth="1" min="35" max="35" width="17.57"/>
    <col customWidth="1" min="36" max="36" width="11.0"/>
    <col customWidth="1" min="37" max="37" width="13.14"/>
    <col customWidth="1" min="38" max="38" width="44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46057.0</v>
      </c>
      <c r="B2" s="2">
        <v>46057.0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M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2">
        <v>46023.0</v>
      </c>
      <c r="U2" s="1" t="s">
        <v>51</v>
      </c>
      <c r="X2" s="1" t="s">
        <v>52</v>
      </c>
      <c r="Y2" s="3">
        <v>0.0</v>
      </c>
      <c r="Z2" s="3">
        <v>175.0</v>
      </c>
      <c r="AA2" s="1">
        <v>1.0</v>
      </c>
      <c r="AB2" s="4">
        <v>1.0</v>
      </c>
      <c r="AC2" s="3">
        <v>175.0</v>
      </c>
      <c r="AD2" s="4">
        <v>0.0</v>
      </c>
      <c r="AE2" s="3">
        <v>0.0</v>
      </c>
      <c r="AF2" s="3">
        <v>175.0</v>
      </c>
      <c r="AK2" s="1">
        <v>6203693.0</v>
      </c>
    </row>
    <row r="3">
      <c r="A3" s="2">
        <v>46057.0</v>
      </c>
      <c r="B3" s="2">
        <v>46057.0</v>
      </c>
      <c r="C3" s="1" t="s">
        <v>38</v>
      </c>
      <c r="D3" s="1" t="s">
        <v>39</v>
      </c>
      <c r="E3" s="1" t="s">
        <v>40</v>
      </c>
      <c r="F3" s="1" t="s">
        <v>41</v>
      </c>
      <c r="G3" s="1" t="s">
        <v>42</v>
      </c>
      <c r="H3" s="1" t="s">
        <v>43</v>
      </c>
      <c r="I3" s="1" t="s">
        <v>53</v>
      </c>
      <c r="J3" s="1" t="s">
        <v>54</v>
      </c>
      <c r="M3" s="1" t="s">
        <v>55</v>
      </c>
      <c r="O3" s="1" t="s">
        <v>56</v>
      </c>
      <c r="P3" s="1" t="s">
        <v>57</v>
      </c>
      <c r="Q3" s="1" t="s">
        <v>49</v>
      </c>
      <c r="R3" s="1" t="s">
        <v>58</v>
      </c>
      <c r="S3" s="2">
        <v>46054.0</v>
      </c>
      <c r="U3" s="1" t="s">
        <v>51</v>
      </c>
      <c r="X3" s="1" t="s">
        <v>52</v>
      </c>
      <c r="Y3" s="3">
        <v>0.0</v>
      </c>
      <c r="Z3" s="3">
        <v>108.0</v>
      </c>
      <c r="AA3" s="1">
        <v>1.0</v>
      </c>
      <c r="AB3" s="4">
        <v>1.0</v>
      </c>
      <c r="AC3" s="3">
        <v>108.0</v>
      </c>
      <c r="AD3" s="4">
        <v>0.0</v>
      </c>
      <c r="AE3" s="3">
        <v>0.0</v>
      </c>
      <c r="AF3" s="3">
        <v>108.0</v>
      </c>
      <c r="AK3" s="1">
        <v>6203552.0</v>
      </c>
    </row>
    <row r="4">
      <c r="A4" s="2">
        <v>46057.0</v>
      </c>
      <c r="B4" s="2">
        <v>46057.0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43</v>
      </c>
      <c r="I4" s="1" t="s">
        <v>59</v>
      </c>
      <c r="J4" s="1" t="s">
        <v>60</v>
      </c>
      <c r="M4" s="1" t="s">
        <v>46</v>
      </c>
      <c r="O4" s="1" t="s">
        <v>61</v>
      </c>
      <c r="P4" s="1" t="s">
        <v>62</v>
      </c>
      <c r="Q4" s="1" t="s">
        <v>49</v>
      </c>
      <c r="R4" s="1" t="s">
        <v>50</v>
      </c>
      <c r="S4" s="2">
        <v>46054.0</v>
      </c>
      <c r="U4" s="1" t="s">
        <v>51</v>
      </c>
      <c r="X4" s="1" t="s">
        <v>52</v>
      </c>
      <c r="Y4" s="3">
        <v>0.0</v>
      </c>
      <c r="Z4" s="3">
        <v>175.0</v>
      </c>
      <c r="AA4" s="1">
        <v>1.0</v>
      </c>
      <c r="AB4" s="4">
        <v>1.0</v>
      </c>
      <c r="AC4" s="3">
        <v>175.0</v>
      </c>
      <c r="AD4" s="4">
        <v>0.0</v>
      </c>
      <c r="AE4" s="3">
        <v>0.0</v>
      </c>
      <c r="AF4" s="3">
        <v>175.0</v>
      </c>
      <c r="AK4" s="1">
        <v>6203694.0</v>
      </c>
    </row>
    <row r="5">
      <c r="A5" s="2">
        <v>46057.0</v>
      </c>
      <c r="B5" s="2">
        <v>46057.0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63</v>
      </c>
      <c r="J5" s="1" t="s">
        <v>64</v>
      </c>
      <c r="M5" s="1" t="s">
        <v>55</v>
      </c>
      <c r="O5" s="1" t="s">
        <v>65</v>
      </c>
      <c r="P5" s="1" t="s">
        <v>66</v>
      </c>
      <c r="Q5" s="1" t="s">
        <v>49</v>
      </c>
      <c r="R5" s="1" t="s">
        <v>50</v>
      </c>
      <c r="S5" s="2">
        <v>46054.0</v>
      </c>
      <c r="U5" s="1" t="s">
        <v>51</v>
      </c>
      <c r="X5" s="1" t="s">
        <v>52</v>
      </c>
      <c r="Y5" s="3">
        <v>0.0</v>
      </c>
      <c r="Z5" s="3">
        <v>175.0</v>
      </c>
      <c r="AA5" s="1">
        <v>1.0</v>
      </c>
      <c r="AB5" s="4">
        <v>1.0</v>
      </c>
      <c r="AC5" s="3">
        <v>175.0</v>
      </c>
      <c r="AD5" s="4">
        <v>0.0</v>
      </c>
      <c r="AE5" s="3">
        <v>0.0</v>
      </c>
      <c r="AF5" s="3">
        <v>175.0</v>
      </c>
      <c r="AK5" s="1">
        <v>6203695.0</v>
      </c>
    </row>
    <row r="6">
      <c r="A6" s="2">
        <v>46057.0</v>
      </c>
      <c r="B6" s="2">
        <v>46057.0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67</v>
      </c>
      <c r="J6" s="1" t="s">
        <v>68</v>
      </c>
      <c r="M6" s="1" t="s">
        <v>55</v>
      </c>
      <c r="O6" s="1" t="s">
        <v>69</v>
      </c>
      <c r="P6" s="1" t="s">
        <v>70</v>
      </c>
      <c r="Q6" s="1" t="s">
        <v>49</v>
      </c>
      <c r="R6" s="1" t="s">
        <v>50</v>
      </c>
      <c r="S6" s="2">
        <v>46054.0</v>
      </c>
      <c r="U6" s="1" t="s">
        <v>51</v>
      </c>
      <c r="X6" s="1" t="s">
        <v>52</v>
      </c>
      <c r="Y6" s="3">
        <v>0.0</v>
      </c>
      <c r="Z6" s="3">
        <v>175.0</v>
      </c>
      <c r="AA6" s="1">
        <v>1.0</v>
      </c>
      <c r="AB6" s="4">
        <v>1.0</v>
      </c>
      <c r="AC6" s="3">
        <v>175.0</v>
      </c>
      <c r="AD6" s="4">
        <v>0.0</v>
      </c>
      <c r="AE6" s="3">
        <v>0.0</v>
      </c>
      <c r="AF6" s="3">
        <v>175.0</v>
      </c>
      <c r="AK6" s="1">
        <v>6203659.0</v>
      </c>
    </row>
    <row r="7">
      <c r="A7" s="2">
        <v>46057.0</v>
      </c>
      <c r="B7" s="2">
        <v>46057.0</v>
      </c>
      <c r="C7" s="1" t="s">
        <v>38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71</v>
      </c>
      <c r="J7" s="1" t="s">
        <v>72</v>
      </c>
      <c r="M7" s="1" t="s">
        <v>46</v>
      </c>
      <c r="O7" s="1" t="s">
        <v>73</v>
      </c>
      <c r="P7" s="1" t="s">
        <v>74</v>
      </c>
      <c r="Q7" s="1" t="s">
        <v>49</v>
      </c>
      <c r="R7" s="1" t="s">
        <v>50</v>
      </c>
      <c r="S7" s="2">
        <v>46054.0</v>
      </c>
      <c r="U7" s="1" t="s">
        <v>51</v>
      </c>
      <c r="X7" s="1" t="s">
        <v>52</v>
      </c>
      <c r="Y7" s="3">
        <v>0.0</v>
      </c>
      <c r="Z7" s="3">
        <v>175.0</v>
      </c>
      <c r="AA7" s="1">
        <v>1.0</v>
      </c>
      <c r="AB7" s="4">
        <v>1.0</v>
      </c>
      <c r="AC7" s="3">
        <v>175.0</v>
      </c>
      <c r="AD7" s="4">
        <v>0.0</v>
      </c>
      <c r="AE7" s="3">
        <v>0.0</v>
      </c>
      <c r="AF7" s="3">
        <v>175.0</v>
      </c>
      <c r="AK7" s="1">
        <v>6203696.0</v>
      </c>
    </row>
    <row r="8">
      <c r="A8" s="2">
        <v>46057.0</v>
      </c>
      <c r="B8" s="2">
        <v>46057.0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42</v>
      </c>
      <c r="H8" s="1" t="s">
        <v>43</v>
      </c>
      <c r="I8" s="1" t="s">
        <v>75</v>
      </c>
      <c r="J8" s="1" t="s">
        <v>76</v>
      </c>
      <c r="M8" s="1" t="s">
        <v>46</v>
      </c>
      <c r="O8" s="1" t="s">
        <v>77</v>
      </c>
      <c r="P8" s="1" t="s">
        <v>78</v>
      </c>
      <c r="Q8" s="1" t="s">
        <v>49</v>
      </c>
      <c r="R8" s="1" t="s">
        <v>58</v>
      </c>
      <c r="S8" s="2">
        <v>46054.0</v>
      </c>
      <c r="U8" s="1" t="s">
        <v>51</v>
      </c>
      <c r="X8" s="1" t="s">
        <v>52</v>
      </c>
      <c r="Y8" s="3">
        <v>0.0</v>
      </c>
      <c r="Z8" s="3">
        <v>108.0</v>
      </c>
      <c r="AA8" s="1">
        <v>1.0</v>
      </c>
      <c r="AB8" s="4">
        <v>1.0</v>
      </c>
      <c r="AC8" s="3">
        <v>108.0</v>
      </c>
      <c r="AD8" s="4">
        <v>0.0</v>
      </c>
      <c r="AE8" s="3">
        <v>0.0</v>
      </c>
      <c r="AF8" s="3">
        <v>108.0</v>
      </c>
      <c r="AK8" s="1">
        <v>6203553.0</v>
      </c>
    </row>
    <row r="9">
      <c r="A9" s="2">
        <v>46057.0</v>
      </c>
      <c r="B9" s="2">
        <v>46057.0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79</v>
      </c>
      <c r="J9" s="1" t="s">
        <v>80</v>
      </c>
      <c r="M9" s="1" t="s">
        <v>46</v>
      </c>
      <c r="O9" s="1" t="s">
        <v>81</v>
      </c>
      <c r="P9" s="1" t="s">
        <v>82</v>
      </c>
      <c r="Q9" s="1" t="s">
        <v>49</v>
      </c>
      <c r="R9" s="1" t="s">
        <v>50</v>
      </c>
      <c r="S9" s="2">
        <v>46054.0</v>
      </c>
      <c r="U9" s="1" t="s">
        <v>51</v>
      </c>
      <c r="X9" s="1" t="s">
        <v>52</v>
      </c>
      <c r="Y9" s="3">
        <v>0.0</v>
      </c>
      <c r="Z9" s="3">
        <v>175.0</v>
      </c>
      <c r="AA9" s="1">
        <v>1.0</v>
      </c>
      <c r="AB9" s="4">
        <v>1.0</v>
      </c>
      <c r="AC9" s="3">
        <v>175.0</v>
      </c>
      <c r="AD9" s="4">
        <v>0.0</v>
      </c>
      <c r="AE9" s="3">
        <v>0.0</v>
      </c>
      <c r="AF9" s="3">
        <v>175.0</v>
      </c>
      <c r="AK9" s="1">
        <v>6203711.0</v>
      </c>
    </row>
    <row r="10">
      <c r="A10" s="2">
        <v>46057.0</v>
      </c>
      <c r="B10" s="2">
        <v>46057.0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H10" s="1" t="s">
        <v>43</v>
      </c>
      <c r="I10" s="1" t="s">
        <v>83</v>
      </c>
      <c r="J10" s="1" t="s">
        <v>84</v>
      </c>
      <c r="M10" s="1" t="s">
        <v>55</v>
      </c>
      <c r="O10" s="1" t="s">
        <v>81</v>
      </c>
      <c r="P10" s="1" t="s">
        <v>82</v>
      </c>
      <c r="Q10" s="1" t="s">
        <v>49</v>
      </c>
      <c r="R10" s="1" t="s">
        <v>58</v>
      </c>
      <c r="S10" s="2">
        <v>46023.0</v>
      </c>
      <c r="U10" s="1" t="s">
        <v>51</v>
      </c>
      <c r="X10" s="1" t="s">
        <v>52</v>
      </c>
      <c r="Y10" s="3">
        <v>0.0</v>
      </c>
      <c r="Z10" s="3">
        <v>108.0</v>
      </c>
      <c r="AA10" s="1">
        <v>1.0</v>
      </c>
      <c r="AB10" s="4">
        <v>1.0</v>
      </c>
      <c r="AC10" s="3">
        <v>108.0</v>
      </c>
      <c r="AD10" s="4">
        <v>0.0</v>
      </c>
      <c r="AE10" s="3">
        <v>0.0</v>
      </c>
      <c r="AF10" s="3">
        <v>108.0</v>
      </c>
      <c r="AK10" s="1">
        <v>6203551.0</v>
      </c>
    </row>
    <row r="11">
      <c r="A11" s="2">
        <v>46057.0</v>
      </c>
      <c r="B11" s="2">
        <v>46057.0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43</v>
      </c>
      <c r="I11" s="1" t="s">
        <v>85</v>
      </c>
      <c r="J11" s="1" t="s">
        <v>86</v>
      </c>
      <c r="M11" s="1" t="s">
        <v>46</v>
      </c>
      <c r="O11" s="1" t="s">
        <v>87</v>
      </c>
      <c r="P11" s="1" t="s">
        <v>88</v>
      </c>
      <c r="Q11" s="1" t="s">
        <v>49</v>
      </c>
      <c r="R11" s="1" t="s">
        <v>50</v>
      </c>
      <c r="S11" s="2">
        <v>46054.0</v>
      </c>
      <c r="U11" s="1" t="s">
        <v>51</v>
      </c>
      <c r="X11" s="1" t="s">
        <v>52</v>
      </c>
      <c r="Y11" s="3">
        <v>0.0</v>
      </c>
      <c r="Z11" s="3">
        <v>175.0</v>
      </c>
      <c r="AA11" s="1">
        <v>1.0</v>
      </c>
      <c r="AB11" s="4">
        <v>1.0</v>
      </c>
      <c r="AC11" s="3">
        <v>175.0</v>
      </c>
      <c r="AD11" s="4">
        <v>0.0</v>
      </c>
      <c r="AE11" s="3">
        <v>0.0</v>
      </c>
      <c r="AF11" s="3">
        <v>175.0</v>
      </c>
      <c r="AK11" s="1">
        <v>6203697.0</v>
      </c>
    </row>
    <row r="12">
      <c r="A12" s="2">
        <v>46057.0</v>
      </c>
      <c r="B12" s="2">
        <v>46057.0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H12" s="1" t="s">
        <v>43</v>
      </c>
      <c r="I12" s="1" t="s">
        <v>89</v>
      </c>
      <c r="J12" s="1" t="s">
        <v>90</v>
      </c>
      <c r="M12" s="1" t="s">
        <v>46</v>
      </c>
      <c r="O12" s="1" t="s">
        <v>91</v>
      </c>
      <c r="P12" s="1" t="s">
        <v>92</v>
      </c>
      <c r="Q12" s="1" t="s">
        <v>49</v>
      </c>
      <c r="R12" s="1" t="s">
        <v>50</v>
      </c>
      <c r="S12" s="2">
        <v>46054.0</v>
      </c>
      <c r="U12" s="1" t="s">
        <v>51</v>
      </c>
      <c r="X12" s="1" t="s">
        <v>52</v>
      </c>
      <c r="Y12" s="3">
        <v>0.0</v>
      </c>
      <c r="Z12" s="3">
        <v>175.0</v>
      </c>
      <c r="AA12" s="1">
        <v>1.0</v>
      </c>
      <c r="AB12" s="4">
        <v>1.0</v>
      </c>
      <c r="AC12" s="3">
        <v>175.0</v>
      </c>
      <c r="AD12" s="4">
        <v>0.0</v>
      </c>
      <c r="AE12" s="3">
        <v>0.0</v>
      </c>
      <c r="AF12" s="3">
        <v>175.0</v>
      </c>
      <c r="AK12" s="1">
        <v>6203698.0</v>
      </c>
    </row>
    <row r="13">
      <c r="A13" s="2">
        <v>46057.0</v>
      </c>
      <c r="B13" s="2">
        <v>46057.0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H13" s="1" t="s">
        <v>43</v>
      </c>
      <c r="I13" s="1" t="s">
        <v>93</v>
      </c>
      <c r="J13" s="1" t="s">
        <v>94</v>
      </c>
      <c r="M13" s="1" t="s">
        <v>46</v>
      </c>
      <c r="O13" s="1" t="s">
        <v>95</v>
      </c>
      <c r="P13" s="1" t="s">
        <v>96</v>
      </c>
      <c r="Q13" s="1" t="s">
        <v>49</v>
      </c>
      <c r="R13" s="1" t="s">
        <v>50</v>
      </c>
      <c r="S13" s="2">
        <v>46054.0</v>
      </c>
      <c r="U13" s="1" t="s">
        <v>51</v>
      </c>
      <c r="X13" s="1" t="s">
        <v>52</v>
      </c>
      <c r="Y13" s="3">
        <v>0.0</v>
      </c>
      <c r="Z13" s="3">
        <v>175.0</v>
      </c>
      <c r="AA13" s="1">
        <v>1.0</v>
      </c>
      <c r="AB13" s="4">
        <v>1.0</v>
      </c>
      <c r="AC13" s="3">
        <v>175.0</v>
      </c>
      <c r="AD13" s="4">
        <v>0.0</v>
      </c>
      <c r="AE13" s="3">
        <v>0.0</v>
      </c>
      <c r="AF13" s="3">
        <v>175.0</v>
      </c>
      <c r="AK13" s="1">
        <v>6203699.0</v>
      </c>
    </row>
    <row r="14">
      <c r="A14" s="2">
        <v>46057.0</v>
      </c>
      <c r="B14" s="2">
        <v>46057.0</v>
      </c>
      <c r="C14" s="1" t="s">
        <v>38</v>
      </c>
      <c r="D14" s="1" t="s">
        <v>39</v>
      </c>
      <c r="E14" s="1" t="s">
        <v>40</v>
      </c>
      <c r="F14" s="1" t="s">
        <v>41</v>
      </c>
      <c r="G14" s="1" t="s">
        <v>42</v>
      </c>
      <c r="H14" s="1" t="s">
        <v>43</v>
      </c>
      <c r="I14" s="1" t="s">
        <v>97</v>
      </c>
      <c r="J14" s="1" t="s">
        <v>98</v>
      </c>
      <c r="M14" s="1" t="s">
        <v>99</v>
      </c>
      <c r="O14" s="1" t="s">
        <v>73</v>
      </c>
      <c r="P14" s="1" t="s">
        <v>74</v>
      </c>
      <c r="Q14" s="1" t="s">
        <v>49</v>
      </c>
      <c r="R14" s="1" t="s">
        <v>50</v>
      </c>
      <c r="S14" s="2">
        <v>46082.0</v>
      </c>
      <c r="U14" s="1" t="s">
        <v>51</v>
      </c>
      <c r="X14" s="1" t="s">
        <v>52</v>
      </c>
      <c r="Y14" s="3">
        <v>0.0</v>
      </c>
      <c r="Z14" s="3">
        <v>175.0</v>
      </c>
      <c r="AA14" s="1">
        <v>1.0</v>
      </c>
      <c r="AB14" s="4">
        <v>1.0</v>
      </c>
      <c r="AC14" s="3">
        <v>175.0</v>
      </c>
      <c r="AD14" s="4">
        <v>0.0</v>
      </c>
      <c r="AE14" s="3">
        <v>0.0</v>
      </c>
      <c r="AF14" s="3">
        <v>175.0</v>
      </c>
      <c r="AK14" s="1">
        <v>6203700.0</v>
      </c>
    </row>
    <row r="15">
      <c r="A15" s="2">
        <v>46057.0</v>
      </c>
      <c r="B15" s="2">
        <v>46057.0</v>
      </c>
      <c r="C15" s="1" t="s">
        <v>38</v>
      </c>
      <c r="D15" s="1" t="s">
        <v>39</v>
      </c>
      <c r="E15" s="1" t="s">
        <v>40</v>
      </c>
      <c r="F15" s="1" t="s">
        <v>41</v>
      </c>
      <c r="G15" s="1" t="s">
        <v>42</v>
      </c>
      <c r="H15" s="1" t="s">
        <v>43</v>
      </c>
      <c r="I15" s="1" t="s">
        <v>100</v>
      </c>
      <c r="J15" s="1" t="s">
        <v>101</v>
      </c>
      <c r="M15" s="1" t="s">
        <v>46</v>
      </c>
      <c r="O15" s="1" t="s">
        <v>102</v>
      </c>
      <c r="P15" s="1" t="s">
        <v>103</v>
      </c>
      <c r="Q15" s="1" t="s">
        <v>49</v>
      </c>
      <c r="R15" s="1" t="s">
        <v>50</v>
      </c>
      <c r="S15" s="2">
        <v>46113.0</v>
      </c>
      <c r="U15" s="1" t="s">
        <v>51</v>
      </c>
      <c r="X15" s="1" t="s">
        <v>52</v>
      </c>
      <c r="Y15" s="3">
        <v>0.0</v>
      </c>
      <c r="Z15" s="3">
        <v>175.0</v>
      </c>
      <c r="AA15" s="1">
        <v>1.0</v>
      </c>
      <c r="AB15" s="4">
        <v>1.0</v>
      </c>
      <c r="AC15" s="3">
        <v>175.0</v>
      </c>
      <c r="AD15" s="4">
        <v>0.0</v>
      </c>
      <c r="AE15" s="3">
        <v>0.0</v>
      </c>
      <c r="AF15" s="3">
        <v>175.0</v>
      </c>
      <c r="AK15" s="1">
        <v>6203701.0</v>
      </c>
    </row>
    <row r="16">
      <c r="A16" s="2">
        <v>46057.0</v>
      </c>
      <c r="B16" s="2">
        <v>46057.0</v>
      </c>
      <c r="C16" s="1" t="s">
        <v>38</v>
      </c>
      <c r="D16" s="1" t="s">
        <v>39</v>
      </c>
      <c r="E16" s="1" t="s">
        <v>40</v>
      </c>
      <c r="F16" s="1" t="s">
        <v>41</v>
      </c>
      <c r="G16" s="1" t="s">
        <v>42</v>
      </c>
      <c r="H16" s="1" t="s">
        <v>43</v>
      </c>
      <c r="I16" s="1" t="s">
        <v>104</v>
      </c>
      <c r="J16" s="1" t="s">
        <v>105</v>
      </c>
      <c r="M16" s="1" t="s">
        <v>46</v>
      </c>
      <c r="O16" s="1" t="s">
        <v>47</v>
      </c>
      <c r="P16" s="1" t="s">
        <v>48</v>
      </c>
      <c r="Q16" s="1" t="s">
        <v>49</v>
      </c>
      <c r="R16" s="1" t="s">
        <v>50</v>
      </c>
      <c r="S16" s="2">
        <v>46113.0</v>
      </c>
      <c r="U16" s="1" t="s">
        <v>51</v>
      </c>
      <c r="X16" s="1" t="s">
        <v>52</v>
      </c>
      <c r="Y16" s="3">
        <v>0.0</v>
      </c>
      <c r="Z16" s="3">
        <v>175.0</v>
      </c>
      <c r="AA16" s="1">
        <v>1.0</v>
      </c>
      <c r="AB16" s="4">
        <v>1.0</v>
      </c>
      <c r="AC16" s="3">
        <v>175.0</v>
      </c>
      <c r="AD16" s="4">
        <v>0.0</v>
      </c>
      <c r="AE16" s="3">
        <v>0.0</v>
      </c>
      <c r="AF16" s="3">
        <v>175.0</v>
      </c>
      <c r="AK16" s="1">
        <v>6203702.0</v>
      </c>
    </row>
    <row r="17">
      <c r="A17" s="2">
        <v>46057.0</v>
      </c>
      <c r="B17" s="2">
        <v>46057.0</v>
      </c>
      <c r="C17" s="1" t="s">
        <v>38</v>
      </c>
      <c r="D17" s="1" t="s">
        <v>39</v>
      </c>
      <c r="E17" s="1" t="s">
        <v>40</v>
      </c>
      <c r="F17" s="1" t="s">
        <v>41</v>
      </c>
      <c r="G17" s="1" t="s">
        <v>42</v>
      </c>
      <c r="H17" s="1" t="s">
        <v>43</v>
      </c>
      <c r="I17" s="1" t="s">
        <v>106</v>
      </c>
      <c r="J17" s="1" t="s">
        <v>107</v>
      </c>
      <c r="M17" s="1" t="s">
        <v>46</v>
      </c>
      <c r="O17" s="1" t="s">
        <v>108</v>
      </c>
      <c r="P17" s="1" t="s">
        <v>109</v>
      </c>
      <c r="Q17" s="1" t="s">
        <v>49</v>
      </c>
      <c r="R17" s="1" t="s">
        <v>50</v>
      </c>
      <c r="S17" s="2">
        <v>46054.0</v>
      </c>
      <c r="U17" s="1" t="s">
        <v>51</v>
      </c>
      <c r="X17" s="1" t="s">
        <v>52</v>
      </c>
      <c r="Y17" s="3">
        <v>0.0</v>
      </c>
      <c r="Z17" s="3">
        <v>175.0</v>
      </c>
      <c r="AA17" s="1">
        <v>1.0</v>
      </c>
      <c r="AB17" s="4">
        <v>1.0</v>
      </c>
      <c r="AC17" s="3">
        <v>175.0</v>
      </c>
      <c r="AD17" s="4">
        <v>0.0</v>
      </c>
      <c r="AE17" s="3">
        <v>0.0</v>
      </c>
      <c r="AF17" s="3">
        <v>175.0</v>
      </c>
      <c r="AK17" s="1">
        <v>6203703.0</v>
      </c>
    </row>
    <row r="18">
      <c r="A18" s="2">
        <v>46057.0</v>
      </c>
      <c r="B18" s="2">
        <v>46057.0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110</v>
      </c>
      <c r="J18" s="1" t="s">
        <v>111</v>
      </c>
      <c r="M18" s="1" t="s">
        <v>46</v>
      </c>
      <c r="O18" s="1" t="s">
        <v>112</v>
      </c>
      <c r="P18" s="1" t="s">
        <v>113</v>
      </c>
      <c r="Q18" s="1" t="s">
        <v>49</v>
      </c>
      <c r="R18" s="1" t="s">
        <v>50</v>
      </c>
      <c r="S18" s="2">
        <v>46054.0</v>
      </c>
      <c r="U18" s="1" t="s">
        <v>51</v>
      </c>
      <c r="X18" s="1" t="s">
        <v>52</v>
      </c>
      <c r="Y18" s="3">
        <v>0.0</v>
      </c>
      <c r="Z18" s="3">
        <v>175.0</v>
      </c>
      <c r="AA18" s="1">
        <v>1.0</v>
      </c>
      <c r="AB18" s="4">
        <v>1.0</v>
      </c>
      <c r="AC18" s="3">
        <v>175.0</v>
      </c>
      <c r="AD18" s="4">
        <v>0.0</v>
      </c>
      <c r="AE18" s="3">
        <v>0.0</v>
      </c>
      <c r="AF18" s="3">
        <v>175.0</v>
      </c>
      <c r="AK18" s="1">
        <v>6203704.0</v>
      </c>
    </row>
    <row r="19">
      <c r="A19" s="2">
        <v>46057.0</v>
      </c>
      <c r="B19" s="2">
        <v>46057.0</v>
      </c>
      <c r="C19" s="1" t="s">
        <v>38</v>
      </c>
      <c r="D19" s="1" t="s">
        <v>39</v>
      </c>
      <c r="E19" s="1" t="s">
        <v>40</v>
      </c>
      <c r="F19" s="1" t="s">
        <v>41</v>
      </c>
      <c r="G19" s="1" t="s">
        <v>42</v>
      </c>
      <c r="H19" s="1" t="s">
        <v>43</v>
      </c>
      <c r="I19" s="1" t="s">
        <v>114</v>
      </c>
      <c r="J19" s="1" t="s">
        <v>115</v>
      </c>
      <c r="M19" s="1" t="s">
        <v>116</v>
      </c>
      <c r="O19" s="1" t="s">
        <v>87</v>
      </c>
      <c r="P19" s="1" t="s">
        <v>88</v>
      </c>
      <c r="Q19" s="1" t="s">
        <v>49</v>
      </c>
      <c r="R19" s="1" t="s">
        <v>50</v>
      </c>
      <c r="S19" s="2">
        <v>46054.0</v>
      </c>
      <c r="U19" s="1" t="s">
        <v>51</v>
      </c>
      <c r="X19" s="1" t="s">
        <v>52</v>
      </c>
      <c r="Y19" s="3">
        <v>0.0</v>
      </c>
      <c r="Z19" s="3">
        <v>175.0</v>
      </c>
      <c r="AA19" s="1">
        <v>1.0</v>
      </c>
      <c r="AB19" s="4">
        <v>1.0</v>
      </c>
      <c r="AC19" s="3">
        <v>175.0</v>
      </c>
      <c r="AD19" s="4">
        <v>0.0</v>
      </c>
      <c r="AE19" s="3">
        <v>0.0</v>
      </c>
      <c r="AF19" s="3">
        <v>175.0</v>
      </c>
      <c r="AK19" s="1">
        <v>6203705.0</v>
      </c>
    </row>
    <row r="20">
      <c r="A20" s="2">
        <v>46057.0</v>
      </c>
      <c r="B20" s="2">
        <v>46057.0</v>
      </c>
      <c r="C20" s="1" t="s">
        <v>38</v>
      </c>
      <c r="D20" s="1" t="s">
        <v>39</v>
      </c>
      <c r="E20" s="1" t="s">
        <v>40</v>
      </c>
      <c r="F20" s="1" t="s">
        <v>41</v>
      </c>
      <c r="G20" s="1" t="s">
        <v>42</v>
      </c>
      <c r="H20" s="1" t="s">
        <v>43</v>
      </c>
      <c r="I20" s="1" t="s">
        <v>117</v>
      </c>
      <c r="J20" s="1" t="s">
        <v>118</v>
      </c>
      <c r="M20" s="1" t="s">
        <v>46</v>
      </c>
      <c r="O20" s="1" t="s">
        <v>119</v>
      </c>
      <c r="P20" s="1" t="s">
        <v>120</v>
      </c>
      <c r="Q20" s="1" t="s">
        <v>49</v>
      </c>
      <c r="R20" s="1" t="s">
        <v>50</v>
      </c>
      <c r="S20" s="2">
        <v>46082.0</v>
      </c>
      <c r="U20" s="1" t="s">
        <v>51</v>
      </c>
      <c r="X20" s="1" t="s">
        <v>52</v>
      </c>
      <c r="Y20" s="3">
        <v>0.0</v>
      </c>
      <c r="Z20" s="3">
        <v>175.0</v>
      </c>
      <c r="AA20" s="1">
        <v>1.0</v>
      </c>
      <c r="AB20" s="4">
        <v>1.0</v>
      </c>
      <c r="AC20" s="3">
        <v>175.0</v>
      </c>
      <c r="AD20" s="4">
        <v>0.0</v>
      </c>
      <c r="AE20" s="3">
        <v>0.0</v>
      </c>
      <c r="AF20" s="3">
        <v>175.0</v>
      </c>
      <c r="AK20" s="1">
        <v>6203706.0</v>
      </c>
    </row>
    <row r="21" ht="15.75" customHeight="1">
      <c r="A21" s="2">
        <v>46057.0</v>
      </c>
      <c r="B21" s="2">
        <v>46057.0</v>
      </c>
      <c r="C21" s="1" t="s">
        <v>38</v>
      </c>
      <c r="D21" s="1" t="s">
        <v>39</v>
      </c>
      <c r="E21" s="1" t="s">
        <v>40</v>
      </c>
      <c r="F21" s="1" t="s">
        <v>41</v>
      </c>
      <c r="G21" s="1" t="s">
        <v>42</v>
      </c>
      <c r="H21" s="1" t="s">
        <v>43</v>
      </c>
      <c r="I21" s="1" t="s">
        <v>121</v>
      </c>
      <c r="J21" s="1" t="s">
        <v>122</v>
      </c>
      <c r="M21" s="1" t="s">
        <v>46</v>
      </c>
      <c r="O21" s="1" t="s">
        <v>119</v>
      </c>
      <c r="P21" s="1" t="s">
        <v>120</v>
      </c>
      <c r="Q21" s="1" t="s">
        <v>49</v>
      </c>
      <c r="R21" s="1" t="s">
        <v>50</v>
      </c>
      <c r="S21" s="2">
        <v>46082.0</v>
      </c>
      <c r="U21" s="1" t="s">
        <v>51</v>
      </c>
      <c r="X21" s="1" t="s">
        <v>52</v>
      </c>
      <c r="Y21" s="3">
        <v>0.0</v>
      </c>
      <c r="Z21" s="3">
        <v>175.0</v>
      </c>
      <c r="AA21" s="1">
        <v>1.0</v>
      </c>
      <c r="AB21" s="4">
        <v>1.0</v>
      </c>
      <c r="AC21" s="3">
        <v>175.0</v>
      </c>
      <c r="AD21" s="4">
        <v>0.0</v>
      </c>
      <c r="AE21" s="3">
        <v>0.0</v>
      </c>
      <c r="AF21" s="3">
        <v>175.0</v>
      </c>
      <c r="AK21" s="1">
        <v>6203707.0</v>
      </c>
    </row>
    <row r="22" ht="15.75" customHeight="1">
      <c r="A22" s="2">
        <v>46057.0</v>
      </c>
      <c r="B22" s="2">
        <v>46057.0</v>
      </c>
      <c r="C22" s="1" t="s">
        <v>38</v>
      </c>
      <c r="D22" s="1" t="s">
        <v>39</v>
      </c>
      <c r="E22" s="1" t="s">
        <v>40</v>
      </c>
      <c r="F22" s="1" t="s">
        <v>41</v>
      </c>
      <c r="G22" s="1" t="s">
        <v>42</v>
      </c>
      <c r="H22" s="1" t="s">
        <v>43</v>
      </c>
      <c r="I22" s="1" t="s">
        <v>123</v>
      </c>
      <c r="J22" s="1" t="s">
        <v>124</v>
      </c>
      <c r="M22" s="1" t="s">
        <v>46</v>
      </c>
      <c r="O22" s="1" t="s">
        <v>125</v>
      </c>
      <c r="P22" s="1" t="s">
        <v>126</v>
      </c>
      <c r="Q22" s="1" t="s">
        <v>49</v>
      </c>
      <c r="R22" s="1" t="s">
        <v>50</v>
      </c>
      <c r="S22" s="2">
        <v>46113.0</v>
      </c>
      <c r="U22" s="1" t="s">
        <v>51</v>
      </c>
      <c r="X22" s="1" t="s">
        <v>52</v>
      </c>
      <c r="Y22" s="3">
        <v>0.0</v>
      </c>
      <c r="Z22" s="3">
        <v>175.0</v>
      </c>
      <c r="AA22" s="1">
        <v>1.0</v>
      </c>
      <c r="AB22" s="4">
        <v>1.0</v>
      </c>
      <c r="AC22" s="3">
        <v>175.0</v>
      </c>
      <c r="AD22" s="4">
        <v>0.0</v>
      </c>
      <c r="AE22" s="3">
        <v>0.0</v>
      </c>
      <c r="AF22" s="3">
        <v>175.0</v>
      </c>
      <c r="AK22" s="1">
        <v>6203708.0</v>
      </c>
    </row>
    <row r="23" ht="15.75" customHeight="1">
      <c r="A23" s="2">
        <v>46057.0</v>
      </c>
      <c r="B23" s="2">
        <v>46057.0</v>
      </c>
      <c r="C23" s="1" t="s">
        <v>38</v>
      </c>
      <c r="D23" s="1" t="s">
        <v>39</v>
      </c>
      <c r="E23" s="1" t="s">
        <v>40</v>
      </c>
      <c r="F23" s="1" t="s">
        <v>41</v>
      </c>
      <c r="G23" s="1" t="s">
        <v>42</v>
      </c>
      <c r="H23" s="1" t="s">
        <v>43</v>
      </c>
      <c r="I23" s="1" t="s">
        <v>127</v>
      </c>
      <c r="J23" s="1" t="s">
        <v>128</v>
      </c>
      <c r="M23" s="1" t="s">
        <v>116</v>
      </c>
      <c r="O23" s="1" t="s">
        <v>129</v>
      </c>
      <c r="P23" s="1" t="s">
        <v>130</v>
      </c>
      <c r="Q23" s="1" t="s">
        <v>49</v>
      </c>
      <c r="R23" s="1" t="s">
        <v>50</v>
      </c>
      <c r="S23" s="2">
        <v>46113.0</v>
      </c>
      <c r="U23" s="1" t="s">
        <v>51</v>
      </c>
      <c r="X23" s="1" t="s">
        <v>52</v>
      </c>
      <c r="Y23" s="3">
        <v>0.0</v>
      </c>
      <c r="Z23" s="3">
        <v>175.0</v>
      </c>
      <c r="AA23" s="1">
        <v>1.0</v>
      </c>
      <c r="AB23" s="4">
        <v>1.0</v>
      </c>
      <c r="AC23" s="3">
        <v>175.0</v>
      </c>
      <c r="AD23" s="4">
        <v>0.0</v>
      </c>
      <c r="AE23" s="3">
        <v>0.0</v>
      </c>
      <c r="AF23" s="3">
        <v>175.0</v>
      </c>
      <c r="AK23" s="1">
        <v>6203709.0</v>
      </c>
    </row>
    <row r="24" ht="15.75" customHeight="1">
      <c r="A24" s="2">
        <v>46057.0</v>
      </c>
      <c r="B24" s="2">
        <v>46057.0</v>
      </c>
      <c r="C24" s="1" t="s">
        <v>38</v>
      </c>
      <c r="D24" s="1" t="s">
        <v>39</v>
      </c>
      <c r="E24" s="1" t="s">
        <v>40</v>
      </c>
      <c r="F24" s="1" t="s">
        <v>41</v>
      </c>
      <c r="G24" s="1" t="s">
        <v>42</v>
      </c>
      <c r="H24" s="1" t="s">
        <v>43</v>
      </c>
      <c r="I24" s="1" t="s">
        <v>131</v>
      </c>
      <c r="J24" s="1" t="s">
        <v>132</v>
      </c>
      <c r="M24" s="1" t="s">
        <v>133</v>
      </c>
      <c r="O24" s="1" t="s">
        <v>134</v>
      </c>
      <c r="P24" s="1" t="s">
        <v>135</v>
      </c>
      <c r="Q24" s="1" t="s">
        <v>49</v>
      </c>
      <c r="R24" s="1" t="s">
        <v>50</v>
      </c>
      <c r="S24" s="2">
        <v>46054.0</v>
      </c>
      <c r="U24" s="1" t="s">
        <v>51</v>
      </c>
      <c r="X24" s="1" t="s">
        <v>52</v>
      </c>
      <c r="Y24" s="3">
        <v>0.0</v>
      </c>
      <c r="Z24" s="3">
        <v>175.0</v>
      </c>
      <c r="AA24" s="1">
        <v>1.0</v>
      </c>
      <c r="AB24" s="4">
        <v>1.0</v>
      </c>
      <c r="AC24" s="3">
        <v>175.0</v>
      </c>
      <c r="AD24" s="4">
        <v>0.0</v>
      </c>
      <c r="AE24" s="3">
        <v>0.0</v>
      </c>
      <c r="AF24" s="3">
        <v>175.0</v>
      </c>
      <c r="AK24" s="1">
        <v>6203665.0</v>
      </c>
    </row>
    <row r="25" ht="15.75" customHeight="1">
      <c r="A25" s="2">
        <v>46057.0</v>
      </c>
      <c r="B25" s="2">
        <v>46057.0</v>
      </c>
      <c r="C25" s="1" t="s">
        <v>38</v>
      </c>
      <c r="D25" s="1" t="s">
        <v>39</v>
      </c>
      <c r="E25" s="1" t="s">
        <v>40</v>
      </c>
      <c r="F25" s="1" t="s">
        <v>41</v>
      </c>
      <c r="G25" s="1" t="s">
        <v>42</v>
      </c>
      <c r="H25" s="1" t="s">
        <v>43</v>
      </c>
      <c r="I25" s="1" t="s">
        <v>136</v>
      </c>
      <c r="J25" s="1" t="s">
        <v>137</v>
      </c>
      <c r="M25" s="1" t="s">
        <v>46</v>
      </c>
      <c r="O25" s="1" t="s">
        <v>91</v>
      </c>
      <c r="P25" s="1" t="s">
        <v>92</v>
      </c>
      <c r="Q25" s="1" t="s">
        <v>49</v>
      </c>
      <c r="R25" s="1" t="s">
        <v>50</v>
      </c>
      <c r="S25" s="2">
        <v>46023.0</v>
      </c>
      <c r="U25" s="1" t="s">
        <v>51</v>
      </c>
      <c r="X25" s="1" t="s">
        <v>52</v>
      </c>
      <c r="Y25" s="3">
        <v>0.0</v>
      </c>
      <c r="Z25" s="3">
        <v>175.0</v>
      </c>
      <c r="AA25" s="1">
        <v>1.0</v>
      </c>
      <c r="AB25" s="4">
        <v>1.0</v>
      </c>
      <c r="AC25" s="3">
        <v>175.0</v>
      </c>
      <c r="AD25" s="4">
        <v>0.0</v>
      </c>
      <c r="AE25" s="3">
        <v>0.0</v>
      </c>
      <c r="AF25" s="3">
        <v>175.0</v>
      </c>
      <c r="AK25" s="1">
        <v>6203710.0</v>
      </c>
    </row>
    <row r="26" ht="15.75" customHeight="1">
      <c r="A26" s="2">
        <v>46057.0</v>
      </c>
      <c r="B26" s="2">
        <v>46057.0</v>
      </c>
      <c r="C26" s="1" t="s">
        <v>38</v>
      </c>
      <c r="D26" s="1" t="s">
        <v>39</v>
      </c>
      <c r="E26" s="1" t="s">
        <v>40</v>
      </c>
      <c r="F26" s="1" t="s">
        <v>41</v>
      </c>
      <c r="G26" s="1" t="s">
        <v>42</v>
      </c>
      <c r="H26" s="1" t="s">
        <v>43</v>
      </c>
      <c r="I26" s="1" t="s">
        <v>138</v>
      </c>
      <c r="J26" s="1" t="s">
        <v>139</v>
      </c>
      <c r="M26" s="1" t="s">
        <v>46</v>
      </c>
      <c r="O26" s="1" t="s">
        <v>87</v>
      </c>
      <c r="P26" s="1" t="s">
        <v>88</v>
      </c>
      <c r="Q26" s="1" t="s">
        <v>49</v>
      </c>
      <c r="R26" s="1" t="s">
        <v>50</v>
      </c>
      <c r="S26" s="2">
        <v>46082.0</v>
      </c>
      <c r="U26" s="1" t="s">
        <v>51</v>
      </c>
      <c r="X26" s="1" t="s">
        <v>52</v>
      </c>
      <c r="Y26" s="3">
        <v>0.0</v>
      </c>
      <c r="Z26" s="3">
        <v>175.0</v>
      </c>
      <c r="AA26" s="1">
        <v>1.0</v>
      </c>
      <c r="AB26" s="4">
        <v>1.0</v>
      </c>
      <c r="AC26" s="3">
        <v>175.0</v>
      </c>
      <c r="AD26" s="4">
        <v>0.0</v>
      </c>
      <c r="AE26" s="3">
        <v>0.0</v>
      </c>
      <c r="AF26" s="3">
        <v>175.0</v>
      </c>
      <c r="AK26" s="1">
        <v>6203712.0</v>
      </c>
    </row>
    <row r="27" ht="15.75" customHeight="1">
      <c r="A27" s="2">
        <v>46057.0</v>
      </c>
      <c r="B27" s="2">
        <v>46057.0</v>
      </c>
      <c r="C27" s="1" t="s">
        <v>38</v>
      </c>
      <c r="D27" s="1" t="s">
        <v>39</v>
      </c>
      <c r="E27" s="1" t="s">
        <v>40</v>
      </c>
      <c r="F27" s="1" t="s">
        <v>41</v>
      </c>
      <c r="G27" s="1" t="s">
        <v>42</v>
      </c>
      <c r="H27" s="1" t="s">
        <v>43</v>
      </c>
      <c r="I27" s="1" t="s">
        <v>140</v>
      </c>
      <c r="J27" s="1" t="s">
        <v>141</v>
      </c>
      <c r="M27" s="1" t="s">
        <v>46</v>
      </c>
      <c r="O27" s="1" t="s">
        <v>142</v>
      </c>
      <c r="P27" s="1" t="s">
        <v>143</v>
      </c>
      <c r="Q27" s="1" t="s">
        <v>49</v>
      </c>
      <c r="R27" s="1" t="s">
        <v>50</v>
      </c>
      <c r="S27" s="2">
        <v>46054.0</v>
      </c>
      <c r="U27" s="1" t="s">
        <v>51</v>
      </c>
      <c r="X27" s="1" t="s">
        <v>52</v>
      </c>
      <c r="Y27" s="3">
        <v>0.0</v>
      </c>
      <c r="Z27" s="3">
        <v>175.0</v>
      </c>
      <c r="AA27" s="1">
        <v>1.0</v>
      </c>
      <c r="AB27" s="4">
        <v>1.0</v>
      </c>
      <c r="AC27" s="3">
        <v>175.0</v>
      </c>
      <c r="AD27" s="4">
        <v>0.0</v>
      </c>
      <c r="AE27" s="3">
        <v>0.0</v>
      </c>
      <c r="AF27" s="3">
        <v>175.0</v>
      </c>
      <c r="AK27" s="1">
        <v>6203713.0</v>
      </c>
    </row>
    <row r="28" ht="15.75" customHeight="1">
      <c r="A28" s="2">
        <v>46057.0</v>
      </c>
      <c r="B28" s="2">
        <v>46057.0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H28" s="1" t="s">
        <v>43</v>
      </c>
      <c r="I28" s="1" t="s">
        <v>144</v>
      </c>
      <c r="J28" s="1" t="s">
        <v>145</v>
      </c>
      <c r="M28" s="1" t="s">
        <v>46</v>
      </c>
      <c r="O28" s="1" t="s">
        <v>146</v>
      </c>
      <c r="P28" s="1" t="s">
        <v>147</v>
      </c>
      <c r="Q28" s="1" t="s">
        <v>49</v>
      </c>
      <c r="R28" s="1" t="s">
        <v>50</v>
      </c>
      <c r="S28" s="2">
        <v>46054.0</v>
      </c>
      <c r="U28" s="1" t="s">
        <v>51</v>
      </c>
      <c r="X28" s="1" t="s">
        <v>52</v>
      </c>
      <c r="Y28" s="3">
        <v>0.0</v>
      </c>
      <c r="Z28" s="3">
        <v>175.0</v>
      </c>
      <c r="AA28" s="1">
        <v>1.0</v>
      </c>
      <c r="AB28" s="4">
        <v>1.0</v>
      </c>
      <c r="AC28" s="3">
        <v>175.0</v>
      </c>
      <c r="AD28" s="4">
        <v>0.0</v>
      </c>
      <c r="AE28" s="3">
        <v>0.0</v>
      </c>
      <c r="AF28" s="3">
        <v>175.0</v>
      </c>
      <c r="AK28" s="1">
        <v>6203714.0</v>
      </c>
    </row>
    <row r="29" ht="15.75" customHeight="1">
      <c r="A29" s="2">
        <v>46057.0</v>
      </c>
      <c r="B29" s="2">
        <v>46057.0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H29" s="1" t="s">
        <v>43</v>
      </c>
      <c r="I29" s="1" t="s">
        <v>148</v>
      </c>
      <c r="J29" s="1" t="s">
        <v>149</v>
      </c>
      <c r="M29" s="1" t="s">
        <v>46</v>
      </c>
      <c r="O29" s="1" t="s">
        <v>142</v>
      </c>
      <c r="P29" s="1" t="s">
        <v>143</v>
      </c>
      <c r="Q29" s="1" t="s">
        <v>49</v>
      </c>
      <c r="R29" s="1" t="s">
        <v>50</v>
      </c>
      <c r="S29" s="2">
        <v>46054.0</v>
      </c>
      <c r="U29" s="1" t="s">
        <v>51</v>
      </c>
      <c r="X29" s="1" t="s">
        <v>52</v>
      </c>
      <c r="Y29" s="3">
        <v>0.0</v>
      </c>
      <c r="Z29" s="3">
        <v>175.0</v>
      </c>
      <c r="AA29" s="1">
        <v>1.0</v>
      </c>
      <c r="AB29" s="4">
        <v>1.0</v>
      </c>
      <c r="AC29" s="3">
        <v>175.0</v>
      </c>
      <c r="AD29" s="4">
        <v>0.0</v>
      </c>
      <c r="AE29" s="3">
        <v>0.0</v>
      </c>
      <c r="AF29" s="3">
        <v>175.0</v>
      </c>
      <c r="AK29" s="1">
        <v>6203715.0</v>
      </c>
    </row>
    <row r="30" ht="15.75" customHeight="1">
      <c r="A30" s="2">
        <v>46057.0</v>
      </c>
      <c r="B30" s="2">
        <v>46057.0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H30" s="1" t="s">
        <v>43</v>
      </c>
      <c r="I30" s="1" t="s">
        <v>150</v>
      </c>
      <c r="J30" s="1" t="s">
        <v>151</v>
      </c>
      <c r="M30" s="1" t="s">
        <v>46</v>
      </c>
      <c r="O30" s="1" t="s">
        <v>142</v>
      </c>
      <c r="P30" s="1" t="s">
        <v>143</v>
      </c>
      <c r="Q30" s="1" t="s">
        <v>49</v>
      </c>
      <c r="R30" s="1" t="s">
        <v>50</v>
      </c>
      <c r="S30" s="2">
        <v>46054.0</v>
      </c>
      <c r="U30" s="1" t="s">
        <v>51</v>
      </c>
      <c r="X30" s="1" t="s">
        <v>52</v>
      </c>
      <c r="Y30" s="3">
        <v>0.0</v>
      </c>
      <c r="Z30" s="3">
        <v>175.0</v>
      </c>
      <c r="AA30" s="1">
        <v>1.0</v>
      </c>
      <c r="AB30" s="4">
        <v>1.0</v>
      </c>
      <c r="AC30" s="3">
        <v>175.0</v>
      </c>
      <c r="AD30" s="4">
        <v>0.0</v>
      </c>
      <c r="AE30" s="3">
        <v>0.0</v>
      </c>
      <c r="AF30" s="3">
        <v>175.0</v>
      </c>
      <c r="AK30" s="1">
        <v>6203716.0</v>
      </c>
    </row>
    <row r="31" ht="15.75" customHeight="1">
      <c r="A31" s="2">
        <v>46057.0</v>
      </c>
      <c r="B31" s="2">
        <v>46057.0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H31" s="1" t="s">
        <v>43</v>
      </c>
      <c r="I31" s="1" t="s">
        <v>152</v>
      </c>
      <c r="J31" s="1" t="s">
        <v>153</v>
      </c>
      <c r="M31" s="1" t="s">
        <v>154</v>
      </c>
      <c r="O31" s="1" t="s">
        <v>77</v>
      </c>
      <c r="P31" s="1" t="s">
        <v>78</v>
      </c>
      <c r="Q31" s="1" t="s">
        <v>49</v>
      </c>
      <c r="R31" s="1" t="s">
        <v>50</v>
      </c>
      <c r="S31" s="2">
        <v>46054.0</v>
      </c>
      <c r="U31" s="1" t="s">
        <v>51</v>
      </c>
      <c r="X31" s="1" t="s">
        <v>52</v>
      </c>
      <c r="Y31" s="3">
        <v>0.0</v>
      </c>
      <c r="Z31" s="3">
        <v>175.0</v>
      </c>
      <c r="AA31" s="1">
        <v>1.0</v>
      </c>
      <c r="AB31" s="4">
        <v>1.0</v>
      </c>
      <c r="AC31" s="3">
        <v>175.0</v>
      </c>
      <c r="AD31" s="4">
        <v>0.0</v>
      </c>
      <c r="AE31" s="3">
        <v>0.0</v>
      </c>
      <c r="AF31" s="3">
        <v>175.0</v>
      </c>
      <c r="AK31" s="1">
        <v>6203720.0</v>
      </c>
    </row>
    <row r="32" ht="15.75" customHeight="1">
      <c r="A32" s="2">
        <v>46057.0</v>
      </c>
      <c r="B32" s="2">
        <v>46057.0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H32" s="1" t="s">
        <v>43</v>
      </c>
      <c r="I32" s="1" t="s">
        <v>155</v>
      </c>
      <c r="J32" s="1" t="s">
        <v>156</v>
      </c>
      <c r="M32" s="1" t="s">
        <v>55</v>
      </c>
      <c r="O32" s="1" t="s">
        <v>157</v>
      </c>
      <c r="P32" s="1" t="s">
        <v>158</v>
      </c>
      <c r="Q32" s="1" t="s">
        <v>49</v>
      </c>
      <c r="R32" s="1" t="s">
        <v>50</v>
      </c>
      <c r="S32" s="2">
        <v>46054.0</v>
      </c>
      <c r="U32" s="1" t="s">
        <v>51</v>
      </c>
      <c r="X32" s="1" t="s">
        <v>52</v>
      </c>
      <c r="Y32" s="3">
        <v>0.0</v>
      </c>
      <c r="Z32" s="3">
        <v>175.0</v>
      </c>
      <c r="AA32" s="1">
        <v>1.0</v>
      </c>
      <c r="AB32" s="4">
        <v>1.0</v>
      </c>
      <c r="AC32" s="3">
        <v>175.0</v>
      </c>
      <c r="AD32" s="4">
        <v>0.0</v>
      </c>
      <c r="AE32" s="3">
        <v>0.0</v>
      </c>
      <c r="AF32" s="3">
        <v>175.0</v>
      </c>
      <c r="AK32" s="1">
        <v>6203668.0</v>
      </c>
    </row>
    <row r="33" ht="15.75" customHeight="1">
      <c r="A33" s="2">
        <v>46057.0</v>
      </c>
      <c r="B33" s="2">
        <v>46057.0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H33" s="1" t="s">
        <v>43</v>
      </c>
      <c r="I33" s="1" t="s">
        <v>159</v>
      </c>
      <c r="J33" s="1" t="s">
        <v>160</v>
      </c>
      <c r="M33" s="1" t="s">
        <v>55</v>
      </c>
      <c r="O33" s="1" t="s">
        <v>157</v>
      </c>
      <c r="P33" s="1" t="s">
        <v>158</v>
      </c>
      <c r="Q33" s="1" t="s">
        <v>49</v>
      </c>
      <c r="R33" s="1" t="s">
        <v>50</v>
      </c>
      <c r="S33" s="2">
        <v>46082.0</v>
      </c>
      <c r="U33" s="1" t="s">
        <v>51</v>
      </c>
      <c r="X33" s="1" t="s">
        <v>52</v>
      </c>
      <c r="Y33" s="3">
        <v>0.0</v>
      </c>
      <c r="Z33" s="3">
        <v>175.0</v>
      </c>
      <c r="AA33" s="1">
        <v>1.0</v>
      </c>
      <c r="AB33" s="4">
        <v>1.0</v>
      </c>
      <c r="AC33" s="3">
        <v>175.0</v>
      </c>
      <c r="AD33" s="4">
        <v>0.0</v>
      </c>
      <c r="AE33" s="3">
        <v>0.0</v>
      </c>
      <c r="AF33" s="3">
        <v>175.0</v>
      </c>
      <c r="AK33" s="1">
        <v>6203669.0</v>
      </c>
    </row>
    <row r="34" ht="15.75" customHeight="1">
      <c r="A34" s="2">
        <v>46057.0</v>
      </c>
      <c r="B34" s="2">
        <v>46057.0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H34" s="1" t="s">
        <v>43</v>
      </c>
      <c r="I34" s="1" t="s">
        <v>161</v>
      </c>
      <c r="J34" s="1" t="s">
        <v>162</v>
      </c>
      <c r="M34" s="1" t="s">
        <v>46</v>
      </c>
      <c r="O34" s="1" t="s">
        <v>142</v>
      </c>
      <c r="P34" s="1" t="s">
        <v>143</v>
      </c>
      <c r="Q34" s="1" t="s">
        <v>49</v>
      </c>
      <c r="R34" s="1" t="s">
        <v>50</v>
      </c>
      <c r="S34" s="2">
        <v>46113.0</v>
      </c>
      <c r="U34" s="1" t="s">
        <v>51</v>
      </c>
      <c r="X34" s="1" t="s">
        <v>52</v>
      </c>
      <c r="Y34" s="3">
        <v>0.0</v>
      </c>
      <c r="Z34" s="3">
        <v>175.0</v>
      </c>
      <c r="AA34" s="1">
        <v>1.0</v>
      </c>
      <c r="AB34" s="4">
        <v>1.0</v>
      </c>
      <c r="AC34" s="3">
        <v>175.0</v>
      </c>
      <c r="AD34" s="4">
        <v>0.0</v>
      </c>
      <c r="AE34" s="3">
        <v>0.0</v>
      </c>
      <c r="AF34" s="3">
        <v>175.0</v>
      </c>
      <c r="AK34" s="1">
        <v>6203717.0</v>
      </c>
    </row>
    <row r="35" ht="15.75" customHeight="1">
      <c r="A35" s="2">
        <v>46057.0</v>
      </c>
      <c r="B35" s="2">
        <v>46057.0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H35" s="1" t="s">
        <v>43</v>
      </c>
      <c r="I35" s="1" t="s">
        <v>163</v>
      </c>
      <c r="J35" s="1" t="s">
        <v>164</v>
      </c>
      <c r="M35" s="1" t="s">
        <v>165</v>
      </c>
      <c r="O35" s="1" t="s">
        <v>119</v>
      </c>
      <c r="P35" s="1" t="s">
        <v>120</v>
      </c>
      <c r="Q35" s="1" t="s">
        <v>49</v>
      </c>
      <c r="R35" s="1" t="s">
        <v>50</v>
      </c>
      <c r="S35" s="2">
        <v>46082.0</v>
      </c>
      <c r="U35" s="1" t="s">
        <v>51</v>
      </c>
      <c r="X35" s="1" t="s">
        <v>52</v>
      </c>
      <c r="Y35" s="3">
        <v>0.0</v>
      </c>
      <c r="Z35" s="3">
        <v>175.0</v>
      </c>
      <c r="AA35" s="1">
        <v>1.0</v>
      </c>
      <c r="AB35" s="4">
        <v>1.0</v>
      </c>
      <c r="AC35" s="3">
        <v>175.0</v>
      </c>
      <c r="AD35" s="4">
        <v>0.0</v>
      </c>
      <c r="AE35" s="3">
        <v>0.0</v>
      </c>
      <c r="AF35" s="3">
        <v>175.0</v>
      </c>
      <c r="AK35" s="1">
        <v>6203718.0</v>
      </c>
    </row>
    <row r="36" ht="15.75" customHeight="1">
      <c r="A36" s="2">
        <v>46057.0</v>
      </c>
      <c r="B36" s="2">
        <v>46057.0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H36" s="1" t="s">
        <v>43</v>
      </c>
      <c r="I36" s="1" t="s">
        <v>166</v>
      </c>
      <c r="J36" s="1" t="s">
        <v>167</v>
      </c>
      <c r="M36" s="1" t="s">
        <v>46</v>
      </c>
      <c r="O36" s="1" t="s">
        <v>47</v>
      </c>
      <c r="P36" s="1" t="s">
        <v>48</v>
      </c>
      <c r="Q36" s="1" t="s">
        <v>49</v>
      </c>
      <c r="R36" s="1" t="s">
        <v>50</v>
      </c>
      <c r="S36" s="2">
        <v>46054.0</v>
      </c>
      <c r="U36" s="1" t="s">
        <v>51</v>
      </c>
      <c r="X36" s="1" t="s">
        <v>52</v>
      </c>
      <c r="Y36" s="3">
        <v>0.0</v>
      </c>
      <c r="Z36" s="3">
        <v>175.0</v>
      </c>
      <c r="AA36" s="1">
        <v>1.0</v>
      </c>
      <c r="AB36" s="4">
        <v>1.0</v>
      </c>
      <c r="AC36" s="3">
        <v>175.0</v>
      </c>
      <c r="AD36" s="4">
        <v>0.0</v>
      </c>
      <c r="AE36" s="3">
        <v>0.0</v>
      </c>
      <c r="AF36" s="3">
        <v>175.0</v>
      </c>
      <c r="AK36" s="1">
        <v>6203719.0</v>
      </c>
    </row>
    <row r="37" ht="15.75" customHeight="1">
      <c r="A37" s="2">
        <v>46057.0</v>
      </c>
      <c r="B37" s="2">
        <v>46057.0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H37" s="1" t="s">
        <v>43</v>
      </c>
      <c r="I37" s="1" t="s">
        <v>168</v>
      </c>
      <c r="J37" s="1" t="s">
        <v>169</v>
      </c>
      <c r="M37" s="1" t="s">
        <v>46</v>
      </c>
      <c r="O37" s="1" t="s">
        <v>81</v>
      </c>
      <c r="P37" s="1" t="s">
        <v>82</v>
      </c>
      <c r="Q37" s="1" t="s">
        <v>49</v>
      </c>
      <c r="R37" s="1" t="s">
        <v>50</v>
      </c>
      <c r="S37" s="2">
        <v>46054.0</v>
      </c>
      <c r="U37" s="1" t="s">
        <v>51</v>
      </c>
      <c r="X37" s="1" t="s">
        <v>52</v>
      </c>
      <c r="Y37" s="3">
        <v>0.0</v>
      </c>
      <c r="Z37" s="3">
        <v>175.0</v>
      </c>
      <c r="AA37" s="1">
        <v>1.0</v>
      </c>
      <c r="AB37" s="4">
        <v>1.0</v>
      </c>
      <c r="AC37" s="3">
        <v>175.0</v>
      </c>
      <c r="AD37" s="4">
        <v>0.0</v>
      </c>
      <c r="AE37" s="3">
        <v>0.0</v>
      </c>
      <c r="AF37" s="3">
        <v>175.0</v>
      </c>
      <c r="AK37" s="1">
        <v>6203721.0</v>
      </c>
    </row>
    <row r="38" ht="15.75" customHeight="1">
      <c r="A38" s="2">
        <v>46057.0</v>
      </c>
      <c r="B38" s="2">
        <v>46057.0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H38" s="1" t="s">
        <v>43</v>
      </c>
      <c r="I38" s="1" t="s">
        <v>170</v>
      </c>
      <c r="J38" s="1" t="s">
        <v>171</v>
      </c>
      <c r="M38" s="1" t="s">
        <v>172</v>
      </c>
      <c r="O38" s="1" t="s">
        <v>173</v>
      </c>
      <c r="P38" s="1" t="s">
        <v>174</v>
      </c>
      <c r="Q38" s="1" t="s">
        <v>49</v>
      </c>
      <c r="R38" s="1" t="s">
        <v>50</v>
      </c>
      <c r="S38" s="2">
        <v>46054.0</v>
      </c>
      <c r="U38" s="1" t="s">
        <v>51</v>
      </c>
      <c r="X38" s="1" t="s">
        <v>52</v>
      </c>
      <c r="Y38" s="3">
        <v>0.0</v>
      </c>
      <c r="Z38" s="3">
        <v>175.0</v>
      </c>
      <c r="AA38" s="1">
        <v>1.0</v>
      </c>
      <c r="AB38" s="4">
        <v>1.0</v>
      </c>
      <c r="AC38" s="3">
        <v>175.0</v>
      </c>
      <c r="AD38" s="4">
        <v>0.0</v>
      </c>
      <c r="AE38" s="3">
        <v>0.0</v>
      </c>
      <c r="AF38" s="3">
        <v>175.0</v>
      </c>
      <c r="AK38" s="1">
        <v>6203676.0</v>
      </c>
    </row>
    <row r="39" ht="15.75" customHeight="1">
      <c r="A39" s="2">
        <v>46057.0</v>
      </c>
      <c r="B39" s="2">
        <v>46057.0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H39" s="1" t="s">
        <v>43</v>
      </c>
      <c r="I39" s="1" t="s">
        <v>175</v>
      </c>
      <c r="J39" s="1" t="s">
        <v>176</v>
      </c>
      <c r="M39" s="1" t="s">
        <v>177</v>
      </c>
      <c r="O39" s="1" t="s">
        <v>178</v>
      </c>
      <c r="P39" s="1" t="s">
        <v>179</v>
      </c>
      <c r="Q39" s="1" t="s">
        <v>49</v>
      </c>
      <c r="R39" s="1" t="s">
        <v>180</v>
      </c>
      <c r="S39" s="2">
        <v>46023.0</v>
      </c>
      <c r="U39" s="1" t="s">
        <v>51</v>
      </c>
      <c r="X39" s="1" t="s">
        <v>52</v>
      </c>
      <c r="Y39" s="3">
        <v>0.0</v>
      </c>
      <c r="Z39" s="3">
        <v>15.0</v>
      </c>
      <c r="AA39" s="1">
        <v>1.0</v>
      </c>
      <c r="AB39" s="4">
        <v>1.0</v>
      </c>
      <c r="AC39" s="3">
        <v>15.0</v>
      </c>
      <c r="AD39" s="4">
        <v>0.0</v>
      </c>
      <c r="AE39" s="3">
        <v>0.0</v>
      </c>
      <c r="AF39" s="3">
        <v>15.0</v>
      </c>
      <c r="AK39" s="1">
        <v>6202990.0</v>
      </c>
    </row>
    <row r="40" ht="15.75" customHeight="1">
      <c r="A40" s="2">
        <v>46057.0</v>
      </c>
      <c r="B40" s="2">
        <v>46057.0</v>
      </c>
      <c r="C40" s="1" t="s">
        <v>38</v>
      </c>
      <c r="D40" s="1" t="s">
        <v>39</v>
      </c>
      <c r="E40" s="1" t="s">
        <v>40</v>
      </c>
      <c r="F40" s="1" t="s">
        <v>41</v>
      </c>
      <c r="G40" s="1" t="s">
        <v>42</v>
      </c>
      <c r="H40" s="1" t="s">
        <v>43</v>
      </c>
      <c r="I40" s="1" t="s">
        <v>181</v>
      </c>
      <c r="J40" s="1" t="s">
        <v>182</v>
      </c>
      <c r="M40" s="1" t="s">
        <v>177</v>
      </c>
      <c r="O40" s="1" t="s">
        <v>178</v>
      </c>
      <c r="P40" s="1" t="s">
        <v>179</v>
      </c>
      <c r="Q40" s="1" t="s">
        <v>49</v>
      </c>
      <c r="R40" s="1" t="s">
        <v>180</v>
      </c>
      <c r="S40" s="2">
        <v>46023.0</v>
      </c>
      <c r="U40" s="1" t="s">
        <v>51</v>
      </c>
      <c r="X40" s="1" t="s">
        <v>52</v>
      </c>
      <c r="Y40" s="3">
        <v>0.0</v>
      </c>
      <c r="Z40" s="3">
        <v>15.0</v>
      </c>
      <c r="AA40" s="1">
        <v>1.0</v>
      </c>
      <c r="AB40" s="4">
        <v>1.0</v>
      </c>
      <c r="AC40" s="3">
        <v>15.0</v>
      </c>
      <c r="AD40" s="4">
        <v>0.0</v>
      </c>
      <c r="AE40" s="3">
        <v>0.0</v>
      </c>
      <c r="AF40" s="3">
        <v>15.0</v>
      </c>
      <c r="AK40" s="1">
        <v>6202998.0</v>
      </c>
    </row>
    <row r="41" ht="15.75" customHeight="1">
      <c r="A41" s="2">
        <v>46057.0</v>
      </c>
      <c r="B41" s="2">
        <v>46057.0</v>
      </c>
      <c r="C41" s="1" t="s">
        <v>38</v>
      </c>
      <c r="D41" s="1" t="s">
        <v>39</v>
      </c>
      <c r="E41" s="1" t="s">
        <v>40</v>
      </c>
      <c r="F41" s="1" t="s">
        <v>41</v>
      </c>
      <c r="G41" s="1" t="s">
        <v>42</v>
      </c>
      <c r="H41" s="1" t="s">
        <v>43</v>
      </c>
      <c r="I41" s="1" t="s">
        <v>183</v>
      </c>
      <c r="J41" s="1" t="s">
        <v>184</v>
      </c>
      <c r="M41" s="1" t="s">
        <v>46</v>
      </c>
      <c r="O41" s="1" t="s">
        <v>185</v>
      </c>
      <c r="P41" s="1" t="s">
        <v>186</v>
      </c>
      <c r="Q41" s="1" t="s">
        <v>49</v>
      </c>
      <c r="R41" s="1" t="s">
        <v>187</v>
      </c>
      <c r="S41" s="2">
        <v>46054.0</v>
      </c>
      <c r="U41" s="1" t="s">
        <v>51</v>
      </c>
      <c r="X41" s="1" t="s">
        <v>52</v>
      </c>
      <c r="Y41" s="3">
        <v>0.0</v>
      </c>
      <c r="Z41" s="3">
        <v>22.92</v>
      </c>
      <c r="AA41" s="1">
        <v>1.0</v>
      </c>
      <c r="AB41" s="4">
        <v>1.0</v>
      </c>
      <c r="AC41" s="3">
        <v>22.92</v>
      </c>
      <c r="AD41" s="4">
        <v>0.0</v>
      </c>
      <c r="AE41" s="3">
        <v>0.0</v>
      </c>
      <c r="AF41" s="3">
        <v>22.92</v>
      </c>
      <c r="AK41" s="1">
        <v>6203010.0</v>
      </c>
      <c r="AL41" s="1" t="s">
        <v>188</v>
      </c>
    </row>
    <row r="42" ht="15.75" customHeight="1">
      <c r="A42" s="2">
        <v>46057.0</v>
      </c>
      <c r="B42" s="2">
        <v>46057.0</v>
      </c>
      <c r="C42" s="1" t="s">
        <v>38</v>
      </c>
      <c r="D42" s="1" t="s">
        <v>39</v>
      </c>
      <c r="E42" s="1" t="s">
        <v>40</v>
      </c>
      <c r="F42" s="1" t="s">
        <v>41</v>
      </c>
      <c r="G42" s="1" t="s">
        <v>42</v>
      </c>
      <c r="H42" s="1" t="s">
        <v>43</v>
      </c>
      <c r="I42" s="1" t="s">
        <v>189</v>
      </c>
      <c r="J42" s="1" t="s">
        <v>190</v>
      </c>
      <c r="M42" s="1" t="s">
        <v>172</v>
      </c>
      <c r="O42" s="1" t="s">
        <v>173</v>
      </c>
      <c r="P42" s="1" t="s">
        <v>174</v>
      </c>
      <c r="Q42" s="1" t="s">
        <v>49</v>
      </c>
      <c r="R42" s="1" t="s">
        <v>187</v>
      </c>
      <c r="S42" s="2">
        <v>46054.0</v>
      </c>
      <c r="U42" s="1" t="s">
        <v>51</v>
      </c>
      <c r="X42" s="1" t="s">
        <v>52</v>
      </c>
      <c r="Y42" s="3">
        <v>0.0</v>
      </c>
      <c r="Z42" s="3">
        <v>22.92</v>
      </c>
      <c r="AA42" s="1">
        <v>1.0</v>
      </c>
      <c r="AB42" s="4">
        <v>1.0</v>
      </c>
      <c r="AC42" s="3">
        <v>22.92</v>
      </c>
      <c r="AD42" s="4">
        <v>0.0</v>
      </c>
      <c r="AE42" s="3">
        <v>0.0</v>
      </c>
      <c r="AF42" s="3">
        <v>22.92</v>
      </c>
      <c r="AK42" s="1">
        <v>6203011.0</v>
      </c>
      <c r="AL42" s="1" t="s">
        <v>188</v>
      </c>
    </row>
    <row r="43" ht="15.75" customHeight="1">
      <c r="A43" s="2">
        <v>46057.0</v>
      </c>
      <c r="B43" s="2">
        <v>46057.0</v>
      </c>
      <c r="C43" s="1" t="s">
        <v>38</v>
      </c>
      <c r="D43" s="1" t="s">
        <v>39</v>
      </c>
      <c r="E43" s="1" t="s">
        <v>40</v>
      </c>
      <c r="F43" s="1" t="s">
        <v>41</v>
      </c>
      <c r="G43" s="1" t="s">
        <v>42</v>
      </c>
      <c r="H43" s="1" t="s">
        <v>43</v>
      </c>
      <c r="I43" s="1" t="s">
        <v>191</v>
      </c>
      <c r="J43" s="1" t="s">
        <v>192</v>
      </c>
      <c r="M43" s="1" t="s">
        <v>46</v>
      </c>
      <c r="O43" s="1" t="s">
        <v>81</v>
      </c>
      <c r="P43" s="1" t="s">
        <v>82</v>
      </c>
      <c r="Q43" s="1" t="s">
        <v>49</v>
      </c>
      <c r="R43" s="1" t="s">
        <v>187</v>
      </c>
      <c r="S43" s="2">
        <v>46054.0</v>
      </c>
      <c r="U43" s="1" t="s">
        <v>51</v>
      </c>
      <c r="X43" s="1" t="s">
        <v>52</v>
      </c>
      <c r="Y43" s="3">
        <v>0.0</v>
      </c>
      <c r="Z43" s="3">
        <v>22.92</v>
      </c>
      <c r="AA43" s="1">
        <v>1.0</v>
      </c>
      <c r="AB43" s="4">
        <v>1.0</v>
      </c>
      <c r="AC43" s="3">
        <v>22.92</v>
      </c>
      <c r="AD43" s="4">
        <v>0.0</v>
      </c>
      <c r="AE43" s="3">
        <v>0.0</v>
      </c>
      <c r="AF43" s="3">
        <v>22.92</v>
      </c>
      <c r="AK43" s="1">
        <v>6203023.0</v>
      </c>
      <c r="AL43" s="1" t="s">
        <v>188</v>
      </c>
    </row>
    <row r="44" ht="15.75" customHeight="1">
      <c r="A44" s="2">
        <v>46057.0</v>
      </c>
      <c r="B44" s="2">
        <v>46057.0</v>
      </c>
      <c r="C44" s="1" t="s">
        <v>38</v>
      </c>
      <c r="D44" s="1" t="s">
        <v>39</v>
      </c>
      <c r="E44" s="1" t="s">
        <v>40</v>
      </c>
      <c r="F44" s="1" t="s">
        <v>41</v>
      </c>
      <c r="G44" s="1" t="s">
        <v>42</v>
      </c>
      <c r="H44" s="1" t="s">
        <v>43</v>
      </c>
      <c r="I44" s="1" t="s">
        <v>193</v>
      </c>
      <c r="J44" s="1" t="s">
        <v>194</v>
      </c>
      <c r="M44" s="1" t="s">
        <v>46</v>
      </c>
      <c r="O44" s="1" t="s">
        <v>81</v>
      </c>
      <c r="P44" s="1" t="s">
        <v>82</v>
      </c>
      <c r="Q44" s="1" t="s">
        <v>49</v>
      </c>
      <c r="R44" s="1" t="s">
        <v>187</v>
      </c>
      <c r="S44" s="2">
        <v>46054.0</v>
      </c>
      <c r="U44" s="1" t="s">
        <v>51</v>
      </c>
      <c r="X44" s="1" t="s">
        <v>52</v>
      </c>
      <c r="Y44" s="3">
        <v>0.0</v>
      </c>
      <c r="Z44" s="3">
        <v>22.92</v>
      </c>
      <c r="AA44" s="1">
        <v>1.0</v>
      </c>
      <c r="AB44" s="4">
        <v>1.0</v>
      </c>
      <c r="AC44" s="3">
        <v>22.92</v>
      </c>
      <c r="AD44" s="4">
        <v>0.0</v>
      </c>
      <c r="AE44" s="3">
        <v>0.0</v>
      </c>
      <c r="AF44" s="3">
        <v>22.92</v>
      </c>
      <c r="AK44" s="1">
        <v>6203025.0</v>
      </c>
      <c r="AL44" s="1" t="s">
        <v>188</v>
      </c>
    </row>
    <row r="45" ht="15.75" customHeight="1">
      <c r="A45" s="2">
        <v>46057.0</v>
      </c>
      <c r="B45" s="2">
        <v>46057.0</v>
      </c>
      <c r="C45" s="1" t="s">
        <v>38</v>
      </c>
      <c r="D45" s="1" t="s">
        <v>39</v>
      </c>
      <c r="E45" s="1" t="s">
        <v>40</v>
      </c>
      <c r="F45" s="1" t="s">
        <v>41</v>
      </c>
      <c r="G45" s="1" t="s">
        <v>42</v>
      </c>
      <c r="H45" s="1" t="s">
        <v>43</v>
      </c>
      <c r="I45" s="1" t="s">
        <v>195</v>
      </c>
      <c r="J45" s="1" t="s">
        <v>196</v>
      </c>
      <c r="M45" s="1" t="s">
        <v>177</v>
      </c>
      <c r="O45" s="1" t="s">
        <v>178</v>
      </c>
      <c r="P45" s="1" t="s">
        <v>179</v>
      </c>
      <c r="Q45" s="1" t="s">
        <v>49</v>
      </c>
      <c r="R45" s="1" t="s">
        <v>187</v>
      </c>
      <c r="S45" s="2">
        <v>46054.0</v>
      </c>
      <c r="U45" s="1" t="s">
        <v>51</v>
      </c>
      <c r="X45" s="1" t="s">
        <v>52</v>
      </c>
      <c r="Y45" s="3">
        <v>0.0</v>
      </c>
      <c r="Z45" s="3">
        <v>22.92</v>
      </c>
      <c r="AA45" s="1">
        <v>1.0</v>
      </c>
      <c r="AB45" s="4">
        <v>1.0</v>
      </c>
      <c r="AC45" s="3">
        <v>22.92</v>
      </c>
      <c r="AD45" s="4">
        <v>0.0</v>
      </c>
      <c r="AE45" s="3">
        <v>0.0</v>
      </c>
      <c r="AF45" s="3">
        <v>22.92</v>
      </c>
      <c r="AK45" s="1">
        <v>6203030.0</v>
      </c>
      <c r="AL45" s="1" t="s">
        <v>188</v>
      </c>
    </row>
    <row r="46" ht="15.75" customHeight="1">
      <c r="A46" s="2">
        <v>46057.0</v>
      </c>
      <c r="B46" s="2">
        <v>46057.0</v>
      </c>
      <c r="C46" s="1" t="s">
        <v>38</v>
      </c>
      <c r="D46" s="1" t="s">
        <v>39</v>
      </c>
      <c r="E46" s="1" t="s">
        <v>40</v>
      </c>
      <c r="F46" s="1" t="s">
        <v>41</v>
      </c>
      <c r="G46" s="1" t="s">
        <v>42</v>
      </c>
      <c r="H46" s="1" t="s">
        <v>43</v>
      </c>
      <c r="I46" s="1" t="s">
        <v>197</v>
      </c>
      <c r="J46" s="1" t="s">
        <v>198</v>
      </c>
      <c r="M46" s="1" t="s">
        <v>46</v>
      </c>
      <c r="O46" s="1" t="s">
        <v>81</v>
      </c>
      <c r="P46" s="1" t="s">
        <v>82</v>
      </c>
      <c r="Q46" s="1" t="s">
        <v>49</v>
      </c>
      <c r="R46" s="1" t="s">
        <v>187</v>
      </c>
      <c r="S46" s="2">
        <v>46054.0</v>
      </c>
      <c r="U46" s="1" t="s">
        <v>51</v>
      </c>
      <c r="X46" s="1" t="s">
        <v>52</v>
      </c>
      <c r="Y46" s="3">
        <v>0.0</v>
      </c>
      <c r="Z46" s="3">
        <v>22.92</v>
      </c>
      <c r="AA46" s="1">
        <v>1.0</v>
      </c>
      <c r="AB46" s="4">
        <v>1.0</v>
      </c>
      <c r="AC46" s="3">
        <v>22.92</v>
      </c>
      <c r="AD46" s="4">
        <v>0.0</v>
      </c>
      <c r="AE46" s="3">
        <v>0.0</v>
      </c>
      <c r="AF46" s="3">
        <v>22.92</v>
      </c>
      <c r="AK46" s="1">
        <v>6203032.0</v>
      </c>
      <c r="AL46" s="1" t="s">
        <v>188</v>
      </c>
    </row>
    <row r="47" ht="15.75" customHeight="1">
      <c r="A47" s="2">
        <v>46057.0</v>
      </c>
      <c r="B47" s="2">
        <v>46057.0</v>
      </c>
      <c r="C47" s="1" t="s">
        <v>38</v>
      </c>
      <c r="D47" s="1" t="s">
        <v>39</v>
      </c>
      <c r="E47" s="1" t="s">
        <v>40</v>
      </c>
      <c r="F47" s="1" t="s">
        <v>41</v>
      </c>
      <c r="G47" s="1" t="s">
        <v>42</v>
      </c>
      <c r="H47" s="1" t="s">
        <v>43</v>
      </c>
      <c r="I47" s="1" t="s">
        <v>199</v>
      </c>
      <c r="J47" s="1" t="s">
        <v>200</v>
      </c>
      <c r="M47" s="1" t="s">
        <v>46</v>
      </c>
      <c r="O47" s="1" t="s">
        <v>81</v>
      </c>
      <c r="P47" s="1" t="s">
        <v>82</v>
      </c>
      <c r="Q47" s="1" t="s">
        <v>49</v>
      </c>
      <c r="R47" s="1" t="s">
        <v>187</v>
      </c>
      <c r="S47" s="2">
        <v>46054.0</v>
      </c>
      <c r="U47" s="1" t="s">
        <v>51</v>
      </c>
      <c r="X47" s="1" t="s">
        <v>52</v>
      </c>
      <c r="Y47" s="3">
        <v>0.0</v>
      </c>
      <c r="Z47" s="3">
        <v>22.92</v>
      </c>
      <c r="AA47" s="1">
        <v>1.0</v>
      </c>
      <c r="AB47" s="4">
        <v>1.0</v>
      </c>
      <c r="AC47" s="3">
        <v>22.92</v>
      </c>
      <c r="AD47" s="4">
        <v>0.0</v>
      </c>
      <c r="AE47" s="3">
        <v>0.0</v>
      </c>
      <c r="AF47" s="3">
        <v>22.92</v>
      </c>
      <c r="AK47" s="1">
        <v>6203047.0</v>
      </c>
      <c r="AL47" s="1" t="s">
        <v>188</v>
      </c>
    </row>
    <row r="48" ht="15.75" customHeight="1">
      <c r="A48" s="2">
        <v>46057.0</v>
      </c>
      <c r="B48" s="2">
        <v>46057.0</v>
      </c>
      <c r="C48" s="1" t="s">
        <v>38</v>
      </c>
      <c r="D48" s="1" t="s">
        <v>39</v>
      </c>
      <c r="E48" s="1" t="s">
        <v>40</v>
      </c>
      <c r="F48" s="1" t="s">
        <v>41</v>
      </c>
      <c r="G48" s="1" t="s">
        <v>42</v>
      </c>
      <c r="H48" s="1" t="s">
        <v>43</v>
      </c>
      <c r="I48" s="1" t="s">
        <v>201</v>
      </c>
      <c r="J48" s="1" t="s">
        <v>202</v>
      </c>
      <c r="M48" s="1" t="s">
        <v>46</v>
      </c>
      <c r="O48" s="1" t="s">
        <v>203</v>
      </c>
      <c r="P48" s="1" t="s">
        <v>204</v>
      </c>
      <c r="Q48" s="1" t="s">
        <v>49</v>
      </c>
      <c r="R48" s="1" t="s">
        <v>180</v>
      </c>
      <c r="S48" s="2">
        <v>46023.0</v>
      </c>
      <c r="U48" s="1" t="s">
        <v>51</v>
      </c>
      <c r="X48" s="1" t="s">
        <v>52</v>
      </c>
      <c r="Y48" s="3">
        <v>0.0</v>
      </c>
      <c r="Z48" s="3">
        <v>15.0</v>
      </c>
      <c r="AA48" s="1">
        <v>1.0</v>
      </c>
      <c r="AB48" s="4">
        <v>1.0</v>
      </c>
      <c r="AC48" s="3">
        <v>15.0</v>
      </c>
      <c r="AD48" s="4">
        <v>0.0</v>
      </c>
      <c r="AE48" s="3">
        <v>0.0</v>
      </c>
      <c r="AF48" s="3">
        <v>15.0</v>
      </c>
      <c r="AK48" s="1">
        <v>6203057.0</v>
      </c>
    </row>
    <row r="49" ht="15.75" customHeight="1">
      <c r="A49" s="2">
        <v>46057.0</v>
      </c>
      <c r="B49" s="2">
        <v>46057.0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43</v>
      </c>
      <c r="I49" s="1" t="s">
        <v>205</v>
      </c>
      <c r="J49" s="1" t="s">
        <v>206</v>
      </c>
      <c r="M49" s="1" t="s">
        <v>177</v>
      </c>
      <c r="O49" s="1" t="s">
        <v>207</v>
      </c>
      <c r="P49" s="1" t="s">
        <v>206</v>
      </c>
      <c r="Q49" s="1" t="s">
        <v>49</v>
      </c>
      <c r="R49" s="1" t="s">
        <v>180</v>
      </c>
      <c r="S49" s="2">
        <v>46023.0</v>
      </c>
      <c r="U49" s="1" t="s">
        <v>51</v>
      </c>
      <c r="X49" s="1" t="s">
        <v>52</v>
      </c>
      <c r="Y49" s="3">
        <v>0.0</v>
      </c>
      <c r="Z49" s="3">
        <v>15.0</v>
      </c>
      <c r="AA49" s="1">
        <v>1.0</v>
      </c>
      <c r="AB49" s="4">
        <v>1.0</v>
      </c>
      <c r="AC49" s="3">
        <v>15.0</v>
      </c>
      <c r="AD49" s="4">
        <v>0.0</v>
      </c>
      <c r="AE49" s="3">
        <v>0.0</v>
      </c>
      <c r="AF49" s="3">
        <v>15.0</v>
      </c>
      <c r="AK49" s="1">
        <v>6203062.0</v>
      </c>
    </row>
    <row r="50" ht="15.75" customHeight="1">
      <c r="A50" s="2">
        <v>46057.0</v>
      </c>
      <c r="B50" s="2">
        <v>46057.0</v>
      </c>
      <c r="C50" s="1" t="s">
        <v>38</v>
      </c>
      <c r="D50" s="1" t="s">
        <v>39</v>
      </c>
      <c r="E50" s="1" t="s">
        <v>40</v>
      </c>
      <c r="F50" s="1" t="s">
        <v>41</v>
      </c>
      <c r="G50" s="1" t="s">
        <v>42</v>
      </c>
      <c r="H50" s="1" t="s">
        <v>43</v>
      </c>
      <c r="I50" s="1" t="s">
        <v>208</v>
      </c>
      <c r="J50" s="1" t="s">
        <v>209</v>
      </c>
      <c r="M50" s="1" t="s">
        <v>172</v>
      </c>
      <c r="O50" s="1" t="s">
        <v>210</v>
      </c>
      <c r="P50" s="1" t="s">
        <v>211</v>
      </c>
      <c r="Q50" s="1" t="s">
        <v>49</v>
      </c>
      <c r="R50" s="1" t="s">
        <v>187</v>
      </c>
      <c r="S50" s="2">
        <v>46054.0</v>
      </c>
      <c r="U50" s="1" t="s">
        <v>51</v>
      </c>
      <c r="X50" s="1" t="s">
        <v>52</v>
      </c>
      <c r="Y50" s="3">
        <v>0.0</v>
      </c>
      <c r="Z50" s="3">
        <v>22.92</v>
      </c>
      <c r="AA50" s="1">
        <v>1.0</v>
      </c>
      <c r="AB50" s="4">
        <v>1.0</v>
      </c>
      <c r="AC50" s="3">
        <v>22.92</v>
      </c>
      <c r="AD50" s="4">
        <v>0.0</v>
      </c>
      <c r="AE50" s="3">
        <v>0.0</v>
      </c>
      <c r="AF50" s="3">
        <v>22.92</v>
      </c>
      <c r="AK50" s="1">
        <v>6203069.0</v>
      </c>
      <c r="AL50" s="1" t="s">
        <v>188</v>
      </c>
    </row>
    <row r="51" ht="15.75" customHeight="1">
      <c r="A51" s="2">
        <v>46057.0</v>
      </c>
      <c r="B51" s="2">
        <v>46057.0</v>
      </c>
      <c r="C51" s="1" t="s">
        <v>38</v>
      </c>
      <c r="D51" s="1" t="s">
        <v>39</v>
      </c>
      <c r="E51" s="1" t="s">
        <v>40</v>
      </c>
      <c r="F51" s="1" t="s">
        <v>41</v>
      </c>
      <c r="G51" s="1" t="s">
        <v>42</v>
      </c>
      <c r="H51" s="1" t="s">
        <v>43</v>
      </c>
      <c r="I51" s="1" t="s">
        <v>212</v>
      </c>
      <c r="J51" s="1" t="s">
        <v>213</v>
      </c>
      <c r="M51" s="1" t="s">
        <v>46</v>
      </c>
      <c r="O51" s="1" t="s">
        <v>214</v>
      </c>
      <c r="P51" s="1" t="s">
        <v>215</v>
      </c>
      <c r="Q51" s="1" t="s">
        <v>49</v>
      </c>
      <c r="R51" s="1" t="s">
        <v>187</v>
      </c>
      <c r="S51" s="2">
        <v>46082.0</v>
      </c>
      <c r="U51" s="1" t="s">
        <v>51</v>
      </c>
      <c r="X51" s="1" t="s">
        <v>52</v>
      </c>
      <c r="Y51" s="3">
        <v>0.0</v>
      </c>
      <c r="Z51" s="3">
        <v>20.83</v>
      </c>
      <c r="AA51" s="1">
        <v>1.0</v>
      </c>
      <c r="AB51" s="4">
        <v>1.0</v>
      </c>
      <c r="AC51" s="3">
        <v>20.83</v>
      </c>
      <c r="AD51" s="4">
        <v>0.0</v>
      </c>
      <c r="AE51" s="3">
        <v>0.0</v>
      </c>
      <c r="AF51" s="3">
        <v>20.83</v>
      </c>
      <c r="AK51" s="1">
        <v>6203071.0</v>
      </c>
      <c r="AL51" s="1" t="s">
        <v>216</v>
      </c>
    </row>
    <row r="52" ht="15.75" customHeight="1">
      <c r="A52" s="2">
        <v>46057.0</v>
      </c>
      <c r="B52" s="2">
        <v>46057.0</v>
      </c>
      <c r="C52" s="1" t="s">
        <v>38</v>
      </c>
      <c r="D52" s="1" t="s">
        <v>39</v>
      </c>
      <c r="E52" s="1" t="s">
        <v>40</v>
      </c>
      <c r="F52" s="1" t="s">
        <v>41</v>
      </c>
      <c r="G52" s="1" t="s">
        <v>42</v>
      </c>
      <c r="H52" s="1" t="s">
        <v>43</v>
      </c>
      <c r="I52" s="1" t="s">
        <v>217</v>
      </c>
      <c r="J52" s="1" t="s">
        <v>218</v>
      </c>
      <c r="M52" s="1" t="s">
        <v>177</v>
      </c>
      <c r="O52" s="1" t="s">
        <v>219</v>
      </c>
      <c r="P52" s="1" t="s">
        <v>220</v>
      </c>
      <c r="Q52" s="1" t="s">
        <v>49</v>
      </c>
      <c r="R52" s="1" t="s">
        <v>187</v>
      </c>
      <c r="S52" s="2">
        <v>46054.0</v>
      </c>
      <c r="U52" s="1" t="s">
        <v>51</v>
      </c>
      <c r="X52" s="1" t="s">
        <v>52</v>
      </c>
      <c r="Y52" s="3">
        <v>0.0</v>
      </c>
      <c r="Z52" s="3">
        <v>22.92</v>
      </c>
      <c r="AA52" s="1">
        <v>1.0</v>
      </c>
      <c r="AB52" s="4">
        <v>1.0</v>
      </c>
      <c r="AC52" s="3">
        <v>22.92</v>
      </c>
      <c r="AD52" s="4">
        <v>0.0</v>
      </c>
      <c r="AE52" s="3">
        <v>0.0</v>
      </c>
      <c r="AF52" s="3">
        <v>22.92</v>
      </c>
      <c r="AK52" s="1">
        <v>6203074.0</v>
      </c>
      <c r="AL52" s="1" t="s">
        <v>188</v>
      </c>
    </row>
    <row r="53" ht="15.75" customHeight="1">
      <c r="A53" s="2">
        <v>46057.0</v>
      </c>
      <c r="B53" s="2">
        <v>46057.0</v>
      </c>
      <c r="C53" s="1" t="s">
        <v>38</v>
      </c>
      <c r="D53" s="1" t="s">
        <v>39</v>
      </c>
      <c r="E53" s="1" t="s">
        <v>40</v>
      </c>
      <c r="F53" s="1" t="s">
        <v>41</v>
      </c>
      <c r="G53" s="1" t="s">
        <v>42</v>
      </c>
      <c r="H53" s="1" t="s">
        <v>43</v>
      </c>
      <c r="I53" s="1" t="s">
        <v>221</v>
      </c>
      <c r="J53" s="1" t="s">
        <v>222</v>
      </c>
      <c r="M53" s="1" t="s">
        <v>223</v>
      </c>
      <c r="O53" s="1" t="s">
        <v>224</v>
      </c>
      <c r="P53" s="1" t="s">
        <v>225</v>
      </c>
      <c r="Q53" s="1" t="s">
        <v>49</v>
      </c>
      <c r="R53" s="1" t="s">
        <v>187</v>
      </c>
      <c r="S53" s="2">
        <v>46054.0</v>
      </c>
      <c r="U53" s="1" t="s">
        <v>51</v>
      </c>
      <c r="X53" s="1" t="s">
        <v>52</v>
      </c>
      <c r="Y53" s="3">
        <v>0.0</v>
      </c>
      <c r="Z53" s="3">
        <v>22.92</v>
      </c>
      <c r="AA53" s="1">
        <v>1.0</v>
      </c>
      <c r="AB53" s="4">
        <v>1.0</v>
      </c>
      <c r="AC53" s="3">
        <v>22.92</v>
      </c>
      <c r="AD53" s="4">
        <v>0.0</v>
      </c>
      <c r="AE53" s="3">
        <v>0.0</v>
      </c>
      <c r="AF53" s="3">
        <v>22.92</v>
      </c>
      <c r="AK53" s="1">
        <v>6203076.0</v>
      </c>
      <c r="AL53" s="1" t="s">
        <v>188</v>
      </c>
    </row>
    <row r="54" ht="15.75" customHeight="1">
      <c r="A54" s="2">
        <v>46057.0</v>
      </c>
      <c r="B54" s="2">
        <v>46057.0</v>
      </c>
      <c r="C54" s="1" t="s">
        <v>38</v>
      </c>
      <c r="D54" s="1" t="s">
        <v>39</v>
      </c>
      <c r="E54" s="1" t="s">
        <v>40</v>
      </c>
      <c r="F54" s="1" t="s">
        <v>41</v>
      </c>
      <c r="G54" s="1" t="s">
        <v>42</v>
      </c>
      <c r="H54" s="1" t="s">
        <v>43</v>
      </c>
      <c r="I54" s="1" t="s">
        <v>226</v>
      </c>
      <c r="J54" s="1" t="s">
        <v>227</v>
      </c>
      <c r="M54" s="1" t="s">
        <v>177</v>
      </c>
      <c r="O54" s="1" t="s">
        <v>228</v>
      </c>
      <c r="P54" s="1" t="s">
        <v>229</v>
      </c>
      <c r="Q54" s="1" t="s">
        <v>49</v>
      </c>
      <c r="R54" s="1" t="s">
        <v>180</v>
      </c>
      <c r="S54" s="2">
        <v>46023.0</v>
      </c>
      <c r="U54" s="1" t="s">
        <v>51</v>
      </c>
      <c r="X54" s="1" t="s">
        <v>52</v>
      </c>
      <c r="Y54" s="3">
        <v>0.0</v>
      </c>
      <c r="Z54" s="3">
        <v>15.0</v>
      </c>
      <c r="AA54" s="1">
        <v>1.0</v>
      </c>
      <c r="AB54" s="4">
        <v>1.0</v>
      </c>
      <c r="AC54" s="3">
        <v>15.0</v>
      </c>
      <c r="AD54" s="4">
        <v>0.0</v>
      </c>
      <c r="AE54" s="3">
        <v>0.0</v>
      </c>
      <c r="AF54" s="3">
        <v>15.0</v>
      </c>
      <c r="AK54" s="1">
        <v>6203080.0</v>
      </c>
    </row>
    <row r="55" ht="15.75" customHeight="1">
      <c r="A55" s="2">
        <v>46057.0</v>
      </c>
      <c r="B55" s="2">
        <v>46057.0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H55" s="1" t="s">
        <v>43</v>
      </c>
      <c r="I55" s="1" t="s">
        <v>230</v>
      </c>
      <c r="J55" s="1" t="s">
        <v>231</v>
      </c>
      <c r="M55" s="1" t="s">
        <v>177</v>
      </c>
      <c r="O55" s="1" t="s">
        <v>232</v>
      </c>
      <c r="P55" s="1" t="s">
        <v>233</v>
      </c>
      <c r="Q55" s="1" t="s">
        <v>49</v>
      </c>
      <c r="R55" s="1" t="s">
        <v>187</v>
      </c>
      <c r="S55" s="2">
        <v>46054.0</v>
      </c>
      <c r="U55" s="1" t="s">
        <v>51</v>
      </c>
      <c r="X55" s="1" t="s">
        <v>52</v>
      </c>
      <c r="Y55" s="3">
        <v>0.0</v>
      </c>
      <c r="Z55" s="3">
        <v>22.92</v>
      </c>
      <c r="AA55" s="1">
        <v>1.0</v>
      </c>
      <c r="AB55" s="4">
        <v>1.0</v>
      </c>
      <c r="AC55" s="3">
        <v>22.92</v>
      </c>
      <c r="AD55" s="4">
        <v>0.0</v>
      </c>
      <c r="AE55" s="3">
        <v>0.0</v>
      </c>
      <c r="AF55" s="3">
        <v>22.92</v>
      </c>
      <c r="AK55" s="1">
        <v>6203088.0</v>
      </c>
      <c r="AL55" s="1" t="s">
        <v>188</v>
      </c>
    </row>
    <row r="56" ht="15.75" customHeight="1">
      <c r="A56" s="2">
        <v>46057.0</v>
      </c>
      <c r="B56" s="2">
        <v>46057.0</v>
      </c>
      <c r="C56" s="1" t="s">
        <v>38</v>
      </c>
      <c r="D56" s="1" t="s">
        <v>39</v>
      </c>
      <c r="E56" s="1" t="s">
        <v>40</v>
      </c>
      <c r="F56" s="1" t="s">
        <v>41</v>
      </c>
      <c r="G56" s="1" t="s">
        <v>42</v>
      </c>
      <c r="H56" s="1" t="s">
        <v>43</v>
      </c>
      <c r="I56" s="1" t="s">
        <v>234</v>
      </c>
      <c r="J56" s="1" t="s">
        <v>235</v>
      </c>
      <c r="M56" s="1" t="s">
        <v>177</v>
      </c>
      <c r="O56" s="1" t="s">
        <v>178</v>
      </c>
      <c r="P56" s="1" t="s">
        <v>179</v>
      </c>
      <c r="Q56" s="1" t="s">
        <v>49</v>
      </c>
      <c r="R56" s="1" t="s">
        <v>187</v>
      </c>
      <c r="S56" s="2">
        <v>46054.0</v>
      </c>
      <c r="U56" s="1" t="s">
        <v>51</v>
      </c>
      <c r="X56" s="1" t="s">
        <v>52</v>
      </c>
      <c r="Y56" s="3">
        <v>0.0</v>
      </c>
      <c r="Z56" s="3">
        <v>22.92</v>
      </c>
      <c r="AA56" s="1">
        <v>1.0</v>
      </c>
      <c r="AB56" s="4">
        <v>1.0</v>
      </c>
      <c r="AC56" s="3">
        <v>22.92</v>
      </c>
      <c r="AD56" s="4">
        <v>0.0</v>
      </c>
      <c r="AE56" s="3">
        <v>0.0</v>
      </c>
      <c r="AF56" s="3">
        <v>22.92</v>
      </c>
      <c r="AK56" s="1">
        <v>6203091.0</v>
      </c>
      <c r="AL56" s="1" t="s">
        <v>188</v>
      </c>
    </row>
    <row r="57" ht="15.75" customHeight="1">
      <c r="A57" s="2">
        <v>46057.0</v>
      </c>
      <c r="B57" s="2">
        <v>46057.0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H57" s="1" t="s">
        <v>43</v>
      </c>
      <c r="I57" s="1" t="s">
        <v>236</v>
      </c>
      <c r="J57" s="1" t="s">
        <v>237</v>
      </c>
      <c r="M57" s="1" t="s">
        <v>172</v>
      </c>
      <c r="O57" s="1" t="s">
        <v>173</v>
      </c>
      <c r="P57" s="1" t="s">
        <v>174</v>
      </c>
      <c r="Q57" s="1" t="s">
        <v>49</v>
      </c>
      <c r="R57" s="1" t="s">
        <v>187</v>
      </c>
      <c r="S57" s="2">
        <v>46054.0</v>
      </c>
      <c r="U57" s="1" t="s">
        <v>51</v>
      </c>
      <c r="X57" s="1" t="s">
        <v>52</v>
      </c>
      <c r="Y57" s="3">
        <v>0.0</v>
      </c>
      <c r="Z57" s="3">
        <v>22.92</v>
      </c>
      <c r="AA57" s="1">
        <v>1.0</v>
      </c>
      <c r="AB57" s="4">
        <v>1.0</v>
      </c>
      <c r="AC57" s="3">
        <v>22.92</v>
      </c>
      <c r="AD57" s="4">
        <v>0.0</v>
      </c>
      <c r="AE57" s="3">
        <v>0.0</v>
      </c>
      <c r="AF57" s="3">
        <v>22.92</v>
      </c>
      <c r="AK57" s="1">
        <v>6203099.0</v>
      </c>
      <c r="AL57" s="1" t="s">
        <v>188</v>
      </c>
    </row>
    <row r="58" ht="15.75" customHeight="1">
      <c r="A58" s="2">
        <v>46057.0</v>
      </c>
      <c r="B58" s="2">
        <v>46057.0</v>
      </c>
      <c r="C58" s="1" t="s">
        <v>38</v>
      </c>
      <c r="D58" s="1" t="s">
        <v>39</v>
      </c>
      <c r="E58" s="1" t="s">
        <v>40</v>
      </c>
      <c r="F58" s="1" t="s">
        <v>41</v>
      </c>
      <c r="G58" s="1" t="s">
        <v>42</v>
      </c>
      <c r="H58" s="1" t="s">
        <v>43</v>
      </c>
      <c r="I58" s="1" t="s">
        <v>238</v>
      </c>
      <c r="J58" s="1" t="s">
        <v>239</v>
      </c>
      <c r="M58" s="1" t="s">
        <v>46</v>
      </c>
      <c r="O58" s="1" t="s">
        <v>214</v>
      </c>
      <c r="P58" s="1" t="s">
        <v>215</v>
      </c>
      <c r="Q58" s="1" t="s">
        <v>49</v>
      </c>
      <c r="R58" s="1" t="s">
        <v>187</v>
      </c>
      <c r="S58" s="2">
        <v>46054.0</v>
      </c>
      <c r="U58" s="1" t="s">
        <v>51</v>
      </c>
      <c r="X58" s="1" t="s">
        <v>52</v>
      </c>
      <c r="Y58" s="3">
        <v>0.0</v>
      </c>
      <c r="Z58" s="3">
        <v>22.92</v>
      </c>
      <c r="AA58" s="1">
        <v>1.0</v>
      </c>
      <c r="AB58" s="4">
        <v>1.0</v>
      </c>
      <c r="AC58" s="3">
        <v>22.92</v>
      </c>
      <c r="AD58" s="4">
        <v>0.0</v>
      </c>
      <c r="AE58" s="3">
        <v>0.0</v>
      </c>
      <c r="AF58" s="3">
        <v>22.92</v>
      </c>
      <c r="AK58" s="1">
        <v>6203100.0</v>
      </c>
      <c r="AL58" s="1" t="s">
        <v>188</v>
      </c>
    </row>
    <row r="59" ht="15.75" customHeight="1">
      <c r="A59" s="2">
        <v>46057.0</v>
      </c>
      <c r="B59" s="2">
        <v>46057.0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H59" s="1" t="s">
        <v>43</v>
      </c>
      <c r="I59" s="1" t="s">
        <v>240</v>
      </c>
      <c r="J59" s="1" t="s">
        <v>241</v>
      </c>
      <c r="M59" s="1" t="s">
        <v>46</v>
      </c>
      <c r="O59" s="1" t="s">
        <v>214</v>
      </c>
      <c r="P59" s="1" t="s">
        <v>215</v>
      </c>
      <c r="Q59" s="1" t="s">
        <v>49</v>
      </c>
      <c r="R59" s="1" t="s">
        <v>187</v>
      </c>
      <c r="S59" s="2">
        <v>46054.0</v>
      </c>
      <c r="U59" s="1" t="s">
        <v>51</v>
      </c>
      <c r="X59" s="1" t="s">
        <v>52</v>
      </c>
      <c r="Y59" s="3">
        <v>0.0</v>
      </c>
      <c r="Z59" s="3">
        <v>22.92</v>
      </c>
      <c r="AA59" s="1">
        <v>1.0</v>
      </c>
      <c r="AB59" s="4">
        <v>1.0</v>
      </c>
      <c r="AC59" s="3">
        <v>22.92</v>
      </c>
      <c r="AD59" s="4">
        <v>0.0</v>
      </c>
      <c r="AE59" s="3">
        <v>0.0</v>
      </c>
      <c r="AF59" s="3">
        <v>22.92</v>
      </c>
      <c r="AK59" s="1">
        <v>6203109.0</v>
      </c>
      <c r="AL59" s="1" t="s">
        <v>188</v>
      </c>
    </row>
    <row r="60" ht="15.75" customHeight="1">
      <c r="A60" s="2">
        <v>46057.0</v>
      </c>
      <c r="B60" s="2">
        <v>46057.0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H60" s="1" t="s">
        <v>43</v>
      </c>
      <c r="I60" s="1" t="s">
        <v>242</v>
      </c>
      <c r="J60" s="1" t="s">
        <v>243</v>
      </c>
      <c r="M60" s="1" t="s">
        <v>172</v>
      </c>
      <c r="O60" s="1" t="s">
        <v>210</v>
      </c>
      <c r="P60" s="1" t="s">
        <v>211</v>
      </c>
      <c r="Q60" s="1" t="s">
        <v>49</v>
      </c>
      <c r="R60" s="1" t="s">
        <v>187</v>
      </c>
      <c r="S60" s="2">
        <v>46054.0</v>
      </c>
      <c r="U60" s="1" t="s">
        <v>51</v>
      </c>
      <c r="X60" s="1" t="s">
        <v>52</v>
      </c>
      <c r="Y60" s="3">
        <v>0.0</v>
      </c>
      <c r="Z60" s="3">
        <v>22.92</v>
      </c>
      <c r="AA60" s="1">
        <v>1.0</v>
      </c>
      <c r="AB60" s="4">
        <v>1.0</v>
      </c>
      <c r="AC60" s="3">
        <v>22.92</v>
      </c>
      <c r="AD60" s="4">
        <v>0.0</v>
      </c>
      <c r="AE60" s="3">
        <v>0.0</v>
      </c>
      <c r="AF60" s="3">
        <v>22.92</v>
      </c>
      <c r="AK60" s="1">
        <v>6203124.0</v>
      </c>
      <c r="AL60" s="1" t="s">
        <v>188</v>
      </c>
    </row>
    <row r="61" ht="15.75" customHeight="1">
      <c r="A61" s="2">
        <v>46057.0</v>
      </c>
      <c r="B61" s="2">
        <v>46057.0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H61" s="1" t="s">
        <v>43</v>
      </c>
      <c r="I61" s="1" t="s">
        <v>244</v>
      </c>
      <c r="J61" s="1" t="s">
        <v>245</v>
      </c>
      <c r="M61" s="1" t="s">
        <v>46</v>
      </c>
      <c r="O61" s="1" t="s">
        <v>214</v>
      </c>
      <c r="P61" s="1" t="s">
        <v>215</v>
      </c>
      <c r="Q61" s="1" t="s">
        <v>49</v>
      </c>
      <c r="R61" s="1" t="s">
        <v>187</v>
      </c>
      <c r="S61" s="2">
        <v>46054.0</v>
      </c>
      <c r="U61" s="1" t="s">
        <v>51</v>
      </c>
      <c r="X61" s="1" t="s">
        <v>52</v>
      </c>
      <c r="Y61" s="3">
        <v>0.0</v>
      </c>
      <c r="Z61" s="3">
        <v>22.92</v>
      </c>
      <c r="AA61" s="1">
        <v>1.0</v>
      </c>
      <c r="AB61" s="4">
        <v>1.0</v>
      </c>
      <c r="AC61" s="3">
        <v>22.92</v>
      </c>
      <c r="AD61" s="4">
        <v>0.0</v>
      </c>
      <c r="AE61" s="3">
        <v>0.0</v>
      </c>
      <c r="AF61" s="3">
        <v>22.92</v>
      </c>
      <c r="AK61" s="1">
        <v>6203134.0</v>
      </c>
      <c r="AL61" s="1" t="s">
        <v>188</v>
      </c>
    </row>
    <row r="62" ht="15.75" customHeight="1">
      <c r="A62" s="2">
        <v>46057.0</v>
      </c>
      <c r="B62" s="2">
        <v>46057.0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H62" s="1" t="s">
        <v>43</v>
      </c>
      <c r="I62" s="1" t="s">
        <v>246</v>
      </c>
      <c r="J62" s="1" t="s">
        <v>247</v>
      </c>
      <c r="M62" s="1" t="s">
        <v>46</v>
      </c>
      <c r="O62" s="1" t="s">
        <v>203</v>
      </c>
      <c r="P62" s="1" t="s">
        <v>204</v>
      </c>
      <c r="Q62" s="1" t="s">
        <v>49</v>
      </c>
      <c r="R62" s="1" t="s">
        <v>187</v>
      </c>
      <c r="S62" s="2">
        <v>46054.0</v>
      </c>
      <c r="U62" s="1" t="s">
        <v>51</v>
      </c>
      <c r="X62" s="1" t="s">
        <v>52</v>
      </c>
      <c r="Y62" s="3">
        <v>0.0</v>
      </c>
      <c r="Z62" s="3">
        <v>22.92</v>
      </c>
      <c r="AA62" s="1">
        <v>1.0</v>
      </c>
      <c r="AB62" s="4">
        <v>1.0</v>
      </c>
      <c r="AC62" s="3">
        <v>22.92</v>
      </c>
      <c r="AD62" s="4">
        <v>0.0</v>
      </c>
      <c r="AE62" s="3">
        <v>0.0</v>
      </c>
      <c r="AF62" s="3">
        <v>22.92</v>
      </c>
      <c r="AK62" s="1">
        <v>6203135.0</v>
      </c>
      <c r="AL62" s="1" t="s">
        <v>188</v>
      </c>
    </row>
    <row r="63" ht="15.75" customHeight="1">
      <c r="A63" s="2">
        <v>46057.0</v>
      </c>
      <c r="B63" s="2">
        <v>46057.0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H63" s="1" t="s">
        <v>43</v>
      </c>
      <c r="I63" s="1" t="s">
        <v>248</v>
      </c>
      <c r="J63" s="1" t="s">
        <v>249</v>
      </c>
      <c r="M63" s="1" t="s">
        <v>46</v>
      </c>
      <c r="O63" s="1" t="s">
        <v>129</v>
      </c>
      <c r="P63" s="1" t="s">
        <v>130</v>
      </c>
      <c r="Q63" s="1" t="s">
        <v>49</v>
      </c>
      <c r="R63" s="1" t="s">
        <v>187</v>
      </c>
      <c r="S63" s="2">
        <v>46054.0</v>
      </c>
      <c r="U63" s="1" t="s">
        <v>51</v>
      </c>
      <c r="X63" s="1" t="s">
        <v>52</v>
      </c>
      <c r="Y63" s="3">
        <v>0.0</v>
      </c>
      <c r="Z63" s="3">
        <v>22.92</v>
      </c>
      <c r="AA63" s="1">
        <v>1.0</v>
      </c>
      <c r="AB63" s="4">
        <v>1.0</v>
      </c>
      <c r="AC63" s="3">
        <v>22.92</v>
      </c>
      <c r="AD63" s="4">
        <v>0.0</v>
      </c>
      <c r="AE63" s="3">
        <v>0.0</v>
      </c>
      <c r="AF63" s="3">
        <v>22.92</v>
      </c>
      <c r="AK63" s="1">
        <v>6203137.0</v>
      </c>
      <c r="AL63" s="1" t="s">
        <v>188</v>
      </c>
    </row>
    <row r="64" ht="15.75" customHeight="1">
      <c r="A64" s="2">
        <v>46057.0</v>
      </c>
      <c r="B64" s="2">
        <v>46057.0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H64" s="1" t="s">
        <v>43</v>
      </c>
      <c r="I64" s="1" t="s">
        <v>250</v>
      </c>
      <c r="J64" s="1" t="s">
        <v>251</v>
      </c>
      <c r="M64" s="1" t="s">
        <v>177</v>
      </c>
      <c r="O64" s="1" t="s">
        <v>207</v>
      </c>
      <c r="P64" s="1" t="s">
        <v>206</v>
      </c>
      <c r="Q64" s="1" t="s">
        <v>49</v>
      </c>
      <c r="R64" s="1" t="s">
        <v>187</v>
      </c>
      <c r="S64" s="2">
        <v>46054.0</v>
      </c>
      <c r="U64" s="1" t="s">
        <v>51</v>
      </c>
      <c r="X64" s="1" t="s">
        <v>52</v>
      </c>
      <c r="Y64" s="3">
        <v>0.0</v>
      </c>
      <c r="Z64" s="3">
        <v>22.92</v>
      </c>
      <c r="AA64" s="1">
        <v>1.0</v>
      </c>
      <c r="AB64" s="4">
        <v>1.0</v>
      </c>
      <c r="AC64" s="3">
        <v>22.92</v>
      </c>
      <c r="AD64" s="4">
        <v>0.0</v>
      </c>
      <c r="AE64" s="3">
        <v>0.0</v>
      </c>
      <c r="AF64" s="3">
        <v>22.92</v>
      </c>
      <c r="AK64" s="1">
        <v>6203141.0</v>
      </c>
      <c r="AL64" s="1" t="s">
        <v>188</v>
      </c>
    </row>
    <row r="65" ht="15.75" customHeight="1">
      <c r="A65" s="2">
        <v>46057.0</v>
      </c>
      <c r="B65" s="2">
        <v>46057.0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H65" s="1" t="s">
        <v>43</v>
      </c>
      <c r="I65" s="1" t="s">
        <v>252</v>
      </c>
      <c r="J65" s="1" t="s">
        <v>253</v>
      </c>
      <c r="M65" s="1" t="s">
        <v>177</v>
      </c>
      <c r="O65" s="1" t="s">
        <v>207</v>
      </c>
      <c r="P65" s="1" t="s">
        <v>206</v>
      </c>
      <c r="Q65" s="1" t="s">
        <v>49</v>
      </c>
      <c r="R65" s="1" t="s">
        <v>187</v>
      </c>
      <c r="S65" s="2">
        <v>46054.0</v>
      </c>
      <c r="U65" s="1" t="s">
        <v>51</v>
      </c>
      <c r="X65" s="1" t="s">
        <v>52</v>
      </c>
      <c r="Y65" s="3">
        <v>0.0</v>
      </c>
      <c r="Z65" s="3">
        <v>22.92</v>
      </c>
      <c r="AA65" s="1">
        <v>1.0</v>
      </c>
      <c r="AB65" s="4">
        <v>1.0</v>
      </c>
      <c r="AC65" s="3">
        <v>22.92</v>
      </c>
      <c r="AD65" s="4">
        <v>0.0</v>
      </c>
      <c r="AE65" s="3">
        <v>0.0</v>
      </c>
      <c r="AF65" s="3">
        <v>22.92</v>
      </c>
      <c r="AK65" s="1">
        <v>6203142.0</v>
      </c>
      <c r="AL65" s="1" t="s">
        <v>188</v>
      </c>
    </row>
    <row r="66" ht="15.75" customHeight="1">
      <c r="A66" s="2">
        <v>46057.0</v>
      </c>
      <c r="B66" s="2">
        <v>46057.0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H66" s="1" t="s">
        <v>43</v>
      </c>
      <c r="I66" s="1" t="s">
        <v>254</v>
      </c>
      <c r="J66" s="1" t="s">
        <v>255</v>
      </c>
      <c r="M66" s="1" t="s">
        <v>172</v>
      </c>
      <c r="O66" s="1" t="s">
        <v>173</v>
      </c>
      <c r="P66" s="1" t="s">
        <v>174</v>
      </c>
      <c r="Q66" s="1" t="s">
        <v>49</v>
      </c>
      <c r="R66" s="1" t="s">
        <v>187</v>
      </c>
      <c r="S66" s="2">
        <v>46054.0</v>
      </c>
      <c r="U66" s="1" t="s">
        <v>51</v>
      </c>
      <c r="X66" s="1" t="s">
        <v>52</v>
      </c>
      <c r="Y66" s="3">
        <v>0.0</v>
      </c>
      <c r="Z66" s="3">
        <v>22.92</v>
      </c>
      <c r="AA66" s="1">
        <v>1.0</v>
      </c>
      <c r="AB66" s="4">
        <v>1.0</v>
      </c>
      <c r="AC66" s="3">
        <v>22.92</v>
      </c>
      <c r="AD66" s="4">
        <v>0.0</v>
      </c>
      <c r="AE66" s="3">
        <v>0.0</v>
      </c>
      <c r="AF66" s="3">
        <v>22.92</v>
      </c>
      <c r="AK66" s="1">
        <v>6203143.0</v>
      </c>
      <c r="AL66" s="1" t="s">
        <v>188</v>
      </c>
    </row>
    <row r="67" ht="15.75" customHeight="1">
      <c r="A67" s="2">
        <v>46057.0</v>
      </c>
      <c r="B67" s="2">
        <v>46057.0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H67" s="1" t="s">
        <v>43</v>
      </c>
      <c r="I67" s="1" t="s">
        <v>256</v>
      </c>
      <c r="J67" s="1" t="s">
        <v>257</v>
      </c>
      <c r="M67" s="1" t="s">
        <v>258</v>
      </c>
      <c r="O67" s="1" t="s">
        <v>259</v>
      </c>
      <c r="P67" s="1" t="s">
        <v>260</v>
      </c>
      <c r="Q67" s="1" t="s">
        <v>49</v>
      </c>
      <c r="R67" s="1" t="s">
        <v>261</v>
      </c>
      <c r="S67" s="2">
        <v>46054.0</v>
      </c>
      <c r="U67" s="1" t="s">
        <v>51</v>
      </c>
      <c r="X67" s="1" t="s">
        <v>52</v>
      </c>
      <c r="Y67" s="3">
        <v>0.0</v>
      </c>
      <c r="Z67" s="3">
        <v>318.08</v>
      </c>
      <c r="AA67" s="1">
        <v>1.0</v>
      </c>
      <c r="AB67" s="4">
        <v>1.0</v>
      </c>
      <c r="AC67" s="3">
        <v>318.08</v>
      </c>
      <c r="AD67" s="4">
        <v>0.0</v>
      </c>
      <c r="AE67" s="3">
        <v>0.0</v>
      </c>
      <c r="AF67" s="3">
        <v>318.08</v>
      </c>
      <c r="AK67" s="1">
        <v>6203838.0</v>
      </c>
      <c r="AL67" s="1" t="s">
        <v>188</v>
      </c>
    </row>
    <row r="68" ht="15.75" customHeight="1">
      <c r="A68" s="2">
        <v>46057.0</v>
      </c>
      <c r="B68" s="2">
        <v>46057.0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H68" s="1" t="s">
        <v>43</v>
      </c>
      <c r="I68" s="1" t="s">
        <v>262</v>
      </c>
      <c r="J68" s="1" t="s">
        <v>257</v>
      </c>
      <c r="M68" s="1" t="s">
        <v>258</v>
      </c>
      <c r="O68" s="1" t="s">
        <v>259</v>
      </c>
      <c r="P68" s="1" t="s">
        <v>260</v>
      </c>
      <c r="Q68" s="1" t="s">
        <v>49</v>
      </c>
      <c r="R68" s="1" t="s">
        <v>263</v>
      </c>
      <c r="S68" s="2">
        <v>46054.0</v>
      </c>
      <c r="U68" s="1" t="s">
        <v>51</v>
      </c>
      <c r="X68" s="1" t="s">
        <v>52</v>
      </c>
      <c r="Y68" s="3">
        <v>0.0</v>
      </c>
      <c r="Z68" s="3">
        <v>66.0</v>
      </c>
      <c r="AA68" s="1">
        <v>1.0</v>
      </c>
      <c r="AB68" s="4">
        <v>1.0</v>
      </c>
      <c r="AC68" s="3">
        <v>66.0</v>
      </c>
      <c r="AD68" s="4">
        <v>0.0</v>
      </c>
      <c r="AE68" s="3">
        <v>0.0</v>
      </c>
      <c r="AF68" s="3">
        <v>66.0</v>
      </c>
      <c r="AK68" s="1">
        <v>6203921.0</v>
      </c>
      <c r="AL68" s="1" t="s">
        <v>188</v>
      </c>
    </row>
    <row r="69" ht="15.75" customHeight="1">
      <c r="A69" s="2">
        <v>46057.0</v>
      </c>
      <c r="B69" s="2">
        <v>46057.0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H69" s="1" t="s">
        <v>43</v>
      </c>
      <c r="I69" s="1" t="s">
        <v>264</v>
      </c>
      <c r="J69" s="1" t="s">
        <v>265</v>
      </c>
      <c r="M69" s="1" t="s">
        <v>172</v>
      </c>
      <c r="O69" s="1" t="s">
        <v>266</v>
      </c>
      <c r="P69" s="1" t="s">
        <v>267</v>
      </c>
      <c r="Q69" s="1" t="s">
        <v>49</v>
      </c>
      <c r="R69" s="1" t="s">
        <v>261</v>
      </c>
      <c r="S69" s="2">
        <v>46054.0</v>
      </c>
      <c r="U69" s="1" t="s">
        <v>51</v>
      </c>
      <c r="X69" s="1" t="s">
        <v>52</v>
      </c>
      <c r="Y69" s="3">
        <v>0.0</v>
      </c>
      <c r="Z69" s="3">
        <v>318.08</v>
      </c>
      <c r="AA69" s="1">
        <v>1.0</v>
      </c>
      <c r="AB69" s="4">
        <v>1.0</v>
      </c>
      <c r="AC69" s="3">
        <v>318.08</v>
      </c>
      <c r="AD69" s="4">
        <v>0.0</v>
      </c>
      <c r="AE69" s="3">
        <v>0.0</v>
      </c>
      <c r="AF69" s="3">
        <v>318.08</v>
      </c>
      <c r="AK69" s="1">
        <v>6203852.0</v>
      </c>
      <c r="AL69" s="1" t="s">
        <v>188</v>
      </c>
    </row>
    <row r="70" ht="15.75" customHeight="1">
      <c r="A70" s="2">
        <v>46057.0</v>
      </c>
      <c r="B70" s="2">
        <v>46057.0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H70" s="1" t="s">
        <v>43</v>
      </c>
      <c r="I70" s="1" t="s">
        <v>268</v>
      </c>
      <c r="J70" s="1" t="s">
        <v>265</v>
      </c>
      <c r="M70" s="1" t="s">
        <v>172</v>
      </c>
      <c r="O70" s="1" t="s">
        <v>266</v>
      </c>
      <c r="P70" s="1" t="s">
        <v>267</v>
      </c>
      <c r="Q70" s="1" t="s">
        <v>49</v>
      </c>
      <c r="R70" s="1" t="s">
        <v>269</v>
      </c>
      <c r="S70" s="2">
        <v>46054.0</v>
      </c>
      <c r="U70" s="1" t="s">
        <v>51</v>
      </c>
      <c r="X70" s="1" t="s">
        <v>52</v>
      </c>
      <c r="Y70" s="3">
        <v>0.0</v>
      </c>
      <c r="Z70" s="3">
        <v>175.0</v>
      </c>
      <c r="AA70" s="1">
        <v>1.0</v>
      </c>
      <c r="AB70" s="4">
        <v>1.0</v>
      </c>
      <c r="AC70" s="3">
        <v>175.0</v>
      </c>
      <c r="AD70" s="4">
        <v>0.0</v>
      </c>
      <c r="AE70" s="3">
        <v>0.0</v>
      </c>
      <c r="AF70" s="3">
        <v>175.0</v>
      </c>
      <c r="AK70" s="1">
        <v>6203951.0</v>
      </c>
    </row>
    <row r="71" ht="15.75" customHeight="1">
      <c r="A71" s="2">
        <v>46057.0</v>
      </c>
      <c r="B71" s="2">
        <v>46057.0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H71" s="1" t="s">
        <v>43</v>
      </c>
      <c r="I71" s="1" t="s">
        <v>270</v>
      </c>
      <c r="J71" s="1" t="s">
        <v>271</v>
      </c>
      <c r="M71" s="1" t="s">
        <v>99</v>
      </c>
      <c r="O71" s="1" t="s">
        <v>272</v>
      </c>
      <c r="P71" s="1" t="s">
        <v>273</v>
      </c>
      <c r="Q71" s="1" t="s">
        <v>49</v>
      </c>
      <c r="R71" s="1" t="s">
        <v>261</v>
      </c>
      <c r="S71" s="2">
        <v>46023.0</v>
      </c>
      <c r="U71" s="1" t="s">
        <v>51</v>
      </c>
      <c r="X71" s="1" t="s">
        <v>52</v>
      </c>
      <c r="Y71" s="3">
        <v>0.0</v>
      </c>
      <c r="Z71" s="3">
        <v>347.0</v>
      </c>
      <c r="AA71" s="1">
        <v>1.0</v>
      </c>
      <c r="AB71" s="4">
        <v>1.0</v>
      </c>
      <c r="AC71" s="3">
        <v>347.0</v>
      </c>
      <c r="AD71" s="4">
        <v>0.0</v>
      </c>
      <c r="AE71" s="3">
        <v>0.0</v>
      </c>
      <c r="AF71" s="3">
        <v>347.0</v>
      </c>
      <c r="AK71" s="1">
        <v>6203955.0</v>
      </c>
      <c r="AL71" s="1" t="s">
        <v>274</v>
      </c>
    </row>
    <row r="72" ht="15.75" customHeight="1">
      <c r="A72" s="2">
        <v>46057.0</v>
      </c>
      <c r="B72" s="2">
        <v>46057.0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H72" s="1" t="s">
        <v>43</v>
      </c>
      <c r="I72" s="1" t="s">
        <v>275</v>
      </c>
      <c r="J72" s="1" t="s">
        <v>271</v>
      </c>
      <c r="M72" s="1" t="s">
        <v>99</v>
      </c>
      <c r="O72" s="1" t="s">
        <v>272</v>
      </c>
      <c r="P72" s="1" t="s">
        <v>273</v>
      </c>
      <c r="Q72" s="1" t="s">
        <v>49</v>
      </c>
      <c r="R72" s="1" t="s">
        <v>269</v>
      </c>
      <c r="S72" s="2">
        <v>46023.0</v>
      </c>
      <c r="U72" s="1" t="s">
        <v>51</v>
      </c>
      <c r="X72" s="1" t="s">
        <v>52</v>
      </c>
      <c r="Y72" s="3">
        <v>0.0</v>
      </c>
      <c r="Z72" s="3">
        <v>175.0</v>
      </c>
      <c r="AA72" s="1">
        <v>1.0</v>
      </c>
      <c r="AB72" s="4">
        <v>1.0</v>
      </c>
      <c r="AC72" s="3">
        <v>175.0</v>
      </c>
      <c r="AD72" s="4">
        <v>0.0</v>
      </c>
      <c r="AE72" s="3">
        <v>0.0</v>
      </c>
      <c r="AF72" s="3">
        <v>175.0</v>
      </c>
      <c r="AK72" s="1">
        <v>6203953.0</v>
      </c>
    </row>
    <row r="73" ht="15.75" customHeight="1">
      <c r="A73" s="2">
        <v>46057.0</v>
      </c>
      <c r="B73" s="2">
        <v>46057.0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42</v>
      </c>
      <c r="H73" s="1" t="s">
        <v>43</v>
      </c>
      <c r="I73" s="1" t="s">
        <v>276</v>
      </c>
      <c r="J73" s="1" t="s">
        <v>277</v>
      </c>
      <c r="M73" s="1" t="s">
        <v>46</v>
      </c>
      <c r="O73" s="1" t="s">
        <v>203</v>
      </c>
      <c r="P73" s="1" t="s">
        <v>204</v>
      </c>
      <c r="Q73" s="1" t="s">
        <v>49</v>
      </c>
      <c r="R73" s="1" t="s">
        <v>261</v>
      </c>
      <c r="S73" s="2">
        <v>46054.0</v>
      </c>
      <c r="U73" s="1" t="s">
        <v>51</v>
      </c>
      <c r="X73" s="1" t="s">
        <v>52</v>
      </c>
      <c r="Y73" s="3">
        <v>0.0</v>
      </c>
      <c r="Z73" s="3">
        <v>318.08</v>
      </c>
      <c r="AA73" s="1">
        <v>1.0</v>
      </c>
      <c r="AB73" s="4">
        <v>1.0</v>
      </c>
      <c r="AC73" s="3">
        <v>318.08</v>
      </c>
      <c r="AD73" s="4">
        <v>0.0</v>
      </c>
      <c r="AE73" s="3">
        <v>0.0</v>
      </c>
      <c r="AF73" s="3">
        <v>318.08</v>
      </c>
      <c r="AK73" s="1">
        <v>6203887.0</v>
      </c>
      <c r="AL73" s="1" t="s">
        <v>188</v>
      </c>
    </row>
    <row r="74" ht="15.75" customHeight="1">
      <c r="A74" s="2">
        <v>46057.0</v>
      </c>
      <c r="B74" s="2">
        <v>46057.0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42</v>
      </c>
      <c r="H74" s="1" t="s">
        <v>43</v>
      </c>
      <c r="I74" s="1" t="s">
        <v>278</v>
      </c>
      <c r="J74" s="1" t="s">
        <v>277</v>
      </c>
      <c r="M74" s="1" t="s">
        <v>46</v>
      </c>
      <c r="O74" s="1" t="s">
        <v>203</v>
      </c>
      <c r="P74" s="1" t="s">
        <v>204</v>
      </c>
      <c r="Q74" s="1" t="s">
        <v>49</v>
      </c>
      <c r="R74" s="1" t="s">
        <v>269</v>
      </c>
      <c r="S74" s="2">
        <v>46054.0</v>
      </c>
      <c r="U74" s="1" t="s">
        <v>51</v>
      </c>
      <c r="X74" s="1" t="s">
        <v>52</v>
      </c>
      <c r="Y74" s="3">
        <v>0.0</v>
      </c>
      <c r="Z74" s="3">
        <v>175.0</v>
      </c>
      <c r="AA74" s="1">
        <v>1.0</v>
      </c>
      <c r="AB74" s="4">
        <v>1.0</v>
      </c>
      <c r="AC74" s="3">
        <v>175.0</v>
      </c>
      <c r="AD74" s="4">
        <v>0.0</v>
      </c>
      <c r="AE74" s="3">
        <v>0.0</v>
      </c>
      <c r="AF74" s="3">
        <v>175.0</v>
      </c>
      <c r="AK74" s="1">
        <v>6203952.0</v>
      </c>
    </row>
    <row r="75" ht="15.75" customHeight="1">
      <c r="A75" s="2">
        <v>46057.0</v>
      </c>
      <c r="B75" s="2">
        <v>46057.0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42</v>
      </c>
      <c r="H75" s="1" t="s">
        <v>43</v>
      </c>
      <c r="I75" s="1" t="s">
        <v>279</v>
      </c>
      <c r="J75" s="1" t="s">
        <v>280</v>
      </c>
      <c r="M75" s="1" t="s">
        <v>281</v>
      </c>
      <c r="O75" s="1" t="s">
        <v>87</v>
      </c>
      <c r="P75" s="1" t="s">
        <v>88</v>
      </c>
      <c r="Q75" s="1" t="s">
        <v>49</v>
      </c>
      <c r="R75" s="1" t="s">
        <v>282</v>
      </c>
      <c r="S75" s="2">
        <v>46054.0</v>
      </c>
      <c r="U75" s="1" t="s">
        <v>51</v>
      </c>
      <c r="X75" s="1" t="s">
        <v>52</v>
      </c>
      <c r="Y75" s="3">
        <v>0.0</v>
      </c>
      <c r="Z75" s="3">
        <v>611.0</v>
      </c>
      <c r="AA75" s="1">
        <v>1.0</v>
      </c>
      <c r="AB75" s="4">
        <v>1.0</v>
      </c>
      <c r="AC75" s="3">
        <v>611.0</v>
      </c>
      <c r="AD75" s="4">
        <v>0.0</v>
      </c>
      <c r="AE75" s="3">
        <v>0.0</v>
      </c>
      <c r="AF75" s="3">
        <v>611.0</v>
      </c>
      <c r="AK75" s="1">
        <v>6203954.0</v>
      </c>
    </row>
    <row r="76" ht="15.75" customHeight="1">
      <c r="A76" s="2">
        <v>46057.0</v>
      </c>
      <c r="B76" s="2">
        <v>46057.0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42</v>
      </c>
      <c r="H76" s="1" t="s">
        <v>43</v>
      </c>
      <c r="I76" s="1" t="s">
        <v>283</v>
      </c>
      <c r="J76" s="1" t="s">
        <v>284</v>
      </c>
      <c r="M76" s="1" t="s">
        <v>177</v>
      </c>
      <c r="O76" s="1" t="s">
        <v>219</v>
      </c>
      <c r="P76" s="1" t="s">
        <v>220</v>
      </c>
      <c r="Q76" s="1" t="s">
        <v>49</v>
      </c>
      <c r="R76" s="1" t="s">
        <v>285</v>
      </c>
      <c r="S76" s="2">
        <v>46054.0</v>
      </c>
      <c r="U76" s="1" t="s">
        <v>51</v>
      </c>
      <c r="X76" s="1" t="s">
        <v>52</v>
      </c>
      <c r="Y76" s="3">
        <v>0.0</v>
      </c>
      <c r="Z76" s="3">
        <v>75.0</v>
      </c>
      <c r="AA76" s="1">
        <v>1.0</v>
      </c>
      <c r="AB76" s="4">
        <v>1.0</v>
      </c>
      <c r="AC76" s="3">
        <v>75.0</v>
      </c>
      <c r="AD76" s="4">
        <v>0.0</v>
      </c>
      <c r="AE76" s="3">
        <v>0.0</v>
      </c>
      <c r="AF76" s="3">
        <v>75.0</v>
      </c>
      <c r="AK76" s="1">
        <v>6203931.0</v>
      </c>
    </row>
    <row r="77" ht="15.75" customHeight="1">
      <c r="A77" s="2">
        <v>46057.0</v>
      </c>
      <c r="B77" s="2">
        <v>46057.0</v>
      </c>
      <c r="C77" s="1" t="s">
        <v>38</v>
      </c>
      <c r="D77" s="1" t="s">
        <v>39</v>
      </c>
      <c r="E77" s="1" t="s">
        <v>40</v>
      </c>
      <c r="F77" s="1" t="s">
        <v>41</v>
      </c>
      <c r="G77" s="1" t="s">
        <v>42</v>
      </c>
      <c r="H77" s="1" t="s">
        <v>43</v>
      </c>
      <c r="I77" s="1" t="s">
        <v>286</v>
      </c>
      <c r="J77" s="1" t="s">
        <v>287</v>
      </c>
      <c r="M77" s="1" t="s">
        <v>116</v>
      </c>
      <c r="O77" s="1" t="s">
        <v>288</v>
      </c>
      <c r="P77" s="1" t="s">
        <v>289</v>
      </c>
      <c r="Q77" s="1" t="s">
        <v>49</v>
      </c>
      <c r="R77" s="1" t="s">
        <v>290</v>
      </c>
      <c r="S77" s="2">
        <v>46082.0</v>
      </c>
      <c r="U77" s="1" t="s">
        <v>51</v>
      </c>
      <c r="X77" s="1" t="s">
        <v>52</v>
      </c>
      <c r="Y77" s="3">
        <v>0.0</v>
      </c>
      <c r="Z77" s="3">
        <v>31.02</v>
      </c>
      <c r="AA77" s="1">
        <v>9.0</v>
      </c>
      <c r="AB77" s="4">
        <v>1.0</v>
      </c>
      <c r="AC77" s="3">
        <v>279.18</v>
      </c>
      <c r="AD77" s="4">
        <v>0.0</v>
      </c>
      <c r="AE77" s="3">
        <v>0.0</v>
      </c>
      <c r="AF77" s="3">
        <v>279.18</v>
      </c>
      <c r="AK77" s="1">
        <v>6203790.0</v>
      </c>
    </row>
    <row r="78" ht="15.75" customHeight="1">
      <c r="A78" s="2">
        <v>46057.0</v>
      </c>
      <c r="B78" s="2">
        <v>46057.0</v>
      </c>
      <c r="C78" s="1" t="s">
        <v>38</v>
      </c>
      <c r="D78" s="1" t="s">
        <v>39</v>
      </c>
      <c r="E78" s="1" t="s">
        <v>40</v>
      </c>
      <c r="F78" s="1" t="s">
        <v>41</v>
      </c>
      <c r="G78" s="1" t="s">
        <v>42</v>
      </c>
      <c r="H78" s="1" t="s">
        <v>43</v>
      </c>
      <c r="I78" s="1" t="s">
        <v>291</v>
      </c>
      <c r="J78" s="1" t="s">
        <v>292</v>
      </c>
      <c r="M78" s="1" t="s">
        <v>116</v>
      </c>
      <c r="O78" s="1" t="s">
        <v>87</v>
      </c>
      <c r="P78" s="1" t="s">
        <v>88</v>
      </c>
      <c r="Q78" s="1" t="s">
        <v>49</v>
      </c>
      <c r="R78" s="1" t="s">
        <v>290</v>
      </c>
      <c r="S78" s="2">
        <v>46054.0</v>
      </c>
      <c r="U78" s="1" t="s">
        <v>51</v>
      </c>
      <c r="X78" s="1" t="s">
        <v>52</v>
      </c>
      <c r="Y78" s="3">
        <v>0.0</v>
      </c>
      <c r="Z78" s="3">
        <v>31.02</v>
      </c>
      <c r="AA78" s="1">
        <v>9.0</v>
      </c>
      <c r="AB78" s="4">
        <v>1.0</v>
      </c>
      <c r="AC78" s="3">
        <v>279.18</v>
      </c>
      <c r="AD78" s="4">
        <v>0.0</v>
      </c>
      <c r="AE78" s="3">
        <v>0.0</v>
      </c>
      <c r="AF78" s="3">
        <v>279.18</v>
      </c>
      <c r="AK78" s="1">
        <v>6203791.0</v>
      </c>
    </row>
    <row r="79" ht="15.75" customHeight="1">
      <c r="A79" s="2">
        <v>46057.0</v>
      </c>
      <c r="B79" s="2">
        <v>46057.0</v>
      </c>
      <c r="C79" s="1" t="s">
        <v>38</v>
      </c>
      <c r="D79" s="1" t="s">
        <v>39</v>
      </c>
      <c r="E79" s="1" t="s">
        <v>40</v>
      </c>
      <c r="F79" s="1" t="s">
        <v>41</v>
      </c>
      <c r="G79" s="1" t="s">
        <v>42</v>
      </c>
      <c r="H79" s="1" t="s">
        <v>43</v>
      </c>
      <c r="I79" s="1" t="s">
        <v>293</v>
      </c>
      <c r="J79" s="1" t="s">
        <v>294</v>
      </c>
      <c r="M79" s="1" t="s">
        <v>172</v>
      </c>
      <c r="O79" s="1" t="s">
        <v>266</v>
      </c>
      <c r="P79" s="1" t="s">
        <v>267</v>
      </c>
      <c r="Q79" s="1" t="s">
        <v>49</v>
      </c>
      <c r="R79" s="1" t="s">
        <v>295</v>
      </c>
      <c r="S79" s="2">
        <v>46054.0</v>
      </c>
      <c r="U79" s="1" t="s">
        <v>51</v>
      </c>
      <c r="X79" s="1" t="s">
        <v>52</v>
      </c>
      <c r="Y79" s="3">
        <v>0.0</v>
      </c>
      <c r="Z79" s="3">
        <v>31.5</v>
      </c>
      <c r="AA79" s="1">
        <v>9.0</v>
      </c>
      <c r="AB79" s="4">
        <v>1.0</v>
      </c>
      <c r="AC79" s="3">
        <v>283.5</v>
      </c>
      <c r="AD79" s="4">
        <v>0.0</v>
      </c>
      <c r="AE79" s="3">
        <v>0.0</v>
      </c>
      <c r="AF79" s="3">
        <v>283.5</v>
      </c>
      <c r="AK79" s="1">
        <v>6203793.0</v>
      </c>
    </row>
    <row r="80" ht="15.75" customHeight="1">
      <c r="A80" s="2">
        <v>46057.0</v>
      </c>
      <c r="B80" s="2">
        <v>46057.0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H80" s="1" t="s">
        <v>43</v>
      </c>
      <c r="I80" s="1" t="s">
        <v>296</v>
      </c>
      <c r="J80" s="1" t="s">
        <v>297</v>
      </c>
      <c r="M80" s="1" t="s">
        <v>116</v>
      </c>
      <c r="O80" s="1" t="s">
        <v>288</v>
      </c>
      <c r="P80" s="1" t="s">
        <v>289</v>
      </c>
      <c r="Q80" s="1" t="s">
        <v>49</v>
      </c>
      <c r="R80" s="1" t="s">
        <v>290</v>
      </c>
      <c r="S80" s="2">
        <v>46054.0</v>
      </c>
      <c r="U80" s="1" t="s">
        <v>51</v>
      </c>
      <c r="X80" s="1" t="s">
        <v>52</v>
      </c>
      <c r="Y80" s="3">
        <v>0.0</v>
      </c>
      <c r="Z80" s="3">
        <v>31.02</v>
      </c>
      <c r="AA80" s="1">
        <v>9.0</v>
      </c>
      <c r="AB80" s="4">
        <v>1.0</v>
      </c>
      <c r="AC80" s="3">
        <v>279.18</v>
      </c>
      <c r="AD80" s="4">
        <v>0.0</v>
      </c>
      <c r="AE80" s="3">
        <v>0.0</v>
      </c>
      <c r="AF80" s="3">
        <v>279.18</v>
      </c>
      <c r="AK80" s="1">
        <v>6203792.0</v>
      </c>
    </row>
    <row r="81" ht="15.75" customHeight="1">
      <c r="A81" s="2">
        <v>46057.0</v>
      </c>
      <c r="B81" s="2">
        <v>46057.0</v>
      </c>
      <c r="C81" s="1" t="s">
        <v>38</v>
      </c>
      <c r="D81" s="1" t="s">
        <v>39</v>
      </c>
      <c r="E81" s="1" t="s">
        <v>40</v>
      </c>
      <c r="F81" s="1" t="s">
        <v>41</v>
      </c>
      <c r="G81" s="1" t="s">
        <v>42</v>
      </c>
      <c r="H81" s="1" t="s">
        <v>43</v>
      </c>
      <c r="I81" s="1" t="s">
        <v>298</v>
      </c>
      <c r="J81" s="1" t="s">
        <v>299</v>
      </c>
      <c r="M81" s="1" t="s">
        <v>177</v>
      </c>
      <c r="O81" s="1" t="s">
        <v>300</v>
      </c>
      <c r="P81" s="1" t="s">
        <v>301</v>
      </c>
      <c r="Q81" s="1" t="s">
        <v>49</v>
      </c>
      <c r="R81" s="1" t="s">
        <v>302</v>
      </c>
      <c r="S81" s="2">
        <v>46054.0</v>
      </c>
      <c r="U81" s="1" t="s">
        <v>51</v>
      </c>
      <c r="X81" s="1" t="s">
        <v>52</v>
      </c>
      <c r="Y81" s="3">
        <v>0.0</v>
      </c>
      <c r="Z81" s="3">
        <v>36.0</v>
      </c>
      <c r="AA81" s="1">
        <v>9.0</v>
      </c>
      <c r="AB81" s="4">
        <v>1.0</v>
      </c>
      <c r="AC81" s="3">
        <v>324.0</v>
      </c>
      <c r="AD81" s="4">
        <v>0.0</v>
      </c>
      <c r="AE81" s="3">
        <v>0.0</v>
      </c>
      <c r="AF81" s="3">
        <v>324.0</v>
      </c>
      <c r="AK81" s="1">
        <v>6203794.0</v>
      </c>
    </row>
    <row r="82" ht="15.75" customHeight="1">
      <c r="A82" s="2">
        <v>46057.0</v>
      </c>
      <c r="B82" s="2">
        <v>46057.0</v>
      </c>
      <c r="C82" s="1" t="s">
        <v>38</v>
      </c>
      <c r="D82" s="1" t="s">
        <v>39</v>
      </c>
      <c r="E82" s="1" t="s">
        <v>40</v>
      </c>
      <c r="F82" s="1" t="s">
        <v>41</v>
      </c>
      <c r="G82" s="1" t="s">
        <v>42</v>
      </c>
      <c r="H82" s="1" t="s">
        <v>43</v>
      </c>
      <c r="I82" s="1" t="s">
        <v>303</v>
      </c>
      <c r="J82" s="1" t="s">
        <v>304</v>
      </c>
      <c r="M82" s="1" t="s">
        <v>55</v>
      </c>
      <c r="O82" s="1" t="s">
        <v>87</v>
      </c>
      <c r="P82" s="1" t="s">
        <v>88</v>
      </c>
      <c r="Q82" s="1" t="s">
        <v>49</v>
      </c>
      <c r="R82" s="1" t="s">
        <v>305</v>
      </c>
      <c r="S82" s="2">
        <v>46054.0</v>
      </c>
      <c r="U82" s="1" t="s">
        <v>51</v>
      </c>
      <c r="X82" s="1" t="s">
        <v>52</v>
      </c>
      <c r="Y82" s="3">
        <v>0.0</v>
      </c>
      <c r="Z82" s="3">
        <v>44.31</v>
      </c>
      <c r="AA82" s="1">
        <v>9.0</v>
      </c>
      <c r="AB82" s="4">
        <v>1.0</v>
      </c>
      <c r="AC82" s="3">
        <v>398.79</v>
      </c>
      <c r="AD82" s="4">
        <v>0.0</v>
      </c>
      <c r="AE82" s="3">
        <v>0.0</v>
      </c>
      <c r="AF82" s="3">
        <v>398.79</v>
      </c>
      <c r="AK82" s="1">
        <v>6203789.0</v>
      </c>
    </row>
    <row r="83" ht="15.75" customHeight="1">
      <c r="A83" s="2">
        <v>46057.0</v>
      </c>
      <c r="B83" s="2">
        <v>46057.0</v>
      </c>
      <c r="C83" s="1" t="s">
        <v>38</v>
      </c>
      <c r="D83" s="1" t="s">
        <v>39</v>
      </c>
      <c r="E83" s="1" t="s">
        <v>40</v>
      </c>
      <c r="F83" s="1" t="s">
        <v>41</v>
      </c>
      <c r="G83" s="1" t="s">
        <v>42</v>
      </c>
      <c r="H83" s="1" t="s">
        <v>43</v>
      </c>
      <c r="I83" s="1" t="s">
        <v>306</v>
      </c>
      <c r="J83" s="1" t="s">
        <v>307</v>
      </c>
      <c r="M83" s="1" t="s">
        <v>46</v>
      </c>
      <c r="O83" s="1" t="s">
        <v>81</v>
      </c>
      <c r="P83" s="1" t="s">
        <v>82</v>
      </c>
      <c r="Q83" s="1" t="s">
        <v>49</v>
      </c>
      <c r="R83" s="1" t="s">
        <v>187</v>
      </c>
      <c r="S83" s="2">
        <v>46054.0</v>
      </c>
      <c r="U83" s="1" t="s">
        <v>51</v>
      </c>
      <c r="X83" s="1" t="s">
        <v>52</v>
      </c>
      <c r="Y83" s="3">
        <v>0.0</v>
      </c>
      <c r="Z83" s="3">
        <v>22.92</v>
      </c>
      <c r="AA83" s="1">
        <v>1.0</v>
      </c>
      <c r="AB83" s="4">
        <v>1.0</v>
      </c>
      <c r="AC83" s="3">
        <v>22.92</v>
      </c>
      <c r="AD83" s="4">
        <v>0.0</v>
      </c>
      <c r="AE83" s="3">
        <v>0.0</v>
      </c>
      <c r="AF83" s="3">
        <v>22.92</v>
      </c>
      <c r="AK83" s="1">
        <v>6203151.0</v>
      </c>
      <c r="AL83" s="1" t="s">
        <v>188</v>
      </c>
    </row>
    <row r="84" ht="15.75" customHeight="1">
      <c r="A84" s="2">
        <v>46057.0</v>
      </c>
      <c r="B84" s="2">
        <v>46057.0</v>
      </c>
      <c r="C84" s="1" t="s">
        <v>308</v>
      </c>
      <c r="D84" s="1" t="s">
        <v>39</v>
      </c>
      <c r="E84" s="1" t="s">
        <v>40</v>
      </c>
      <c r="F84" s="1" t="s">
        <v>41</v>
      </c>
      <c r="G84" s="1" t="s">
        <v>42</v>
      </c>
      <c r="H84" s="1" t="s">
        <v>43</v>
      </c>
      <c r="I84" s="1" t="s">
        <v>309</v>
      </c>
      <c r="J84" s="1" t="s">
        <v>310</v>
      </c>
      <c r="M84" s="1" t="s">
        <v>46</v>
      </c>
      <c r="O84" s="1" t="s">
        <v>102</v>
      </c>
      <c r="P84" s="1" t="s">
        <v>103</v>
      </c>
      <c r="Q84" s="1" t="s">
        <v>311</v>
      </c>
      <c r="R84" s="1" t="s">
        <v>58</v>
      </c>
      <c r="S84" s="2">
        <v>46023.0</v>
      </c>
      <c r="U84" s="1" t="s">
        <v>51</v>
      </c>
      <c r="X84" s="1" t="s">
        <v>52</v>
      </c>
      <c r="AF84" s="3">
        <v>108.0</v>
      </c>
      <c r="AG84" s="3">
        <v>0.0</v>
      </c>
      <c r="AJ84" s="3">
        <v>99.36</v>
      </c>
    </row>
    <row r="85" ht="15.75" customHeight="1">
      <c r="A85" s="2">
        <v>46057.0</v>
      </c>
      <c r="B85" s="2">
        <v>46057.0</v>
      </c>
      <c r="C85" s="1" t="s">
        <v>308</v>
      </c>
      <c r="D85" s="1" t="s">
        <v>39</v>
      </c>
      <c r="E85" s="1" t="s">
        <v>40</v>
      </c>
      <c r="F85" s="1" t="s">
        <v>41</v>
      </c>
      <c r="G85" s="1" t="s">
        <v>42</v>
      </c>
      <c r="H85" s="1" t="s">
        <v>43</v>
      </c>
      <c r="I85" s="1" t="s">
        <v>312</v>
      </c>
      <c r="J85" s="1" t="s">
        <v>313</v>
      </c>
      <c r="M85" s="1" t="s">
        <v>314</v>
      </c>
      <c r="O85" s="1" t="s">
        <v>315</v>
      </c>
      <c r="P85" s="1" t="s">
        <v>316</v>
      </c>
      <c r="Q85" s="1" t="s">
        <v>311</v>
      </c>
      <c r="R85" s="1" t="s">
        <v>50</v>
      </c>
      <c r="S85" s="2">
        <v>46023.0</v>
      </c>
      <c r="U85" s="1" t="s">
        <v>51</v>
      </c>
      <c r="X85" s="1" t="s">
        <v>52</v>
      </c>
      <c r="AF85" s="3">
        <v>175.0</v>
      </c>
      <c r="AG85" s="3">
        <v>0.0</v>
      </c>
      <c r="AJ85" s="3">
        <v>161.0</v>
      </c>
    </row>
    <row r="86" ht="15.75" customHeight="1">
      <c r="A86" s="2">
        <v>46057.0</v>
      </c>
      <c r="B86" s="2">
        <v>46057.0</v>
      </c>
      <c r="C86" s="1" t="s">
        <v>308</v>
      </c>
      <c r="D86" s="1" t="s">
        <v>39</v>
      </c>
      <c r="E86" s="1" t="s">
        <v>40</v>
      </c>
      <c r="F86" s="1" t="s">
        <v>41</v>
      </c>
      <c r="G86" s="1" t="s">
        <v>42</v>
      </c>
      <c r="H86" s="1" t="s">
        <v>43</v>
      </c>
      <c r="I86" s="1" t="s">
        <v>317</v>
      </c>
      <c r="J86" s="1" t="s">
        <v>318</v>
      </c>
      <c r="M86" s="1" t="s">
        <v>172</v>
      </c>
      <c r="O86" s="1" t="s">
        <v>173</v>
      </c>
      <c r="P86" s="1" t="s">
        <v>174</v>
      </c>
      <c r="Q86" s="1" t="s">
        <v>311</v>
      </c>
      <c r="R86" s="1" t="s">
        <v>50</v>
      </c>
      <c r="S86" s="2">
        <v>46023.0</v>
      </c>
      <c r="U86" s="1" t="s">
        <v>51</v>
      </c>
      <c r="X86" s="1" t="s">
        <v>52</v>
      </c>
      <c r="AF86" s="3">
        <v>175.0</v>
      </c>
      <c r="AG86" s="3">
        <v>0.0</v>
      </c>
      <c r="AJ86" s="3">
        <v>161.0</v>
      </c>
    </row>
    <row r="87" ht="15.75" customHeight="1">
      <c r="A87" s="2">
        <v>46057.0</v>
      </c>
      <c r="B87" s="2">
        <v>46057.0</v>
      </c>
      <c r="C87" s="1" t="s">
        <v>308</v>
      </c>
      <c r="D87" s="1" t="s">
        <v>39</v>
      </c>
      <c r="E87" s="1" t="s">
        <v>40</v>
      </c>
      <c r="F87" s="1" t="s">
        <v>41</v>
      </c>
      <c r="G87" s="1" t="s">
        <v>42</v>
      </c>
      <c r="H87" s="1" t="s">
        <v>43</v>
      </c>
      <c r="I87" s="1" t="s">
        <v>319</v>
      </c>
      <c r="J87" s="1" t="s">
        <v>76</v>
      </c>
      <c r="M87" s="1" t="s">
        <v>46</v>
      </c>
      <c r="O87" s="1" t="s">
        <v>77</v>
      </c>
      <c r="P87" s="1" t="s">
        <v>78</v>
      </c>
      <c r="Q87" s="1" t="s">
        <v>311</v>
      </c>
      <c r="R87" s="1" t="s">
        <v>50</v>
      </c>
      <c r="S87" s="2">
        <v>46023.0</v>
      </c>
      <c r="U87" s="1" t="s">
        <v>51</v>
      </c>
      <c r="X87" s="1" t="s">
        <v>52</v>
      </c>
      <c r="AF87" s="3">
        <v>175.0</v>
      </c>
      <c r="AG87" s="3">
        <v>0.0</v>
      </c>
      <c r="AJ87" s="3">
        <v>161.0</v>
      </c>
    </row>
    <row r="88" ht="15.75" customHeight="1">
      <c r="A88" s="2">
        <v>46057.0</v>
      </c>
      <c r="B88" s="2">
        <v>46057.0</v>
      </c>
      <c r="C88" s="1" t="s">
        <v>308</v>
      </c>
      <c r="D88" s="1" t="s">
        <v>39</v>
      </c>
      <c r="E88" s="1" t="s">
        <v>40</v>
      </c>
      <c r="F88" s="1" t="s">
        <v>41</v>
      </c>
      <c r="G88" s="1" t="s">
        <v>42</v>
      </c>
      <c r="H88" s="1" t="s">
        <v>43</v>
      </c>
      <c r="I88" s="1" t="s">
        <v>320</v>
      </c>
      <c r="J88" s="1" t="s">
        <v>321</v>
      </c>
      <c r="M88" s="1" t="s">
        <v>133</v>
      </c>
      <c r="O88" s="1" t="s">
        <v>322</v>
      </c>
      <c r="P88" s="1" t="s">
        <v>323</v>
      </c>
      <c r="Q88" s="1" t="s">
        <v>311</v>
      </c>
      <c r="R88" s="1" t="s">
        <v>50</v>
      </c>
      <c r="S88" s="2">
        <v>46023.0</v>
      </c>
      <c r="U88" s="1" t="s">
        <v>51</v>
      </c>
      <c r="X88" s="1" t="s">
        <v>52</v>
      </c>
      <c r="AF88" s="3">
        <v>175.0</v>
      </c>
      <c r="AG88" s="3">
        <v>0.0</v>
      </c>
      <c r="AJ88" s="3">
        <v>161.0</v>
      </c>
    </row>
    <row r="89" ht="15.75" customHeight="1">
      <c r="A89" s="2">
        <v>46057.0</v>
      </c>
      <c r="B89" s="2">
        <v>46057.0</v>
      </c>
      <c r="C89" s="1" t="s">
        <v>308</v>
      </c>
      <c r="D89" s="1" t="s">
        <v>39</v>
      </c>
      <c r="E89" s="1" t="s">
        <v>40</v>
      </c>
      <c r="F89" s="1" t="s">
        <v>41</v>
      </c>
      <c r="G89" s="1" t="s">
        <v>42</v>
      </c>
      <c r="H89" s="1" t="s">
        <v>43</v>
      </c>
      <c r="I89" s="1" t="s">
        <v>324</v>
      </c>
      <c r="J89" s="1" t="s">
        <v>45</v>
      </c>
      <c r="M89" s="1" t="s">
        <v>46</v>
      </c>
      <c r="O89" s="1" t="s">
        <v>47</v>
      </c>
      <c r="P89" s="1" t="s">
        <v>48</v>
      </c>
      <c r="Q89" s="1" t="s">
        <v>311</v>
      </c>
      <c r="R89" s="1" t="s">
        <v>50</v>
      </c>
      <c r="S89" s="2">
        <v>46023.0</v>
      </c>
      <c r="U89" s="1" t="s">
        <v>51</v>
      </c>
      <c r="X89" s="1" t="s">
        <v>52</v>
      </c>
      <c r="AF89" s="3">
        <v>175.0</v>
      </c>
      <c r="AG89" s="3">
        <v>0.0</v>
      </c>
      <c r="AJ89" s="3">
        <v>175.0</v>
      </c>
    </row>
    <row r="90" ht="15.75" customHeight="1">
      <c r="A90" s="2">
        <v>46057.0</v>
      </c>
      <c r="B90" s="2">
        <v>46057.0</v>
      </c>
      <c r="C90" s="1" t="s">
        <v>308</v>
      </c>
      <c r="D90" s="1" t="s">
        <v>39</v>
      </c>
      <c r="E90" s="1" t="s">
        <v>40</v>
      </c>
      <c r="F90" s="1" t="s">
        <v>41</v>
      </c>
      <c r="G90" s="1" t="s">
        <v>42</v>
      </c>
      <c r="H90" s="1" t="s">
        <v>43</v>
      </c>
      <c r="I90" s="1" t="s">
        <v>325</v>
      </c>
      <c r="J90" s="1" t="s">
        <v>326</v>
      </c>
      <c r="M90" s="1" t="s">
        <v>99</v>
      </c>
      <c r="O90" s="1" t="s">
        <v>146</v>
      </c>
      <c r="P90" s="1" t="s">
        <v>147</v>
      </c>
      <c r="Q90" s="1" t="s">
        <v>311</v>
      </c>
      <c r="R90" s="1" t="s">
        <v>50</v>
      </c>
      <c r="S90" s="2">
        <v>46082.0</v>
      </c>
      <c r="U90" s="1" t="s">
        <v>51</v>
      </c>
      <c r="X90" s="1" t="s">
        <v>52</v>
      </c>
      <c r="AF90" s="3">
        <v>175.0</v>
      </c>
      <c r="AG90" s="3">
        <v>0.0</v>
      </c>
      <c r="AJ90" s="3">
        <v>175.0</v>
      </c>
    </row>
    <row r="91" ht="15.75" customHeight="1">
      <c r="A91" s="2">
        <v>46057.0</v>
      </c>
      <c r="B91" s="2">
        <v>46057.0</v>
      </c>
      <c r="C91" s="1" t="s">
        <v>308</v>
      </c>
      <c r="D91" s="1" t="s">
        <v>39</v>
      </c>
      <c r="E91" s="1" t="s">
        <v>40</v>
      </c>
      <c r="F91" s="1" t="s">
        <v>41</v>
      </c>
      <c r="G91" s="1" t="s">
        <v>42</v>
      </c>
      <c r="H91" s="1" t="s">
        <v>43</v>
      </c>
      <c r="I91" s="1" t="s">
        <v>327</v>
      </c>
      <c r="J91" s="1" t="s">
        <v>328</v>
      </c>
      <c r="M91" s="1" t="s">
        <v>177</v>
      </c>
      <c r="O91" s="1" t="s">
        <v>219</v>
      </c>
      <c r="P91" s="1" t="s">
        <v>220</v>
      </c>
      <c r="Q91" s="1" t="s">
        <v>311</v>
      </c>
      <c r="R91" s="1" t="s">
        <v>329</v>
      </c>
      <c r="S91" s="2">
        <v>46023.0</v>
      </c>
      <c r="U91" s="1" t="s">
        <v>51</v>
      </c>
      <c r="X91" s="1" t="s">
        <v>52</v>
      </c>
      <c r="AF91" s="3">
        <v>25.0</v>
      </c>
      <c r="AG91" s="3">
        <v>0.0</v>
      </c>
      <c r="AJ91" s="3">
        <v>25.0</v>
      </c>
    </row>
    <row r="92" ht="15.75" customHeight="1">
      <c r="A92" s="2">
        <v>46057.0</v>
      </c>
      <c r="B92" s="2">
        <v>46057.0</v>
      </c>
      <c r="C92" s="1" t="s">
        <v>308</v>
      </c>
      <c r="D92" s="1" t="s">
        <v>39</v>
      </c>
      <c r="E92" s="1" t="s">
        <v>40</v>
      </c>
      <c r="F92" s="1" t="s">
        <v>41</v>
      </c>
      <c r="G92" s="1" t="s">
        <v>42</v>
      </c>
      <c r="H92" s="1" t="s">
        <v>43</v>
      </c>
      <c r="I92" s="1" t="s">
        <v>330</v>
      </c>
      <c r="J92" s="1" t="s">
        <v>331</v>
      </c>
      <c r="M92" s="1" t="s">
        <v>46</v>
      </c>
      <c r="O92" s="1" t="s">
        <v>142</v>
      </c>
      <c r="P92" s="1" t="s">
        <v>143</v>
      </c>
      <c r="Q92" s="1" t="s">
        <v>311</v>
      </c>
      <c r="R92" s="1" t="s">
        <v>329</v>
      </c>
      <c r="S92" s="2">
        <v>46023.0</v>
      </c>
      <c r="U92" s="1" t="s">
        <v>51</v>
      </c>
      <c r="X92" s="1" t="s">
        <v>52</v>
      </c>
      <c r="AF92" s="3">
        <v>25.0</v>
      </c>
      <c r="AG92" s="3">
        <v>0.0</v>
      </c>
      <c r="AJ92" s="3">
        <v>25.0</v>
      </c>
    </row>
    <row r="93" ht="15.75" customHeight="1">
      <c r="A93" s="2">
        <v>46057.0</v>
      </c>
      <c r="B93" s="2">
        <v>46057.0</v>
      </c>
      <c r="C93" s="1" t="s">
        <v>308</v>
      </c>
      <c r="D93" s="1" t="s">
        <v>39</v>
      </c>
      <c r="E93" s="1" t="s">
        <v>40</v>
      </c>
      <c r="F93" s="1" t="s">
        <v>41</v>
      </c>
      <c r="G93" s="1" t="s">
        <v>42</v>
      </c>
      <c r="H93" s="1" t="s">
        <v>43</v>
      </c>
      <c r="I93" s="1" t="s">
        <v>332</v>
      </c>
      <c r="J93" s="1" t="s">
        <v>333</v>
      </c>
      <c r="M93" s="1" t="s">
        <v>334</v>
      </c>
      <c r="O93" s="1" t="s">
        <v>61</v>
      </c>
      <c r="P93" s="1" t="s">
        <v>62</v>
      </c>
      <c r="Q93" s="1" t="s">
        <v>311</v>
      </c>
      <c r="R93" s="1" t="s">
        <v>180</v>
      </c>
      <c r="S93" s="2">
        <v>46023.0</v>
      </c>
      <c r="U93" s="1" t="s">
        <v>51</v>
      </c>
      <c r="X93" s="1" t="s">
        <v>52</v>
      </c>
      <c r="AF93" s="3">
        <v>15.0</v>
      </c>
      <c r="AG93" s="3">
        <v>0.0</v>
      </c>
      <c r="AJ93" s="3">
        <v>15.0</v>
      </c>
    </row>
    <row r="94" ht="15.75" customHeight="1">
      <c r="A94" s="2">
        <v>46057.0</v>
      </c>
      <c r="B94" s="2">
        <v>46057.0</v>
      </c>
      <c r="C94" s="1" t="s">
        <v>308</v>
      </c>
      <c r="D94" s="1" t="s">
        <v>39</v>
      </c>
      <c r="E94" s="1" t="s">
        <v>40</v>
      </c>
      <c r="F94" s="1" t="s">
        <v>41</v>
      </c>
      <c r="G94" s="1" t="s">
        <v>42</v>
      </c>
      <c r="H94" s="1" t="s">
        <v>43</v>
      </c>
      <c r="I94" s="1" t="s">
        <v>335</v>
      </c>
      <c r="J94" s="1" t="s">
        <v>336</v>
      </c>
      <c r="M94" s="1" t="s">
        <v>177</v>
      </c>
      <c r="O94" s="1" t="s">
        <v>219</v>
      </c>
      <c r="P94" s="1" t="s">
        <v>220</v>
      </c>
      <c r="Q94" s="1" t="s">
        <v>311</v>
      </c>
      <c r="R94" s="1" t="s">
        <v>329</v>
      </c>
      <c r="S94" s="2">
        <v>46023.0</v>
      </c>
      <c r="U94" s="1" t="s">
        <v>51</v>
      </c>
      <c r="X94" s="1" t="s">
        <v>52</v>
      </c>
      <c r="AF94" s="3">
        <v>25.0</v>
      </c>
      <c r="AG94" s="3">
        <v>0.0</v>
      </c>
      <c r="AJ94" s="3">
        <v>2.08</v>
      </c>
    </row>
    <row r="95" ht="15.75" customHeight="1">
      <c r="A95" s="2">
        <v>46057.0</v>
      </c>
      <c r="B95" s="2">
        <v>46057.0</v>
      </c>
      <c r="C95" s="1" t="s">
        <v>308</v>
      </c>
      <c r="D95" s="1" t="s">
        <v>39</v>
      </c>
      <c r="E95" s="1" t="s">
        <v>40</v>
      </c>
      <c r="F95" s="1" t="s">
        <v>41</v>
      </c>
      <c r="G95" s="1" t="s">
        <v>42</v>
      </c>
      <c r="H95" s="1" t="s">
        <v>43</v>
      </c>
      <c r="I95" s="1" t="s">
        <v>337</v>
      </c>
      <c r="J95" s="1" t="s">
        <v>338</v>
      </c>
      <c r="O95" s="1" t="s">
        <v>219</v>
      </c>
      <c r="P95" s="1" t="s">
        <v>220</v>
      </c>
      <c r="Q95" s="1" t="s">
        <v>311</v>
      </c>
      <c r="R95" s="1" t="s">
        <v>329</v>
      </c>
      <c r="S95" s="2">
        <v>46023.0</v>
      </c>
      <c r="U95" s="1" t="s">
        <v>51</v>
      </c>
      <c r="X95" s="1" t="s">
        <v>52</v>
      </c>
      <c r="AF95" s="3">
        <v>25.0</v>
      </c>
      <c r="AG95" s="3">
        <v>0.0</v>
      </c>
      <c r="AJ95" s="3">
        <v>25.0</v>
      </c>
    </row>
    <row r="96" ht="15.75" customHeight="1">
      <c r="A96" s="2">
        <v>46057.0</v>
      </c>
      <c r="B96" s="2">
        <v>46057.0</v>
      </c>
      <c r="C96" s="1" t="s">
        <v>308</v>
      </c>
      <c r="D96" s="1" t="s">
        <v>39</v>
      </c>
      <c r="E96" s="1" t="s">
        <v>40</v>
      </c>
      <c r="F96" s="1" t="s">
        <v>41</v>
      </c>
      <c r="G96" s="1" t="s">
        <v>42</v>
      </c>
      <c r="H96" s="1" t="s">
        <v>43</v>
      </c>
      <c r="I96" s="1" t="s">
        <v>339</v>
      </c>
      <c r="J96" s="1" t="s">
        <v>340</v>
      </c>
      <c r="M96" s="1" t="s">
        <v>341</v>
      </c>
      <c r="O96" s="1" t="s">
        <v>342</v>
      </c>
      <c r="P96" s="1" t="s">
        <v>343</v>
      </c>
      <c r="Q96" s="1" t="s">
        <v>311</v>
      </c>
      <c r="R96" s="1" t="s">
        <v>329</v>
      </c>
      <c r="S96" s="2">
        <v>46023.0</v>
      </c>
      <c r="U96" s="1" t="s">
        <v>51</v>
      </c>
      <c r="X96" s="1" t="s">
        <v>52</v>
      </c>
      <c r="AF96" s="3">
        <v>25.0</v>
      </c>
      <c r="AG96" s="3">
        <v>0.0</v>
      </c>
      <c r="AJ96" s="3">
        <v>2.08</v>
      </c>
    </row>
    <row r="97" ht="15.75" customHeight="1">
      <c r="A97" s="2">
        <v>46057.0</v>
      </c>
      <c r="B97" s="2">
        <v>46057.0</v>
      </c>
      <c r="C97" s="1" t="s">
        <v>308</v>
      </c>
      <c r="D97" s="1" t="s">
        <v>39</v>
      </c>
      <c r="E97" s="1" t="s">
        <v>40</v>
      </c>
      <c r="F97" s="1" t="s">
        <v>41</v>
      </c>
      <c r="G97" s="1" t="s">
        <v>42</v>
      </c>
      <c r="H97" s="1" t="s">
        <v>43</v>
      </c>
      <c r="I97" s="1" t="s">
        <v>344</v>
      </c>
      <c r="J97" s="1" t="s">
        <v>345</v>
      </c>
      <c r="M97" s="1" t="s">
        <v>46</v>
      </c>
      <c r="O97" s="1" t="s">
        <v>47</v>
      </c>
      <c r="P97" s="1" t="s">
        <v>48</v>
      </c>
      <c r="Q97" s="1" t="s">
        <v>311</v>
      </c>
      <c r="R97" s="1" t="s">
        <v>346</v>
      </c>
      <c r="S97" s="2">
        <v>46054.0</v>
      </c>
      <c r="U97" s="1" t="s">
        <v>51</v>
      </c>
      <c r="X97" s="1" t="s">
        <v>52</v>
      </c>
      <c r="AF97" s="3">
        <v>100.0</v>
      </c>
      <c r="AG97" s="3">
        <v>0.0</v>
      </c>
      <c r="AJ97" s="3">
        <v>100.0</v>
      </c>
    </row>
    <row r="98" ht="15.75" customHeight="1">
      <c r="A98" s="2">
        <v>46057.0</v>
      </c>
      <c r="B98" s="2">
        <v>46057.0</v>
      </c>
      <c r="C98" s="1" t="s">
        <v>308</v>
      </c>
      <c r="D98" s="1" t="s">
        <v>39</v>
      </c>
      <c r="E98" s="1" t="s">
        <v>40</v>
      </c>
      <c r="F98" s="1" t="s">
        <v>41</v>
      </c>
      <c r="G98" s="1" t="s">
        <v>42</v>
      </c>
      <c r="H98" s="1" t="s">
        <v>43</v>
      </c>
      <c r="I98" s="1" t="s">
        <v>347</v>
      </c>
      <c r="J98" s="1" t="s">
        <v>348</v>
      </c>
      <c r="M98" s="1" t="s">
        <v>46</v>
      </c>
      <c r="O98" s="1" t="s">
        <v>47</v>
      </c>
      <c r="P98" s="1" t="s">
        <v>48</v>
      </c>
      <c r="Q98" s="1" t="s">
        <v>311</v>
      </c>
      <c r="R98" s="1" t="s">
        <v>346</v>
      </c>
      <c r="S98" s="2">
        <v>46023.0</v>
      </c>
      <c r="U98" s="1" t="s">
        <v>51</v>
      </c>
      <c r="X98" s="1" t="s">
        <v>52</v>
      </c>
      <c r="AF98" s="3">
        <v>100.0</v>
      </c>
      <c r="AG98" s="3">
        <v>0.0</v>
      </c>
      <c r="AJ98" s="3">
        <v>100.0</v>
      </c>
    </row>
    <row r="99" ht="15.75" customHeight="1">
      <c r="A99" s="2">
        <v>46057.0</v>
      </c>
      <c r="B99" s="2">
        <v>46057.0</v>
      </c>
      <c r="C99" s="1" t="s">
        <v>308</v>
      </c>
      <c r="D99" s="1" t="s">
        <v>39</v>
      </c>
      <c r="E99" s="1" t="s">
        <v>40</v>
      </c>
      <c r="F99" s="1" t="s">
        <v>41</v>
      </c>
      <c r="G99" s="1" t="s">
        <v>42</v>
      </c>
      <c r="H99" s="1" t="s">
        <v>43</v>
      </c>
      <c r="I99" s="1" t="s">
        <v>349</v>
      </c>
      <c r="J99" s="1" t="s">
        <v>350</v>
      </c>
      <c r="M99" s="1" t="s">
        <v>46</v>
      </c>
      <c r="O99" s="1" t="s">
        <v>87</v>
      </c>
      <c r="P99" s="1" t="s">
        <v>88</v>
      </c>
      <c r="Q99" s="1" t="s">
        <v>311</v>
      </c>
      <c r="R99" s="1" t="s">
        <v>346</v>
      </c>
      <c r="S99" s="2">
        <v>46082.0</v>
      </c>
      <c r="U99" s="1" t="s">
        <v>51</v>
      </c>
      <c r="X99" s="1" t="s">
        <v>52</v>
      </c>
      <c r="AF99" s="3">
        <v>100.0</v>
      </c>
      <c r="AG99" s="3">
        <v>0.0</v>
      </c>
      <c r="AJ99" s="3">
        <v>100.0</v>
      </c>
    </row>
    <row r="100" ht="15.75" customHeight="1">
      <c r="A100" s="2">
        <v>46057.0</v>
      </c>
      <c r="B100" s="2">
        <v>46057.0</v>
      </c>
      <c r="C100" s="1" t="s">
        <v>308</v>
      </c>
      <c r="D100" s="1" t="s">
        <v>39</v>
      </c>
      <c r="E100" s="1" t="s">
        <v>40</v>
      </c>
      <c r="F100" s="1" t="s">
        <v>41</v>
      </c>
      <c r="G100" s="1" t="s">
        <v>42</v>
      </c>
      <c r="H100" s="1" t="s">
        <v>43</v>
      </c>
      <c r="I100" s="1" t="s">
        <v>351</v>
      </c>
      <c r="J100" s="1" t="s">
        <v>352</v>
      </c>
      <c r="M100" s="1" t="s">
        <v>353</v>
      </c>
      <c r="O100" s="1" t="s">
        <v>354</v>
      </c>
      <c r="P100" s="1" t="s">
        <v>355</v>
      </c>
      <c r="Q100" s="1" t="s">
        <v>311</v>
      </c>
      <c r="R100" s="1" t="s">
        <v>346</v>
      </c>
      <c r="S100" s="2">
        <v>46054.0</v>
      </c>
      <c r="U100" s="1" t="s">
        <v>51</v>
      </c>
      <c r="X100" s="1" t="s">
        <v>52</v>
      </c>
      <c r="AF100" s="3">
        <v>100.0</v>
      </c>
      <c r="AG100" s="3">
        <v>0.0</v>
      </c>
      <c r="AJ100" s="3">
        <v>100.0</v>
      </c>
    </row>
    <row r="101" ht="15.75" customHeight="1">
      <c r="A101" s="2">
        <v>46057.0</v>
      </c>
      <c r="B101" s="2">
        <v>46057.0</v>
      </c>
      <c r="C101" s="1" t="s">
        <v>308</v>
      </c>
      <c r="D101" s="1" t="s">
        <v>39</v>
      </c>
      <c r="E101" s="1" t="s">
        <v>40</v>
      </c>
      <c r="F101" s="1" t="s">
        <v>41</v>
      </c>
      <c r="G101" s="1" t="s">
        <v>42</v>
      </c>
      <c r="H101" s="1" t="s">
        <v>43</v>
      </c>
      <c r="I101" s="1" t="s">
        <v>356</v>
      </c>
      <c r="J101" s="1" t="s">
        <v>80</v>
      </c>
      <c r="M101" s="1" t="s">
        <v>46</v>
      </c>
      <c r="O101" s="1" t="s">
        <v>81</v>
      </c>
      <c r="P101" s="1" t="s">
        <v>82</v>
      </c>
      <c r="Q101" s="1" t="s">
        <v>311</v>
      </c>
      <c r="R101" s="1" t="s">
        <v>261</v>
      </c>
      <c r="S101" s="2">
        <v>46023.0</v>
      </c>
      <c r="U101" s="1" t="s">
        <v>51</v>
      </c>
      <c r="X101" s="1" t="s">
        <v>52</v>
      </c>
      <c r="AF101" s="3">
        <v>347.0</v>
      </c>
      <c r="AG101" s="3">
        <v>0.0</v>
      </c>
      <c r="AJ101" s="3">
        <v>347.0</v>
      </c>
    </row>
    <row r="102" ht="15.75" customHeight="1">
      <c r="A102" s="2">
        <v>46057.0</v>
      </c>
      <c r="B102" s="2">
        <v>46057.0</v>
      </c>
      <c r="C102" s="1" t="s">
        <v>308</v>
      </c>
      <c r="D102" s="1" t="s">
        <v>39</v>
      </c>
      <c r="E102" s="1" t="s">
        <v>40</v>
      </c>
      <c r="F102" s="1" t="s">
        <v>41</v>
      </c>
      <c r="G102" s="1" t="s">
        <v>42</v>
      </c>
      <c r="H102" s="1" t="s">
        <v>43</v>
      </c>
      <c r="I102" s="1" t="s">
        <v>357</v>
      </c>
      <c r="J102" s="1" t="s">
        <v>80</v>
      </c>
      <c r="M102" s="1" t="s">
        <v>46</v>
      </c>
      <c r="O102" s="1" t="s">
        <v>81</v>
      </c>
      <c r="P102" s="1" t="s">
        <v>82</v>
      </c>
      <c r="Q102" s="1" t="s">
        <v>311</v>
      </c>
      <c r="R102" s="1" t="s">
        <v>269</v>
      </c>
      <c r="S102" s="2">
        <v>46023.0</v>
      </c>
      <c r="U102" s="1" t="s">
        <v>51</v>
      </c>
      <c r="X102" s="1" t="s">
        <v>52</v>
      </c>
      <c r="AF102" s="3">
        <v>175.0</v>
      </c>
      <c r="AG102" s="3">
        <v>0.0</v>
      </c>
      <c r="AJ102" s="3">
        <v>175.0</v>
      </c>
    </row>
    <row r="103" ht="15.75" customHeight="1">
      <c r="A103" s="2">
        <v>46057.0</v>
      </c>
      <c r="B103" s="2">
        <v>46057.0</v>
      </c>
      <c r="C103" s="1" t="s">
        <v>308</v>
      </c>
      <c r="D103" s="1" t="s">
        <v>39</v>
      </c>
      <c r="E103" s="1" t="s">
        <v>40</v>
      </c>
      <c r="F103" s="1" t="s">
        <v>41</v>
      </c>
      <c r="G103" s="1" t="s">
        <v>42</v>
      </c>
      <c r="H103" s="1" t="s">
        <v>43</v>
      </c>
      <c r="I103" s="1" t="s">
        <v>358</v>
      </c>
      <c r="J103" s="1" t="s">
        <v>359</v>
      </c>
      <c r="M103" s="1" t="s">
        <v>46</v>
      </c>
      <c r="O103" s="1" t="s">
        <v>81</v>
      </c>
      <c r="P103" s="1" t="s">
        <v>82</v>
      </c>
      <c r="Q103" s="1" t="s">
        <v>311</v>
      </c>
      <c r="R103" s="1" t="s">
        <v>329</v>
      </c>
      <c r="S103" s="2">
        <v>46023.0</v>
      </c>
      <c r="U103" s="1" t="s">
        <v>51</v>
      </c>
      <c r="X103" s="1" t="s">
        <v>52</v>
      </c>
      <c r="AF103" s="3">
        <v>25.0</v>
      </c>
      <c r="AG103" s="3">
        <v>0.0</v>
      </c>
      <c r="AJ103" s="3">
        <v>25.0</v>
      </c>
    </row>
    <row r="104" ht="15.75" customHeight="1">
      <c r="A104" s="2">
        <v>46058.0</v>
      </c>
      <c r="B104" s="2">
        <v>46056.0</v>
      </c>
      <c r="C104" s="1" t="s">
        <v>38</v>
      </c>
      <c r="D104" s="1" t="s">
        <v>39</v>
      </c>
      <c r="E104" s="1" t="s">
        <v>40</v>
      </c>
      <c r="F104" s="1" t="s">
        <v>41</v>
      </c>
      <c r="G104" s="1" t="s">
        <v>42</v>
      </c>
      <c r="H104" s="1" t="s">
        <v>43</v>
      </c>
      <c r="I104" s="1" t="s">
        <v>360</v>
      </c>
      <c r="J104" s="1" t="s">
        <v>361</v>
      </c>
      <c r="M104" s="1" t="s">
        <v>362</v>
      </c>
      <c r="O104" s="1" t="s">
        <v>363</v>
      </c>
      <c r="P104" s="1" t="s">
        <v>364</v>
      </c>
      <c r="Q104" s="1" t="s">
        <v>365</v>
      </c>
      <c r="R104" s="1" t="s">
        <v>366</v>
      </c>
      <c r="U104" s="1" t="s">
        <v>367</v>
      </c>
      <c r="X104" s="1" t="s">
        <v>52</v>
      </c>
      <c r="Y104" s="3">
        <v>0.0</v>
      </c>
      <c r="Z104" s="3">
        <v>10000.0</v>
      </c>
      <c r="AA104" s="1">
        <v>1.0</v>
      </c>
      <c r="AB104" s="4">
        <v>1.0</v>
      </c>
      <c r="AC104" s="3">
        <v>10000.0</v>
      </c>
      <c r="AD104" s="4">
        <v>0.0</v>
      </c>
      <c r="AE104" s="3">
        <v>0.0</v>
      </c>
      <c r="AF104" s="3">
        <v>10000.0</v>
      </c>
      <c r="AK104" s="1">
        <v>0.0</v>
      </c>
      <c r="AL104" s="1" t="s">
        <v>368</v>
      </c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86"/>
    <col customWidth="1" min="3" max="3" width="22.29"/>
    <col customWidth="1" min="4" max="4" width="5.57"/>
    <col customWidth="1" min="5" max="5" width="15.71"/>
    <col customWidth="1" min="6" max="6" width="10.14"/>
    <col customWidth="1" min="7" max="7" width="33.29"/>
    <col customWidth="1" min="8" max="8" width="10.14"/>
    <col customWidth="1" min="9" max="9" width="6.14"/>
    <col customWidth="1" min="10" max="10" width="7.43"/>
    <col customWidth="1" min="11" max="11" width="8.14"/>
    <col customWidth="1" min="12" max="12" width="14.57"/>
    <col customWidth="1" min="13" max="13" width="15.43"/>
    <col customWidth="1" min="14" max="14" width="39.14"/>
    <col customWidth="1" min="15" max="35" width="8.71"/>
  </cols>
  <sheetData>
    <row r="1">
      <c r="A1" s="1" t="s">
        <v>8</v>
      </c>
      <c r="C1" s="1" t="s">
        <v>9</v>
      </c>
      <c r="D1" s="1" t="s">
        <v>12</v>
      </c>
      <c r="E1" s="1" t="s">
        <v>14</v>
      </c>
      <c r="F1" s="1" t="s">
        <v>15</v>
      </c>
      <c r="G1" s="1" t="s">
        <v>17</v>
      </c>
      <c r="H1" s="1" t="s">
        <v>18</v>
      </c>
      <c r="I1" s="1" t="s">
        <v>23</v>
      </c>
      <c r="J1" s="1" t="s">
        <v>25</v>
      </c>
      <c r="K1" s="1" t="s">
        <v>26</v>
      </c>
      <c r="L1" s="1" t="s">
        <v>28</v>
      </c>
      <c r="M1" s="1" t="s">
        <v>37</v>
      </c>
    </row>
    <row r="2">
      <c r="A2" s="5">
        <v>1.011349531E11</v>
      </c>
      <c r="B2" s="5" t="str">
        <f t="shared" ref="B2:B85" si="1">CONCATENATE(A2,"OVR")</f>
        <v>101134953100OVR</v>
      </c>
      <c r="C2" s="1" t="s">
        <v>328</v>
      </c>
      <c r="D2" s="1" t="s">
        <v>177</v>
      </c>
      <c r="E2" s="1">
        <v>2.0411454E7</v>
      </c>
      <c r="F2" s="1" t="s">
        <v>369</v>
      </c>
      <c r="G2" s="1" t="s">
        <v>329</v>
      </c>
      <c r="H2" s="2">
        <v>46023.0</v>
      </c>
      <c r="I2" s="1" t="s">
        <v>52</v>
      </c>
      <c r="L2" s="6">
        <v>-25.0</v>
      </c>
      <c r="N2" s="1" t="s">
        <v>370</v>
      </c>
    </row>
    <row r="3">
      <c r="A3" s="5">
        <v>1.011372766E11</v>
      </c>
      <c r="B3" s="5" t="str">
        <f t="shared" si="1"/>
        <v>101137276600OVR</v>
      </c>
      <c r="C3" s="1" t="s">
        <v>331</v>
      </c>
      <c r="D3" s="1" t="s">
        <v>46</v>
      </c>
      <c r="E3" s="1">
        <v>2.0411454E7</v>
      </c>
      <c r="F3" s="1" t="s">
        <v>369</v>
      </c>
      <c r="G3" s="1" t="s">
        <v>329</v>
      </c>
      <c r="H3" s="2">
        <v>46023.0</v>
      </c>
      <c r="I3" s="1" t="s">
        <v>52</v>
      </c>
      <c r="L3" s="6">
        <v>-25.0</v>
      </c>
      <c r="N3" s="1" t="s">
        <v>370</v>
      </c>
    </row>
    <row r="4">
      <c r="A4" s="5">
        <v>1.015802864E11</v>
      </c>
      <c r="B4" s="5" t="str">
        <f t="shared" si="1"/>
        <v>101580286400OVR</v>
      </c>
      <c r="C4" s="1" t="s">
        <v>336</v>
      </c>
      <c r="D4" s="1" t="s">
        <v>177</v>
      </c>
      <c r="E4" s="1">
        <v>2.0411454E7</v>
      </c>
      <c r="F4" s="1" t="s">
        <v>369</v>
      </c>
      <c r="G4" s="1" t="s">
        <v>329</v>
      </c>
      <c r="H4" s="2">
        <v>46023.0</v>
      </c>
      <c r="I4" s="1" t="s">
        <v>52</v>
      </c>
      <c r="L4" s="6">
        <v>-2.08</v>
      </c>
      <c r="N4" s="1" t="s">
        <v>370</v>
      </c>
    </row>
    <row r="5">
      <c r="A5" s="5">
        <v>1.022397856E11</v>
      </c>
      <c r="B5" s="5" t="str">
        <f t="shared" si="1"/>
        <v>102239785600OVR</v>
      </c>
      <c r="C5" s="1" t="s">
        <v>338</v>
      </c>
      <c r="E5" s="1">
        <v>2.0411454E7</v>
      </c>
      <c r="F5" s="1" t="s">
        <v>369</v>
      </c>
      <c r="G5" s="1" t="s">
        <v>329</v>
      </c>
      <c r="H5" s="2">
        <v>46023.0</v>
      </c>
      <c r="I5" s="1" t="s">
        <v>52</v>
      </c>
      <c r="L5" s="6">
        <v>-25.0</v>
      </c>
      <c r="N5" s="1" t="s">
        <v>370</v>
      </c>
    </row>
    <row r="6">
      <c r="A6" s="5">
        <v>1.022556476E11</v>
      </c>
      <c r="B6" s="5" t="str">
        <f t="shared" si="1"/>
        <v>102255647600OVR</v>
      </c>
      <c r="C6" s="1" t="s">
        <v>340</v>
      </c>
      <c r="D6" s="1" t="s">
        <v>341</v>
      </c>
      <c r="E6" s="1">
        <v>2.0411454E7</v>
      </c>
      <c r="F6" s="1" t="s">
        <v>369</v>
      </c>
      <c r="G6" s="1" t="s">
        <v>329</v>
      </c>
      <c r="H6" s="2">
        <v>46023.0</v>
      </c>
      <c r="I6" s="1" t="s">
        <v>52</v>
      </c>
      <c r="L6" s="6">
        <v>-2.08</v>
      </c>
      <c r="N6" s="1" t="s">
        <v>370</v>
      </c>
    </row>
    <row r="7">
      <c r="A7" s="5" t="s">
        <v>371</v>
      </c>
      <c r="B7" s="5" t="str">
        <f t="shared" si="1"/>
        <v>MEQNQMZM00001984088OVR</v>
      </c>
      <c r="C7" s="1" t="s">
        <v>359</v>
      </c>
      <c r="D7" s="1" t="s">
        <v>46</v>
      </c>
      <c r="E7" s="1">
        <v>2.0411454E7</v>
      </c>
      <c r="F7" s="1" t="s">
        <v>369</v>
      </c>
      <c r="G7" s="1" t="s">
        <v>329</v>
      </c>
      <c r="H7" s="2">
        <v>46023.0</v>
      </c>
      <c r="I7" s="1" t="s">
        <v>52</v>
      </c>
      <c r="L7" s="6">
        <v>-25.0</v>
      </c>
      <c r="N7" s="1" t="s">
        <v>370</v>
      </c>
    </row>
    <row r="8">
      <c r="A8" s="5">
        <v>1.010735766E11</v>
      </c>
      <c r="B8" s="5" t="str">
        <f t="shared" si="1"/>
        <v>101073576600OVR</v>
      </c>
      <c r="C8" s="1" t="s">
        <v>176</v>
      </c>
      <c r="D8" s="1" t="s">
        <v>177</v>
      </c>
      <c r="E8" s="1">
        <v>2.0411454E7</v>
      </c>
      <c r="F8" s="1" t="s">
        <v>369</v>
      </c>
      <c r="G8" s="1" t="s">
        <v>180</v>
      </c>
      <c r="H8" s="2">
        <v>46023.0</v>
      </c>
      <c r="I8" s="1" t="s">
        <v>52</v>
      </c>
      <c r="J8" s="3">
        <v>15.0</v>
      </c>
      <c r="K8" s="1">
        <v>1.0</v>
      </c>
      <c r="L8" s="3">
        <v>15.0</v>
      </c>
      <c r="N8" s="1" t="s">
        <v>370</v>
      </c>
    </row>
    <row r="9">
      <c r="A9" s="5">
        <v>1.011372896E11</v>
      </c>
      <c r="B9" s="5" t="str">
        <f t="shared" si="1"/>
        <v>101137289600OVR</v>
      </c>
      <c r="C9" s="1" t="s">
        <v>182</v>
      </c>
      <c r="D9" s="1" t="s">
        <v>177</v>
      </c>
      <c r="E9" s="1">
        <v>2.0411454E7</v>
      </c>
      <c r="F9" s="1" t="s">
        <v>369</v>
      </c>
      <c r="G9" s="1" t="s">
        <v>180</v>
      </c>
      <c r="H9" s="2">
        <v>46023.0</v>
      </c>
      <c r="I9" s="1" t="s">
        <v>52</v>
      </c>
      <c r="J9" s="3">
        <v>15.0</v>
      </c>
      <c r="K9" s="1">
        <v>1.0</v>
      </c>
      <c r="L9" s="3">
        <v>15.0</v>
      </c>
      <c r="N9" s="1" t="s">
        <v>370</v>
      </c>
    </row>
    <row r="10">
      <c r="A10" s="5">
        <v>1.022117436E11</v>
      </c>
      <c r="B10" s="5" t="str">
        <f t="shared" si="1"/>
        <v>102211743600OVR</v>
      </c>
      <c r="C10" s="1" t="s">
        <v>202</v>
      </c>
      <c r="D10" s="1" t="s">
        <v>46</v>
      </c>
      <c r="E10" s="1">
        <v>2.0411454E7</v>
      </c>
      <c r="F10" s="1" t="s">
        <v>369</v>
      </c>
      <c r="G10" s="1" t="s">
        <v>180</v>
      </c>
      <c r="H10" s="2">
        <v>46023.0</v>
      </c>
      <c r="I10" s="1" t="s">
        <v>52</v>
      </c>
      <c r="J10" s="3">
        <v>15.0</v>
      </c>
      <c r="K10" s="1">
        <v>1.0</v>
      </c>
      <c r="L10" s="3">
        <v>15.0</v>
      </c>
      <c r="N10" s="1" t="s">
        <v>370</v>
      </c>
    </row>
    <row r="11">
      <c r="A11" s="5">
        <v>1.022577895E11</v>
      </c>
      <c r="B11" s="5" t="str">
        <f t="shared" si="1"/>
        <v>102257789500OVR</v>
      </c>
      <c r="C11" s="1" t="s">
        <v>206</v>
      </c>
      <c r="D11" s="1" t="s">
        <v>177</v>
      </c>
      <c r="E11" s="1">
        <v>2.0411454E7</v>
      </c>
      <c r="F11" s="1" t="s">
        <v>369</v>
      </c>
      <c r="G11" s="1" t="s">
        <v>180</v>
      </c>
      <c r="H11" s="2">
        <v>46023.0</v>
      </c>
      <c r="I11" s="1" t="s">
        <v>52</v>
      </c>
      <c r="J11" s="3">
        <v>15.0</v>
      </c>
      <c r="K11" s="1">
        <v>1.0</v>
      </c>
      <c r="L11" s="3">
        <v>15.0</v>
      </c>
      <c r="N11" s="1" t="s">
        <v>370</v>
      </c>
    </row>
    <row r="12">
      <c r="A12" s="5">
        <v>1.022581315E11</v>
      </c>
      <c r="B12" s="5" t="str">
        <f t="shared" si="1"/>
        <v>102258131500OVR</v>
      </c>
      <c r="C12" s="1" t="s">
        <v>227</v>
      </c>
      <c r="D12" s="1" t="s">
        <v>177</v>
      </c>
      <c r="E12" s="1">
        <v>2.0411454E7</v>
      </c>
      <c r="F12" s="1" t="s">
        <v>369</v>
      </c>
      <c r="G12" s="1" t="s">
        <v>180</v>
      </c>
      <c r="H12" s="2">
        <v>46023.0</v>
      </c>
      <c r="I12" s="1" t="s">
        <v>52</v>
      </c>
      <c r="J12" s="3">
        <v>15.0</v>
      </c>
      <c r="K12" s="1">
        <v>1.0</v>
      </c>
      <c r="L12" s="3">
        <v>15.0</v>
      </c>
      <c r="N12" s="1" t="s">
        <v>370</v>
      </c>
    </row>
    <row r="13">
      <c r="A13" s="5">
        <v>1.012286634E11</v>
      </c>
      <c r="B13" s="5" t="str">
        <f t="shared" si="1"/>
        <v>101228663400OVR</v>
      </c>
      <c r="C13" s="1" t="s">
        <v>333</v>
      </c>
      <c r="D13" s="1" t="s">
        <v>334</v>
      </c>
      <c r="E13" s="1">
        <v>2.0411454E7</v>
      </c>
      <c r="F13" s="1" t="s">
        <v>369</v>
      </c>
      <c r="G13" s="1" t="s">
        <v>180</v>
      </c>
      <c r="H13" s="2">
        <v>46023.0</v>
      </c>
      <c r="I13" s="1" t="s">
        <v>52</v>
      </c>
      <c r="L13" s="6">
        <v>-15.0</v>
      </c>
      <c r="N13" s="1" t="s">
        <v>370</v>
      </c>
    </row>
    <row r="14">
      <c r="A14" s="5">
        <v>1.015405297E11</v>
      </c>
      <c r="B14" s="5" t="str">
        <f t="shared" si="1"/>
        <v>101540529700OVR</v>
      </c>
      <c r="C14" s="1" t="s">
        <v>184</v>
      </c>
      <c r="D14" s="1" t="s">
        <v>46</v>
      </c>
      <c r="E14" s="1">
        <v>2.0411454E7</v>
      </c>
      <c r="F14" s="1" t="s">
        <v>369</v>
      </c>
      <c r="G14" s="1" t="s">
        <v>187</v>
      </c>
      <c r="H14" s="2">
        <v>46054.0</v>
      </c>
      <c r="I14" s="1" t="s">
        <v>52</v>
      </c>
      <c r="J14" s="3">
        <v>22.92</v>
      </c>
      <c r="K14" s="1">
        <v>1.0</v>
      </c>
      <c r="L14" s="3">
        <v>22.92</v>
      </c>
      <c r="M14" s="1" t="s">
        <v>188</v>
      </c>
      <c r="N14" s="1" t="s">
        <v>370</v>
      </c>
    </row>
    <row r="15">
      <c r="A15" s="5">
        <v>1.015533427E11</v>
      </c>
      <c r="B15" s="5" t="str">
        <f t="shared" si="1"/>
        <v>101553342700OVR</v>
      </c>
      <c r="C15" s="1" t="s">
        <v>190</v>
      </c>
      <c r="D15" s="1" t="s">
        <v>172</v>
      </c>
      <c r="E15" s="1">
        <v>2.0411454E7</v>
      </c>
      <c r="F15" s="1" t="s">
        <v>369</v>
      </c>
      <c r="G15" s="1" t="s">
        <v>187</v>
      </c>
      <c r="H15" s="2">
        <v>46054.0</v>
      </c>
      <c r="I15" s="1" t="s">
        <v>52</v>
      </c>
      <c r="J15" s="3">
        <v>22.92</v>
      </c>
      <c r="K15" s="1">
        <v>1.0</v>
      </c>
      <c r="L15" s="3">
        <v>22.92</v>
      </c>
      <c r="M15" s="1" t="s">
        <v>188</v>
      </c>
      <c r="N15" s="1" t="s">
        <v>370</v>
      </c>
    </row>
    <row r="16">
      <c r="A16" s="5">
        <v>1.018270477E11</v>
      </c>
      <c r="B16" s="5" t="str">
        <f t="shared" si="1"/>
        <v>101827047700OVR</v>
      </c>
      <c r="C16" s="1" t="s">
        <v>192</v>
      </c>
      <c r="D16" s="1" t="s">
        <v>46</v>
      </c>
      <c r="E16" s="1">
        <v>2.0411454E7</v>
      </c>
      <c r="F16" s="1" t="s">
        <v>369</v>
      </c>
      <c r="G16" s="1" t="s">
        <v>187</v>
      </c>
      <c r="H16" s="2">
        <v>46054.0</v>
      </c>
      <c r="I16" s="1" t="s">
        <v>52</v>
      </c>
      <c r="J16" s="3">
        <v>22.92</v>
      </c>
      <c r="K16" s="1">
        <v>1.0</v>
      </c>
      <c r="L16" s="3">
        <v>22.92</v>
      </c>
      <c r="M16" s="1" t="s">
        <v>188</v>
      </c>
      <c r="N16" s="1" t="s">
        <v>370</v>
      </c>
    </row>
    <row r="17">
      <c r="A17" s="5">
        <v>1.018531916E11</v>
      </c>
      <c r="B17" s="5" t="str">
        <f t="shared" si="1"/>
        <v>101853191600OVR</v>
      </c>
      <c r="C17" s="1" t="s">
        <v>194</v>
      </c>
      <c r="D17" s="1" t="s">
        <v>46</v>
      </c>
      <c r="E17" s="1">
        <v>2.0411454E7</v>
      </c>
      <c r="F17" s="1" t="s">
        <v>369</v>
      </c>
      <c r="G17" s="1" t="s">
        <v>187</v>
      </c>
      <c r="H17" s="2">
        <v>46054.0</v>
      </c>
      <c r="I17" s="1" t="s">
        <v>52</v>
      </c>
      <c r="J17" s="3">
        <v>22.92</v>
      </c>
      <c r="K17" s="1">
        <v>1.0</v>
      </c>
      <c r="L17" s="3">
        <v>22.92</v>
      </c>
      <c r="M17" s="1" t="s">
        <v>188</v>
      </c>
      <c r="N17" s="1" t="s">
        <v>370</v>
      </c>
    </row>
    <row r="18">
      <c r="A18" s="5">
        <v>1.019146145E11</v>
      </c>
      <c r="B18" s="5" t="str">
        <f t="shared" si="1"/>
        <v>101914614500OVR</v>
      </c>
      <c r="C18" s="1" t="s">
        <v>196</v>
      </c>
      <c r="D18" s="1" t="s">
        <v>177</v>
      </c>
      <c r="E18" s="1">
        <v>2.0411454E7</v>
      </c>
      <c r="F18" s="1" t="s">
        <v>369</v>
      </c>
      <c r="G18" s="1" t="s">
        <v>187</v>
      </c>
      <c r="H18" s="2">
        <v>46054.0</v>
      </c>
      <c r="I18" s="1" t="s">
        <v>52</v>
      </c>
      <c r="J18" s="3">
        <v>22.92</v>
      </c>
      <c r="K18" s="1">
        <v>1.0</v>
      </c>
      <c r="L18" s="3">
        <v>22.92</v>
      </c>
      <c r="M18" s="1" t="s">
        <v>188</v>
      </c>
      <c r="N18" s="1" t="s">
        <v>370</v>
      </c>
    </row>
    <row r="19">
      <c r="A19" s="5">
        <v>1.019440188E11</v>
      </c>
      <c r="B19" s="5" t="str">
        <f t="shared" si="1"/>
        <v>101944018800OVR</v>
      </c>
      <c r="C19" s="1" t="s">
        <v>198</v>
      </c>
      <c r="D19" s="1" t="s">
        <v>46</v>
      </c>
      <c r="E19" s="1">
        <v>2.0411454E7</v>
      </c>
      <c r="F19" s="1" t="s">
        <v>369</v>
      </c>
      <c r="G19" s="1" t="s">
        <v>187</v>
      </c>
      <c r="H19" s="2">
        <v>46054.0</v>
      </c>
      <c r="I19" s="1" t="s">
        <v>52</v>
      </c>
      <c r="J19" s="3">
        <v>22.92</v>
      </c>
      <c r="K19" s="1">
        <v>1.0</v>
      </c>
      <c r="L19" s="3">
        <v>22.92</v>
      </c>
      <c r="M19" s="1" t="s">
        <v>188</v>
      </c>
      <c r="N19" s="1" t="s">
        <v>370</v>
      </c>
    </row>
    <row r="20">
      <c r="A20" s="5">
        <v>1.020856408E11</v>
      </c>
      <c r="B20" s="5" t="str">
        <f t="shared" si="1"/>
        <v>102085640800OVR</v>
      </c>
      <c r="C20" s="1" t="s">
        <v>200</v>
      </c>
      <c r="D20" s="1" t="s">
        <v>46</v>
      </c>
      <c r="E20" s="1">
        <v>2.0411454E7</v>
      </c>
      <c r="F20" s="1" t="s">
        <v>369</v>
      </c>
      <c r="G20" s="1" t="s">
        <v>187</v>
      </c>
      <c r="H20" s="2">
        <v>46054.0</v>
      </c>
      <c r="I20" s="1" t="s">
        <v>52</v>
      </c>
      <c r="J20" s="3">
        <v>22.92</v>
      </c>
      <c r="K20" s="1">
        <v>1.0</v>
      </c>
      <c r="L20" s="3">
        <v>22.92</v>
      </c>
      <c r="M20" s="1" t="s">
        <v>188</v>
      </c>
      <c r="N20" s="1" t="s">
        <v>370</v>
      </c>
    </row>
    <row r="21" ht="15.75" customHeight="1">
      <c r="A21" s="5">
        <v>1.022579705E11</v>
      </c>
      <c r="B21" s="5" t="str">
        <f t="shared" si="1"/>
        <v>102257970500OVR</v>
      </c>
      <c r="C21" s="1" t="s">
        <v>209</v>
      </c>
      <c r="D21" s="1" t="s">
        <v>172</v>
      </c>
      <c r="E21" s="1">
        <v>2.0411454E7</v>
      </c>
      <c r="F21" s="1" t="s">
        <v>369</v>
      </c>
      <c r="G21" s="1" t="s">
        <v>187</v>
      </c>
      <c r="H21" s="2">
        <v>46054.0</v>
      </c>
      <c r="I21" s="1" t="s">
        <v>52</v>
      </c>
      <c r="J21" s="3">
        <v>22.92</v>
      </c>
      <c r="K21" s="1">
        <v>1.0</v>
      </c>
      <c r="L21" s="3">
        <v>22.92</v>
      </c>
      <c r="M21" s="1" t="s">
        <v>188</v>
      </c>
      <c r="N21" s="1" t="s">
        <v>370</v>
      </c>
    </row>
    <row r="22" ht="15.75" customHeight="1">
      <c r="A22" s="5">
        <v>1.02258019E11</v>
      </c>
      <c r="B22" s="5" t="str">
        <f t="shared" si="1"/>
        <v>102258019000OVR</v>
      </c>
      <c r="C22" s="1" t="s">
        <v>213</v>
      </c>
      <c r="D22" s="1" t="s">
        <v>46</v>
      </c>
      <c r="E22" s="1">
        <v>2.0411454E7</v>
      </c>
      <c r="F22" s="1" t="s">
        <v>369</v>
      </c>
      <c r="G22" s="1" t="s">
        <v>187</v>
      </c>
      <c r="H22" s="2">
        <v>46082.0</v>
      </c>
      <c r="I22" s="1" t="s">
        <v>52</v>
      </c>
      <c r="J22" s="3">
        <v>20.83</v>
      </c>
      <c r="K22" s="1">
        <v>1.0</v>
      </c>
      <c r="L22" s="3">
        <v>20.83</v>
      </c>
      <c r="M22" s="1" t="s">
        <v>216</v>
      </c>
      <c r="N22" s="1" t="s">
        <v>370</v>
      </c>
    </row>
    <row r="23" ht="15.75" customHeight="1">
      <c r="A23" s="5">
        <v>1.022580401E11</v>
      </c>
      <c r="B23" s="5" t="str">
        <f t="shared" si="1"/>
        <v>102258040100OVR</v>
      </c>
      <c r="C23" s="1" t="s">
        <v>218</v>
      </c>
      <c r="D23" s="1" t="s">
        <v>177</v>
      </c>
      <c r="E23" s="1">
        <v>2.0411454E7</v>
      </c>
      <c r="F23" s="1" t="s">
        <v>369</v>
      </c>
      <c r="G23" s="1" t="s">
        <v>187</v>
      </c>
      <c r="H23" s="2">
        <v>46054.0</v>
      </c>
      <c r="I23" s="1" t="s">
        <v>52</v>
      </c>
      <c r="J23" s="3">
        <v>22.92</v>
      </c>
      <c r="K23" s="1">
        <v>1.0</v>
      </c>
      <c r="L23" s="3">
        <v>22.92</v>
      </c>
      <c r="M23" s="1" t="s">
        <v>188</v>
      </c>
      <c r="N23" s="1" t="s">
        <v>370</v>
      </c>
    </row>
    <row r="24" ht="15.75" customHeight="1">
      <c r="A24" s="5">
        <v>1.022580531E11</v>
      </c>
      <c r="B24" s="5" t="str">
        <f t="shared" si="1"/>
        <v>102258053100OVR</v>
      </c>
      <c r="C24" s="1" t="s">
        <v>222</v>
      </c>
      <c r="D24" s="1" t="s">
        <v>223</v>
      </c>
      <c r="E24" s="1">
        <v>2.0411454E7</v>
      </c>
      <c r="F24" s="1" t="s">
        <v>369</v>
      </c>
      <c r="G24" s="1" t="s">
        <v>187</v>
      </c>
      <c r="H24" s="2">
        <v>46054.0</v>
      </c>
      <c r="I24" s="1" t="s">
        <v>52</v>
      </c>
      <c r="J24" s="3">
        <v>22.92</v>
      </c>
      <c r="K24" s="1">
        <v>1.0</v>
      </c>
      <c r="L24" s="3">
        <v>22.92</v>
      </c>
      <c r="M24" s="1" t="s">
        <v>188</v>
      </c>
      <c r="N24" s="1" t="s">
        <v>370</v>
      </c>
    </row>
    <row r="25" ht="15.75" customHeight="1">
      <c r="A25" s="5">
        <v>1.022582388E11</v>
      </c>
      <c r="B25" s="5" t="str">
        <f t="shared" si="1"/>
        <v>102258238800OVR</v>
      </c>
      <c r="C25" s="1" t="s">
        <v>231</v>
      </c>
      <c r="D25" s="1" t="s">
        <v>177</v>
      </c>
      <c r="E25" s="1">
        <v>2.0411454E7</v>
      </c>
      <c r="F25" s="1" t="s">
        <v>369</v>
      </c>
      <c r="G25" s="1" t="s">
        <v>187</v>
      </c>
      <c r="H25" s="2">
        <v>46054.0</v>
      </c>
      <c r="I25" s="1" t="s">
        <v>52</v>
      </c>
      <c r="J25" s="3">
        <v>22.92</v>
      </c>
      <c r="K25" s="1">
        <v>1.0</v>
      </c>
      <c r="L25" s="3">
        <v>22.92</v>
      </c>
      <c r="M25" s="1" t="s">
        <v>188</v>
      </c>
      <c r="N25" s="1" t="s">
        <v>370</v>
      </c>
    </row>
    <row r="26" ht="15.75" customHeight="1">
      <c r="A26" s="5">
        <v>1.022582522E11</v>
      </c>
      <c r="B26" s="5" t="str">
        <f t="shared" si="1"/>
        <v>102258252200OVR</v>
      </c>
      <c r="C26" s="1" t="s">
        <v>235</v>
      </c>
      <c r="D26" s="1" t="s">
        <v>177</v>
      </c>
      <c r="E26" s="1">
        <v>2.0411454E7</v>
      </c>
      <c r="F26" s="1" t="s">
        <v>369</v>
      </c>
      <c r="G26" s="1" t="s">
        <v>187</v>
      </c>
      <c r="H26" s="2">
        <v>46054.0</v>
      </c>
      <c r="I26" s="1" t="s">
        <v>52</v>
      </c>
      <c r="J26" s="3">
        <v>22.92</v>
      </c>
      <c r="K26" s="1">
        <v>1.0</v>
      </c>
      <c r="L26" s="3">
        <v>22.92</v>
      </c>
      <c r="M26" s="1" t="s">
        <v>188</v>
      </c>
      <c r="N26" s="1" t="s">
        <v>370</v>
      </c>
    </row>
    <row r="27" ht="15.75" customHeight="1">
      <c r="A27" s="5">
        <v>1.022584118E11</v>
      </c>
      <c r="B27" s="5" t="str">
        <f t="shared" si="1"/>
        <v>102258411800OVR</v>
      </c>
      <c r="C27" s="1" t="s">
        <v>237</v>
      </c>
      <c r="D27" s="1" t="s">
        <v>172</v>
      </c>
      <c r="E27" s="1">
        <v>2.0411454E7</v>
      </c>
      <c r="F27" s="1" t="s">
        <v>369</v>
      </c>
      <c r="G27" s="1" t="s">
        <v>187</v>
      </c>
      <c r="H27" s="2">
        <v>46054.0</v>
      </c>
      <c r="I27" s="1" t="s">
        <v>52</v>
      </c>
      <c r="J27" s="3">
        <v>22.92</v>
      </c>
      <c r="K27" s="1">
        <v>1.0</v>
      </c>
      <c r="L27" s="3">
        <v>22.92</v>
      </c>
      <c r="M27" s="1" t="s">
        <v>188</v>
      </c>
      <c r="N27" s="1" t="s">
        <v>370</v>
      </c>
    </row>
    <row r="28" ht="15.75" customHeight="1">
      <c r="A28" s="5">
        <v>1.022584365E11</v>
      </c>
      <c r="B28" s="5" t="str">
        <f t="shared" si="1"/>
        <v>102258436500OVR</v>
      </c>
      <c r="C28" s="1" t="s">
        <v>239</v>
      </c>
      <c r="D28" s="1" t="s">
        <v>46</v>
      </c>
      <c r="E28" s="1">
        <v>2.0411454E7</v>
      </c>
      <c r="F28" s="1" t="s">
        <v>369</v>
      </c>
      <c r="G28" s="1" t="s">
        <v>187</v>
      </c>
      <c r="H28" s="2">
        <v>46054.0</v>
      </c>
      <c r="I28" s="1" t="s">
        <v>52</v>
      </c>
      <c r="J28" s="3">
        <v>22.92</v>
      </c>
      <c r="K28" s="1">
        <v>1.0</v>
      </c>
      <c r="L28" s="3">
        <v>22.92</v>
      </c>
      <c r="M28" s="1" t="s">
        <v>188</v>
      </c>
      <c r="N28" s="1" t="s">
        <v>370</v>
      </c>
    </row>
    <row r="29" ht="15.75" customHeight="1">
      <c r="A29" s="5">
        <v>1.022586409E11</v>
      </c>
      <c r="B29" s="5" t="str">
        <f t="shared" si="1"/>
        <v>102258640900OVR</v>
      </c>
      <c r="C29" s="1" t="s">
        <v>241</v>
      </c>
      <c r="D29" s="1" t="s">
        <v>46</v>
      </c>
      <c r="E29" s="1">
        <v>2.0411454E7</v>
      </c>
      <c r="F29" s="1" t="s">
        <v>369</v>
      </c>
      <c r="G29" s="1" t="s">
        <v>187</v>
      </c>
      <c r="H29" s="2">
        <v>46054.0</v>
      </c>
      <c r="I29" s="1" t="s">
        <v>52</v>
      </c>
      <c r="J29" s="3">
        <v>22.92</v>
      </c>
      <c r="K29" s="1">
        <v>1.0</v>
      </c>
      <c r="L29" s="3">
        <v>22.92</v>
      </c>
      <c r="M29" s="1" t="s">
        <v>188</v>
      </c>
      <c r="N29" s="1" t="s">
        <v>370</v>
      </c>
    </row>
    <row r="30" ht="15.75" customHeight="1">
      <c r="A30" s="5">
        <v>1.022590258E11</v>
      </c>
      <c r="B30" s="5" t="str">
        <f t="shared" si="1"/>
        <v>102259025800OVR</v>
      </c>
      <c r="C30" s="1" t="s">
        <v>243</v>
      </c>
      <c r="D30" s="1" t="s">
        <v>172</v>
      </c>
      <c r="E30" s="1">
        <v>2.0411454E7</v>
      </c>
      <c r="F30" s="1" t="s">
        <v>369</v>
      </c>
      <c r="G30" s="1" t="s">
        <v>187</v>
      </c>
      <c r="H30" s="2">
        <v>46054.0</v>
      </c>
      <c r="I30" s="1" t="s">
        <v>52</v>
      </c>
      <c r="J30" s="3">
        <v>22.92</v>
      </c>
      <c r="K30" s="1">
        <v>1.0</v>
      </c>
      <c r="L30" s="3">
        <v>22.92</v>
      </c>
      <c r="M30" s="1" t="s">
        <v>188</v>
      </c>
      <c r="N30" s="1" t="s">
        <v>370</v>
      </c>
    </row>
    <row r="31" ht="15.75" customHeight="1">
      <c r="A31" s="5">
        <v>1.022593079E11</v>
      </c>
      <c r="B31" s="5" t="str">
        <f t="shared" si="1"/>
        <v>102259307900OVR</v>
      </c>
      <c r="C31" s="1" t="s">
        <v>245</v>
      </c>
      <c r="D31" s="1" t="s">
        <v>46</v>
      </c>
      <c r="E31" s="1">
        <v>2.0411454E7</v>
      </c>
      <c r="F31" s="1" t="s">
        <v>369</v>
      </c>
      <c r="G31" s="1" t="s">
        <v>187</v>
      </c>
      <c r="H31" s="2">
        <v>46054.0</v>
      </c>
      <c r="I31" s="1" t="s">
        <v>52</v>
      </c>
      <c r="J31" s="3">
        <v>22.92</v>
      </c>
      <c r="K31" s="1">
        <v>1.0</v>
      </c>
      <c r="L31" s="3">
        <v>22.92</v>
      </c>
      <c r="M31" s="1" t="s">
        <v>188</v>
      </c>
      <c r="N31" s="1" t="s">
        <v>370</v>
      </c>
    </row>
    <row r="32" ht="15.75" customHeight="1">
      <c r="A32" s="5">
        <v>1.022593155E11</v>
      </c>
      <c r="B32" s="5" t="str">
        <f t="shared" si="1"/>
        <v>102259315500OVR</v>
      </c>
      <c r="C32" s="1" t="s">
        <v>247</v>
      </c>
      <c r="D32" s="1" t="s">
        <v>46</v>
      </c>
      <c r="E32" s="1">
        <v>2.0411454E7</v>
      </c>
      <c r="F32" s="1" t="s">
        <v>369</v>
      </c>
      <c r="G32" s="1" t="s">
        <v>187</v>
      </c>
      <c r="H32" s="2">
        <v>46054.0</v>
      </c>
      <c r="I32" s="1" t="s">
        <v>52</v>
      </c>
      <c r="J32" s="3">
        <v>22.92</v>
      </c>
      <c r="K32" s="1">
        <v>1.0</v>
      </c>
      <c r="L32" s="3">
        <v>22.92</v>
      </c>
      <c r="M32" s="1" t="s">
        <v>188</v>
      </c>
      <c r="N32" s="1" t="s">
        <v>370</v>
      </c>
    </row>
    <row r="33" ht="15.75" customHeight="1">
      <c r="A33" s="5">
        <v>1.022593461E11</v>
      </c>
      <c r="B33" s="5" t="str">
        <f t="shared" si="1"/>
        <v>102259346100OVR</v>
      </c>
      <c r="C33" s="1" t="s">
        <v>249</v>
      </c>
      <c r="D33" s="1" t="s">
        <v>46</v>
      </c>
      <c r="E33" s="1">
        <v>2.0411454E7</v>
      </c>
      <c r="F33" s="1" t="s">
        <v>369</v>
      </c>
      <c r="G33" s="1" t="s">
        <v>187</v>
      </c>
      <c r="H33" s="2">
        <v>46054.0</v>
      </c>
      <c r="I33" s="1" t="s">
        <v>52</v>
      </c>
      <c r="J33" s="3">
        <v>22.92</v>
      </c>
      <c r="K33" s="1">
        <v>1.0</v>
      </c>
      <c r="L33" s="3">
        <v>22.92</v>
      </c>
      <c r="M33" s="1" t="s">
        <v>188</v>
      </c>
      <c r="N33" s="1" t="s">
        <v>370</v>
      </c>
    </row>
    <row r="34" ht="15.75" customHeight="1">
      <c r="A34" s="5">
        <v>1.022593998E11</v>
      </c>
      <c r="B34" s="5" t="str">
        <f t="shared" si="1"/>
        <v>102259399800OVR</v>
      </c>
      <c r="C34" s="1" t="s">
        <v>251</v>
      </c>
      <c r="D34" s="1" t="s">
        <v>177</v>
      </c>
      <c r="E34" s="1">
        <v>2.0411454E7</v>
      </c>
      <c r="F34" s="1" t="s">
        <v>369</v>
      </c>
      <c r="G34" s="1" t="s">
        <v>187</v>
      </c>
      <c r="H34" s="2">
        <v>46054.0</v>
      </c>
      <c r="I34" s="1" t="s">
        <v>52</v>
      </c>
      <c r="J34" s="3">
        <v>22.92</v>
      </c>
      <c r="K34" s="1">
        <v>1.0</v>
      </c>
      <c r="L34" s="3">
        <v>22.92</v>
      </c>
      <c r="M34" s="1" t="s">
        <v>188</v>
      </c>
      <c r="N34" s="1" t="s">
        <v>370</v>
      </c>
    </row>
    <row r="35" ht="15.75" customHeight="1">
      <c r="A35" s="5">
        <v>1.022594072E11</v>
      </c>
      <c r="B35" s="5" t="str">
        <f t="shared" si="1"/>
        <v>102259407200OVR</v>
      </c>
      <c r="C35" s="1" t="s">
        <v>253</v>
      </c>
      <c r="D35" s="1" t="s">
        <v>177</v>
      </c>
      <c r="E35" s="1">
        <v>2.0411454E7</v>
      </c>
      <c r="F35" s="1" t="s">
        <v>369</v>
      </c>
      <c r="G35" s="1" t="s">
        <v>187</v>
      </c>
      <c r="H35" s="2">
        <v>46054.0</v>
      </c>
      <c r="I35" s="1" t="s">
        <v>52</v>
      </c>
      <c r="J35" s="3">
        <v>22.92</v>
      </c>
      <c r="K35" s="1">
        <v>1.0</v>
      </c>
      <c r="L35" s="3">
        <v>22.92</v>
      </c>
      <c r="M35" s="1" t="s">
        <v>188</v>
      </c>
      <c r="N35" s="1" t="s">
        <v>370</v>
      </c>
    </row>
    <row r="36" ht="15.75" customHeight="1">
      <c r="A36" s="5">
        <v>1.022594166E11</v>
      </c>
      <c r="B36" s="5" t="str">
        <f t="shared" si="1"/>
        <v>102259416600OVR</v>
      </c>
      <c r="C36" s="1" t="s">
        <v>255</v>
      </c>
      <c r="D36" s="1" t="s">
        <v>172</v>
      </c>
      <c r="E36" s="1">
        <v>2.0411454E7</v>
      </c>
      <c r="F36" s="1" t="s">
        <v>369</v>
      </c>
      <c r="G36" s="1" t="s">
        <v>187</v>
      </c>
      <c r="H36" s="2">
        <v>46054.0</v>
      </c>
      <c r="I36" s="1" t="s">
        <v>52</v>
      </c>
      <c r="J36" s="3">
        <v>22.92</v>
      </c>
      <c r="K36" s="1">
        <v>1.0</v>
      </c>
      <c r="L36" s="3">
        <v>22.92</v>
      </c>
      <c r="M36" s="1" t="s">
        <v>188</v>
      </c>
      <c r="N36" s="1" t="s">
        <v>370</v>
      </c>
    </row>
    <row r="37" ht="15.75" customHeight="1">
      <c r="A37" s="5" t="s">
        <v>372</v>
      </c>
      <c r="B37" s="5" t="str">
        <f t="shared" si="1"/>
        <v>MEQNQXIX00001348472OVR</v>
      </c>
      <c r="C37" s="1" t="s">
        <v>307</v>
      </c>
      <c r="D37" s="1" t="s">
        <v>46</v>
      </c>
      <c r="E37" s="1">
        <v>2.0411454E7</v>
      </c>
      <c r="F37" s="1" t="s">
        <v>369</v>
      </c>
      <c r="G37" s="1" t="s">
        <v>187</v>
      </c>
      <c r="H37" s="2">
        <v>46054.0</v>
      </c>
      <c r="I37" s="1" t="s">
        <v>52</v>
      </c>
      <c r="J37" s="3">
        <v>22.92</v>
      </c>
      <c r="K37" s="1">
        <v>1.0</v>
      </c>
      <c r="L37" s="3">
        <v>22.92</v>
      </c>
      <c r="M37" s="1" t="s">
        <v>188</v>
      </c>
      <c r="N37" s="1" t="s">
        <v>370</v>
      </c>
    </row>
    <row r="38" ht="15.75" customHeight="1">
      <c r="A38" s="5" t="s">
        <v>373</v>
      </c>
      <c r="B38" s="5" t="str">
        <f t="shared" si="1"/>
        <v>25R6A4R22OVR</v>
      </c>
      <c r="C38" s="1" t="s">
        <v>345</v>
      </c>
      <c r="D38" s="1" t="s">
        <v>46</v>
      </c>
      <c r="E38" s="1">
        <v>2.0411454E7</v>
      </c>
      <c r="F38" s="1" t="s">
        <v>369</v>
      </c>
      <c r="G38" s="1" t="s">
        <v>346</v>
      </c>
      <c r="H38" s="2">
        <v>46054.0</v>
      </c>
      <c r="I38" s="1" t="s">
        <v>52</v>
      </c>
      <c r="L38" s="6">
        <v>-100.0</v>
      </c>
      <c r="N38" s="1" t="s">
        <v>374</v>
      </c>
    </row>
    <row r="39" ht="15.75" customHeight="1">
      <c r="A39" s="5" t="s">
        <v>375</v>
      </c>
      <c r="B39" s="5" t="str">
        <f t="shared" si="1"/>
        <v>49L6A3A59OVR</v>
      </c>
      <c r="C39" s="1" t="s">
        <v>348</v>
      </c>
      <c r="D39" s="1" t="s">
        <v>46</v>
      </c>
      <c r="E39" s="1">
        <v>2.0411454E7</v>
      </c>
      <c r="F39" s="1" t="s">
        <v>369</v>
      </c>
      <c r="G39" s="1" t="s">
        <v>346</v>
      </c>
      <c r="H39" s="2">
        <v>46023.0</v>
      </c>
      <c r="I39" s="1" t="s">
        <v>52</v>
      </c>
      <c r="L39" s="6">
        <v>-100.0</v>
      </c>
      <c r="N39" s="1" t="s">
        <v>374</v>
      </c>
    </row>
    <row r="40" ht="15.75" customHeight="1">
      <c r="A40" s="5" t="s">
        <v>376</v>
      </c>
      <c r="B40" s="5" t="str">
        <f t="shared" si="1"/>
        <v>64A7F1H37OVR</v>
      </c>
      <c r="C40" s="1" t="s">
        <v>350</v>
      </c>
      <c r="D40" s="1" t="s">
        <v>46</v>
      </c>
      <c r="E40" s="1">
        <v>2.0411454E7</v>
      </c>
      <c r="F40" s="1" t="s">
        <v>369</v>
      </c>
      <c r="G40" s="1" t="s">
        <v>346</v>
      </c>
      <c r="H40" s="2">
        <v>46082.0</v>
      </c>
      <c r="I40" s="1" t="s">
        <v>52</v>
      </c>
      <c r="L40" s="6">
        <v>-100.0</v>
      </c>
      <c r="N40" s="1" t="s">
        <v>374</v>
      </c>
    </row>
    <row r="41" ht="15.75" customHeight="1">
      <c r="A41" s="5" t="s">
        <v>377</v>
      </c>
      <c r="B41" s="5" t="str">
        <f t="shared" si="1"/>
        <v>69H7U6A93OVR</v>
      </c>
      <c r="C41" s="1" t="s">
        <v>352</v>
      </c>
      <c r="D41" s="1" t="s">
        <v>353</v>
      </c>
      <c r="E41" s="1">
        <v>2.0411454E7</v>
      </c>
      <c r="F41" s="1" t="s">
        <v>369</v>
      </c>
      <c r="G41" s="1" t="s">
        <v>346</v>
      </c>
      <c r="H41" s="2">
        <v>46054.0</v>
      </c>
      <c r="I41" s="1" t="s">
        <v>52</v>
      </c>
      <c r="L41" s="6">
        <v>-100.0</v>
      </c>
      <c r="N41" s="1" t="s">
        <v>374</v>
      </c>
    </row>
    <row r="42" ht="15.75" customHeight="1">
      <c r="A42" s="5" t="s">
        <v>378</v>
      </c>
      <c r="B42" s="5" t="str">
        <f t="shared" si="1"/>
        <v>00005161142KOVR</v>
      </c>
      <c r="C42" s="1" t="s">
        <v>45</v>
      </c>
      <c r="D42" s="1" t="s">
        <v>46</v>
      </c>
      <c r="E42" s="1">
        <v>2.0411454E7</v>
      </c>
      <c r="F42" s="1" t="s">
        <v>369</v>
      </c>
      <c r="G42" s="1" t="s">
        <v>50</v>
      </c>
      <c r="H42" s="2">
        <v>46023.0</v>
      </c>
      <c r="I42" s="1" t="s">
        <v>52</v>
      </c>
      <c r="J42" s="3">
        <v>175.0</v>
      </c>
      <c r="K42" s="1">
        <v>1.0</v>
      </c>
      <c r="L42" s="3">
        <v>175.0</v>
      </c>
      <c r="N42" s="1" t="s">
        <v>379</v>
      </c>
    </row>
    <row r="43" ht="15.75" customHeight="1">
      <c r="A43" s="5" t="s">
        <v>380</v>
      </c>
      <c r="B43" s="5" t="str">
        <f t="shared" si="1"/>
        <v>00010301628KOVR</v>
      </c>
      <c r="C43" s="1" t="s">
        <v>60</v>
      </c>
      <c r="D43" s="1" t="s">
        <v>46</v>
      </c>
      <c r="E43" s="1">
        <v>2.0411454E7</v>
      </c>
      <c r="F43" s="1" t="s">
        <v>369</v>
      </c>
      <c r="G43" s="1" t="s">
        <v>50</v>
      </c>
      <c r="H43" s="2">
        <v>46054.0</v>
      </c>
      <c r="I43" s="1" t="s">
        <v>52</v>
      </c>
      <c r="J43" s="3">
        <v>175.0</v>
      </c>
      <c r="K43" s="1">
        <v>1.0</v>
      </c>
      <c r="L43" s="3">
        <v>175.0</v>
      </c>
      <c r="N43" s="1" t="s">
        <v>379</v>
      </c>
    </row>
    <row r="44" ht="15.75" customHeight="1">
      <c r="A44" s="5" t="s">
        <v>381</v>
      </c>
      <c r="B44" s="5" t="str">
        <f t="shared" si="1"/>
        <v>00014331293KOVR</v>
      </c>
      <c r="C44" s="1" t="s">
        <v>64</v>
      </c>
      <c r="D44" s="1" t="s">
        <v>55</v>
      </c>
      <c r="E44" s="1">
        <v>2.0411454E7</v>
      </c>
      <c r="F44" s="1" t="s">
        <v>369</v>
      </c>
      <c r="G44" s="1" t="s">
        <v>50</v>
      </c>
      <c r="H44" s="2">
        <v>46054.0</v>
      </c>
      <c r="I44" s="1" t="s">
        <v>52</v>
      </c>
      <c r="J44" s="3">
        <v>175.0</v>
      </c>
      <c r="K44" s="1">
        <v>1.0</v>
      </c>
      <c r="L44" s="3">
        <v>175.0</v>
      </c>
      <c r="N44" s="1" t="s">
        <v>379</v>
      </c>
    </row>
    <row r="45" ht="15.75" customHeight="1">
      <c r="A45" s="5" t="s">
        <v>382</v>
      </c>
      <c r="B45" s="5" t="str">
        <f t="shared" si="1"/>
        <v>00020275216KOVR</v>
      </c>
      <c r="C45" s="1" t="s">
        <v>68</v>
      </c>
      <c r="D45" s="1" t="s">
        <v>55</v>
      </c>
      <c r="E45" s="1">
        <v>2.0411454E7</v>
      </c>
      <c r="F45" s="1" t="s">
        <v>369</v>
      </c>
      <c r="G45" s="1" t="s">
        <v>50</v>
      </c>
      <c r="H45" s="2">
        <v>46054.0</v>
      </c>
      <c r="I45" s="1" t="s">
        <v>52</v>
      </c>
      <c r="J45" s="3">
        <v>175.0</v>
      </c>
      <c r="K45" s="1">
        <v>1.0</v>
      </c>
      <c r="L45" s="3">
        <v>175.0</v>
      </c>
      <c r="N45" s="1" t="s">
        <v>379</v>
      </c>
    </row>
    <row r="46" ht="15.75" customHeight="1">
      <c r="A46" s="5" t="s">
        <v>383</v>
      </c>
      <c r="B46" s="5" t="str">
        <f t="shared" si="1"/>
        <v>00022077130KOVR</v>
      </c>
      <c r="C46" s="1" t="s">
        <v>72</v>
      </c>
      <c r="D46" s="1" t="s">
        <v>46</v>
      </c>
      <c r="E46" s="1">
        <v>2.0411454E7</v>
      </c>
      <c r="F46" s="1" t="s">
        <v>369</v>
      </c>
      <c r="G46" s="1" t="s">
        <v>50</v>
      </c>
      <c r="H46" s="2">
        <v>46054.0</v>
      </c>
      <c r="I46" s="1" t="s">
        <v>52</v>
      </c>
      <c r="J46" s="3">
        <v>175.0</v>
      </c>
      <c r="K46" s="1">
        <v>1.0</v>
      </c>
      <c r="L46" s="3">
        <v>175.0</v>
      </c>
      <c r="N46" s="1" t="s">
        <v>379</v>
      </c>
    </row>
    <row r="47" ht="15.75" customHeight="1">
      <c r="A47" s="5" t="s">
        <v>384</v>
      </c>
      <c r="B47" s="5" t="str">
        <f t="shared" si="1"/>
        <v>00022818773KOVR</v>
      </c>
      <c r="C47" s="1" t="s">
        <v>80</v>
      </c>
      <c r="D47" s="1" t="s">
        <v>46</v>
      </c>
      <c r="E47" s="1">
        <v>2.0411454E7</v>
      </c>
      <c r="F47" s="1" t="s">
        <v>369</v>
      </c>
      <c r="G47" s="1" t="s">
        <v>50</v>
      </c>
      <c r="H47" s="2">
        <v>46054.0</v>
      </c>
      <c r="I47" s="1" t="s">
        <v>52</v>
      </c>
      <c r="J47" s="3">
        <v>175.0</v>
      </c>
      <c r="K47" s="1">
        <v>1.0</v>
      </c>
      <c r="L47" s="3">
        <v>175.0</v>
      </c>
      <c r="N47" s="1" t="s">
        <v>379</v>
      </c>
    </row>
    <row r="48" ht="15.75" customHeight="1">
      <c r="A48" s="5" t="s">
        <v>385</v>
      </c>
      <c r="B48" s="5" t="str">
        <f t="shared" si="1"/>
        <v>00025072160KOVR</v>
      </c>
      <c r="C48" s="1" t="s">
        <v>86</v>
      </c>
      <c r="D48" s="1" t="s">
        <v>46</v>
      </c>
      <c r="E48" s="1">
        <v>2.0411454E7</v>
      </c>
      <c r="F48" s="1" t="s">
        <v>369</v>
      </c>
      <c r="G48" s="1" t="s">
        <v>50</v>
      </c>
      <c r="H48" s="2">
        <v>46054.0</v>
      </c>
      <c r="I48" s="1" t="s">
        <v>52</v>
      </c>
      <c r="J48" s="3">
        <v>175.0</v>
      </c>
      <c r="K48" s="1">
        <v>1.0</v>
      </c>
      <c r="L48" s="3">
        <v>175.0</v>
      </c>
      <c r="N48" s="1" t="s">
        <v>379</v>
      </c>
    </row>
    <row r="49" ht="15.75" customHeight="1">
      <c r="A49" s="5" t="s">
        <v>386</v>
      </c>
      <c r="B49" s="5" t="str">
        <f t="shared" si="1"/>
        <v>00025905887KOVR</v>
      </c>
      <c r="C49" s="1" t="s">
        <v>90</v>
      </c>
      <c r="D49" s="1" t="s">
        <v>46</v>
      </c>
      <c r="E49" s="1">
        <v>2.0411454E7</v>
      </c>
      <c r="F49" s="1" t="s">
        <v>369</v>
      </c>
      <c r="G49" s="1" t="s">
        <v>50</v>
      </c>
      <c r="H49" s="2">
        <v>46054.0</v>
      </c>
      <c r="I49" s="1" t="s">
        <v>52</v>
      </c>
      <c r="J49" s="3">
        <v>175.0</v>
      </c>
      <c r="K49" s="1">
        <v>1.0</v>
      </c>
      <c r="L49" s="3">
        <v>175.0</v>
      </c>
      <c r="N49" s="1" t="s">
        <v>379</v>
      </c>
    </row>
    <row r="50" ht="15.75" customHeight="1">
      <c r="A50" s="5" t="s">
        <v>387</v>
      </c>
      <c r="B50" s="5" t="str">
        <f t="shared" si="1"/>
        <v>00025988970KOVR</v>
      </c>
      <c r="C50" s="1" t="s">
        <v>94</v>
      </c>
      <c r="D50" s="1" t="s">
        <v>46</v>
      </c>
      <c r="E50" s="1">
        <v>2.0411454E7</v>
      </c>
      <c r="F50" s="1" t="s">
        <v>369</v>
      </c>
      <c r="G50" s="1" t="s">
        <v>50</v>
      </c>
      <c r="H50" s="2">
        <v>46054.0</v>
      </c>
      <c r="I50" s="1" t="s">
        <v>52</v>
      </c>
      <c r="J50" s="3">
        <v>175.0</v>
      </c>
      <c r="K50" s="1">
        <v>1.0</v>
      </c>
      <c r="L50" s="3">
        <v>175.0</v>
      </c>
      <c r="N50" s="1" t="s">
        <v>379</v>
      </c>
    </row>
    <row r="51" ht="15.75" customHeight="1">
      <c r="A51" s="5" t="s">
        <v>388</v>
      </c>
      <c r="B51" s="5" t="str">
        <f t="shared" si="1"/>
        <v>00025991996KOVR</v>
      </c>
      <c r="C51" s="1" t="s">
        <v>98</v>
      </c>
      <c r="D51" s="1" t="s">
        <v>99</v>
      </c>
      <c r="E51" s="1">
        <v>2.0411454E7</v>
      </c>
      <c r="F51" s="1" t="s">
        <v>369</v>
      </c>
      <c r="G51" s="1" t="s">
        <v>50</v>
      </c>
      <c r="H51" s="2">
        <v>46082.0</v>
      </c>
      <c r="I51" s="1" t="s">
        <v>52</v>
      </c>
      <c r="J51" s="3">
        <v>175.0</v>
      </c>
      <c r="K51" s="1">
        <v>1.0</v>
      </c>
      <c r="L51" s="3">
        <v>175.0</v>
      </c>
      <c r="N51" s="1" t="s">
        <v>379</v>
      </c>
    </row>
    <row r="52" ht="15.75" customHeight="1">
      <c r="A52" s="5" t="s">
        <v>389</v>
      </c>
      <c r="B52" s="5" t="str">
        <f t="shared" si="1"/>
        <v>00025992906KOVR</v>
      </c>
      <c r="C52" s="1" t="s">
        <v>101</v>
      </c>
      <c r="D52" s="1" t="s">
        <v>46</v>
      </c>
      <c r="E52" s="1">
        <v>2.0411454E7</v>
      </c>
      <c r="F52" s="1" t="s">
        <v>369</v>
      </c>
      <c r="G52" s="1" t="s">
        <v>50</v>
      </c>
      <c r="H52" s="2">
        <v>46113.0</v>
      </c>
      <c r="I52" s="1" t="s">
        <v>52</v>
      </c>
      <c r="J52" s="3">
        <v>175.0</v>
      </c>
      <c r="K52" s="1">
        <v>1.0</v>
      </c>
      <c r="L52" s="3">
        <v>175.0</v>
      </c>
      <c r="N52" s="1" t="s">
        <v>379</v>
      </c>
    </row>
    <row r="53" ht="15.75" customHeight="1">
      <c r="A53" s="5" t="s">
        <v>390</v>
      </c>
      <c r="B53" s="5" t="str">
        <f t="shared" si="1"/>
        <v>00025992989KOVR</v>
      </c>
      <c r="C53" s="1" t="s">
        <v>105</v>
      </c>
      <c r="D53" s="1" t="s">
        <v>46</v>
      </c>
      <c r="E53" s="1">
        <v>2.0411454E7</v>
      </c>
      <c r="F53" s="1" t="s">
        <v>369</v>
      </c>
      <c r="G53" s="1" t="s">
        <v>50</v>
      </c>
      <c r="H53" s="2">
        <v>46113.0</v>
      </c>
      <c r="I53" s="1" t="s">
        <v>52</v>
      </c>
      <c r="J53" s="3">
        <v>175.0</v>
      </c>
      <c r="K53" s="1">
        <v>1.0</v>
      </c>
      <c r="L53" s="3">
        <v>175.0</v>
      </c>
      <c r="N53" s="1" t="s">
        <v>379</v>
      </c>
    </row>
    <row r="54" ht="15.75" customHeight="1">
      <c r="A54" s="5" t="s">
        <v>391</v>
      </c>
      <c r="B54" s="5" t="str">
        <f t="shared" si="1"/>
        <v>00025993104KOVR</v>
      </c>
      <c r="C54" s="1" t="s">
        <v>107</v>
      </c>
      <c r="D54" s="1" t="s">
        <v>46</v>
      </c>
      <c r="E54" s="1">
        <v>2.0411454E7</v>
      </c>
      <c r="F54" s="1" t="s">
        <v>369</v>
      </c>
      <c r="G54" s="1" t="s">
        <v>50</v>
      </c>
      <c r="H54" s="2">
        <v>46054.0</v>
      </c>
      <c r="I54" s="1" t="s">
        <v>52</v>
      </c>
      <c r="J54" s="3">
        <v>175.0</v>
      </c>
      <c r="K54" s="1">
        <v>1.0</v>
      </c>
      <c r="L54" s="3">
        <v>175.0</v>
      </c>
      <c r="N54" s="1" t="s">
        <v>379</v>
      </c>
    </row>
    <row r="55" ht="15.75" customHeight="1">
      <c r="A55" s="5" t="s">
        <v>392</v>
      </c>
      <c r="B55" s="5" t="str">
        <f t="shared" si="1"/>
        <v>00025993770KOVR</v>
      </c>
      <c r="C55" s="1" t="s">
        <v>111</v>
      </c>
      <c r="D55" s="1" t="s">
        <v>46</v>
      </c>
      <c r="E55" s="1">
        <v>2.0411454E7</v>
      </c>
      <c r="F55" s="1" t="s">
        <v>369</v>
      </c>
      <c r="G55" s="1" t="s">
        <v>50</v>
      </c>
      <c r="H55" s="2">
        <v>46054.0</v>
      </c>
      <c r="I55" s="1" t="s">
        <v>52</v>
      </c>
      <c r="J55" s="3">
        <v>175.0</v>
      </c>
      <c r="K55" s="1">
        <v>1.0</v>
      </c>
      <c r="L55" s="3">
        <v>175.0</v>
      </c>
      <c r="N55" s="1" t="s">
        <v>379</v>
      </c>
    </row>
    <row r="56" ht="15.75" customHeight="1">
      <c r="A56" s="5" t="s">
        <v>393</v>
      </c>
      <c r="B56" s="5" t="str">
        <f t="shared" si="1"/>
        <v>00025994616KOVR</v>
      </c>
      <c r="C56" s="1" t="s">
        <v>115</v>
      </c>
      <c r="D56" s="1" t="s">
        <v>116</v>
      </c>
      <c r="E56" s="1">
        <v>2.0411454E7</v>
      </c>
      <c r="F56" s="1" t="s">
        <v>369</v>
      </c>
      <c r="G56" s="1" t="s">
        <v>50</v>
      </c>
      <c r="H56" s="2">
        <v>46054.0</v>
      </c>
      <c r="I56" s="1" t="s">
        <v>52</v>
      </c>
      <c r="J56" s="3">
        <v>175.0</v>
      </c>
      <c r="K56" s="1">
        <v>1.0</v>
      </c>
      <c r="L56" s="3">
        <v>175.0</v>
      </c>
      <c r="N56" s="1" t="s">
        <v>379</v>
      </c>
    </row>
    <row r="57" ht="15.75" customHeight="1">
      <c r="A57" s="5" t="s">
        <v>394</v>
      </c>
      <c r="B57" s="5" t="str">
        <f t="shared" si="1"/>
        <v>00025994876KOVR</v>
      </c>
      <c r="C57" s="1" t="s">
        <v>118</v>
      </c>
      <c r="D57" s="1" t="s">
        <v>46</v>
      </c>
      <c r="E57" s="1">
        <v>2.0411454E7</v>
      </c>
      <c r="F57" s="1" t="s">
        <v>369</v>
      </c>
      <c r="G57" s="1" t="s">
        <v>50</v>
      </c>
      <c r="H57" s="2">
        <v>46082.0</v>
      </c>
      <c r="I57" s="1" t="s">
        <v>52</v>
      </c>
      <c r="J57" s="3">
        <v>175.0</v>
      </c>
      <c r="K57" s="1">
        <v>1.0</v>
      </c>
      <c r="L57" s="3">
        <v>175.0</v>
      </c>
      <c r="N57" s="1" t="s">
        <v>379</v>
      </c>
    </row>
    <row r="58" ht="15.75" customHeight="1">
      <c r="A58" s="5" t="s">
        <v>395</v>
      </c>
      <c r="B58" s="5" t="str">
        <f t="shared" si="1"/>
        <v>00025995117KOVR</v>
      </c>
      <c r="C58" s="1" t="s">
        <v>122</v>
      </c>
      <c r="D58" s="1" t="s">
        <v>46</v>
      </c>
      <c r="E58" s="1">
        <v>2.0411454E7</v>
      </c>
      <c r="F58" s="1" t="s">
        <v>369</v>
      </c>
      <c r="G58" s="1" t="s">
        <v>50</v>
      </c>
      <c r="H58" s="2">
        <v>46082.0</v>
      </c>
      <c r="I58" s="1" t="s">
        <v>52</v>
      </c>
      <c r="J58" s="3">
        <v>175.0</v>
      </c>
      <c r="K58" s="1">
        <v>1.0</v>
      </c>
      <c r="L58" s="3">
        <v>175.0</v>
      </c>
      <c r="N58" s="1" t="s">
        <v>379</v>
      </c>
    </row>
    <row r="59" ht="15.75" customHeight="1">
      <c r="A59" s="5" t="s">
        <v>396</v>
      </c>
      <c r="B59" s="5" t="str">
        <f t="shared" si="1"/>
        <v>00025995548KOVR</v>
      </c>
      <c r="C59" s="1" t="s">
        <v>124</v>
      </c>
      <c r="D59" s="1" t="s">
        <v>46</v>
      </c>
      <c r="E59" s="1">
        <v>2.0411454E7</v>
      </c>
      <c r="F59" s="1" t="s">
        <v>369</v>
      </c>
      <c r="G59" s="1" t="s">
        <v>50</v>
      </c>
      <c r="H59" s="2">
        <v>46113.0</v>
      </c>
      <c r="I59" s="1" t="s">
        <v>52</v>
      </c>
      <c r="J59" s="3">
        <v>175.0</v>
      </c>
      <c r="K59" s="1">
        <v>1.0</v>
      </c>
      <c r="L59" s="3">
        <v>175.0</v>
      </c>
      <c r="N59" s="1" t="s">
        <v>379</v>
      </c>
    </row>
    <row r="60" ht="15.75" customHeight="1">
      <c r="A60" s="5" t="s">
        <v>397</v>
      </c>
      <c r="B60" s="5" t="str">
        <f t="shared" si="1"/>
        <v>00025996277KOVR</v>
      </c>
      <c r="C60" s="1" t="s">
        <v>128</v>
      </c>
      <c r="D60" s="1" t="s">
        <v>116</v>
      </c>
      <c r="E60" s="1">
        <v>2.0411454E7</v>
      </c>
      <c r="F60" s="1" t="s">
        <v>369</v>
      </c>
      <c r="G60" s="1" t="s">
        <v>50</v>
      </c>
      <c r="H60" s="2">
        <v>46113.0</v>
      </c>
      <c r="I60" s="1" t="s">
        <v>52</v>
      </c>
      <c r="J60" s="3">
        <v>175.0</v>
      </c>
      <c r="K60" s="1">
        <v>1.0</v>
      </c>
      <c r="L60" s="3">
        <v>175.0</v>
      </c>
      <c r="N60" s="1" t="s">
        <v>379</v>
      </c>
    </row>
    <row r="61" ht="15.75" customHeight="1">
      <c r="A61" s="5" t="s">
        <v>398</v>
      </c>
      <c r="B61" s="5" t="str">
        <f t="shared" si="1"/>
        <v>00025996984KOVR</v>
      </c>
      <c r="C61" s="1" t="s">
        <v>132</v>
      </c>
      <c r="D61" s="1" t="s">
        <v>133</v>
      </c>
      <c r="E61" s="1">
        <v>2.0411454E7</v>
      </c>
      <c r="F61" s="1" t="s">
        <v>369</v>
      </c>
      <c r="G61" s="1" t="s">
        <v>50</v>
      </c>
      <c r="H61" s="2">
        <v>46054.0</v>
      </c>
      <c r="I61" s="1" t="s">
        <v>52</v>
      </c>
      <c r="J61" s="3">
        <v>175.0</v>
      </c>
      <c r="K61" s="1">
        <v>1.0</v>
      </c>
      <c r="L61" s="3">
        <v>175.0</v>
      </c>
      <c r="N61" s="1" t="s">
        <v>379</v>
      </c>
    </row>
    <row r="62" ht="15.75" customHeight="1">
      <c r="A62" s="5" t="s">
        <v>399</v>
      </c>
      <c r="B62" s="5" t="str">
        <f t="shared" si="1"/>
        <v>00025997642KOVR</v>
      </c>
      <c r="C62" s="1" t="s">
        <v>137</v>
      </c>
      <c r="D62" s="1" t="s">
        <v>46</v>
      </c>
      <c r="E62" s="1">
        <v>2.0411454E7</v>
      </c>
      <c r="F62" s="1" t="s">
        <v>369</v>
      </c>
      <c r="G62" s="1" t="s">
        <v>50</v>
      </c>
      <c r="H62" s="2">
        <v>46023.0</v>
      </c>
      <c r="I62" s="1" t="s">
        <v>52</v>
      </c>
      <c r="J62" s="3">
        <v>175.0</v>
      </c>
      <c r="K62" s="1">
        <v>1.0</v>
      </c>
      <c r="L62" s="3">
        <v>175.0</v>
      </c>
      <c r="N62" s="1" t="s">
        <v>379</v>
      </c>
    </row>
    <row r="63" ht="15.75" customHeight="1">
      <c r="A63" s="5" t="s">
        <v>400</v>
      </c>
      <c r="B63" s="5" t="str">
        <f t="shared" si="1"/>
        <v>00025998613KOVR</v>
      </c>
      <c r="C63" s="1" t="s">
        <v>139</v>
      </c>
      <c r="D63" s="1" t="s">
        <v>46</v>
      </c>
      <c r="E63" s="1">
        <v>2.0411454E7</v>
      </c>
      <c r="F63" s="1" t="s">
        <v>369</v>
      </c>
      <c r="G63" s="1" t="s">
        <v>50</v>
      </c>
      <c r="H63" s="2">
        <v>46082.0</v>
      </c>
      <c r="I63" s="1" t="s">
        <v>52</v>
      </c>
      <c r="J63" s="3">
        <v>175.0</v>
      </c>
      <c r="K63" s="1">
        <v>1.0</v>
      </c>
      <c r="L63" s="3">
        <v>175.0</v>
      </c>
      <c r="N63" s="1" t="s">
        <v>379</v>
      </c>
    </row>
    <row r="64" ht="15.75" customHeight="1">
      <c r="A64" s="5" t="s">
        <v>401</v>
      </c>
      <c r="B64" s="5" t="str">
        <f t="shared" si="1"/>
        <v>00025999972KOVR</v>
      </c>
      <c r="C64" s="1" t="s">
        <v>141</v>
      </c>
      <c r="D64" s="1" t="s">
        <v>46</v>
      </c>
      <c r="E64" s="1">
        <v>2.0411454E7</v>
      </c>
      <c r="F64" s="1" t="s">
        <v>369</v>
      </c>
      <c r="G64" s="1" t="s">
        <v>50</v>
      </c>
      <c r="H64" s="2">
        <v>46054.0</v>
      </c>
      <c r="I64" s="1" t="s">
        <v>52</v>
      </c>
      <c r="J64" s="3">
        <v>175.0</v>
      </c>
      <c r="K64" s="1">
        <v>1.0</v>
      </c>
      <c r="L64" s="3">
        <v>175.0</v>
      </c>
      <c r="N64" s="1" t="s">
        <v>379</v>
      </c>
    </row>
    <row r="65" ht="15.75" customHeight="1">
      <c r="A65" s="5" t="s">
        <v>402</v>
      </c>
      <c r="B65" s="5" t="str">
        <f t="shared" si="1"/>
        <v>00026000036KOVR</v>
      </c>
      <c r="C65" s="1" t="s">
        <v>145</v>
      </c>
      <c r="D65" s="1" t="s">
        <v>46</v>
      </c>
      <c r="E65" s="1">
        <v>2.0411454E7</v>
      </c>
      <c r="F65" s="1" t="s">
        <v>369</v>
      </c>
      <c r="G65" s="1" t="s">
        <v>50</v>
      </c>
      <c r="H65" s="2">
        <v>46054.0</v>
      </c>
      <c r="I65" s="1" t="s">
        <v>52</v>
      </c>
      <c r="J65" s="3">
        <v>175.0</v>
      </c>
      <c r="K65" s="1">
        <v>1.0</v>
      </c>
      <c r="L65" s="3">
        <v>175.0</v>
      </c>
      <c r="N65" s="1" t="s">
        <v>379</v>
      </c>
    </row>
    <row r="66" ht="15.75" customHeight="1">
      <c r="A66" s="5" t="s">
        <v>403</v>
      </c>
      <c r="B66" s="5" t="str">
        <f t="shared" si="1"/>
        <v>00026001687KOVR</v>
      </c>
      <c r="C66" s="1" t="s">
        <v>149</v>
      </c>
      <c r="D66" s="1" t="s">
        <v>46</v>
      </c>
      <c r="E66" s="1">
        <v>2.0411454E7</v>
      </c>
      <c r="F66" s="1" t="s">
        <v>369</v>
      </c>
      <c r="G66" s="1" t="s">
        <v>50</v>
      </c>
      <c r="H66" s="2">
        <v>46054.0</v>
      </c>
      <c r="I66" s="1" t="s">
        <v>52</v>
      </c>
      <c r="J66" s="3">
        <v>175.0</v>
      </c>
      <c r="K66" s="1">
        <v>1.0</v>
      </c>
      <c r="L66" s="3">
        <v>175.0</v>
      </c>
      <c r="N66" s="1" t="s">
        <v>379</v>
      </c>
    </row>
    <row r="67" ht="15.75" customHeight="1">
      <c r="A67" s="5" t="s">
        <v>404</v>
      </c>
      <c r="B67" s="5" t="str">
        <f t="shared" si="1"/>
        <v>00026003640KOVR</v>
      </c>
      <c r="C67" s="1" t="s">
        <v>151</v>
      </c>
      <c r="D67" s="1" t="s">
        <v>46</v>
      </c>
      <c r="E67" s="1">
        <v>2.0411454E7</v>
      </c>
      <c r="F67" s="1" t="s">
        <v>369</v>
      </c>
      <c r="G67" s="1" t="s">
        <v>50</v>
      </c>
      <c r="H67" s="2">
        <v>46054.0</v>
      </c>
      <c r="I67" s="1" t="s">
        <v>52</v>
      </c>
      <c r="J67" s="3">
        <v>175.0</v>
      </c>
      <c r="K67" s="1">
        <v>1.0</v>
      </c>
      <c r="L67" s="3">
        <v>175.0</v>
      </c>
      <c r="N67" s="1" t="s">
        <v>379</v>
      </c>
    </row>
    <row r="68" ht="15.75" customHeight="1">
      <c r="A68" s="5" t="s">
        <v>405</v>
      </c>
      <c r="B68" s="5" t="str">
        <f t="shared" si="1"/>
        <v>00026004105KOVR</v>
      </c>
      <c r="C68" s="1" t="s">
        <v>153</v>
      </c>
      <c r="D68" s="1" t="s">
        <v>154</v>
      </c>
      <c r="E68" s="1">
        <v>2.0411454E7</v>
      </c>
      <c r="F68" s="1" t="s">
        <v>369</v>
      </c>
      <c r="G68" s="1" t="s">
        <v>50</v>
      </c>
      <c r="H68" s="2">
        <v>46054.0</v>
      </c>
      <c r="I68" s="1" t="s">
        <v>52</v>
      </c>
      <c r="J68" s="3">
        <v>175.0</v>
      </c>
      <c r="K68" s="1">
        <v>1.0</v>
      </c>
      <c r="L68" s="3">
        <v>175.0</v>
      </c>
      <c r="N68" s="1" t="s">
        <v>379</v>
      </c>
    </row>
    <row r="69" ht="15.75" customHeight="1">
      <c r="A69" s="5" t="s">
        <v>406</v>
      </c>
      <c r="B69" s="5" t="str">
        <f t="shared" si="1"/>
        <v>00026004114KOVR</v>
      </c>
      <c r="C69" s="1" t="s">
        <v>156</v>
      </c>
      <c r="D69" s="1" t="s">
        <v>55</v>
      </c>
      <c r="E69" s="1">
        <v>2.0411454E7</v>
      </c>
      <c r="F69" s="1" t="s">
        <v>369</v>
      </c>
      <c r="G69" s="1" t="s">
        <v>50</v>
      </c>
      <c r="H69" s="2">
        <v>46054.0</v>
      </c>
      <c r="I69" s="1" t="s">
        <v>52</v>
      </c>
      <c r="J69" s="3">
        <v>175.0</v>
      </c>
      <c r="K69" s="1">
        <v>1.0</v>
      </c>
      <c r="L69" s="3">
        <v>175.0</v>
      </c>
      <c r="N69" s="1" t="s">
        <v>379</v>
      </c>
    </row>
    <row r="70" ht="15.75" customHeight="1">
      <c r="A70" s="5" t="s">
        <v>407</v>
      </c>
      <c r="B70" s="5" t="str">
        <f t="shared" si="1"/>
        <v>00026004412KOVR</v>
      </c>
      <c r="C70" s="1" t="s">
        <v>160</v>
      </c>
      <c r="D70" s="1" t="s">
        <v>55</v>
      </c>
      <c r="E70" s="1">
        <v>2.0411454E7</v>
      </c>
      <c r="F70" s="1" t="s">
        <v>369</v>
      </c>
      <c r="G70" s="1" t="s">
        <v>50</v>
      </c>
      <c r="H70" s="2">
        <v>46082.0</v>
      </c>
      <c r="I70" s="1" t="s">
        <v>52</v>
      </c>
      <c r="J70" s="3">
        <v>175.0</v>
      </c>
      <c r="K70" s="1">
        <v>1.0</v>
      </c>
      <c r="L70" s="3">
        <v>175.0</v>
      </c>
      <c r="N70" s="1" t="s">
        <v>379</v>
      </c>
    </row>
    <row r="71" ht="15.75" customHeight="1">
      <c r="A71" s="5" t="s">
        <v>408</v>
      </c>
      <c r="B71" s="5" t="str">
        <f t="shared" si="1"/>
        <v>00026008241KOVR</v>
      </c>
      <c r="C71" s="1" t="s">
        <v>162</v>
      </c>
      <c r="D71" s="1" t="s">
        <v>46</v>
      </c>
      <c r="E71" s="1">
        <v>2.0411454E7</v>
      </c>
      <c r="F71" s="1" t="s">
        <v>369</v>
      </c>
      <c r="G71" s="1" t="s">
        <v>50</v>
      </c>
      <c r="H71" s="2">
        <v>46113.0</v>
      </c>
      <c r="I71" s="1" t="s">
        <v>52</v>
      </c>
      <c r="J71" s="3">
        <v>175.0</v>
      </c>
      <c r="K71" s="1">
        <v>1.0</v>
      </c>
      <c r="L71" s="3">
        <v>175.0</v>
      </c>
      <c r="N71" s="1" t="s">
        <v>379</v>
      </c>
    </row>
    <row r="72" ht="15.75" customHeight="1">
      <c r="A72" s="5" t="s">
        <v>409</v>
      </c>
      <c r="B72" s="5" t="str">
        <f t="shared" si="1"/>
        <v>00026010194KOVR</v>
      </c>
      <c r="C72" s="1" t="s">
        <v>164</v>
      </c>
      <c r="D72" s="1" t="s">
        <v>165</v>
      </c>
      <c r="E72" s="1">
        <v>2.0411454E7</v>
      </c>
      <c r="F72" s="1" t="s">
        <v>369</v>
      </c>
      <c r="G72" s="1" t="s">
        <v>50</v>
      </c>
      <c r="H72" s="2">
        <v>46082.0</v>
      </c>
      <c r="I72" s="1" t="s">
        <v>52</v>
      </c>
      <c r="J72" s="3">
        <v>175.0</v>
      </c>
      <c r="K72" s="1">
        <v>1.0</v>
      </c>
      <c r="L72" s="3">
        <v>175.0</v>
      </c>
      <c r="N72" s="1" t="s">
        <v>379</v>
      </c>
    </row>
    <row r="73" ht="15.75" customHeight="1">
      <c r="A73" s="5" t="s">
        <v>410</v>
      </c>
      <c r="B73" s="5" t="str">
        <f t="shared" si="1"/>
        <v>00026010619KOVR</v>
      </c>
      <c r="C73" s="1" t="s">
        <v>167</v>
      </c>
      <c r="D73" s="1" t="s">
        <v>46</v>
      </c>
      <c r="E73" s="1">
        <v>2.0411454E7</v>
      </c>
      <c r="F73" s="1" t="s">
        <v>369</v>
      </c>
      <c r="G73" s="1" t="s">
        <v>50</v>
      </c>
      <c r="H73" s="2">
        <v>46054.0</v>
      </c>
      <c r="I73" s="1" t="s">
        <v>52</v>
      </c>
      <c r="J73" s="3">
        <v>175.0</v>
      </c>
      <c r="K73" s="1">
        <v>1.0</v>
      </c>
      <c r="L73" s="3">
        <v>175.0</v>
      </c>
      <c r="N73" s="1" t="s">
        <v>379</v>
      </c>
    </row>
    <row r="74" ht="15.75" customHeight="1">
      <c r="A74" s="5" t="s">
        <v>411</v>
      </c>
      <c r="B74" s="5" t="str">
        <f t="shared" si="1"/>
        <v>00026019734KOVR</v>
      </c>
      <c r="C74" s="1" t="s">
        <v>169</v>
      </c>
      <c r="D74" s="1" t="s">
        <v>46</v>
      </c>
      <c r="E74" s="1">
        <v>2.0411454E7</v>
      </c>
      <c r="F74" s="1" t="s">
        <v>369</v>
      </c>
      <c r="G74" s="1" t="s">
        <v>50</v>
      </c>
      <c r="H74" s="2">
        <v>46054.0</v>
      </c>
      <c r="I74" s="1" t="s">
        <v>52</v>
      </c>
      <c r="J74" s="3">
        <v>175.0</v>
      </c>
      <c r="K74" s="1">
        <v>1.0</v>
      </c>
      <c r="L74" s="3">
        <v>175.0</v>
      </c>
      <c r="N74" s="1" t="s">
        <v>379</v>
      </c>
    </row>
    <row r="75" ht="15.75" customHeight="1">
      <c r="A75" s="5" t="s">
        <v>412</v>
      </c>
      <c r="B75" s="5" t="str">
        <f t="shared" si="1"/>
        <v>00026019851KOVR</v>
      </c>
      <c r="C75" s="1" t="s">
        <v>171</v>
      </c>
      <c r="D75" s="1" t="s">
        <v>172</v>
      </c>
      <c r="E75" s="1">
        <v>2.0411454E7</v>
      </c>
      <c r="F75" s="1" t="s">
        <v>369</v>
      </c>
      <c r="G75" s="1" t="s">
        <v>50</v>
      </c>
      <c r="H75" s="2">
        <v>46054.0</v>
      </c>
      <c r="I75" s="1" t="s">
        <v>52</v>
      </c>
      <c r="J75" s="3">
        <v>175.0</v>
      </c>
      <c r="K75" s="1">
        <v>1.0</v>
      </c>
      <c r="L75" s="3">
        <v>175.0</v>
      </c>
      <c r="N75" s="1" t="s">
        <v>379</v>
      </c>
    </row>
    <row r="76" ht="15.75" customHeight="1">
      <c r="A76" s="5" t="s">
        <v>413</v>
      </c>
      <c r="B76" s="5" t="str">
        <f t="shared" si="1"/>
        <v>00013052842KOVR</v>
      </c>
      <c r="C76" s="1" t="s">
        <v>313</v>
      </c>
      <c r="D76" s="1" t="s">
        <v>314</v>
      </c>
      <c r="E76" s="1">
        <v>2.0411454E7</v>
      </c>
      <c r="F76" s="1" t="s">
        <v>369</v>
      </c>
      <c r="G76" s="1" t="s">
        <v>50</v>
      </c>
      <c r="H76" s="2">
        <v>46023.0</v>
      </c>
      <c r="I76" s="1" t="s">
        <v>52</v>
      </c>
      <c r="L76" s="6">
        <v>-161.0</v>
      </c>
      <c r="N76" s="1" t="s">
        <v>379</v>
      </c>
    </row>
    <row r="77" ht="15.75" customHeight="1">
      <c r="A77" s="5" t="s">
        <v>414</v>
      </c>
      <c r="B77" s="5" t="str">
        <f t="shared" si="1"/>
        <v>00018036187KOVR</v>
      </c>
      <c r="C77" s="1" t="s">
        <v>318</v>
      </c>
      <c r="D77" s="1" t="s">
        <v>172</v>
      </c>
      <c r="E77" s="1">
        <v>2.0411454E7</v>
      </c>
      <c r="F77" s="1" t="s">
        <v>369</v>
      </c>
      <c r="G77" s="1" t="s">
        <v>50</v>
      </c>
      <c r="H77" s="2">
        <v>46023.0</v>
      </c>
      <c r="I77" s="1" t="s">
        <v>52</v>
      </c>
      <c r="L77" s="6">
        <v>-161.0</v>
      </c>
      <c r="N77" s="1" t="s">
        <v>379</v>
      </c>
    </row>
    <row r="78" ht="15.75" customHeight="1">
      <c r="A78" s="5" t="s">
        <v>415</v>
      </c>
      <c r="B78" s="5" t="str">
        <f t="shared" si="1"/>
        <v>00022547161KOVR</v>
      </c>
      <c r="C78" s="1" t="s">
        <v>76</v>
      </c>
      <c r="D78" s="1" t="s">
        <v>46</v>
      </c>
      <c r="E78" s="1">
        <v>2.0411454E7</v>
      </c>
      <c r="F78" s="1" t="s">
        <v>369</v>
      </c>
      <c r="G78" s="1" t="s">
        <v>50</v>
      </c>
      <c r="H78" s="2">
        <v>46023.0</v>
      </c>
      <c r="I78" s="1" t="s">
        <v>52</v>
      </c>
      <c r="L78" s="6">
        <v>-161.0</v>
      </c>
      <c r="N78" s="1" t="s">
        <v>379</v>
      </c>
    </row>
    <row r="79" ht="15.75" customHeight="1">
      <c r="A79" s="5" t="s">
        <v>416</v>
      </c>
      <c r="B79" s="5" t="str">
        <f t="shared" si="1"/>
        <v>00024066949KOVR</v>
      </c>
      <c r="C79" s="1" t="s">
        <v>321</v>
      </c>
      <c r="D79" s="1" t="s">
        <v>133</v>
      </c>
      <c r="E79" s="1">
        <v>2.0411454E7</v>
      </c>
      <c r="F79" s="1" t="s">
        <v>369</v>
      </c>
      <c r="G79" s="1" t="s">
        <v>50</v>
      </c>
      <c r="H79" s="2">
        <v>46023.0</v>
      </c>
      <c r="I79" s="1" t="s">
        <v>52</v>
      </c>
      <c r="L79" s="6">
        <v>-161.0</v>
      </c>
      <c r="N79" s="1" t="s">
        <v>379</v>
      </c>
    </row>
    <row r="80" ht="15.75" customHeight="1">
      <c r="A80" s="5" t="s">
        <v>417</v>
      </c>
      <c r="B80" s="5" t="str">
        <f t="shared" si="1"/>
        <v>00024961235KOVR</v>
      </c>
      <c r="C80" s="1" t="s">
        <v>45</v>
      </c>
      <c r="D80" s="1" t="s">
        <v>46</v>
      </c>
      <c r="E80" s="1">
        <v>2.0411454E7</v>
      </c>
      <c r="F80" s="1" t="s">
        <v>369</v>
      </c>
      <c r="G80" s="1" t="s">
        <v>50</v>
      </c>
      <c r="H80" s="2">
        <v>46023.0</v>
      </c>
      <c r="I80" s="1" t="s">
        <v>52</v>
      </c>
      <c r="L80" s="6">
        <v>-175.0</v>
      </c>
      <c r="N80" s="1" t="s">
        <v>379</v>
      </c>
    </row>
    <row r="81" ht="15.75" customHeight="1">
      <c r="A81" s="5" t="s">
        <v>418</v>
      </c>
      <c r="B81" s="5" t="str">
        <f t="shared" si="1"/>
        <v>00025933601KOVR</v>
      </c>
      <c r="C81" s="1" t="s">
        <v>326</v>
      </c>
      <c r="D81" s="1" t="s">
        <v>99</v>
      </c>
      <c r="E81" s="1">
        <v>2.0411454E7</v>
      </c>
      <c r="F81" s="1" t="s">
        <v>369</v>
      </c>
      <c r="G81" s="1" t="s">
        <v>50</v>
      </c>
      <c r="H81" s="2">
        <v>46082.0</v>
      </c>
      <c r="I81" s="1" t="s">
        <v>52</v>
      </c>
      <c r="L81" s="6">
        <v>-175.0</v>
      </c>
      <c r="N81" s="1" t="s">
        <v>379</v>
      </c>
    </row>
    <row r="82" ht="15.75" customHeight="1">
      <c r="A82" s="5" t="s">
        <v>419</v>
      </c>
      <c r="B82" s="5" t="str">
        <f t="shared" si="1"/>
        <v>00007441841KOVR</v>
      </c>
      <c r="C82" s="1" t="s">
        <v>54</v>
      </c>
      <c r="D82" s="1" t="s">
        <v>55</v>
      </c>
      <c r="E82" s="1">
        <v>2.0411454E7</v>
      </c>
      <c r="F82" s="1" t="s">
        <v>369</v>
      </c>
      <c r="G82" s="1" t="s">
        <v>58</v>
      </c>
      <c r="H82" s="2">
        <v>46054.0</v>
      </c>
      <c r="I82" s="1" t="s">
        <v>52</v>
      </c>
      <c r="J82" s="3">
        <v>108.0</v>
      </c>
      <c r="K82" s="1">
        <v>1.0</v>
      </c>
      <c r="L82" s="3">
        <v>108.0</v>
      </c>
      <c r="N82" s="1" t="s">
        <v>379</v>
      </c>
    </row>
    <row r="83" ht="15.75" customHeight="1">
      <c r="A83" s="5" t="s">
        <v>415</v>
      </c>
      <c r="B83" s="5" t="str">
        <f t="shared" si="1"/>
        <v>00022547161KOVR</v>
      </c>
      <c r="C83" s="1" t="s">
        <v>76</v>
      </c>
      <c r="D83" s="1" t="s">
        <v>46</v>
      </c>
      <c r="E83" s="1">
        <v>2.0411454E7</v>
      </c>
      <c r="F83" s="1" t="s">
        <v>369</v>
      </c>
      <c r="G83" s="1" t="s">
        <v>58</v>
      </c>
      <c r="H83" s="2">
        <v>46054.0</v>
      </c>
      <c r="I83" s="1" t="s">
        <v>52</v>
      </c>
      <c r="J83" s="3">
        <v>108.0</v>
      </c>
      <c r="K83" s="1">
        <v>1.0</v>
      </c>
      <c r="L83" s="3">
        <v>108.0</v>
      </c>
      <c r="N83" s="1" t="s">
        <v>379</v>
      </c>
    </row>
    <row r="84" ht="15.75" customHeight="1">
      <c r="A84" s="5" t="s">
        <v>420</v>
      </c>
      <c r="B84" s="5" t="str">
        <f t="shared" si="1"/>
        <v>00023765948KOVR</v>
      </c>
      <c r="C84" s="1" t="s">
        <v>84</v>
      </c>
      <c r="D84" s="1" t="s">
        <v>55</v>
      </c>
      <c r="E84" s="1">
        <v>2.0411454E7</v>
      </c>
      <c r="F84" s="1" t="s">
        <v>369</v>
      </c>
      <c r="G84" s="1" t="s">
        <v>58</v>
      </c>
      <c r="H84" s="2">
        <v>46023.0</v>
      </c>
      <c r="I84" s="1" t="s">
        <v>52</v>
      </c>
      <c r="J84" s="3">
        <v>108.0</v>
      </c>
      <c r="K84" s="1">
        <v>1.0</v>
      </c>
      <c r="L84" s="3">
        <v>108.0</v>
      </c>
      <c r="N84" s="1" t="s">
        <v>379</v>
      </c>
    </row>
    <row r="85" ht="15.75" customHeight="1">
      <c r="A85" s="5" t="s">
        <v>421</v>
      </c>
      <c r="B85" s="5" t="str">
        <f t="shared" si="1"/>
        <v>00010925119KOVR</v>
      </c>
      <c r="C85" s="1" t="s">
        <v>310</v>
      </c>
      <c r="D85" s="1" t="s">
        <v>46</v>
      </c>
      <c r="E85" s="1">
        <v>2.0411454E7</v>
      </c>
      <c r="F85" s="1" t="s">
        <v>369</v>
      </c>
      <c r="G85" s="1" t="s">
        <v>58</v>
      </c>
      <c r="H85" s="2">
        <v>46023.0</v>
      </c>
      <c r="I85" s="1" t="s">
        <v>52</v>
      </c>
      <c r="L85" s="6">
        <v>-99.36</v>
      </c>
      <c r="N85" s="1" t="s">
        <v>379</v>
      </c>
    </row>
    <row r="86" ht="15.75" customHeight="1">
      <c r="A86" s="7" t="s">
        <v>422</v>
      </c>
      <c r="B86" s="7" t="str">
        <f t="shared" ref="B86:B91" si="2">CONCATENATE(A86,1)</f>
        <v>A044219041</v>
      </c>
      <c r="C86" s="8" t="s">
        <v>287</v>
      </c>
      <c r="D86" s="8" t="s">
        <v>116</v>
      </c>
      <c r="E86" s="8">
        <v>1.6849453E7</v>
      </c>
      <c r="F86" s="8" t="s">
        <v>289</v>
      </c>
      <c r="G86" s="8" t="s">
        <v>290</v>
      </c>
      <c r="H86" s="9">
        <v>46082.0</v>
      </c>
      <c r="I86" s="8" t="s">
        <v>52</v>
      </c>
      <c r="J86" s="10">
        <v>31.02</v>
      </c>
      <c r="K86" s="8">
        <v>9.0</v>
      </c>
      <c r="L86" s="10">
        <v>279.18</v>
      </c>
      <c r="M86" s="8"/>
      <c r="N86" s="8" t="s">
        <v>290</v>
      </c>
      <c r="O86" s="8">
        <f>208.26+14.58+56.34</f>
        <v>279.18</v>
      </c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</row>
    <row r="87" ht="15.75" customHeight="1">
      <c r="A87" s="7" t="s">
        <v>423</v>
      </c>
      <c r="B87" s="7" t="str">
        <f t="shared" si="2"/>
        <v>A044219071</v>
      </c>
      <c r="C87" s="8" t="s">
        <v>292</v>
      </c>
      <c r="D87" s="8" t="s">
        <v>116</v>
      </c>
      <c r="E87" s="8">
        <v>1.9645587E7</v>
      </c>
      <c r="F87" s="8" t="s">
        <v>88</v>
      </c>
      <c r="G87" s="8" t="s">
        <v>290</v>
      </c>
      <c r="H87" s="9">
        <v>46054.0</v>
      </c>
      <c r="I87" s="8" t="s">
        <v>52</v>
      </c>
      <c r="J87" s="10">
        <v>31.02</v>
      </c>
      <c r="K87" s="8">
        <v>9.0</v>
      </c>
      <c r="L87" s="10">
        <v>279.18</v>
      </c>
      <c r="M87" s="8"/>
      <c r="N87" s="8" t="s">
        <v>290</v>
      </c>
      <c r="O87" s="8">
        <f>193.77+14.58+70.83</f>
        <v>279.18</v>
      </c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</row>
    <row r="88" ht="15.75" customHeight="1">
      <c r="A88" s="7" t="s">
        <v>424</v>
      </c>
      <c r="B88" s="7" t="str">
        <f t="shared" si="2"/>
        <v>A044238901</v>
      </c>
      <c r="C88" s="8" t="s">
        <v>297</v>
      </c>
      <c r="D88" s="8" t="s">
        <v>116</v>
      </c>
      <c r="E88" s="8">
        <v>1.6849453E7</v>
      </c>
      <c r="F88" s="8" t="s">
        <v>289</v>
      </c>
      <c r="G88" s="8" t="s">
        <v>290</v>
      </c>
      <c r="H88" s="9">
        <v>46054.0</v>
      </c>
      <c r="I88" s="8" t="s">
        <v>52</v>
      </c>
      <c r="J88" s="10">
        <v>31.02</v>
      </c>
      <c r="K88" s="8">
        <v>9.0</v>
      </c>
      <c r="L88" s="10">
        <v>279.18</v>
      </c>
      <c r="M88" s="8"/>
      <c r="N88" s="8" t="s">
        <v>290</v>
      </c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</row>
    <row r="89" ht="15.75" customHeight="1">
      <c r="A89" s="11" t="s">
        <v>425</v>
      </c>
      <c r="B89" s="11" t="str">
        <f t="shared" si="2"/>
        <v>A044219521</v>
      </c>
      <c r="C89" s="12" t="s">
        <v>294</v>
      </c>
      <c r="D89" s="12" t="s">
        <v>172</v>
      </c>
      <c r="E89" s="12">
        <v>1.6170994E7</v>
      </c>
      <c r="F89" s="12" t="s">
        <v>267</v>
      </c>
      <c r="G89" s="12" t="s">
        <v>295</v>
      </c>
      <c r="H89" s="13">
        <v>46054.0</v>
      </c>
      <c r="I89" s="12" t="s">
        <v>52</v>
      </c>
      <c r="J89" s="14">
        <v>31.5</v>
      </c>
      <c r="K89" s="12">
        <v>9.0</v>
      </c>
      <c r="L89" s="14">
        <v>283.5</v>
      </c>
      <c r="M89" s="12"/>
      <c r="N89" s="12" t="s">
        <v>295</v>
      </c>
      <c r="O89" s="12">
        <f>248.04+17.01+18.45</f>
        <v>283.5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</row>
    <row r="90" ht="15.75" customHeight="1">
      <c r="A90" s="7" t="s">
        <v>426</v>
      </c>
      <c r="B90" s="7" t="str">
        <f t="shared" si="2"/>
        <v>A044246741</v>
      </c>
      <c r="C90" s="8" t="s">
        <v>299</v>
      </c>
      <c r="D90" s="8" t="s">
        <v>177</v>
      </c>
      <c r="E90" s="8">
        <v>2.1618313E7</v>
      </c>
      <c r="F90" s="8" t="s">
        <v>301</v>
      </c>
      <c r="G90" s="8" t="s">
        <v>302</v>
      </c>
      <c r="H90" s="9">
        <v>46054.0</v>
      </c>
      <c r="I90" s="8" t="s">
        <v>52</v>
      </c>
      <c r="J90" s="10">
        <v>36.0</v>
      </c>
      <c r="K90" s="8">
        <v>9.0</v>
      </c>
      <c r="L90" s="10">
        <v>324.0</v>
      </c>
      <c r="M90" s="8"/>
      <c r="N90" s="8" t="s">
        <v>302</v>
      </c>
      <c r="O90" s="8">
        <f>49.05+196.2+17.1+61.65</f>
        <v>324</v>
      </c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</row>
    <row r="91" ht="15.75" customHeight="1">
      <c r="A91" s="7" t="s">
        <v>427</v>
      </c>
      <c r="B91" s="7" t="str">
        <f t="shared" si="2"/>
        <v>A044251181</v>
      </c>
      <c r="C91" s="8" t="s">
        <v>304</v>
      </c>
      <c r="D91" s="8" t="s">
        <v>55</v>
      </c>
      <c r="E91" s="8">
        <v>1.9645587E7</v>
      </c>
      <c r="F91" s="8" t="s">
        <v>88</v>
      </c>
      <c r="G91" s="8" t="s">
        <v>305</v>
      </c>
      <c r="H91" s="9">
        <v>46054.0</v>
      </c>
      <c r="I91" s="8" t="s">
        <v>52</v>
      </c>
      <c r="J91" s="10">
        <v>44.31</v>
      </c>
      <c r="K91" s="8">
        <v>9.0</v>
      </c>
      <c r="L91" s="10">
        <v>398.79</v>
      </c>
      <c r="M91" s="8"/>
      <c r="N91" s="8" t="s">
        <v>428</v>
      </c>
      <c r="O91" s="8">
        <f>277.02+19.89+101.88</f>
        <v>398.79</v>
      </c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</row>
    <row r="92" ht="15.75" customHeight="1">
      <c r="A92" s="7">
        <v>1.27561452E8</v>
      </c>
      <c r="B92" s="7" t="str">
        <f t="shared" ref="B92:B96" si="3">CONCATENATE(A92,11)</f>
        <v>12756145211</v>
      </c>
      <c r="C92" s="8" t="s">
        <v>257</v>
      </c>
      <c r="D92" s="8" t="s">
        <v>258</v>
      </c>
      <c r="E92" s="8">
        <v>1.8201929E7</v>
      </c>
      <c r="F92" s="8" t="s">
        <v>260</v>
      </c>
      <c r="G92" s="8" t="s">
        <v>261</v>
      </c>
      <c r="H92" s="9">
        <v>46054.0</v>
      </c>
      <c r="I92" s="8" t="s">
        <v>52</v>
      </c>
      <c r="J92" s="10">
        <v>318.08</v>
      </c>
      <c r="K92" s="8">
        <v>1.0</v>
      </c>
      <c r="L92" s="10">
        <v>318.08</v>
      </c>
      <c r="M92" s="8" t="s">
        <v>188</v>
      </c>
      <c r="N92" s="8" t="s">
        <v>429</v>
      </c>
      <c r="O92" s="8" t="s">
        <v>430</v>
      </c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</row>
    <row r="93" ht="15.75" customHeight="1">
      <c r="A93" s="7">
        <v>1.35441688E8</v>
      </c>
      <c r="B93" s="7" t="str">
        <f t="shared" si="3"/>
        <v>13544168811</v>
      </c>
      <c r="C93" s="8" t="s">
        <v>265</v>
      </c>
      <c r="D93" s="8" t="s">
        <v>172</v>
      </c>
      <c r="E93" s="8">
        <v>1.6170994E7</v>
      </c>
      <c r="F93" s="8" t="s">
        <v>267</v>
      </c>
      <c r="G93" s="8" t="s">
        <v>261</v>
      </c>
      <c r="H93" s="9">
        <v>46054.0</v>
      </c>
      <c r="I93" s="8" t="s">
        <v>52</v>
      </c>
      <c r="J93" s="10">
        <v>318.08</v>
      </c>
      <c r="K93" s="8">
        <v>1.0</v>
      </c>
      <c r="L93" s="10">
        <v>318.08</v>
      </c>
      <c r="M93" s="8" t="s">
        <v>188</v>
      </c>
      <c r="N93" s="8" t="s">
        <v>429</v>
      </c>
      <c r="O93" s="8" t="s">
        <v>430</v>
      </c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</row>
    <row r="94" ht="15.75" customHeight="1">
      <c r="A94" s="7">
        <v>9.15597096E8</v>
      </c>
      <c r="B94" s="7" t="str">
        <f t="shared" si="3"/>
        <v>91559709611</v>
      </c>
      <c r="C94" s="8" t="s">
        <v>271</v>
      </c>
      <c r="D94" s="8" t="s">
        <v>99</v>
      </c>
      <c r="E94" s="8">
        <v>1.6865615E7</v>
      </c>
      <c r="F94" s="8" t="s">
        <v>273</v>
      </c>
      <c r="G94" s="8" t="s">
        <v>261</v>
      </c>
      <c r="H94" s="9">
        <v>46023.0</v>
      </c>
      <c r="I94" s="8" t="s">
        <v>52</v>
      </c>
      <c r="J94" s="10">
        <v>347.0</v>
      </c>
      <c r="K94" s="8">
        <v>1.0</v>
      </c>
      <c r="L94" s="10">
        <v>347.0</v>
      </c>
      <c r="M94" s="8" t="s">
        <v>274</v>
      </c>
      <c r="N94" s="8" t="s">
        <v>429</v>
      </c>
      <c r="O94" s="8" t="s">
        <v>431</v>
      </c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</row>
    <row r="95" ht="15.75" customHeight="1">
      <c r="A95" s="7">
        <v>9.3129454E8</v>
      </c>
      <c r="B95" s="7" t="str">
        <f t="shared" si="3"/>
        <v>93129454011</v>
      </c>
      <c r="C95" s="8" t="s">
        <v>277</v>
      </c>
      <c r="D95" s="8" t="s">
        <v>46</v>
      </c>
      <c r="E95" s="8">
        <v>1.8828278E7</v>
      </c>
      <c r="F95" s="8" t="s">
        <v>204</v>
      </c>
      <c r="G95" s="8" t="s">
        <v>261</v>
      </c>
      <c r="H95" s="9">
        <v>46054.0</v>
      </c>
      <c r="I95" s="8" t="s">
        <v>52</v>
      </c>
      <c r="J95" s="10">
        <v>318.08</v>
      </c>
      <c r="K95" s="8">
        <v>1.0</v>
      </c>
      <c r="L95" s="10">
        <v>318.08</v>
      </c>
      <c r="M95" s="8" t="s">
        <v>188</v>
      </c>
      <c r="N95" s="8" t="s">
        <v>429</v>
      </c>
      <c r="O95" s="8" t="s">
        <v>430</v>
      </c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</row>
    <row r="96" ht="15.75" customHeight="1">
      <c r="A96" s="7">
        <v>9.0505582E8</v>
      </c>
      <c r="B96" s="7" t="str">
        <f t="shared" si="3"/>
        <v>90505582011</v>
      </c>
      <c r="C96" s="8" t="s">
        <v>80</v>
      </c>
      <c r="D96" s="8" t="s">
        <v>46</v>
      </c>
      <c r="E96" s="8">
        <v>9213293.0</v>
      </c>
      <c r="F96" s="8" t="s">
        <v>82</v>
      </c>
      <c r="G96" s="8" t="s">
        <v>261</v>
      </c>
      <c r="H96" s="9">
        <v>46023.0</v>
      </c>
      <c r="I96" s="8" t="s">
        <v>52</v>
      </c>
      <c r="J96" s="8"/>
      <c r="K96" s="8"/>
      <c r="L96" s="8">
        <v>-347.0</v>
      </c>
      <c r="M96" s="8"/>
      <c r="N96" s="8" t="s">
        <v>429</v>
      </c>
      <c r="O96" s="8" t="s">
        <v>431</v>
      </c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</row>
    <row r="97" ht="15.75" customHeight="1">
      <c r="A97" s="7">
        <v>9.45648838E8</v>
      </c>
      <c r="B97" s="7">
        <v>9.45648838E8</v>
      </c>
      <c r="C97" s="8" t="s">
        <v>280</v>
      </c>
      <c r="D97" s="8" t="s">
        <v>281</v>
      </c>
      <c r="E97" s="8">
        <v>1.9645587E7</v>
      </c>
      <c r="F97" s="8" t="s">
        <v>88</v>
      </c>
      <c r="G97" s="8" t="s">
        <v>282</v>
      </c>
      <c r="H97" s="9">
        <v>46054.0</v>
      </c>
      <c r="I97" s="8" t="s">
        <v>52</v>
      </c>
      <c r="J97" s="10">
        <v>611.0</v>
      </c>
      <c r="K97" s="8">
        <v>1.0</v>
      </c>
      <c r="L97" s="10">
        <v>611.0</v>
      </c>
      <c r="M97" s="8"/>
      <c r="N97" s="8" t="s">
        <v>432</v>
      </c>
      <c r="O97" s="8" t="s">
        <v>433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</row>
    <row r="98" ht="15.75" customHeight="1">
      <c r="A98" s="5">
        <v>1.35441688E8</v>
      </c>
      <c r="B98" s="5" t="str">
        <f t="shared" ref="B98:B103" si="4">CONCATENATE(A98,"OVR")</f>
        <v>135441688OVR</v>
      </c>
      <c r="C98" s="1" t="s">
        <v>265</v>
      </c>
      <c r="D98" s="1" t="s">
        <v>172</v>
      </c>
      <c r="E98" s="1">
        <v>2.0411454E7</v>
      </c>
      <c r="F98" s="1" t="s">
        <v>369</v>
      </c>
      <c r="G98" s="1" t="s">
        <v>269</v>
      </c>
      <c r="H98" s="2">
        <v>46054.0</v>
      </c>
      <c r="I98" s="1" t="s">
        <v>52</v>
      </c>
      <c r="J98" s="3">
        <v>175.0</v>
      </c>
      <c r="K98" s="1">
        <v>1.0</v>
      </c>
      <c r="L98" s="3">
        <v>175.0</v>
      </c>
      <c r="N98" s="1" t="s">
        <v>434</v>
      </c>
    </row>
    <row r="99" ht="15.75" customHeight="1">
      <c r="A99" s="5">
        <v>9.15597096E8</v>
      </c>
      <c r="B99" s="5" t="str">
        <f t="shared" si="4"/>
        <v>915597096OVR</v>
      </c>
      <c r="C99" s="1" t="s">
        <v>271</v>
      </c>
      <c r="D99" s="1" t="s">
        <v>99</v>
      </c>
      <c r="E99" s="1">
        <v>2.0411454E7</v>
      </c>
      <c r="F99" s="1" t="s">
        <v>369</v>
      </c>
      <c r="G99" s="1" t="s">
        <v>269</v>
      </c>
      <c r="H99" s="2">
        <v>46023.0</v>
      </c>
      <c r="I99" s="1" t="s">
        <v>52</v>
      </c>
      <c r="J99" s="3">
        <v>175.0</v>
      </c>
      <c r="K99" s="1">
        <v>1.0</v>
      </c>
      <c r="L99" s="3">
        <v>175.0</v>
      </c>
      <c r="N99" s="1" t="s">
        <v>434</v>
      </c>
    </row>
    <row r="100" ht="15.75" customHeight="1">
      <c r="A100" s="5">
        <v>9.3129454E8</v>
      </c>
      <c r="B100" s="5" t="str">
        <f t="shared" si="4"/>
        <v>931294540OVR</v>
      </c>
      <c r="C100" s="1" t="s">
        <v>277</v>
      </c>
      <c r="D100" s="1" t="s">
        <v>46</v>
      </c>
      <c r="E100" s="1">
        <v>2.0411454E7</v>
      </c>
      <c r="F100" s="1" t="s">
        <v>369</v>
      </c>
      <c r="G100" s="1" t="s">
        <v>269</v>
      </c>
      <c r="H100" s="2">
        <v>46054.0</v>
      </c>
      <c r="I100" s="1" t="s">
        <v>52</v>
      </c>
      <c r="J100" s="3">
        <v>175.0</v>
      </c>
      <c r="K100" s="1">
        <v>1.0</v>
      </c>
      <c r="L100" s="3">
        <v>175.0</v>
      </c>
      <c r="N100" s="1" t="s">
        <v>434</v>
      </c>
    </row>
    <row r="101" ht="15.75" customHeight="1">
      <c r="A101" s="5">
        <v>9.0505582E8</v>
      </c>
      <c r="B101" s="5" t="str">
        <f t="shared" si="4"/>
        <v>905055820OVR</v>
      </c>
      <c r="C101" s="1" t="s">
        <v>80</v>
      </c>
      <c r="D101" s="1" t="s">
        <v>46</v>
      </c>
      <c r="E101" s="1">
        <v>2.0411454E7</v>
      </c>
      <c r="F101" s="1" t="s">
        <v>369</v>
      </c>
      <c r="G101" s="1" t="s">
        <v>269</v>
      </c>
      <c r="H101" s="2">
        <v>46023.0</v>
      </c>
      <c r="I101" s="1" t="s">
        <v>52</v>
      </c>
      <c r="L101" s="6">
        <v>-175.0</v>
      </c>
      <c r="N101" s="1" t="s">
        <v>434</v>
      </c>
    </row>
    <row r="102" ht="15.75" customHeight="1">
      <c r="A102" s="5">
        <v>1.27561452E8</v>
      </c>
      <c r="B102" s="5" t="str">
        <f t="shared" si="4"/>
        <v>127561452OVR</v>
      </c>
      <c r="C102" s="1" t="s">
        <v>257</v>
      </c>
      <c r="D102" s="1" t="s">
        <v>258</v>
      </c>
      <c r="E102" s="1">
        <v>2.0411454E7</v>
      </c>
      <c r="F102" s="1" t="s">
        <v>369</v>
      </c>
      <c r="G102" s="1" t="s">
        <v>263</v>
      </c>
      <c r="H102" s="2">
        <v>46054.0</v>
      </c>
      <c r="I102" s="1" t="s">
        <v>52</v>
      </c>
      <c r="J102" s="3">
        <v>66.0</v>
      </c>
      <c r="K102" s="1">
        <v>1.0</v>
      </c>
      <c r="L102" s="3">
        <v>66.0</v>
      </c>
      <c r="M102" s="1" t="s">
        <v>188</v>
      </c>
      <c r="N102" s="1" t="s">
        <v>434</v>
      </c>
    </row>
    <row r="103" ht="15.75" customHeight="1">
      <c r="A103" s="5">
        <v>9.52775529E8</v>
      </c>
      <c r="B103" s="5" t="str">
        <f t="shared" si="4"/>
        <v>952775529OVR</v>
      </c>
      <c r="C103" s="1" t="s">
        <v>284</v>
      </c>
      <c r="D103" s="1" t="s">
        <v>177</v>
      </c>
      <c r="E103" s="1">
        <v>2.0411454E7</v>
      </c>
      <c r="F103" s="1" t="s">
        <v>369</v>
      </c>
      <c r="G103" s="1" t="s">
        <v>285</v>
      </c>
      <c r="H103" s="2">
        <v>46054.0</v>
      </c>
      <c r="I103" s="1" t="s">
        <v>52</v>
      </c>
      <c r="J103" s="3">
        <v>75.0</v>
      </c>
      <c r="K103" s="1">
        <v>1.0</v>
      </c>
      <c r="L103" s="3">
        <v>75.0</v>
      </c>
      <c r="N103" s="1" t="s">
        <v>434</v>
      </c>
    </row>
    <row r="104" ht="15.75" customHeight="1">
      <c r="L104" s="3"/>
    </row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2026-02-06T09:06:34Z</dcterms:created>
  <dc:creator>Darshan Darji</dc:creator>
</cp:coreProperties>
</file>