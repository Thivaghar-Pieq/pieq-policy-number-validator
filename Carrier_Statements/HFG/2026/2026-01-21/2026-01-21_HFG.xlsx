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6\1-21-26\"/>
    </mc:Choice>
  </mc:AlternateContent>
  <xr:revisionPtr revIDLastSave="0" documentId="13_ncr:1_{8CBDEFAE-E658-49B0-9720-76DDDEDCE2E9}" xr6:coauthVersionLast="47" xr6:coauthVersionMax="47" xr10:uidLastSave="{00000000-0000-0000-0000-000000000000}"/>
  <bookViews>
    <workbookView xWindow="28680" yWindow="-120" windowWidth="29040" windowHeight="16440" activeTab="2" xr2:uid="{4BEC9BFC-5B57-448E-84E7-5DCDA9CDCD4E}"/>
  </bookViews>
  <sheets>
    <sheet name="New Business Agent Statement - 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M3" i="3" l="1"/>
  <c r="M2" i="3"/>
  <c r="B30" i="2"/>
  <c r="B25" i="2"/>
  <c r="B13" i="2"/>
  <c r="B12" i="2"/>
  <c r="B11" i="2"/>
  <c r="B10" i="2"/>
  <c r="B9" i="2"/>
  <c r="B8" i="2"/>
  <c r="B32" i="2"/>
  <c r="B31" i="2"/>
  <c r="B29" i="2"/>
  <c r="B28" i="2"/>
  <c r="B27" i="2"/>
  <c r="B26" i="2"/>
  <c r="B24" i="2"/>
  <c r="B23" i="2"/>
  <c r="B22" i="2"/>
  <c r="B17" i="2"/>
  <c r="B16" i="2"/>
  <c r="B15" i="2"/>
  <c r="B14" i="2"/>
  <c r="B21" i="2"/>
  <c r="B20" i="2"/>
  <c r="B18" i="2"/>
  <c r="B33" i="2"/>
  <c r="B19" i="2"/>
  <c r="B7" i="2"/>
  <c r="B3" i="2"/>
  <c r="B2" i="2"/>
  <c r="B5" i="2"/>
  <c r="B4" i="2"/>
  <c r="B6" i="2"/>
  <c r="B34" i="2"/>
  <c r="B151" i="2"/>
  <c r="B109" i="2"/>
  <c r="B107" i="2"/>
  <c r="B150" i="2"/>
  <c r="B174" i="2"/>
  <c r="B158" i="2"/>
  <c r="B155" i="2"/>
  <c r="B152" i="2"/>
  <c r="B166" i="2"/>
  <c r="B165" i="2"/>
  <c r="B157" i="2"/>
  <c r="B148" i="2"/>
  <c r="B147" i="2"/>
  <c r="B112" i="2"/>
  <c r="B111" i="2"/>
  <c r="B110" i="2"/>
  <c r="B169" i="2"/>
  <c r="B167" i="2"/>
  <c r="B163" i="2"/>
  <c r="B156" i="2"/>
  <c r="B173" i="2"/>
  <c r="B168" i="2"/>
  <c r="B161" i="2"/>
  <c r="B172" i="2"/>
  <c r="B171" i="2"/>
  <c r="B170" i="2"/>
  <c r="B164" i="2"/>
  <c r="B162" i="2"/>
  <c r="B160" i="2"/>
  <c r="B159" i="2"/>
  <c r="B154" i="2"/>
  <c r="B153" i="2"/>
  <c r="B149" i="2"/>
  <c r="B63" i="2"/>
  <c r="B58" i="2"/>
  <c r="B41" i="2"/>
  <c r="B78" i="2"/>
  <c r="B68" i="2"/>
  <c r="B66" i="2"/>
  <c r="B57" i="2"/>
  <c r="B46" i="2"/>
  <c r="B43" i="2"/>
  <c r="B42" i="2"/>
  <c r="B38" i="2"/>
  <c r="B81" i="2"/>
  <c r="B80" i="2"/>
  <c r="B79" i="2"/>
  <c r="B77" i="2"/>
  <c r="B76" i="2"/>
  <c r="B75" i="2"/>
  <c r="B74" i="2"/>
  <c r="B73" i="2"/>
  <c r="B69" i="2"/>
  <c r="B67" i="2"/>
  <c r="B65" i="2"/>
  <c r="B56" i="2"/>
  <c r="B47" i="2"/>
  <c r="B45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72" i="2"/>
  <c r="B71" i="2"/>
  <c r="B70" i="2"/>
  <c r="B64" i="2"/>
  <c r="B62" i="2"/>
  <c r="B61" i="2"/>
  <c r="B60" i="2"/>
  <c r="B59" i="2"/>
  <c r="B55" i="2"/>
  <c r="B54" i="2"/>
  <c r="B53" i="2"/>
  <c r="B52" i="2"/>
  <c r="B51" i="2"/>
  <c r="B50" i="2"/>
  <c r="B49" i="2"/>
  <c r="B48" i="2"/>
  <c r="B44" i="2"/>
  <c r="B40" i="2"/>
  <c r="B39" i="2"/>
  <c r="B37" i="2"/>
  <c r="B36" i="2"/>
  <c r="B35" i="2"/>
  <c r="B126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08" i="2"/>
  <c r="P19" i="2"/>
  <c r="P34" i="2"/>
  <c r="P2" i="2"/>
  <c r="P5" i="2"/>
  <c r="P4" i="2"/>
  <c r="P18" i="2"/>
</calcChain>
</file>

<file path=xl/sharedStrings.xml><?xml version="1.0" encoding="utf-8"?>
<sst xmlns="http://schemas.openxmlformats.org/spreadsheetml/2006/main" count="4117" uniqueCount="609">
  <si>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</si>
  <si>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</si>
  <si>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</si>
  <si>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</si>
  <si>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</si>
  <si>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</si>
  <si>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</si>
  <si>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</si>
  <si>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</si>
  <si>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</si>
  <si>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</si>
  <si>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</si>
  <si>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</si>
  <si>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</si>
  <si>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</si>
  <si>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</si>
  <si>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</si>
  <si>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</si>
  <si>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</si>
  <si>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</si>
  <si>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</si>
  <si>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</si>
  <si>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</si>
  <si>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</si>
  <si>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</si>
  <si>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</si>
  <si>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</si>
  <si>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</si>
  <si>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</si>
  <si>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</si>
  <si>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</si>
  <si>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</si>
  <si>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</si>
  <si>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</si>
  <si>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</si>
  <si>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</si>
  <si>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</si>
  <si>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</si>
  <si>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</si>
  <si>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</si>
  <si>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</si>
  <si>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</si>
  <si>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</si>
  <si>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</si>
  <si>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'00002677017K</t>
  </si>
  <si>
    <t>ROGER COLLINS</t>
  </si>
  <si>
    <t>IN</t>
  </si>
  <si>
    <t>'045967</t>
  </si>
  <si>
    <t>DANNA GREEN</t>
  </si>
  <si>
    <t>ACTIVE</t>
  </si>
  <si>
    <t>Humana MA 2019+ Level 15- 175/108</t>
  </si>
  <si>
    <t>Monthly</t>
  </si>
  <si>
    <t>AV</t>
  </si>
  <si>
    <t>'00004941354K</t>
  </si>
  <si>
    <t>BRIANNA THOMAS</t>
  </si>
  <si>
    <t>MT</t>
  </si>
  <si>
    <t>'043682</t>
  </si>
  <si>
    <t>GREGORY TEIPEL</t>
  </si>
  <si>
    <t>'00005943903K</t>
  </si>
  <si>
    <t>SUZANNE COLLINS</t>
  </si>
  <si>
    <t>'00006526449K</t>
  </si>
  <si>
    <t>VICKI OWEN</t>
  </si>
  <si>
    <t>FL</t>
  </si>
  <si>
    <t>'043813</t>
  </si>
  <si>
    <t>VICTOR FUENTES</t>
  </si>
  <si>
    <t>Humana MA 2019+ Level 15- 175/108 Repl 2024</t>
  </si>
  <si>
    <t>'00007176825K</t>
  </si>
  <si>
    <t>SILAVONG KEO</t>
  </si>
  <si>
    <t>IL</t>
  </si>
  <si>
    <t>'043625</t>
  </si>
  <si>
    <t>PATSAMON THANADABOUTH</t>
  </si>
  <si>
    <t>'00007488122K</t>
  </si>
  <si>
    <t>DANE SMITH</t>
  </si>
  <si>
    <t>'045605</t>
  </si>
  <si>
    <t>GARY PORTUGAL</t>
  </si>
  <si>
    <t>'00009161020K</t>
  </si>
  <si>
    <t>STEVEN MAUGH</t>
  </si>
  <si>
    <t>OH</t>
  </si>
  <si>
    <t>'045684</t>
  </si>
  <si>
    <t>JILL SHEPARD</t>
  </si>
  <si>
    <t>'00009161218K</t>
  </si>
  <si>
    <t>ELLEN MAUGH</t>
  </si>
  <si>
    <t>'00011770785K</t>
  </si>
  <si>
    <t>ETHEL JAMISON</t>
  </si>
  <si>
    <t>'045638</t>
  </si>
  <si>
    <t>RICHARD YALE</t>
  </si>
  <si>
    <t>'00013610743K</t>
  </si>
  <si>
    <t>JILL DECOUX</t>
  </si>
  <si>
    <t>LA</t>
  </si>
  <si>
    <t>'045712</t>
  </si>
  <si>
    <t>GREGORY HANSFORD</t>
  </si>
  <si>
    <t>'00014571962K</t>
  </si>
  <si>
    <t>MACLINH CHAN</t>
  </si>
  <si>
    <t>'00014737485K</t>
  </si>
  <si>
    <t>MARGARET PEREZ</t>
  </si>
  <si>
    <t>'045709</t>
  </si>
  <si>
    <t>ESTHER HERRERA-LARSEN</t>
  </si>
  <si>
    <t>'00015414906K</t>
  </si>
  <si>
    <t>FLAVIO PEREZ</t>
  </si>
  <si>
    <t>'00016337201K</t>
  </si>
  <si>
    <t>SUKANYA PHONGSAVATH</t>
  </si>
  <si>
    <t>'00016933673K</t>
  </si>
  <si>
    <t>MAGDALENA SANCHEZ</t>
  </si>
  <si>
    <t>'00017444349K</t>
  </si>
  <si>
    <t>PATRICIA NICOLOSI</t>
  </si>
  <si>
    <t>'043637</t>
  </si>
  <si>
    <t>CHRISTIAN TAUGNER</t>
  </si>
  <si>
    <t>'00018270287K</t>
  </si>
  <si>
    <t>ARNETTA CRAIG</t>
  </si>
  <si>
    <t>'00019151670K</t>
  </si>
  <si>
    <t>C PUEBLA DE VILLA</t>
  </si>
  <si>
    <t>OK</t>
  </si>
  <si>
    <t>'00019992467K</t>
  </si>
  <si>
    <t>SHANELLE JACKSON</t>
  </si>
  <si>
    <t>'00022419002K</t>
  </si>
  <si>
    <t>ARTHUR BEESE</t>
  </si>
  <si>
    <t>'045603</t>
  </si>
  <si>
    <t>ANDREW CHOI</t>
  </si>
  <si>
    <t>'00022419424K</t>
  </si>
  <si>
    <t>IRENE BEESE</t>
  </si>
  <si>
    <t>'00022601965K</t>
  </si>
  <si>
    <t>GERALDINE BEIGEL</t>
  </si>
  <si>
    <t>'041686</t>
  </si>
  <si>
    <t>DALE WALENGA</t>
  </si>
  <si>
    <t>'00022981136K</t>
  </si>
  <si>
    <t>BONIE SOUVANNARATH</t>
  </si>
  <si>
    <t>'00023709048K</t>
  </si>
  <si>
    <t>DORICA KATUSIC</t>
  </si>
  <si>
    <t>'00023848950K</t>
  </si>
  <si>
    <t>CHRISTINE HOCHSPRUNG</t>
  </si>
  <si>
    <t>'045622</t>
  </si>
  <si>
    <t>JACOB YALE</t>
  </si>
  <si>
    <t>'00024215659K</t>
  </si>
  <si>
    <t>JOBINA PONCE</t>
  </si>
  <si>
    <t>'00024316696K</t>
  </si>
  <si>
    <t>ANTHONY CORDONE</t>
  </si>
  <si>
    <t>'046124</t>
  </si>
  <si>
    <t>KENNETH WEITZMAN</t>
  </si>
  <si>
    <t>'00024444212K</t>
  </si>
  <si>
    <t>FRANKLIN AJJARAPU</t>
  </si>
  <si>
    <t>'045671</t>
  </si>
  <si>
    <t>ROBERT SHAPIRO</t>
  </si>
  <si>
    <t>'00024459001K</t>
  </si>
  <si>
    <t>LUKE PLANINIC</t>
  </si>
  <si>
    <t>'045611</t>
  </si>
  <si>
    <t>FRANK LISKOVEC</t>
  </si>
  <si>
    <t>'00025246244K</t>
  </si>
  <si>
    <t>CARMINE GARELLI</t>
  </si>
  <si>
    <t>'043739</t>
  </si>
  <si>
    <t>ANDREA PETRUNGARO</t>
  </si>
  <si>
    <t>'00025896536K</t>
  </si>
  <si>
    <t>GERARD SCIARRIO</t>
  </si>
  <si>
    <t>WA</t>
  </si>
  <si>
    <t>'045981</t>
  </si>
  <si>
    <t>JAKE SHULMAN</t>
  </si>
  <si>
    <t>'00025902753K</t>
  </si>
  <si>
    <t>WYNNE CONKLIN</t>
  </si>
  <si>
    <t>'00025903141K</t>
  </si>
  <si>
    <t>GAIL KIMPEL</t>
  </si>
  <si>
    <t>AL</t>
  </si>
  <si>
    <t>'00025907201K</t>
  </si>
  <si>
    <t>SUSAN PURTELL</t>
  </si>
  <si>
    <t>'00025907722K</t>
  </si>
  <si>
    <t>RAQUEL RODRIGUEZ</t>
  </si>
  <si>
    <t>'00025908687K</t>
  </si>
  <si>
    <t>RAUL RODRIGUEZ</t>
  </si>
  <si>
    <t>'00025911940K</t>
  </si>
  <si>
    <t>JENNA SINES</t>
  </si>
  <si>
    <t>'045607</t>
  </si>
  <si>
    <t>PAMELA DEATON</t>
  </si>
  <si>
    <t>'00025911948K</t>
  </si>
  <si>
    <t>KENNA HOWELL</t>
  </si>
  <si>
    <t>'00025912423K</t>
  </si>
  <si>
    <t>ANNE KELLY</t>
  </si>
  <si>
    <t>'045612</t>
  </si>
  <si>
    <t>ANTHONY HUNSBERGER</t>
  </si>
  <si>
    <t>'00025913244K</t>
  </si>
  <si>
    <t>ANITA MILLER</t>
  </si>
  <si>
    <t>'043969</t>
  </si>
  <si>
    <t>STACEY PORTUGAL</t>
  </si>
  <si>
    <t>'00025917141K</t>
  </si>
  <si>
    <t>MARY WILLIAMS</t>
  </si>
  <si>
    <t>'00025917180K</t>
  </si>
  <si>
    <t>GAIL TAUER</t>
  </si>
  <si>
    <t>'045618</t>
  </si>
  <si>
    <t>STEPHANIE DRAPAC</t>
  </si>
  <si>
    <t>'00025917297K</t>
  </si>
  <si>
    <t>LJUBICA SUCHEC</t>
  </si>
  <si>
    <t>'00025919607K</t>
  </si>
  <si>
    <t>SANDRA STEGMANN</t>
  </si>
  <si>
    <t>'00025920133K</t>
  </si>
  <si>
    <t>BRIAN SUSMAN</t>
  </si>
  <si>
    <t>'045604</t>
  </si>
  <si>
    <t>JEFFREY HORN</t>
  </si>
  <si>
    <t>'00025922189K</t>
  </si>
  <si>
    <t>SONYA BOOKER</t>
  </si>
  <si>
    <t>'00025925161K</t>
  </si>
  <si>
    <t>DANIEL MORAR</t>
  </si>
  <si>
    <t>'00025925882K</t>
  </si>
  <si>
    <t>ANEURIN MCARTHY</t>
  </si>
  <si>
    <t>MD</t>
  </si>
  <si>
    <t>'045717</t>
  </si>
  <si>
    <t>RONALD MAX</t>
  </si>
  <si>
    <t>'00025930547K</t>
  </si>
  <si>
    <t>SHERWIN POREC</t>
  </si>
  <si>
    <t>'00025931548K</t>
  </si>
  <si>
    <t>DANIEL JUSTICE</t>
  </si>
  <si>
    <t>NC</t>
  </si>
  <si>
    <t>'00025933181K</t>
  </si>
  <si>
    <t>ANA ALFARO</t>
  </si>
  <si>
    <t>'00025933506K</t>
  </si>
  <si>
    <t>SCOTT WERT</t>
  </si>
  <si>
    <t>'00025933601K</t>
  </si>
  <si>
    <t>NORMA DITTO</t>
  </si>
  <si>
    <t>TX</t>
  </si>
  <si>
    <t>'00025933745K</t>
  </si>
  <si>
    <t>BEVERLY FLEISCHMAN</t>
  </si>
  <si>
    <t>'00025935801K</t>
  </si>
  <si>
    <t>MARSHALL FLEISCHMAN</t>
  </si>
  <si>
    <t>'123275022</t>
  </si>
  <si>
    <t>CAROLYN COX</t>
  </si>
  <si>
    <t>'045896</t>
  </si>
  <si>
    <t>LENSIE GONZALEZ</t>
  </si>
  <si>
    <t>UHC MAPD Street payable to upline- 2025 Pro New</t>
  </si>
  <si>
    <t>3/12 PRORATE</t>
  </si>
  <si>
    <t>'123275022OV</t>
  </si>
  <si>
    <t>UHC MA Direct 2025 New Prorated</t>
  </si>
  <si>
    <t>'12U7F9F41</t>
  </si>
  <si>
    <t>DURU JESWANI</t>
  </si>
  <si>
    <t>Cigna MAPD FMO to GA 1-1-19+ - New</t>
  </si>
  <si>
    <t>'131758294</t>
  </si>
  <si>
    <t>SANDRA NOGUERAS SANTANA</t>
  </si>
  <si>
    <t>'131758294OV</t>
  </si>
  <si>
    <t>'133920961</t>
  </si>
  <si>
    <t>LEON STEPENEY</t>
  </si>
  <si>
    <t>'045591</t>
  </si>
  <si>
    <t>CHRISTOPHER BROUSSEAU</t>
  </si>
  <si>
    <t>UHC MAPD Street payable to upline- 2026 Replace</t>
  </si>
  <si>
    <t>11/12 PRORATE</t>
  </si>
  <si>
    <t>'133920961OV</t>
  </si>
  <si>
    <t>UHC MA Direct 2025 New Initial Prorated</t>
  </si>
  <si>
    <t>'134193543</t>
  </si>
  <si>
    <t>AARON STEELE</t>
  </si>
  <si>
    <t>TN</t>
  </si>
  <si>
    <t>'043633</t>
  </si>
  <si>
    <t>RICHARD WUENSCH</t>
  </si>
  <si>
    <t>Active</t>
  </si>
  <si>
    <t>UHC MAPD Street payable to upline- 2025 Replace</t>
  </si>
  <si>
    <t>UHC MA Bonus Upload 01-21-2026.xlsx</t>
  </si>
  <si>
    <t>'134193543OV</t>
  </si>
  <si>
    <t>'135357015</t>
  </si>
  <si>
    <t>JOHN CULLEN</t>
  </si>
  <si>
    <t>'043679</t>
  </si>
  <si>
    <t>DEBORAH INSKIPT</t>
  </si>
  <si>
    <t>'135357015OV</t>
  </si>
  <si>
    <t>'13R3H8A35</t>
  </si>
  <si>
    <t>HOLLY HAY</t>
  </si>
  <si>
    <t>'15U9F1F19</t>
  </si>
  <si>
    <t>CAROL GLICER</t>
  </si>
  <si>
    <t>'045632</t>
  </si>
  <si>
    <t>BARRY SCHUMANN</t>
  </si>
  <si>
    <t>'19H5F8L62</t>
  </si>
  <si>
    <t>CAROLYN RANDLE</t>
  </si>
  <si>
    <t>'21A1X8R95</t>
  </si>
  <si>
    <t>TIMOTHY CHADWICK</t>
  </si>
  <si>
    <t>'21R4U1R71</t>
  </si>
  <si>
    <t>PATRICIA MUDGETT</t>
  </si>
  <si>
    <t>'22R1L9L44</t>
  </si>
  <si>
    <t>CHERYLL HARRIS</t>
  </si>
  <si>
    <t>'23H2A1X17</t>
  </si>
  <si>
    <t>GAYLE ANTRAM</t>
  </si>
  <si>
    <t>PA</t>
  </si>
  <si>
    <t>'24A2R3A73</t>
  </si>
  <si>
    <t>NORMA GAUSS</t>
  </si>
  <si>
    <t>'043692</t>
  </si>
  <si>
    <t>ADAM RICHTER</t>
  </si>
  <si>
    <t>'24X4F5H49</t>
  </si>
  <si>
    <t>LINDA SCHWANDTNER</t>
  </si>
  <si>
    <t>'25H5F2F22</t>
  </si>
  <si>
    <t>DAVID LOPEZ</t>
  </si>
  <si>
    <t>'27U5L3A71</t>
  </si>
  <si>
    <t>TIMOTHY POZZUTO</t>
  </si>
  <si>
    <t>'043691</t>
  </si>
  <si>
    <t>MICHELLE MCCORKLE</t>
  </si>
  <si>
    <t>'28A8R7X49</t>
  </si>
  <si>
    <t>CARL BONAVOLANTO</t>
  </si>
  <si>
    <t>'35A8U1L81</t>
  </si>
  <si>
    <t>SAMARA BOWHAY</t>
  </si>
  <si>
    <t>'36877815</t>
  </si>
  <si>
    <t>LINDA APPS</t>
  </si>
  <si>
    <t>Cigna MAPD FMO to GA 1-1-19+ - Replacement</t>
  </si>
  <si>
    <t>'36H8X3F21</t>
  </si>
  <si>
    <t>BLYTHE BURREN</t>
  </si>
  <si>
    <t>'36U1A3F87</t>
  </si>
  <si>
    <t>JULIO ACEVEDO</t>
  </si>
  <si>
    <t>'41U6R3X86</t>
  </si>
  <si>
    <t>MICAELA MARTINEZ</t>
  </si>
  <si>
    <t>'44U6H6A16</t>
  </si>
  <si>
    <t>ARTHUR CAMP</t>
  </si>
  <si>
    <t>'47A7U3H98</t>
  </si>
  <si>
    <t>ANDREW SCHAEFFER</t>
  </si>
  <si>
    <t>'47X5A2A67</t>
  </si>
  <si>
    <t>DOUGLAS TRAHAN</t>
  </si>
  <si>
    <t>'47X6H7U82</t>
  </si>
  <si>
    <t>RONALD JONES</t>
  </si>
  <si>
    <t>'49L6A3A59</t>
  </si>
  <si>
    <t>KIM ROTHERY</t>
  </si>
  <si>
    <t>'54L3H2U31</t>
  </si>
  <si>
    <t>BRENDA GIGLIO</t>
  </si>
  <si>
    <t>'57A4U1A17</t>
  </si>
  <si>
    <t>JACQUALINE JONES</t>
  </si>
  <si>
    <t>NA</t>
  </si>
  <si>
    <t>'58U6H8X87</t>
  </si>
  <si>
    <t>RICHARD LUGENBEEL</t>
  </si>
  <si>
    <t>'58X9F1U91</t>
  </si>
  <si>
    <t>MELVIN HAY</t>
  </si>
  <si>
    <t>'59A5U5F33</t>
  </si>
  <si>
    <t>LOUANN ACEVEDO</t>
  </si>
  <si>
    <t>'64H9X7F68</t>
  </si>
  <si>
    <t>MICHAEL OMALLEY</t>
  </si>
  <si>
    <t>'68H6X8F15</t>
  </si>
  <si>
    <t>HOWARD MASON</t>
  </si>
  <si>
    <t>'68R9X6U25</t>
  </si>
  <si>
    <t>GARY ACQUARO</t>
  </si>
  <si>
    <t>'045613</t>
  </si>
  <si>
    <t>RICARDO SANTOS</t>
  </si>
  <si>
    <t>'69L8R8H33</t>
  </si>
  <si>
    <t>RONALD MCGOWAN</t>
  </si>
  <si>
    <t>'71H4A5U95</t>
  </si>
  <si>
    <t>WAYNE REYNOLDS</t>
  </si>
  <si>
    <t>GA</t>
  </si>
  <si>
    <t>'72U4R2X58</t>
  </si>
  <si>
    <t>STEPHANIE SMITH</t>
  </si>
  <si>
    <t>'78F8F1L61</t>
  </si>
  <si>
    <t>JUANDA CAMP</t>
  </si>
  <si>
    <t>'902277837</t>
  </si>
  <si>
    <t>PEGGY LANG</t>
  </si>
  <si>
    <t>'902277837OV</t>
  </si>
  <si>
    <t>'910907579</t>
  </si>
  <si>
    <t>'910907579OV</t>
  </si>
  <si>
    <t>'915804764</t>
  </si>
  <si>
    <t>MARISA BELL</t>
  </si>
  <si>
    <t>'915804764OV</t>
  </si>
  <si>
    <t>UHC MA Direct 2025 New Full</t>
  </si>
  <si>
    <t>'926230943</t>
  </si>
  <si>
    <t>MARANDA DARRIN</t>
  </si>
  <si>
    <t>'926230943OV</t>
  </si>
  <si>
    <t>UHC MA Direct 2025 New Prorated - Other</t>
  </si>
  <si>
    <t>'930834019</t>
  </si>
  <si>
    <t>CARLA GALBRAITH</t>
  </si>
  <si>
    <t>UHC MAPD Street payable to upline PA/CT- 2026 Replace</t>
  </si>
  <si>
    <t>'930834019OV</t>
  </si>
  <si>
    <t>'934031732</t>
  </si>
  <si>
    <t>MARIA ESCALERA</t>
  </si>
  <si>
    <t>UHC MAPD Street payable to upline - 2025 New</t>
  </si>
  <si>
    <t>'934031732OV</t>
  </si>
  <si>
    <t>'939286577</t>
  </si>
  <si>
    <t>CYNTHIA HILL</t>
  </si>
  <si>
    <t>'045937</t>
  </si>
  <si>
    <t>MARSHA SANDEROCK</t>
  </si>
  <si>
    <t>'939286577OV</t>
  </si>
  <si>
    <t>UHC MA Direct 2025 New Full - Other</t>
  </si>
  <si>
    <t>'941105248</t>
  </si>
  <si>
    <t>LADDAVAL VATHANASOMBATI</t>
  </si>
  <si>
    <t>'941105248OV</t>
  </si>
  <si>
    <t>'941126422</t>
  </si>
  <si>
    <t>ISABEL OLIVA PINEDA ZONIA</t>
  </si>
  <si>
    <t>'045966</t>
  </si>
  <si>
    <t>ANTONIA NEVAREZ</t>
  </si>
  <si>
    <t>'941126422OV</t>
  </si>
  <si>
    <t>'941459548</t>
  </si>
  <si>
    <t>VALENTINA FIELDS</t>
  </si>
  <si>
    <t>'941459548OV</t>
  </si>
  <si>
    <t>'943642521</t>
  </si>
  <si>
    <t>SHELLY GANNON</t>
  </si>
  <si>
    <t>CO</t>
  </si>
  <si>
    <t>'043713</t>
  </si>
  <si>
    <t>JOEL LEE</t>
  </si>
  <si>
    <t>'943642521OV</t>
  </si>
  <si>
    <t>'950654690</t>
  </si>
  <si>
    <t>TERESA RAGSDALE</t>
  </si>
  <si>
    <t>'950654690OV</t>
  </si>
  <si>
    <t>'951450707</t>
  </si>
  <si>
    <t>WILLIAM BACHMANN</t>
  </si>
  <si>
    <t>'951450707OV</t>
  </si>
  <si>
    <t>'953893115</t>
  </si>
  <si>
    <t>ROBERT ASHWORTH</t>
  </si>
  <si>
    <t>'953893115OV</t>
  </si>
  <si>
    <t>'962753685</t>
  </si>
  <si>
    <t>VALERIE FORD</t>
  </si>
  <si>
    <t>'962753685OV</t>
  </si>
  <si>
    <t>'964798677</t>
  </si>
  <si>
    <t>JOHNNY HOLT</t>
  </si>
  <si>
    <t>'043705</t>
  </si>
  <si>
    <t>MICHAEL DUNAVANT</t>
  </si>
  <si>
    <t>'964798677OV</t>
  </si>
  <si>
    <t>'970238440</t>
  </si>
  <si>
    <t>TIMOTHY COOPER</t>
  </si>
  <si>
    <t>'970238440OV</t>
  </si>
  <si>
    <t>'971115971</t>
  </si>
  <si>
    <t>MIGUEL MIRANDA</t>
  </si>
  <si>
    <t>'971115971OV</t>
  </si>
  <si>
    <t>'974471146</t>
  </si>
  <si>
    <t>CHRISTINE GRAY</t>
  </si>
  <si>
    <t>'045601</t>
  </si>
  <si>
    <t>CAROL FOLEY</t>
  </si>
  <si>
    <t>'974471146OV</t>
  </si>
  <si>
    <t>'977735774</t>
  </si>
  <si>
    <t>DEBORAH WELSH</t>
  </si>
  <si>
    <t>'977735774OV</t>
  </si>
  <si>
    <t>'996000539</t>
  </si>
  <si>
    <t>MIGUEL GONZALEZ</t>
  </si>
  <si>
    <t>NM</t>
  </si>
  <si>
    <t>UHC MAPD Street payable to upline- 2026 Replace - Other</t>
  </si>
  <si>
    <t>'996000539OV</t>
  </si>
  <si>
    <t>UHC MA Direct 2025 New Initial Prorated - Other</t>
  </si>
  <si>
    <t>'A04413996</t>
  </si>
  <si>
    <t>GUY SALISCH</t>
  </si>
  <si>
    <t>'043585</t>
  </si>
  <si>
    <t>PETER RICHTER</t>
  </si>
  <si>
    <t>UHC AARP Med Supp 2026+ PA Plan B C F G - GI</t>
  </si>
  <si>
    <t>'A04415153</t>
  </si>
  <si>
    <t>POONAM DUTT</t>
  </si>
  <si>
    <t>UHC AARP Med Supp 2026+ AZ IL KS ME NC TN WV Plan B C D F G</t>
  </si>
  <si>
    <t>CB</t>
  </si>
  <si>
    <t>'00008156980KCB</t>
  </si>
  <si>
    <t>NASREEN KHAN</t>
  </si>
  <si>
    <t>'043618</t>
  </si>
  <si>
    <t>SAADIA ABDUL</t>
  </si>
  <si>
    <t>CHARGEBACK</t>
  </si>
  <si>
    <t>'00013610743KPC</t>
  </si>
  <si>
    <t>'00014164768KPC</t>
  </si>
  <si>
    <t>BESS ADAIR</t>
  </si>
  <si>
    <t>'00019883428KPC</t>
  </si>
  <si>
    <t>GAIL ADAIR</t>
  </si>
  <si>
    <t>'00021024359KPC</t>
  </si>
  <si>
    <t>GAIL DOW</t>
  </si>
  <si>
    <t>MI</t>
  </si>
  <si>
    <t>'043718</t>
  </si>
  <si>
    <t>CHAD YALE</t>
  </si>
  <si>
    <t>'00023114640KCB</t>
  </si>
  <si>
    <t>ALFREDO SUAREZ</t>
  </si>
  <si>
    <t>'00023848950KPC</t>
  </si>
  <si>
    <t>'00024215659KPC</t>
  </si>
  <si>
    <t>'00024259206KCB</t>
  </si>
  <si>
    <t>DAVID TSCHUDY</t>
  </si>
  <si>
    <t>'00024578509KCB</t>
  </si>
  <si>
    <t>CYNTHIA YOUNG</t>
  </si>
  <si>
    <t>'00024669704KPC</t>
  </si>
  <si>
    <t>PAULETTE JOHNSON</t>
  </si>
  <si>
    <t>'00024955998KPC</t>
  </si>
  <si>
    <t>JEANNE ROYER</t>
  </si>
  <si>
    <t>WI</t>
  </si>
  <si>
    <t>'00025035914KCB</t>
  </si>
  <si>
    <t>MIKHAIL GAVRILIOUK</t>
  </si>
  <si>
    <t>'00025245679KPC</t>
  </si>
  <si>
    <t>STACI BAKER</t>
  </si>
  <si>
    <t>'00025302973KPC</t>
  </si>
  <si>
    <t>SAMUELLA RANKINS</t>
  </si>
  <si>
    <t>'00025600991KPC</t>
  </si>
  <si>
    <t>PETER WALDRON</t>
  </si>
  <si>
    <t>'00025871591KPC</t>
  </si>
  <si>
    <t>JORGE MARTINEZ</t>
  </si>
  <si>
    <t>'926202494CB</t>
  </si>
  <si>
    <t>CAROLINE LAGUIMON</t>
  </si>
  <si>
    <t>'926202494OVCB</t>
  </si>
  <si>
    <t>'927844077OVPC</t>
  </si>
  <si>
    <t>TERESA PARKER</t>
  </si>
  <si>
    <t>'927844077PC</t>
  </si>
  <si>
    <t>'938289187OVPC</t>
  </si>
  <si>
    <t>'938289187PC</t>
  </si>
  <si>
    <t>'941105248OVPC</t>
  </si>
  <si>
    <t>'941105248PC</t>
  </si>
  <si>
    <t>'943440592CB</t>
  </si>
  <si>
    <t>JONES ATTERBERRY</t>
  </si>
  <si>
    <t>UHC MAPD Street payable to upline - 2026 New</t>
  </si>
  <si>
    <t>'943440592OVCB</t>
  </si>
  <si>
    <t>'967982621CB</t>
  </si>
  <si>
    <t>VERONICA JONES</t>
  </si>
  <si>
    <t>'967982621OVCB</t>
  </si>
  <si>
    <t>'995080570CB</t>
  </si>
  <si>
    <t>SUSAN ROBLEY</t>
  </si>
  <si>
    <t>OR</t>
  </si>
  <si>
    <t>'995080570OVCB</t>
  </si>
  <si>
    <t>UHC MAPD Ovr 2026</t>
  </si>
  <si>
    <t>12U7F9F41</t>
  </si>
  <si>
    <t>13R3H8A35</t>
  </si>
  <si>
    <t>15U9F1F19</t>
  </si>
  <si>
    <t>19H5F8L62</t>
  </si>
  <si>
    <t>21A1X8R95</t>
  </si>
  <si>
    <t>21R4U1R71</t>
  </si>
  <si>
    <t>22R1L9L44</t>
  </si>
  <si>
    <t>23H2A1X17</t>
  </si>
  <si>
    <t>24A2R3A73</t>
  </si>
  <si>
    <t>24X4F5H49</t>
  </si>
  <si>
    <t>25H5F2F22</t>
  </si>
  <si>
    <t>27U5L3A71</t>
  </si>
  <si>
    <t>28A8R7X49</t>
  </si>
  <si>
    <t>35A8U1L81</t>
  </si>
  <si>
    <t>36H8X3F21</t>
  </si>
  <si>
    <t>36U1A3F87</t>
  </si>
  <si>
    <t>41U6R3X86</t>
  </si>
  <si>
    <t>44U6H6A16</t>
  </si>
  <si>
    <t>47A7U3H98</t>
  </si>
  <si>
    <t>47X5A2A67</t>
  </si>
  <si>
    <t>47X6H7U82</t>
  </si>
  <si>
    <t>49L6A3A59</t>
  </si>
  <si>
    <t>54L3H2U31</t>
  </si>
  <si>
    <t>57A4U1A17</t>
  </si>
  <si>
    <t>58U6H8X87</t>
  </si>
  <si>
    <t>58X9F1U91</t>
  </si>
  <si>
    <t>59A5U5F33</t>
  </si>
  <si>
    <t>64H9X7F68</t>
  </si>
  <si>
    <t>68H6X8F15</t>
  </si>
  <si>
    <t>68R9X6U25</t>
  </si>
  <si>
    <t>69L8R8H33</t>
  </si>
  <si>
    <t>71H4A5U95</t>
  </si>
  <si>
    <t>72U4R2X58</t>
  </si>
  <si>
    <t>78F8F1L61</t>
  </si>
  <si>
    <t>00002677017K</t>
  </si>
  <si>
    <t>00004941354K</t>
  </si>
  <si>
    <t>00005943903K</t>
  </si>
  <si>
    <t>00007176825K</t>
  </si>
  <si>
    <t>00007488122K</t>
  </si>
  <si>
    <t>00011770785K</t>
  </si>
  <si>
    <t>00014571962K</t>
  </si>
  <si>
    <t>00014737485K</t>
  </si>
  <si>
    <t>00015414906K</t>
  </si>
  <si>
    <t>00016337201K</t>
  </si>
  <si>
    <t>00016933673K</t>
  </si>
  <si>
    <t>00017444349K</t>
  </si>
  <si>
    <t>00018270287K</t>
  </si>
  <si>
    <t>00019151670K</t>
  </si>
  <si>
    <t>00022419002K</t>
  </si>
  <si>
    <t>00022419424K</t>
  </si>
  <si>
    <t>00022601965K</t>
  </si>
  <si>
    <t>00022981136K</t>
  </si>
  <si>
    <t>00023709048K</t>
  </si>
  <si>
    <t>00024316696K</t>
  </si>
  <si>
    <t>00024444212K</t>
  </si>
  <si>
    <t>00024459001K</t>
  </si>
  <si>
    <t>00025896536K</t>
  </si>
  <si>
    <t>00025902753K</t>
  </si>
  <si>
    <t>00025903141K</t>
  </si>
  <si>
    <t>00025907201K</t>
  </si>
  <si>
    <t>00025907722K</t>
  </si>
  <si>
    <t>00025908687K</t>
  </si>
  <si>
    <t>00025911940K</t>
  </si>
  <si>
    <t>00025911948K</t>
  </si>
  <si>
    <t>00025912423K</t>
  </si>
  <si>
    <t>00025913244K</t>
  </si>
  <si>
    <t>00025917141K</t>
  </si>
  <si>
    <t>00025917180K</t>
  </si>
  <si>
    <t>00025917297K</t>
  </si>
  <si>
    <t>00025919607K</t>
  </si>
  <si>
    <t>00025920133K</t>
  </si>
  <si>
    <t>00025922189K</t>
  </si>
  <si>
    <t>00025925161K</t>
  </si>
  <si>
    <t>00025925882K</t>
  </si>
  <si>
    <t>00025930547K</t>
  </si>
  <si>
    <t>00025931548K</t>
  </si>
  <si>
    <t>00025933181K</t>
  </si>
  <si>
    <t>00025933506K</t>
  </si>
  <si>
    <t>00025933601K</t>
  </si>
  <si>
    <t>00025933745K</t>
  </si>
  <si>
    <t>00025935801K</t>
  </si>
  <si>
    <t>00006526449K</t>
  </si>
  <si>
    <t>00009161020K</t>
  </si>
  <si>
    <t>00009161218K</t>
  </si>
  <si>
    <t>00013610743K</t>
  </si>
  <si>
    <t>00019992467K</t>
  </si>
  <si>
    <t>00023848950K</t>
  </si>
  <si>
    <t>00024215659K</t>
  </si>
  <si>
    <t>00025246244K</t>
  </si>
  <si>
    <t>A04415153</t>
  </si>
  <si>
    <t>A04413996</t>
  </si>
  <si>
    <t>UHC 2026</t>
  </si>
  <si>
    <t>[%/$=694]</t>
  </si>
  <si>
    <t>[%/$=347][prorate=12/12]</t>
  </si>
  <si>
    <t>UHC MAPD 2026*</t>
  </si>
  <si>
    <t>[%/$=347][prorate=11/12]</t>
  </si>
  <si>
    <t>[%/$=313][prorate=1/12]</t>
  </si>
  <si>
    <t>UHC MAPD 2025*</t>
  </si>
  <si>
    <t>[%/$=313][prorate=2/12]</t>
  </si>
  <si>
    <t>[%/$=313][prorate=3/12]</t>
  </si>
  <si>
    <t>[%/$=313][prorate=6/12]</t>
  </si>
  <si>
    <t>2026 UHC MAPD National*</t>
  </si>
  <si>
    <t>[%/$=203][prorate=11/12]</t>
  </si>
  <si>
    <t>UHC 2026 CT, PA, DC *</t>
  </si>
  <si>
    <t>[%/$=391][prorate=11/12]</t>
  </si>
  <si>
    <t>UHC 2025</t>
  </si>
  <si>
    <t>[%/$=626]</t>
  </si>
  <si>
    <t>Cigna MAPD Ovr</t>
  </si>
  <si>
    <t>Humana MAPD OVR</t>
  </si>
  <si>
    <t>Main Line Benefits</t>
  </si>
  <si>
    <t>00024259206K</t>
  </si>
  <si>
    <t>00024578509K</t>
  </si>
  <si>
    <t>00025035914K</t>
  </si>
  <si>
    <t>00008156980K</t>
  </si>
  <si>
    <t>00023114640K</t>
  </si>
  <si>
    <t>00014164768K</t>
  </si>
  <si>
    <t>00019883428K</t>
  </si>
  <si>
    <t>00024669704K</t>
  </si>
  <si>
    <t>00024955998K</t>
  </si>
  <si>
    <t>00025245679K</t>
  </si>
  <si>
    <t>00025302973K</t>
  </si>
  <si>
    <t>00025600991K</t>
  </si>
  <si>
    <t>00025871591K</t>
  </si>
  <si>
    <t>00021024359K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</si>
</sst>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14" fontId="0" fillId="33" borderId="0" xfId="0" applyNumberFormat="1" applyFill="1"/>
    <xf numFmtId="0" fontId="0" fillId="33" borderId="0" xfId="0" applyFill="1"/>
    <xf numFmtId="164" fontId="0" fillId="33" borderId="0" xfId="0" applyNumberFormat="1" applyFill="1"/>
    <xf numFmtId="10" fontId="0" fillId="33" borderId="0" xfId="0" applyNumberFormat="1" applyFill="1"/>
    <xf numFmtId="0" fontId="0" fillId="0" borderId="0" xfId="0" applyAlignment="1">
      <alignment horizontal="left"/>
    </xf>
    <xf numFmtId="0" fontId="0" fillId="34" borderId="0" xfId="0" applyFill="1" applyAlignment="1">
      <alignment horizontal="left"/>
    </xf>
    <xf numFmtId="0" fontId="0" fillId="34" borderId="0" xfId="0" applyFill="1"/>
    <xf numFmtId="14" fontId="0" fillId="34" borderId="0" xfId="0" applyNumberFormat="1" applyFill="1"/>
    <xf numFmtId="164" fontId="0" fillId="34" borderId="0" xfId="0" applyNumberFormat="1" applyFill="1"/>
    <xf numFmtId="0" fontId="14" fillId="34" borderId="0" xfId="0" applyFont="1" applyFill="1" applyAlignment="1">
      <alignment horizontal="left"/>
    </xf>
    <xf numFmtId="0" fontId="14" fillId="34" borderId="0" xfId="0" applyFont="1" applyFill="1"/>
    <xf numFmtId="14" fontId="14" fillId="34" borderId="0" xfId="0" applyNumberFormat="1" applyFont="1" applyFill="1"/>
    <xf numFmtId="164" fontId="14" fillId="34" borderId="0" xfId="0" applyNumberFormat="1" applyFont="1" applyFill="1"/>
    <xf numFmtId="0" fontId="14" fillId="0" borderId="0" xfId="0" applyFont="1"/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13A6-CEC5-4692-A5B6-08DD061D4191}">
  <dimension ref="A1:AL176"/>
  <sheetViews>
    <sheetView topLeftCell="V112" workbookViewId="0">
      <selection activeCell="U142" sqref="A142:XFD142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16" bestFit="1" customWidth="1"/>
    <col min="10" max="10" width="28.425781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7.28515625" bestFit="1" customWidth="1"/>
    <col min="17" max="17" width="12.85546875" bestFit="1" customWidth="1"/>
    <col min="18" max="18" width="58.285156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5.42578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46043</v>
      </c>
      <c r="B2" s="1">
        <v>46043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46054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6134884</v>
      </c>
    </row>
    <row r="3" spans="1:38" x14ac:dyDescent="0.25">
      <c r="A3" s="1">
        <v>46043</v>
      </c>
      <c r="B3" s="1">
        <v>46043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46054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6134885</v>
      </c>
    </row>
    <row r="4" spans="1:38" x14ac:dyDescent="0.25">
      <c r="A4" s="1">
        <v>46043</v>
      </c>
      <c r="B4" s="1">
        <v>46043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46</v>
      </c>
      <c r="O4" t="s">
        <v>47</v>
      </c>
      <c r="P4" t="s">
        <v>48</v>
      </c>
      <c r="Q4" t="s">
        <v>49</v>
      </c>
      <c r="R4" t="s">
        <v>50</v>
      </c>
      <c r="S4" s="1">
        <v>46054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6134886</v>
      </c>
    </row>
    <row r="5" spans="1:38" x14ac:dyDescent="0.25">
      <c r="A5" s="1">
        <v>46043</v>
      </c>
      <c r="B5" s="1">
        <v>46043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60</v>
      </c>
      <c r="J5" t="s">
        <v>61</v>
      </c>
      <c r="M5" t="s">
        <v>62</v>
      </c>
      <c r="O5" t="s">
        <v>63</v>
      </c>
      <c r="P5" t="s">
        <v>64</v>
      </c>
      <c r="Q5" t="s">
        <v>49</v>
      </c>
      <c r="R5" t="s">
        <v>65</v>
      </c>
      <c r="S5" s="1">
        <v>46054</v>
      </c>
      <c r="U5" t="s">
        <v>51</v>
      </c>
      <c r="X5" t="s">
        <v>52</v>
      </c>
      <c r="Y5" s="2">
        <v>0</v>
      </c>
      <c r="Z5" s="2">
        <v>108</v>
      </c>
      <c r="AA5">
        <v>1</v>
      </c>
      <c r="AB5" s="3">
        <v>1</v>
      </c>
      <c r="AC5" s="2">
        <v>108</v>
      </c>
      <c r="AD5" s="3">
        <v>0</v>
      </c>
      <c r="AE5" s="2">
        <v>0</v>
      </c>
      <c r="AF5" s="2">
        <v>108</v>
      </c>
      <c r="AK5">
        <v>6134741</v>
      </c>
    </row>
    <row r="6" spans="1:38" x14ac:dyDescent="0.25">
      <c r="A6" s="1">
        <v>46043</v>
      </c>
      <c r="B6" s="1">
        <v>46043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66</v>
      </c>
      <c r="J6" t="s">
        <v>67</v>
      </c>
      <c r="M6" t="s">
        <v>68</v>
      </c>
      <c r="O6" t="s">
        <v>69</v>
      </c>
      <c r="P6" t="s">
        <v>70</v>
      </c>
      <c r="Q6" t="s">
        <v>49</v>
      </c>
      <c r="R6" t="s">
        <v>50</v>
      </c>
      <c r="S6" s="1">
        <v>46054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6134887</v>
      </c>
    </row>
    <row r="7" spans="1:38" x14ac:dyDescent="0.25">
      <c r="A7" s="1">
        <v>46043</v>
      </c>
      <c r="B7" s="1">
        <v>46043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71</v>
      </c>
      <c r="J7" t="s">
        <v>72</v>
      </c>
      <c r="M7" t="s">
        <v>46</v>
      </c>
      <c r="O7" t="s">
        <v>73</v>
      </c>
      <c r="P7" t="s">
        <v>74</v>
      </c>
      <c r="Q7" t="s">
        <v>49</v>
      </c>
      <c r="R7" t="s">
        <v>50</v>
      </c>
      <c r="S7" s="1">
        <v>46054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6134888</v>
      </c>
    </row>
    <row r="8" spans="1:38" x14ac:dyDescent="0.25">
      <c r="A8" s="1">
        <v>46043</v>
      </c>
      <c r="B8" s="1">
        <v>46043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75</v>
      </c>
      <c r="J8" t="s">
        <v>76</v>
      </c>
      <c r="M8" t="s">
        <v>77</v>
      </c>
      <c r="O8" t="s">
        <v>78</v>
      </c>
      <c r="P8" t="s">
        <v>79</v>
      </c>
      <c r="Q8" t="s">
        <v>49</v>
      </c>
      <c r="R8" t="s">
        <v>65</v>
      </c>
      <c r="S8" s="1">
        <v>46054</v>
      </c>
      <c r="U8" t="s">
        <v>51</v>
      </c>
      <c r="X8" t="s">
        <v>52</v>
      </c>
      <c r="Y8" s="2">
        <v>0</v>
      </c>
      <c r="Z8" s="2">
        <v>108</v>
      </c>
      <c r="AA8">
        <v>1</v>
      </c>
      <c r="AB8" s="3">
        <v>1</v>
      </c>
      <c r="AC8" s="2">
        <v>108</v>
      </c>
      <c r="AD8" s="3">
        <v>0</v>
      </c>
      <c r="AE8" s="2">
        <v>0</v>
      </c>
      <c r="AF8" s="2">
        <v>108</v>
      </c>
      <c r="AK8">
        <v>6134727</v>
      </c>
    </row>
    <row r="9" spans="1:38" x14ac:dyDescent="0.25">
      <c r="A9" s="1">
        <v>46043</v>
      </c>
      <c r="B9" s="1">
        <v>46043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80</v>
      </c>
      <c r="J9" t="s">
        <v>81</v>
      </c>
      <c r="M9" t="s">
        <v>77</v>
      </c>
      <c r="O9" t="s">
        <v>78</v>
      </c>
      <c r="P9" t="s">
        <v>79</v>
      </c>
      <c r="Q9" t="s">
        <v>49</v>
      </c>
      <c r="R9" t="s">
        <v>65</v>
      </c>
      <c r="S9" s="1">
        <v>46054</v>
      </c>
      <c r="U9" t="s">
        <v>51</v>
      </c>
      <c r="X9" t="s">
        <v>52</v>
      </c>
      <c r="Y9" s="2">
        <v>0</v>
      </c>
      <c r="Z9" s="2">
        <v>108</v>
      </c>
      <c r="AA9">
        <v>1</v>
      </c>
      <c r="AB9" s="3">
        <v>1</v>
      </c>
      <c r="AC9" s="2">
        <v>108</v>
      </c>
      <c r="AD9" s="3">
        <v>0</v>
      </c>
      <c r="AE9" s="2">
        <v>0</v>
      </c>
      <c r="AF9" s="2">
        <v>108</v>
      </c>
      <c r="AK9">
        <v>6134728</v>
      </c>
    </row>
    <row r="10" spans="1:38" x14ac:dyDescent="0.25">
      <c r="A10" s="1">
        <v>46043</v>
      </c>
      <c r="B10" s="1">
        <v>46043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82</v>
      </c>
      <c r="J10" t="s">
        <v>83</v>
      </c>
      <c r="M10" t="s">
        <v>68</v>
      </c>
      <c r="O10" t="s">
        <v>84</v>
      </c>
      <c r="P10" t="s">
        <v>85</v>
      </c>
      <c r="Q10" t="s">
        <v>49</v>
      </c>
      <c r="R10" t="s">
        <v>50</v>
      </c>
      <c r="S10" s="1">
        <v>46054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6134889</v>
      </c>
    </row>
    <row r="11" spans="1:38" x14ac:dyDescent="0.25">
      <c r="A11" s="1">
        <v>46043</v>
      </c>
      <c r="B11" s="1">
        <v>46043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86</v>
      </c>
      <c r="J11" t="s">
        <v>87</v>
      </c>
      <c r="M11" t="s">
        <v>88</v>
      </c>
      <c r="O11" t="s">
        <v>89</v>
      </c>
      <c r="P11" t="s">
        <v>90</v>
      </c>
      <c r="Q11" t="s">
        <v>49</v>
      </c>
      <c r="R11" t="s">
        <v>65</v>
      </c>
      <c r="S11" s="1">
        <v>46054</v>
      </c>
      <c r="U11" t="s">
        <v>51</v>
      </c>
      <c r="X11" t="s">
        <v>52</v>
      </c>
      <c r="Y11" s="2">
        <v>0</v>
      </c>
      <c r="Z11" s="2">
        <v>108</v>
      </c>
      <c r="AA11">
        <v>1</v>
      </c>
      <c r="AB11" s="3">
        <v>1</v>
      </c>
      <c r="AC11" s="2">
        <v>108</v>
      </c>
      <c r="AD11" s="3">
        <v>0</v>
      </c>
      <c r="AE11" s="2">
        <v>0</v>
      </c>
      <c r="AF11" s="2">
        <v>108</v>
      </c>
      <c r="AK11">
        <v>6134742</v>
      </c>
    </row>
    <row r="12" spans="1:38" x14ac:dyDescent="0.25">
      <c r="A12" s="1">
        <v>46043</v>
      </c>
      <c r="B12" s="1">
        <v>46043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91</v>
      </c>
      <c r="J12" t="s">
        <v>92</v>
      </c>
      <c r="M12" t="s">
        <v>68</v>
      </c>
      <c r="O12" t="s">
        <v>69</v>
      </c>
      <c r="P12" t="s">
        <v>70</v>
      </c>
      <c r="Q12" t="s">
        <v>49</v>
      </c>
      <c r="R12" t="s">
        <v>50</v>
      </c>
      <c r="S12" s="1">
        <v>46054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6134890</v>
      </c>
    </row>
    <row r="13" spans="1:38" x14ac:dyDescent="0.25">
      <c r="A13" s="1">
        <v>46043</v>
      </c>
      <c r="B13" s="1">
        <v>46043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93</v>
      </c>
      <c r="J13" t="s">
        <v>94</v>
      </c>
      <c r="M13" t="s">
        <v>68</v>
      </c>
      <c r="O13" t="s">
        <v>95</v>
      </c>
      <c r="P13" t="s">
        <v>96</v>
      </c>
      <c r="Q13" t="s">
        <v>49</v>
      </c>
      <c r="R13" t="s">
        <v>50</v>
      </c>
      <c r="S13" s="1">
        <v>46054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6134891</v>
      </c>
    </row>
    <row r="14" spans="1:38" x14ac:dyDescent="0.25">
      <c r="A14" s="1">
        <v>46043</v>
      </c>
      <c r="B14" s="1">
        <v>46043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97</v>
      </c>
      <c r="J14" t="s">
        <v>98</v>
      </c>
      <c r="M14" t="s">
        <v>68</v>
      </c>
      <c r="O14" t="s">
        <v>95</v>
      </c>
      <c r="P14" t="s">
        <v>96</v>
      </c>
      <c r="Q14" t="s">
        <v>49</v>
      </c>
      <c r="R14" t="s">
        <v>50</v>
      </c>
      <c r="S14" s="1">
        <v>46054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6134892</v>
      </c>
    </row>
    <row r="15" spans="1:38" x14ac:dyDescent="0.25">
      <c r="A15" s="1">
        <v>46043</v>
      </c>
      <c r="B15" s="1">
        <v>46043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99</v>
      </c>
      <c r="J15" t="s">
        <v>100</v>
      </c>
      <c r="M15" t="s">
        <v>68</v>
      </c>
      <c r="O15" t="s">
        <v>69</v>
      </c>
      <c r="P15" t="s">
        <v>70</v>
      </c>
      <c r="Q15" t="s">
        <v>49</v>
      </c>
      <c r="R15" t="s">
        <v>50</v>
      </c>
      <c r="S15" s="1">
        <v>46054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6134893</v>
      </c>
    </row>
    <row r="16" spans="1:38" x14ac:dyDescent="0.25">
      <c r="A16" s="1">
        <v>46043</v>
      </c>
      <c r="B16" s="1">
        <v>46043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101</v>
      </c>
      <c r="J16" t="s">
        <v>102</v>
      </c>
      <c r="M16" t="s">
        <v>46</v>
      </c>
      <c r="O16" t="s">
        <v>84</v>
      </c>
      <c r="P16" t="s">
        <v>85</v>
      </c>
      <c r="Q16" t="s">
        <v>49</v>
      </c>
      <c r="R16" t="s">
        <v>50</v>
      </c>
      <c r="S16" s="1">
        <v>46054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6134894</v>
      </c>
    </row>
    <row r="17" spans="1:37" x14ac:dyDescent="0.25">
      <c r="A17" s="1">
        <v>46043</v>
      </c>
      <c r="B17" s="1">
        <v>46043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103</v>
      </c>
      <c r="J17" t="s">
        <v>104</v>
      </c>
      <c r="M17" t="s">
        <v>68</v>
      </c>
      <c r="O17" t="s">
        <v>105</v>
      </c>
      <c r="P17" t="s">
        <v>106</v>
      </c>
      <c r="Q17" t="s">
        <v>49</v>
      </c>
      <c r="R17" t="s">
        <v>50</v>
      </c>
      <c r="S17" s="1">
        <v>46054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6134853</v>
      </c>
    </row>
    <row r="18" spans="1:37" x14ac:dyDescent="0.25">
      <c r="A18" s="1">
        <v>46043</v>
      </c>
      <c r="B18" s="1">
        <v>46043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107</v>
      </c>
      <c r="J18" t="s">
        <v>108</v>
      </c>
      <c r="M18" t="s">
        <v>68</v>
      </c>
      <c r="O18" t="s">
        <v>73</v>
      </c>
      <c r="P18" t="s">
        <v>74</v>
      </c>
      <c r="Q18" t="s">
        <v>49</v>
      </c>
      <c r="R18" t="s">
        <v>50</v>
      </c>
      <c r="S18" s="1">
        <v>46054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6134895</v>
      </c>
    </row>
    <row r="19" spans="1:37" x14ac:dyDescent="0.25">
      <c r="A19" s="1">
        <v>46043</v>
      </c>
      <c r="B19" s="1">
        <v>46043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109</v>
      </c>
      <c r="J19" t="s">
        <v>110</v>
      </c>
      <c r="M19" t="s">
        <v>111</v>
      </c>
      <c r="O19" t="s">
        <v>73</v>
      </c>
      <c r="P19" t="s">
        <v>74</v>
      </c>
      <c r="Q19" t="s">
        <v>49</v>
      </c>
      <c r="R19" t="s">
        <v>50</v>
      </c>
      <c r="S19" s="1">
        <v>46054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6134896</v>
      </c>
    </row>
    <row r="20" spans="1:37" x14ac:dyDescent="0.25">
      <c r="A20" s="1">
        <v>46043</v>
      </c>
      <c r="B20" s="1">
        <v>46043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112</v>
      </c>
      <c r="J20" t="s">
        <v>113</v>
      </c>
      <c r="M20" t="s">
        <v>68</v>
      </c>
      <c r="O20" t="s">
        <v>73</v>
      </c>
      <c r="P20" t="s">
        <v>74</v>
      </c>
      <c r="Q20" t="s">
        <v>49</v>
      </c>
      <c r="R20" t="s">
        <v>65</v>
      </c>
      <c r="S20" s="1">
        <v>46054</v>
      </c>
      <c r="U20" t="s">
        <v>51</v>
      </c>
      <c r="X20" t="s">
        <v>52</v>
      </c>
      <c r="Y20" s="2">
        <v>0</v>
      </c>
      <c r="Z20" s="2">
        <v>108</v>
      </c>
      <c r="AA20">
        <v>1</v>
      </c>
      <c r="AB20" s="3">
        <v>1</v>
      </c>
      <c r="AC20" s="2">
        <v>108</v>
      </c>
      <c r="AD20" s="3">
        <v>0</v>
      </c>
      <c r="AE20" s="2">
        <v>0</v>
      </c>
      <c r="AF20" s="2">
        <v>108</v>
      </c>
      <c r="AK20">
        <v>6134743</v>
      </c>
    </row>
    <row r="21" spans="1:37" x14ac:dyDescent="0.25">
      <c r="A21" s="1">
        <v>46043</v>
      </c>
      <c r="B21" s="1">
        <v>46043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114</v>
      </c>
      <c r="J21" t="s">
        <v>115</v>
      </c>
      <c r="M21" t="s">
        <v>68</v>
      </c>
      <c r="O21" t="s">
        <v>116</v>
      </c>
      <c r="P21" t="s">
        <v>117</v>
      </c>
      <c r="Q21" t="s">
        <v>49</v>
      </c>
      <c r="R21" t="s">
        <v>50</v>
      </c>
      <c r="S21" s="1">
        <v>46054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6134897</v>
      </c>
    </row>
    <row r="22" spans="1:37" x14ac:dyDescent="0.25">
      <c r="A22" s="1">
        <v>46043</v>
      </c>
      <c r="B22" s="1">
        <v>46043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118</v>
      </c>
      <c r="J22" t="s">
        <v>119</v>
      </c>
      <c r="M22" t="s">
        <v>68</v>
      </c>
      <c r="O22" t="s">
        <v>116</v>
      </c>
      <c r="P22" t="s">
        <v>117</v>
      </c>
      <c r="Q22" t="s">
        <v>49</v>
      </c>
      <c r="R22" t="s">
        <v>50</v>
      </c>
      <c r="S22" s="1">
        <v>46054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6134898</v>
      </c>
    </row>
    <row r="23" spans="1:37" x14ac:dyDescent="0.25">
      <c r="A23" s="1">
        <v>46043</v>
      </c>
      <c r="B23" s="1">
        <v>46043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120</v>
      </c>
      <c r="J23" t="s">
        <v>121</v>
      </c>
      <c r="M23" t="s">
        <v>68</v>
      </c>
      <c r="O23" t="s">
        <v>122</v>
      </c>
      <c r="P23" t="s">
        <v>123</v>
      </c>
      <c r="Q23" t="s">
        <v>49</v>
      </c>
      <c r="R23" t="s">
        <v>50</v>
      </c>
      <c r="S23" s="1">
        <v>46054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6134899</v>
      </c>
    </row>
    <row r="24" spans="1:37" x14ac:dyDescent="0.25">
      <c r="A24" s="1">
        <v>46043</v>
      </c>
      <c r="B24" s="1">
        <v>46043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124</v>
      </c>
      <c r="J24" t="s">
        <v>125</v>
      </c>
      <c r="M24" t="s">
        <v>68</v>
      </c>
      <c r="O24" t="s">
        <v>69</v>
      </c>
      <c r="P24" t="s">
        <v>70</v>
      </c>
      <c r="Q24" t="s">
        <v>49</v>
      </c>
      <c r="R24" t="s">
        <v>50</v>
      </c>
      <c r="S24" s="1">
        <v>46054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6134900</v>
      </c>
    </row>
    <row r="25" spans="1:37" x14ac:dyDescent="0.25">
      <c r="A25" s="1">
        <v>46043</v>
      </c>
      <c r="B25" s="1">
        <v>46043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126</v>
      </c>
      <c r="J25" t="s">
        <v>127</v>
      </c>
      <c r="M25" t="s">
        <v>62</v>
      </c>
      <c r="O25" t="s">
        <v>73</v>
      </c>
      <c r="P25" t="s">
        <v>74</v>
      </c>
      <c r="Q25" t="s">
        <v>49</v>
      </c>
      <c r="R25" t="s">
        <v>50</v>
      </c>
      <c r="S25" s="1">
        <v>46023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6134901</v>
      </c>
    </row>
    <row r="26" spans="1:37" x14ac:dyDescent="0.25">
      <c r="A26" s="1">
        <v>46043</v>
      </c>
      <c r="B26" s="1">
        <v>46043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128</v>
      </c>
      <c r="J26" t="s">
        <v>129</v>
      </c>
      <c r="M26" t="s">
        <v>68</v>
      </c>
      <c r="O26" t="s">
        <v>130</v>
      </c>
      <c r="P26" t="s">
        <v>131</v>
      </c>
      <c r="Q26" t="s">
        <v>49</v>
      </c>
      <c r="R26" t="s">
        <v>65</v>
      </c>
      <c r="S26" s="1">
        <v>46054</v>
      </c>
      <c r="U26" t="s">
        <v>51</v>
      </c>
      <c r="X26" t="s">
        <v>52</v>
      </c>
      <c r="Y26" s="2">
        <v>0</v>
      </c>
      <c r="Z26" s="2">
        <v>108</v>
      </c>
      <c r="AA26">
        <v>1</v>
      </c>
      <c r="AB26" s="3">
        <v>1</v>
      </c>
      <c r="AC26" s="2">
        <v>108</v>
      </c>
      <c r="AD26" s="3">
        <v>0</v>
      </c>
      <c r="AE26" s="2">
        <v>0</v>
      </c>
      <c r="AF26" s="2">
        <v>108</v>
      </c>
      <c r="AK26">
        <v>6134744</v>
      </c>
    </row>
    <row r="27" spans="1:37" x14ac:dyDescent="0.25">
      <c r="A27" s="1">
        <v>46043</v>
      </c>
      <c r="B27" s="1">
        <v>46043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132</v>
      </c>
      <c r="J27" t="s">
        <v>133</v>
      </c>
      <c r="M27" t="s">
        <v>68</v>
      </c>
      <c r="O27" t="s">
        <v>73</v>
      </c>
      <c r="P27" t="s">
        <v>74</v>
      </c>
      <c r="Q27" t="s">
        <v>49</v>
      </c>
      <c r="R27" t="s">
        <v>65</v>
      </c>
      <c r="S27" s="1">
        <v>46054</v>
      </c>
      <c r="U27" t="s">
        <v>51</v>
      </c>
      <c r="X27" t="s">
        <v>52</v>
      </c>
      <c r="Y27" s="2">
        <v>0</v>
      </c>
      <c r="Z27" s="2">
        <v>108</v>
      </c>
      <c r="AA27">
        <v>1</v>
      </c>
      <c r="AB27" s="3">
        <v>1</v>
      </c>
      <c r="AC27" s="2">
        <v>108</v>
      </c>
      <c r="AD27" s="3">
        <v>0</v>
      </c>
      <c r="AE27" s="2">
        <v>0</v>
      </c>
      <c r="AF27" s="2">
        <v>108</v>
      </c>
      <c r="AK27">
        <v>6134745</v>
      </c>
    </row>
    <row r="28" spans="1:37" x14ac:dyDescent="0.25">
      <c r="A28" s="1">
        <v>46043</v>
      </c>
      <c r="B28" s="1">
        <v>46043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134</v>
      </c>
      <c r="J28" t="s">
        <v>135</v>
      </c>
      <c r="M28" t="s">
        <v>68</v>
      </c>
      <c r="O28" t="s">
        <v>136</v>
      </c>
      <c r="P28" t="s">
        <v>137</v>
      </c>
      <c r="Q28" t="s">
        <v>49</v>
      </c>
      <c r="R28" t="s">
        <v>50</v>
      </c>
      <c r="S28" s="1">
        <v>46023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6134863</v>
      </c>
    </row>
    <row r="29" spans="1:37" x14ac:dyDescent="0.25">
      <c r="A29" s="1">
        <v>46043</v>
      </c>
      <c r="B29" s="1">
        <v>46043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138</v>
      </c>
      <c r="J29" t="s">
        <v>139</v>
      </c>
      <c r="M29" t="s">
        <v>68</v>
      </c>
      <c r="O29" t="s">
        <v>140</v>
      </c>
      <c r="P29" t="s">
        <v>141</v>
      </c>
      <c r="Q29" t="s">
        <v>49</v>
      </c>
      <c r="R29" t="s">
        <v>50</v>
      </c>
      <c r="S29" s="1">
        <v>46054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6134902</v>
      </c>
    </row>
    <row r="30" spans="1:37" x14ac:dyDescent="0.25">
      <c r="A30" s="1">
        <v>46043</v>
      </c>
      <c r="B30" s="1">
        <v>46043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142</v>
      </c>
      <c r="J30" t="s">
        <v>143</v>
      </c>
      <c r="M30" t="s">
        <v>68</v>
      </c>
      <c r="O30" t="s">
        <v>144</v>
      </c>
      <c r="P30" t="s">
        <v>145</v>
      </c>
      <c r="Q30" t="s">
        <v>49</v>
      </c>
      <c r="R30" t="s">
        <v>50</v>
      </c>
      <c r="S30" s="1">
        <v>46023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6134903</v>
      </c>
    </row>
    <row r="31" spans="1:37" x14ac:dyDescent="0.25">
      <c r="A31" s="1">
        <v>46043</v>
      </c>
      <c r="B31" s="1">
        <v>46043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146</v>
      </c>
      <c r="J31" t="s">
        <v>147</v>
      </c>
      <c r="M31" t="s">
        <v>68</v>
      </c>
      <c r="O31" t="s">
        <v>148</v>
      </c>
      <c r="P31" t="s">
        <v>149</v>
      </c>
      <c r="Q31" t="s">
        <v>49</v>
      </c>
      <c r="R31" t="s">
        <v>65</v>
      </c>
      <c r="S31" s="1">
        <v>46054</v>
      </c>
      <c r="U31" t="s">
        <v>51</v>
      </c>
      <c r="X31" t="s">
        <v>52</v>
      </c>
      <c r="Y31" s="2">
        <v>0</v>
      </c>
      <c r="Z31" s="2">
        <v>108</v>
      </c>
      <c r="AA31">
        <v>1</v>
      </c>
      <c r="AB31" s="3">
        <v>1</v>
      </c>
      <c r="AC31" s="2">
        <v>108</v>
      </c>
      <c r="AD31" s="3">
        <v>0</v>
      </c>
      <c r="AE31" s="2">
        <v>0</v>
      </c>
      <c r="AF31" s="2">
        <v>108</v>
      </c>
      <c r="AK31">
        <v>6134746</v>
      </c>
    </row>
    <row r="32" spans="1:37" x14ac:dyDescent="0.25">
      <c r="A32" s="1">
        <v>46043</v>
      </c>
      <c r="B32" s="1">
        <v>46043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150</v>
      </c>
      <c r="J32" t="s">
        <v>151</v>
      </c>
      <c r="M32" t="s">
        <v>152</v>
      </c>
      <c r="O32" t="s">
        <v>153</v>
      </c>
      <c r="P32" t="s">
        <v>154</v>
      </c>
      <c r="Q32" t="s">
        <v>49</v>
      </c>
      <c r="R32" t="s">
        <v>50</v>
      </c>
      <c r="S32" s="1">
        <v>46054</v>
      </c>
      <c r="U32" t="s">
        <v>51</v>
      </c>
      <c r="X32" t="s">
        <v>52</v>
      </c>
      <c r="Y32" s="2">
        <v>0</v>
      </c>
      <c r="Z32" s="2">
        <v>175</v>
      </c>
      <c r="AA32">
        <v>1</v>
      </c>
      <c r="AB32" s="3">
        <v>1</v>
      </c>
      <c r="AC32" s="2">
        <v>175</v>
      </c>
      <c r="AD32" s="3">
        <v>0</v>
      </c>
      <c r="AE32" s="2">
        <v>0</v>
      </c>
      <c r="AF32" s="2">
        <v>175</v>
      </c>
      <c r="AK32">
        <v>6134904</v>
      </c>
    </row>
    <row r="33" spans="1:37" x14ac:dyDescent="0.25">
      <c r="A33" s="1">
        <v>46043</v>
      </c>
      <c r="B33" s="1">
        <v>46043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155</v>
      </c>
      <c r="J33" t="s">
        <v>156</v>
      </c>
      <c r="M33" t="s">
        <v>68</v>
      </c>
      <c r="O33" t="s">
        <v>84</v>
      </c>
      <c r="P33" t="s">
        <v>85</v>
      </c>
      <c r="Q33" t="s">
        <v>49</v>
      </c>
      <c r="R33" t="s">
        <v>50</v>
      </c>
      <c r="S33" s="1">
        <v>46054</v>
      </c>
      <c r="U33" t="s">
        <v>51</v>
      </c>
      <c r="X33" t="s">
        <v>52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6134905</v>
      </c>
    </row>
    <row r="34" spans="1:37" x14ac:dyDescent="0.25">
      <c r="A34" s="1">
        <v>46043</v>
      </c>
      <c r="B34" s="1">
        <v>46043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157</v>
      </c>
      <c r="J34" t="s">
        <v>158</v>
      </c>
      <c r="M34" t="s">
        <v>159</v>
      </c>
      <c r="O34" t="s">
        <v>73</v>
      </c>
      <c r="P34" t="s">
        <v>74</v>
      </c>
      <c r="Q34" t="s">
        <v>49</v>
      </c>
      <c r="R34" t="s">
        <v>50</v>
      </c>
      <c r="S34" s="1">
        <v>46054</v>
      </c>
      <c r="U34" t="s">
        <v>51</v>
      </c>
      <c r="X34" t="s">
        <v>52</v>
      </c>
      <c r="Y34" s="2">
        <v>0</v>
      </c>
      <c r="Z34" s="2">
        <v>175</v>
      </c>
      <c r="AA34">
        <v>1</v>
      </c>
      <c r="AB34" s="3">
        <v>1</v>
      </c>
      <c r="AC34" s="2">
        <v>175</v>
      </c>
      <c r="AD34" s="3">
        <v>0</v>
      </c>
      <c r="AE34" s="2">
        <v>0</v>
      </c>
      <c r="AF34" s="2">
        <v>175</v>
      </c>
      <c r="AK34">
        <v>6134906</v>
      </c>
    </row>
    <row r="35" spans="1:37" x14ac:dyDescent="0.25">
      <c r="A35" s="1">
        <v>46043</v>
      </c>
      <c r="B35" s="1">
        <v>46043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160</v>
      </c>
      <c r="J35" t="s">
        <v>161</v>
      </c>
      <c r="M35" t="s">
        <v>68</v>
      </c>
      <c r="O35" t="s">
        <v>130</v>
      </c>
      <c r="P35" t="s">
        <v>131</v>
      </c>
      <c r="Q35" t="s">
        <v>49</v>
      </c>
      <c r="R35" t="s">
        <v>50</v>
      </c>
      <c r="S35" s="1">
        <v>46054</v>
      </c>
      <c r="U35" t="s">
        <v>51</v>
      </c>
      <c r="X35" t="s">
        <v>52</v>
      </c>
      <c r="Y35" s="2">
        <v>0</v>
      </c>
      <c r="Z35" s="2">
        <v>175</v>
      </c>
      <c r="AA35">
        <v>1</v>
      </c>
      <c r="AB35" s="3">
        <v>1</v>
      </c>
      <c r="AC35" s="2">
        <v>175</v>
      </c>
      <c r="AD35" s="3">
        <v>0</v>
      </c>
      <c r="AE35" s="2">
        <v>0</v>
      </c>
      <c r="AF35" s="2">
        <v>175</v>
      </c>
      <c r="AK35">
        <v>6134907</v>
      </c>
    </row>
    <row r="36" spans="1:37" x14ac:dyDescent="0.25">
      <c r="A36" s="1">
        <v>46043</v>
      </c>
      <c r="B36" s="1">
        <v>46043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162</v>
      </c>
      <c r="J36" t="s">
        <v>163</v>
      </c>
      <c r="M36" t="s">
        <v>68</v>
      </c>
      <c r="O36" t="s">
        <v>122</v>
      </c>
      <c r="P36" t="s">
        <v>123</v>
      </c>
      <c r="Q36" t="s">
        <v>49</v>
      </c>
      <c r="R36" t="s">
        <v>50</v>
      </c>
      <c r="S36" s="1">
        <v>46054</v>
      </c>
      <c r="U36" t="s">
        <v>51</v>
      </c>
      <c r="X36" t="s">
        <v>52</v>
      </c>
      <c r="Y36" s="2">
        <v>0</v>
      </c>
      <c r="Z36" s="2">
        <v>175</v>
      </c>
      <c r="AA36">
        <v>1</v>
      </c>
      <c r="AB36" s="3">
        <v>1</v>
      </c>
      <c r="AC36" s="2">
        <v>175</v>
      </c>
      <c r="AD36" s="3">
        <v>0</v>
      </c>
      <c r="AE36" s="2">
        <v>0</v>
      </c>
      <c r="AF36" s="2">
        <v>175</v>
      </c>
      <c r="AK36">
        <v>6134908</v>
      </c>
    </row>
    <row r="37" spans="1:37" x14ac:dyDescent="0.25">
      <c r="A37" s="1">
        <v>46043</v>
      </c>
      <c r="B37" s="1">
        <v>46043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164</v>
      </c>
      <c r="J37" t="s">
        <v>165</v>
      </c>
      <c r="M37" t="s">
        <v>68</v>
      </c>
      <c r="O37" t="s">
        <v>122</v>
      </c>
      <c r="P37" t="s">
        <v>123</v>
      </c>
      <c r="Q37" t="s">
        <v>49</v>
      </c>
      <c r="R37" t="s">
        <v>50</v>
      </c>
      <c r="S37" s="1">
        <v>46054</v>
      </c>
      <c r="U37" t="s">
        <v>51</v>
      </c>
      <c r="X37" t="s">
        <v>52</v>
      </c>
      <c r="Y37" s="2">
        <v>0</v>
      </c>
      <c r="Z37" s="2">
        <v>175</v>
      </c>
      <c r="AA37">
        <v>1</v>
      </c>
      <c r="AB37" s="3">
        <v>1</v>
      </c>
      <c r="AC37" s="2">
        <v>175</v>
      </c>
      <c r="AD37" s="3">
        <v>0</v>
      </c>
      <c r="AE37" s="2">
        <v>0</v>
      </c>
      <c r="AF37" s="2">
        <v>175</v>
      </c>
      <c r="AK37">
        <v>6134909</v>
      </c>
    </row>
    <row r="38" spans="1:37" x14ac:dyDescent="0.25">
      <c r="A38" s="1">
        <v>46043</v>
      </c>
      <c r="B38" s="1">
        <v>46043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166</v>
      </c>
      <c r="J38" t="s">
        <v>167</v>
      </c>
      <c r="M38" t="s">
        <v>68</v>
      </c>
      <c r="O38" t="s">
        <v>168</v>
      </c>
      <c r="P38" t="s">
        <v>169</v>
      </c>
      <c r="Q38" t="s">
        <v>49</v>
      </c>
      <c r="R38" t="s">
        <v>50</v>
      </c>
      <c r="S38" s="1">
        <v>46054</v>
      </c>
      <c r="U38" t="s">
        <v>51</v>
      </c>
      <c r="X38" t="s">
        <v>52</v>
      </c>
      <c r="Y38" s="2">
        <v>0</v>
      </c>
      <c r="Z38" s="2">
        <v>175</v>
      </c>
      <c r="AA38">
        <v>1</v>
      </c>
      <c r="AB38" s="3">
        <v>1</v>
      </c>
      <c r="AC38" s="2">
        <v>175</v>
      </c>
      <c r="AD38" s="3">
        <v>0</v>
      </c>
      <c r="AE38" s="2">
        <v>0</v>
      </c>
      <c r="AF38" s="2">
        <v>175</v>
      </c>
      <c r="AK38">
        <v>6134910</v>
      </c>
    </row>
    <row r="39" spans="1:37" x14ac:dyDescent="0.25">
      <c r="A39" s="1">
        <v>46043</v>
      </c>
      <c r="B39" s="1">
        <v>46043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170</v>
      </c>
      <c r="J39" t="s">
        <v>171</v>
      </c>
      <c r="M39" t="s">
        <v>77</v>
      </c>
      <c r="O39" t="s">
        <v>78</v>
      </c>
      <c r="P39" t="s">
        <v>79</v>
      </c>
      <c r="Q39" t="s">
        <v>49</v>
      </c>
      <c r="R39" t="s">
        <v>50</v>
      </c>
      <c r="S39" s="1">
        <v>46054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6134867</v>
      </c>
    </row>
    <row r="40" spans="1:37" x14ac:dyDescent="0.25">
      <c r="A40" s="1">
        <v>46043</v>
      </c>
      <c r="B40" s="1">
        <v>46043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172</v>
      </c>
      <c r="J40" t="s">
        <v>173</v>
      </c>
      <c r="M40" t="s">
        <v>68</v>
      </c>
      <c r="O40" t="s">
        <v>174</v>
      </c>
      <c r="P40" t="s">
        <v>175</v>
      </c>
      <c r="Q40" t="s">
        <v>49</v>
      </c>
      <c r="R40" t="s">
        <v>50</v>
      </c>
      <c r="S40" s="1">
        <v>46054</v>
      </c>
      <c r="U40" t="s">
        <v>51</v>
      </c>
      <c r="X40" t="s">
        <v>52</v>
      </c>
      <c r="Y40" s="2">
        <v>0</v>
      </c>
      <c r="Z40" s="2">
        <v>175</v>
      </c>
      <c r="AA40">
        <v>1</v>
      </c>
      <c r="AB40" s="3">
        <v>1</v>
      </c>
      <c r="AC40" s="2">
        <v>175</v>
      </c>
      <c r="AD40" s="3">
        <v>0</v>
      </c>
      <c r="AE40" s="2">
        <v>0</v>
      </c>
      <c r="AF40" s="2">
        <v>175</v>
      </c>
      <c r="AK40">
        <v>6134911</v>
      </c>
    </row>
    <row r="41" spans="1:37" x14ac:dyDescent="0.25">
      <c r="A41" s="1">
        <v>46043</v>
      </c>
      <c r="B41" s="1">
        <v>46043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176</v>
      </c>
      <c r="J41" t="s">
        <v>177</v>
      </c>
      <c r="M41" t="s">
        <v>68</v>
      </c>
      <c r="O41" t="s">
        <v>178</v>
      </c>
      <c r="P41" t="s">
        <v>179</v>
      </c>
      <c r="Q41" t="s">
        <v>49</v>
      </c>
      <c r="R41" t="s">
        <v>50</v>
      </c>
      <c r="S41" s="1">
        <v>46054</v>
      </c>
      <c r="U41" t="s">
        <v>51</v>
      </c>
      <c r="X41" t="s">
        <v>52</v>
      </c>
      <c r="Y41" s="2">
        <v>0</v>
      </c>
      <c r="Z41" s="2">
        <v>175</v>
      </c>
      <c r="AA41">
        <v>1</v>
      </c>
      <c r="AB41" s="3">
        <v>1</v>
      </c>
      <c r="AC41" s="2">
        <v>175</v>
      </c>
      <c r="AD41" s="3">
        <v>0</v>
      </c>
      <c r="AE41" s="2">
        <v>0</v>
      </c>
      <c r="AF41" s="2">
        <v>175</v>
      </c>
      <c r="AK41">
        <v>6134912</v>
      </c>
    </row>
    <row r="42" spans="1:37" x14ac:dyDescent="0.25">
      <c r="A42" s="1">
        <v>46043</v>
      </c>
      <c r="B42" s="1">
        <v>46043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180</v>
      </c>
      <c r="J42" t="s">
        <v>181</v>
      </c>
      <c r="M42" t="s">
        <v>46</v>
      </c>
      <c r="O42" t="s">
        <v>47</v>
      </c>
      <c r="P42" t="s">
        <v>48</v>
      </c>
      <c r="Q42" t="s">
        <v>49</v>
      </c>
      <c r="R42" t="s">
        <v>50</v>
      </c>
      <c r="S42" s="1">
        <v>46054</v>
      </c>
      <c r="U42" t="s">
        <v>51</v>
      </c>
      <c r="X42" t="s">
        <v>52</v>
      </c>
      <c r="Y42" s="2">
        <v>0</v>
      </c>
      <c r="Z42" s="2">
        <v>175</v>
      </c>
      <c r="AA42">
        <v>1</v>
      </c>
      <c r="AB42" s="3">
        <v>1</v>
      </c>
      <c r="AC42" s="2">
        <v>175</v>
      </c>
      <c r="AD42" s="3">
        <v>0</v>
      </c>
      <c r="AE42" s="2">
        <v>0</v>
      </c>
      <c r="AF42" s="2">
        <v>175</v>
      </c>
      <c r="AK42">
        <v>6134913</v>
      </c>
    </row>
    <row r="43" spans="1:37" x14ac:dyDescent="0.25">
      <c r="A43" s="1">
        <v>46043</v>
      </c>
      <c r="B43" s="1">
        <v>46043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182</v>
      </c>
      <c r="J43" t="s">
        <v>183</v>
      </c>
      <c r="M43" t="s">
        <v>68</v>
      </c>
      <c r="O43" t="s">
        <v>184</v>
      </c>
      <c r="P43" t="s">
        <v>185</v>
      </c>
      <c r="Q43" t="s">
        <v>49</v>
      </c>
      <c r="R43" t="s">
        <v>50</v>
      </c>
      <c r="S43" s="1">
        <v>46054</v>
      </c>
      <c r="U43" t="s">
        <v>51</v>
      </c>
      <c r="X43" t="s">
        <v>52</v>
      </c>
      <c r="Y43" s="2">
        <v>0</v>
      </c>
      <c r="Z43" s="2">
        <v>175</v>
      </c>
      <c r="AA43">
        <v>1</v>
      </c>
      <c r="AB43" s="3">
        <v>1</v>
      </c>
      <c r="AC43" s="2">
        <v>175</v>
      </c>
      <c r="AD43" s="3">
        <v>0</v>
      </c>
      <c r="AE43" s="2">
        <v>0</v>
      </c>
      <c r="AF43" s="2">
        <v>175</v>
      </c>
      <c r="AK43">
        <v>6134914</v>
      </c>
    </row>
    <row r="44" spans="1:37" x14ac:dyDescent="0.25">
      <c r="A44" s="1">
        <v>46043</v>
      </c>
      <c r="B44" s="1">
        <v>46043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186</v>
      </c>
      <c r="J44" t="s">
        <v>187</v>
      </c>
      <c r="M44" t="s">
        <v>68</v>
      </c>
      <c r="O44" t="s">
        <v>144</v>
      </c>
      <c r="P44" t="s">
        <v>145</v>
      </c>
      <c r="Q44" t="s">
        <v>49</v>
      </c>
      <c r="R44" t="s">
        <v>50</v>
      </c>
      <c r="S44" s="1">
        <v>46082</v>
      </c>
      <c r="U44" t="s">
        <v>51</v>
      </c>
      <c r="X44" t="s">
        <v>52</v>
      </c>
      <c r="Y44" s="2">
        <v>0</v>
      </c>
      <c r="Z44" s="2">
        <v>175</v>
      </c>
      <c r="AA44">
        <v>1</v>
      </c>
      <c r="AB44" s="3">
        <v>1</v>
      </c>
      <c r="AC44" s="2">
        <v>175</v>
      </c>
      <c r="AD44" s="3">
        <v>0</v>
      </c>
      <c r="AE44" s="2">
        <v>0</v>
      </c>
      <c r="AF44" s="2">
        <v>175</v>
      </c>
      <c r="AK44">
        <v>6134915</v>
      </c>
    </row>
    <row r="45" spans="1:37" x14ac:dyDescent="0.25">
      <c r="A45" s="1">
        <v>46043</v>
      </c>
      <c r="B45" s="1">
        <v>46043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188</v>
      </c>
      <c r="J45" t="s">
        <v>189</v>
      </c>
      <c r="M45" t="s">
        <v>68</v>
      </c>
      <c r="O45" t="s">
        <v>174</v>
      </c>
      <c r="P45" t="s">
        <v>175</v>
      </c>
      <c r="Q45" t="s">
        <v>49</v>
      </c>
      <c r="R45" t="s">
        <v>50</v>
      </c>
      <c r="S45" s="1">
        <v>46113</v>
      </c>
      <c r="U45" t="s">
        <v>51</v>
      </c>
      <c r="X45" t="s">
        <v>52</v>
      </c>
      <c r="Y45" s="2">
        <v>0</v>
      </c>
      <c r="Z45" s="2">
        <v>175</v>
      </c>
      <c r="AA45">
        <v>1</v>
      </c>
      <c r="AB45" s="3">
        <v>1</v>
      </c>
      <c r="AC45" s="2">
        <v>175</v>
      </c>
      <c r="AD45" s="3">
        <v>0</v>
      </c>
      <c r="AE45" s="2">
        <v>0</v>
      </c>
      <c r="AF45" s="2">
        <v>175</v>
      </c>
      <c r="AK45">
        <v>6134916</v>
      </c>
    </row>
    <row r="46" spans="1:37" x14ac:dyDescent="0.25">
      <c r="A46" s="1">
        <v>46043</v>
      </c>
      <c r="B46" s="1">
        <v>46043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190</v>
      </c>
      <c r="J46" t="s">
        <v>191</v>
      </c>
      <c r="M46" t="s">
        <v>68</v>
      </c>
      <c r="O46" t="s">
        <v>192</v>
      </c>
      <c r="P46" t="s">
        <v>193</v>
      </c>
      <c r="Q46" t="s">
        <v>49</v>
      </c>
      <c r="R46" t="s">
        <v>50</v>
      </c>
      <c r="S46" s="1">
        <v>46054</v>
      </c>
      <c r="U46" t="s">
        <v>51</v>
      </c>
      <c r="X46" t="s">
        <v>52</v>
      </c>
      <c r="Y46" s="2">
        <v>0</v>
      </c>
      <c r="Z46" s="2">
        <v>175</v>
      </c>
      <c r="AA46">
        <v>1</v>
      </c>
      <c r="AB46" s="3">
        <v>1</v>
      </c>
      <c r="AC46" s="2">
        <v>175</v>
      </c>
      <c r="AD46" s="3">
        <v>0</v>
      </c>
      <c r="AE46" s="2">
        <v>0</v>
      </c>
      <c r="AF46" s="2">
        <v>175</v>
      </c>
      <c r="AK46">
        <v>6134917</v>
      </c>
    </row>
    <row r="47" spans="1:37" x14ac:dyDescent="0.25">
      <c r="A47" s="1">
        <v>46043</v>
      </c>
      <c r="B47" s="1">
        <v>46043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194</v>
      </c>
      <c r="J47" t="s">
        <v>195</v>
      </c>
      <c r="M47" t="s">
        <v>68</v>
      </c>
      <c r="O47" t="s">
        <v>73</v>
      </c>
      <c r="P47" t="s">
        <v>74</v>
      </c>
      <c r="Q47" t="s">
        <v>49</v>
      </c>
      <c r="R47" t="s">
        <v>50</v>
      </c>
      <c r="S47" s="1">
        <v>46054</v>
      </c>
      <c r="U47" t="s">
        <v>51</v>
      </c>
      <c r="X47" t="s">
        <v>52</v>
      </c>
      <c r="Y47" s="2">
        <v>0</v>
      </c>
      <c r="Z47" s="2">
        <v>175</v>
      </c>
      <c r="AA47">
        <v>1</v>
      </c>
      <c r="AB47" s="3">
        <v>1</v>
      </c>
      <c r="AC47" s="2">
        <v>175</v>
      </c>
      <c r="AD47" s="3">
        <v>0</v>
      </c>
      <c r="AE47" s="2">
        <v>0</v>
      </c>
      <c r="AF47" s="2">
        <v>175</v>
      </c>
      <c r="AK47">
        <v>6134918</v>
      </c>
    </row>
    <row r="48" spans="1:37" x14ac:dyDescent="0.25">
      <c r="A48" s="1">
        <v>46043</v>
      </c>
      <c r="B48" s="1">
        <v>46043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196</v>
      </c>
      <c r="J48" t="s">
        <v>197</v>
      </c>
      <c r="M48" t="s">
        <v>68</v>
      </c>
      <c r="O48" t="s">
        <v>122</v>
      </c>
      <c r="P48" t="s">
        <v>123</v>
      </c>
      <c r="Q48" t="s">
        <v>49</v>
      </c>
      <c r="R48" t="s">
        <v>50</v>
      </c>
      <c r="S48" s="1">
        <v>46054</v>
      </c>
      <c r="U48" t="s">
        <v>51</v>
      </c>
      <c r="X48" t="s">
        <v>52</v>
      </c>
      <c r="Y48" s="2">
        <v>0</v>
      </c>
      <c r="Z48" s="2">
        <v>175</v>
      </c>
      <c r="AA48">
        <v>1</v>
      </c>
      <c r="AB48" s="3">
        <v>1</v>
      </c>
      <c r="AC48" s="2">
        <v>175</v>
      </c>
      <c r="AD48" s="3">
        <v>0</v>
      </c>
      <c r="AE48" s="2">
        <v>0</v>
      </c>
      <c r="AF48" s="2">
        <v>175</v>
      </c>
      <c r="AK48">
        <v>6134919</v>
      </c>
    </row>
    <row r="49" spans="1:38" x14ac:dyDescent="0.25">
      <c r="A49" s="1">
        <v>46043</v>
      </c>
      <c r="B49" s="1">
        <v>46043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198</v>
      </c>
      <c r="J49" t="s">
        <v>199</v>
      </c>
      <c r="M49" t="s">
        <v>200</v>
      </c>
      <c r="O49" t="s">
        <v>201</v>
      </c>
      <c r="P49" t="s">
        <v>202</v>
      </c>
      <c r="Q49" t="s">
        <v>49</v>
      </c>
      <c r="R49" t="s">
        <v>50</v>
      </c>
      <c r="S49" s="1">
        <v>46054</v>
      </c>
      <c r="U49" t="s">
        <v>51</v>
      </c>
      <c r="X49" t="s">
        <v>52</v>
      </c>
      <c r="Y49" s="2">
        <v>0</v>
      </c>
      <c r="Z49" s="2">
        <v>175</v>
      </c>
      <c r="AA49">
        <v>1</v>
      </c>
      <c r="AB49" s="3">
        <v>1</v>
      </c>
      <c r="AC49" s="2">
        <v>175</v>
      </c>
      <c r="AD49" s="3">
        <v>0</v>
      </c>
      <c r="AE49" s="2">
        <v>0</v>
      </c>
      <c r="AF49" s="2">
        <v>175</v>
      </c>
      <c r="AK49">
        <v>6134920</v>
      </c>
    </row>
    <row r="50" spans="1:38" x14ac:dyDescent="0.25">
      <c r="A50" s="1">
        <v>46043</v>
      </c>
      <c r="B50" s="1">
        <v>46043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203</v>
      </c>
      <c r="J50" t="s">
        <v>204</v>
      </c>
      <c r="M50" t="s">
        <v>68</v>
      </c>
      <c r="O50" t="s">
        <v>73</v>
      </c>
      <c r="P50" t="s">
        <v>74</v>
      </c>
      <c r="Q50" t="s">
        <v>49</v>
      </c>
      <c r="R50" t="s">
        <v>50</v>
      </c>
      <c r="S50" s="1">
        <v>46054</v>
      </c>
      <c r="U50" t="s">
        <v>51</v>
      </c>
      <c r="X50" t="s">
        <v>52</v>
      </c>
      <c r="Y50" s="2">
        <v>0</v>
      </c>
      <c r="Z50" s="2">
        <v>175</v>
      </c>
      <c r="AA50">
        <v>1</v>
      </c>
      <c r="AB50" s="3">
        <v>1</v>
      </c>
      <c r="AC50" s="2">
        <v>175</v>
      </c>
      <c r="AD50" s="3">
        <v>0</v>
      </c>
      <c r="AE50" s="2">
        <v>0</v>
      </c>
      <c r="AF50" s="2">
        <v>175</v>
      </c>
      <c r="AK50">
        <v>6134921</v>
      </c>
    </row>
    <row r="51" spans="1:38" x14ac:dyDescent="0.25">
      <c r="A51" s="1">
        <v>46043</v>
      </c>
      <c r="B51" s="1">
        <v>46043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205</v>
      </c>
      <c r="J51" t="s">
        <v>206</v>
      </c>
      <c r="M51" t="s">
        <v>207</v>
      </c>
      <c r="O51" t="s">
        <v>56</v>
      </c>
      <c r="P51" t="s">
        <v>57</v>
      </c>
      <c r="Q51" t="s">
        <v>49</v>
      </c>
      <c r="R51" t="s">
        <v>50</v>
      </c>
      <c r="S51" s="1">
        <v>46054</v>
      </c>
      <c r="U51" t="s">
        <v>51</v>
      </c>
      <c r="X51" t="s">
        <v>52</v>
      </c>
      <c r="Y51" s="2">
        <v>0</v>
      </c>
      <c r="Z51" s="2">
        <v>175</v>
      </c>
      <c r="AA51">
        <v>1</v>
      </c>
      <c r="AB51" s="3">
        <v>1</v>
      </c>
      <c r="AC51" s="2">
        <v>175</v>
      </c>
      <c r="AD51" s="3">
        <v>0</v>
      </c>
      <c r="AE51" s="2">
        <v>0</v>
      </c>
      <c r="AF51" s="2">
        <v>175</v>
      </c>
      <c r="AK51">
        <v>6134922</v>
      </c>
    </row>
    <row r="52" spans="1:38" x14ac:dyDescent="0.25">
      <c r="A52" s="1">
        <v>46043</v>
      </c>
      <c r="B52" s="1">
        <v>46043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208</v>
      </c>
      <c r="J52" t="s">
        <v>209</v>
      </c>
      <c r="M52" t="s">
        <v>68</v>
      </c>
      <c r="O52" t="s">
        <v>116</v>
      </c>
      <c r="P52" t="s">
        <v>117</v>
      </c>
      <c r="Q52" t="s">
        <v>49</v>
      </c>
      <c r="R52" t="s">
        <v>50</v>
      </c>
      <c r="S52" s="1">
        <v>46054</v>
      </c>
      <c r="U52" t="s">
        <v>51</v>
      </c>
      <c r="X52" t="s">
        <v>52</v>
      </c>
      <c r="Y52" s="2">
        <v>0</v>
      </c>
      <c r="Z52" s="2">
        <v>175</v>
      </c>
      <c r="AA52">
        <v>1</v>
      </c>
      <c r="AB52" s="3">
        <v>1</v>
      </c>
      <c r="AC52" s="2">
        <v>175</v>
      </c>
      <c r="AD52" s="3">
        <v>0</v>
      </c>
      <c r="AE52" s="2">
        <v>0</v>
      </c>
      <c r="AF52" s="2">
        <v>175</v>
      </c>
      <c r="AK52">
        <v>6134923</v>
      </c>
    </row>
    <row r="53" spans="1:38" x14ac:dyDescent="0.25">
      <c r="A53" s="1">
        <v>46043</v>
      </c>
      <c r="B53" s="1">
        <v>46043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210</v>
      </c>
      <c r="J53" t="s">
        <v>211</v>
      </c>
      <c r="M53" t="s">
        <v>68</v>
      </c>
      <c r="O53" t="s">
        <v>178</v>
      </c>
      <c r="P53" t="s">
        <v>179</v>
      </c>
      <c r="Q53" t="s">
        <v>49</v>
      </c>
      <c r="R53" t="s">
        <v>50</v>
      </c>
      <c r="S53" s="1">
        <v>46082</v>
      </c>
      <c r="U53" t="s">
        <v>51</v>
      </c>
      <c r="X53" t="s">
        <v>52</v>
      </c>
      <c r="Y53" s="2">
        <v>0</v>
      </c>
      <c r="Z53" s="2">
        <v>175</v>
      </c>
      <c r="AA53">
        <v>1</v>
      </c>
      <c r="AB53" s="3">
        <v>1</v>
      </c>
      <c r="AC53" s="2">
        <v>175</v>
      </c>
      <c r="AD53" s="3">
        <v>0</v>
      </c>
      <c r="AE53" s="2">
        <v>0</v>
      </c>
      <c r="AF53" s="2">
        <v>175</v>
      </c>
      <c r="AK53">
        <v>6134924</v>
      </c>
    </row>
    <row r="54" spans="1:38" x14ac:dyDescent="0.25">
      <c r="A54" s="1">
        <v>46043</v>
      </c>
      <c r="B54" s="1">
        <v>46043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212</v>
      </c>
      <c r="J54" t="s">
        <v>213</v>
      </c>
      <c r="M54" t="s">
        <v>214</v>
      </c>
      <c r="O54" t="s">
        <v>116</v>
      </c>
      <c r="P54" t="s">
        <v>117</v>
      </c>
      <c r="Q54" t="s">
        <v>49</v>
      </c>
      <c r="R54" t="s">
        <v>50</v>
      </c>
      <c r="S54" s="1">
        <v>46082</v>
      </c>
      <c r="U54" t="s">
        <v>51</v>
      </c>
      <c r="X54" t="s">
        <v>52</v>
      </c>
      <c r="Y54" s="2">
        <v>0</v>
      </c>
      <c r="Z54" s="2">
        <v>175</v>
      </c>
      <c r="AA54">
        <v>1</v>
      </c>
      <c r="AB54" s="3">
        <v>1</v>
      </c>
      <c r="AC54" s="2">
        <v>175</v>
      </c>
      <c r="AD54" s="3">
        <v>0</v>
      </c>
      <c r="AE54" s="2">
        <v>0</v>
      </c>
      <c r="AF54" s="2">
        <v>175</v>
      </c>
      <c r="AK54">
        <v>6134925</v>
      </c>
    </row>
    <row r="55" spans="1:38" x14ac:dyDescent="0.25">
      <c r="A55" s="1">
        <v>46043</v>
      </c>
      <c r="B55" s="1">
        <v>46043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215</v>
      </c>
      <c r="J55" t="s">
        <v>216</v>
      </c>
      <c r="M55" t="s">
        <v>68</v>
      </c>
      <c r="O55" t="s">
        <v>73</v>
      </c>
      <c r="P55" t="s">
        <v>74</v>
      </c>
      <c r="Q55" t="s">
        <v>49</v>
      </c>
      <c r="R55" t="s">
        <v>50</v>
      </c>
      <c r="S55" s="1">
        <v>46054</v>
      </c>
      <c r="U55" t="s">
        <v>51</v>
      </c>
      <c r="X55" t="s">
        <v>52</v>
      </c>
      <c r="Y55" s="2">
        <v>0</v>
      </c>
      <c r="Z55" s="2">
        <v>175</v>
      </c>
      <c r="AA55">
        <v>1</v>
      </c>
      <c r="AB55" s="3">
        <v>1</v>
      </c>
      <c r="AC55" s="2">
        <v>175</v>
      </c>
      <c r="AD55" s="3">
        <v>0</v>
      </c>
      <c r="AE55" s="2">
        <v>0</v>
      </c>
      <c r="AF55" s="2">
        <v>175</v>
      </c>
      <c r="AK55">
        <v>6134926</v>
      </c>
    </row>
    <row r="56" spans="1:38" x14ac:dyDescent="0.25">
      <c r="A56" s="1">
        <v>46043</v>
      </c>
      <c r="B56" s="1">
        <v>46043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217</v>
      </c>
      <c r="J56" t="s">
        <v>218</v>
      </c>
      <c r="M56" t="s">
        <v>68</v>
      </c>
      <c r="O56" t="s">
        <v>73</v>
      </c>
      <c r="P56" t="s">
        <v>74</v>
      </c>
      <c r="Q56" t="s">
        <v>49</v>
      </c>
      <c r="R56" t="s">
        <v>50</v>
      </c>
      <c r="S56" s="1">
        <v>46054</v>
      </c>
      <c r="U56" t="s">
        <v>51</v>
      </c>
      <c r="X56" t="s">
        <v>52</v>
      </c>
      <c r="Y56" s="2">
        <v>0</v>
      </c>
      <c r="Z56" s="2">
        <v>175</v>
      </c>
      <c r="AA56">
        <v>1</v>
      </c>
      <c r="AB56" s="3">
        <v>1</v>
      </c>
      <c r="AC56" s="2">
        <v>175</v>
      </c>
      <c r="AD56" s="3">
        <v>0</v>
      </c>
      <c r="AE56" s="2">
        <v>0</v>
      </c>
      <c r="AF56" s="2">
        <v>175</v>
      </c>
      <c r="AK56">
        <v>6134927</v>
      </c>
    </row>
    <row r="57" spans="1:38" x14ac:dyDescent="0.25">
      <c r="A57" s="1">
        <v>46043</v>
      </c>
      <c r="B57" s="1">
        <v>46043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219</v>
      </c>
      <c r="J57" t="s">
        <v>220</v>
      </c>
      <c r="M57" t="s">
        <v>111</v>
      </c>
      <c r="O57" t="s">
        <v>221</v>
      </c>
      <c r="P57" t="s">
        <v>222</v>
      </c>
      <c r="Q57" t="s">
        <v>49</v>
      </c>
      <c r="R57" t="s">
        <v>223</v>
      </c>
      <c r="S57" s="1">
        <v>45931</v>
      </c>
      <c r="U57" t="s">
        <v>51</v>
      </c>
      <c r="X57" t="s">
        <v>52</v>
      </c>
      <c r="Y57" s="2">
        <v>0</v>
      </c>
      <c r="Z57" s="2">
        <v>156.5</v>
      </c>
      <c r="AA57">
        <v>1</v>
      </c>
      <c r="AB57" s="3">
        <v>1</v>
      </c>
      <c r="AC57" s="2">
        <v>156.5</v>
      </c>
      <c r="AD57" s="3">
        <v>0</v>
      </c>
      <c r="AE57" s="2">
        <v>0</v>
      </c>
      <c r="AF57" s="2">
        <v>156.5</v>
      </c>
      <c r="AK57">
        <v>6134971</v>
      </c>
      <c r="AL57" t="s">
        <v>224</v>
      </c>
    </row>
    <row r="58" spans="1:38" x14ac:dyDescent="0.25">
      <c r="A58" s="1">
        <v>46043</v>
      </c>
      <c r="B58" s="1">
        <v>46043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225</v>
      </c>
      <c r="J58" t="s">
        <v>220</v>
      </c>
      <c r="M58" t="s">
        <v>111</v>
      </c>
      <c r="O58" t="s">
        <v>221</v>
      </c>
      <c r="P58" t="s">
        <v>222</v>
      </c>
      <c r="Q58" t="s">
        <v>49</v>
      </c>
      <c r="R58" t="s">
        <v>226</v>
      </c>
      <c r="S58" s="1">
        <v>45931</v>
      </c>
      <c r="U58" t="s">
        <v>51</v>
      </c>
      <c r="X58" t="s">
        <v>52</v>
      </c>
      <c r="Y58" s="2">
        <v>0</v>
      </c>
      <c r="Z58" s="2">
        <v>43.75</v>
      </c>
      <c r="AA58">
        <v>1</v>
      </c>
      <c r="AB58" s="3">
        <v>1</v>
      </c>
      <c r="AC58" s="2">
        <v>43.75</v>
      </c>
      <c r="AD58" s="3">
        <v>0</v>
      </c>
      <c r="AE58" s="2">
        <v>0</v>
      </c>
      <c r="AF58" s="2">
        <v>43.75</v>
      </c>
      <c r="AK58">
        <v>6134972</v>
      </c>
      <c r="AL58" t="s">
        <v>224</v>
      </c>
    </row>
    <row r="59" spans="1:38" x14ac:dyDescent="0.25">
      <c r="A59" s="1">
        <v>46043</v>
      </c>
      <c r="B59" s="1">
        <v>46043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227</v>
      </c>
      <c r="J59" t="s">
        <v>228</v>
      </c>
      <c r="M59" t="s">
        <v>68</v>
      </c>
      <c r="O59" t="s">
        <v>89</v>
      </c>
      <c r="P59" t="s">
        <v>90</v>
      </c>
      <c r="Q59" t="s">
        <v>49</v>
      </c>
      <c r="R59" t="s">
        <v>229</v>
      </c>
      <c r="S59" s="1">
        <v>46023</v>
      </c>
      <c r="U59" t="s">
        <v>51</v>
      </c>
      <c r="X59" t="s">
        <v>52</v>
      </c>
      <c r="Y59" s="2">
        <v>0</v>
      </c>
      <c r="Z59" s="2">
        <v>100</v>
      </c>
      <c r="AA59">
        <v>1</v>
      </c>
      <c r="AB59" s="3">
        <v>1</v>
      </c>
      <c r="AC59" s="2">
        <v>100</v>
      </c>
      <c r="AD59" s="3">
        <v>0</v>
      </c>
      <c r="AE59" s="2">
        <v>0</v>
      </c>
      <c r="AF59" s="2">
        <v>100</v>
      </c>
      <c r="AK59">
        <v>6129045</v>
      </c>
    </row>
    <row r="60" spans="1:38" x14ac:dyDescent="0.25">
      <c r="A60" s="1">
        <v>46043</v>
      </c>
      <c r="B60" s="1">
        <v>46043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230</v>
      </c>
      <c r="J60" t="s">
        <v>231</v>
      </c>
      <c r="M60" t="s">
        <v>77</v>
      </c>
      <c r="O60" t="s">
        <v>78</v>
      </c>
      <c r="P60" t="s">
        <v>79</v>
      </c>
      <c r="Q60" t="s">
        <v>49</v>
      </c>
      <c r="R60" t="s">
        <v>223</v>
      </c>
      <c r="S60" s="1">
        <v>45931</v>
      </c>
      <c r="U60" t="s">
        <v>51</v>
      </c>
      <c r="X60" t="s">
        <v>52</v>
      </c>
      <c r="Y60" s="2">
        <v>0</v>
      </c>
      <c r="Z60" s="2">
        <v>156.5</v>
      </c>
      <c r="AA60">
        <v>1</v>
      </c>
      <c r="AB60" s="3">
        <v>1</v>
      </c>
      <c r="AC60" s="2">
        <v>156.5</v>
      </c>
      <c r="AD60" s="3">
        <v>0</v>
      </c>
      <c r="AE60" s="2">
        <v>0</v>
      </c>
      <c r="AF60" s="2">
        <v>156.5</v>
      </c>
      <c r="AK60">
        <v>6135019</v>
      </c>
      <c r="AL60" t="s">
        <v>224</v>
      </c>
    </row>
    <row r="61" spans="1:38" x14ac:dyDescent="0.25">
      <c r="A61" s="1">
        <v>46043</v>
      </c>
      <c r="B61" s="1">
        <v>46043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232</v>
      </c>
      <c r="J61" t="s">
        <v>231</v>
      </c>
      <c r="M61" t="s">
        <v>77</v>
      </c>
      <c r="O61" t="s">
        <v>78</v>
      </c>
      <c r="P61" t="s">
        <v>79</v>
      </c>
      <c r="Q61" t="s">
        <v>49</v>
      </c>
      <c r="R61" t="s">
        <v>226</v>
      </c>
      <c r="S61" s="1">
        <v>45931</v>
      </c>
      <c r="U61" t="s">
        <v>51</v>
      </c>
      <c r="X61" t="s">
        <v>52</v>
      </c>
      <c r="Y61" s="2">
        <v>0</v>
      </c>
      <c r="Z61" s="2">
        <v>43.75</v>
      </c>
      <c r="AA61">
        <v>1</v>
      </c>
      <c r="AB61" s="3">
        <v>1</v>
      </c>
      <c r="AC61" s="2">
        <v>43.75</v>
      </c>
      <c r="AD61" s="3">
        <v>0</v>
      </c>
      <c r="AE61" s="2">
        <v>0</v>
      </c>
      <c r="AF61" s="2">
        <v>43.75</v>
      </c>
      <c r="AK61">
        <v>6135020</v>
      </c>
      <c r="AL61" t="s">
        <v>224</v>
      </c>
    </row>
    <row r="62" spans="1:38" x14ac:dyDescent="0.25">
      <c r="A62" s="1">
        <v>46043</v>
      </c>
      <c r="B62" s="1">
        <v>46043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233</v>
      </c>
      <c r="J62" t="s">
        <v>234</v>
      </c>
      <c r="M62" t="s">
        <v>77</v>
      </c>
      <c r="O62" t="s">
        <v>235</v>
      </c>
      <c r="P62" t="s">
        <v>236</v>
      </c>
      <c r="Q62" t="s">
        <v>49</v>
      </c>
      <c r="R62" t="s">
        <v>237</v>
      </c>
      <c r="S62" s="1">
        <v>46054</v>
      </c>
      <c r="U62" t="s">
        <v>51</v>
      </c>
      <c r="X62" t="s">
        <v>52</v>
      </c>
      <c r="Y62" s="2">
        <v>0</v>
      </c>
      <c r="Z62" s="2">
        <v>318.08</v>
      </c>
      <c r="AA62">
        <v>1</v>
      </c>
      <c r="AB62" s="3">
        <v>1</v>
      </c>
      <c r="AC62" s="2">
        <v>318.08</v>
      </c>
      <c r="AD62" s="3">
        <v>0</v>
      </c>
      <c r="AE62" s="2">
        <v>0</v>
      </c>
      <c r="AF62" s="2">
        <v>318.08</v>
      </c>
      <c r="AK62">
        <v>6135030</v>
      </c>
      <c r="AL62" t="s">
        <v>238</v>
      </c>
    </row>
    <row r="63" spans="1:38" x14ac:dyDescent="0.25">
      <c r="A63" s="1">
        <v>46043</v>
      </c>
      <c r="B63" s="1">
        <v>46043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239</v>
      </c>
      <c r="J63" t="s">
        <v>234</v>
      </c>
      <c r="M63" t="s">
        <v>77</v>
      </c>
      <c r="O63" t="s">
        <v>235</v>
      </c>
      <c r="P63" t="s">
        <v>236</v>
      </c>
      <c r="Q63" t="s">
        <v>49</v>
      </c>
      <c r="R63" t="s">
        <v>240</v>
      </c>
      <c r="S63" s="1">
        <v>46054</v>
      </c>
      <c r="U63" t="s">
        <v>51</v>
      </c>
      <c r="X63" t="s">
        <v>52</v>
      </c>
      <c r="Y63" s="2">
        <v>0</v>
      </c>
      <c r="Z63" s="2">
        <v>66</v>
      </c>
      <c r="AA63">
        <v>1</v>
      </c>
      <c r="AB63" s="3">
        <v>1</v>
      </c>
      <c r="AC63" s="2">
        <v>66</v>
      </c>
      <c r="AD63" s="3">
        <v>0</v>
      </c>
      <c r="AE63" s="2">
        <v>0</v>
      </c>
      <c r="AF63" s="2">
        <v>66</v>
      </c>
      <c r="AK63">
        <v>6135031</v>
      </c>
      <c r="AL63" t="s">
        <v>238</v>
      </c>
    </row>
    <row r="64" spans="1:38" x14ac:dyDescent="0.25">
      <c r="A64" s="1">
        <v>46043</v>
      </c>
      <c r="B64" s="1">
        <v>46043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241</v>
      </c>
      <c r="J64" t="s">
        <v>242</v>
      </c>
      <c r="M64" t="s">
        <v>243</v>
      </c>
      <c r="O64" t="s">
        <v>244</v>
      </c>
      <c r="P64" t="s">
        <v>245</v>
      </c>
      <c r="Q64" t="s">
        <v>246</v>
      </c>
      <c r="R64" t="s">
        <v>247</v>
      </c>
      <c r="S64" s="1">
        <v>45931</v>
      </c>
      <c r="U64" t="s">
        <v>51</v>
      </c>
      <c r="X64" t="s">
        <v>52</v>
      </c>
      <c r="Y64" s="2">
        <v>0</v>
      </c>
      <c r="Z64" s="2">
        <v>52.17</v>
      </c>
      <c r="AA64">
        <v>1</v>
      </c>
      <c r="AB64" s="3">
        <v>1</v>
      </c>
      <c r="AC64" s="2">
        <v>52.17</v>
      </c>
      <c r="AD64" s="3">
        <v>0</v>
      </c>
      <c r="AE64" s="2">
        <v>0</v>
      </c>
      <c r="AF64" s="2">
        <v>52.17</v>
      </c>
      <c r="AK64">
        <v>0</v>
      </c>
      <c r="AL64" t="s">
        <v>248</v>
      </c>
    </row>
    <row r="65" spans="1:38" x14ac:dyDescent="0.25">
      <c r="A65" s="1">
        <v>46043</v>
      </c>
      <c r="B65" s="1">
        <v>46043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249</v>
      </c>
      <c r="J65" t="s">
        <v>242</v>
      </c>
      <c r="M65" t="s">
        <v>243</v>
      </c>
      <c r="O65" t="s">
        <v>244</v>
      </c>
      <c r="P65" t="s">
        <v>245</v>
      </c>
      <c r="Q65" t="s">
        <v>246</v>
      </c>
      <c r="R65" t="s">
        <v>240</v>
      </c>
      <c r="S65" s="1">
        <v>45931</v>
      </c>
      <c r="U65" t="s">
        <v>51</v>
      </c>
      <c r="X65" t="s">
        <v>52</v>
      </c>
      <c r="Y65" s="2">
        <v>0</v>
      </c>
      <c r="Z65" s="2">
        <v>12</v>
      </c>
      <c r="AA65">
        <v>1</v>
      </c>
      <c r="AB65" s="3">
        <v>1</v>
      </c>
      <c r="AC65" s="2">
        <v>12</v>
      </c>
      <c r="AD65" s="3">
        <v>0</v>
      </c>
      <c r="AE65" s="2">
        <v>0</v>
      </c>
      <c r="AF65" s="2">
        <v>12</v>
      </c>
      <c r="AK65">
        <v>0</v>
      </c>
      <c r="AL65" t="s">
        <v>248</v>
      </c>
    </row>
    <row r="66" spans="1:38" x14ac:dyDescent="0.25">
      <c r="A66" s="1">
        <v>46043</v>
      </c>
      <c r="B66" s="1">
        <v>46043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250</v>
      </c>
      <c r="J66" t="s">
        <v>251</v>
      </c>
      <c r="M66" t="s">
        <v>77</v>
      </c>
      <c r="O66" t="s">
        <v>252</v>
      </c>
      <c r="P66" t="s">
        <v>253</v>
      </c>
      <c r="Q66" t="s">
        <v>49</v>
      </c>
      <c r="R66" t="s">
        <v>237</v>
      </c>
      <c r="S66" s="1">
        <v>46054</v>
      </c>
      <c r="U66" t="s">
        <v>51</v>
      </c>
      <c r="X66" t="s">
        <v>52</v>
      </c>
      <c r="Y66" s="2">
        <v>0</v>
      </c>
      <c r="Z66" s="2">
        <v>318.08</v>
      </c>
      <c r="AA66">
        <v>1</v>
      </c>
      <c r="AB66" s="3">
        <v>1</v>
      </c>
      <c r="AC66" s="2">
        <v>318.08</v>
      </c>
      <c r="AD66" s="3">
        <v>0</v>
      </c>
      <c r="AE66" s="2">
        <v>0</v>
      </c>
      <c r="AF66" s="2">
        <v>318.08</v>
      </c>
      <c r="AK66">
        <v>6135081</v>
      </c>
      <c r="AL66" t="s">
        <v>238</v>
      </c>
    </row>
    <row r="67" spans="1:38" x14ac:dyDescent="0.25">
      <c r="A67" s="1">
        <v>46043</v>
      </c>
      <c r="B67" s="1">
        <v>46043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254</v>
      </c>
      <c r="J67" t="s">
        <v>251</v>
      </c>
      <c r="M67" t="s">
        <v>77</v>
      </c>
      <c r="O67" t="s">
        <v>252</v>
      </c>
      <c r="P67" t="s">
        <v>253</v>
      </c>
      <c r="Q67" t="s">
        <v>49</v>
      </c>
      <c r="R67" t="s">
        <v>240</v>
      </c>
      <c r="S67" s="1">
        <v>46054</v>
      </c>
      <c r="U67" t="s">
        <v>51</v>
      </c>
      <c r="X67" t="s">
        <v>52</v>
      </c>
      <c r="Y67" s="2">
        <v>0</v>
      </c>
      <c r="Z67" s="2">
        <v>66</v>
      </c>
      <c r="AA67">
        <v>1</v>
      </c>
      <c r="AB67" s="3">
        <v>1</v>
      </c>
      <c r="AC67" s="2">
        <v>66</v>
      </c>
      <c r="AD67" s="3">
        <v>0</v>
      </c>
      <c r="AE67" s="2">
        <v>0</v>
      </c>
      <c r="AF67" s="2">
        <v>66</v>
      </c>
      <c r="AK67">
        <v>6135082</v>
      </c>
      <c r="AL67" t="s">
        <v>238</v>
      </c>
    </row>
    <row r="68" spans="1:38" x14ac:dyDescent="0.25">
      <c r="A68" s="1">
        <v>46043</v>
      </c>
      <c r="B68" s="1">
        <v>46043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255</v>
      </c>
      <c r="J68" t="s">
        <v>256</v>
      </c>
      <c r="M68" t="s">
        <v>214</v>
      </c>
      <c r="O68" t="s">
        <v>178</v>
      </c>
      <c r="P68" t="s">
        <v>179</v>
      </c>
      <c r="Q68" t="s">
        <v>49</v>
      </c>
      <c r="R68" t="s">
        <v>229</v>
      </c>
      <c r="S68" s="1">
        <v>46023</v>
      </c>
      <c r="U68" t="s">
        <v>51</v>
      </c>
      <c r="X68" t="s">
        <v>52</v>
      </c>
      <c r="Y68" s="2">
        <v>0</v>
      </c>
      <c r="Z68" s="2">
        <v>100</v>
      </c>
      <c r="AA68">
        <v>1</v>
      </c>
      <c r="AB68" s="3">
        <v>1</v>
      </c>
      <c r="AC68" s="2">
        <v>100</v>
      </c>
      <c r="AD68" s="3">
        <v>0</v>
      </c>
      <c r="AE68" s="2">
        <v>0</v>
      </c>
      <c r="AF68" s="2">
        <v>100</v>
      </c>
      <c r="AK68">
        <v>6129391</v>
      </c>
    </row>
    <row r="69" spans="1:38" x14ac:dyDescent="0.25">
      <c r="A69" s="1">
        <v>46043</v>
      </c>
      <c r="B69" s="1">
        <v>46043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257</v>
      </c>
      <c r="J69" t="s">
        <v>258</v>
      </c>
      <c r="M69" t="s">
        <v>214</v>
      </c>
      <c r="O69" t="s">
        <v>259</v>
      </c>
      <c r="P69" t="s">
        <v>260</v>
      </c>
      <c r="Q69" t="s">
        <v>49</v>
      </c>
      <c r="R69" t="s">
        <v>229</v>
      </c>
      <c r="S69" s="1">
        <v>46023</v>
      </c>
      <c r="U69" t="s">
        <v>51</v>
      </c>
      <c r="X69" t="s">
        <v>52</v>
      </c>
      <c r="Y69" s="2">
        <v>0</v>
      </c>
      <c r="Z69" s="2">
        <v>100</v>
      </c>
      <c r="AA69">
        <v>1</v>
      </c>
      <c r="AB69" s="3">
        <v>1</v>
      </c>
      <c r="AC69" s="2">
        <v>100</v>
      </c>
      <c r="AD69" s="3">
        <v>0</v>
      </c>
      <c r="AE69" s="2">
        <v>0</v>
      </c>
      <c r="AF69" s="2">
        <v>100</v>
      </c>
      <c r="AK69">
        <v>6129374</v>
      </c>
    </row>
    <row r="70" spans="1:38" x14ac:dyDescent="0.25">
      <c r="A70" s="1">
        <v>46043</v>
      </c>
      <c r="B70" s="1">
        <v>46043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261</v>
      </c>
      <c r="J70" t="s">
        <v>262</v>
      </c>
      <c r="M70" t="s">
        <v>68</v>
      </c>
      <c r="O70" t="s">
        <v>89</v>
      </c>
      <c r="P70" t="s">
        <v>90</v>
      </c>
      <c r="Q70" t="s">
        <v>49</v>
      </c>
      <c r="R70" t="s">
        <v>229</v>
      </c>
      <c r="S70" s="1">
        <v>46023</v>
      </c>
      <c r="U70" t="s">
        <v>51</v>
      </c>
      <c r="X70" t="s">
        <v>52</v>
      </c>
      <c r="Y70" s="2">
        <v>0</v>
      </c>
      <c r="Z70" s="2">
        <v>100</v>
      </c>
      <c r="AA70">
        <v>1</v>
      </c>
      <c r="AB70" s="3">
        <v>1</v>
      </c>
      <c r="AC70" s="2">
        <v>100</v>
      </c>
      <c r="AD70" s="3">
        <v>0</v>
      </c>
      <c r="AE70" s="2">
        <v>0</v>
      </c>
      <c r="AF70" s="2">
        <v>100</v>
      </c>
      <c r="AK70">
        <v>6129046</v>
      </c>
    </row>
    <row r="71" spans="1:38" x14ac:dyDescent="0.25">
      <c r="A71" s="1">
        <v>46043</v>
      </c>
      <c r="B71" s="1">
        <v>46043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263</v>
      </c>
      <c r="J71" t="s">
        <v>264</v>
      </c>
      <c r="M71" t="s">
        <v>68</v>
      </c>
      <c r="O71" t="s">
        <v>105</v>
      </c>
      <c r="P71" t="s">
        <v>106</v>
      </c>
      <c r="Q71" t="s">
        <v>49</v>
      </c>
      <c r="R71" t="s">
        <v>229</v>
      </c>
      <c r="S71" s="1">
        <v>46023</v>
      </c>
      <c r="U71" t="s">
        <v>51</v>
      </c>
      <c r="X71" t="s">
        <v>52</v>
      </c>
      <c r="Y71" s="2">
        <v>0</v>
      </c>
      <c r="Z71" s="2">
        <v>100</v>
      </c>
      <c r="AA71">
        <v>1</v>
      </c>
      <c r="AB71" s="3">
        <v>1</v>
      </c>
      <c r="AC71" s="2">
        <v>100</v>
      </c>
      <c r="AD71" s="3">
        <v>0</v>
      </c>
      <c r="AE71" s="2">
        <v>0</v>
      </c>
      <c r="AF71" s="2">
        <v>100</v>
      </c>
      <c r="AK71">
        <v>6129397</v>
      </c>
    </row>
    <row r="72" spans="1:38" x14ac:dyDescent="0.25">
      <c r="A72" s="1">
        <v>46043</v>
      </c>
      <c r="B72" s="1">
        <v>46043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265</v>
      </c>
      <c r="J72" t="s">
        <v>266</v>
      </c>
      <c r="M72" t="s">
        <v>68</v>
      </c>
      <c r="O72" t="s">
        <v>105</v>
      </c>
      <c r="P72" t="s">
        <v>106</v>
      </c>
      <c r="Q72" t="s">
        <v>49</v>
      </c>
      <c r="R72" t="s">
        <v>229</v>
      </c>
      <c r="S72" s="1">
        <v>46023</v>
      </c>
      <c r="U72" t="s">
        <v>51</v>
      </c>
      <c r="X72" t="s">
        <v>52</v>
      </c>
      <c r="Y72" s="2">
        <v>0</v>
      </c>
      <c r="Z72" s="2">
        <v>100</v>
      </c>
      <c r="AA72">
        <v>1</v>
      </c>
      <c r="AB72" s="3">
        <v>1</v>
      </c>
      <c r="AC72" s="2">
        <v>100</v>
      </c>
      <c r="AD72" s="3">
        <v>0</v>
      </c>
      <c r="AE72" s="2">
        <v>0</v>
      </c>
      <c r="AF72" s="2">
        <v>100</v>
      </c>
      <c r="AK72">
        <v>6129398</v>
      </c>
    </row>
    <row r="73" spans="1:38" x14ac:dyDescent="0.25">
      <c r="A73" s="1">
        <v>46043</v>
      </c>
      <c r="B73" s="1">
        <v>46043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267</v>
      </c>
      <c r="J73" t="s">
        <v>268</v>
      </c>
      <c r="M73" t="s">
        <v>68</v>
      </c>
      <c r="O73" t="s">
        <v>89</v>
      </c>
      <c r="P73" t="s">
        <v>90</v>
      </c>
      <c r="Q73" t="s">
        <v>49</v>
      </c>
      <c r="R73" t="s">
        <v>229</v>
      </c>
      <c r="S73" s="1">
        <v>46023</v>
      </c>
      <c r="U73" t="s">
        <v>51</v>
      </c>
      <c r="X73" t="s">
        <v>52</v>
      </c>
      <c r="Y73" s="2">
        <v>0</v>
      </c>
      <c r="Z73" s="2">
        <v>100</v>
      </c>
      <c r="AA73">
        <v>1</v>
      </c>
      <c r="AB73" s="3">
        <v>1</v>
      </c>
      <c r="AC73" s="2">
        <v>100</v>
      </c>
      <c r="AD73" s="3">
        <v>0</v>
      </c>
      <c r="AE73" s="2">
        <v>0</v>
      </c>
      <c r="AF73" s="2">
        <v>100</v>
      </c>
      <c r="AK73">
        <v>6129047</v>
      </c>
    </row>
    <row r="74" spans="1:38" x14ac:dyDescent="0.25">
      <c r="A74" s="1">
        <v>46043</v>
      </c>
      <c r="B74" s="1">
        <v>46043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269</v>
      </c>
      <c r="J74" t="s">
        <v>270</v>
      </c>
      <c r="M74" t="s">
        <v>271</v>
      </c>
      <c r="O74" t="s">
        <v>252</v>
      </c>
      <c r="P74" t="s">
        <v>253</v>
      </c>
      <c r="Q74" t="s">
        <v>49</v>
      </c>
      <c r="R74" t="s">
        <v>229</v>
      </c>
      <c r="S74" s="1">
        <v>46023</v>
      </c>
      <c r="U74" t="s">
        <v>51</v>
      </c>
      <c r="X74" t="s">
        <v>52</v>
      </c>
      <c r="Y74" s="2">
        <v>0</v>
      </c>
      <c r="Z74" s="2">
        <v>100</v>
      </c>
      <c r="AA74">
        <v>1</v>
      </c>
      <c r="AB74" s="3">
        <v>1</v>
      </c>
      <c r="AC74" s="2">
        <v>100</v>
      </c>
      <c r="AD74" s="3">
        <v>0</v>
      </c>
      <c r="AE74" s="2">
        <v>0</v>
      </c>
      <c r="AF74" s="2">
        <v>100</v>
      </c>
      <c r="AK74">
        <v>6129168</v>
      </c>
    </row>
    <row r="75" spans="1:38" x14ac:dyDescent="0.25">
      <c r="A75" s="1">
        <v>46043</v>
      </c>
      <c r="B75" s="1">
        <v>46043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272</v>
      </c>
      <c r="J75" t="s">
        <v>273</v>
      </c>
      <c r="M75" t="s">
        <v>200</v>
      </c>
      <c r="O75" t="s">
        <v>274</v>
      </c>
      <c r="P75" t="s">
        <v>275</v>
      </c>
      <c r="Q75" t="s">
        <v>49</v>
      </c>
      <c r="R75" t="s">
        <v>229</v>
      </c>
      <c r="S75" s="1">
        <v>46023</v>
      </c>
      <c r="U75" t="s">
        <v>51</v>
      </c>
      <c r="X75" t="s">
        <v>52</v>
      </c>
      <c r="Y75" s="2">
        <v>0</v>
      </c>
      <c r="Z75" s="2">
        <v>100</v>
      </c>
      <c r="AA75">
        <v>1</v>
      </c>
      <c r="AB75" s="3">
        <v>1</v>
      </c>
      <c r="AC75" s="2">
        <v>100</v>
      </c>
      <c r="AD75" s="3">
        <v>0</v>
      </c>
      <c r="AE75" s="2">
        <v>0</v>
      </c>
      <c r="AF75" s="2">
        <v>100</v>
      </c>
      <c r="AK75">
        <v>6130063</v>
      </c>
    </row>
    <row r="76" spans="1:38" x14ac:dyDescent="0.25">
      <c r="A76" s="1">
        <v>46043</v>
      </c>
      <c r="B76" s="1">
        <v>46043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276</v>
      </c>
      <c r="J76" t="s">
        <v>277</v>
      </c>
      <c r="M76" t="s">
        <v>200</v>
      </c>
      <c r="O76" t="s">
        <v>274</v>
      </c>
      <c r="P76" t="s">
        <v>275</v>
      </c>
      <c r="Q76" t="s">
        <v>49</v>
      </c>
      <c r="R76" t="s">
        <v>229</v>
      </c>
      <c r="S76" s="1">
        <v>46023</v>
      </c>
      <c r="U76" t="s">
        <v>51</v>
      </c>
      <c r="X76" t="s">
        <v>52</v>
      </c>
      <c r="Y76" s="2">
        <v>0</v>
      </c>
      <c r="Z76" s="2">
        <v>100</v>
      </c>
      <c r="AA76">
        <v>1</v>
      </c>
      <c r="AB76" s="3">
        <v>1</v>
      </c>
      <c r="AC76" s="2">
        <v>100</v>
      </c>
      <c r="AD76" s="3">
        <v>0</v>
      </c>
      <c r="AE76" s="2">
        <v>0</v>
      </c>
      <c r="AF76" s="2">
        <v>100</v>
      </c>
      <c r="AK76">
        <v>6130064</v>
      </c>
    </row>
    <row r="77" spans="1:38" x14ac:dyDescent="0.25">
      <c r="A77" s="1">
        <v>46043</v>
      </c>
      <c r="B77" s="1">
        <v>46043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278</v>
      </c>
      <c r="J77" t="s">
        <v>279</v>
      </c>
      <c r="M77" t="s">
        <v>68</v>
      </c>
      <c r="O77" t="s">
        <v>73</v>
      </c>
      <c r="P77" t="s">
        <v>74</v>
      </c>
      <c r="Q77" t="s">
        <v>49</v>
      </c>
      <c r="R77" t="s">
        <v>229</v>
      </c>
      <c r="S77" s="1">
        <v>46023</v>
      </c>
      <c r="U77" t="s">
        <v>51</v>
      </c>
      <c r="X77" t="s">
        <v>52</v>
      </c>
      <c r="Y77" s="2">
        <v>0</v>
      </c>
      <c r="Z77" s="2">
        <v>100</v>
      </c>
      <c r="AA77">
        <v>1</v>
      </c>
      <c r="AB77" s="3">
        <v>1</v>
      </c>
      <c r="AC77" s="2">
        <v>100</v>
      </c>
      <c r="AD77" s="3">
        <v>0</v>
      </c>
      <c r="AE77" s="2">
        <v>0</v>
      </c>
      <c r="AF77" s="2">
        <v>100</v>
      </c>
      <c r="AK77">
        <v>6130066</v>
      </c>
    </row>
    <row r="78" spans="1:38" x14ac:dyDescent="0.25">
      <c r="A78" s="1">
        <v>46043</v>
      </c>
      <c r="B78" s="1">
        <v>46043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280</v>
      </c>
      <c r="J78" t="s">
        <v>281</v>
      </c>
      <c r="M78" t="s">
        <v>271</v>
      </c>
      <c r="O78" t="s">
        <v>282</v>
      </c>
      <c r="P78" t="s">
        <v>283</v>
      </c>
      <c r="Q78" t="s">
        <v>49</v>
      </c>
      <c r="R78" t="s">
        <v>229</v>
      </c>
      <c r="S78" s="1">
        <v>46023</v>
      </c>
      <c r="U78" t="s">
        <v>51</v>
      </c>
      <c r="X78" t="s">
        <v>52</v>
      </c>
      <c r="Y78" s="2">
        <v>0</v>
      </c>
      <c r="Z78" s="2">
        <v>100</v>
      </c>
      <c r="AA78">
        <v>1</v>
      </c>
      <c r="AB78" s="3">
        <v>1</v>
      </c>
      <c r="AC78" s="2">
        <v>100</v>
      </c>
      <c r="AD78" s="3">
        <v>0</v>
      </c>
      <c r="AE78" s="2">
        <v>0</v>
      </c>
      <c r="AF78" s="2">
        <v>100</v>
      </c>
      <c r="AK78">
        <v>6129281</v>
      </c>
    </row>
    <row r="79" spans="1:38" x14ac:dyDescent="0.25">
      <c r="A79" s="1">
        <v>46043</v>
      </c>
      <c r="B79" s="1">
        <v>46043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284</v>
      </c>
      <c r="J79" t="s">
        <v>285</v>
      </c>
      <c r="M79" t="s">
        <v>68</v>
      </c>
      <c r="O79" t="s">
        <v>105</v>
      </c>
      <c r="P79" t="s">
        <v>106</v>
      </c>
      <c r="Q79" t="s">
        <v>49</v>
      </c>
      <c r="R79" t="s">
        <v>229</v>
      </c>
      <c r="S79" s="1">
        <v>46023</v>
      </c>
      <c r="U79" t="s">
        <v>51</v>
      </c>
      <c r="X79" t="s">
        <v>52</v>
      </c>
      <c r="Y79" s="2">
        <v>0</v>
      </c>
      <c r="Z79" s="2">
        <v>100</v>
      </c>
      <c r="AA79">
        <v>1</v>
      </c>
      <c r="AB79" s="3">
        <v>1</v>
      </c>
      <c r="AC79" s="2">
        <v>100</v>
      </c>
      <c r="AD79" s="3">
        <v>0</v>
      </c>
      <c r="AE79" s="2">
        <v>0</v>
      </c>
      <c r="AF79" s="2">
        <v>100</v>
      </c>
      <c r="AK79">
        <v>6129399</v>
      </c>
    </row>
    <row r="80" spans="1:38" x14ac:dyDescent="0.25">
      <c r="A80" s="1">
        <v>46043</v>
      </c>
      <c r="B80" s="1">
        <v>46043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286</v>
      </c>
      <c r="J80" t="s">
        <v>287</v>
      </c>
      <c r="M80" t="s">
        <v>68</v>
      </c>
      <c r="O80" t="s">
        <v>122</v>
      </c>
      <c r="P80" t="s">
        <v>123</v>
      </c>
      <c r="Q80" t="s">
        <v>49</v>
      </c>
      <c r="R80" t="s">
        <v>229</v>
      </c>
      <c r="S80" s="1">
        <v>46023</v>
      </c>
      <c r="U80" t="s">
        <v>51</v>
      </c>
      <c r="X80" t="s">
        <v>52</v>
      </c>
      <c r="Y80" s="2">
        <v>0</v>
      </c>
      <c r="Z80" s="2">
        <v>100</v>
      </c>
      <c r="AA80">
        <v>1</v>
      </c>
      <c r="AB80" s="3">
        <v>1</v>
      </c>
      <c r="AC80" s="2">
        <v>100</v>
      </c>
      <c r="AD80" s="3">
        <v>0</v>
      </c>
      <c r="AE80" s="2">
        <v>0</v>
      </c>
      <c r="AF80" s="2">
        <v>100</v>
      </c>
      <c r="AK80">
        <v>6130016</v>
      </c>
    </row>
    <row r="81" spans="1:37" x14ac:dyDescent="0.25">
      <c r="A81" s="1">
        <v>46043</v>
      </c>
      <c r="B81" s="1">
        <v>46043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288</v>
      </c>
      <c r="J81" t="s">
        <v>289</v>
      </c>
      <c r="M81" t="s">
        <v>68</v>
      </c>
      <c r="O81" t="s">
        <v>192</v>
      </c>
      <c r="P81" t="s">
        <v>193</v>
      </c>
      <c r="Q81" t="s">
        <v>49</v>
      </c>
      <c r="R81" t="s">
        <v>290</v>
      </c>
      <c r="S81" s="1">
        <v>46023</v>
      </c>
      <c r="U81" t="s">
        <v>51</v>
      </c>
      <c r="X81" t="s">
        <v>52</v>
      </c>
      <c r="Y81" s="2">
        <v>0</v>
      </c>
      <c r="Z81" s="2">
        <v>50</v>
      </c>
      <c r="AA81">
        <v>1</v>
      </c>
      <c r="AB81" s="3">
        <v>1</v>
      </c>
      <c r="AC81" s="2">
        <v>50</v>
      </c>
      <c r="AD81" s="3">
        <v>0</v>
      </c>
      <c r="AE81" s="2">
        <v>0</v>
      </c>
      <c r="AF81" s="2">
        <v>50</v>
      </c>
      <c r="AK81">
        <v>6129825</v>
      </c>
    </row>
    <row r="82" spans="1:37" x14ac:dyDescent="0.25">
      <c r="A82" s="1">
        <v>46043</v>
      </c>
      <c r="B82" s="1">
        <v>46043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291</v>
      </c>
      <c r="J82" t="s">
        <v>292</v>
      </c>
      <c r="M82" t="s">
        <v>68</v>
      </c>
      <c r="O82" t="s">
        <v>178</v>
      </c>
      <c r="P82" t="s">
        <v>179</v>
      </c>
      <c r="Q82" t="s">
        <v>49</v>
      </c>
      <c r="R82" t="s">
        <v>229</v>
      </c>
      <c r="S82" s="1">
        <v>46023</v>
      </c>
      <c r="U82" t="s">
        <v>51</v>
      </c>
      <c r="X82" t="s">
        <v>52</v>
      </c>
      <c r="Y82" s="2">
        <v>0</v>
      </c>
      <c r="Z82" s="2">
        <v>100</v>
      </c>
      <c r="AA82">
        <v>1</v>
      </c>
      <c r="AB82" s="3">
        <v>1</v>
      </c>
      <c r="AC82" s="2">
        <v>100</v>
      </c>
      <c r="AD82" s="3">
        <v>0</v>
      </c>
      <c r="AE82" s="2">
        <v>0</v>
      </c>
      <c r="AF82" s="2">
        <v>100</v>
      </c>
      <c r="AK82">
        <v>6129392</v>
      </c>
    </row>
    <row r="83" spans="1:37" x14ac:dyDescent="0.25">
      <c r="A83" s="1">
        <v>46043</v>
      </c>
      <c r="B83" s="1">
        <v>46043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293</v>
      </c>
      <c r="J83" t="s">
        <v>294</v>
      </c>
      <c r="M83" t="s">
        <v>68</v>
      </c>
      <c r="O83" t="s">
        <v>105</v>
      </c>
      <c r="P83" t="s">
        <v>106</v>
      </c>
      <c r="Q83" t="s">
        <v>49</v>
      </c>
      <c r="R83" t="s">
        <v>229</v>
      </c>
      <c r="S83" s="1">
        <v>46023</v>
      </c>
      <c r="U83" t="s">
        <v>51</v>
      </c>
      <c r="X83" t="s">
        <v>52</v>
      </c>
      <c r="Y83" s="2">
        <v>0</v>
      </c>
      <c r="Z83" s="2">
        <v>100</v>
      </c>
      <c r="AA83">
        <v>1</v>
      </c>
      <c r="AB83" s="3">
        <v>1</v>
      </c>
      <c r="AC83" s="2">
        <v>100</v>
      </c>
      <c r="AD83" s="3">
        <v>0</v>
      </c>
      <c r="AE83" s="2">
        <v>0</v>
      </c>
      <c r="AF83" s="2">
        <v>100</v>
      </c>
      <c r="AK83">
        <v>6129400</v>
      </c>
    </row>
    <row r="84" spans="1:37" x14ac:dyDescent="0.25">
      <c r="A84" s="1">
        <v>46043</v>
      </c>
      <c r="B84" s="1">
        <v>46043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295</v>
      </c>
      <c r="J84" t="s">
        <v>296</v>
      </c>
      <c r="M84" t="s">
        <v>68</v>
      </c>
      <c r="O84" t="s">
        <v>73</v>
      </c>
      <c r="P84" t="s">
        <v>74</v>
      </c>
      <c r="Q84" t="s">
        <v>49</v>
      </c>
      <c r="R84" t="s">
        <v>229</v>
      </c>
      <c r="S84" s="1">
        <v>46023</v>
      </c>
      <c r="U84" t="s">
        <v>51</v>
      </c>
      <c r="X84" t="s">
        <v>52</v>
      </c>
      <c r="Y84" s="2">
        <v>0</v>
      </c>
      <c r="Z84" s="2">
        <v>100</v>
      </c>
      <c r="AA84">
        <v>1</v>
      </c>
      <c r="AB84" s="3">
        <v>1</v>
      </c>
      <c r="AC84" s="2">
        <v>100</v>
      </c>
      <c r="AD84" s="3">
        <v>0</v>
      </c>
      <c r="AE84" s="2">
        <v>0</v>
      </c>
      <c r="AF84" s="2">
        <v>100</v>
      </c>
      <c r="AK84">
        <v>6130067</v>
      </c>
    </row>
    <row r="85" spans="1:37" x14ac:dyDescent="0.25">
      <c r="A85" s="1">
        <v>46043</v>
      </c>
      <c r="B85" s="1">
        <v>46043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297</v>
      </c>
      <c r="J85" t="s">
        <v>298</v>
      </c>
      <c r="M85" t="s">
        <v>68</v>
      </c>
      <c r="O85" t="s">
        <v>259</v>
      </c>
      <c r="P85" t="s">
        <v>260</v>
      </c>
      <c r="Q85" t="s">
        <v>49</v>
      </c>
      <c r="R85" t="s">
        <v>229</v>
      </c>
      <c r="S85" s="1">
        <v>46023</v>
      </c>
      <c r="U85" t="s">
        <v>51</v>
      </c>
      <c r="X85" t="s">
        <v>52</v>
      </c>
      <c r="Y85" s="2">
        <v>0</v>
      </c>
      <c r="Z85" s="2">
        <v>100</v>
      </c>
      <c r="AA85">
        <v>1</v>
      </c>
      <c r="AB85" s="3">
        <v>1</v>
      </c>
      <c r="AC85" s="2">
        <v>100</v>
      </c>
      <c r="AD85" s="3">
        <v>0</v>
      </c>
      <c r="AE85" s="2">
        <v>0</v>
      </c>
      <c r="AF85" s="2">
        <v>100</v>
      </c>
      <c r="AK85">
        <v>6129375</v>
      </c>
    </row>
    <row r="86" spans="1:37" x14ac:dyDescent="0.25">
      <c r="A86" s="1">
        <v>46043</v>
      </c>
      <c r="B86" s="1">
        <v>46043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299</v>
      </c>
      <c r="J86" t="s">
        <v>300</v>
      </c>
      <c r="M86" t="s">
        <v>68</v>
      </c>
      <c r="O86" t="s">
        <v>259</v>
      </c>
      <c r="P86" t="s">
        <v>260</v>
      </c>
      <c r="Q86" t="s">
        <v>49</v>
      </c>
      <c r="R86" t="s">
        <v>229</v>
      </c>
      <c r="S86" s="1">
        <v>46023</v>
      </c>
      <c r="U86" t="s">
        <v>51</v>
      </c>
      <c r="X86" t="s">
        <v>52</v>
      </c>
      <c r="Y86" s="2">
        <v>0</v>
      </c>
      <c r="Z86" s="2">
        <v>100</v>
      </c>
      <c r="AA86">
        <v>1</v>
      </c>
      <c r="AB86" s="3">
        <v>1</v>
      </c>
      <c r="AC86" s="2">
        <v>100</v>
      </c>
      <c r="AD86" s="3">
        <v>0</v>
      </c>
      <c r="AE86" s="2">
        <v>0</v>
      </c>
      <c r="AF86" s="2">
        <v>100</v>
      </c>
      <c r="AK86">
        <v>6129376</v>
      </c>
    </row>
    <row r="87" spans="1:37" x14ac:dyDescent="0.25">
      <c r="A87" s="1">
        <v>46043</v>
      </c>
      <c r="B87" s="1">
        <v>46043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301</v>
      </c>
      <c r="J87" t="s">
        <v>302</v>
      </c>
      <c r="M87" t="s">
        <v>243</v>
      </c>
      <c r="O87" t="s">
        <v>130</v>
      </c>
      <c r="P87" t="s">
        <v>131</v>
      </c>
      <c r="Q87" t="s">
        <v>49</v>
      </c>
      <c r="R87" t="s">
        <v>229</v>
      </c>
      <c r="S87" s="1">
        <v>46023</v>
      </c>
      <c r="U87" t="s">
        <v>51</v>
      </c>
      <c r="X87" t="s">
        <v>52</v>
      </c>
      <c r="Y87" s="2">
        <v>0</v>
      </c>
      <c r="Z87" s="2">
        <v>100</v>
      </c>
      <c r="AA87">
        <v>1</v>
      </c>
      <c r="AB87" s="3">
        <v>1</v>
      </c>
      <c r="AC87" s="2">
        <v>100</v>
      </c>
      <c r="AD87" s="3">
        <v>0</v>
      </c>
      <c r="AE87" s="2">
        <v>0</v>
      </c>
      <c r="AF87" s="2">
        <v>100</v>
      </c>
      <c r="AK87">
        <v>6129283</v>
      </c>
    </row>
    <row r="88" spans="1:37" x14ac:dyDescent="0.25">
      <c r="A88" s="1">
        <v>46043</v>
      </c>
      <c r="B88" s="1">
        <v>46043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303</v>
      </c>
      <c r="J88" t="s">
        <v>304</v>
      </c>
      <c r="M88" t="s">
        <v>271</v>
      </c>
      <c r="O88" t="s">
        <v>282</v>
      </c>
      <c r="P88" t="s">
        <v>283</v>
      </c>
      <c r="Q88" t="s">
        <v>49</v>
      </c>
      <c r="R88" t="s">
        <v>229</v>
      </c>
      <c r="S88" s="1">
        <v>46023</v>
      </c>
      <c r="U88" t="s">
        <v>51</v>
      </c>
      <c r="X88" t="s">
        <v>52</v>
      </c>
      <c r="Y88" s="2">
        <v>0</v>
      </c>
      <c r="Z88" s="2">
        <v>100</v>
      </c>
      <c r="AA88">
        <v>1</v>
      </c>
      <c r="AB88" s="3">
        <v>1</v>
      </c>
      <c r="AC88" s="2">
        <v>100</v>
      </c>
      <c r="AD88" s="3">
        <v>0</v>
      </c>
      <c r="AE88" s="2">
        <v>0</v>
      </c>
      <c r="AF88" s="2">
        <v>100</v>
      </c>
      <c r="AK88">
        <v>6129282</v>
      </c>
    </row>
    <row r="89" spans="1:37" x14ac:dyDescent="0.25">
      <c r="A89" s="1">
        <v>46043</v>
      </c>
      <c r="B89" s="1">
        <v>46043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305</v>
      </c>
      <c r="J89" t="s">
        <v>306</v>
      </c>
      <c r="M89" t="s">
        <v>68</v>
      </c>
      <c r="O89" t="s">
        <v>122</v>
      </c>
      <c r="P89" t="s">
        <v>123</v>
      </c>
      <c r="Q89" t="s">
        <v>49</v>
      </c>
      <c r="R89" t="s">
        <v>229</v>
      </c>
      <c r="S89" s="1">
        <v>46023</v>
      </c>
      <c r="U89" t="s">
        <v>51</v>
      </c>
      <c r="X89" t="s">
        <v>52</v>
      </c>
      <c r="Y89" s="2">
        <v>0</v>
      </c>
      <c r="Z89" s="2">
        <v>100</v>
      </c>
      <c r="AA89">
        <v>1</v>
      </c>
      <c r="AB89" s="3">
        <v>1</v>
      </c>
      <c r="AC89" s="2">
        <v>100</v>
      </c>
      <c r="AD89" s="3">
        <v>0</v>
      </c>
      <c r="AE89" s="2">
        <v>0</v>
      </c>
      <c r="AF89" s="2">
        <v>100</v>
      </c>
      <c r="AK89">
        <v>6130017</v>
      </c>
    </row>
    <row r="90" spans="1:37" x14ac:dyDescent="0.25">
      <c r="A90" s="1">
        <v>46043</v>
      </c>
      <c r="B90" s="1">
        <v>46043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307</v>
      </c>
      <c r="J90" t="s">
        <v>308</v>
      </c>
      <c r="M90" t="s">
        <v>214</v>
      </c>
      <c r="O90" t="s">
        <v>178</v>
      </c>
      <c r="P90" t="s">
        <v>179</v>
      </c>
      <c r="Q90" t="s">
        <v>49</v>
      </c>
      <c r="R90" t="s">
        <v>229</v>
      </c>
      <c r="S90" s="1">
        <v>46023</v>
      </c>
      <c r="U90" t="s">
        <v>51</v>
      </c>
      <c r="X90" t="s">
        <v>52</v>
      </c>
      <c r="Y90" s="2">
        <v>0</v>
      </c>
      <c r="Z90" s="2">
        <v>100</v>
      </c>
      <c r="AA90">
        <v>1</v>
      </c>
      <c r="AB90" s="3">
        <v>1</v>
      </c>
      <c r="AC90" s="2">
        <v>100</v>
      </c>
      <c r="AD90" s="3">
        <v>0</v>
      </c>
      <c r="AE90" s="2">
        <v>0</v>
      </c>
      <c r="AF90" s="2">
        <v>100</v>
      </c>
      <c r="AK90">
        <v>6129393</v>
      </c>
    </row>
    <row r="91" spans="1:37" x14ac:dyDescent="0.25">
      <c r="A91" s="1">
        <v>46043</v>
      </c>
      <c r="B91" s="1">
        <v>46043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309</v>
      </c>
      <c r="J91" t="s">
        <v>310</v>
      </c>
      <c r="M91" t="s">
        <v>311</v>
      </c>
      <c r="O91" t="s">
        <v>89</v>
      </c>
      <c r="P91" t="s">
        <v>90</v>
      </c>
      <c r="Q91" t="s">
        <v>49</v>
      </c>
      <c r="R91" t="s">
        <v>229</v>
      </c>
      <c r="S91" s="1">
        <v>46023</v>
      </c>
      <c r="U91" t="s">
        <v>51</v>
      </c>
      <c r="X91" t="s">
        <v>52</v>
      </c>
      <c r="Y91" s="2">
        <v>0</v>
      </c>
      <c r="Z91" s="2">
        <v>100</v>
      </c>
      <c r="AA91">
        <v>1</v>
      </c>
      <c r="AB91" s="3">
        <v>1</v>
      </c>
      <c r="AC91" s="2">
        <v>100</v>
      </c>
      <c r="AD91" s="3">
        <v>0</v>
      </c>
      <c r="AE91" s="2">
        <v>0</v>
      </c>
      <c r="AF91" s="2">
        <v>100</v>
      </c>
      <c r="AK91">
        <v>6129048</v>
      </c>
    </row>
    <row r="92" spans="1:37" x14ac:dyDescent="0.25">
      <c r="A92" s="1">
        <v>46043</v>
      </c>
      <c r="B92" s="1">
        <v>46043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312</v>
      </c>
      <c r="J92" t="s">
        <v>313</v>
      </c>
      <c r="M92" t="s">
        <v>200</v>
      </c>
      <c r="O92" t="s">
        <v>274</v>
      </c>
      <c r="P92" t="s">
        <v>275</v>
      </c>
      <c r="Q92" t="s">
        <v>49</v>
      </c>
      <c r="R92" t="s">
        <v>229</v>
      </c>
      <c r="S92" s="1">
        <v>46023</v>
      </c>
      <c r="U92" t="s">
        <v>51</v>
      </c>
      <c r="X92" t="s">
        <v>52</v>
      </c>
      <c r="Y92" s="2">
        <v>0</v>
      </c>
      <c r="Z92" s="2">
        <v>100</v>
      </c>
      <c r="AA92">
        <v>1</v>
      </c>
      <c r="AB92" s="3">
        <v>1</v>
      </c>
      <c r="AC92" s="2">
        <v>100</v>
      </c>
      <c r="AD92" s="3">
        <v>0</v>
      </c>
      <c r="AE92" s="2">
        <v>0</v>
      </c>
      <c r="AF92" s="2">
        <v>100</v>
      </c>
      <c r="AK92">
        <v>6130065</v>
      </c>
    </row>
    <row r="93" spans="1:37" x14ac:dyDescent="0.25">
      <c r="A93" s="1">
        <v>46043</v>
      </c>
      <c r="B93" s="1">
        <v>46043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314</v>
      </c>
      <c r="J93" t="s">
        <v>315</v>
      </c>
      <c r="M93" t="s">
        <v>214</v>
      </c>
      <c r="O93" t="s">
        <v>178</v>
      </c>
      <c r="P93" t="s">
        <v>179</v>
      </c>
      <c r="Q93" t="s">
        <v>49</v>
      </c>
      <c r="R93" t="s">
        <v>229</v>
      </c>
      <c r="S93" s="1">
        <v>46023</v>
      </c>
      <c r="U93" t="s">
        <v>51</v>
      </c>
      <c r="X93" t="s">
        <v>52</v>
      </c>
      <c r="Y93" s="2">
        <v>0</v>
      </c>
      <c r="Z93" s="2">
        <v>100</v>
      </c>
      <c r="AA93">
        <v>1</v>
      </c>
      <c r="AB93" s="3">
        <v>1</v>
      </c>
      <c r="AC93" s="2">
        <v>100</v>
      </c>
      <c r="AD93" s="3">
        <v>0</v>
      </c>
      <c r="AE93" s="2">
        <v>0</v>
      </c>
      <c r="AF93" s="2">
        <v>100</v>
      </c>
      <c r="AK93">
        <v>6129394</v>
      </c>
    </row>
    <row r="94" spans="1:37" x14ac:dyDescent="0.25">
      <c r="A94" s="1">
        <v>46043</v>
      </c>
      <c r="B94" s="1">
        <v>46043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316</v>
      </c>
      <c r="J94" t="s">
        <v>317</v>
      </c>
      <c r="M94" t="s">
        <v>68</v>
      </c>
      <c r="O94" t="s">
        <v>105</v>
      </c>
      <c r="P94" t="s">
        <v>106</v>
      </c>
      <c r="Q94" t="s">
        <v>49</v>
      </c>
      <c r="R94" t="s">
        <v>229</v>
      </c>
      <c r="S94" s="1">
        <v>46023</v>
      </c>
      <c r="U94" t="s">
        <v>51</v>
      </c>
      <c r="X94" t="s">
        <v>52</v>
      </c>
      <c r="Y94" s="2">
        <v>0</v>
      </c>
      <c r="Z94" s="2">
        <v>100</v>
      </c>
      <c r="AA94">
        <v>1</v>
      </c>
      <c r="AB94" s="3">
        <v>1</v>
      </c>
      <c r="AC94" s="2">
        <v>100</v>
      </c>
      <c r="AD94" s="3">
        <v>0</v>
      </c>
      <c r="AE94" s="2">
        <v>0</v>
      </c>
      <c r="AF94" s="2">
        <v>100</v>
      </c>
      <c r="AK94">
        <v>6129401</v>
      </c>
    </row>
    <row r="95" spans="1:37" x14ac:dyDescent="0.25">
      <c r="A95" s="1">
        <v>46043</v>
      </c>
      <c r="B95" s="1">
        <v>46043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318</v>
      </c>
      <c r="J95" t="s">
        <v>319</v>
      </c>
      <c r="M95" t="s">
        <v>68</v>
      </c>
      <c r="O95" t="s">
        <v>105</v>
      </c>
      <c r="P95" t="s">
        <v>106</v>
      </c>
      <c r="Q95" t="s">
        <v>49</v>
      </c>
      <c r="R95" t="s">
        <v>229</v>
      </c>
      <c r="S95" s="1">
        <v>46023</v>
      </c>
      <c r="U95" t="s">
        <v>51</v>
      </c>
      <c r="X95" t="s">
        <v>52</v>
      </c>
      <c r="Y95" s="2">
        <v>0</v>
      </c>
      <c r="Z95" s="2">
        <v>100</v>
      </c>
      <c r="AA95">
        <v>1</v>
      </c>
      <c r="AB95" s="3">
        <v>1</v>
      </c>
      <c r="AC95" s="2">
        <v>100</v>
      </c>
      <c r="AD95" s="3">
        <v>0</v>
      </c>
      <c r="AE95" s="2">
        <v>0</v>
      </c>
      <c r="AF95" s="2">
        <v>100</v>
      </c>
      <c r="AK95">
        <v>6129402</v>
      </c>
    </row>
    <row r="96" spans="1:37" x14ac:dyDescent="0.25">
      <c r="A96" s="1">
        <v>46043</v>
      </c>
      <c r="B96" s="1">
        <v>46043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320</v>
      </c>
      <c r="J96" t="s">
        <v>321</v>
      </c>
      <c r="M96" t="s">
        <v>200</v>
      </c>
      <c r="O96" t="s">
        <v>201</v>
      </c>
      <c r="P96" t="s">
        <v>202</v>
      </c>
      <c r="Q96" t="s">
        <v>49</v>
      </c>
      <c r="R96" t="s">
        <v>229</v>
      </c>
      <c r="S96" s="1">
        <v>46023</v>
      </c>
      <c r="U96" t="s">
        <v>51</v>
      </c>
      <c r="X96" t="s">
        <v>52</v>
      </c>
      <c r="Y96" s="2">
        <v>0</v>
      </c>
      <c r="Z96" s="2">
        <v>100</v>
      </c>
      <c r="AA96">
        <v>1</v>
      </c>
      <c r="AB96" s="3">
        <v>1</v>
      </c>
      <c r="AC96" s="2">
        <v>100</v>
      </c>
      <c r="AD96" s="3">
        <v>0</v>
      </c>
      <c r="AE96" s="2">
        <v>0</v>
      </c>
      <c r="AF96" s="2">
        <v>100</v>
      </c>
      <c r="AK96">
        <v>6129962</v>
      </c>
    </row>
    <row r="97" spans="1:38" x14ac:dyDescent="0.25">
      <c r="A97" s="1">
        <v>46043</v>
      </c>
      <c r="B97" s="1">
        <v>46043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322</v>
      </c>
      <c r="J97" t="s">
        <v>323</v>
      </c>
      <c r="M97" t="s">
        <v>77</v>
      </c>
      <c r="O97" t="s">
        <v>324</v>
      </c>
      <c r="P97" t="s">
        <v>325</v>
      </c>
      <c r="Q97" t="s">
        <v>49</v>
      </c>
      <c r="R97" t="s">
        <v>229</v>
      </c>
      <c r="S97" s="1">
        <v>46023</v>
      </c>
      <c r="U97" t="s">
        <v>51</v>
      </c>
      <c r="X97" t="s">
        <v>52</v>
      </c>
      <c r="Y97" s="2">
        <v>0</v>
      </c>
      <c r="Z97" s="2">
        <v>100</v>
      </c>
      <c r="AA97">
        <v>1</v>
      </c>
      <c r="AB97" s="3">
        <v>1</v>
      </c>
      <c r="AC97" s="2">
        <v>100</v>
      </c>
      <c r="AD97" s="3">
        <v>0</v>
      </c>
      <c r="AE97" s="2">
        <v>0</v>
      </c>
      <c r="AF97" s="2">
        <v>100</v>
      </c>
      <c r="AK97">
        <v>6129323</v>
      </c>
    </row>
    <row r="98" spans="1:38" x14ac:dyDescent="0.25">
      <c r="A98" s="1">
        <v>46043</v>
      </c>
      <c r="B98" s="1">
        <v>46043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326</v>
      </c>
      <c r="J98" t="s">
        <v>327</v>
      </c>
      <c r="M98" t="s">
        <v>214</v>
      </c>
      <c r="O98" t="s">
        <v>178</v>
      </c>
      <c r="P98" t="s">
        <v>179</v>
      </c>
      <c r="Q98" t="s">
        <v>49</v>
      </c>
      <c r="R98" t="s">
        <v>229</v>
      </c>
      <c r="S98" s="1">
        <v>46023</v>
      </c>
      <c r="U98" t="s">
        <v>51</v>
      </c>
      <c r="X98" t="s">
        <v>52</v>
      </c>
      <c r="Y98" s="2">
        <v>0</v>
      </c>
      <c r="Z98" s="2">
        <v>100</v>
      </c>
      <c r="AA98">
        <v>1</v>
      </c>
      <c r="AB98" s="3">
        <v>1</v>
      </c>
      <c r="AC98" s="2">
        <v>100</v>
      </c>
      <c r="AD98" s="3">
        <v>0</v>
      </c>
      <c r="AE98" s="2">
        <v>0</v>
      </c>
      <c r="AF98" s="2">
        <v>100</v>
      </c>
      <c r="AK98">
        <v>6129395</v>
      </c>
    </row>
    <row r="99" spans="1:38" x14ac:dyDescent="0.25">
      <c r="A99" s="1">
        <v>46043</v>
      </c>
      <c r="B99" s="1">
        <v>46043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328</v>
      </c>
      <c r="J99" t="s">
        <v>329</v>
      </c>
      <c r="M99" t="s">
        <v>330</v>
      </c>
      <c r="O99" t="s">
        <v>192</v>
      </c>
      <c r="P99" t="s">
        <v>193</v>
      </c>
      <c r="Q99" t="s">
        <v>49</v>
      </c>
      <c r="R99" t="s">
        <v>229</v>
      </c>
      <c r="S99" s="1">
        <v>46023</v>
      </c>
      <c r="U99" t="s">
        <v>51</v>
      </c>
      <c r="X99" t="s">
        <v>52</v>
      </c>
      <c r="Y99" s="2">
        <v>0</v>
      </c>
      <c r="Z99" s="2">
        <v>100</v>
      </c>
      <c r="AA99">
        <v>1</v>
      </c>
      <c r="AB99" s="3">
        <v>1</v>
      </c>
      <c r="AC99" s="2">
        <v>100</v>
      </c>
      <c r="AD99" s="3">
        <v>0</v>
      </c>
      <c r="AE99" s="2">
        <v>0</v>
      </c>
      <c r="AF99" s="2">
        <v>100</v>
      </c>
      <c r="AK99">
        <v>6129826</v>
      </c>
    </row>
    <row r="100" spans="1:38" x14ac:dyDescent="0.25">
      <c r="A100" s="1">
        <v>46043</v>
      </c>
      <c r="B100" s="1">
        <v>46043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331</v>
      </c>
      <c r="J100" t="s">
        <v>332</v>
      </c>
      <c r="M100" t="s">
        <v>68</v>
      </c>
      <c r="O100" t="s">
        <v>259</v>
      </c>
      <c r="P100" t="s">
        <v>260</v>
      </c>
      <c r="Q100" t="s">
        <v>49</v>
      </c>
      <c r="R100" t="s">
        <v>229</v>
      </c>
      <c r="S100" s="1">
        <v>46023</v>
      </c>
      <c r="U100" t="s">
        <v>51</v>
      </c>
      <c r="X100" t="s">
        <v>52</v>
      </c>
      <c r="Y100" s="2">
        <v>0</v>
      </c>
      <c r="Z100" s="2">
        <v>100</v>
      </c>
      <c r="AA100">
        <v>1</v>
      </c>
      <c r="AB100" s="3">
        <v>1</v>
      </c>
      <c r="AC100" s="2">
        <v>100</v>
      </c>
      <c r="AD100" s="3">
        <v>0</v>
      </c>
      <c r="AE100" s="2">
        <v>0</v>
      </c>
      <c r="AF100" s="2">
        <v>100</v>
      </c>
      <c r="AK100">
        <v>6129377</v>
      </c>
    </row>
    <row r="101" spans="1:38" x14ac:dyDescent="0.25">
      <c r="A101" s="1">
        <v>46043</v>
      </c>
      <c r="B101" s="1">
        <v>46043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333</v>
      </c>
      <c r="J101" t="s">
        <v>334</v>
      </c>
      <c r="M101" t="s">
        <v>68</v>
      </c>
      <c r="O101" t="s">
        <v>259</v>
      </c>
      <c r="P101" t="s">
        <v>260</v>
      </c>
      <c r="Q101" t="s">
        <v>49</v>
      </c>
      <c r="R101" t="s">
        <v>229</v>
      </c>
      <c r="S101" s="1">
        <v>46023</v>
      </c>
      <c r="U101" t="s">
        <v>51</v>
      </c>
      <c r="X101" t="s">
        <v>52</v>
      </c>
      <c r="Y101" s="2">
        <v>0</v>
      </c>
      <c r="Z101" s="2">
        <v>100</v>
      </c>
      <c r="AA101">
        <v>1</v>
      </c>
      <c r="AB101" s="3">
        <v>1</v>
      </c>
      <c r="AC101" s="2">
        <v>100</v>
      </c>
      <c r="AD101" s="3">
        <v>0</v>
      </c>
      <c r="AE101" s="2">
        <v>0</v>
      </c>
      <c r="AF101" s="2">
        <v>100</v>
      </c>
      <c r="AK101">
        <v>6129378</v>
      </c>
    </row>
    <row r="102" spans="1:38" x14ac:dyDescent="0.25">
      <c r="A102" s="1">
        <v>46043</v>
      </c>
      <c r="B102" s="1">
        <v>46043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335</v>
      </c>
      <c r="J102" t="s">
        <v>336</v>
      </c>
      <c r="M102" t="s">
        <v>62</v>
      </c>
      <c r="O102" t="s">
        <v>192</v>
      </c>
      <c r="P102" t="s">
        <v>193</v>
      </c>
      <c r="Q102" t="s">
        <v>49</v>
      </c>
      <c r="R102" t="s">
        <v>247</v>
      </c>
      <c r="S102" s="1">
        <v>45931</v>
      </c>
      <c r="U102" t="s">
        <v>51</v>
      </c>
      <c r="X102" t="s">
        <v>52</v>
      </c>
      <c r="Y102" s="2">
        <v>0</v>
      </c>
      <c r="Z102" s="2">
        <v>78.25</v>
      </c>
      <c r="AA102">
        <v>1</v>
      </c>
      <c r="AB102" s="3">
        <v>1</v>
      </c>
      <c r="AC102" s="2">
        <v>78.25</v>
      </c>
      <c r="AD102" s="3">
        <v>0</v>
      </c>
      <c r="AE102" s="2">
        <v>0</v>
      </c>
      <c r="AF102" s="2">
        <v>78.25</v>
      </c>
      <c r="AK102">
        <v>6135096</v>
      </c>
      <c r="AL102" t="s">
        <v>224</v>
      </c>
    </row>
    <row r="103" spans="1:38" x14ac:dyDescent="0.25">
      <c r="A103" s="1">
        <v>46043</v>
      </c>
      <c r="B103" s="1">
        <v>46043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337</v>
      </c>
      <c r="J103" t="s">
        <v>336</v>
      </c>
      <c r="M103" t="s">
        <v>62</v>
      </c>
      <c r="O103" t="s">
        <v>192</v>
      </c>
      <c r="P103" t="s">
        <v>193</v>
      </c>
      <c r="Q103" t="s">
        <v>49</v>
      </c>
      <c r="R103" t="s">
        <v>240</v>
      </c>
      <c r="S103" s="1">
        <v>45931</v>
      </c>
      <c r="U103" t="s">
        <v>51</v>
      </c>
      <c r="X103" t="s">
        <v>52</v>
      </c>
      <c r="Y103" s="2">
        <v>0</v>
      </c>
      <c r="Z103" s="2">
        <v>18</v>
      </c>
      <c r="AA103">
        <v>1</v>
      </c>
      <c r="AB103" s="3">
        <v>1</v>
      </c>
      <c r="AC103" s="2">
        <v>18</v>
      </c>
      <c r="AD103" s="3">
        <v>0</v>
      </c>
      <c r="AE103" s="2">
        <v>0</v>
      </c>
      <c r="AF103" s="2">
        <v>18</v>
      </c>
      <c r="AK103">
        <v>6135097</v>
      </c>
      <c r="AL103" t="s">
        <v>224</v>
      </c>
    </row>
    <row r="104" spans="1:38" x14ac:dyDescent="0.25">
      <c r="A104" s="1">
        <v>46043</v>
      </c>
      <c r="B104" s="1">
        <v>46043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338</v>
      </c>
      <c r="J104" t="s">
        <v>300</v>
      </c>
      <c r="M104" t="s">
        <v>68</v>
      </c>
      <c r="O104" t="s">
        <v>259</v>
      </c>
      <c r="P104" t="s">
        <v>260</v>
      </c>
      <c r="Q104" t="s">
        <v>49</v>
      </c>
      <c r="R104" t="s">
        <v>237</v>
      </c>
      <c r="S104" s="1">
        <v>46054</v>
      </c>
      <c r="U104" t="s">
        <v>51</v>
      </c>
      <c r="X104" t="s">
        <v>52</v>
      </c>
      <c r="Y104" s="2">
        <v>0</v>
      </c>
      <c r="Z104" s="2">
        <v>318.08</v>
      </c>
      <c r="AA104">
        <v>1</v>
      </c>
      <c r="AB104" s="3">
        <v>1</v>
      </c>
      <c r="AC104" s="2">
        <v>318.08</v>
      </c>
      <c r="AD104" s="3">
        <v>0</v>
      </c>
      <c r="AE104" s="2">
        <v>0</v>
      </c>
      <c r="AF104" s="2">
        <v>318.08</v>
      </c>
      <c r="AK104">
        <v>6135143</v>
      </c>
      <c r="AL104" t="s">
        <v>238</v>
      </c>
    </row>
    <row r="105" spans="1:38" x14ac:dyDescent="0.25">
      <c r="A105" s="1">
        <v>46043</v>
      </c>
      <c r="B105" s="1">
        <v>46043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339</v>
      </c>
      <c r="J105" t="s">
        <v>300</v>
      </c>
      <c r="M105" t="s">
        <v>68</v>
      </c>
      <c r="O105" t="s">
        <v>259</v>
      </c>
      <c r="P105" t="s">
        <v>260</v>
      </c>
      <c r="Q105" t="s">
        <v>49</v>
      </c>
      <c r="R105" t="s">
        <v>240</v>
      </c>
      <c r="S105" s="1">
        <v>46054</v>
      </c>
      <c r="U105" t="s">
        <v>51</v>
      </c>
      <c r="X105" t="s">
        <v>52</v>
      </c>
      <c r="Y105" s="2">
        <v>0</v>
      </c>
      <c r="Z105" s="2">
        <v>66</v>
      </c>
      <c r="AA105">
        <v>1</v>
      </c>
      <c r="AB105" s="3">
        <v>1</v>
      </c>
      <c r="AC105" s="2">
        <v>66</v>
      </c>
      <c r="AD105" s="3">
        <v>0</v>
      </c>
      <c r="AE105" s="2">
        <v>0</v>
      </c>
      <c r="AF105" s="2">
        <v>66</v>
      </c>
      <c r="AK105">
        <v>6135144</v>
      </c>
      <c r="AL105" t="s">
        <v>238</v>
      </c>
    </row>
    <row r="106" spans="1:38" x14ac:dyDescent="0.25">
      <c r="A106" s="1">
        <v>46043</v>
      </c>
      <c r="B106" s="1">
        <v>46043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340</v>
      </c>
      <c r="J106" t="s">
        <v>341</v>
      </c>
      <c r="M106" t="s">
        <v>68</v>
      </c>
      <c r="O106" t="s">
        <v>178</v>
      </c>
      <c r="P106" t="s">
        <v>179</v>
      </c>
      <c r="Q106" t="s">
        <v>49</v>
      </c>
      <c r="R106" t="s">
        <v>237</v>
      </c>
      <c r="S106" s="1">
        <v>46054</v>
      </c>
      <c r="U106" t="s">
        <v>51</v>
      </c>
      <c r="X106" t="s">
        <v>52</v>
      </c>
      <c r="Y106" s="2">
        <v>0</v>
      </c>
      <c r="Z106" s="2">
        <v>318.08</v>
      </c>
      <c r="AA106">
        <v>1</v>
      </c>
      <c r="AB106" s="3">
        <v>1</v>
      </c>
      <c r="AC106" s="2">
        <v>318.08</v>
      </c>
      <c r="AD106" s="3">
        <v>0</v>
      </c>
      <c r="AE106" s="2">
        <v>0</v>
      </c>
      <c r="AF106" s="2">
        <v>318.08</v>
      </c>
      <c r="AK106">
        <v>6135166</v>
      </c>
      <c r="AL106" t="s">
        <v>238</v>
      </c>
    </row>
    <row r="107" spans="1:38" x14ac:dyDescent="0.25">
      <c r="A107" s="1">
        <v>46043</v>
      </c>
      <c r="B107" s="1">
        <v>46043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342</v>
      </c>
      <c r="J107" t="s">
        <v>341</v>
      </c>
      <c r="M107" t="s">
        <v>68</v>
      </c>
      <c r="O107" t="s">
        <v>178</v>
      </c>
      <c r="P107" t="s">
        <v>179</v>
      </c>
      <c r="Q107" t="s">
        <v>49</v>
      </c>
      <c r="R107" t="s">
        <v>343</v>
      </c>
      <c r="S107" s="1">
        <v>46054</v>
      </c>
      <c r="U107" t="s">
        <v>51</v>
      </c>
      <c r="X107" t="s">
        <v>52</v>
      </c>
      <c r="Y107" s="2">
        <v>0</v>
      </c>
      <c r="Z107" s="2">
        <v>175</v>
      </c>
      <c r="AA107">
        <v>1</v>
      </c>
      <c r="AB107" s="3">
        <v>1</v>
      </c>
      <c r="AC107" s="2">
        <v>175</v>
      </c>
      <c r="AD107" s="3">
        <v>0</v>
      </c>
      <c r="AE107" s="2">
        <v>0</v>
      </c>
      <c r="AF107" s="2">
        <v>175</v>
      </c>
      <c r="AK107">
        <v>6135167</v>
      </c>
    </row>
    <row r="108" spans="1:38" x14ac:dyDescent="0.25">
      <c r="A108" s="1">
        <v>46043</v>
      </c>
      <c r="B108" s="1">
        <v>46043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344</v>
      </c>
      <c r="J108" t="s">
        <v>345</v>
      </c>
      <c r="M108" t="s">
        <v>68</v>
      </c>
      <c r="O108" t="s">
        <v>73</v>
      </c>
      <c r="P108" t="s">
        <v>74</v>
      </c>
      <c r="Q108" t="s">
        <v>246</v>
      </c>
      <c r="R108" t="s">
        <v>223</v>
      </c>
      <c r="S108" s="1">
        <v>45931</v>
      </c>
      <c r="U108" t="s">
        <v>51</v>
      </c>
      <c r="X108" t="s">
        <v>52</v>
      </c>
      <c r="Y108" s="2">
        <v>0</v>
      </c>
      <c r="Z108" s="2">
        <v>156.5</v>
      </c>
      <c r="AA108">
        <v>1</v>
      </c>
      <c r="AB108" s="3">
        <v>1</v>
      </c>
      <c r="AC108" s="2">
        <v>156.5</v>
      </c>
      <c r="AD108" s="3">
        <v>0</v>
      </c>
      <c r="AE108" s="2">
        <v>0</v>
      </c>
      <c r="AF108" s="2">
        <v>156.5</v>
      </c>
      <c r="AK108">
        <v>6135215</v>
      </c>
      <c r="AL108" t="s">
        <v>224</v>
      </c>
    </row>
    <row r="109" spans="1:38" x14ac:dyDescent="0.25">
      <c r="A109" s="1">
        <v>46043</v>
      </c>
      <c r="B109" s="1">
        <v>46043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346</v>
      </c>
      <c r="J109" t="s">
        <v>345</v>
      </c>
      <c r="M109" t="s">
        <v>68</v>
      </c>
      <c r="O109" t="s">
        <v>73</v>
      </c>
      <c r="P109" t="s">
        <v>74</v>
      </c>
      <c r="Q109" t="s">
        <v>246</v>
      </c>
      <c r="R109" t="s">
        <v>347</v>
      </c>
      <c r="S109" s="1">
        <v>45931</v>
      </c>
      <c r="U109" t="s">
        <v>51</v>
      </c>
      <c r="X109" t="s">
        <v>52</v>
      </c>
      <c r="Y109" s="2">
        <v>0</v>
      </c>
      <c r="Z109" s="2">
        <v>28.25</v>
      </c>
      <c r="AA109">
        <v>1</v>
      </c>
      <c r="AB109" s="3">
        <v>1</v>
      </c>
      <c r="AC109" s="2">
        <v>28.25</v>
      </c>
      <c r="AD109" s="3">
        <v>0</v>
      </c>
      <c r="AE109" s="2">
        <v>0</v>
      </c>
      <c r="AF109" s="2">
        <v>28.25</v>
      </c>
      <c r="AK109">
        <v>6135216</v>
      </c>
      <c r="AL109" t="s">
        <v>224</v>
      </c>
    </row>
    <row r="110" spans="1:38" x14ac:dyDescent="0.25">
      <c r="A110" s="1">
        <v>46043</v>
      </c>
      <c r="B110" s="1">
        <v>46043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348</v>
      </c>
      <c r="J110" t="s">
        <v>349</v>
      </c>
      <c r="M110" t="s">
        <v>271</v>
      </c>
      <c r="O110" t="s">
        <v>252</v>
      </c>
      <c r="P110" t="s">
        <v>253</v>
      </c>
      <c r="Q110" t="s">
        <v>49</v>
      </c>
      <c r="R110" t="s">
        <v>350</v>
      </c>
      <c r="S110" s="1">
        <v>46054</v>
      </c>
      <c r="U110" t="s">
        <v>51</v>
      </c>
      <c r="X110" t="s">
        <v>52</v>
      </c>
      <c r="Y110" s="2">
        <v>0</v>
      </c>
      <c r="Z110" s="2">
        <v>358.42</v>
      </c>
      <c r="AA110">
        <v>1</v>
      </c>
      <c r="AB110" s="3">
        <v>1</v>
      </c>
      <c r="AC110" s="2">
        <v>358.42</v>
      </c>
      <c r="AD110" s="3">
        <v>0</v>
      </c>
      <c r="AE110" s="2">
        <v>0</v>
      </c>
      <c r="AF110" s="2">
        <v>358.42</v>
      </c>
      <c r="AK110">
        <v>6135236</v>
      </c>
      <c r="AL110" t="s">
        <v>238</v>
      </c>
    </row>
    <row r="111" spans="1:38" x14ac:dyDescent="0.25">
      <c r="A111" s="1">
        <v>46043</v>
      </c>
      <c r="B111" s="1">
        <v>46043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351</v>
      </c>
      <c r="J111" t="s">
        <v>349</v>
      </c>
      <c r="M111" t="s">
        <v>271</v>
      </c>
      <c r="O111" t="s">
        <v>252</v>
      </c>
      <c r="P111" t="s">
        <v>253</v>
      </c>
      <c r="Q111" t="s">
        <v>49</v>
      </c>
      <c r="R111" t="s">
        <v>343</v>
      </c>
      <c r="S111" s="1">
        <v>46054</v>
      </c>
      <c r="U111" t="s">
        <v>51</v>
      </c>
      <c r="X111" t="s">
        <v>52</v>
      </c>
      <c r="Y111" s="2">
        <v>0</v>
      </c>
      <c r="Z111" s="2">
        <v>175</v>
      </c>
      <c r="AA111">
        <v>1</v>
      </c>
      <c r="AB111" s="3">
        <v>1</v>
      </c>
      <c r="AC111" s="2">
        <v>175</v>
      </c>
      <c r="AD111" s="3">
        <v>0</v>
      </c>
      <c r="AE111" s="2">
        <v>0</v>
      </c>
      <c r="AF111" s="2">
        <v>175</v>
      </c>
      <c r="AK111">
        <v>6135237</v>
      </c>
    </row>
    <row r="112" spans="1:38" x14ac:dyDescent="0.25">
      <c r="A112" s="1">
        <v>46043</v>
      </c>
      <c r="B112" s="1">
        <v>46043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352</v>
      </c>
      <c r="J112" t="s">
        <v>353</v>
      </c>
      <c r="M112" t="s">
        <v>214</v>
      </c>
      <c r="O112" t="s">
        <v>221</v>
      </c>
      <c r="P112" t="s">
        <v>222</v>
      </c>
      <c r="Q112" t="s">
        <v>49</v>
      </c>
      <c r="R112" t="s">
        <v>354</v>
      </c>
      <c r="S112" s="1">
        <v>45931</v>
      </c>
      <c r="U112" t="s">
        <v>51</v>
      </c>
      <c r="X112" t="s">
        <v>52</v>
      </c>
      <c r="Y112" s="2">
        <v>0</v>
      </c>
      <c r="Z112" s="2">
        <v>626</v>
      </c>
      <c r="AA112">
        <v>1</v>
      </c>
      <c r="AB112" s="3">
        <v>1</v>
      </c>
      <c r="AC112" s="2">
        <v>626</v>
      </c>
      <c r="AD112" s="3">
        <v>0</v>
      </c>
      <c r="AE112" s="2">
        <v>0</v>
      </c>
      <c r="AF112" s="2">
        <v>626</v>
      </c>
      <c r="AK112">
        <v>6135253</v>
      </c>
    </row>
    <row r="113" spans="1:38" x14ac:dyDescent="0.25">
      <c r="A113" s="1">
        <v>46043</v>
      </c>
      <c r="B113" s="1">
        <v>46043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355</v>
      </c>
      <c r="J113" t="s">
        <v>353</v>
      </c>
      <c r="M113" t="s">
        <v>214</v>
      </c>
      <c r="O113" t="s">
        <v>221</v>
      </c>
      <c r="P113" t="s">
        <v>222</v>
      </c>
      <c r="Q113" t="s">
        <v>49</v>
      </c>
      <c r="R113" t="s">
        <v>343</v>
      </c>
      <c r="S113" s="1">
        <v>45931</v>
      </c>
      <c r="U113" t="s">
        <v>51</v>
      </c>
      <c r="X113" t="s">
        <v>52</v>
      </c>
      <c r="Y113" s="2">
        <v>0</v>
      </c>
      <c r="Z113" s="2">
        <v>175</v>
      </c>
      <c r="AA113">
        <v>1</v>
      </c>
      <c r="AB113" s="3">
        <v>1</v>
      </c>
      <c r="AC113" s="2">
        <v>175</v>
      </c>
      <c r="AD113" s="3">
        <v>0</v>
      </c>
      <c r="AE113" s="2">
        <v>0</v>
      </c>
      <c r="AF113" s="2">
        <v>175</v>
      </c>
      <c r="AK113">
        <v>6135254</v>
      </c>
    </row>
    <row r="114" spans="1:38" x14ac:dyDescent="0.25">
      <c r="A114" s="1">
        <v>46043</v>
      </c>
      <c r="B114" s="1">
        <v>46043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356</v>
      </c>
      <c r="J114" t="s">
        <v>357</v>
      </c>
      <c r="M114" t="s">
        <v>46</v>
      </c>
      <c r="O114" t="s">
        <v>358</v>
      </c>
      <c r="P114" t="s">
        <v>359</v>
      </c>
      <c r="Q114" t="s">
        <v>49</v>
      </c>
      <c r="R114" t="s">
        <v>354</v>
      </c>
      <c r="S114" s="1">
        <v>45992</v>
      </c>
      <c r="U114" t="s">
        <v>51</v>
      </c>
      <c r="X114" t="s">
        <v>52</v>
      </c>
      <c r="Y114" s="2">
        <v>0</v>
      </c>
      <c r="Z114" s="2">
        <v>626</v>
      </c>
      <c r="AA114">
        <v>1</v>
      </c>
      <c r="AB114" s="3">
        <v>1</v>
      </c>
      <c r="AC114" s="2">
        <v>626</v>
      </c>
      <c r="AD114" s="3">
        <v>0</v>
      </c>
      <c r="AE114" s="2">
        <v>0</v>
      </c>
      <c r="AF114" s="2">
        <v>626</v>
      </c>
      <c r="AK114">
        <v>6135285</v>
      </c>
    </row>
    <row r="115" spans="1:38" x14ac:dyDescent="0.25">
      <c r="A115" s="1">
        <v>46043</v>
      </c>
      <c r="B115" s="1">
        <v>46043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360</v>
      </c>
      <c r="J115" t="s">
        <v>357</v>
      </c>
      <c r="M115" t="s">
        <v>46</v>
      </c>
      <c r="O115" t="s">
        <v>358</v>
      </c>
      <c r="P115" t="s">
        <v>359</v>
      </c>
      <c r="Q115" t="s">
        <v>49</v>
      </c>
      <c r="R115" t="s">
        <v>361</v>
      </c>
      <c r="S115" s="1">
        <v>45992</v>
      </c>
      <c r="U115" t="s">
        <v>51</v>
      </c>
      <c r="X115" t="s">
        <v>52</v>
      </c>
      <c r="Y115" s="2">
        <v>0</v>
      </c>
      <c r="Z115" s="2">
        <v>113</v>
      </c>
      <c r="AA115">
        <v>1</v>
      </c>
      <c r="AB115" s="3">
        <v>1</v>
      </c>
      <c r="AC115" s="2">
        <v>113</v>
      </c>
      <c r="AD115" s="3">
        <v>0</v>
      </c>
      <c r="AE115" s="2">
        <v>0</v>
      </c>
      <c r="AF115" s="2">
        <v>113</v>
      </c>
      <c r="AK115">
        <v>6135286</v>
      </c>
    </row>
    <row r="116" spans="1:38" x14ac:dyDescent="0.25">
      <c r="A116" s="1">
        <v>46043</v>
      </c>
      <c r="B116" s="1">
        <v>46043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362</v>
      </c>
      <c r="J116" t="s">
        <v>363</v>
      </c>
      <c r="M116" t="s">
        <v>68</v>
      </c>
      <c r="O116" t="s">
        <v>69</v>
      </c>
      <c r="P116" t="s">
        <v>70</v>
      </c>
      <c r="Q116" t="s">
        <v>49</v>
      </c>
      <c r="R116" t="s">
        <v>237</v>
      </c>
      <c r="S116" s="1">
        <v>46054</v>
      </c>
      <c r="U116" t="s">
        <v>51</v>
      </c>
      <c r="X116" t="s">
        <v>52</v>
      </c>
      <c r="Y116" s="2">
        <v>0</v>
      </c>
      <c r="Z116" s="2">
        <v>318.08</v>
      </c>
      <c r="AA116">
        <v>1</v>
      </c>
      <c r="AB116" s="3">
        <v>1</v>
      </c>
      <c r="AC116" s="2">
        <v>318.08</v>
      </c>
      <c r="AD116" s="3">
        <v>0</v>
      </c>
      <c r="AE116" s="2">
        <v>0</v>
      </c>
      <c r="AF116" s="2">
        <v>318.08</v>
      </c>
      <c r="AK116">
        <v>6135292</v>
      </c>
      <c r="AL116" t="s">
        <v>238</v>
      </c>
    </row>
    <row r="117" spans="1:38" x14ac:dyDescent="0.25">
      <c r="A117" s="1">
        <v>46043</v>
      </c>
      <c r="B117" s="1">
        <v>46043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364</v>
      </c>
      <c r="J117" t="s">
        <v>363</v>
      </c>
      <c r="M117" t="s">
        <v>68</v>
      </c>
      <c r="O117" t="s">
        <v>69</v>
      </c>
      <c r="P117" t="s">
        <v>70</v>
      </c>
      <c r="Q117" t="s">
        <v>49</v>
      </c>
      <c r="R117" t="s">
        <v>240</v>
      </c>
      <c r="S117" s="1">
        <v>46054</v>
      </c>
      <c r="U117" t="s">
        <v>51</v>
      </c>
      <c r="X117" t="s">
        <v>52</v>
      </c>
      <c r="Y117" s="2">
        <v>0</v>
      </c>
      <c r="Z117" s="2">
        <v>66</v>
      </c>
      <c r="AA117">
        <v>1</v>
      </c>
      <c r="AB117" s="3">
        <v>1</v>
      </c>
      <c r="AC117" s="2">
        <v>66</v>
      </c>
      <c r="AD117" s="3">
        <v>0</v>
      </c>
      <c r="AE117" s="2">
        <v>0</v>
      </c>
      <c r="AF117" s="2">
        <v>66</v>
      </c>
      <c r="AK117">
        <v>6135293</v>
      </c>
      <c r="AL117" t="s">
        <v>238</v>
      </c>
    </row>
    <row r="118" spans="1:38" x14ac:dyDescent="0.25">
      <c r="A118" s="1">
        <v>46043</v>
      </c>
      <c r="B118" s="1">
        <v>46043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365</v>
      </c>
      <c r="J118" t="s">
        <v>366</v>
      </c>
      <c r="M118" t="s">
        <v>68</v>
      </c>
      <c r="O118" t="s">
        <v>367</v>
      </c>
      <c r="P118" t="s">
        <v>368</v>
      </c>
      <c r="Q118" t="s">
        <v>49</v>
      </c>
      <c r="R118" t="s">
        <v>237</v>
      </c>
      <c r="S118" s="1">
        <v>46054</v>
      </c>
      <c r="U118" t="s">
        <v>51</v>
      </c>
      <c r="X118" t="s">
        <v>52</v>
      </c>
      <c r="Y118" s="2">
        <v>0</v>
      </c>
      <c r="Z118" s="2">
        <v>318.08</v>
      </c>
      <c r="AA118">
        <v>1</v>
      </c>
      <c r="AB118" s="3">
        <v>1</v>
      </c>
      <c r="AC118" s="2">
        <v>318.08</v>
      </c>
      <c r="AD118" s="3">
        <v>0</v>
      </c>
      <c r="AE118" s="2">
        <v>0</v>
      </c>
      <c r="AF118" s="2">
        <v>318.08</v>
      </c>
      <c r="AK118">
        <v>6135294</v>
      </c>
      <c r="AL118" t="s">
        <v>238</v>
      </c>
    </row>
    <row r="119" spans="1:38" x14ac:dyDescent="0.25">
      <c r="A119" s="1">
        <v>46043</v>
      </c>
      <c r="B119" s="1">
        <v>46043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369</v>
      </c>
      <c r="J119" t="s">
        <v>366</v>
      </c>
      <c r="M119" t="s">
        <v>68</v>
      </c>
      <c r="O119" t="s">
        <v>367</v>
      </c>
      <c r="P119" t="s">
        <v>368</v>
      </c>
      <c r="Q119" t="s">
        <v>49</v>
      </c>
      <c r="R119" t="s">
        <v>343</v>
      </c>
      <c r="S119" s="1">
        <v>46054</v>
      </c>
      <c r="U119" t="s">
        <v>51</v>
      </c>
      <c r="X119" t="s">
        <v>52</v>
      </c>
      <c r="Y119" s="2">
        <v>0</v>
      </c>
      <c r="Z119" s="2">
        <v>175</v>
      </c>
      <c r="AA119">
        <v>1</v>
      </c>
      <c r="AB119" s="3">
        <v>1</v>
      </c>
      <c r="AC119" s="2">
        <v>175</v>
      </c>
      <c r="AD119" s="3">
        <v>0</v>
      </c>
      <c r="AE119" s="2">
        <v>0</v>
      </c>
      <c r="AF119" s="2">
        <v>175</v>
      </c>
      <c r="AK119">
        <v>6135295</v>
      </c>
    </row>
    <row r="120" spans="1:38" x14ac:dyDescent="0.25">
      <c r="A120" s="1">
        <v>46043</v>
      </c>
      <c r="B120" s="1">
        <v>46043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370</v>
      </c>
      <c r="J120" t="s">
        <v>371</v>
      </c>
      <c r="M120" t="s">
        <v>46</v>
      </c>
      <c r="O120" t="s">
        <v>178</v>
      </c>
      <c r="P120" t="s">
        <v>179</v>
      </c>
      <c r="Q120" t="s">
        <v>49</v>
      </c>
      <c r="R120" t="s">
        <v>237</v>
      </c>
      <c r="S120" s="1">
        <v>46054</v>
      </c>
      <c r="U120" t="s">
        <v>51</v>
      </c>
      <c r="X120" t="s">
        <v>52</v>
      </c>
      <c r="Y120" s="2">
        <v>0</v>
      </c>
      <c r="Z120" s="2">
        <v>318.08</v>
      </c>
      <c r="AA120">
        <v>1</v>
      </c>
      <c r="AB120" s="3">
        <v>1</v>
      </c>
      <c r="AC120" s="2">
        <v>318.08</v>
      </c>
      <c r="AD120" s="3">
        <v>0</v>
      </c>
      <c r="AE120" s="2">
        <v>0</v>
      </c>
      <c r="AF120" s="2">
        <v>318.08</v>
      </c>
      <c r="AK120">
        <v>6135297</v>
      </c>
      <c r="AL120" t="s">
        <v>238</v>
      </c>
    </row>
    <row r="121" spans="1:38" x14ac:dyDescent="0.25">
      <c r="A121" s="1">
        <v>46043</v>
      </c>
      <c r="B121" s="1">
        <v>46043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372</v>
      </c>
      <c r="J121" t="s">
        <v>371</v>
      </c>
      <c r="M121" t="s">
        <v>46</v>
      </c>
      <c r="O121" t="s">
        <v>178</v>
      </c>
      <c r="P121" t="s">
        <v>179</v>
      </c>
      <c r="Q121" t="s">
        <v>49</v>
      </c>
      <c r="R121" t="s">
        <v>343</v>
      </c>
      <c r="S121" s="1">
        <v>46054</v>
      </c>
      <c r="U121" t="s">
        <v>51</v>
      </c>
      <c r="X121" t="s">
        <v>52</v>
      </c>
      <c r="Y121" s="2">
        <v>0</v>
      </c>
      <c r="Z121" s="2">
        <v>175</v>
      </c>
      <c r="AA121">
        <v>1</v>
      </c>
      <c r="AB121" s="3">
        <v>1</v>
      </c>
      <c r="AC121" s="2">
        <v>175</v>
      </c>
      <c r="AD121" s="3">
        <v>0</v>
      </c>
      <c r="AE121" s="2">
        <v>0</v>
      </c>
      <c r="AF121" s="2">
        <v>175</v>
      </c>
      <c r="AK121">
        <v>6135298</v>
      </c>
    </row>
    <row r="122" spans="1:38" x14ac:dyDescent="0.25">
      <c r="A122" s="1">
        <v>46043</v>
      </c>
      <c r="B122" s="1">
        <v>46043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373</v>
      </c>
      <c r="J122" t="s">
        <v>374</v>
      </c>
      <c r="M122" t="s">
        <v>375</v>
      </c>
      <c r="O122" t="s">
        <v>376</v>
      </c>
      <c r="P122" t="s">
        <v>377</v>
      </c>
      <c r="Q122" t="s">
        <v>49</v>
      </c>
      <c r="R122" t="s">
        <v>237</v>
      </c>
      <c r="S122" s="1">
        <v>46054</v>
      </c>
      <c r="U122" t="s">
        <v>51</v>
      </c>
      <c r="X122" t="s">
        <v>52</v>
      </c>
      <c r="Y122" s="2">
        <v>0</v>
      </c>
      <c r="Z122" s="2">
        <v>318.08</v>
      </c>
      <c r="AA122">
        <v>1</v>
      </c>
      <c r="AB122" s="3">
        <v>1</v>
      </c>
      <c r="AC122" s="2">
        <v>318.08</v>
      </c>
      <c r="AD122" s="3">
        <v>0</v>
      </c>
      <c r="AE122" s="2">
        <v>0</v>
      </c>
      <c r="AF122" s="2">
        <v>318.08</v>
      </c>
      <c r="AK122">
        <v>6135306</v>
      </c>
      <c r="AL122" t="s">
        <v>238</v>
      </c>
    </row>
    <row r="123" spans="1:38" x14ac:dyDescent="0.25">
      <c r="A123" s="1">
        <v>46043</v>
      </c>
      <c r="B123" s="1">
        <v>46043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378</v>
      </c>
      <c r="J123" t="s">
        <v>374</v>
      </c>
      <c r="M123" t="s">
        <v>375</v>
      </c>
      <c r="O123" t="s">
        <v>376</v>
      </c>
      <c r="P123" t="s">
        <v>377</v>
      </c>
      <c r="Q123" t="s">
        <v>49</v>
      </c>
      <c r="R123" t="s">
        <v>343</v>
      </c>
      <c r="S123" s="1">
        <v>46054</v>
      </c>
      <c r="U123" t="s">
        <v>51</v>
      </c>
      <c r="X123" t="s">
        <v>52</v>
      </c>
      <c r="Y123" s="2">
        <v>0</v>
      </c>
      <c r="Z123" s="2">
        <v>175</v>
      </c>
      <c r="AA123">
        <v>1</v>
      </c>
      <c r="AB123" s="3">
        <v>1</v>
      </c>
      <c r="AC123" s="2">
        <v>175</v>
      </c>
      <c r="AD123" s="3">
        <v>0</v>
      </c>
      <c r="AE123" s="2">
        <v>0</v>
      </c>
      <c r="AF123" s="2">
        <v>175</v>
      </c>
      <c r="AK123">
        <v>6135307</v>
      </c>
    </row>
    <row r="124" spans="1:38" x14ac:dyDescent="0.25">
      <c r="A124" s="1">
        <v>46043</v>
      </c>
      <c r="B124" s="1">
        <v>46043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379</v>
      </c>
      <c r="J124" t="s">
        <v>380</v>
      </c>
      <c r="M124" t="s">
        <v>46</v>
      </c>
      <c r="O124" t="s">
        <v>358</v>
      </c>
      <c r="P124" t="s">
        <v>359</v>
      </c>
      <c r="Q124" t="s">
        <v>49</v>
      </c>
      <c r="R124" t="s">
        <v>354</v>
      </c>
      <c r="S124" s="1">
        <v>45962</v>
      </c>
      <c r="U124" t="s">
        <v>51</v>
      </c>
      <c r="X124" t="s">
        <v>52</v>
      </c>
      <c r="Y124" s="2">
        <v>0</v>
      </c>
      <c r="Z124" s="2">
        <v>626</v>
      </c>
      <c r="AA124">
        <v>1</v>
      </c>
      <c r="AB124" s="3">
        <v>1</v>
      </c>
      <c r="AC124" s="2">
        <v>626</v>
      </c>
      <c r="AD124" s="3">
        <v>0</v>
      </c>
      <c r="AE124" s="2">
        <v>0</v>
      </c>
      <c r="AF124" s="2">
        <v>626</v>
      </c>
      <c r="AK124">
        <v>6135338</v>
      </c>
    </row>
    <row r="125" spans="1:38" x14ac:dyDescent="0.25">
      <c r="A125" s="1">
        <v>46043</v>
      </c>
      <c r="B125" s="1">
        <v>46043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381</v>
      </c>
      <c r="J125" t="s">
        <v>380</v>
      </c>
      <c r="M125" t="s">
        <v>46</v>
      </c>
      <c r="O125" t="s">
        <v>358</v>
      </c>
      <c r="P125" t="s">
        <v>359</v>
      </c>
      <c r="Q125" t="s">
        <v>49</v>
      </c>
      <c r="R125" t="s">
        <v>361</v>
      </c>
      <c r="S125" s="1">
        <v>45962</v>
      </c>
      <c r="U125" t="s">
        <v>51</v>
      </c>
      <c r="X125" t="s">
        <v>52</v>
      </c>
      <c r="Y125" s="2">
        <v>0</v>
      </c>
      <c r="Z125" s="2">
        <v>113</v>
      </c>
      <c r="AA125">
        <v>1</v>
      </c>
      <c r="AB125" s="3">
        <v>1</v>
      </c>
      <c r="AC125" s="2">
        <v>113</v>
      </c>
      <c r="AD125" s="3">
        <v>0</v>
      </c>
      <c r="AE125" s="2">
        <v>0</v>
      </c>
      <c r="AF125" s="2">
        <v>113</v>
      </c>
      <c r="AK125">
        <v>6135339</v>
      </c>
    </row>
    <row r="126" spans="1:38" x14ac:dyDescent="0.25">
      <c r="A126" s="1">
        <v>46043</v>
      </c>
      <c r="B126" s="1">
        <v>46043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382</v>
      </c>
      <c r="J126" t="s">
        <v>383</v>
      </c>
      <c r="M126" t="s">
        <v>68</v>
      </c>
      <c r="O126" t="s">
        <v>178</v>
      </c>
      <c r="P126" t="s">
        <v>179</v>
      </c>
      <c r="Q126" t="s">
        <v>49</v>
      </c>
      <c r="R126" t="s">
        <v>237</v>
      </c>
      <c r="S126" s="1">
        <v>46054</v>
      </c>
      <c r="U126" t="s">
        <v>51</v>
      </c>
      <c r="X126" t="s">
        <v>52</v>
      </c>
      <c r="Y126" s="2">
        <v>0</v>
      </c>
      <c r="Z126" s="2">
        <v>318.08</v>
      </c>
      <c r="AA126">
        <v>1</v>
      </c>
      <c r="AB126" s="3">
        <v>1</v>
      </c>
      <c r="AC126" s="2">
        <v>318.08</v>
      </c>
      <c r="AD126" s="3">
        <v>0</v>
      </c>
      <c r="AE126" s="2">
        <v>0</v>
      </c>
      <c r="AF126" s="2">
        <v>318.08</v>
      </c>
      <c r="AK126">
        <v>6135343</v>
      </c>
      <c r="AL126" t="s">
        <v>238</v>
      </c>
    </row>
    <row r="127" spans="1:38" x14ac:dyDescent="0.25">
      <c r="A127" s="1">
        <v>46043</v>
      </c>
      <c r="B127" s="1">
        <v>46043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384</v>
      </c>
      <c r="J127" t="s">
        <v>383</v>
      </c>
      <c r="M127" t="s">
        <v>68</v>
      </c>
      <c r="O127" t="s">
        <v>178</v>
      </c>
      <c r="P127" t="s">
        <v>179</v>
      </c>
      <c r="Q127" t="s">
        <v>49</v>
      </c>
      <c r="R127" t="s">
        <v>343</v>
      </c>
      <c r="S127" s="1">
        <v>46054</v>
      </c>
      <c r="U127" t="s">
        <v>51</v>
      </c>
      <c r="X127" t="s">
        <v>52</v>
      </c>
      <c r="Y127" s="2">
        <v>0</v>
      </c>
      <c r="Z127" s="2">
        <v>175</v>
      </c>
      <c r="AA127">
        <v>1</v>
      </c>
      <c r="AB127" s="3">
        <v>1</v>
      </c>
      <c r="AC127" s="2">
        <v>175</v>
      </c>
      <c r="AD127" s="3">
        <v>0</v>
      </c>
      <c r="AE127" s="2">
        <v>0</v>
      </c>
      <c r="AF127" s="2">
        <v>175</v>
      </c>
      <c r="AK127">
        <v>6135344</v>
      </c>
    </row>
    <row r="128" spans="1:38" x14ac:dyDescent="0.25">
      <c r="A128" s="1">
        <v>46043</v>
      </c>
      <c r="B128" s="1">
        <v>46043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385</v>
      </c>
      <c r="J128" t="s">
        <v>386</v>
      </c>
      <c r="M128" t="s">
        <v>77</v>
      </c>
      <c r="O128" t="s">
        <v>78</v>
      </c>
      <c r="P128" t="s">
        <v>79</v>
      </c>
      <c r="Q128" t="s">
        <v>49</v>
      </c>
      <c r="R128" t="s">
        <v>237</v>
      </c>
      <c r="S128" s="1">
        <v>46054</v>
      </c>
      <c r="U128" t="s">
        <v>51</v>
      </c>
      <c r="X128" t="s">
        <v>52</v>
      </c>
      <c r="Y128" s="2">
        <v>0</v>
      </c>
      <c r="Z128" s="2">
        <v>318.08</v>
      </c>
      <c r="AA128">
        <v>1</v>
      </c>
      <c r="AB128" s="3">
        <v>1</v>
      </c>
      <c r="AC128" s="2">
        <v>318.08</v>
      </c>
      <c r="AD128" s="3">
        <v>0</v>
      </c>
      <c r="AE128" s="2">
        <v>0</v>
      </c>
      <c r="AF128" s="2">
        <v>318.08</v>
      </c>
      <c r="AK128">
        <v>6135353</v>
      </c>
      <c r="AL128" t="s">
        <v>238</v>
      </c>
    </row>
    <row r="129" spans="1:38" x14ac:dyDescent="0.25">
      <c r="A129" s="1">
        <v>46043</v>
      </c>
      <c r="B129" s="1">
        <v>46043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387</v>
      </c>
      <c r="J129" t="s">
        <v>386</v>
      </c>
      <c r="M129" t="s">
        <v>77</v>
      </c>
      <c r="O129" t="s">
        <v>78</v>
      </c>
      <c r="P129" t="s">
        <v>79</v>
      </c>
      <c r="Q129" t="s">
        <v>49</v>
      </c>
      <c r="R129" t="s">
        <v>240</v>
      </c>
      <c r="S129" s="1">
        <v>46054</v>
      </c>
      <c r="U129" t="s">
        <v>51</v>
      </c>
      <c r="X129" t="s">
        <v>52</v>
      </c>
      <c r="Y129" s="2">
        <v>0</v>
      </c>
      <c r="Z129" s="2">
        <v>66</v>
      </c>
      <c r="AA129">
        <v>1</v>
      </c>
      <c r="AB129" s="3">
        <v>1</v>
      </c>
      <c r="AC129" s="2">
        <v>66</v>
      </c>
      <c r="AD129" s="3">
        <v>0</v>
      </c>
      <c r="AE129" s="2">
        <v>0</v>
      </c>
      <c r="AF129" s="2">
        <v>66</v>
      </c>
      <c r="AK129">
        <v>6135354</v>
      </c>
      <c r="AL129" t="s">
        <v>238</v>
      </c>
    </row>
    <row r="130" spans="1:38" x14ac:dyDescent="0.25">
      <c r="A130" s="1">
        <v>46043</v>
      </c>
      <c r="B130" s="1">
        <v>46043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388</v>
      </c>
      <c r="J130" t="s">
        <v>389</v>
      </c>
      <c r="M130" t="s">
        <v>68</v>
      </c>
      <c r="O130" t="s">
        <v>73</v>
      </c>
      <c r="P130" t="s">
        <v>74</v>
      </c>
      <c r="Q130" t="s">
        <v>49</v>
      </c>
      <c r="R130" t="s">
        <v>237</v>
      </c>
      <c r="S130" s="1">
        <v>46054</v>
      </c>
      <c r="U130" t="s">
        <v>51</v>
      </c>
      <c r="X130" t="s">
        <v>52</v>
      </c>
      <c r="Y130" s="2">
        <v>0</v>
      </c>
      <c r="Z130" s="2">
        <v>318.08</v>
      </c>
      <c r="AA130">
        <v>1</v>
      </c>
      <c r="AB130" s="3">
        <v>1</v>
      </c>
      <c r="AC130" s="2">
        <v>318.08</v>
      </c>
      <c r="AD130" s="3">
        <v>0</v>
      </c>
      <c r="AE130" s="2">
        <v>0</v>
      </c>
      <c r="AF130" s="2">
        <v>318.08</v>
      </c>
      <c r="AK130">
        <v>6135406</v>
      </c>
      <c r="AL130" t="s">
        <v>238</v>
      </c>
    </row>
    <row r="131" spans="1:38" x14ac:dyDescent="0.25">
      <c r="A131" s="1">
        <v>46043</v>
      </c>
      <c r="B131" s="1">
        <v>46043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390</v>
      </c>
      <c r="J131" t="s">
        <v>389</v>
      </c>
      <c r="M131" t="s">
        <v>68</v>
      </c>
      <c r="O131" t="s">
        <v>73</v>
      </c>
      <c r="P131" t="s">
        <v>74</v>
      </c>
      <c r="Q131" t="s">
        <v>49</v>
      </c>
      <c r="R131" t="s">
        <v>240</v>
      </c>
      <c r="S131" s="1">
        <v>46054</v>
      </c>
      <c r="U131" t="s">
        <v>51</v>
      </c>
      <c r="X131" t="s">
        <v>52</v>
      </c>
      <c r="Y131" s="2">
        <v>0</v>
      </c>
      <c r="Z131" s="2">
        <v>66</v>
      </c>
      <c r="AA131">
        <v>1</v>
      </c>
      <c r="AB131" s="3">
        <v>1</v>
      </c>
      <c r="AC131" s="2">
        <v>66</v>
      </c>
      <c r="AD131" s="3">
        <v>0</v>
      </c>
      <c r="AE131" s="2">
        <v>0</v>
      </c>
      <c r="AF131" s="2">
        <v>66</v>
      </c>
      <c r="AK131">
        <v>6135407</v>
      </c>
      <c r="AL131" t="s">
        <v>238</v>
      </c>
    </row>
    <row r="132" spans="1:38" x14ac:dyDescent="0.25">
      <c r="A132" s="1">
        <v>46043</v>
      </c>
      <c r="B132" s="1">
        <v>46043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391</v>
      </c>
      <c r="J132" t="s">
        <v>392</v>
      </c>
      <c r="M132" t="s">
        <v>68</v>
      </c>
      <c r="O132" t="s">
        <v>393</v>
      </c>
      <c r="P132" t="s">
        <v>394</v>
      </c>
      <c r="Q132" t="s">
        <v>49</v>
      </c>
      <c r="R132" t="s">
        <v>354</v>
      </c>
      <c r="S132" s="1">
        <v>45931</v>
      </c>
      <c r="U132" t="s">
        <v>51</v>
      </c>
      <c r="X132" t="s">
        <v>52</v>
      </c>
      <c r="Y132" s="2">
        <v>0</v>
      </c>
      <c r="Z132" s="2">
        <v>626</v>
      </c>
      <c r="AA132">
        <v>1</v>
      </c>
      <c r="AB132" s="3">
        <v>1</v>
      </c>
      <c r="AC132" s="2">
        <v>626</v>
      </c>
      <c r="AD132" s="3">
        <v>0</v>
      </c>
      <c r="AE132" s="2">
        <v>0</v>
      </c>
      <c r="AF132" s="2">
        <v>626</v>
      </c>
      <c r="AK132">
        <v>6135418</v>
      </c>
    </row>
    <row r="133" spans="1:38" x14ac:dyDescent="0.25">
      <c r="A133" s="1">
        <v>46043</v>
      </c>
      <c r="B133" s="1">
        <v>46043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395</v>
      </c>
      <c r="J133" t="s">
        <v>392</v>
      </c>
      <c r="M133" t="s">
        <v>68</v>
      </c>
      <c r="O133" t="s">
        <v>393</v>
      </c>
      <c r="P133" t="s">
        <v>394</v>
      </c>
      <c r="Q133" t="s">
        <v>49</v>
      </c>
      <c r="R133" t="s">
        <v>361</v>
      </c>
      <c r="S133" s="1">
        <v>45931</v>
      </c>
      <c r="U133" t="s">
        <v>51</v>
      </c>
      <c r="X133" t="s">
        <v>52</v>
      </c>
      <c r="Y133" s="2">
        <v>0</v>
      </c>
      <c r="Z133" s="2">
        <v>113</v>
      </c>
      <c r="AA133">
        <v>1</v>
      </c>
      <c r="AB133" s="3">
        <v>1</v>
      </c>
      <c r="AC133" s="2">
        <v>113</v>
      </c>
      <c r="AD133" s="3">
        <v>0</v>
      </c>
      <c r="AE133" s="2">
        <v>0</v>
      </c>
      <c r="AF133" s="2">
        <v>113</v>
      </c>
      <c r="AK133">
        <v>6135419</v>
      </c>
    </row>
    <row r="134" spans="1:38" x14ac:dyDescent="0.25">
      <c r="A134" s="1">
        <v>46043</v>
      </c>
      <c r="B134" s="1">
        <v>46043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396</v>
      </c>
      <c r="J134" t="s">
        <v>397</v>
      </c>
      <c r="M134" t="s">
        <v>46</v>
      </c>
      <c r="O134" t="s">
        <v>358</v>
      </c>
      <c r="P134" t="s">
        <v>359</v>
      </c>
      <c r="Q134" t="s">
        <v>49</v>
      </c>
      <c r="R134" t="s">
        <v>354</v>
      </c>
      <c r="S134" s="1">
        <v>45962</v>
      </c>
      <c r="U134" t="s">
        <v>51</v>
      </c>
      <c r="X134" t="s">
        <v>52</v>
      </c>
      <c r="Y134" s="2">
        <v>0</v>
      </c>
      <c r="Z134" s="2">
        <v>626</v>
      </c>
      <c r="AA134">
        <v>1</v>
      </c>
      <c r="AB134" s="3">
        <v>1</v>
      </c>
      <c r="AC134" s="2">
        <v>626</v>
      </c>
      <c r="AD134" s="3">
        <v>0</v>
      </c>
      <c r="AE134" s="2">
        <v>0</v>
      </c>
      <c r="AF134" s="2">
        <v>626</v>
      </c>
      <c r="AK134">
        <v>6135449</v>
      </c>
    </row>
    <row r="135" spans="1:38" x14ac:dyDescent="0.25">
      <c r="A135" s="1">
        <v>46043</v>
      </c>
      <c r="B135" s="1">
        <v>46043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398</v>
      </c>
      <c r="J135" t="s">
        <v>397</v>
      </c>
      <c r="M135" t="s">
        <v>46</v>
      </c>
      <c r="O135" t="s">
        <v>358</v>
      </c>
      <c r="P135" t="s">
        <v>359</v>
      </c>
      <c r="Q135" t="s">
        <v>49</v>
      </c>
      <c r="R135" t="s">
        <v>361</v>
      </c>
      <c r="S135" s="1">
        <v>45962</v>
      </c>
      <c r="U135" t="s">
        <v>51</v>
      </c>
      <c r="X135" t="s">
        <v>52</v>
      </c>
      <c r="Y135" s="2">
        <v>0</v>
      </c>
      <c r="Z135" s="2">
        <v>113</v>
      </c>
      <c r="AA135">
        <v>1</v>
      </c>
      <c r="AB135" s="3">
        <v>1</v>
      </c>
      <c r="AC135" s="2">
        <v>113</v>
      </c>
      <c r="AD135" s="3">
        <v>0</v>
      </c>
      <c r="AE135" s="2">
        <v>0</v>
      </c>
      <c r="AF135" s="2">
        <v>113</v>
      </c>
      <c r="AK135">
        <v>6135450</v>
      </c>
    </row>
    <row r="136" spans="1:38" x14ac:dyDescent="0.25">
      <c r="A136" s="1">
        <v>46043</v>
      </c>
      <c r="B136" s="1">
        <v>46043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399</v>
      </c>
      <c r="J136" t="s">
        <v>400</v>
      </c>
      <c r="M136" t="s">
        <v>68</v>
      </c>
      <c r="O136" t="s">
        <v>178</v>
      </c>
      <c r="P136" t="s">
        <v>179</v>
      </c>
      <c r="Q136" t="s">
        <v>49</v>
      </c>
      <c r="R136" t="s">
        <v>354</v>
      </c>
      <c r="S136" s="1">
        <v>45931</v>
      </c>
      <c r="U136" t="s">
        <v>51</v>
      </c>
      <c r="X136" t="s">
        <v>52</v>
      </c>
      <c r="Y136" s="2">
        <v>0</v>
      </c>
      <c r="Z136" s="2">
        <v>626</v>
      </c>
      <c r="AA136">
        <v>1</v>
      </c>
      <c r="AB136" s="3">
        <v>1</v>
      </c>
      <c r="AC136" s="2">
        <v>626</v>
      </c>
      <c r="AD136" s="3">
        <v>0</v>
      </c>
      <c r="AE136" s="2">
        <v>0</v>
      </c>
      <c r="AF136" s="2">
        <v>626</v>
      </c>
      <c r="AK136">
        <v>6135454</v>
      </c>
    </row>
    <row r="137" spans="1:38" x14ac:dyDescent="0.25">
      <c r="A137" s="1">
        <v>46043</v>
      </c>
      <c r="B137" s="1">
        <v>46043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401</v>
      </c>
      <c r="J137" t="s">
        <v>400</v>
      </c>
      <c r="M137" t="s">
        <v>68</v>
      </c>
      <c r="O137" t="s">
        <v>178</v>
      </c>
      <c r="P137" t="s">
        <v>179</v>
      </c>
      <c r="Q137" t="s">
        <v>49</v>
      </c>
      <c r="R137" t="s">
        <v>343</v>
      </c>
      <c r="S137" s="1">
        <v>45931</v>
      </c>
      <c r="U137" t="s">
        <v>51</v>
      </c>
      <c r="X137" t="s">
        <v>52</v>
      </c>
      <c r="Y137" s="2">
        <v>0</v>
      </c>
      <c r="Z137" s="2">
        <v>175</v>
      </c>
      <c r="AA137">
        <v>1</v>
      </c>
      <c r="AB137" s="3">
        <v>1</v>
      </c>
      <c r="AC137" s="2">
        <v>175</v>
      </c>
      <c r="AD137" s="3">
        <v>0</v>
      </c>
      <c r="AE137" s="2">
        <v>0</v>
      </c>
      <c r="AF137" s="2">
        <v>175</v>
      </c>
      <c r="AK137">
        <v>6135455</v>
      </c>
    </row>
    <row r="138" spans="1:38" x14ac:dyDescent="0.25">
      <c r="A138" s="1">
        <v>46043</v>
      </c>
      <c r="B138" s="1">
        <v>46043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402</v>
      </c>
      <c r="J138" t="s">
        <v>403</v>
      </c>
      <c r="M138" t="s">
        <v>77</v>
      </c>
      <c r="O138" t="s">
        <v>404</v>
      </c>
      <c r="P138" t="s">
        <v>405</v>
      </c>
      <c r="Q138" t="s">
        <v>49</v>
      </c>
      <c r="R138" t="s">
        <v>237</v>
      </c>
      <c r="S138" s="1">
        <v>46054</v>
      </c>
      <c r="U138" t="s">
        <v>51</v>
      </c>
      <c r="X138" t="s">
        <v>52</v>
      </c>
      <c r="Y138" s="2">
        <v>0</v>
      </c>
      <c r="Z138" s="2">
        <v>318.08</v>
      </c>
      <c r="AA138">
        <v>1</v>
      </c>
      <c r="AB138" s="3">
        <v>1</v>
      </c>
      <c r="AC138" s="2">
        <v>318.08</v>
      </c>
      <c r="AD138" s="3">
        <v>0</v>
      </c>
      <c r="AE138" s="2">
        <v>0</v>
      </c>
      <c r="AF138" s="2">
        <v>318.08</v>
      </c>
      <c r="AK138">
        <v>6135474</v>
      </c>
      <c r="AL138" t="s">
        <v>238</v>
      </c>
    </row>
    <row r="139" spans="1:38" x14ac:dyDescent="0.25">
      <c r="A139" s="1">
        <v>46043</v>
      </c>
      <c r="B139" s="1">
        <v>46043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406</v>
      </c>
      <c r="J139" t="s">
        <v>403</v>
      </c>
      <c r="M139" t="s">
        <v>77</v>
      </c>
      <c r="O139" t="s">
        <v>404</v>
      </c>
      <c r="P139" t="s">
        <v>405</v>
      </c>
      <c r="Q139" t="s">
        <v>49</v>
      </c>
      <c r="R139" t="s">
        <v>343</v>
      </c>
      <c r="S139" s="1">
        <v>46054</v>
      </c>
      <c r="U139" t="s">
        <v>51</v>
      </c>
      <c r="X139" t="s">
        <v>52</v>
      </c>
      <c r="Y139" s="2">
        <v>0</v>
      </c>
      <c r="Z139" s="2">
        <v>175</v>
      </c>
      <c r="AA139">
        <v>1</v>
      </c>
      <c r="AB139" s="3">
        <v>1</v>
      </c>
      <c r="AC139" s="2">
        <v>175</v>
      </c>
      <c r="AD139" s="3">
        <v>0</v>
      </c>
      <c r="AE139" s="2">
        <v>0</v>
      </c>
      <c r="AF139" s="2">
        <v>175</v>
      </c>
      <c r="AK139">
        <v>6135475</v>
      </c>
    </row>
    <row r="140" spans="1:38" x14ac:dyDescent="0.25">
      <c r="A140" s="1">
        <v>46043</v>
      </c>
      <c r="B140" s="1">
        <v>46043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407</v>
      </c>
      <c r="J140" t="s">
        <v>408</v>
      </c>
      <c r="M140" t="s">
        <v>214</v>
      </c>
      <c r="O140" t="s">
        <v>178</v>
      </c>
      <c r="P140" t="s">
        <v>179</v>
      </c>
      <c r="Q140" t="s">
        <v>49</v>
      </c>
      <c r="R140" t="s">
        <v>237</v>
      </c>
      <c r="S140" s="1">
        <v>46054</v>
      </c>
      <c r="U140" t="s">
        <v>51</v>
      </c>
      <c r="X140" t="s">
        <v>52</v>
      </c>
      <c r="Y140" s="2">
        <v>0</v>
      </c>
      <c r="Z140" s="2">
        <v>318.08</v>
      </c>
      <c r="AA140">
        <v>1</v>
      </c>
      <c r="AB140" s="3">
        <v>1</v>
      </c>
      <c r="AC140" s="2">
        <v>318.08</v>
      </c>
      <c r="AD140" s="3">
        <v>0</v>
      </c>
      <c r="AE140" s="2">
        <v>0</v>
      </c>
      <c r="AF140" s="2">
        <v>318.08</v>
      </c>
      <c r="AK140">
        <v>6135495</v>
      </c>
      <c r="AL140" t="s">
        <v>238</v>
      </c>
    </row>
    <row r="141" spans="1:38" x14ac:dyDescent="0.25">
      <c r="A141" s="1">
        <v>46043</v>
      </c>
      <c r="B141" s="1">
        <v>46043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409</v>
      </c>
      <c r="J141" t="s">
        <v>408</v>
      </c>
      <c r="M141" t="s">
        <v>214</v>
      </c>
      <c r="O141" t="s">
        <v>178</v>
      </c>
      <c r="P141" t="s">
        <v>179</v>
      </c>
      <c r="Q141" t="s">
        <v>49</v>
      </c>
      <c r="R141" t="s">
        <v>343</v>
      </c>
      <c r="S141" s="1">
        <v>46054</v>
      </c>
      <c r="U141" t="s">
        <v>51</v>
      </c>
      <c r="X141" t="s">
        <v>52</v>
      </c>
      <c r="Y141" s="2">
        <v>0</v>
      </c>
      <c r="Z141" s="2">
        <v>175</v>
      </c>
      <c r="AA141">
        <v>1</v>
      </c>
      <c r="AB141" s="3">
        <v>1</v>
      </c>
      <c r="AC141" s="2">
        <v>175</v>
      </c>
      <c r="AD141" s="3">
        <v>0</v>
      </c>
      <c r="AE141" s="2">
        <v>0</v>
      </c>
      <c r="AF141" s="2">
        <v>175</v>
      </c>
      <c r="AK141">
        <v>6135496</v>
      </c>
    </row>
    <row r="142" spans="1:38" x14ac:dyDescent="0.25">
      <c r="A142" s="1">
        <v>46043</v>
      </c>
      <c r="B142" s="1">
        <v>46043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410</v>
      </c>
      <c r="J142" t="s">
        <v>411</v>
      </c>
      <c r="M142" t="s">
        <v>412</v>
      </c>
      <c r="O142" t="s">
        <v>221</v>
      </c>
      <c r="P142" t="s">
        <v>222</v>
      </c>
      <c r="Q142" t="s">
        <v>49</v>
      </c>
      <c r="R142" t="s">
        <v>413</v>
      </c>
      <c r="S142" s="1">
        <v>46054</v>
      </c>
      <c r="U142" t="s">
        <v>51</v>
      </c>
      <c r="X142" t="s">
        <v>52</v>
      </c>
      <c r="Y142" s="2">
        <v>0</v>
      </c>
      <c r="Z142" s="2">
        <v>186.08</v>
      </c>
      <c r="AA142">
        <v>1</v>
      </c>
      <c r="AB142" s="3">
        <v>1</v>
      </c>
      <c r="AC142" s="2">
        <v>186.08</v>
      </c>
      <c r="AD142" s="3">
        <v>0</v>
      </c>
      <c r="AE142" s="2">
        <v>0</v>
      </c>
      <c r="AF142" s="2">
        <v>186.08</v>
      </c>
      <c r="AK142">
        <v>6135568</v>
      </c>
      <c r="AL142" t="s">
        <v>238</v>
      </c>
    </row>
    <row r="143" spans="1:38" x14ac:dyDescent="0.25">
      <c r="A143" s="1">
        <v>46043</v>
      </c>
      <c r="B143" s="1">
        <v>46043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414</v>
      </c>
      <c r="J143" t="s">
        <v>411</v>
      </c>
      <c r="M143" t="s">
        <v>412</v>
      </c>
      <c r="O143" t="s">
        <v>221</v>
      </c>
      <c r="P143" t="s">
        <v>222</v>
      </c>
      <c r="Q143" t="s">
        <v>49</v>
      </c>
      <c r="R143" t="s">
        <v>415</v>
      </c>
      <c r="S143" s="1">
        <v>46054</v>
      </c>
      <c r="U143" t="s">
        <v>51</v>
      </c>
      <c r="X143" t="s">
        <v>52</v>
      </c>
      <c r="Y143" s="2">
        <v>0</v>
      </c>
      <c r="Z143" s="2">
        <v>45.83</v>
      </c>
      <c r="AA143">
        <v>1</v>
      </c>
      <c r="AB143" s="3">
        <v>1</v>
      </c>
      <c r="AC143" s="2">
        <v>45.83</v>
      </c>
      <c r="AD143" s="3">
        <v>0</v>
      </c>
      <c r="AE143" s="2">
        <v>0</v>
      </c>
      <c r="AF143" s="2">
        <v>45.83</v>
      </c>
      <c r="AK143">
        <v>6135569</v>
      </c>
      <c r="AL143" t="s">
        <v>238</v>
      </c>
    </row>
    <row r="144" spans="1:38" s="5" customFormat="1" x14ac:dyDescent="0.25">
      <c r="A144" s="4">
        <v>46043</v>
      </c>
      <c r="B144" s="4">
        <v>46043</v>
      </c>
      <c r="C144" s="5" t="s">
        <v>38</v>
      </c>
      <c r="D144" s="5" t="s">
        <v>39</v>
      </c>
      <c r="E144" s="5" t="s">
        <v>40</v>
      </c>
      <c r="F144" s="5" t="s">
        <v>41</v>
      </c>
      <c r="G144" s="5" t="s">
        <v>42</v>
      </c>
      <c r="H144" s="5" t="s">
        <v>43</v>
      </c>
      <c r="I144" s="5" t="s">
        <v>416</v>
      </c>
      <c r="J144" s="5" t="s">
        <v>417</v>
      </c>
      <c r="M144" s="5" t="s">
        <v>271</v>
      </c>
      <c r="O144" s="5" t="s">
        <v>418</v>
      </c>
      <c r="P144" s="5" t="s">
        <v>419</v>
      </c>
      <c r="Q144" s="5" t="s">
        <v>49</v>
      </c>
      <c r="R144" s="5" t="s">
        <v>420</v>
      </c>
      <c r="S144" s="4">
        <v>46023</v>
      </c>
      <c r="U144" s="5" t="s">
        <v>51</v>
      </c>
      <c r="X144" s="5" t="s">
        <v>52</v>
      </c>
      <c r="Y144" s="6">
        <v>0</v>
      </c>
      <c r="Z144" s="6">
        <v>1.8</v>
      </c>
      <c r="AA144" s="5">
        <v>9</v>
      </c>
      <c r="AB144" s="7">
        <v>1</v>
      </c>
      <c r="AC144" s="6">
        <v>16.2</v>
      </c>
      <c r="AD144" s="7">
        <v>0</v>
      </c>
      <c r="AE144" s="6">
        <v>0</v>
      </c>
      <c r="AF144" s="6">
        <v>16.2</v>
      </c>
      <c r="AK144" s="5">
        <v>6134939</v>
      </c>
    </row>
    <row r="145" spans="1:37" s="5" customFormat="1" x14ac:dyDescent="0.25">
      <c r="A145" s="4">
        <v>46043</v>
      </c>
      <c r="B145" s="4">
        <v>46043</v>
      </c>
      <c r="C145" s="5" t="s">
        <v>38</v>
      </c>
      <c r="D145" s="5" t="s">
        <v>39</v>
      </c>
      <c r="E145" s="5" t="s">
        <v>40</v>
      </c>
      <c r="F145" s="5" t="s">
        <v>41</v>
      </c>
      <c r="G145" s="5" t="s">
        <v>42</v>
      </c>
      <c r="H145" s="5" t="s">
        <v>43</v>
      </c>
      <c r="I145" s="5" t="s">
        <v>421</v>
      </c>
      <c r="J145" s="5" t="s">
        <v>422</v>
      </c>
      <c r="M145" s="5" t="s">
        <v>68</v>
      </c>
      <c r="O145" s="5" t="s">
        <v>184</v>
      </c>
      <c r="P145" s="5" t="s">
        <v>185</v>
      </c>
      <c r="Q145" s="5" t="s">
        <v>49</v>
      </c>
      <c r="R145" s="5" t="s">
        <v>423</v>
      </c>
      <c r="S145" s="4">
        <v>46054</v>
      </c>
      <c r="U145" s="5" t="s">
        <v>51</v>
      </c>
      <c r="X145" s="5" t="s">
        <v>52</v>
      </c>
      <c r="Y145" s="6">
        <v>0</v>
      </c>
      <c r="Z145" s="6">
        <v>31.5</v>
      </c>
      <c r="AA145" s="5">
        <v>9</v>
      </c>
      <c r="AB145" s="7">
        <v>1</v>
      </c>
      <c r="AC145" s="6">
        <v>283.5</v>
      </c>
      <c r="AD145" s="7">
        <v>0</v>
      </c>
      <c r="AE145" s="6">
        <v>0</v>
      </c>
      <c r="AF145" s="6">
        <v>283.5</v>
      </c>
      <c r="AK145" s="5">
        <v>6134940</v>
      </c>
    </row>
    <row r="146" spans="1:37" x14ac:dyDescent="0.25">
      <c r="A146" s="1">
        <v>46043</v>
      </c>
      <c r="B146" s="1">
        <v>46043</v>
      </c>
      <c r="C146" t="s">
        <v>424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425</v>
      </c>
      <c r="J146" t="s">
        <v>426</v>
      </c>
      <c r="M146" t="s">
        <v>68</v>
      </c>
      <c r="O146" t="s">
        <v>427</v>
      </c>
      <c r="P146" t="s">
        <v>428</v>
      </c>
      <c r="Q146" t="s">
        <v>429</v>
      </c>
      <c r="R146" t="s">
        <v>65</v>
      </c>
      <c r="S146" s="1">
        <v>46023</v>
      </c>
      <c r="U146" t="s">
        <v>51</v>
      </c>
      <c r="X146" t="s">
        <v>52</v>
      </c>
      <c r="AF146" s="2">
        <v>108</v>
      </c>
      <c r="AG146" s="2">
        <v>0</v>
      </c>
      <c r="AJ146" s="2">
        <v>108</v>
      </c>
    </row>
    <row r="147" spans="1:37" x14ac:dyDescent="0.25">
      <c r="A147" s="1">
        <v>46043</v>
      </c>
      <c r="B147" s="1">
        <v>46043</v>
      </c>
      <c r="C147" t="s">
        <v>424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430</v>
      </c>
      <c r="J147" t="s">
        <v>87</v>
      </c>
      <c r="M147" t="s">
        <v>88</v>
      </c>
      <c r="O147" t="s">
        <v>89</v>
      </c>
      <c r="P147" t="s">
        <v>90</v>
      </c>
      <c r="Q147" t="s">
        <v>429</v>
      </c>
      <c r="R147" t="s">
        <v>50</v>
      </c>
      <c r="S147" s="1">
        <v>46023</v>
      </c>
      <c r="U147" t="s">
        <v>51</v>
      </c>
      <c r="X147" t="s">
        <v>52</v>
      </c>
      <c r="AF147" s="2">
        <v>175</v>
      </c>
      <c r="AG147" s="2">
        <v>0</v>
      </c>
      <c r="AJ147" s="2">
        <v>161</v>
      </c>
    </row>
    <row r="148" spans="1:37" x14ac:dyDescent="0.25">
      <c r="A148" s="1">
        <v>46043</v>
      </c>
      <c r="B148" s="1">
        <v>46043</v>
      </c>
      <c r="C148" t="s">
        <v>424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431</v>
      </c>
      <c r="J148" t="s">
        <v>432</v>
      </c>
      <c r="M148" t="s">
        <v>68</v>
      </c>
      <c r="O148" t="s">
        <v>324</v>
      </c>
      <c r="P148" t="s">
        <v>325</v>
      </c>
      <c r="Q148" t="s">
        <v>429</v>
      </c>
      <c r="R148" t="s">
        <v>50</v>
      </c>
      <c r="S148" s="1">
        <v>46023</v>
      </c>
      <c r="U148" t="s">
        <v>51</v>
      </c>
      <c r="X148" t="s">
        <v>52</v>
      </c>
      <c r="AF148" s="2">
        <v>175</v>
      </c>
      <c r="AG148" s="2">
        <v>0</v>
      </c>
      <c r="AJ148" s="2">
        <v>161</v>
      </c>
    </row>
    <row r="149" spans="1:37" x14ac:dyDescent="0.25">
      <c r="A149" s="1">
        <v>46043</v>
      </c>
      <c r="B149" s="1">
        <v>46043</v>
      </c>
      <c r="C149" t="s">
        <v>424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433</v>
      </c>
      <c r="J149" t="s">
        <v>434</v>
      </c>
      <c r="M149" t="s">
        <v>68</v>
      </c>
      <c r="O149" t="s">
        <v>324</v>
      </c>
      <c r="P149" t="s">
        <v>325</v>
      </c>
      <c r="Q149" t="s">
        <v>429</v>
      </c>
      <c r="R149" t="s">
        <v>50</v>
      </c>
      <c r="S149" s="1">
        <v>46023</v>
      </c>
      <c r="U149" t="s">
        <v>51</v>
      </c>
      <c r="X149" t="s">
        <v>52</v>
      </c>
      <c r="AF149" s="2">
        <v>175</v>
      </c>
      <c r="AG149" s="2">
        <v>0</v>
      </c>
      <c r="AJ149" s="2">
        <v>161</v>
      </c>
    </row>
    <row r="150" spans="1:37" x14ac:dyDescent="0.25">
      <c r="A150" s="1">
        <v>46043</v>
      </c>
      <c r="B150" s="1">
        <v>46043</v>
      </c>
      <c r="C150" t="s">
        <v>424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435</v>
      </c>
      <c r="J150" t="s">
        <v>436</v>
      </c>
      <c r="M150" t="s">
        <v>437</v>
      </c>
      <c r="O150" t="s">
        <v>438</v>
      </c>
      <c r="P150" t="s">
        <v>439</v>
      </c>
      <c r="Q150" t="s">
        <v>429</v>
      </c>
      <c r="R150" t="s">
        <v>65</v>
      </c>
      <c r="S150" s="1">
        <v>46023</v>
      </c>
      <c r="U150" t="s">
        <v>51</v>
      </c>
      <c r="X150" t="s">
        <v>52</v>
      </c>
      <c r="AF150" s="2">
        <v>108</v>
      </c>
      <c r="AG150" s="2">
        <v>0</v>
      </c>
      <c r="AJ150" s="2">
        <v>99.36</v>
      </c>
    </row>
    <row r="151" spans="1:37" x14ac:dyDescent="0.25">
      <c r="A151" s="1">
        <v>46043</v>
      </c>
      <c r="B151" s="1">
        <v>46043</v>
      </c>
      <c r="C151" t="s">
        <v>424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440</v>
      </c>
      <c r="J151" t="s">
        <v>441</v>
      </c>
      <c r="M151" t="s">
        <v>68</v>
      </c>
      <c r="O151" t="s">
        <v>367</v>
      </c>
      <c r="P151" t="s">
        <v>368</v>
      </c>
      <c r="Q151" t="s">
        <v>429</v>
      </c>
      <c r="R151" t="s">
        <v>65</v>
      </c>
      <c r="S151" s="1">
        <v>46023</v>
      </c>
      <c r="U151" t="s">
        <v>51</v>
      </c>
      <c r="X151" t="s">
        <v>52</v>
      </c>
      <c r="AF151" s="2">
        <v>108</v>
      </c>
      <c r="AG151" s="2">
        <v>0</v>
      </c>
      <c r="AJ151" s="2">
        <v>108</v>
      </c>
    </row>
    <row r="152" spans="1:37" x14ac:dyDescent="0.25">
      <c r="A152" s="1">
        <v>46043</v>
      </c>
      <c r="B152" s="1">
        <v>46043</v>
      </c>
      <c r="C152" t="s">
        <v>424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442</v>
      </c>
      <c r="J152" t="s">
        <v>129</v>
      </c>
      <c r="M152" t="s">
        <v>68</v>
      </c>
      <c r="O152" t="s">
        <v>130</v>
      </c>
      <c r="P152" t="s">
        <v>131</v>
      </c>
      <c r="Q152" t="s">
        <v>429</v>
      </c>
      <c r="R152" t="s">
        <v>50</v>
      </c>
      <c r="S152" s="1">
        <v>46023</v>
      </c>
      <c r="U152" t="s">
        <v>51</v>
      </c>
      <c r="X152" t="s">
        <v>52</v>
      </c>
      <c r="AF152" s="2">
        <v>175</v>
      </c>
      <c r="AG152" s="2">
        <v>0</v>
      </c>
      <c r="AJ152" s="2">
        <v>161</v>
      </c>
    </row>
    <row r="153" spans="1:37" x14ac:dyDescent="0.25">
      <c r="A153" s="1">
        <v>46043</v>
      </c>
      <c r="B153" s="1">
        <v>46043</v>
      </c>
      <c r="C153" t="s">
        <v>424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443</v>
      </c>
      <c r="J153" t="s">
        <v>133</v>
      </c>
      <c r="M153" t="s">
        <v>68</v>
      </c>
      <c r="O153" t="s">
        <v>73</v>
      </c>
      <c r="P153" t="s">
        <v>74</v>
      </c>
      <c r="Q153" t="s">
        <v>429</v>
      </c>
      <c r="R153" t="s">
        <v>50</v>
      </c>
      <c r="S153" s="1">
        <v>46023</v>
      </c>
      <c r="U153" t="s">
        <v>51</v>
      </c>
      <c r="X153" t="s">
        <v>52</v>
      </c>
      <c r="AF153" s="2">
        <v>175</v>
      </c>
      <c r="AG153" s="2">
        <v>0</v>
      </c>
      <c r="AJ153" s="2">
        <v>161</v>
      </c>
    </row>
    <row r="154" spans="1:37" x14ac:dyDescent="0.25">
      <c r="A154" s="1">
        <v>46043</v>
      </c>
      <c r="B154" s="1">
        <v>46043</v>
      </c>
      <c r="C154" t="s">
        <v>424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444</v>
      </c>
      <c r="J154" t="s">
        <v>445</v>
      </c>
      <c r="M154" t="s">
        <v>68</v>
      </c>
      <c r="O154" t="s">
        <v>116</v>
      </c>
      <c r="P154" t="s">
        <v>117</v>
      </c>
      <c r="Q154" t="s">
        <v>429</v>
      </c>
      <c r="R154" t="s">
        <v>50</v>
      </c>
      <c r="S154" s="1">
        <v>46023</v>
      </c>
      <c r="U154" t="s">
        <v>51</v>
      </c>
      <c r="X154" t="s">
        <v>52</v>
      </c>
      <c r="AF154" s="2">
        <v>175</v>
      </c>
      <c r="AG154" s="2">
        <v>0</v>
      </c>
      <c r="AJ154" s="2">
        <v>175</v>
      </c>
    </row>
    <row r="155" spans="1:37" x14ac:dyDescent="0.25">
      <c r="A155" s="1">
        <v>46043</v>
      </c>
      <c r="B155" s="1">
        <v>46043</v>
      </c>
      <c r="C155" t="s">
        <v>424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446</v>
      </c>
      <c r="J155" t="s">
        <v>447</v>
      </c>
      <c r="M155" t="s">
        <v>68</v>
      </c>
      <c r="O155" t="s">
        <v>427</v>
      </c>
      <c r="P155" t="s">
        <v>428</v>
      </c>
      <c r="Q155" t="s">
        <v>429</v>
      </c>
      <c r="R155" t="s">
        <v>50</v>
      </c>
      <c r="S155" s="1">
        <v>46023</v>
      </c>
      <c r="U155" t="s">
        <v>51</v>
      </c>
      <c r="X155" t="s">
        <v>52</v>
      </c>
      <c r="AF155" s="2">
        <v>175</v>
      </c>
      <c r="AG155" s="2">
        <v>0</v>
      </c>
      <c r="AJ155" s="2">
        <v>175</v>
      </c>
    </row>
    <row r="156" spans="1:37" x14ac:dyDescent="0.25">
      <c r="A156" s="1">
        <v>46043</v>
      </c>
      <c r="B156" s="1">
        <v>46043</v>
      </c>
      <c r="C156" t="s">
        <v>424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448</v>
      </c>
      <c r="J156" t="s">
        <v>449</v>
      </c>
      <c r="M156" t="s">
        <v>152</v>
      </c>
      <c r="O156" t="s">
        <v>153</v>
      </c>
      <c r="P156" t="s">
        <v>154</v>
      </c>
      <c r="Q156" t="s">
        <v>429</v>
      </c>
      <c r="R156" t="s">
        <v>50</v>
      </c>
      <c r="S156" s="1">
        <v>46023</v>
      </c>
      <c r="U156" t="s">
        <v>51</v>
      </c>
      <c r="X156" t="s">
        <v>52</v>
      </c>
      <c r="AF156" s="2">
        <v>175</v>
      </c>
      <c r="AG156" s="2">
        <v>0</v>
      </c>
      <c r="AJ156" s="2">
        <v>161</v>
      </c>
    </row>
    <row r="157" spans="1:37" x14ac:dyDescent="0.25">
      <c r="A157" s="1">
        <v>46043</v>
      </c>
      <c r="B157" s="1">
        <v>46043</v>
      </c>
      <c r="C157" t="s">
        <v>424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450</v>
      </c>
      <c r="J157" t="s">
        <v>451</v>
      </c>
      <c r="M157" t="s">
        <v>452</v>
      </c>
      <c r="O157" t="s">
        <v>73</v>
      </c>
      <c r="P157" t="s">
        <v>74</v>
      </c>
      <c r="Q157" t="s">
        <v>429</v>
      </c>
      <c r="R157" t="s">
        <v>50</v>
      </c>
      <c r="S157" s="1">
        <v>46023</v>
      </c>
      <c r="U157" t="s">
        <v>51</v>
      </c>
      <c r="X157" t="s">
        <v>52</v>
      </c>
      <c r="AF157" s="2">
        <v>175</v>
      </c>
      <c r="AG157" s="2">
        <v>0</v>
      </c>
      <c r="AJ157" s="2">
        <v>161</v>
      </c>
    </row>
    <row r="158" spans="1:37" x14ac:dyDescent="0.25">
      <c r="A158" s="1">
        <v>46043</v>
      </c>
      <c r="B158" s="1">
        <v>46043</v>
      </c>
      <c r="C158" t="s">
        <v>424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453</v>
      </c>
      <c r="J158" t="s">
        <v>454</v>
      </c>
      <c r="M158" t="s">
        <v>68</v>
      </c>
      <c r="O158" t="s">
        <v>122</v>
      </c>
      <c r="P158" t="s">
        <v>123</v>
      </c>
      <c r="Q158" t="s">
        <v>429</v>
      </c>
      <c r="R158" t="s">
        <v>50</v>
      </c>
      <c r="S158" s="1">
        <v>46023</v>
      </c>
      <c r="U158" t="s">
        <v>51</v>
      </c>
      <c r="X158" t="s">
        <v>52</v>
      </c>
      <c r="AF158" s="2">
        <v>175</v>
      </c>
      <c r="AG158" s="2">
        <v>0</v>
      </c>
      <c r="AJ158" s="2">
        <v>175</v>
      </c>
    </row>
    <row r="159" spans="1:37" x14ac:dyDescent="0.25">
      <c r="A159" s="1">
        <v>46043</v>
      </c>
      <c r="B159" s="1">
        <v>46043</v>
      </c>
      <c r="C159" t="s">
        <v>424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455</v>
      </c>
      <c r="J159" t="s">
        <v>456</v>
      </c>
      <c r="M159" t="s">
        <v>68</v>
      </c>
      <c r="O159" t="s">
        <v>393</v>
      </c>
      <c r="P159" t="s">
        <v>394</v>
      </c>
      <c r="Q159" t="s">
        <v>429</v>
      </c>
      <c r="R159" t="s">
        <v>50</v>
      </c>
      <c r="S159" s="1">
        <v>46023</v>
      </c>
      <c r="U159" t="s">
        <v>51</v>
      </c>
      <c r="X159" t="s">
        <v>52</v>
      </c>
      <c r="AF159" s="2">
        <v>175</v>
      </c>
      <c r="AG159" s="2">
        <v>0</v>
      </c>
      <c r="AJ159" s="2">
        <v>161</v>
      </c>
    </row>
    <row r="160" spans="1:37" x14ac:dyDescent="0.25">
      <c r="A160" s="1">
        <v>46043</v>
      </c>
      <c r="B160" s="1">
        <v>46043</v>
      </c>
      <c r="C160" t="s">
        <v>424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457</v>
      </c>
      <c r="J160" t="s">
        <v>458</v>
      </c>
      <c r="M160" t="s">
        <v>68</v>
      </c>
      <c r="O160" t="s">
        <v>259</v>
      </c>
      <c r="P160" t="s">
        <v>260</v>
      </c>
      <c r="Q160" t="s">
        <v>429</v>
      </c>
      <c r="R160" t="s">
        <v>50</v>
      </c>
      <c r="S160" s="1">
        <v>46023</v>
      </c>
      <c r="U160" t="s">
        <v>51</v>
      </c>
      <c r="X160" t="s">
        <v>52</v>
      </c>
      <c r="AF160" s="2">
        <v>175</v>
      </c>
      <c r="AG160" s="2">
        <v>0</v>
      </c>
      <c r="AJ160" s="2">
        <v>161</v>
      </c>
    </row>
    <row r="161" spans="1:36" x14ac:dyDescent="0.25">
      <c r="A161" s="1">
        <v>46043</v>
      </c>
      <c r="B161" s="1">
        <v>46043</v>
      </c>
      <c r="C161" t="s">
        <v>424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459</v>
      </c>
      <c r="J161" t="s">
        <v>460</v>
      </c>
      <c r="M161" t="s">
        <v>152</v>
      </c>
      <c r="O161" t="s">
        <v>148</v>
      </c>
      <c r="P161" t="s">
        <v>149</v>
      </c>
      <c r="Q161" t="s">
        <v>429</v>
      </c>
      <c r="R161" t="s">
        <v>50</v>
      </c>
      <c r="S161" s="1">
        <v>46023</v>
      </c>
      <c r="U161" t="s">
        <v>51</v>
      </c>
      <c r="X161" t="s">
        <v>52</v>
      </c>
      <c r="AF161" s="2">
        <v>175</v>
      </c>
      <c r="AG161" s="2">
        <v>0</v>
      </c>
      <c r="AJ161" s="2">
        <v>161</v>
      </c>
    </row>
    <row r="162" spans="1:36" x14ac:dyDescent="0.25">
      <c r="A162" s="1">
        <v>46043</v>
      </c>
      <c r="B162" s="1">
        <v>46043</v>
      </c>
      <c r="C162" t="s">
        <v>424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461</v>
      </c>
      <c r="J162" t="s">
        <v>462</v>
      </c>
      <c r="M162" t="s">
        <v>68</v>
      </c>
      <c r="O162" t="s">
        <v>324</v>
      </c>
      <c r="P162" t="s">
        <v>325</v>
      </c>
      <c r="Q162" t="s">
        <v>429</v>
      </c>
      <c r="R162" t="s">
        <v>50</v>
      </c>
      <c r="S162" s="1">
        <v>46023</v>
      </c>
      <c r="U162" t="s">
        <v>51</v>
      </c>
      <c r="X162" t="s">
        <v>52</v>
      </c>
      <c r="AF162" s="2">
        <v>175</v>
      </c>
      <c r="AG162" s="2">
        <v>0</v>
      </c>
      <c r="AJ162" s="2">
        <v>161</v>
      </c>
    </row>
    <row r="163" spans="1:36" x14ac:dyDescent="0.25">
      <c r="A163" s="1">
        <v>46043</v>
      </c>
      <c r="B163" s="1">
        <v>46043</v>
      </c>
      <c r="C163" t="s">
        <v>424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463</v>
      </c>
      <c r="J163" t="s">
        <v>464</v>
      </c>
      <c r="M163" t="s">
        <v>311</v>
      </c>
      <c r="O163" t="s">
        <v>73</v>
      </c>
      <c r="P163" t="s">
        <v>74</v>
      </c>
      <c r="Q163" t="s">
        <v>429</v>
      </c>
      <c r="R163" t="s">
        <v>247</v>
      </c>
      <c r="S163" s="1">
        <v>45992</v>
      </c>
      <c r="U163" t="s">
        <v>51</v>
      </c>
      <c r="X163" t="s">
        <v>52</v>
      </c>
      <c r="AF163" s="2">
        <v>26.08</v>
      </c>
      <c r="AG163" s="2">
        <v>0</v>
      </c>
      <c r="AJ163" s="2">
        <v>26.08</v>
      </c>
    </row>
    <row r="164" spans="1:36" x14ac:dyDescent="0.25">
      <c r="A164" s="1">
        <v>46043</v>
      </c>
      <c r="B164" s="1">
        <v>46043</v>
      </c>
      <c r="C164" t="s">
        <v>424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465</v>
      </c>
      <c r="J164" t="s">
        <v>464</v>
      </c>
      <c r="M164" t="s">
        <v>311</v>
      </c>
      <c r="O164" t="s">
        <v>73</v>
      </c>
      <c r="P164" t="s">
        <v>74</v>
      </c>
      <c r="Q164" t="s">
        <v>429</v>
      </c>
      <c r="R164" t="s">
        <v>415</v>
      </c>
      <c r="S164" s="1">
        <v>45992</v>
      </c>
      <c r="U164" t="s">
        <v>51</v>
      </c>
      <c r="X164" t="s">
        <v>52</v>
      </c>
      <c r="AF164" s="2">
        <v>4.17</v>
      </c>
      <c r="AG164" s="2">
        <v>0</v>
      </c>
      <c r="AJ164" s="2">
        <v>4.17</v>
      </c>
    </row>
    <row r="165" spans="1:36" x14ac:dyDescent="0.25">
      <c r="A165" s="1">
        <v>46043</v>
      </c>
      <c r="B165" s="1">
        <v>46043</v>
      </c>
      <c r="C165" t="s">
        <v>424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466</v>
      </c>
      <c r="J165" t="s">
        <v>467</v>
      </c>
      <c r="M165" t="s">
        <v>159</v>
      </c>
      <c r="O165" t="s">
        <v>235</v>
      </c>
      <c r="P165" t="s">
        <v>236</v>
      </c>
      <c r="Q165" t="s">
        <v>429</v>
      </c>
      <c r="R165" t="s">
        <v>240</v>
      </c>
      <c r="S165" s="1">
        <v>46023</v>
      </c>
      <c r="U165" t="s">
        <v>51</v>
      </c>
      <c r="X165" t="s">
        <v>52</v>
      </c>
      <c r="AF165" s="2">
        <v>72</v>
      </c>
      <c r="AG165" s="2">
        <v>0</v>
      </c>
      <c r="AJ165" s="2">
        <v>66</v>
      </c>
    </row>
    <row r="166" spans="1:36" x14ac:dyDescent="0.25">
      <c r="A166" s="1">
        <v>46043</v>
      </c>
      <c r="B166" s="1">
        <v>46043</v>
      </c>
      <c r="C166" t="s">
        <v>424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468</v>
      </c>
      <c r="J166" t="s">
        <v>467</v>
      </c>
      <c r="M166" t="s">
        <v>159</v>
      </c>
      <c r="O166" t="s">
        <v>235</v>
      </c>
      <c r="P166" t="s">
        <v>236</v>
      </c>
      <c r="Q166" t="s">
        <v>429</v>
      </c>
      <c r="R166" t="s">
        <v>237</v>
      </c>
      <c r="S166" s="1">
        <v>46023</v>
      </c>
      <c r="U166" t="s">
        <v>51</v>
      </c>
      <c r="X166" t="s">
        <v>52</v>
      </c>
      <c r="AF166" s="2">
        <v>347</v>
      </c>
      <c r="AG166" s="2">
        <v>0</v>
      </c>
      <c r="AJ166" s="2">
        <v>318.08</v>
      </c>
    </row>
    <row r="167" spans="1:36" x14ac:dyDescent="0.25">
      <c r="A167" s="1">
        <v>46043</v>
      </c>
      <c r="B167" s="1">
        <v>46043</v>
      </c>
      <c r="C167" t="s">
        <v>424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469</v>
      </c>
      <c r="J167" t="s">
        <v>251</v>
      </c>
      <c r="M167" t="s">
        <v>77</v>
      </c>
      <c r="O167" t="s">
        <v>252</v>
      </c>
      <c r="P167" t="s">
        <v>253</v>
      </c>
      <c r="Q167" t="s">
        <v>429</v>
      </c>
      <c r="R167" t="s">
        <v>240</v>
      </c>
      <c r="S167" s="1">
        <v>46023</v>
      </c>
      <c r="U167" t="s">
        <v>51</v>
      </c>
      <c r="X167" t="s">
        <v>52</v>
      </c>
      <c r="AF167" s="2">
        <v>72</v>
      </c>
      <c r="AG167" s="2">
        <v>0</v>
      </c>
      <c r="AJ167" s="2">
        <v>66</v>
      </c>
    </row>
    <row r="168" spans="1:36" x14ac:dyDescent="0.25">
      <c r="A168" s="1">
        <v>46043</v>
      </c>
      <c r="B168" s="1">
        <v>46043</v>
      </c>
      <c r="C168" t="s">
        <v>424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470</v>
      </c>
      <c r="J168" t="s">
        <v>251</v>
      </c>
      <c r="M168" t="s">
        <v>77</v>
      </c>
      <c r="O168" t="s">
        <v>252</v>
      </c>
      <c r="P168" t="s">
        <v>253</v>
      </c>
      <c r="Q168" t="s">
        <v>429</v>
      </c>
      <c r="R168" t="s">
        <v>237</v>
      </c>
      <c r="S168" s="1">
        <v>46023</v>
      </c>
      <c r="U168" t="s">
        <v>51</v>
      </c>
      <c r="X168" t="s">
        <v>52</v>
      </c>
      <c r="AF168" s="2">
        <v>347</v>
      </c>
      <c r="AG168" s="2">
        <v>0</v>
      </c>
      <c r="AJ168" s="2">
        <v>318.08</v>
      </c>
    </row>
    <row r="169" spans="1:36" x14ac:dyDescent="0.25">
      <c r="A169" s="1">
        <v>46043</v>
      </c>
      <c r="B169" s="1">
        <v>46043</v>
      </c>
      <c r="C169" t="s">
        <v>424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471</v>
      </c>
      <c r="J169" t="s">
        <v>363</v>
      </c>
      <c r="M169" t="s">
        <v>68</v>
      </c>
      <c r="O169" t="s">
        <v>69</v>
      </c>
      <c r="P169" t="s">
        <v>70</v>
      </c>
      <c r="Q169" t="s">
        <v>429</v>
      </c>
      <c r="R169" t="s">
        <v>240</v>
      </c>
      <c r="S169" s="1">
        <v>46023</v>
      </c>
      <c r="U169" t="s">
        <v>51</v>
      </c>
      <c r="X169" t="s">
        <v>52</v>
      </c>
      <c r="AF169" s="2">
        <v>72</v>
      </c>
      <c r="AG169" s="2">
        <v>0</v>
      </c>
      <c r="AJ169" s="2">
        <v>66</v>
      </c>
    </row>
    <row r="170" spans="1:36" x14ac:dyDescent="0.25">
      <c r="A170" s="1">
        <v>46043</v>
      </c>
      <c r="B170" s="1">
        <v>46043</v>
      </c>
      <c r="C170" t="s">
        <v>424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472</v>
      </c>
      <c r="J170" t="s">
        <v>363</v>
      </c>
      <c r="M170" t="s">
        <v>68</v>
      </c>
      <c r="O170" t="s">
        <v>69</v>
      </c>
      <c r="P170" t="s">
        <v>70</v>
      </c>
      <c r="Q170" t="s">
        <v>429</v>
      </c>
      <c r="R170" t="s">
        <v>237</v>
      </c>
      <c r="S170" s="1">
        <v>46023</v>
      </c>
      <c r="U170" t="s">
        <v>51</v>
      </c>
      <c r="X170" t="s">
        <v>52</v>
      </c>
      <c r="AF170" s="2">
        <v>347</v>
      </c>
      <c r="AG170" s="2">
        <v>0</v>
      </c>
      <c r="AJ170" s="2">
        <v>318.08</v>
      </c>
    </row>
    <row r="171" spans="1:36" x14ac:dyDescent="0.25">
      <c r="A171" s="1">
        <v>46043</v>
      </c>
      <c r="B171" s="1">
        <v>46043</v>
      </c>
      <c r="C171" t="s">
        <v>424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473</v>
      </c>
      <c r="J171" t="s">
        <v>474</v>
      </c>
      <c r="M171" t="s">
        <v>152</v>
      </c>
      <c r="O171" t="s">
        <v>235</v>
      </c>
      <c r="P171" t="s">
        <v>236</v>
      </c>
      <c r="Q171" t="s">
        <v>429</v>
      </c>
      <c r="R171" t="s">
        <v>475</v>
      </c>
      <c r="S171" s="1">
        <v>46023</v>
      </c>
      <c r="U171" t="s">
        <v>51</v>
      </c>
      <c r="X171" t="s">
        <v>52</v>
      </c>
      <c r="AF171" s="2">
        <v>694</v>
      </c>
      <c r="AG171" s="2">
        <v>0</v>
      </c>
      <c r="AJ171" s="2">
        <v>694</v>
      </c>
    </row>
    <row r="172" spans="1:36" x14ac:dyDescent="0.25">
      <c r="A172" s="1">
        <v>46043</v>
      </c>
      <c r="B172" s="1">
        <v>46043</v>
      </c>
      <c r="C172" t="s">
        <v>424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476</v>
      </c>
      <c r="J172" t="s">
        <v>474</v>
      </c>
      <c r="M172" t="s">
        <v>152</v>
      </c>
      <c r="O172" t="s">
        <v>235</v>
      </c>
      <c r="P172" t="s">
        <v>236</v>
      </c>
      <c r="Q172" t="s">
        <v>429</v>
      </c>
      <c r="R172" t="s">
        <v>343</v>
      </c>
      <c r="S172" s="1">
        <v>46023</v>
      </c>
      <c r="U172" t="s">
        <v>51</v>
      </c>
      <c r="X172" t="s">
        <v>52</v>
      </c>
      <c r="AF172" s="2">
        <v>175</v>
      </c>
      <c r="AG172" s="2">
        <v>0</v>
      </c>
      <c r="AJ172" s="2">
        <v>175</v>
      </c>
    </row>
    <row r="173" spans="1:36" x14ac:dyDescent="0.25">
      <c r="A173" s="1">
        <v>46043</v>
      </c>
      <c r="B173" s="1">
        <v>46043</v>
      </c>
      <c r="C173" t="s">
        <v>424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477</v>
      </c>
      <c r="J173" t="s">
        <v>478</v>
      </c>
      <c r="M173" t="s">
        <v>46</v>
      </c>
      <c r="O173" t="s">
        <v>178</v>
      </c>
      <c r="P173" t="s">
        <v>179</v>
      </c>
      <c r="Q173" t="s">
        <v>429</v>
      </c>
      <c r="R173" t="s">
        <v>475</v>
      </c>
      <c r="S173" s="1">
        <v>46023</v>
      </c>
      <c r="U173" t="s">
        <v>51</v>
      </c>
      <c r="X173" t="s">
        <v>52</v>
      </c>
      <c r="AF173" s="2">
        <v>694</v>
      </c>
      <c r="AG173" s="2">
        <v>0</v>
      </c>
      <c r="AJ173" s="2">
        <v>694</v>
      </c>
    </row>
    <row r="174" spans="1:36" x14ac:dyDescent="0.25">
      <c r="A174" s="1">
        <v>46043</v>
      </c>
      <c r="B174" s="1">
        <v>46043</v>
      </c>
      <c r="C174" t="s">
        <v>424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479</v>
      </c>
      <c r="J174" t="s">
        <v>478</v>
      </c>
      <c r="M174" t="s">
        <v>46</v>
      </c>
      <c r="O174" t="s">
        <v>178</v>
      </c>
      <c r="P174" t="s">
        <v>179</v>
      </c>
      <c r="Q174" t="s">
        <v>429</v>
      </c>
      <c r="R174" t="s">
        <v>343</v>
      </c>
      <c r="S174" s="1">
        <v>46023</v>
      </c>
      <c r="U174" t="s">
        <v>51</v>
      </c>
      <c r="X174" t="s">
        <v>52</v>
      </c>
      <c r="AF174" s="2">
        <v>175</v>
      </c>
      <c r="AG174" s="2">
        <v>0</v>
      </c>
      <c r="AJ174" s="2">
        <v>175</v>
      </c>
    </row>
    <row r="175" spans="1:36" x14ac:dyDescent="0.25">
      <c r="A175" s="1">
        <v>46043</v>
      </c>
      <c r="B175" s="1">
        <v>46043</v>
      </c>
      <c r="C175" t="s">
        <v>424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480</v>
      </c>
      <c r="J175" t="s">
        <v>481</v>
      </c>
      <c r="M175" t="s">
        <v>482</v>
      </c>
      <c r="O175" t="s">
        <v>235</v>
      </c>
      <c r="P175" t="s">
        <v>236</v>
      </c>
      <c r="Q175" t="s">
        <v>429</v>
      </c>
      <c r="R175" t="s">
        <v>237</v>
      </c>
      <c r="S175" s="1">
        <v>46023</v>
      </c>
      <c r="U175" t="s">
        <v>51</v>
      </c>
      <c r="X175" t="s">
        <v>52</v>
      </c>
      <c r="AF175" s="2">
        <v>347</v>
      </c>
      <c r="AG175" s="2">
        <v>0</v>
      </c>
      <c r="AJ175" s="2">
        <v>347</v>
      </c>
    </row>
    <row r="176" spans="1:36" x14ac:dyDescent="0.25">
      <c r="A176" s="1">
        <v>46043</v>
      </c>
      <c r="B176" s="1">
        <v>46043</v>
      </c>
      <c r="C176" t="s">
        <v>424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483</v>
      </c>
      <c r="J176" t="s">
        <v>481</v>
      </c>
      <c r="M176" t="s">
        <v>482</v>
      </c>
      <c r="O176" t="s">
        <v>235</v>
      </c>
      <c r="P176" t="s">
        <v>236</v>
      </c>
      <c r="Q176" t="s">
        <v>429</v>
      </c>
      <c r="R176" t="s">
        <v>343</v>
      </c>
      <c r="S176" s="1">
        <v>46023</v>
      </c>
      <c r="U176" t="s">
        <v>51</v>
      </c>
      <c r="X176" t="s">
        <v>52</v>
      </c>
      <c r="AF176" s="2">
        <v>175</v>
      </c>
      <c r="AG176" s="2">
        <v>0</v>
      </c>
      <c r="AJ176" s="2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17D5-3E78-4910-86D1-80F2F4EA329F}">
  <dimension ref="A1:AM175"/>
  <sheetViews>
    <sheetView zoomScaleNormal="100" workbookViewId="0">
      <selection activeCell="G22" sqref="G22"/>
    </sheetView>
  </sheetViews>
  <sheetFormatPr defaultRowHeight="15" x14ac:dyDescent="0.25"/>
  <cols>
    <col min="1" max="1" width="16" bestFit="1" customWidth="1"/>
    <col min="2" max="2" width="16" customWidth="1"/>
    <col min="3" max="3" width="28.42578125" bestFit="1" customWidth="1"/>
    <col min="4" max="4" width="5.5703125" bestFit="1" customWidth="1"/>
    <col min="5" max="5" width="15.7109375" bestFit="1" customWidth="1"/>
    <col min="6" max="6" width="20.7109375" customWidth="1"/>
    <col min="7" max="7" width="37.7109375" customWidth="1"/>
    <col min="8" max="8" width="10.140625" bestFit="1" customWidth="1"/>
    <col min="9" max="9" width="14.5703125" bestFit="1" customWidth="1"/>
    <col min="11" max="11" width="9.140625" customWidth="1"/>
    <col min="12" max="12" width="12.28515625" customWidth="1"/>
    <col min="13" max="13" width="9" customWidth="1"/>
    <col min="14" max="14" width="19.7109375" customWidth="1"/>
    <col min="15" max="15" width="24.140625" bestFit="1" customWidth="1"/>
  </cols>
  <sheetData>
    <row r="1" spans="1:39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20</v>
      </c>
      <c r="J1" t="s">
        <v>23</v>
      </c>
      <c r="K1" t="s">
        <v>26</v>
      </c>
      <c r="L1" t="s">
        <v>28</v>
      </c>
      <c r="M1" t="s">
        <v>37</v>
      </c>
    </row>
    <row r="2" spans="1:39" x14ac:dyDescent="0.25">
      <c r="A2" s="9">
        <v>123275022</v>
      </c>
      <c r="B2" s="9" t="str">
        <f t="shared" ref="B2:B7" si="0">CONCATENATE(A2,1)</f>
        <v>1232750221</v>
      </c>
      <c r="C2" s="10" t="s">
        <v>220</v>
      </c>
      <c r="D2" s="10" t="s">
        <v>111</v>
      </c>
      <c r="E2" s="10">
        <v>17859093</v>
      </c>
      <c r="F2" s="10" t="s">
        <v>222</v>
      </c>
      <c r="G2" s="10" t="s">
        <v>223</v>
      </c>
      <c r="H2" s="11">
        <v>45931</v>
      </c>
      <c r="I2" s="10" t="s">
        <v>51</v>
      </c>
      <c r="J2" s="10" t="s">
        <v>52</v>
      </c>
      <c r="K2" s="10">
        <v>1</v>
      </c>
      <c r="L2" s="12">
        <v>156.5</v>
      </c>
      <c r="M2" s="10" t="s">
        <v>224</v>
      </c>
      <c r="N2" s="10" t="s">
        <v>582</v>
      </c>
      <c r="O2" s="10" t="s">
        <v>585</v>
      </c>
      <c r="P2" s="10">
        <f>313/12*6</f>
        <v>156.5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 spans="1:39" x14ac:dyDescent="0.25">
      <c r="A3" s="9">
        <v>131758294</v>
      </c>
      <c r="B3" s="9" t="str">
        <f t="shared" si="0"/>
        <v>1317582941</v>
      </c>
      <c r="C3" s="10" t="s">
        <v>231</v>
      </c>
      <c r="D3" s="10" t="s">
        <v>77</v>
      </c>
      <c r="E3" s="10">
        <v>18142208</v>
      </c>
      <c r="F3" s="10" t="s">
        <v>79</v>
      </c>
      <c r="G3" s="10" t="s">
        <v>223</v>
      </c>
      <c r="H3" s="11">
        <v>45931</v>
      </c>
      <c r="I3" s="10" t="s">
        <v>51</v>
      </c>
      <c r="J3" s="10" t="s">
        <v>52</v>
      </c>
      <c r="K3" s="10">
        <v>1</v>
      </c>
      <c r="L3" s="12">
        <v>156.5</v>
      </c>
      <c r="M3" s="10" t="s">
        <v>224</v>
      </c>
      <c r="N3" s="10" t="s">
        <v>582</v>
      </c>
      <c r="O3" s="10" t="s">
        <v>585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</row>
    <row r="4" spans="1:39" x14ac:dyDescent="0.25">
      <c r="A4" s="9">
        <v>134193543</v>
      </c>
      <c r="B4" s="9" t="str">
        <f t="shared" si="0"/>
        <v>1341935431</v>
      </c>
      <c r="C4" s="10" t="s">
        <v>242</v>
      </c>
      <c r="D4" s="10" t="s">
        <v>243</v>
      </c>
      <c r="E4" s="10">
        <v>19615078</v>
      </c>
      <c r="F4" s="10" t="s">
        <v>245</v>
      </c>
      <c r="G4" s="10" t="s">
        <v>247</v>
      </c>
      <c r="H4" s="11">
        <v>45931</v>
      </c>
      <c r="I4" s="10" t="s">
        <v>51</v>
      </c>
      <c r="J4" s="10" t="s">
        <v>52</v>
      </c>
      <c r="K4" s="10">
        <v>1</v>
      </c>
      <c r="L4" s="12">
        <v>52.17</v>
      </c>
      <c r="M4" s="10" t="s">
        <v>248</v>
      </c>
      <c r="N4" s="10" t="s">
        <v>582</v>
      </c>
      <c r="O4" s="10" t="s">
        <v>583</v>
      </c>
      <c r="P4" s="10">
        <f>313/12*2</f>
        <v>52.166666666666664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39" x14ac:dyDescent="0.25">
      <c r="A5" s="9">
        <v>902277837</v>
      </c>
      <c r="B5" s="9" t="str">
        <f t="shared" si="0"/>
        <v>9022778371</v>
      </c>
      <c r="C5" s="10" t="s">
        <v>336</v>
      </c>
      <c r="D5" s="10" t="s">
        <v>62</v>
      </c>
      <c r="E5" s="10">
        <v>2158366</v>
      </c>
      <c r="F5" s="10" t="s">
        <v>193</v>
      </c>
      <c r="G5" s="10" t="s">
        <v>247</v>
      </c>
      <c r="H5" s="11">
        <v>45931</v>
      </c>
      <c r="I5" s="10" t="s">
        <v>51</v>
      </c>
      <c r="J5" s="10" t="s">
        <v>52</v>
      </c>
      <c r="K5" s="10">
        <v>1</v>
      </c>
      <c r="L5" s="12">
        <v>78.25</v>
      </c>
      <c r="M5" s="10" t="s">
        <v>224</v>
      </c>
      <c r="N5" s="10" t="s">
        <v>582</v>
      </c>
      <c r="O5" s="10" t="s">
        <v>584</v>
      </c>
      <c r="P5" s="10">
        <f>313/12*3</f>
        <v>78.25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 spans="1:39" x14ac:dyDescent="0.25">
      <c r="A6" s="9">
        <v>926202494</v>
      </c>
      <c r="B6" s="9" t="str">
        <f t="shared" si="0"/>
        <v>9262024941</v>
      </c>
      <c r="C6" s="10" t="s">
        <v>464</v>
      </c>
      <c r="D6" s="10" t="s">
        <v>311</v>
      </c>
      <c r="E6" s="10">
        <v>9213293</v>
      </c>
      <c r="F6" s="10" t="s">
        <v>74</v>
      </c>
      <c r="G6" s="10" t="s">
        <v>247</v>
      </c>
      <c r="H6" s="11">
        <v>45992</v>
      </c>
      <c r="I6" s="10" t="s">
        <v>51</v>
      </c>
      <c r="J6" s="10" t="s">
        <v>52</v>
      </c>
      <c r="K6" s="10"/>
      <c r="L6" s="10">
        <v>-26.08</v>
      </c>
      <c r="M6" s="10"/>
      <c r="N6" s="10" t="s">
        <v>582</v>
      </c>
      <c r="O6" s="10" t="s">
        <v>581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7" spans="1:39" x14ac:dyDescent="0.25">
      <c r="A7" s="9">
        <v>926230943</v>
      </c>
      <c r="B7" s="9" t="str">
        <f t="shared" si="0"/>
        <v>9262309431</v>
      </c>
      <c r="C7" s="10" t="s">
        <v>345</v>
      </c>
      <c r="D7" s="10" t="s">
        <v>68</v>
      </c>
      <c r="E7" s="10">
        <v>9213293</v>
      </c>
      <c r="F7" s="10" t="s">
        <v>74</v>
      </c>
      <c r="G7" s="10" t="s">
        <v>223</v>
      </c>
      <c r="H7" s="11">
        <v>45931</v>
      </c>
      <c r="I7" s="10" t="s">
        <v>51</v>
      </c>
      <c r="J7" s="10" t="s">
        <v>52</v>
      </c>
      <c r="K7" s="10">
        <v>1</v>
      </c>
      <c r="L7" s="12">
        <v>156.5</v>
      </c>
      <c r="M7" s="10" t="s">
        <v>224</v>
      </c>
      <c r="N7" s="10" t="s">
        <v>582</v>
      </c>
      <c r="O7" s="10" t="s">
        <v>585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</row>
    <row r="8" spans="1:39" s="17" customFormat="1" x14ac:dyDescent="0.25">
      <c r="A8" s="13">
        <v>934031732</v>
      </c>
      <c r="B8" s="13" t="str">
        <f>CONCATENATE(A8,98)</f>
        <v>93403173298</v>
      </c>
      <c r="C8" s="14" t="s">
        <v>353</v>
      </c>
      <c r="D8" s="14" t="s">
        <v>214</v>
      </c>
      <c r="E8" s="14">
        <v>17859093</v>
      </c>
      <c r="F8" s="14" t="s">
        <v>222</v>
      </c>
      <c r="G8" s="14" t="s">
        <v>354</v>
      </c>
      <c r="H8" s="15">
        <v>45931</v>
      </c>
      <c r="I8" s="14" t="s">
        <v>51</v>
      </c>
      <c r="J8" s="14" t="s">
        <v>52</v>
      </c>
      <c r="K8" s="14">
        <v>1</v>
      </c>
      <c r="L8" s="16">
        <v>626</v>
      </c>
      <c r="M8" s="14"/>
      <c r="N8" s="14" t="s">
        <v>590</v>
      </c>
      <c r="O8" s="14" t="s">
        <v>591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s="17" customFormat="1" x14ac:dyDescent="0.25">
      <c r="A9" s="13">
        <v>939286577</v>
      </c>
      <c r="B9" s="13" t="str">
        <f t="shared" ref="B9:B13" si="1">CONCATENATE(A9,98)</f>
        <v>93928657798</v>
      </c>
      <c r="C9" s="14" t="s">
        <v>357</v>
      </c>
      <c r="D9" s="14" t="s">
        <v>46</v>
      </c>
      <c r="E9" s="14">
        <v>20724564</v>
      </c>
      <c r="F9" s="14" t="s">
        <v>359</v>
      </c>
      <c r="G9" s="14" t="s">
        <v>354</v>
      </c>
      <c r="H9" s="15">
        <v>45992</v>
      </c>
      <c r="I9" s="14" t="s">
        <v>51</v>
      </c>
      <c r="J9" s="14" t="s">
        <v>52</v>
      </c>
      <c r="K9" s="14">
        <v>1</v>
      </c>
      <c r="L9" s="16">
        <v>626</v>
      </c>
      <c r="M9" s="14"/>
      <c r="N9" s="14" t="s">
        <v>590</v>
      </c>
      <c r="O9" s="14" t="s">
        <v>591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 spans="1:39" s="17" customFormat="1" x14ac:dyDescent="0.25">
      <c r="A10" s="13">
        <v>950654690</v>
      </c>
      <c r="B10" s="13" t="str">
        <f t="shared" si="1"/>
        <v>95065469098</v>
      </c>
      <c r="C10" s="14" t="s">
        <v>380</v>
      </c>
      <c r="D10" s="14" t="s">
        <v>46</v>
      </c>
      <c r="E10" s="14">
        <v>20724564</v>
      </c>
      <c r="F10" s="14" t="s">
        <v>359</v>
      </c>
      <c r="G10" s="14" t="s">
        <v>354</v>
      </c>
      <c r="H10" s="15">
        <v>45962</v>
      </c>
      <c r="I10" s="14" t="s">
        <v>51</v>
      </c>
      <c r="J10" s="14" t="s">
        <v>52</v>
      </c>
      <c r="K10" s="14">
        <v>1</v>
      </c>
      <c r="L10" s="16">
        <v>626</v>
      </c>
      <c r="M10" s="14"/>
      <c r="N10" s="14" t="s">
        <v>590</v>
      </c>
      <c r="O10" s="14" t="s">
        <v>591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1:39" s="17" customFormat="1" x14ac:dyDescent="0.25">
      <c r="A11" s="13">
        <v>964798677</v>
      </c>
      <c r="B11" s="13" t="str">
        <f t="shared" si="1"/>
        <v>96479867798</v>
      </c>
      <c r="C11" s="14" t="s">
        <v>392</v>
      </c>
      <c r="D11" s="14" t="s">
        <v>68</v>
      </c>
      <c r="E11" s="14">
        <v>18828278</v>
      </c>
      <c r="F11" s="14" t="s">
        <v>394</v>
      </c>
      <c r="G11" s="14" t="s">
        <v>354</v>
      </c>
      <c r="H11" s="15">
        <v>45931</v>
      </c>
      <c r="I11" s="14" t="s">
        <v>51</v>
      </c>
      <c r="J11" s="14" t="s">
        <v>52</v>
      </c>
      <c r="K11" s="14">
        <v>1</v>
      </c>
      <c r="L11" s="16">
        <v>626</v>
      </c>
      <c r="M11" s="14"/>
      <c r="N11" s="14" t="s">
        <v>590</v>
      </c>
      <c r="O11" s="14" t="s">
        <v>591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1:39" s="17" customFormat="1" x14ac:dyDescent="0.25">
      <c r="A12" s="13">
        <v>970238440</v>
      </c>
      <c r="B12" s="13" t="str">
        <f t="shared" si="1"/>
        <v>97023844098</v>
      </c>
      <c r="C12" s="14" t="s">
        <v>397</v>
      </c>
      <c r="D12" s="14" t="s">
        <v>46</v>
      </c>
      <c r="E12" s="14">
        <v>20724564</v>
      </c>
      <c r="F12" s="14" t="s">
        <v>359</v>
      </c>
      <c r="G12" s="14" t="s">
        <v>354</v>
      </c>
      <c r="H12" s="15">
        <v>45962</v>
      </c>
      <c r="I12" s="14" t="s">
        <v>51</v>
      </c>
      <c r="J12" s="14" t="s">
        <v>52</v>
      </c>
      <c r="K12" s="14">
        <v>1</v>
      </c>
      <c r="L12" s="16">
        <v>626</v>
      </c>
      <c r="M12" s="14"/>
      <c r="N12" s="14" t="s">
        <v>590</v>
      </c>
      <c r="O12" s="14" t="s">
        <v>591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1:39" s="17" customFormat="1" x14ac:dyDescent="0.25">
      <c r="A13" s="13">
        <v>971115971</v>
      </c>
      <c r="B13" s="13" t="str">
        <f t="shared" si="1"/>
        <v>97111597198</v>
      </c>
      <c r="C13" s="14" t="s">
        <v>400</v>
      </c>
      <c r="D13" s="14" t="s">
        <v>68</v>
      </c>
      <c r="E13" s="14">
        <v>19645587</v>
      </c>
      <c r="F13" s="14" t="s">
        <v>179</v>
      </c>
      <c r="G13" s="14" t="s">
        <v>354</v>
      </c>
      <c r="H13" s="15">
        <v>45931</v>
      </c>
      <c r="I13" s="14" t="s">
        <v>51</v>
      </c>
      <c r="J13" s="14" t="s">
        <v>52</v>
      </c>
      <c r="K13" s="14">
        <v>1</v>
      </c>
      <c r="L13" s="16">
        <v>626</v>
      </c>
      <c r="M13" s="14"/>
      <c r="N13" s="14" t="s">
        <v>590</v>
      </c>
      <c r="O13" s="14" t="s">
        <v>591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1:39" x14ac:dyDescent="0.25">
      <c r="A14" s="9">
        <v>133920961</v>
      </c>
      <c r="B14" s="9" t="str">
        <f t="shared" ref="B14:B24" si="2">CONCATENATE(A14,11)</f>
        <v>13392096111</v>
      </c>
      <c r="C14" s="10" t="s">
        <v>234</v>
      </c>
      <c r="D14" s="10" t="s">
        <v>77</v>
      </c>
      <c r="E14" s="10">
        <v>21435997</v>
      </c>
      <c r="F14" s="10" t="s">
        <v>236</v>
      </c>
      <c r="G14" s="10" t="s">
        <v>237</v>
      </c>
      <c r="H14" s="11">
        <v>46054</v>
      </c>
      <c r="I14" s="10" t="s">
        <v>51</v>
      </c>
      <c r="J14" s="10" t="s">
        <v>52</v>
      </c>
      <c r="K14" s="10">
        <v>1</v>
      </c>
      <c r="L14" s="12">
        <v>318.08</v>
      </c>
      <c r="M14" s="10" t="s">
        <v>238</v>
      </c>
      <c r="N14" s="10" t="s">
        <v>579</v>
      </c>
      <c r="O14" s="10" t="s">
        <v>580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</row>
    <row r="15" spans="1:39" x14ac:dyDescent="0.25">
      <c r="A15" s="9">
        <v>135357015</v>
      </c>
      <c r="B15" s="9" t="str">
        <f t="shared" si="2"/>
        <v>13535701511</v>
      </c>
      <c r="C15" s="10" t="s">
        <v>251</v>
      </c>
      <c r="D15" s="10" t="s">
        <v>77</v>
      </c>
      <c r="E15" s="10">
        <v>17528908</v>
      </c>
      <c r="F15" s="10" t="s">
        <v>253</v>
      </c>
      <c r="G15" s="10" t="s">
        <v>237</v>
      </c>
      <c r="H15" s="11">
        <v>46054</v>
      </c>
      <c r="I15" s="10" t="s">
        <v>51</v>
      </c>
      <c r="J15" s="10" t="s">
        <v>52</v>
      </c>
      <c r="K15" s="10">
        <v>1</v>
      </c>
      <c r="L15" s="12">
        <v>318.08</v>
      </c>
      <c r="M15" s="10" t="s">
        <v>238</v>
      </c>
      <c r="N15" s="10" t="s">
        <v>579</v>
      </c>
      <c r="O15" s="10" t="s">
        <v>580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</row>
    <row r="16" spans="1:39" x14ac:dyDescent="0.25">
      <c r="A16" s="9">
        <v>910907579</v>
      </c>
      <c r="B16" s="9" t="str">
        <f t="shared" si="2"/>
        <v>91090757911</v>
      </c>
      <c r="C16" s="10" t="s">
        <v>300</v>
      </c>
      <c r="D16" s="10" t="s">
        <v>68</v>
      </c>
      <c r="E16" s="10">
        <v>19586992</v>
      </c>
      <c r="F16" s="10" t="s">
        <v>260</v>
      </c>
      <c r="G16" s="10" t="s">
        <v>237</v>
      </c>
      <c r="H16" s="11">
        <v>46054</v>
      </c>
      <c r="I16" s="10" t="s">
        <v>51</v>
      </c>
      <c r="J16" s="10" t="s">
        <v>52</v>
      </c>
      <c r="K16" s="10">
        <v>1</v>
      </c>
      <c r="L16" s="12">
        <v>318.08</v>
      </c>
      <c r="M16" s="10" t="s">
        <v>238</v>
      </c>
      <c r="N16" s="10" t="s">
        <v>579</v>
      </c>
      <c r="O16" s="10" t="s">
        <v>580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</row>
    <row r="17" spans="1:39" x14ac:dyDescent="0.25">
      <c r="A17" s="9">
        <v>915804764</v>
      </c>
      <c r="B17" s="9" t="str">
        <f t="shared" si="2"/>
        <v>91580476411</v>
      </c>
      <c r="C17" s="10" t="s">
        <v>341</v>
      </c>
      <c r="D17" s="10" t="s">
        <v>68</v>
      </c>
      <c r="E17" s="10">
        <v>19645587</v>
      </c>
      <c r="F17" s="10" t="s">
        <v>179</v>
      </c>
      <c r="G17" s="10" t="s">
        <v>237</v>
      </c>
      <c r="H17" s="11">
        <v>46054</v>
      </c>
      <c r="I17" s="10" t="s">
        <v>51</v>
      </c>
      <c r="J17" s="10" t="s">
        <v>52</v>
      </c>
      <c r="K17" s="10">
        <v>1</v>
      </c>
      <c r="L17" s="12">
        <v>318.08</v>
      </c>
      <c r="M17" s="10" t="s">
        <v>238</v>
      </c>
      <c r="N17" s="10" t="s">
        <v>579</v>
      </c>
      <c r="O17" s="10" t="s">
        <v>580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</row>
    <row r="18" spans="1:39" x14ac:dyDescent="0.25">
      <c r="A18" s="9">
        <v>927844077</v>
      </c>
      <c r="B18" s="9" t="str">
        <f t="shared" si="2"/>
        <v>92784407711</v>
      </c>
      <c r="C18" s="10" t="s">
        <v>467</v>
      </c>
      <c r="D18" s="10" t="s">
        <v>159</v>
      </c>
      <c r="E18" s="10">
        <v>21435997</v>
      </c>
      <c r="F18" s="10" t="s">
        <v>236</v>
      </c>
      <c r="G18" s="10" t="s">
        <v>237</v>
      </c>
      <c r="H18" s="11">
        <v>46023</v>
      </c>
      <c r="I18" s="10" t="s">
        <v>51</v>
      </c>
      <c r="J18" s="10" t="s">
        <v>52</v>
      </c>
      <c r="K18" s="10"/>
      <c r="L18" s="10">
        <v>-318.08</v>
      </c>
      <c r="M18" s="10"/>
      <c r="N18" s="10" t="s">
        <v>579</v>
      </c>
      <c r="O18" s="10" t="s">
        <v>580</v>
      </c>
      <c r="P18" s="10">
        <f>347/12*11</f>
        <v>318.08333333333337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</row>
    <row r="19" spans="1:39" x14ac:dyDescent="0.25">
      <c r="A19" s="9">
        <v>930834019</v>
      </c>
      <c r="B19" s="9" t="str">
        <f t="shared" si="2"/>
        <v>93083401911</v>
      </c>
      <c r="C19" s="10" t="s">
        <v>349</v>
      </c>
      <c r="D19" s="10" t="s">
        <v>271</v>
      </c>
      <c r="E19" s="10">
        <v>17528908</v>
      </c>
      <c r="F19" s="10" t="s">
        <v>253</v>
      </c>
      <c r="G19" s="10" t="s">
        <v>350</v>
      </c>
      <c r="H19" s="11">
        <v>46054</v>
      </c>
      <c r="I19" s="10" t="s">
        <v>51</v>
      </c>
      <c r="J19" s="10" t="s">
        <v>52</v>
      </c>
      <c r="K19" s="10">
        <v>1</v>
      </c>
      <c r="L19" s="12">
        <v>358.42</v>
      </c>
      <c r="M19" s="10" t="s">
        <v>238</v>
      </c>
      <c r="N19" s="10" t="s">
        <v>588</v>
      </c>
      <c r="O19" s="10" t="s">
        <v>589</v>
      </c>
      <c r="P19" s="10">
        <f>391/12*11</f>
        <v>358.41666666666669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</row>
    <row r="20" spans="1:39" x14ac:dyDescent="0.25">
      <c r="A20" s="9">
        <v>938289187</v>
      </c>
      <c r="B20" s="9" t="str">
        <f t="shared" si="2"/>
        <v>93828918711</v>
      </c>
      <c r="C20" s="10" t="s">
        <v>251</v>
      </c>
      <c r="D20" s="10" t="s">
        <v>77</v>
      </c>
      <c r="E20" s="10">
        <v>17528908</v>
      </c>
      <c r="F20" s="10" t="s">
        <v>253</v>
      </c>
      <c r="G20" s="10" t="s">
        <v>237</v>
      </c>
      <c r="H20" s="11">
        <v>46023</v>
      </c>
      <c r="I20" s="10" t="s">
        <v>51</v>
      </c>
      <c r="J20" s="10" t="s">
        <v>52</v>
      </c>
      <c r="K20" s="10"/>
      <c r="L20" s="10">
        <v>-318.08</v>
      </c>
      <c r="M20" s="10"/>
      <c r="N20" s="10" t="s">
        <v>579</v>
      </c>
      <c r="O20" s="10" t="s">
        <v>580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</row>
    <row r="21" spans="1:39" x14ac:dyDescent="0.25">
      <c r="A21" s="9">
        <v>941105248</v>
      </c>
      <c r="B21" s="9" t="str">
        <f t="shared" si="2"/>
        <v>94110524811</v>
      </c>
      <c r="C21" s="10" t="s">
        <v>363</v>
      </c>
      <c r="D21" s="10" t="s">
        <v>68</v>
      </c>
      <c r="E21" s="10">
        <v>8405446</v>
      </c>
      <c r="F21" s="10" t="s">
        <v>70</v>
      </c>
      <c r="G21" s="10" t="s">
        <v>237</v>
      </c>
      <c r="H21" s="11">
        <v>46023</v>
      </c>
      <c r="I21" s="10" t="s">
        <v>51</v>
      </c>
      <c r="J21" s="10" t="s">
        <v>52</v>
      </c>
      <c r="K21" s="10"/>
      <c r="L21" s="10">
        <v>-318.08</v>
      </c>
      <c r="M21" s="10"/>
      <c r="N21" s="10" t="s">
        <v>579</v>
      </c>
      <c r="O21" s="10" t="s">
        <v>580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</row>
    <row r="22" spans="1:39" x14ac:dyDescent="0.25">
      <c r="A22" s="9">
        <v>941105248</v>
      </c>
      <c r="B22" s="9" t="str">
        <f t="shared" si="2"/>
        <v>94110524811</v>
      </c>
      <c r="C22" s="10" t="s">
        <v>363</v>
      </c>
      <c r="D22" s="10" t="s">
        <v>68</v>
      </c>
      <c r="E22" s="10">
        <v>8405446</v>
      </c>
      <c r="F22" s="10" t="s">
        <v>70</v>
      </c>
      <c r="G22" s="10" t="s">
        <v>237</v>
      </c>
      <c r="H22" s="11">
        <v>46054</v>
      </c>
      <c r="I22" s="10" t="s">
        <v>51</v>
      </c>
      <c r="J22" s="10" t="s">
        <v>52</v>
      </c>
      <c r="K22" s="10">
        <v>1</v>
      </c>
      <c r="L22" s="12">
        <v>318.08</v>
      </c>
      <c r="M22" s="10" t="s">
        <v>238</v>
      </c>
      <c r="N22" s="10" t="s">
        <v>579</v>
      </c>
      <c r="O22" s="10" t="s">
        <v>580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</row>
    <row r="23" spans="1:39" x14ac:dyDescent="0.25">
      <c r="A23" s="9">
        <v>941126422</v>
      </c>
      <c r="B23" s="9" t="str">
        <f t="shared" si="2"/>
        <v>94112642211</v>
      </c>
      <c r="C23" s="10" t="s">
        <v>366</v>
      </c>
      <c r="D23" s="10" t="s">
        <v>68</v>
      </c>
      <c r="E23" s="10">
        <v>21646325</v>
      </c>
      <c r="F23" s="10" t="s">
        <v>368</v>
      </c>
      <c r="G23" s="10" t="s">
        <v>237</v>
      </c>
      <c r="H23" s="11">
        <v>46054</v>
      </c>
      <c r="I23" s="10" t="s">
        <v>51</v>
      </c>
      <c r="J23" s="10" t="s">
        <v>52</v>
      </c>
      <c r="K23" s="10">
        <v>1</v>
      </c>
      <c r="L23" s="12">
        <v>318.08</v>
      </c>
      <c r="M23" s="10" t="s">
        <v>238</v>
      </c>
      <c r="N23" s="10" t="s">
        <v>579</v>
      </c>
      <c r="O23" s="10" t="s">
        <v>580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</row>
    <row r="24" spans="1:39" x14ac:dyDescent="0.25">
      <c r="A24" s="9">
        <v>941459548</v>
      </c>
      <c r="B24" s="9" t="str">
        <f t="shared" si="2"/>
        <v>94145954811</v>
      </c>
      <c r="C24" s="10" t="s">
        <v>371</v>
      </c>
      <c r="D24" s="10" t="s">
        <v>46</v>
      </c>
      <c r="E24" s="10">
        <v>19645587</v>
      </c>
      <c r="F24" s="10" t="s">
        <v>179</v>
      </c>
      <c r="G24" s="10" t="s">
        <v>237</v>
      </c>
      <c r="H24" s="11">
        <v>46054</v>
      </c>
      <c r="I24" s="10" t="s">
        <v>51</v>
      </c>
      <c r="J24" s="10" t="s">
        <v>52</v>
      </c>
      <c r="K24" s="10">
        <v>1</v>
      </c>
      <c r="L24" s="12">
        <v>318.08</v>
      </c>
      <c r="M24" s="10" t="s">
        <v>238</v>
      </c>
      <c r="N24" s="10" t="s">
        <v>579</v>
      </c>
      <c r="O24" s="10" t="s">
        <v>580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</row>
    <row r="25" spans="1:39" x14ac:dyDescent="0.25">
      <c r="A25" s="9">
        <v>943440592</v>
      </c>
      <c r="B25" s="9" t="str">
        <f>CONCATENATE(A25,12)</f>
        <v>94344059212</v>
      </c>
      <c r="C25" s="10" t="s">
        <v>474</v>
      </c>
      <c r="D25" s="10" t="s">
        <v>152</v>
      </c>
      <c r="E25" s="10">
        <v>21435997</v>
      </c>
      <c r="F25" s="10" t="s">
        <v>236</v>
      </c>
      <c r="G25" s="10" t="s">
        <v>475</v>
      </c>
      <c r="H25" s="11">
        <v>46023</v>
      </c>
      <c r="I25" s="10" t="s">
        <v>51</v>
      </c>
      <c r="J25" s="10" t="s">
        <v>52</v>
      </c>
      <c r="K25" s="10"/>
      <c r="L25" s="10">
        <v>-694</v>
      </c>
      <c r="M25" s="10"/>
      <c r="N25" s="10" t="s">
        <v>576</v>
      </c>
      <c r="O25" s="10" t="s">
        <v>577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 spans="1:39" x14ac:dyDescent="0.25">
      <c r="A26" s="9">
        <v>943642521</v>
      </c>
      <c r="B26" s="9" t="str">
        <f>CONCATENATE(A26,11)</f>
        <v>94364252111</v>
      </c>
      <c r="C26" s="10" t="s">
        <v>374</v>
      </c>
      <c r="D26" s="10" t="s">
        <v>375</v>
      </c>
      <c r="E26" s="10">
        <v>6634327</v>
      </c>
      <c r="F26" s="10" t="s">
        <v>377</v>
      </c>
      <c r="G26" s="10" t="s">
        <v>237</v>
      </c>
      <c r="H26" s="11">
        <v>46054</v>
      </c>
      <c r="I26" s="10" t="s">
        <v>51</v>
      </c>
      <c r="J26" s="10" t="s">
        <v>52</v>
      </c>
      <c r="K26" s="10">
        <v>1</v>
      </c>
      <c r="L26" s="12">
        <v>318.08</v>
      </c>
      <c r="M26" s="10" t="s">
        <v>238</v>
      </c>
      <c r="N26" s="10" t="s">
        <v>579</v>
      </c>
      <c r="O26" s="10" t="s">
        <v>580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 spans="1:39" x14ac:dyDescent="0.25">
      <c r="A27" s="9">
        <v>951450707</v>
      </c>
      <c r="B27" s="9" t="str">
        <f>CONCATENATE(A27,11)</f>
        <v>95145070711</v>
      </c>
      <c r="C27" s="10" t="s">
        <v>383</v>
      </c>
      <c r="D27" s="10" t="s">
        <v>68</v>
      </c>
      <c r="E27" s="10">
        <v>19645587</v>
      </c>
      <c r="F27" s="10" t="s">
        <v>179</v>
      </c>
      <c r="G27" s="10" t="s">
        <v>237</v>
      </c>
      <c r="H27" s="11">
        <v>46054</v>
      </c>
      <c r="I27" s="10" t="s">
        <v>51</v>
      </c>
      <c r="J27" s="10" t="s">
        <v>52</v>
      </c>
      <c r="K27" s="10">
        <v>1</v>
      </c>
      <c r="L27" s="12">
        <v>318.08</v>
      </c>
      <c r="M27" s="10" t="s">
        <v>238</v>
      </c>
      <c r="N27" s="10" t="s">
        <v>579</v>
      </c>
      <c r="O27" s="10" t="s">
        <v>580</v>
      </c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 spans="1:39" x14ac:dyDescent="0.25">
      <c r="A28" s="9">
        <v>953893115</v>
      </c>
      <c r="B28" s="9" t="str">
        <f>CONCATENATE(A28,11)</f>
        <v>95389311511</v>
      </c>
      <c r="C28" s="10" t="s">
        <v>386</v>
      </c>
      <c r="D28" s="10" t="s">
        <v>77</v>
      </c>
      <c r="E28" s="10">
        <v>18142208</v>
      </c>
      <c r="F28" s="10" t="s">
        <v>79</v>
      </c>
      <c r="G28" s="10" t="s">
        <v>237</v>
      </c>
      <c r="H28" s="11">
        <v>46054</v>
      </c>
      <c r="I28" s="10" t="s">
        <v>51</v>
      </c>
      <c r="J28" s="10" t="s">
        <v>52</v>
      </c>
      <c r="K28" s="10">
        <v>1</v>
      </c>
      <c r="L28" s="12">
        <v>318.08</v>
      </c>
      <c r="M28" s="10" t="s">
        <v>238</v>
      </c>
      <c r="N28" s="10" t="s">
        <v>579</v>
      </c>
      <c r="O28" s="10" t="s">
        <v>580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 spans="1:39" x14ac:dyDescent="0.25">
      <c r="A29" s="9">
        <v>962753685</v>
      </c>
      <c r="B29" s="9" t="str">
        <f>CONCATENATE(A29,11)</f>
        <v>96275368511</v>
      </c>
      <c r="C29" s="10" t="s">
        <v>389</v>
      </c>
      <c r="D29" s="10" t="s">
        <v>68</v>
      </c>
      <c r="E29" s="10">
        <v>9213293</v>
      </c>
      <c r="F29" s="10" t="s">
        <v>74</v>
      </c>
      <c r="G29" s="10" t="s">
        <v>237</v>
      </c>
      <c r="H29" s="11">
        <v>46054</v>
      </c>
      <c r="I29" s="10" t="s">
        <v>51</v>
      </c>
      <c r="J29" s="10" t="s">
        <v>52</v>
      </c>
      <c r="K29" s="10">
        <v>1</v>
      </c>
      <c r="L29" s="12">
        <v>318.08</v>
      </c>
      <c r="M29" s="10" t="s">
        <v>238</v>
      </c>
      <c r="N29" s="10" t="s">
        <v>579</v>
      </c>
      <c r="O29" s="10" t="s">
        <v>580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 spans="1:39" x14ac:dyDescent="0.25">
      <c r="A30" s="9">
        <v>967982621</v>
      </c>
      <c r="B30" s="9" t="str">
        <f>CONCATENATE(A30,12)</f>
        <v>96798262112</v>
      </c>
      <c r="C30" s="10" t="s">
        <v>478</v>
      </c>
      <c r="D30" s="10" t="s">
        <v>46</v>
      </c>
      <c r="E30" s="10">
        <v>19645587</v>
      </c>
      <c r="F30" s="10" t="s">
        <v>179</v>
      </c>
      <c r="G30" s="10" t="s">
        <v>475</v>
      </c>
      <c r="H30" s="11">
        <v>46023</v>
      </c>
      <c r="I30" s="10" t="s">
        <v>51</v>
      </c>
      <c r="J30" s="10" t="s">
        <v>52</v>
      </c>
      <c r="K30" s="10"/>
      <c r="L30" s="10">
        <v>-694</v>
      </c>
      <c r="M30" s="10"/>
      <c r="N30" s="10" t="s">
        <v>576</v>
      </c>
      <c r="O30" s="10" t="s">
        <v>577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</row>
    <row r="31" spans="1:39" x14ac:dyDescent="0.25">
      <c r="A31" s="9">
        <v>974471146</v>
      </c>
      <c r="B31" s="9" t="str">
        <f>CONCATENATE(A31,11)</f>
        <v>97447114611</v>
      </c>
      <c r="C31" s="10" t="s">
        <v>403</v>
      </c>
      <c r="D31" s="10" t="s">
        <v>77</v>
      </c>
      <c r="E31" s="10">
        <v>17425766</v>
      </c>
      <c r="F31" s="10" t="s">
        <v>405</v>
      </c>
      <c r="G31" s="10" t="s">
        <v>237</v>
      </c>
      <c r="H31" s="11">
        <v>46054</v>
      </c>
      <c r="I31" s="10" t="s">
        <v>51</v>
      </c>
      <c r="J31" s="10" t="s">
        <v>52</v>
      </c>
      <c r="K31" s="10">
        <v>1</v>
      </c>
      <c r="L31" s="12">
        <v>318.08</v>
      </c>
      <c r="M31" s="10" t="s">
        <v>238</v>
      </c>
      <c r="N31" s="10" t="s">
        <v>579</v>
      </c>
      <c r="O31" s="10" t="s">
        <v>580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</row>
    <row r="32" spans="1:39" x14ac:dyDescent="0.25">
      <c r="A32" s="9">
        <v>977735774</v>
      </c>
      <c r="B32" s="9" t="str">
        <f>CONCATENATE(A32,11)</f>
        <v>97773577411</v>
      </c>
      <c r="C32" s="10" t="s">
        <v>408</v>
      </c>
      <c r="D32" s="10" t="s">
        <v>214</v>
      </c>
      <c r="E32" s="10">
        <v>19645587</v>
      </c>
      <c r="F32" s="10" t="s">
        <v>179</v>
      </c>
      <c r="G32" s="10" t="s">
        <v>237</v>
      </c>
      <c r="H32" s="11">
        <v>46054</v>
      </c>
      <c r="I32" s="10" t="s">
        <v>51</v>
      </c>
      <c r="J32" s="10" t="s">
        <v>52</v>
      </c>
      <c r="K32" s="10">
        <v>1</v>
      </c>
      <c r="L32" s="12">
        <v>318.08</v>
      </c>
      <c r="M32" s="10" t="s">
        <v>238</v>
      </c>
      <c r="N32" s="10" t="s">
        <v>579</v>
      </c>
      <c r="O32" s="10" t="s">
        <v>580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</row>
    <row r="33" spans="1:39" x14ac:dyDescent="0.25">
      <c r="A33" s="9">
        <v>995080570</v>
      </c>
      <c r="B33" s="9" t="str">
        <f>CONCATENATE(A33,11)</f>
        <v>99508057011</v>
      </c>
      <c r="C33" s="10" t="s">
        <v>481</v>
      </c>
      <c r="D33" s="10" t="s">
        <v>482</v>
      </c>
      <c r="E33" s="10">
        <v>21435997</v>
      </c>
      <c r="F33" s="10" t="s">
        <v>236</v>
      </c>
      <c r="G33" s="10" t="s">
        <v>237</v>
      </c>
      <c r="H33" s="11">
        <v>46023</v>
      </c>
      <c r="I33" s="10" t="s">
        <v>51</v>
      </c>
      <c r="J33" s="10" t="s">
        <v>52</v>
      </c>
      <c r="K33" s="10"/>
      <c r="L33" s="10">
        <v>-347</v>
      </c>
      <c r="M33" s="10"/>
      <c r="N33" s="10" t="s">
        <v>579</v>
      </c>
      <c r="O33" s="10" t="s">
        <v>578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</row>
    <row r="34" spans="1:39" x14ac:dyDescent="0.25">
      <c r="A34" s="9">
        <v>996000539</v>
      </c>
      <c r="B34" s="9" t="str">
        <f>CONCATENATE(A34,13)</f>
        <v>99600053913</v>
      </c>
      <c r="C34" s="10" t="s">
        <v>411</v>
      </c>
      <c r="D34" s="10" t="s">
        <v>412</v>
      </c>
      <c r="E34" s="10">
        <v>17859093</v>
      </c>
      <c r="F34" s="10" t="s">
        <v>222</v>
      </c>
      <c r="G34" s="10" t="s">
        <v>413</v>
      </c>
      <c r="H34" s="11">
        <v>46054</v>
      </c>
      <c r="I34" s="10" t="s">
        <v>51</v>
      </c>
      <c r="J34" s="10" t="s">
        <v>52</v>
      </c>
      <c r="K34" s="10">
        <v>1</v>
      </c>
      <c r="L34" s="12">
        <v>186.08</v>
      </c>
      <c r="M34" s="10" t="s">
        <v>238</v>
      </c>
      <c r="N34" s="10" t="s">
        <v>586</v>
      </c>
      <c r="O34" s="10" t="s">
        <v>587</v>
      </c>
      <c r="P34" s="10">
        <f>203/12*11</f>
        <v>186.08333333333334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spans="1:39" x14ac:dyDescent="0.25">
      <c r="A35" s="8" t="s">
        <v>519</v>
      </c>
      <c r="B35" s="8" t="str">
        <f t="shared" ref="B35:B66" si="3">CONCATENATE(A35,"OVR")</f>
        <v>00002677017KOVR</v>
      </c>
      <c r="C35" t="s">
        <v>45</v>
      </c>
      <c r="D35" t="s">
        <v>46</v>
      </c>
      <c r="E35">
        <v>20411454</v>
      </c>
      <c r="F35" t="s">
        <v>594</v>
      </c>
      <c r="G35" t="s">
        <v>50</v>
      </c>
      <c r="H35" s="1">
        <v>46054</v>
      </c>
      <c r="I35" t="s">
        <v>51</v>
      </c>
      <c r="J35" t="s">
        <v>52</v>
      </c>
      <c r="K35">
        <v>1</v>
      </c>
      <c r="L35" s="2">
        <v>175</v>
      </c>
      <c r="N35" t="s">
        <v>593</v>
      </c>
    </row>
    <row r="36" spans="1:39" x14ac:dyDescent="0.25">
      <c r="A36" s="8" t="s">
        <v>520</v>
      </c>
      <c r="B36" s="8" t="str">
        <f t="shared" si="3"/>
        <v>00004941354KOVR</v>
      </c>
      <c r="C36" t="s">
        <v>54</v>
      </c>
      <c r="D36" t="s">
        <v>55</v>
      </c>
      <c r="E36">
        <v>20411454</v>
      </c>
      <c r="F36" t="s">
        <v>594</v>
      </c>
      <c r="G36" t="s">
        <v>50</v>
      </c>
      <c r="H36" s="1">
        <v>46054</v>
      </c>
      <c r="I36" t="s">
        <v>51</v>
      </c>
      <c r="J36" t="s">
        <v>52</v>
      </c>
      <c r="K36">
        <v>1</v>
      </c>
      <c r="L36" s="2">
        <v>175</v>
      </c>
      <c r="N36" t="s">
        <v>593</v>
      </c>
    </row>
    <row r="37" spans="1:39" x14ac:dyDescent="0.25">
      <c r="A37" s="8" t="s">
        <v>521</v>
      </c>
      <c r="B37" s="8" t="str">
        <f t="shared" si="3"/>
        <v>00005943903KOVR</v>
      </c>
      <c r="C37" t="s">
        <v>59</v>
      </c>
      <c r="D37" t="s">
        <v>46</v>
      </c>
      <c r="E37">
        <v>20411454</v>
      </c>
      <c r="F37" t="s">
        <v>594</v>
      </c>
      <c r="G37" t="s">
        <v>50</v>
      </c>
      <c r="H37" s="1">
        <v>46054</v>
      </c>
      <c r="I37" t="s">
        <v>51</v>
      </c>
      <c r="J37" t="s">
        <v>52</v>
      </c>
      <c r="K37">
        <v>1</v>
      </c>
      <c r="L37" s="2">
        <v>175</v>
      </c>
      <c r="N37" t="s">
        <v>593</v>
      </c>
    </row>
    <row r="38" spans="1:39" x14ac:dyDescent="0.25">
      <c r="A38" s="8" t="s">
        <v>566</v>
      </c>
      <c r="B38" s="8" t="str">
        <f t="shared" si="3"/>
        <v>00006526449KOVR</v>
      </c>
      <c r="C38" t="s">
        <v>61</v>
      </c>
      <c r="D38" t="s">
        <v>62</v>
      </c>
      <c r="E38">
        <v>20411454</v>
      </c>
      <c r="F38" t="s">
        <v>594</v>
      </c>
      <c r="G38" t="s">
        <v>65</v>
      </c>
      <c r="H38" s="1">
        <v>46054</v>
      </c>
      <c r="I38" t="s">
        <v>51</v>
      </c>
      <c r="J38" t="s">
        <v>52</v>
      </c>
      <c r="K38">
        <v>1</v>
      </c>
      <c r="L38" s="2">
        <v>108</v>
      </c>
      <c r="N38" t="s">
        <v>593</v>
      </c>
    </row>
    <row r="39" spans="1:39" x14ac:dyDescent="0.25">
      <c r="A39" s="8" t="s">
        <v>522</v>
      </c>
      <c r="B39" s="8" t="str">
        <f t="shared" si="3"/>
        <v>00007176825KOVR</v>
      </c>
      <c r="C39" t="s">
        <v>67</v>
      </c>
      <c r="D39" t="s">
        <v>68</v>
      </c>
      <c r="E39">
        <v>20411454</v>
      </c>
      <c r="F39" t="s">
        <v>594</v>
      </c>
      <c r="G39" t="s">
        <v>50</v>
      </c>
      <c r="H39" s="1">
        <v>46054</v>
      </c>
      <c r="I39" t="s">
        <v>51</v>
      </c>
      <c r="J39" t="s">
        <v>52</v>
      </c>
      <c r="K39">
        <v>1</v>
      </c>
      <c r="L39" s="2">
        <v>175</v>
      </c>
      <c r="N39" t="s">
        <v>593</v>
      </c>
    </row>
    <row r="40" spans="1:39" x14ac:dyDescent="0.25">
      <c r="A40" s="8" t="s">
        <v>523</v>
      </c>
      <c r="B40" s="8" t="str">
        <f t="shared" si="3"/>
        <v>00007488122KOVR</v>
      </c>
      <c r="C40" t="s">
        <v>72</v>
      </c>
      <c r="D40" t="s">
        <v>46</v>
      </c>
      <c r="E40">
        <v>20411454</v>
      </c>
      <c r="F40" t="s">
        <v>594</v>
      </c>
      <c r="G40" t="s">
        <v>50</v>
      </c>
      <c r="H40" s="1">
        <v>46054</v>
      </c>
      <c r="I40" t="s">
        <v>51</v>
      </c>
      <c r="J40" t="s">
        <v>52</v>
      </c>
      <c r="K40">
        <v>1</v>
      </c>
      <c r="L40" s="2">
        <v>175</v>
      </c>
      <c r="N40" t="s">
        <v>593</v>
      </c>
    </row>
    <row r="41" spans="1:39" x14ac:dyDescent="0.25">
      <c r="A41" s="8" t="s">
        <v>598</v>
      </c>
      <c r="B41" s="8" t="str">
        <f t="shared" si="3"/>
        <v>00008156980KOVR</v>
      </c>
      <c r="C41" t="s">
        <v>426</v>
      </c>
      <c r="D41" t="s">
        <v>68</v>
      </c>
      <c r="E41">
        <v>20411454</v>
      </c>
      <c r="F41" t="s">
        <v>594</v>
      </c>
      <c r="G41" t="s">
        <v>65</v>
      </c>
      <c r="H41" s="1">
        <v>46023</v>
      </c>
      <c r="I41" t="s">
        <v>51</v>
      </c>
      <c r="J41" t="s">
        <v>52</v>
      </c>
      <c r="L41">
        <v>-108</v>
      </c>
      <c r="N41" t="s">
        <v>593</v>
      </c>
    </row>
    <row r="42" spans="1:39" x14ac:dyDescent="0.25">
      <c r="A42" s="8" t="s">
        <v>567</v>
      </c>
      <c r="B42" s="8" t="str">
        <f t="shared" si="3"/>
        <v>00009161020KOVR</v>
      </c>
      <c r="C42" t="s">
        <v>76</v>
      </c>
      <c r="D42" t="s">
        <v>77</v>
      </c>
      <c r="E42">
        <v>20411454</v>
      </c>
      <c r="F42" t="s">
        <v>594</v>
      </c>
      <c r="G42" t="s">
        <v>65</v>
      </c>
      <c r="H42" s="1">
        <v>46054</v>
      </c>
      <c r="I42" t="s">
        <v>51</v>
      </c>
      <c r="J42" t="s">
        <v>52</v>
      </c>
      <c r="K42">
        <v>1</v>
      </c>
      <c r="L42" s="2">
        <v>108</v>
      </c>
      <c r="N42" t="s">
        <v>593</v>
      </c>
    </row>
    <row r="43" spans="1:39" x14ac:dyDescent="0.25">
      <c r="A43" s="8" t="s">
        <v>568</v>
      </c>
      <c r="B43" s="8" t="str">
        <f t="shared" si="3"/>
        <v>00009161218KOVR</v>
      </c>
      <c r="C43" t="s">
        <v>81</v>
      </c>
      <c r="D43" t="s">
        <v>77</v>
      </c>
      <c r="E43">
        <v>20411454</v>
      </c>
      <c r="F43" t="s">
        <v>594</v>
      </c>
      <c r="G43" t="s">
        <v>65</v>
      </c>
      <c r="H43" s="1">
        <v>46054</v>
      </c>
      <c r="I43" t="s">
        <v>51</v>
      </c>
      <c r="J43" t="s">
        <v>52</v>
      </c>
      <c r="K43">
        <v>1</v>
      </c>
      <c r="L43" s="2">
        <v>108</v>
      </c>
      <c r="N43" t="s">
        <v>593</v>
      </c>
    </row>
    <row r="44" spans="1:39" x14ac:dyDescent="0.25">
      <c r="A44" s="8" t="s">
        <v>524</v>
      </c>
      <c r="B44" s="8" t="str">
        <f t="shared" si="3"/>
        <v>00011770785KOVR</v>
      </c>
      <c r="C44" t="s">
        <v>83</v>
      </c>
      <c r="D44" t="s">
        <v>68</v>
      </c>
      <c r="E44">
        <v>20411454</v>
      </c>
      <c r="F44" t="s">
        <v>594</v>
      </c>
      <c r="G44" t="s">
        <v>50</v>
      </c>
      <c r="H44" s="1">
        <v>46054</v>
      </c>
      <c r="I44" t="s">
        <v>51</v>
      </c>
      <c r="J44" t="s">
        <v>52</v>
      </c>
      <c r="K44">
        <v>1</v>
      </c>
      <c r="L44" s="2">
        <v>175</v>
      </c>
      <c r="N44" t="s">
        <v>593</v>
      </c>
    </row>
    <row r="45" spans="1:39" x14ac:dyDescent="0.25">
      <c r="A45" s="8" t="s">
        <v>569</v>
      </c>
      <c r="B45" s="8" t="str">
        <f t="shared" si="3"/>
        <v>00013610743KOVR</v>
      </c>
      <c r="C45" t="s">
        <v>87</v>
      </c>
      <c r="D45" t="s">
        <v>88</v>
      </c>
      <c r="E45">
        <v>20411454</v>
      </c>
      <c r="F45" t="s">
        <v>594</v>
      </c>
      <c r="G45" t="s">
        <v>50</v>
      </c>
      <c r="H45" s="1">
        <v>46023</v>
      </c>
      <c r="I45" t="s">
        <v>51</v>
      </c>
      <c r="J45" t="s">
        <v>52</v>
      </c>
      <c r="L45">
        <v>-161</v>
      </c>
      <c r="N45" t="s">
        <v>593</v>
      </c>
    </row>
    <row r="46" spans="1:39" x14ac:dyDescent="0.25">
      <c r="A46" s="8" t="s">
        <v>569</v>
      </c>
      <c r="B46" s="8" t="str">
        <f t="shared" si="3"/>
        <v>00013610743KOVR</v>
      </c>
      <c r="C46" t="s">
        <v>87</v>
      </c>
      <c r="D46" t="s">
        <v>88</v>
      </c>
      <c r="E46">
        <v>20411454</v>
      </c>
      <c r="F46" t="s">
        <v>594</v>
      </c>
      <c r="G46" t="s">
        <v>65</v>
      </c>
      <c r="H46" s="1">
        <v>46054</v>
      </c>
      <c r="I46" t="s">
        <v>51</v>
      </c>
      <c r="J46" t="s">
        <v>52</v>
      </c>
      <c r="K46">
        <v>1</v>
      </c>
      <c r="L46" s="2">
        <v>108</v>
      </c>
      <c r="N46" t="s">
        <v>593</v>
      </c>
    </row>
    <row r="47" spans="1:39" x14ac:dyDescent="0.25">
      <c r="A47" s="8" t="s">
        <v>600</v>
      </c>
      <c r="B47" s="8" t="str">
        <f t="shared" si="3"/>
        <v>00014164768KOVR</v>
      </c>
      <c r="C47" t="s">
        <v>432</v>
      </c>
      <c r="D47" t="s">
        <v>68</v>
      </c>
      <c r="E47">
        <v>20411454</v>
      </c>
      <c r="F47" t="s">
        <v>594</v>
      </c>
      <c r="G47" t="s">
        <v>50</v>
      </c>
      <c r="H47" s="1">
        <v>46023</v>
      </c>
      <c r="I47" t="s">
        <v>51</v>
      </c>
      <c r="J47" t="s">
        <v>52</v>
      </c>
      <c r="L47">
        <v>-161</v>
      </c>
      <c r="N47" t="s">
        <v>593</v>
      </c>
    </row>
    <row r="48" spans="1:39" x14ac:dyDescent="0.25">
      <c r="A48" s="8" t="s">
        <v>525</v>
      </c>
      <c r="B48" s="8" t="str">
        <f t="shared" si="3"/>
        <v>00014571962KOVR</v>
      </c>
      <c r="C48" t="s">
        <v>92</v>
      </c>
      <c r="D48" t="s">
        <v>68</v>
      </c>
      <c r="E48">
        <v>20411454</v>
      </c>
      <c r="F48" t="s">
        <v>594</v>
      </c>
      <c r="G48" t="s">
        <v>50</v>
      </c>
      <c r="H48" s="1">
        <v>46054</v>
      </c>
      <c r="I48" t="s">
        <v>51</v>
      </c>
      <c r="J48" t="s">
        <v>52</v>
      </c>
      <c r="K48">
        <v>1</v>
      </c>
      <c r="L48" s="2">
        <v>175</v>
      </c>
      <c r="N48" t="s">
        <v>593</v>
      </c>
    </row>
    <row r="49" spans="1:14" x14ac:dyDescent="0.25">
      <c r="A49" s="8" t="s">
        <v>526</v>
      </c>
      <c r="B49" s="8" t="str">
        <f t="shared" si="3"/>
        <v>00014737485KOVR</v>
      </c>
      <c r="C49" t="s">
        <v>94</v>
      </c>
      <c r="D49" t="s">
        <v>68</v>
      </c>
      <c r="E49">
        <v>20411454</v>
      </c>
      <c r="F49" t="s">
        <v>594</v>
      </c>
      <c r="G49" t="s">
        <v>50</v>
      </c>
      <c r="H49" s="1">
        <v>46054</v>
      </c>
      <c r="I49" t="s">
        <v>51</v>
      </c>
      <c r="J49" t="s">
        <v>52</v>
      </c>
      <c r="K49">
        <v>1</v>
      </c>
      <c r="L49" s="2">
        <v>175</v>
      </c>
      <c r="N49" t="s">
        <v>593</v>
      </c>
    </row>
    <row r="50" spans="1:14" x14ac:dyDescent="0.25">
      <c r="A50" s="8" t="s">
        <v>527</v>
      </c>
      <c r="B50" s="8" t="str">
        <f t="shared" si="3"/>
        <v>00015414906KOVR</v>
      </c>
      <c r="C50" t="s">
        <v>98</v>
      </c>
      <c r="D50" t="s">
        <v>68</v>
      </c>
      <c r="E50">
        <v>20411454</v>
      </c>
      <c r="F50" t="s">
        <v>594</v>
      </c>
      <c r="G50" t="s">
        <v>50</v>
      </c>
      <c r="H50" s="1">
        <v>46054</v>
      </c>
      <c r="I50" t="s">
        <v>51</v>
      </c>
      <c r="J50" t="s">
        <v>52</v>
      </c>
      <c r="K50">
        <v>1</v>
      </c>
      <c r="L50" s="2">
        <v>175</v>
      </c>
      <c r="N50" t="s">
        <v>593</v>
      </c>
    </row>
    <row r="51" spans="1:14" x14ac:dyDescent="0.25">
      <c r="A51" s="8" t="s">
        <v>528</v>
      </c>
      <c r="B51" s="8" t="str">
        <f t="shared" si="3"/>
        <v>00016337201KOVR</v>
      </c>
      <c r="C51" t="s">
        <v>100</v>
      </c>
      <c r="D51" t="s">
        <v>68</v>
      </c>
      <c r="E51">
        <v>20411454</v>
      </c>
      <c r="F51" t="s">
        <v>594</v>
      </c>
      <c r="G51" t="s">
        <v>50</v>
      </c>
      <c r="H51" s="1">
        <v>46054</v>
      </c>
      <c r="I51" t="s">
        <v>51</v>
      </c>
      <c r="J51" t="s">
        <v>52</v>
      </c>
      <c r="K51">
        <v>1</v>
      </c>
      <c r="L51" s="2">
        <v>175</v>
      </c>
      <c r="N51" t="s">
        <v>593</v>
      </c>
    </row>
    <row r="52" spans="1:14" x14ac:dyDescent="0.25">
      <c r="A52" s="8" t="s">
        <v>529</v>
      </c>
      <c r="B52" s="8" t="str">
        <f t="shared" si="3"/>
        <v>00016933673KOVR</v>
      </c>
      <c r="C52" t="s">
        <v>102</v>
      </c>
      <c r="D52" t="s">
        <v>46</v>
      </c>
      <c r="E52">
        <v>20411454</v>
      </c>
      <c r="F52" t="s">
        <v>594</v>
      </c>
      <c r="G52" t="s">
        <v>50</v>
      </c>
      <c r="H52" s="1">
        <v>46054</v>
      </c>
      <c r="I52" t="s">
        <v>51</v>
      </c>
      <c r="J52" t="s">
        <v>52</v>
      </c>
      <c r="K52">
        <v>1</v>
      </c>
      <c r="L52" s="2">
        <v>175</v>
      </c>
      <c r="N52" t="s">
        <v>593</v>
      </c>
    </row>
    <row r="53" spans="1:14" x14ac:dyDescent="0.25">
      <c r="A53" s="8" t="s">
        <v>530</v>
      </c>
      <c r="B53" s="8" t="str">
        <f t="shared" si="3"/>
        <v>00017444349KOVR</v>
      </c>
      <c r="C53" t="s">
        <v>104</v>
      </c>
      <c r="D53" t="s">
        <v>68</v>
      </c>
      <c r="E53">
        <v>20411454</v>
      </c>
      <c r="F53" t="s">
        <v>594</v>
      </c>
      <c r="G53" t="s">
        <v>50</v>
      </c>
      <c r="H53" s="1">
        <v>46054</v>
      </c>
      <c r="I53" t="s">
        <v>51</v>
      </c>
      <c r="J53" t="s">
        <v>52</v>
      </c>
      <c r="K53">
        <v>1</v>
      </c>
      <c r="L53" s="2">
        <v>175</v>
      </c>
      <c r="N53" t="s">
        <v>593</v>
      </c>
    </row>
    <row r="54" spans="1:14" x14ac:dyDescent="0.25">
      <c r="A54" s="8" t="s">
        <v>531</v>
      </c>
      <c r="B54" s="8" t="str">
        <f t="shared" si="3"/>
        <v>00018270287KOVR</v>
      </c>
      <c r="C54" t="s">
        <v>108</v>
      </c>
      <c r="D54" t="s">
        <v>68</v>
      </c>
      <c r="E54">
        <v>20411454</v>
      </c>
      <c r="F54" t="s">
        <v>594</v>
      </c>
      <c r="G54" t="s">
        <v>50</v>
      </c>
      <c r="H54" s="1">
        <v>46054</v>
      </c>
      <c r="I54" t="s">
        <v>51</v>
      </c>
      <c r="J54" t="s">
        <v>52</v>
      </c>
      <c r="K54">
        <v>1</v>
      </c>
      <c r="L54" s="2">
        <v>175</v>
      </c>
      <c r="N54" t="s">
        <v>593</v>
      </c>
    </row>
    <row r="55" spans="1:14" x14ac:dyDescent="0.25">
      <c r="A55" s="8" t="s">
        <v>532</v>
      </c>
      <c r="B55" s="8" t="str">
        <f t="shared" si="3"/>
        <v>00019151670KOVR</v>
      </c>
      <c r="C55" t="s">
        <v>110</v>
      </c>
      <c r="D55" t="s">
        <v>111</v>
      </c>
      <c r="E55">
        <v>20411454</v>
      </c>
      <c r="F55" t="s">
        <v>594</v>
      </c>
      <c r="G55" t="s">
        <v>50</v>
      </c>
      <c r="H55" s="1">
        <v>46054</v>
      </c>
      <c r="I55" t="s">
        <v>51</v>
      </c>
      <c r="J55" t="s">
        <v>52</v>
      </c>
      <c r="K55">
        <v>1</v>
      </c>
      <c r="L55" s="2">
        <v>175</v>
      </c>
      <c r="N55" t="s">
        <v>593</v>
      </c>
    </row>
    <row r="56" spans="1:14" x14ac:dyDescent="0.25">
      <c r="A56" s="8" t="s">
        <v>601</v>
      </c>
      <c r="B56" s="8" t="str">
        <f t="shared" si="3"/>
        <v>00019883428KOVR</v>
      </c>
      <c r="C56" t="s">
        <v>434</v>
      </c>
      <c r="D56" t="s">
        <v>68</v>
      </c>
      <c r="E56">
        <v>20411454</v>
      </c>
      <c r="F56" t="s">
        <v>594</v>
      </c>
      <c r="G56" t="s">
        <v>50</v>
      </c>
      <c r="H56" s="1">
        <v>46023</v>
      </c>
      <c r="I56" t="s">
        <v>51</v>
      </c>
      <c r="J56" t="s">
        <v>52</v>
      </c>
      <c r="L56">
        <v>-161</v>
      </c>
      <c r="N56" t="s">
        <v>593</v>
      </c>
    </row>
    <row r="57" spans="1:14" x14ac:dyDescent="0.25">
      <c r="A57" s="8" t="s">
        <v>570</v>
      </c>
      <c r="B57" s="8" t="str">
        <f t="shared" si="3"/>
        <v>00019992467KOVR</v>
      </c>
      <c r="C57" t="s">
        <v>113</v>
      </c>
      <c r="D57" t="s">
        <v>68</v>
      </c>
      <c r="E57">
        <v>20411454</v>
      </c>
      <c r="F57" t="s">
        <v>594</v>
      </c>
      <c r="G57" t="s">
        <v>65</v>
      </c>
      <c r="H57" s="1">
        <v>46054</v>
      </c>
      <c r="I57" t="s">
        <v>51</v>
      </c>
      <c r="J57" t="s">
        <v>52</v>
      </c>
      <c r="K57">
        <v>1</v>
      </c>
      <c r="L57" s="2">
        <v>108</v>
      </c>
      <c r="N57" t="s">
        <v>593</v>
      </c>
    </row>
    <row r="58" spans="1:14" x14ac:dyDescent="0.25">
      <c r="A58" s="8" t="s">
        <v>608</v>
      </c>
      <c r="B58" s="8" t="str">
        <f t="shared" si="3"/>
        <v>00021024359KOVR</v>
      </c>
      <c r="C58" t="s">
        <v>436</v>
      </c>
      <c r="D58" t="s">
        <v>437</v>
      </c>
      <c r="E58">
        <v>20411454</v>
      </c>
      <c r="F58" t="s">
        <v>594</v>
      </c>
      <c r="G58" t="s">
        <v>65</v>
      </c>
      <c r="H58" s="1">
        <v>46023</v>
      </c>
      <c r="I58" t="s">
        <v>51</v>
      </c>
      <c r="J58" t="s">
        <v>52</v>
      </c>
      <c r="L58">
        <v>-99.36</v>
      </c>
      <c r="N58" t="s">
        <v>593</v>
      </c>
    </row>
    <row r="59" spans="1:14" x14ac:dyDescent="0.25">
      <c r="A59" s="8" t="s">
        <v>533</v>
      </c>
      <c r="B59" s="8" t="str">
        <f t="shared" si="3"/>
        <v>00022419002KOVR</v>
      </c>
      <c r="C59" t="s">
        <v>115</v>
      </c>
      <c r="D59" t="s">
        <v>68</v>
      </c>
      <c r="E59">
        <v>20411454</v>
      </c>
      <c r="F59" t="s">
        <v>594</v>
      </c>
      <c r="G59" t="s">
        <v>50</v>
      </c>
      <c r="H59" s="1">
        <v>46054</v>
      </c>
      <c r="I59" t="s">
        <v>51</v>
      </c>
      <c r="J59" t="s">
        <v>52</v>
      </c>
      <c r="K59">
        <v>1</v>
      </c>
      <c r="L59" s="2">
        <v>175</v>
      </c>
      <c r="N59" t="s">
        <v>593</v>
      </c>
    </row>
    <row r="60" spans="1:14" x14ac:dyDescent="0.25">
      <c r="A60" s="8" t="s">
        <v>534</v>
      </c>
      <c r="B60" s="8" t="str">
        <f t="shared" si="3"/>
        <v>00022419424KOVR</v>
      </c>
      <c r="C60" t="s">
        <v>119</v>
      </c>
      <c r="D60" t="s">
        <v>68</v>
      </c>
      <c r="E60">
        <v>20411454</v>
      </c>
      <c r="F60" t="s">
        <v>594</v>
      </c>
      <c r="G60" t="s">
        <v>50</v>
      </c>
      <c r="H60" s="1">
        <v>46054</v>
      </c>
      <c r="I60" t="s">
        <v>51</v>
      </c>
      <c r="J60" t="s">
        <v>52</v>
      </c>
      <c r="K60">
        <v>1</v>
      </c>
      <c r="L60" s="2">
        <v>175</v>
      </c>
      <c r="N60" t="s">
        <v>593</v>
      </c>
    </row>
    <row r="61" spans="1:14" x14ac:dyDescent="0.25">
      <c r="A61" s="8" t="s">
        <v>535</v>
      </c>
      <c r="B61" s="8" t="str">
        <f t="shared" si="3"/>
        <v>00022601965KOVR</v>
      </c>
      <c r="C61" t="s">
        <v>121</v>
      </c>
      <c r="D61" t="s">
        <v>68</v>
      </c>
      <c r="E61">
        <v>20411454</v>
      </c>
      <c r="F61" t="s">
        <v>594</v>
      </c>
      <c r="G61" t="s">
        <v>50</v>
      </c>
      <c r="H61" s="1">
        <v>46054</v>
      </c>
      <c r="I61" t="s">
        <v>51</v>
      </c>
      <c r="J61" t="s">
        <v>52</v>
      </c>
      <c r="K61">
        <v>1</v>
      </c>
      <c r="L61" s="2">
        <v>175</v>
      </c>
      <c r="N61" t="s">
        <v>593</v>
      </c>
    </row>
    <row r="62" spans="1:14" x14ac:dyDescent="0.25">
      <c r="A62" s="8" t="s">
        <v>536</v>
      </c>
      <c r="B62" s="8" t="str">
        <f t="shared" si="3"/>
        <v>00022981136KOVR</v>
      </c>
      <c r="C62" t="s">
        <v>125</v>
      </c>
      <c r="D62" t="s">
        <v>68</v>
      </c>
      <c r="E62">
        <v>20411454</v>
      </c>
      <c r="F62" t="s">
        <v>594</v>
      </c>
      <c r="G62" t="s">
        <v>50</v>
      </c>
      <c r="H62" s="1">
        <v>46054</v>
      </c>
      <c r="I62" t="s">
        <v>51</v>
      </c>
      <c r="J62" t="s">
        <v>52</v>
      </c>
      <c r="K62">
        <v>1</v>
      </c>
      <c r="L62" s="2">
        <v>175</v>
      </c>
      <c r="N62" t="s">
        <v>593</v>
      </c>
    </row>
    <row r="63" spans="1:14" x14ac:dyDescent="0.25">
      <c r="A63" s="8" t="s">
        <v>599</v>
      </c>
      <c r="B63" s="8" t="str">
        <f t="shared" si="3"/>
        <v>00023114640KOVR</v>
      </c>
      <c r="C63" t="s">
        <v>441</v>
      </c>
      <c r="D63" t="s">
        <v>68</v>
      </c>
      <c r="E63">
        <v>20411454</v>
      </c>
      <c r="F63" t="s">
        <v>594</v>
      </c>
      <c r="G63" t="s">
        <v>65</v>
      </c>
      <c r="H63" s="1">
        <v>46023</v>
      </c>
      <c r="I63" t="s">
        <v>51</v>
      </c>
      <c r="J63" t="s">
        <v>52</v>
      </c>
      <c r="L63">
        <v>-108</v>
      </c>
      <c r="N63" t="s">
        <v>593</v>
      </c>
    </row>
    <row r="64" spans="1:14" x14ac:dyDescent="0.25">
      <c r="A64" s="8" t="s">
        <v>537</v>
      </c>
      <c r="B64" s="8" t="str">
        <f t="shared" si="3"/>
        <v>00023709048KOVR</v>
      </c>
      <c r="C64" t="s">
        <v>127</v>
      </c>
      <c r="D64" t="s">
        <v>62</v>
      </c>
      <c r="E64">
        <v>20411454</v>
      </c>
      <c r="F64" t="s">
        <v>594</v>
      </c>
      <c r="G64" t="s">
        <v>50</v>
      </c>
      <c r="H64" s="1">
        <v>46023</v>
      </c>
      <c r="I64" t="s">
        <v>51</v>
      </c>
      <c r="J64" t="s">
        <v>52</v>
      </c>
      <c r="K64">
        <v>1</v>
      </c>
      <c r="L64" s="2">
        <v>175</v>
      </c>
      <c r="N64" t="s">
        <v>593</v>
      </c>
    </row>
    <row r="65" spans="1:14" x14ac:dyDescent="0.25">
      <c r="A65" s="8" t="s">
        <v>571</v>
      </c>
      <c r="B65" s="8" t="str">
        <f t="shared" si="3"/>
        <v>00023848950KOVR</v>
      </c>
      <c r="C65" t="s">
        <v>129</v>
      </c>
      <c r="D65" t="s">
        <v>68</v>
      </c>
      <c r="E65">
        <v>20411454</v>
      </c>
      <c r="F65" t="s">
        <v>594</v>
      </c>
      <c r="G65" t="s">
        <v>50</v>
      </c>
      <c r="H65" s="1">
        <v>46023</v>
      </c>
      <c r="I65" t="s">
        <v>51</v>
      </c>
      <c r="J65" t="s">
        <v>52</v>
      </c>
      <c r="L65">
        <v>-161</v>
      </c>
      <c r="N65" t="s">
        <v>593</v>
      </c>
    </row>
    <row r="66" spans="1:14" x14ac:dyDescent="0.25">
      <c r="A66" s="8" t="s">
        <v>571</v>
      </c>
      <c r="B66" s="8" t="str">
        <f t="shared" si="3"/>
        <v>00023848950KOVR</v>
      </c>
      <c r="C66" t="s">
        <v>129</v>
      </c>
      <c r="D66" t="s">
        <v>68</v>
      </c>
      <c r="E66">
        <v>20411454</v>
      </c>
      <c r="F66" t="s">
        <v>594</v>
      </c>
      <c r="G66" t="s">
        <v>65</v>
      </c>
      <c r="H66" s="1">
        <v>46054</v>
      </c>
      <c r="I66" t="s">
        <v>51</v>
      </c>
      <c r="J66" t="s">
        <v>52</v>
      </c>
      <c r="K66">
        <v>1</v>
      </c>
      <c r="L66" s="2">
        <v>108</v>
      </c>
      <c r="N66" t="s">
        <v>593</v>
      </c>
    </row>
    <row r="67" spans="1:14" x14ac:dyDescent="0.25">
      <c r="A67" s="8" t="s">
        <v>572</v>
      </c>
      <c r="B67" s="8" t="str">
        <f t="shared" ref="B67:B98" si="4">CONCATENATE(A67,"OVR")</f>
        <v>00024215659KOVR</v>
      </c>
      <c r="C67" t="s">
        <v>133</v>
      </c>
      <c r="D67" t="s">
        <v>68</v>
      </c>
      <c r="E67">
        <v>20411454</v>
      </c>
      <c r="F67" t="s">
        <v>594</v>
      </c>
      <c r="G67" t="s">
        <v>50</v>
      </c>
      <c r="H67" s="1">
        <v>46023</v>
      </c>
      <c r="I67" t="s">
        <v>51</v>
      </c>
      <c r="J67" t="s">
        <v>52</v>
      </c>
      <c r="L67">
        <v>-161</v>
      </c>
      <c r="N67" t="s">
        <v>593</v>
      </c>
    </row>
    <row r="68" spans="1:14" x14ac:dyDescent="0.25">
      <c r="A68" s="8" t="s">
        <v>572</v>
      </c>
      <c r="B68" s="8" t="str">
        <f t="shared" si="4"/>
        <v>00024215659KOVR</v>
      </c>
      <c r="C68" t="s">
        <v>133</v>
      </c>
      <c r="D68" t="s">
        <v>68</v>
      </c>
      <c r="E68">
        <v>20411454</v>
      </c>
      <c r="F68" t="s">
        <v>594</v>
      </c>
      <c r="G68" t="s">
        <v>65</v>
      </c>
      <c r="H68" s="1">
        <v>46054</v>
      </c>
      <c r="I68" t="s">
        <v>51</v>
      </c>
      <c r="J68" t="s">
        <v>52</v>
      </c>
      <c r="K68">
        <v>1</v>
      </c>
      <c r="L68" s="2">
        <v>108</v>
      </c>
      <c r="N68" t="s">
        <v>593</v>
      </c>
    </row>
    <row r="69" spans="1:14" x14ac:dyDescent="0.25">
      <c r="A69" s="8" t="s">
        <v>595</v>
      </c>
      <c r="B69" s="8" t="str">
        <f t="shared" si="4"/>
        <v>00024259206KOVR</v>
      </c>
      <c r="C69" t="s">
        <v>445</v>
      </c>
      <c r="D69" t="s">
        <v>68</v>
      </c>
      <c r="E69">
        <v>20411454</v>
      </c>
      <c r="F69" t="s">
        <v>594</v>
      </c>
      <c r="G69" t="s">
        <v>50</v>
      </c>
      <c r="H69" s="1">
        <v>46023</v>
      </c>
      <c r="I69" t="s">
        <v>51</v>
      </c>
      <c r="J69" t="s">
        <v>52</v>
      </c>
      <c r="L69">
        <v>-175</v>
      </c>
      <c r="N69" t="s">
        <v>593</v>
      </c>
    </row>
    <row r="70" spans="1:14" x14ac:dyDescent="0.25">
      <c r="A70" s="8" t="s">
        <v>538</v>
      </c>
      <c r="B70" s="8" t="str">
        <f t="shared" si="4"/>
        <v>00024316696KOVR</v>
      </c>
      <c r="C70" t="s">
        <v>135</v>
      </c>
      <c r="D70" t="s">
        <v>68</v>
      </c>
      <c r="E70">
        <v>20411454</v>
      </c>
      <c r="F70" t="s">
        <v>594</v>
      </c>
      <c r="G70" t="s">
        <v>50</v>
      </c>
      <c r="H70" s="1">
        <v>46023</v>
      </c>
      <c r="I70" t="s">
        <v>51</v>
      </c>
      <c r="J70" t="s">
        <v>52</v>
      </c>
      <c r="K70">
        <v>1</v>
      </c>
      <c r="L70" s="2">
        <v>175</v>
      </c>
      <c r="N70" t="s">
        <v>593</v>
      </c>
    </row>
    <row r="71" spans="1:14" x14ac:dyDescent="0.25">
      <c r="A71" s="8" t="s">
        <v>539</v>
      </c>
      <c r="B71" s="8" t="str">
        <f t="shared" si="4"/>
        <v>00024444212KOVR</v>
      </c>
      <c r="C71" t="s">
        <v>139</v>
      </c>
      <c r="D71" t="s">
        <v>68</v>
      </c>
      <c r="E71">
        <v>20411454</v>
      </c>
      <c r="F71" t="s">
        <v>594</v>
      </c>
      <c r="G71" t="s">
        <v>50</v>
      </c>
      <c r="H71" s="1">
        <v>46054</v>
      </c>
      <c r="I71" t="s">
        <v>51</v>
      </c>
      <c r="J71" t="s">
        <v>52</v>
      </c>
      <c r="K71">
        <v>1</v>
      </c>
      <c r="L71" s="2">
        <v>175</v>
      </c>
      <c r="N71" t="s">
        <v>593</v>
      </c>
    </row>
    <row r="72" spans="1:14" x14ac:dyDescent="0.25">
      <c r="A72" s="8" t="s">
        <v>540</v>
      </c>
      <c r="B72" s="8" t="str">
        <f t="shared" si="4"/>
        <v>00024459001KOVR</v>
      </c>
      <c r="C72" t="s">
        <v>143</v>
      </c>
      <c r="D72" t="s">
        <v>68</v>
      </c>
      <c r="E72">
        <v>20411454</v>
      </c>
      <c r="F72" t="s">
        <v>594</v>
      </c>
      <c r="G72" t="s">
        <v>50</v>
      </c>
      <c r="H72" s="1">
        <v>46023</v>
      </c>
      <c r="I72" t="s">
        <v>51</v>
      </c>
      <c r="J72" t="s">
        <v>52</v>
      </c>
      <c r="K72">
        <v>1</v>
      </c>
      <c r="L72" s="2">
        <v>175</v>
      </c>
      <c r="N72" t="s">
        <v>593</v>
      </c>
    </row>
    <row r="73" spans="1:14" x14ac:dyDescent="0.25">
      <c r="A73" s="8" t="s">
        <v>596</v>
      </c>
      <c r="B73" s="8" t="str">
        <f t="shared" si="4"/>
        <v>00024578509KOVR</v>
      </c>
      <c r="C73" t="s">
        <v>447</v>
      </c>
      <c r="D73" t="s">
        <v>68</v>
      </c>
      <c r="E73">
        <v>20411454</v>
      </c>
      <c r="F73" t="s">
        <v>594</v>
      </c>
      <c r="G73" t="s">
        <v>50</v>
      </c>
      <c r="H73" s="1">
        <v>46023</v>
      </c>
      <c r="I73" t="s">
        <v>51</v>
      </c>
      <c r="J73" t="s">
        <v>52</v>
      </c>
      <c r="L73">
        <v>-175</v>
      </c>
      <c r="N73" t="s">
        <v>593</v>
      </c>
    </row>
    <row r="74" spans="1:14" x14ac:dyDescent="0.25">
      <c r="A74" s="8" t="s">
        <v>602</v>
      </c>
      <c r="B74" s="8" t="str">
        <f t="shared" si="4"/>
        <v>00024669704KOVR</v>
      </c>
      <c r="C74" t="s">
        <v>449</v>
      </c>
      <c r="D74" t="s">
        <v>152</v>
      </c>
      <c r="E74">
        <v>20411454</v>
      </c>
      <c r="F74" t="s">
        <v>594</v>
      </c>
      <c r="G74" t="s">
        <v>50</v>
      </c>
      <c r="H74" s="1">
        <v>46023</v>
      </c>
      <c r="I74" t="s">
        <v>51</v>
      </c>
      <c r="J74" t="s">
        <v>52</v>
      </c>
      <c r="L74">
        <v>-161</v>
      </c>
      <c r="N74" t="s">
        <v>593</v>
      </c>
    </row>
    <row r="75" spans="1:14" x14ac:dyDescent="0.25">
      <c r="A75" s="8" t="s">
        <v>603</v>
      </c>
      <c r="B75" s="8" t="str">
        <f t="shared" si="4"/>
        <v>00024955998KOVR</v>
      </c>
      <c r="C75" t="s">
        <v>451</v>
      </c>
      <c r="D75" t="s">
        <v>452</v>
      </c>
      <c r="E75">
        <v>20411454</v>
      </c>
      <c r="F75" t="s">
        <v>594</v>
      </c>
      <c r="G75" t="s">
        <v>50</v>
      </c>
      <c r="H75" s="1">
        <v>46023</v>
      </c>
      <c r="I75" t="s">
        <v>51</v>
      </c>
      <c r="J75" t="s">
        <v>52</v>
      </c>
      <c r="L75">
        <v>-161</v>
      </c>
      <c r="N75" t="s">
        <v>593</v>
      </c>
    </row>
    <row r="76" spans="1:14" x14ac:dyDescent="0.25">
      <c r="A76" s="8" t="s">
        <v>597</v>
      </c>
      <c r="B76" s="8" t="str">
        <f t="shared" si="4"/>
        <v>00025035914KOVR</v>
      </c>
      <c r="C76" t="s">
        <v>454</v>
      </c>
      <c r="D76" t="s">
        <v>68</v>
      </c>
      <c r="E76">
        <v>20411454</v>
      </c>
      <c r="F76" t="s">
        <v>594</v>
      </c>
      <c r="G76" t="s">
        <v>50</v>
      </c>
      <c r="H76" s="1">
        <v>46023</v>
      </c>
      <c r="I76" t="s">
        <v>51</v>
      </c>
      <c r="J76" t="s">
        <v>52</v>
      </c>
      <c r="L76">
        <v>-175</v>
      </c>
      <c r="N76" t="s">
        <v>593</v>
      </c>
    </row>
    <row r="77" spans="1:14" x14ac:dyDescent="0.25">
      <c r="A77" s="8" t="s">
        <v>604</v>
      </c>
      <c r="B77" s="8" t="str">
        <f t="shared" si="4"/>
        <v>00025245679KOVR</v>
      </c>
      <c r="C77" t="s">
        <v>456</v>
      </c>
      <c r="D77" t="s">
        <v>68</v>
      </c>
      <c r="E77">
        <v>20411454</v>
      </c>
      <c r="F77" t="s">
        <v>594</v>
      </c>
      <c r="G77" t="s">
        <v>50</v>
      </c>
      <c r="H77" s="1">
        <v>46023</v>
      </c>
      <c r="I77" t="s">
        <v>51</v>
      </c>
      <c r="J77" t="s">
        <v>52</v>
      </c>
      <c r="L77">
        <v>-161</v>
      </c>
      <c r="N77" t="s">
        <v>593</v>
      </c>
    </row>
    <row r="78" spans="1:14" x14ac:dyDescent="0.25">
      <c r="A78" s="8" t="s">
        <v>573</v>
      </c>
      <c r="B78" s="8" t="str">
        <f t="shared" si="4"/>
        <v>00025246244KOVR</v>
      </c>
      <c r="C78" t="s">
        <v>147</v>
      </c>
      <c r="D78" t="s">
        <v>68</v>
      </c>
      <c r="E78">
        <v>20411454</v>
      </c>
      <c r="F78" t="s">
        <v>594</v>
      </c>
      <c r="G78" t="s">
        <v>65</v>
      </c>
      <c r="H78" s="1">
        <v>46054</v>
      </c>
      <c r="I78" t="s">
        <v>51</v>
      </c>
      <c r="J78" t="s">
        <v>52</v>
      </c>
      <c r="K78">
        <v>1</v>
      </c>
      <c r="L78" s="2">
        <v>108</v>
      </c>
      <c r="N78" t="s">
        <v>593</v>
      </c>
    </row>
    <row r="79" spans="1:14" x14ac:dyDescent="0.25">
      <c r="A79" s="8" t="s">
        <v>605</v>
      </c>
      <c r="B79" s="8" t="str">
        <f t="shared" si="4"/>
        <v>00025302973KOVR</v>
      </c>
      <c r="C79" t="s">
        <v>458</v>
      </c>
      <c r="D79" t="s">
        <v>68</v>
      </c>
      <c r="E79">
        <v>20411454</v>
      </c>
      <c r="F79" t="s">
        <v>594</v>
      </c>
      <c r="G79" t="s">
        <v>50</v>
      </c>
      <c r="H79" s="1">
        <v>46023</v>
      </c>
      <c r="I79" t="s">
        <v>51</v>
      </c>
      <c r="J79" t="s">
        <v>52</v>
      </c>
      <c r="L79">
        <v>-161</v>
      </c>
      <c r="N79" t="s">
        <v>593</v>
      </c>
    </row>
    <row r="80" spans="1:14" x14ac:dyDescent="0.25">
      <c r="A80" s="8" t="s">
        <v>606</v>
      </c>
      <c r="B80" s="8" t="str">
        <f t="shared" si="4"/>
        <v>00025600991KOVR</v>
      </c>
      <c r="C80" t="s">
        <v>460</v>
      </c>
      <c r="D80" t="s">
        <v>152</v>
      </c>
      <c r="E80">
        <v>20411454</v>
      </c>
      <c r="F80" t="s">
        <v>594</v>
      </c>
      <c r="G80" t="s">
        <v>50</v>
      </c>
      <c r="H80" s="1">
        <v>46023</v>
      </c>
      <c r="I80" t="s">
        <v>51</v>
      </c>
      <c r="J80" t="s">
        <v>52</v>
      </c>
      <c r="L80">
        <v>-161</v>
      </c>
      <c r="N80" t="s">
        <v>593</v>
      </c>
    </row>
    <row r="81" spans="1:14" x14ac:dyDescent="0.25">
      <c r="A81" s="8" t="s">
        <v>607</v>
      </c>
      <c r="B81" s="8" t="str">
        <f t="shared" si="4"/>
        <v>00025871591KOVR</v>
      </c>
      <c r="C81" t="s">
        <v>462</v>
      </c>
      <c r="D81" t="s">
        <v>68</v>
      </c>
      <c r="E81">
        <v>20411454</v>
      </c>
      <c r="F81" t="s">
        <v>594</v>
      </c>
      <c r="G81" t="s">
        <v>50</v>
      </c>
      <c r="H81" s="1">
        <v>46023</v>
      </c>
      <c r="I81" t="s">
        <v>51</v>
      </c>
      <c r="J81" t="s">
        <v>52</v>
      </c>
      <c r="L81">
        <v>-161</v>
      </c>
      <c r="N81" t="s">
        <v>593</v>
      </c>
    </row>
    <row r="82" spans="1:14" x14ac:dyDescent="0.25">
      <c r="A82" s="8" t="s">
        <v>541</v>
      </c>
      <c r="B82" s="8" t="str">
        <f t="shared" si="4"/>
        <v>00025896536KOVR</v>
      </c>
      <c r="C82" t="s">
        <v>151</v>
      </c>
      <c r="D82" t="s">
        <v>152</v>
      </c>
      <c r="E82">
        <v>20411454</v>
      </c>
      <c r="F82" t="s">
        <v>594</v>
      </c>
      <c r="G82" t="s">
        <v>50</v>
      </c>
      <c r="H82" s="1">
        <v>46054</v>
      </c>
      <c r="I82" t="s">
        <v>51</v>
      </c>
      <c r="J82" t="s">
        <v>52</v>
      </c>
      <c r="K82">
        <v>1</v>
      </c>
      <c r="L82" s="2">
        <v>175</v>
      </c>
      <c r="N82" t="s">
        <v>593</v>
      </c>
    </row>
    <row r="83" spans="1:14" x14ac:dyDescent="0.25">
      <c r="A83" s="8" t="s">
        <v>542</v>
      </c>
      <c r="B83" s="8" t="str">
        <f t="shared" si="4"/>
        <v>00025902753KOVR</v>
      </c>
      <c r="C83" t="s">
        <v>156</v>
      </c>
      <c r="D83" t="s">
        <v>68</v>
      </c>
      <c r="E83">
        <v>20411454</v>
      </c>
      <c r="F83" t="s">
        <v>594</v>
      </c>
      <c r="G83" t="s">
        <v>50</v>
      </c>
      <c r="H83" s="1">
        <v>46054</v>
      </c>
      <c r="I83" t="s">
        <v>51</v>
      </c>
      <c r="J83" t="s">
        <v>52</v>
      </c>
      <c r="K83">
        <v>1</v>
      </c>
      <c r="L83" s="2">
        <v>175</v>
      </c>
      <c r="N83" t="s">
        <v>593</v>
      </c>
    </row>
    <row r="84" spans="1:14" x14ac:dyDescent="0.25">
      <c r="A84" s="8" t="s">
        <v>543</v>
      </c>
      <c r="B84" s="8" t="str">
        <f t="shared" si="4"/>
        <v>00025903141KOVR</v>
      </c>
      <c r="C84" t="s">
        <v>158</v>
      </c>
      <c r="D84" t="s">
        <v>159</v>
      </c>
      <c r="E84">
        <v>20411454</v>
      </c>
      <c r="F84" t="s">
        <v>594</v>
      </c>
      <c r="G84" t="s">
        <v>50</v>
      </c>
      <c r="H84" s="1">
        <v>46054</v>
      </c>
      <c r="I84" t="s">
        <v>51</v>
      </c>
      <c r="J84" t="s">
        <v>52</v>
      </c>
      <c r="K84">
        <v>1</v>
      </c>
      <c r="L84" s="2">
        <v>175</v>
      </c>
      <c r="N84" t="s">
        <v>593</v>
      </c>
    </row>
    <row r="85" spans="1:14" x14ac:dyDescent="0.25">
      <c r="A85" s="8" t="s">
        <v>544</v>
      </c>
      <c r="B85" s="8" t="str">
        <f t="shared" si="4"/>
        <v>00025907201KOVR</v>
      </c>
      <c r="C85" t="s">
        <v>161</v>
      </c>
      <c r="D85" t="s">
        <v>68</v>
      </c>
      <c r="E85">
        <v>20411454</v>
      </c>
      <c r="F85" t="s">
        <v>594</v>
      </c>
      <c r="G85" t="s">
        <v>50</v>
      </c>
      <c r="H85" s="1">
        <v>46054</v>
      </c>
      <c r="I85" t="s">
        <v>51</v>
      </c>
      <c r="J85" t="s">
        <v>52</v>
      </c>
      <c r="K85">
        <v>1</v>
      </c>
      <c r="L85" s="2">
        <v>175</v>
      </c>
      <c r="N85" t="s">
        <v>593</v>
      </c>
    </row>
    <row r="86" spans="1:14" x14ac:dyDescent="0.25">
      <c r="A86" s="8" t="s">
        <v>545</v>
      </c>
      <c r="B86" s="8" t="str">
        <f t="shared" si="4"/>
        <v>00025907722KOVR</v>
      </c>
      <c r="C86" t="s">
        <v>163</v>
      </c>
      <c r="D86" t="s">
        <v>68</v>
      </c>
      <c r="E86">
        <v>20411454</v>
      </c>
      <c r="F86" t="s">
        <v>594</v>
      </c>
      <c r="G86" t="s">
        <v>50</v>
      </c>
      <c r="H86" s="1">
        <v>46054</v>
      </c>
      <c r="I86" t="s">
        <v>51</v>
      </c>
      <c r="J86" t="s">
        <v>52</v>
      </c>
      <c r="K86">
        <v>1</v>
      </c>
      <c r="L86" s="2">
        <v>175</v>
      </c>
      <c r="N86" t="s">
        <v>593</v>
      </c>
    </row>
    <row r="87" spans="1:14" x14ac:dyDescent="0.25">
      <c r="A87" s="8" t="s">
        <v>546</v>
      </c>
      <c r="B87" s="8" t="str">
        <f t="shared" si="4"/>
        <v>00025908687KOVR</v>
      </c>
      <c r="C87" t="s">
        <v>165</v>
      </c>
      <c r="D87" t="s">
        <v>68</v>
      </c>
      <c r="E87">
        <v>20411454</v>
      </c>
      <c r="F87" t="s">
        <v>594</v>
      </c>
      <c r="G87" t="s">
        <v>50</v>
      </c>
      <c r="H87" s="1">
        <v>46054</v>
      </c>
      <c r="I87" t="s">
        <v>51</v>
      </c>
      <c r="J87" t="s">
        <v>52</v>
      </c>
      <c r="K87">
        <v>1</v>
      </c>
      <c r="L87" s="2">
        <v>175</v>
      </c>
      <c r="N87" t="s">
        <v>593</v>
      </c>
    </row>
    <row r="88" spans="1:14" x14ac:dyDescent="0.25">
      <c r="A88" s="8" t="s">
        <v>547</v>
      </c>
      <c r="B88" s="8" t="str">
        <f t="shared" si="4"/>
        <v>00025911940KOVR</v>
      </c>
      <c r="C88" t="s">
        <v>167</v>
      </c>
      <c r="D88" t="s">
        <v>68</v>
      </c>
      <c r="E88">
        <v>20411454</v>
      </c>
      <c r="F88" t="s">
        <v>594</v>
      </c>
      <c r="G88" t="s">
        <v>50</v>
      </c>
      <c r="H88" s="1">
        <v>46054</v>
      </c>
      <c r="I88" t="s">
        <v>51</v>
      </c>
      <c r="J88" t="s">
        <v>52</v>
      </c>
      <c r="K88">
        <v>1</v>
      </c>
      <c r="L88" s="2">
        <v>175</v>
      </c>
      <c r="N88" t="s">
        <v>593</v>
      </c>
    </row>
    <row r="89" spans="1:14" x14ac:dyDescent="0.25">
      <c r="A89" s="8" t="s">
        <v>548</v>
      </c>
      <c r="B89" s="8" t="str">
        <f t="shared" si="4"/>
        <v>00025911948KOVR</v>
      </c>
      <c r="C89" t="s">
        <v>171</v>
      </c>
      <c r="D89" t="s">
        <v>77</v>
      </c>
      <c r="E89">
        <v>20411454</v>
      </c>
      <c r="F89" t="s">
        <v>594</v>
      </c>
      <c r="G89" t="s">
        <v>50</v>
      </c>
      <c r="H89" s="1">
        <v>46054</v>
      </c>
      <c r="I89" t="s">
        <v>51</v>
      </c>
      <c r="J89" t="s">
        <v>52</v>
      </c>
      <c r="K89">
        <v>1</v>
      </c>
      <c r="L89" s="2">
        <v>175</v>
      </c>
      <c r="N89" t="s">
        <v>593</v>
      </c>
    </row>
    <row r="90" spans="1:14" x14ac:dyDescent="0.25">
      <c r="A90" s="8" t="s">
        <v>549</v>
      </c>
      <c r="B90" s="8" t="str">
        <f t="shared" si="4"/>
        <v>00025912423KOVR</v>
      </c>
      <c r="C90" t="s">
        <v>173</v>
      </c>
      <c r="D90" t="s">
        <v>68</v>
      </c>
      <c r="E90">
        <v>20411454</v>
      </c>
      <c r="F90" t="s">
        <v>594</v>
      </c>
      <c r="G90" t="s">
        <v>50</v>
      </c>
      <c r="H90" s="1">
        <v>46054</v>
      </c>
      <c r="I90" t="s">
        <v>51</v>
      </c>
      <c r="J90" t="s">
        <v>52</v>
      </c>
      <c r="K90">
        <v>1</v>
      </c>
      <c r="L90" s="2">
        <v>175</v>
      </c>
      <c r="N90" t="s">
        <v>593</v>
      </c>
    </row>
    <row r="91" spans="1:14" x14ac:dyDescent="0.25">
      <c r="A91" s="8" t="s">
        <v>550</v>
      </c>
      <c r="B91" s="8" t="str">
        <f t="shared" si="4"/>
        <v>00025913244KOVR</v>
      </c>
      <c r="C91" t="s">
        <v>177</v>
      </c>
      <c r="D91" t="s">
        <v>68</v>
      </c>
      <c r="E91">
        <v>20411454</v>
      </c>
      <c r="F91" t="s">
        <v>594</v>
      </c>
      <c r="G91" t="s">
        <v>50</v>
      </c>
      <c r="H91" s="1">
        <v>46054</v>
      </c>
      <c r="I91" t="s">
        <v>51</v>
      </c>
      <c r="J91" t="s">
        <v>52</v>
      </c>
      <c r="K91">
        <v>1</v>
      </c>
      <c r="L91" s="2">
        <v>175</v>
      </c>
      <c r="N91" t="s">
        <v>593</v>
      </c>
    </row>
    <row r="92" spans="1:14" x14ac:dyDescent="0.25">
      <c r="A92" s="8" t="s">
        <v>551</v>
      </c>
      <c r="B92" s="8" t="str">
        <f t="shared" si="4"/>
        <v>00025917141KOVR</v>
      </c>
      <c r="C92" t="s">
        <v>181</v>
      </c>
      <c r="D92" t="s">
        <v>46</v>
      </c>
      <c r="E92">
        <v>20411454</v>
      </c>
      <c r="F92" t="s">
        <v>594</v>
      </c>
      <c r="G92" t="s">
        <v>50</v>
      </c>
      <c r="H92" s="1">
        <v>46054</v>
      </c>
      <c r="I92" t="s">
        <v>51</v>
      </c>
      <c r="J92" t="s">
        <v>52</v>
      </c>
      <c r="K92">
        <v>1</v>
      </c>
      <c r="L92" s="2">
        <v>175</v>
      </c>
      <c r="N92" t="s">
        <v>593</v>
      </c>
    </row>
    <row r="93" spans="1:14" x14ac:dyDescent="0.25">
      <c r="A93" s="8" t="s">
        <v>552</v>
      </c>
      <c r="B93" s="8" t="str">
        <f t="shared" si="4"/>
        <v>00025917180KOVR</v>
      </c>
      <c r="C93" t="s">
        <v>183</v>
      </c>
      <c r="D93" t="s">
        <v>68</v>
      </c>
      <c r="E93">
        <v>20411454</v>
      </c>
      <c r="F93" t="s">
        <v>594</v>
      </c>
      <c r="G93" t="s">
        <v>50</v>
      </c>
      <c r="H93" s="1">
        <v>46054</v>
      </c>
      <c r="I93" t="s">
        <v>51</v>
      </c>
      <c r="J93" t="s">
        <v>52</v>
      </c>
      <c r="K93">
        <v>1</v>
      </c>
      <c r="L93" s="2">
        <v>175</v>
      </c>
      <c r="N93" t="s">
        <v>593</v>
      </c>
    </row>
    <row r="94" spans="1:14" x14ac:dyDescent="0.25">
      <c r="A94" s="8" t="s">
        <v>553</v>
      </c>
      <c r="B94" s="8" t="str">
        <f t="shared" si="4"/>
        <v>00025917297KOVR</v>
      </c>
      <c r="C94" t="s">
        <v>187</v>
      </c>
      <c r="D94" t="s">
        <v>68</v>
      </c>
      <c r="E94">
        <v>20411454</v>
      </c>
      <c r="F94" t="s">
        <v>594</v>
      </c>
      <c r="G94" t="s">
        <v>50</v>
      </c>
      <c r="H94" s="1">
        <v>46082</v>
      </c>
      <c r="I94" t="s">
        <v>51</v>
      </c>
      <c r="J94" t="s">
        <v>52</v>
      </c>
      <c r="K94">
        <v>1</v>
      </c>
      <c r="L94" s="2">
        <v>175</v>
      </c>
      <c r="N94" t="s">
        <v>593</v>
      </c>
    </row>
    <row r="95" spans="1:14" x14ac:dyDescent="0.25">
      <c r="A95" s="8" t="s">
        <v>554</v>
      </c>
      <c r="B95" s="8" t="str">
        <f t="shared" si="4"/>
        <v>00025919607KOVR</v>
      </c>
      <c r="C95" t="s">
        <v>189</v>
      </c>
      <c r="D95" t="s">
        <v>68</v>
      </c>
      <c r="E95">
        <v>20411454</v>
      </c>
      <c r="F95" t="s">
        <v>594</v>
      </c>
      <c r="G95" t="s">
        <v>50</v>
      </c>
      <c r="H95" s="1">
        <v>46113</v>
      </c>
      <c r="I95" t="s">
        <v>51</v>
      </c>
      <c r="J95" t="s">
        <v>52</v>
      </c>
      <c r="K95">
        <v>1</v>
      </c>
      <c r="L95" s="2">
        <v>175</v>
      </c>
      <c r="N95" t="s">
        <v>593</v>
      </c>
    </row>
    <row r="96" spans="1:14" x14ac:dyDescent="0.25">
      <c r="A96" s="8" t="s">
        <v>555</v>
      </c>
      <c r="B96" s="8" t="str">
        <f t="shared" si="4"/>
        <v>00025920133KOVR</v>
      </c>
      <c r="C96" t="s">
        <v>191</v>
      </c>
      <c r="D96" t="s">
        <v>68</v>
      </c>
      <c r="E96">
        <v>20411454</v>
      </c>
      <c r="F96" t="s">
        <v>594</v>
      </c>
      <c r="G96" t="s">
        <v>50</v>
      </c>
      <c r="H96" s="1">
        <v>46054</v>
      </c>
      <c r="I96" t="s">
        <v>51</v>
      </c>
      <c r="J96" t="s">
        <v>52</v>
      </c>
      <c r="K96">
        <v>1</v>
      </c>
      <c r="L96" s="2">
        <v>175</v>
      </c>
      <c r="N96" t="s">
        <v>593</v>
      </c>
    </row>
    <row r="97" spans="1:14" x14ac:dyDescent="0.25">
      <c r="A97" s="8" t="s">
        <v>556</v>
      </c>
      <c r="B97" s="8" t="str">
        <f t="shared" si="4"/>
        <v>00025922189KOVR</v>
      </c>
      <c r="C97" t="s">
        <v>195</v>
      </c>
      <c r="D97" t="s">
        <v>68</v>
      </c>
      <c r="E97">
        <v>20411454</v>
      </c>
      <c r="F97" t="s">
        <v>594</v>
      </c>
      <c r="G97" t="s">
        <v>50</v>
      </c>
      <c r="H97" s="1">
        <v>46054</v>
      </c>
      <c r="I97" t="s">
        <v>51</v>
      </c>
      <c r="J97" t="s">
        <v>52</v>
      </c>
      <c r="K97">
        <v>1</v>
      </c>
      <c r="L97" s="2">
        <v>175</v>
      </c>
      <c r="N97" t="s">
        <v>593</v>
      </c>
    </row>
    <row r="98" spans="1:14" x14ac:dyDescent="0.25">
      <c r="A98" s="8" t="s">
        <v>557</v>
      </c>
      <c r="B98" s="8" t="str">
        <f t="shared" si="4"/>
        <v>00025925161KOVR</v>
      </c>
      <c r="C98" t="s">
        <v>197</v>
      </c>
      <c r="D98" t="s">
        <v>68</v>
      </c>
      <c r="E98">
        <v>20411454</v>
      </c>
      <c r="F98" t="s">
        <v>594</v>
      </c>
      <c r="G98" t="s">
        <v>50</v>
      </c>
      <c r="H98" s="1">
        <v>46054</v>
      </c>
      <c r="I98" t="s">
        <v>51</v>
      </c>
      <c r="J98" t="s">
        <v>52</v>
      </c>
      <c r="K98">
        <v>1</v>
      </c>
      <c r="L98" s="2">
        <v>175</v>
      </c>
      <c r="N98" t="s">
        <v>593</v>
      </c>
    </row>
    <row r="99" spans="1:14" x14ac:dyDescent="0.25">
      <c r="A99" s="8" t="s">
        <v>558</v>
      </c>
      <c r="B99" s="8" t="str">
        <f t="shared" ref="B99:B130" si="5">CONCATENATE(A99,"OVR")</f>
        <v>00025925882KOVR</v>
      </c>
      <c r="C99" t="s">
        <v>199</v>
      </c>
      <c r="D99" t="s">
        <v>200</v>
      </c>
      <c r="E99">
        <v>20411454</v>
      </c>
      <c r="F99" t="s">
        <v>594</v>
      </c>
      <c r="G99" t="s">
        <v>50</v>
      </c>
      <c r="H99" s="1">
        <v>46054</v>
      </c>
      <c r="I99" t="s">
        <v>51</v>
      </c>
      <c r="J99" t="s">
        <v>52</v>
      </c>
      <c r="K99">
        <v>1</v>
      </c>
      <c r="L99" s="2">
        <v>175</v>
      </c>
      <c r="N99" t="s">
        <v>593</v>
      </c>
    </row>
    <row r="100" spans="1:14" x14ac:dyDescent="0.25">
      <c r="A100" s="8" t="s">
        <v>559</v>
      </c>
      <c r="B100" s="8" t="str">
        <f t="shared" si="5"/>
        <v>00025930547KOVR</v>
      </c>
      <c r="C100" t="s">
        <v>204</v>
      </c>
      <c r="D100" t="s">
        <v>68</v>
      </c>
      <c r="E100">
        <v>20411454</v>
      </c>
      <c r="F100" t="s">
        <v>594</v>
      </c>
      <c r="G100" t="s">
        <v>50</v>
      </c>
      <c r="H100" s="1">
        <v>46054</v>
      </c>
      <c r="I100" t="s">
        <v>51</v>
      </c>
      <c r="J100" t="s">
        <v>52</v>
      </c>
      <c r="K100">
        <v>1</v>
      </c>
      <c r="L100" s="2">
        <v>175</v>
      </c>
      <c r="N100" t="s">
        <v>593</v>
      </c>
    </row>
    <row r="101" spans="1:14" x14ac:dyDescent="0.25">
      <c r="A101" s="8" t="s">
        <v>560</v>
      </c>
      <c r="B101" s="8" t="str">
        <f t="shared" si="5"/>
        <v>00025931548KOVR</v>
      </c>
      <c r="C101" t="s">
        <v>206</v>
      </c>
      <c r="D101" t="s">
        <v>207</v>
      </c>
      <c r="E101">
        <v>20411454</v>
      </c>
      <c r="F101" t="s">
        <v>594</v>
      </c>
      <c r="G101" t="s">
        <v>50</v>
      </c>
      <c r="H101" s="1">
        <v>46054</v>
      </c>
      <c r="I101" t="s">
        <v>51</v>
      </c>
      <c r="J101" t="s">
        <v>52</v>
      </c>
      <c r="K101">
        <v>1</v>
      </c>
      <c r="L101" s="2">
        <v>175</v>
      </c>
      <c r="N101" t="s">
        <v>593</v>
      </c>
    </row>
    <row r="102" spans="1:14" x14ac:dyDescent="0.25">
      <c r="A102" s="8" t="s">
        <v>561</v>
      </c>
      <c r="B102" s="8" t="str">
        <f t="shared" si="5"/>
        <v>00025933181KOVR</v>
      </c>
      <c r="C102" t="s">
        <v>209</v>
      </c>
      <c r="D102" t="s">
        <v>68</v>
      </c>
      <c r="E102">
        <v>20411454</v>
      </c>
      <c r="F102" t="s">
        <v>594</v>
      </c>
      <c r="G102" t="s">
        <v>50</v>
      </c>
      <c r="H102" s="1">
        <v>46054</v>
      </c>
      <c r="I102" t="s">
        <v>51</v>
      </c>
      <c r="J102" t="s">
        <v>52</v>
      </c>
      <c r="K102">
        <v>1</v>
      </c>
      <c r="L102" s="2">
        <v>175</v>
      </c>
      <c r="N102" t="s">
        <v>593</v>
      </c>
    </row>
    <row r="103" spans="1:14" x14ac:dyDescent="0.25">
      <c r="A103" s="8" t="s">
        <v>562</v>
      </c>
      <c r="B103" s="8" t="str">
        <f t="shared" si="5"/>
        <v>00025933506KOVR</v>
      </c>
      <c r="C103" t="s">
        <v>211</v>
      </c>
      <c r="D103" t="s">
        <v>68</v>
      </c>
      <c r="E103">
        <v>20411454</v>
      </c>
      <c r="F103" t="s">
        <v>594</v>
      </c>
      <c r="G103" t="s">
        <v>50</v>
      </c>
      <c r="H103" s="1">
        <v>46082</v>
      </c>
      <c r="I103" t="s">
        <v>51</v>
      </c>
      <c r="J103" t="s">
        <v>52</v>
      </c>
      <c r="K103">
        <v>1</v>
      </c>
      <c r="L103" s="2">
        <v>175</v>
      </c>
      <c r="N103" t="s">
        <v>593</v>
      </c>
    </row>
    <row r="104" spans="1:14" x14ac:dyDescent="0.25">
      <c r="A104" s="8" t="s">
        <v>563</v>
      </c>
      <c r="B104" s="8" t="str">
        <f t="shared" si="5"/>
        <v>00025933601KOVR</v>
      </c>
      <c r="C104" t="s">
        <v>213</v>
      </c>
      <c r="D104" t="s">
        <v>214</v>
      </c>
      <c r="E104">
        <v>20411454</v>
      </c>
      <c r="F104" t="s">
        <v>594</v>
      </c>
      <c r="G104" t="s">
        <v>50</v>
      </c>
      <c r="H104" s="1">
        <v>46082</v>
      </c>
      <c r="I104" t="s">
        <v>51</v>
      </c>
      <c r="J104" t="s">
        <v>52</v>
      </c>
      <c r="K104">
        <v>1</v>
      </c>
      <c r="L104" s="2">
        <v>175</v>
      </c>
      <c r="N104" t="s">
        <v>593</v>
      </c>
    </row>
    <row r="105" spans="1:14" x14ac:dyDescent="0.25">
      <c r="A105" s="8" t="s">
        <v>564</v>
      </c>
      <c r="B105" s="8" t="str">
        <f t="shared" si="5"/>
        <v>00025933745KOVR</v>
      </c>
      <c r="C105" t="s">
        <v>216</v>
      </c>
      <c r="D105" t="s">
        <v>68</v>
      </c>
      <c r="E105">
        <v>20411454</v>
      </c>
      <c r="F105" t="s">
        <v>594</v>
      </c>
      <c r="G105" t="s">
        <v>50</v>
      </c>
      <c r="H105" s="1">
        <v>46054</v>
      </c>
      <c r="I105" t="s">
        <v>51</v>
      </c>
      <c r="J105" t="s">
        <v>52</v>
      </c>
      <c r="K105">
        <v>1</v>
      </c>
      <c r="L105" s="2">
        <v>175</v>
      </c>
      <c r="N105" t="s">
        <v>593</v>
      </c>
    </row>
    <row r="106" spans="1:14" x14ac:dyDescent="0.25">
      <c r="A106" s="8" t="s">
        <v>565</v>
      </c>
      <c r="B106" s="8" t="str">
        <f t="shared" si="5"/>
        <v>00025935801KOVR</v>
      </c>
      <c r="C106" t="s">
        <v>218</v>
      </c>
      <c r="D106" t="s">
        <v>68</v>
      </c>
      <c r="E106">
        <v>20411454</v>
      </c>
      <c r="F106" t="s">
        <v>594</v>
      </c>
      <c r="G106" t="s">
        <v>50</v>
      </c>
      <c r="H106" s="1">
        <v>46054</v>
      </c>
      <c r="I106" t="s">
        <v>51</v>
      </c>
      <c r="J106" t="s">
        <v>52</v>
      </c>
      <c r="K106">
        <v>1</v>
      </c>
      <c r="L106" s="2">
        <v>175</v>
      </c>
      <c r="N106" t="s">
        <v>593</v>
      </c>
    </row>
    <row r="107" spans="1:14" x14ac:dyDescent="0.25">
      <c r="A107" s="8">
        <v>123275022</v>
      </c>
      <c r="B107" s="8" t="str">
        <f t="shared" si="5"/>
        <v>123275022OVR</v>
      </c>
      <c r="C107" t="s">
        <v>220</v>
      </c>
      <c r="D107" t="s">
        <v>111</v>
      </c>
      <c r="E107">
        <v>20411454</v>
      </c>
      <c r="F107" t="s">
        <v>594</v>
      </c>
      <c r="G107" t="s">
        <v>226</v>
      </c>
      <c r="H107" s="1">
        <v>45931</v>
      </c>
      <c r="I107" t="s">
        <v>51</v>
      </c>
      <c r="J107" t="s">
        <v>52</v>
      </c>
      <c r="K107">
        <v>1</v>
      </c>
      <c r="L107" s="2">
        <v>43.75</v>
      </c>
      <c r="M107" t="s">
        <v>224</v>
      </c>
      <c r="N107" t="s">
        <v>484</v>
      </c>
    </row>
    <row r="108" spans="1:14" x14ac:dyDescent="0.25">
      <c r="A108" s="8" t="s">
        <v>485</v>
      </c>
      <c r="B108" s="8" t="str">
        <f t="shared" si="5"/>
        <v>12U7F9F41OVR</v>
      </c>
      <c r="C108" t="s">
        <v>228</v>
      </c>
      <c r="D108" t="s">
        <v>68</v>
      </c>
      <c r="E108">
        <v>20411454</v>
      </c>
      <c r="F108" t="s">
        <v>594</v>
      </c>
      <c r="G108" t="s">
        <v>229</v>
      </c>
      <c r="H108" s="1">
        <v>46023</v>
      </c>
      <c r="I108" t="s">
        <v>51</v>
      </c>
      <c r="J108" t="s">
        <v>52</v>
      </c>
      <c r="K108">
        <v>1</v>
      </c>
      <c r="L108" s="2">
        <v>100</v>
      </c>
      <c r="N108" t="s">
        <v>592</v>
      </c>
    </row>
    <row r="109" spans="1:14" x14ac:dyDescent="0.25">
      <c r="A109" s="8">
        <v>131758294</v>
      </c>
      <c r="B109" s="8" t="str">
        <f t="shared" si="5"/>
        <v>131758294OVR</v>
      </c>
      <c r="C109" t="s">
        <v>231</v>
      </c>
      <c r="D109" t="s">
        <v>77</v>
      </c>
      <c r="E109">
        <v>20411454</v>
      </c>
      <c r="F109" t="s">
        <v>594</v>
      </c>
      <c r="G109" t="s">
        <v>226</v>
      </c>
      <c r="H109" s="1">
        <v>45931</v>
      </c>
      <c r="I109" t="s">
        <v>51</v>
      </c>
      <c r="J109" t="s">
        <v>52</v>
      </c>
      <c r="K109">
        <v>1</v>
      </c>
      <c r="L109" s="2">
        <v>43.75</v>
      </c>
      <c r="M109" t="s">
        <v>224</v>
      </c>
      <c r="N109" t="s">
        <v>484</v>
      </c>
    </row>
    <row r="110" spans="1:14" x14ac:dyDescent="0.25">
      <c r="A110" s="8">
        <v>133920961</v>
      </c>
      <c r="B110" s="8" t="str">
        <f t="shared" si="5"/>
        <v>133920961OVR</v>
      </c>
      <c r="C110" t="s">
        <v>234</v>
      </c>
      <c r="D110" t="s">
        <v>77</v>
      </c>
      <c r="E110">
        <v>20411454</v>
      </c>
      <c r="F110" t="s">
        <v>594</v>
      </c>
      <c r="G110" t="s">
        <v>240</v>
      </c>
      <c r="H110" s="1">
        <v>46054</v>
      </c>
      <c r="I110" t="s">
        <v>51</v>
      </c>
      <c r="J110" t="s">
        <v>52</v>
      </c>
      <c r="K110">
        <v>1</v>
      </c>
      <c r="L110" s="2">
        <v>66</v>
      </c>
      <c r="M110" t="s">
        <v>238</v>
      </c>
      <c r="N110" t="s">
        <v>484</v>
      </c>
    </row>
    <row r="111" spans="1:14" x14ac:dyDescent="0.25">
      <c r="A111" s="8">
        <v>134193543</v>
      </c>
      <c r="B111" s="8" t="str">
        <f t="shared" si="5"/>
        <v>134193543OVR</v>
      </c>
      <c r="C111" t="s">
        <v>242</v>
      </c>
      <c r="D111" t="s">
        <v>243</v>
      </c>
      <c r="E111">
        <v>20411454</v>
      </c>
      <c r="F111" t="s">
        <v>594</v>
      </c>
      <c r="G111" t="s">
        <v>240</v>
      </c>
      <c r="H111" s="1">
        <v>45931</v>
      </c>
      <c r="I111" t="s">
        <v>51</v>
      </c>
      <c r="J111" t="s">
        <v>52</v>
      </c>
      <c r="K111">
        <v>1</v>
      </c>
      <c r="L111" s="2">
        <v>12</v>
      </c>
      <c r="M111" t="s">
        <v>248</v>
      </c>
      <c r="N111" t="s">
        <v>484</v>
      </c>
    </row>
    <row r="112" spans="1:14" x14ac:dyDescent="0.25">
      <c r="A112" s="8">
        <v>135357015</v>
      </c>
      <c r="B112" s="8" t="str">
        <f t="shared" si="5"/>
        <v>135357015OVR</v>
      </c>
      <c r="C112" t="s">
        <v>251</v>
      </c>
      <c r="D112" t="s">
        <v>77</v>
      </c>
      <c r="E112">
        <v>20411454</v>
      </c>
      <c r="F112" t="s">
        <v>594</v>
      </c>
      <c r="G112" t="s">
        <v>240</v>
      </c>
      <c r="H112" s="1">
        <v>46054</v>
      </c>
      <c r="I112" t="s">
        <v>51</v>
      </c>
      <c r="J112" t="s">
        <v>52</v>
      </c>
      <c r="K112">
        <v>1</v>
      </c>
      <c r="L112" s="2">
        <v>66</v>
      </c>
      <c r="M112" t="s">
        <v>238</v>
      </c>
      <c r="N112" t="s">
        <v>484</v>
      </c>
    </row>
    <row r="113" spans="1:14" x14ac:dyDescent="0.25">
      <c r="A113" s="8" t="s">
        <v>486</v>
      </c>
      <c r="B113" s="8" t="str">
        <f t="shared" si="5"/>
        <v>13R3H8A35OVR</v>
      </c>
      <c r="C113" t="s">
        <v>256</v>
      </c>
      <c r="D113" t="s">
        <v>214</v>
      </c>
      <c r="E113">
        <v>20411454</v>
      </c>
      <c r="F113" t="s">
        <v>594</v>
      </c>
      <c r="G113" t="s">
        <v>229</v>
      </c>
      <c r="H113" s="1">
        <v>46023</v>
      </c>
      <c r="I113" t="s">
        <v>51</v>
      </c>
      <c r="J113" t="s">
        <v>52</v>
      </c>
      <c r="K113">
        <v>1</v>
      </c>
      <c r="L113" s="2">
        <v>100</v>
      </c>
      <c r="N113" t="s">
        <v>592</v>
      </c>
    </row>
    <row r="114" spans="1:14" x14ac:dyDescent="0.25">
      <c r="A114" s="8" t="s">
        <v>487</v>
      </c>
      <c r="B114" s="8" t="str">
        <f t="shared" si="5"/>
        <v>15U9F1F19OVR</v>
      </c>
      <c r="C114" t="s">
        <v>258</v>
      </c>
      <c r="D114" t="s">
        <v>214</v>
      </c>
      <c r="E114">
        <v>20411454</v>
      </c>
      <c r="F114" t="s">
        <v>594</v>
      </c>
      <c r="G114" t="s">
        <v>229</v>
      </c>
      <c r="H114" s="1">
        <v>46023</v>
      </c>
      <c r="I114" t="s">
        <v>51</v>
      </c>
      <c r="J114" t="s">
        <v>52</v>
      </c>
      <c r="K114">
        <v>1</v>
      </c>
      <c r="L114" s="2">
        <v>100</v>
      </c>
      <c r="N114" t="s">
        <v>592</v>
      </c>
    </row>
    <row r="115" spans="1:14" x14ac:dyDescent="0.25">
      <c r="A115" s="8" t="s">
        <v>488</v>
      </c>
      <c r="B115" s="8" t="str">
        <f t="shared" si="5"/>
        <v>19H5F8L62OVR</v>
      </c>
      <c r="C115" t="s">
        <v>262</v>
      </c>
      <c r="D115" t="s">
        <v>68</v>
      </c>
      <c r="E115">
        <v>20411454</v>
      </c>
      <c r="F115" t="s">
        <v>594</v>
      </c>
      <c r="G115" t="s">
        <v>229</v>
      </c>
      <c r="H115" s="1">
        <v>46023</v>
      </c>
      <c r="I115" t="s">
        <v>51</v>
      </c>
      <c r="J115" t="s">
        <v>52</v>
      </c>
      <c r="K115">
        <v>1</v>
      </c>
      <c r="L115" s="2">
        <v>100</v>
      </c>
      <c r="N115" t="s">
        <v>592</v>
      </c>
    </row>
    <row r="116" spans="1:14" x14ac:dyDescent="0.25">
      <c r="A116" s="8" t="s">
        <v>489</v>
      </c>
      <c r="B116" s="8" t="str">
        <f t="shared" si="5"/>
        <v>21A1X8R95OVR</v>
      </c>
      <c r="C116" t="s">
        <v>264</v>
      </c>
      <c r="D116" t="s">
        <v>68</v>
      </c>
      <c r="E116">
        <v>20411454</v>
      </c>
      <c r="F116" t="s">
        <v>594</v>
      </c>
      <c r="G116" t="s">
        <v>229</v>
      </c>
      <c r="H116" s="1">
        <v>46023</v>
      </c>
      <c r="I116" t="s">
        <v>51</v>
      </c>
      <c r="J116" t="s">
        <v>52</v>
      </c>
      <c r="K116">
        <v>1</v>
      </c>
      <c r="L116" s="2">
        <v>100</v>
      </c>
      <c r="N116" t="s">
        <v>592</v>
      </c>
    </row>
    <row r="117" spans="1:14" x14ac:dyDescent="0.25">
      <c r="A117" s="8" t="s">
        <v>490</v>
      </c>
      <c r="B117" s="8" t="str">
        <f t="shared" si="5"/>
        <v>21R4U1R71OVR</v>
      </c>
      <c r="C117" t="s">
        <v>266</v>
      </c>
      <c r="D117" t="s">
        <v>68</v>
      </c>
      <c r="E117">
        <v>20411454</v>
      </c>
      <c r="F117" t="s">
        <v>594</v>
      </c>
      <c r="G117" t="s">
        <v>229</v>
      </c>
      <c r="H117" s="1">
        <v>46023</v>
      </c>
      <c r="I117" t="s">
        <v>51</v>
      </c>
      <c r="J117" t="s">
        <v>52</v>
      </c>
      <c r="K117">
        <v>1</v>
      </c>
      <c r="L117" s="2">
        <v>100</v>
      </c>
      <c r="N117" t="s">
        <v>592</v>
      </c>
    </row>
    <row r="118" spans="1:14" x14ac:dyDescent="0.25">
      <c r="A118" s="8" t="s">
        <v>491</v>
      </c>
      <c r="B118" s="8" t="str">
        <f t="shared" si="5"/>
        <v>22R1L9L44OVR</v>
      </c>
      <c r="C118" t="s">
        <v>268</v>
      </c>
      <c r="D118" t="s">
        <v>68</v>
      </c>
      <c r="E118">
        <v>20411454</v>
      </c>
      <c r="F118" t="s">
        <v>594</v>
      </c>
      <c r="G118" t="s">
        <v>229</v>
      </c>
      <c r="H118" s="1">
        <v>46023</v>
      </c>
      <c r="I118" t="s">
        <v>51</v>
      </c>
      <c r="J118" t="s">
        <v>52</v>
      </c>
      <c r="K118">
        <v>1</v>
      </c>
      <c r="L118" s="2">
        <v>100</v>
      </c>
      <c r="N118" t="s">
        <v>592</v>
      </c>
    </row>
    <row r="119" spans="1:14" x14ac:dyDescent="0.25">
      <c r="A119" s="8" t="s">
        <v>492</v>
      </c>
      <c r="B119" s="8" t="str">
        <f t="shared" si="5"/>
        <v>23H2A1X17OVR</v>
      </c>
      <c r="C119" t="s">
        <v>270</v>
      </c>
      <c r="D119" t="s">
        <v>271</v>
      </c>
      <c r="E119">
        <v>20411454</v>
      </c>
      <c r="F119" t="s">
        <v>594</v>
      </c>
      <c r="G119" t="s">
        <v>229</v>
      </c>
      <c r="H119" s="1">
        <v>46023</v>
      </c>
      <c r="I119" t="s">
        <v>51</v>
      </c>
      <c r="J119" t="s">
        <v>52</v>
      </c>
      <c r="K119">
        <v>1</v>
      </c>
      <c r="L119" s="2">
        <v>100</v>
      </c>
      <c r="N119" t="s">
        <v>592</v>
      </c>
    </row>
    <row r="120" spans="1:14" x14ac:dyDescent="0.25">
      <c r="A120" s="8" t="s">
        <v>493</v>
      </c>
      <c r="B120" s="8" t="str">
        <f t="shared" si="5"/>
        <v>24A2R3A73OVR</v>
      </c>
      <c r="C120" t="s">
        <v>273</v>
      </c>
      <c r="D120" t="s">
        <v>200</v>
      </c>
      <c r="E120">
        <v>20411454</v>
      </c>
      <c r="F120" t="s">
        <v>594</v>
      </c>
      <c r="G120" t="s">
        <v>229</v>
      </c>
      <c r="H120" s="1">
        <v>46023</v>
      </c>
      <c r="I120" t="s">
        <v>51</v>
      </c>
      <c r="J120" t="s">
        <v>52</v>
      </c>
      <c r="K120">
        <v>1</v>
      </c>
      <c r="L120" s="2">
        <v>100</v>
      </c>
      <c r="N120" t="s">
        <v>592</v>
      </c>
    </row>
    <row r="121" spans="1:14" x14ac:dyDescent="0.25">
      <c r="A121" s="8" t="s">
        <v>494</v>
      </c>
      <c r="B121" s="8" t="str">
        <f t="shared" si="5"/>
        <v>24X4F5H49OVR</v>
      </c>
      <c r="C121" t="s">
        <v>277</v>
      </c>
      <c r="D121" t="s">
        <v>200</v>
      </c>
      <c r="E121">
        <v>20411454</v>
      </c>
      <c r="F121" t="s">
        <v>594</v>
      </c>
      <c r="G121" t="s">
        <v>229</v>
      </c>
      <c r="H121" s="1">
        <v>46023</v>
      </c>
      <c r="I121" t="s">
        <v>51</v>
      </c>
      <c r="J121" t="s">
        <v>52</v>
      </c>
      <c r="K121">
        <v>1</v>
      </c>
      <c r="L121" s="2">
        <v>100</v>
      </c>
      <c r="N121" t="s">
        <v>592</v>
      </c>
    </row>
    <row r="122" spans="1:14" x14ac:dyDescent="0.25">
      <c r="A122" s="8" t="s">
        <v>495</v>
      </c>
      <c r="B122" s="8" t="str">
        <f t="shared" si="5"/>
        <v>25H5F2F22OVR</v>
      </c>
      <c r="C122" t="s">
        <v>279</v>
      </c>
      <c r="D122" t="s">
        <v>68</v>
      </c>
      <c r="E122">
        <v>20411454</v>
      </c>
      <c r="F122" t="s">
        <v>594</v>
      </c>
      <c r="G122" t="s">
        <v>229</v>
      </c>
      <c r="H122" s="1">
        <v>46023</v>
      </c>
      <c r="I122" t="s">
        <v>51</v>
      </c>
      <c r="J122" t="s">
        <v>52</v>
      </c>
      <c r="K122">
        <v>1</v>
      </c>
      <c r="L122" s="2">
        <v>100</v>
      </c>
      <c r="N122" t="s">
        <v>592</v>
      </c>
    </row>
    <row r="123" spans="1:14" x14ac:dyDescent="0.25">
      <c r="A123" s="8" t="s">
        <v>496</v>
      </c>
      <c r="B123" s="8" t="str">
        <f t="shared" si="5"/>
        <v>27U5L3A71OVR</v>
      </c>
      <c r="C123" t="s">
        <v>281</v>
      </c>
      <c r="D123" t="s">
        <v>271</v>
      </c>
      <c r="E123">
        <v>20411454</v>
      </c>
      <c r="F123" t="s">
        <v>594</v>
      </c>
      <c r="G123" t="s">
        <v>229</v>
      </c>
      <c r="H123" s="1">
        <v>46023</v>
      </c>
      <c r="I123" t="s">
        <v>51</v>
      </c>
      <c r="J123" t="s">
        <v>52</v>
      </c>
      <c r="K123">
        <v>1</v>
      </c>
      <c r="L123" s="2">
        <v>100</v>
      </c>
      <c r="N123" t="s">
        <v>592</v>
      </c>
    </row>
    <row r="124" spans="1:14" x14ac:dyDescent="0.25">
      <c r="A124" s="8" t="s">
        <v>497</v>
      </c>
      <c r="B124" s="8" t="str">
        <f t="shared" si="5"/>
        <v>28A8R7X49OVR</v>
      </c>
      <c r="C124" t="s">
        <v>285</v>
      </c>
      <c r="D124" t="s">
        <v>68</v>
      </c>
      <c r="E124">
        <v>20411454</v>
      </c>
      <c r="F124" t="s">
        <v>594</v>
      </c>
      <c r="G124" t="s">
        <v>229</v>
      </c>
      <c r="H124" s="1">
        <v>46023</v>
      </c>
      <c r="I124" t="s">
        <v>51</v>
      </c>
      <c r="J124" t="s">
        <v>52</v>
      </c>
      <c r="K124">
        <v>1</v>
      </c>
      <c r="L124" s="2">
        <v>100</v>
      </c>
      <c r="N124" t="s">
        <v>592</v>
      </c>
    </row>
    <row r="125" spans="1:14" x14ac:dyDescent="0.25">
      <c r="A125" s="8" t="s">
        <v>498</v>
      </c>
      <c r="B125" s="8" t="str">
        <f t="shared" si="5"/>
        <v>35A8U1L81OVR</v>
      </c>
      <c r="C125" t="s">
        <v>287</v>
      </c>
      <c r="D125" t="s">
        <v>68</v>
      </c>
      <c r="E125">
        <v>20411454</v>
      </c>
      <c r="F125" t="s">
        <v>594</v>
      </c>
      <c r="G125" t="s">
        <v>229</v>
      </c>
      <c r="H125" s="1">
        <v>46023</v>
      </c>
      <c r="I125" t="s">
        <v>51</v>
      </c>
      <c r="J125" t="s">
        <v>52</v>
      </c>
      <c r="K125">
        <v>1</v>
      </c>
      <c r="L125" s="2">
        <v>100</v>
      </c>
      <c r="N125" t="s">
        <v>592</v>
      </c>
    </row>
    <row r="126" spans="1:14" x14ac:dyDescent="0.25">
      <c r="A126" s="8">
        <v>36877815</v>
      </c>
      <c r="B126" s="8" t="str">
        <f t="shared" si="5"/>
        <v>36877815OVR</v>
      </c>
      <c r="C126" t="s">
        <v>289</v>
      </c>
      <c r="D126" t="s">
        <v>68</v>
      </c>
      <c r="E126">
        <v>20411454</v>
      </c>
      <c r="F126" t="s">
        <v>594</v>
      </c>
      <c r="G126" t="s">
        <v>290</v>
      </c>
      <c r="H126" s="1">
        <v>46023</v>
      </c>
      <c r="I126" t="s">
        <v>51</v>
      </c>
      <c r="J126" t="s">
        <v>52</v>
      </c>
      <c r="K126">
        <v>1</v>
      </c>
      <c r="L126" s="2">
        <v>50</v>
      </c>
      <c r="N126" t="s">
        <v>592</v>
      </c>
    </row>
    <row r="127" spans="1:14" x14ac:dyDescent="0.25">
      <c r="A127" s="8" t="s">
        <v>499</v>
      </c>
      <c r="B127" s="8" t="str">
        <f t="shared" si="5"/>
        <v>36H8X3F21OVR</v>
      </c>
      <c r="C127" t="s">
        <v>292</v>
      </c>
      <c r="D127" t="s">
        <v>68</v>
      </c>
      <c r="E127">
        <v>20411454</v>
      </c>
      <c r="F127" t="s">
        <v>594</v>
      </c>
      <c r="G127" t="s">
        <v>229</v>
      </c>
      <c r="H127" s="1">
        <v>46023</v>
      </c>
      <c r="I127" t="s">
        <v>51</v>
      </c>
      <c r="J127" t="s">
        <v>52</v>
      </c>
      <c r="K127">
        <v>1</v>
      </c>
      <c r="L127" s="2">
        <v>100</v>
      </c>
      <c r="N127" t="s">
        <v>592</v>
      </c>
    </row>
    <row r="128" spans="1:14" x14ac:dyDescent="0.25">
      <c r="A128" s="8" t="s">
        <v>500</v>
      </c>
      <c r="B128" s="8" t="str">
        <f t="shared" si="5"/>
        <v>36U1A3F87OVR</v>
      </c>
      <c r="C128" t="s">
        <v>294</v>
      </c>
      <c r="D128" t="s">
        <v>68</v>
      </c>
      <c r="E128">
        <v>20411454</v>
      </c>
      <c r="F128" t="s">
        <v>594</v>
      </c>
      <c r="G128" t="s">
        <v>229</v>
      </c>
      <c r="H128" s="1">
        <v>46023</v>
      </c>
      <c r="I128" t="s">
        <v>51</v>
      </c>
      <c r="J128" t="s">
        <v>52</v>
      </c>
      <c r="K128">
        <v>1</v>
      </c>
      <c r="L128" s="2">
        <v>100</v>
      </c>
      <c r="N128" t="s">
        <v>592</v>
      </c>
    </row>
    <row r="129" spans="1:39" x14ac:dyDescent="0.25">
      <c r="A129" s="8" t="s">
        <v>501</v>
      </c>
      <c r="B129" s="8" t="str">
        <f t="shared" si="5"/>
        <v>41U6R3X86OVR</v>
      </c>
      <c r="C129" t="s">
        <v>296</v>
      </c>
      <c r="D129" t="s">
        <v>68</v>
      </c>
      <c r="E129">
        <v>20411454</v>
      </c>
      <c r="F129" t="s">
        <v>594</v>
      </c>
      <c r="G129" t="s">
        <v>229</v>
      </c>
      <c r="H129" s="1">
        <v>46023</v>
      </c>
      <c r="I129" t="s">
        <v>51</v>
      </c>
      <c r="J129" t="s">
        <v>52</v>
      </c>
      <c r="K129">
        <v>1</v>
      </c>
      <c r="L129" s="2">
        <v>100</v>
      </c>
      <c r="N129" t="s">
        <v>592</v>
      </c>
    </row>
    <row r="130" spans="1:39" x14ac:dyDescent="0.25">
      <c r="A130" s="8" t="s">
        <v>502</v>
      </c>
      <c r="B130" s="8" t="str">
        <f t="shared" si="5"/>
        <v>44U6H6A16OVR</v>
      </c>
      <c r="C130" t="s">
        <v>298</v>
      </c>
      <c r="D130" t="s">
        <v>68</v>
      </c>
      <c r="E130">
        <v>20411454</v>
      </c>
      <c r="F130" t="s">
        <v>594</v>
      </c>
      <c r="G130" t="s">
        <v>229</v>
      </c>
      <c r="H130" s="1">
        <v>46023</v>
      </c>
      <c r="I130" t="s">
        <v>51</v>
      </c>
      <c r="J130" t="s">
        <v>52</v>
      </c>
      <c r="K130">
        <v>1</v>
      </c>
      <c r="L130" s="2">
        <v>100</v>
      </c>
      <c r="N130" t="s">
        <v>592</v>
      </c>
    </row>
    <row r="131" spans="1:39" x14ac:dyDescent="0.25">
      <c r="A131" s="8" t="s">
        <v>503</v>
      </c>
      <c r="B131" s="8" t="str">
        <f t="shared" ref="B131:B162" si="6">CONCATENATE(A131,"OVR")</f>
        <v>47A7U3H98OVR</v>
      </c>
      <c r="C131" t="s">
        <v>300</v>
      </c>
      <c r="D131" t="s">
        <v>68</v>
      </c>
      <c r="E131">
        <v>20411454</v>
      </c>
      <c r="F131" t="s">
        <v>594</v>
      </c>
      <c r="G131" t="s">
        <v>229</v>
      </c>
      <c r="H131" s="1">
        <v>46023</v>
      </c>
      <c r="I131" t="s">
        <v>51</v>
      </c>
      <c r="J131" t="s">
        <v>52</v>
      </c>
      <c r="K131">
        <v>1</v>
      </c>
      <c r="L131" s="2">
        <v>100</v>
      </c>
      <c r="N131" t="s">
        <v>592</v>
      </c>
    </row>
    <row r="132" spans="1:39" x14ac:dyDescent="0.25">
      <c r="A132" s="8" t="s">
        <v>504</v>
      </c>
      <c r="B132" s="8" t="str">
        <f t="shared" si="6"/>
        <v>47X5A2A67OVR</v>
      </c>
      <c r="C132" t="s">
        <v>302</v>
      </c>
      <c r="D132" t="s">
        <v>243</v>
      </c>
      <c r="E132">
        <v>20411454</v>
      </c>
      <c r="F132" t="s">
        <v>594</v>
      </c>
      <c r="G132" t="s">
        <v>229</v>
      </c>
      <c r="H132" s="1">
        <v>46023</v>
      </c>
      <c r="I132" t="s">
        <v>51</v>
      </c>
      <c r="J132" t="s">
        <v>52</v>
      </c>
      <c r="K132">
        <v>1</v>
      </c>
      <c r="L132" s="2">
        <v>100</v>
      </c>
      <c r="N132" t="s">
        <v>592</v>
      </c>
    </row>
    <row r="133" spans="1:39" x14ac:dyDescent="0.25">
      <c r="A133" s="8" t="s">
        <v>505</v>
      </c>
      <c r="B133" s="8" t="str">
        <f t="shared" si="6"/>
        <v>47X6H7U82OVR</v>
      </c>
      <c r="C133" t="s">
        <v>304</v>
      </c>
      <c r="D133" t="s">
        <v>271</v>
      </c>
      <c r="E133">
        <v>20411454</v>
      </c>
      <c r="F133" t="s">
        <v>594</v>
      </c>
      <c r="G133" t="s">
        <v>229</v>
      </c>
      <c r="H133" s="1">
        <v>46023</v>
      </c>
      <c r="I133" t="s">
        <v>51</v>
      </c>
      <c r="J133" t="s">
        <v>52</v>
      </c>
      <c r="K133">
        <v>1</v>
      </c>
      <c r="L133" s="2">
        <v>100</v>
      </c>
      <c r="N133" t="s">
        <v>592</v>
      </c>
    </row>
    <row r="134" spans="1:39" x14ac:dyDescent="0.25">
      <c r="A134" s="8" t="s">
        <v>506</v>
      </c>
      <c r="B134" s="8" t="str">
        <f t="shared" si="6"/>
        <v>49L6A3A59OVR</v>
      </c>
      <c r="C134" t="s">
        <v>306</v>
      </c>
      <c r="D134" t="s">
        <v>68</v>
      </c>
      <c r="E134">
        <v>20411454</v>
      </c>
      <c r="F134" t="s">
        <v>594</v>
      </c>
      <c r="G134" t="s">
        <v>229</v>
      </c>
      <c r="H134" s="1">
        <v>46023</v>
      </c>
      <c r="I134" t="s">
        <v>51</v>
      </c>
      <c r="J134" t="s">
        <v>52</v>
      </c>
      <c r="K134">
        <v>1</v>
      </c>
      <c r="L134" s="2">
        <v>100</v>
      </c>
      <c r="N134" t="s">
        <v>592</v>
      </c>
    </row>
    <row r="135" spans="1:39" x14ac:dyDescent="0.25">
      <c r="A135" s="8" t="s">
        <v>507</v>
      </c>
      <c r="B135" s="8" t="str">
        <f t="shared" si="6"/>
        <v>54L3H2U31OVR</v>
      </c>
      <c r="C135" t="s">
        <v>308</v>
      </c>
      <c r="D135" t="s">
        <v>214</v>
      </c>
      <c r="E135">
        <v>20411454</v>
      </c>
      <c r="F135" t="s">
        <v>594</v>
      </c>
      <c r="G135" t="s">
        <v>229</v>
      </c>
      <c r="H135" s="1">
        <v>46023</v>
      </c>
      <c r="I135" t="s">
        <v>51</v>
      </c>
      <c r="J135" t="s">
        <v>52</v>
      </c>
      <c r="K135">
        <v>1</v>
      </c>
      <c r="L135" s="2">
        <v>100</v>
      </c>
      <c r="N135" t="s">
        <v>592</v>
      </c>
    </row>
    <row r="136" spans="1:39" x14ac:dyDescent="0.25">
      <c r="A136" s="8" t="s">
        <v>508</v>
      </c>
      <c r="B136" s="8" t="str">
        <f t="shared" si="6"/>
        <v>57A4U1A17OVR</v>
      </c>
      <c r="C136" t="s">
        <v>310</v>
      </c>
      <c r="D136" t="s">
        <v>311</v>
      </c>
      <c r="E136">
        <v>20411454</v>
      </c>
      <c r="F136" t="s">
        <v>594</v>
      </c>
      <c r="G136" t="s">
        <v>229</v>
      </c>
      <c r="H136" s="1">
        <v>46023</v>
      </c>
      <c r="I136" t="s">
        <v>51</v>
      </c>
      <c r="J136" t="s">
        <v>52</v>
      </c>
      <c r="K136">
        <v>1</v>
      </c>
      <c r="L136" s="2">
        <v>100</v>
      </c>
      <c r="N136" t="s">
        <v>592</v>
      </c>
    </row>
    <row r="137" spans="1:39" x14ac:dyDescent="0.25">
      <c r="A137" s="8" t="s">
        <v>509</v>
      </c>
      <c r="B137" s="8" t="str">
        <f t="shared" si="6"/>
        <v>58U6H8X87OVR</v>
      </c>
      <c r="C137" t="s">
        <v>313</v>
      </c>
      <c r="D137" t="s">
        <v>200</v>
      </c>
      <c r="E137">
        <v>20411454</v>
      </c>
      <c r="F137" t="s">
        <v>594</v>
      </c>
      <c r="G137" t="s">
        <v>229</v>
      </c>
      <c r="H137" s="1">
        <v>46023</v>
      </c>
      <c r="I137" t="s">
        <v>51</v>
      </c>
      <c r="J137" t="s">
        <v>52</v>
      </c>
      <c r="K137">
        <v>1</v>
      </c>
      <c r="L137" s="2">
        <v>100</v>
      </c>
      <c r="N137" t="s">
        <v>592</v>
      </c>
    </row>
    <row r="138" spans="1:39" x14ac:dyDescent="0.25">
      <c r="A138" s="8" t="s">
        <v>510</v>
      </c>
      <c r="B138" s="8" t="str">
        <f t="shared" si="6"/>
        <v>58X9F1U91OVR</v>
      </c>
      <c r="C138" t="s">
        <v>315</v>
      </c>
      <c r="D138" t="s">
        <v>214</v>
      </c>
      <c r="E138">
        <v>20411454</v>
      </c>
      <c r="F138" t="s">
        <v>594</v>
      </c>
      <c r="G138" t="s">
        <v>229</v>
      </c>
      <c r="H138" s="1">
        <v>46023</v>
      </c>
      <c r="I138" t="s">
        <v>51</v>
      </c>
      <c r="J138" t="s">
        <v>52</v>
      </c>
      <c r="K138">
        <v>1</v>
      </c>
      <c r="L138" s="2">
        <v>100</v>
      </c>
      <c r="N138" t="s">
        <v>592</v>
      </c>
    </row>
    <row r="139" spans="1:39" x14ac:dyDescent="0.25">
      <c r="A139" s="8" t="s">
        <v>511</v>
      </c>
      <c r="B139" s="8" t="str">
        <f t="shared" si="6"/>
        <v>59A5U5F33OVR</v>
      </c>
      <c r="C139" t="s">
        <v>317</v>
      </c>
      <c r="D139" t="s">
        <v>68</v>
      </c>
      <c r="E139">
        <v>20411454</v>
      </c>
      <c r="F139" t="s">
        <v>594</v>
      </c>
      <c r="G139" t="s">
        <v>229</v>
      </c>
      <c r="H139" s="1">
        <v>46023</v>
      </c>
      <c r="I139" t="s">
        <v>51</v>
      </c>
      <c r="J139" t="s">
        <v>52</v>
      </c>
      <c r="K139">
        <v>1</v>
      </c>
      <c r="L139" s="2">
        <v>100</v>
      </c>
      <c r="N139" t="s">
        <v>592</v>
      </c>
    </row>
    <row r="140" spans="1:39" x14ac:dyDescent="0.25">
      <c r="A140" s="8" t="s">
        <v>512</v>
      </c>
      <c r="B140" s="8" t="str">
        <f t="shared" si="6"/>
        <v>64H9X7F68OVR</v>
      </c>
      <c r="C140" t="s">
        <v>319</v>
      </c>
      <c r="D140" t="s">
        <v>68</v>
      </c>
      <c r="E140">
        <v>20411454</v>
      </c>
      <c r="F140" t="s">
        <v>594</v>
      </c>
      <c r="G140" t="s">
        <v>229</v>
      </c>
      <c r="H140" s="1">
        <v>46023</v>
      </c>
      <c r="I140" t="s">
        <v>51</v>
      </c>
      <c r="J140" t="s">
        <v>52</v>
      </c>
      <c r="K140">
        <v>1</v>
      </c>
      <c r="L140" s="2">
        <v>100</v>
      </c>
      <c r="N140" t="s">
        <v>592</v>
      </c>
    </row>
    <row r="141" spans="1:39" x14ac:dyDescent="0.25">
      <c r="A141" s="8" t="s">
        <v>513</v>
      </c>
      <c r="B141" s="8" t="str">
        <f t="shared" si="6"/>
        <v>68H6X8F15OVR</v>
      </c>
      <c r="C141" t="s">
        <v>321</v>
      </c>
      <c r="D141" t="s">
        <v>200</v>
      </c>
      <c r="E141">
        <v>20411454</v>
      </c>
      <c r="F141" t="s">
        <v>594</v>
      </c>
      <c r="G141" t="s">
        <v>229</v>
      </c>
      <c r="H141" s="1">
        <v>46023</v>
      </c>
      <c r="I141" t="s">
        <v>51</v>
      </c>
      <c r="J141" t="s">
        <v>52</v>
      </c>
      <c r="K141">
        <v>1</v>
      </c>
      <c r="L141" s="2">
        <v>100</v>
      </c>
      <c r="N141" t="s">
        <v>592</v>
      </c>
    </row>
    <row r="142" spans="1:39" s="10" customFormat="1" x14ac:dyDescent="0.25">
      <c r="A142" s="8" t="s">
        <v>514</v>
      </c>
      <c r="B142" s="8" t="str">
        <f t="shared" si="6"/>
        <v>68R9X6U25OVR</v>
      </c>
      <c r="C142" t="s">
        <v>323</v>
      </c>
      <c r="D142" t="s">
        <v>77</v>
      </c>
      <c r="E142">
        <v>20411454</v>
      </c>
      <c r="F142" t="s">
        <v>594</v>
      </c>
      <c r="G142" t="s">
        <v>229</v>
      </c>
      <c r="H142" s="1">
        <v>46023</v>
      </c>
      <c r="I142" t="s">
        <v>51</v>
      </c>
      <c r="J142" t="s">
        <v>52</v>
      </c>
      <c r="K142">
        <v>1</v>
      </c>
      <c r="L142" s="2">
        <v>100</v>
      </c>
      <c r="M142"/>
      <c r="N142" t="s">
        <v>592</v>
      </c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</row>
    <row r="143" spans="1:39" s="10" customFormat="1" x14ac:dyDescent="0.25">
      <c r="A143" s="8" t="s">
        <v>515</v>
      </c>
      <c r="B143" s="8" t="str">
        <f t="shared" si="6"/>
        <v>69L8R8H33OVR</v>
      </c>
      <c r="C143" t="s">
        <v>327</v>
      </c>
      <c r="D143" t="s">
        <v>214</v>
      </c>
      <c r="E143">
        <v>20411454</v>
      </c>
      <c r="F143" t="s">
        <v>594</v>
      </c>
      <c r="G143" t="s">
        <v>229</v>
      </c>
      <c r="H143" s="1">
        <v>46023</v>
      </c>
      <c r="I143" t="s">
        <v>51</v>
      </c>
      <c r="J143" t="s">
        <v>52</v>
      </c>
      <c r="K143">
        <v>1</v>
      </c>
      <c r="L143" s="2">
        <v>100</v>
      </c>
      <c r="M143"/>
      <c r="N143" t="s">
        <v>592</v>
      </c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</row>
    <row r="144" spans="1:39" s="10" customFormat="1" x14ac:dyDescent="0.25">
      <c r="A144" s="8" t="s">
        <v>516</v>
      </c>
      <c r="B144" s="8" t="str">
        <f t="shared" si="6"/>
        <v>71H4A5U95OVR</v>
      </c>
      <c r="C144" t="s">
        <v>329</v>
      </c>
      <c r="D144" t="s">
        <v>330</v>
      </c>
      <c r="E144">
        <v>20411454</v>
      </c>
      <c r="F144" t="s">
        <v>594</v>
      </c>
      <c r="G144" t="s">
        <v>229</v>
      </c>
      <c r="H144" s="1">
        <v>46023</v>
      </c>
      <c r="I144" t="s">
        <v>51</v>
      </c>
      <c r="J144" t="s">
        <v>52</v>
      </c>
      <c r="K144">
        <v>1</v>
      </c>
      <c r="L144" s="2">
        <v>100</v>
      </c>
      <c r="M144"/>
      <c r="N144" t="s">
        <v>592</v>
      </c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</row>
    <row r="145" spans="1:39" s="10" customFormat="1" x14ac:dyDescent="0.25">
      <c r="A145" s="8" t="s">
        <v>517</v>
      </c>
      <c r="B145" s="8" t="str">
        <f t="shared" si="6"/>
        <v>72U4R2X58OVR</v>
      </c>
      <c r="C145" t="s">
        <v>332</v>
      </c>
      <c r="D145" t="s">
        <v>68</v>
      </c>
      <c r="E145">
        <v>20411454</v>
      </c>
      <c r="F145" t="s">
        <v>594</v>
      </c>
      <c r="G145" t="s">
        <v>229</v>
      </c>
      <c r="H145" s="1">
        <v>46023</v>
      </c>
      <c r="I145" t="s">
        <v>51</v>
      </c>
      <c r="J145" t="s">
        <v>52</v>
      </c>
      <c r="K145">
        <v>1</v>
      </c>
      <c r="L145" s="2">
        <v>100</v>
      </c>
      <c r="M145"/>
      <c r="N145" t="s">
        <v>592</v>
      </c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</row>
    <row r="146" spans="1:39" s="10" customFormat="1" x14ac:dyDescent="0.25">
      <c r="A146" s="8" t="s">
        <v>518</v>
      </c>
      <c r="B146" s="8" t="str">
        <f t="shared" si="6"/>
        <v>78F8F1L61OVR</v>
      </c>
      <c r="C146" t="s">
        <v>334</v>
      </c>
      <c r="D146" t="s">
        <v>68</v>
      </c>
      <c r="E146">
        <v>20411454</v>
      </c>
      <c r="F146" t="s">
        <v>594</v>
      </c>
      <c r="G146" t="s">
        <v>229</v>
      </c>
      <c r="H146" s="1">
        <v>46023</v>
      </c>
      <c r="I146" t="s">
        <v>51</v>
      </c>
      <c r="J146" t="s">
        <v>52</v>
      </c>
      <c r="K146">
        <v>1</v>
      </c>
      <c r="L146" s="2">
        <v>100</v>
      </c>
      <c r="M146"/>
      <c r="N146" t="s">
        <v>592</v>
      </c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</row>
    <row r="147" spans="1:39" s="10" customFormat="1" x14ac:dyDescent="0.25">
      <c r="A147" s="8">
        <v>902277837</v>
      </c>
      <c r="B147" s="8" t="str">
        <f t="shared" si="6"/>
        <v>902277837OVR</v>
      </c>
      <c r="C147" t="s">
        <v>336</v>
      </c>
      <c r="D147" t="s">
        <v>62</v>
      </c>
      <c r="E147">
        <v>20411454</v>
      </c>
      <c r="F147" t="s">
        <v>594</v>
      </c>
      <c r="G147" t="s">
        <v>240</v>
      </c>
      <c r="H147" s="1">
        <v>45931</v>
      </c>
      <c r="I147" t="s">
        <v>51</v>
      </c>
      <c r="J147" t="s">
        <v>52</v>
      </c>
      <c r="K147">
        <v>1</v>
      </c>
      <c r="L147" s="2">
        <v>18</v>
      </c>
      <c r="M147" t="s">
        <v>224</v>
      </c>
      <c r="N147" t="s">
        <v>484</v>
      </c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</row>
    <row r="148" spans="1:39" s="10" customFormat="1" x14ac:dyDescent="0.25">
      <c r="A148" s="8">
        <v>910907579</v>
      </c>
      <c r="B148" s="8" t="str">
        <f t="shared" si="6"/>
        <v>910907579OVR</v>
      </c>
      <c r="C148" t="s">
        <v>300</v>
      </c>
      <c r="D148" t="s">
        <v>68</v>
      </c>
      <c r="E148">
        <v>20411454</v>
      </c>
      <c r="F148" t="s">
        <v>594</v>
      </c>
      <c r="G148" t="s">
        <v>240</v>
      </c>
      <c r="H148" s="1">
        <v>46054</v>
      </c>
      <c r="I148" t="s">
        <v>51</v>
      </c>
      <c r="J148" t="s">
        <v>52</v>
      </c>
      <c r="K148">
        <v>1</v>
      </c>
      <c r="L148" s="2">
        <v>66</v>
      </c>
      <c r="M148" t="s">
        <v>238</v>
      </c>
      <c r="N148" t="s">
        <v>484</v>
      </c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</row>
    <row r="149" spans="1:39" s="10" customFormat="1" x14ac:dyDescent="0.25">
      <c r="A149" s="8">
        <v>915804764</v>
      </c>
      <c r="B149" s="8" t="str">
        <f t="shared" si="6"/>
        <v>915804764OVR</v>
      </c>
      <c r="C149" t="s">
        <v>341</v>
      </c>
      <c r="D149" t="s">
        <v>68</v>
      </c>
      <c r="E149">
        <v>20411454</v>
      </c>
      <c r="F149" t="s">
        <v>594</v>
      </c>
      <c r="G149" t="s">
        <v>343</v>
      </c>
      <c r="H149" s="1">
        <v>46054</v>
      </c>
      <c r="I149" t="s">
        <v>51</v>
      </c>
      <c r="J149" t="s">
        <v>52</v>
      </c>
      <c r="K149">
        <v>1</v>
      </c>
      <c r="L149" s="2">
        <v>175</v>
      </c>
      <c r="M149"/>
      <c r="N149" t="s">
        <v>484</v>
      </c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</row>
    <row r="150" spans="1:39" s="10" customFormat="1" x14ac:dyDescent="0.25">
      <c r="A150" s="8">
        <v>926202494</v>
      </c>
      <c r="B150" s="8" t="str">
        <f t="shared" si="6"/>
        <v>926202494OVR</v>
      </c>
      <c r="C150" t="s">
        <v>464</v>
      </c>
      <c r="D150" t="s">
        <v>311</v>
      </c>
      <c r="E150">
        <v>20411454</v>
      </c>
      <c r="F150" t="s">
        <v>594</v>
      </c>
      <c r="G150" t="s">
        <v>415</v>
      </c>
      <c r="H150" s="1">
        <v>45992</v>
      </c>
      <c r="I150" t="s">
        <v>51</v>
      </c>
      <c r="J150" t="s">
        <v>52</v>
      </c>
      <c r="K150"/>
      <c r="L150">
        <v>-4.17</v>
      </c>
      <c r="M150"/>
      <c r="N150" t="s">
        <v>484</v>
      </c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</row>
    <row r="151" spans="1:39" s="10" customFormat="1" x14ac:dyDescent="0.25">
      <c r="A151" s="8">
        <v>926230943</v>
      </c>
      <c r="B151" s="8" t="str">
        <f t="shared" si="6"/>
        <v>926230943OVR</v>
      </c>
      <c r="C151" t="s">
        <v>345</v>
      </c>
      <c r="D151" t="s">
        <v>68</v>
      </c>
      <c r="E151">
        <v>20411454</v>
      </c>
      <c r="F151" t="s">
        <v>594</v>
      </c>
      <c r="G151" t="s">
        <v>347</v>
      </c>
      <c r="H151" s="1">
        <v>45931</v>
      </c>
      <c r="I151" t="s">
        <v>51</v>
      </c>
      <c r="J151" t="s">
        <v>52</v>
      </c>
      <c r="K151">
        <v>1</v>
      </c>
      <c r="L151" s="2">
        <v>28.25</v>
      </c>
      <c r="M151" t="s">
        <v>224</v>
      </c>
      <c r="N151" t="s">
        <v>484</v>
      </c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</row>
    <row r="152" spans="1:39" s="10" customFormat="1" x14ac:dyDescent="0.25">
      <c r="A152" s="8">
        <v>927844077</v>
      </c>
      <c r="B152" s="8" t="str">
        <f t="shared" si="6"/>
        <v>927844077OVR</v>
      </c>
      <c r="C152" t="s">
        <v>467</v>
      </c>
      <c r="D152" t="s">
        <v>159</v>
      </c>
      <c r="E152">
        <v>20411454</v>
      </c>
      <c r="F152" t="s">
        <v>594</v>
      </c>
      <c r="G152" t="s">
        <v>240</v>
      </c>
      <c r="H152" s="1">
        <v>46023</v>
      </c>
      <c r="I152" t="s">
        <v>51</v>
      </c>
      <c r="J152" t="s">
        <v>52</v>
      </c>
      <c r="K152"/>
      <c r="L152">
        <v>-66</v>
      </c>
      <c r="M152"/>
      <c r="N152" t="s">
        <v>484</v>
      </c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</row>
    <row r="153" spans="1:39" s="10" customFormat="1" x14ac:dyDescent="0.25">
      <c r="A153" s="8">
        <v>930834019</v>
      </c>
      <c r="B153" s="8" t="str">
        <f t="shared" si="6"/>
        <v>930834019OVR</v>
      </c>
      <c r="C153" t="s">
        <v>349</v>
      </c>
      <c r="D153" t="s">
        <v>271</v>
      </c>
      <c r="E153">
        <v>20411454</v>
      </c>
      <c r="F153" t="s">
        <v>594</v>
      </c>
      <c r="G153" t="s">
        <v>343</v>
      </c>
      <c r="H153" s="1">
        <v>46054</v>
      </c>
      <c r="I153" t="s">
        <v>51</v>
      </c>
      <c r="J153" t="s">
        <v>52</v>
      </c>
      <c r="K153">
        <v>1</v>
      </c>
      <c r="L153" s="2">
        <v>175</v>
      </c>
      <c r="M153"/>
      <c r="N153" t="s">
        <v>484</v>
      </c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</row>
    <row r="154" spans="1:39" s="10" customFormat="1" x14ac:dyDescent="0.25">
      <c r="A154" s="8">
        <v>934031732</v>
      </c>
      <c r="B154" s="8" t="str">
        <f t="shared" si="6"/>
        <v>934031732OVR</v>
      </c>
      <c r="C154" t="s">
        <v>353</v>
      </c>
      <c r="D154" t="s">
        <v>214</v>
      </c>
      <c r="E154">
        <v>20411454</v>
      </c>
      <c r="F154" t="s">
        <v>594</v>
      </c>
      <c r="G154" t="s">
        <v>343</v>
      </c>
      <c r="H154" s="1">
        <v>45931</v>
      </c>
      <c r="I154" t="s">
        <v>51</v>
      </c>
      <c r="J154" t="s">
        <v>52</v>
      </c>
      <c r="K154">
        <v>1</v>
      </c>
      <c r="L154" s="2">
        <v>175</v>
      </c>
      <c r="M154"/>
      <c r="N154" t="s">
        <v>484</v>
      </c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</row>
    <row r="155" spans="1:39" s="10" customFormat="1" x14ac:dyDescent="0.25">
      <c r="A155" s="8">
        <v>938289187</v>
      </c>
      <c r="B155" s="8" t="str">
        <f t="shared" si="6"/>
        <v>938289187OVR</v>
      </c>
      <c r="C155" t="s">
        <v>251</v>
      </c>
      <c r="D155" t="s">
        <v>77</v>
      </c>
      <c r="E155">
        <v>20411454</v>
      </c>
      <c r="F155" t="s">
        <v>594</v>
      </c>
      <c r="G155" t="s">
        <v>240</v>
      </c>
      <c r="H155" s="1">
        <v>46023</v>
      </c>
      <c r="I155" t="s">
        <v>51</v>
      </c>
      <c r="J155" t="s">
        <v>52</v>
      </c>
      <c r="K155"/>
      <c r="L155">
        <v>-66</v>
      </c>
      <c r="M155"/>
      <c r="N155" t="s">
        <v>484</v>
      </c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</row>
    <row r="156" spans="1:39" s="10" customFormat="1" x14ac:dyDescent="0.25">
      <c r="A156" s="8">
        <v>939286577</v>
      </c>
      <c r="B156" s="8" t="str">
        <f t="shared" si="6"/>
        <v>939286577OVR</v>
      </c>
      <c r="C156" t="s">
        <v>357</v>
      </c>
      <c r="D156" t="s">
        <v>46</v>
      </c>
      <c r="E156">
        <v>20411454</v>
      </c>
      <c r="F156" t="s">
        <v>594</v>
      </c>
      <c r="G156" t="s">
        <v>361</v>
      </c>
      <c r="H156" s="1">
        <v>45992</v>
      </c>
      <c r="I156" t="s">
        <v>51</v>
      </c>
      <c r="J156" t="s">
        <v>52</v>
      </c>
      <c r="K156">
        <v>1</v>
      </c>
      <c r="L156" s="2">
        <v>113</v>
      </c>
      <c r="M156"/>
      <c r="N156" t="s">
        <v>484</v>
      </c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</row>
    <row r="157" spans="1:39" s="10" customFormat="1" x14ac:dyDescent="0.25">
      <c r="A157" s="8">
        <v>941105248</v>
      </c>
      <c r="B157" s="8" t="str">
        <f t="shared" si="6"/>
        <v>941105248OVR</v>
      </c>
      <c r="C157" t="s">
        <v>363</v>
      </c>
      <c r="D157" t="s">
        <v>68</v>
      </c>
      <c r="E157">
        <v>20411454</v>
      </c>
      <c r="F157" t="s">
        <v>594</v>
      </c>
      <c r="G157" t="s">
        <v>240</v>
      </c>
      <c r="H157" s="1">
        <v>46054</v>
      </c>
      <c r="I157" t="s">
        <v>51</v>
      </c>
      <c r="J157" t="s">
        <v>52</v>
      </c>
      <c r="K157">
        <v>1</v>
      </c>
      <c r="L157" s="2">
        <v>66</v>
      </c>
      <c r="M157" t="s">
        <v>238</v>
      </c>
      <c r="N157" t="s">
        <v>484</v>
      </c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</row>
    <row r="158" spans="1:39" s="10" customFormat="1" x14ac:dyDescent="0.25">
      <c r="A158" s="8">
        <v>941105248</v>
      </c>
      <c r="B158" s="8" t="str">
        <f t="shared" si="6"/>
        <v>941105248OVR</v>
      </c>
      <c r="C158" t="s">
        <v>363</v>
      </c>
      <c r="D158" t="s">
        <v>68</v>
      </c>
      <c r="E158">
        <v>20411454</v>
      </c>
      <c r="F158" t="s">
        <v>594</v>
      </c>
      <c r="G158" t="s">
        <v>240</v>
      </c>
      <c r="H158" s="1">
        <v>46023</v>
      </c>
      <c r="I158" t="s">
        <v>51</v>
      </c>
      <c r="J158" t="s">
        <v>52</v>
      </c>
      <c r="K158"/>
      <c r="L158">
        <v>-66</v>
      </c>
      <c r="M158"/>
      <c r="N158" t="s">
        <v>484</v>
      </c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</row>
    <row r="159" spans="1:39" s="10" customFormat="1" x14ac:dyDescent="0.25">
      <c r="A159" s="8">
        <v>941126422</v>
      </c>
      <c r="B159" s="8" t="str">
        <f t="shared" si="6"/>
        <v>941126422OVR</v>
      </c>
      <c r="C159" t="s">
        <v>366</v>
      </c>
      <c r="D159" t="s">
        <v>68</v>
      </c>
      <c r="E159">
        <v>20411454</v>
      </c>
      <c r="F159" t="s">
        <v>594</v>
      </c>
      <c r="G159" t="s">
        <v>343</v>
      </c>
      <c r="H159" s="1">
        <v>46054</v>
      </c>
      <c r="I159" t="s">
        <v>51</v>
      </c>
      <c r="J159" t="s">
        <v>52</v>
      </c>
      <c r="K159">
        <v>1</v>
      </c>
      <c r="L159" s="2">
        <v>175</v>
      </c>
      <c r="M159"/>
      <c r="N159" t="s">
        <v>484</v>
      </c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</row>
    <row r="160" spans="1:39" s="10" customFormat="1" x14ac:dyDescent="0.25">
      <c r="A160" s="8">
        <v>941459548</v>
      </c>
      <c r="B160" s="8" t="str">
        <f t="shared" si="6"/>
        <v>941459548OVR</v>
      </c>
      <c r="C160" t="s">
        <v>371</v>
      </c>
      <c r="D160" t="s">
        <v>46</v>
      </c>
      <c r="E160">
        <v>20411454</v>
      </c>
      <c r="F160" t="s">
        <v>594</v>
      </c>
      <c r="G160" t="s">
        <v>343</v>
      </c>
      <c r="H160" s="1">
        <v>46054</v>
      </c>
      <c r="I160" t="s">
        <v>51</v>
      </c>
      <c r="J160" t="s">
        <v>52</v>
      </c>
      <c r="K160">
        <v>1</v>
      </c>
      <c r="L160" s="2">
        <v>175</v>
      </c>
      <c r="M160"/>
      <c r="N160" t="s">
        <v>484</v>
      </c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</row>
    <row r="161" spans="1:39" s="10" customFormat="1" x14ac:dyDescent="0.25">
      <c r="A161" s="8">
        <v>943440592</v>
      </c>
      <c r="B161" s="8" t="str">
        <f t="shared" si="6"/>
        <v>943440592OVR</v>
      </c>
      <c r="C161" t="s">
        <v>474</v>
      </c>
      <c r="D161" t="s">
        <v>152</v>
      </c>
      <c r="E161">
        <v>20411454</v>
      </c>
      <c r="F161" t="s">
        <v>594</v>
      </c>
      <c r="G161" t="s">
        <v>343</v>
      </c>
      <c r="H161" s="1">
        <v>46023</v>
      </c>
      <c r="I161" t="s">
        <v>51</v>
      </c>
      <c r="J161" t="s">
        <v>52</v>
      </c>
      <c r="K161"/>
      <c r="L161">
        <v>-175</v>
      </c>
      <c r="M161"/>
      <c r="N161" t="s">
        <v>484</v>
      </c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</row>
    <row r="162" spans="1:39" s="10" customFormat="1" x14ac:dyDescent="0.25">
      <c r="A162" s="8">
        <v>943642521</v>
      </c>
      <c r="B162" s="8" t="str">
        <f t="shared" si="6"/>
        <v>943642521OVR</v>
      </c>
      <c r="C162" t="s">
        <v>374</v>
      </c>
      <c r="D162" t="s">
        <v>375</v>
      </c>
      <c r="E162">
        <v>20411454</v>
      </c>
      <c r="F162" t="s">
        <v>594</v>
      </c>
      <c r="G162" t="s">
        <v>343</v>
      </c>
      <c r="H162" s="1">
        <v>46054</v>
      </c>
      <c r="I162" t="s">
        <v>51</v>
      </c>
      <c r="J162" t="s">
        <v>52</v>
      </c>
      <c r="K162">
        <v>1</v>
      </c>
      <c r="L162" s="2">
        <v>175</v>
      </c>
      <c r="M162"/>
      <c r="N162" t="s">
        <v>484</v>
      </c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</row>
    <row r="163" spans="1:39" s="10" customFormat="1" x14ac:dyDescent="0.25">
      <c r="A163" s="8">
        <v>950654690</v>
      </c>
      <c r="B163" s="8" t="str">
        <f t="shared" ref="B163:B194" si="7">CONCATENATE(A163,"OVR")</f>
        <v>950654690OVR</v>
      </c>
      <c r="C163" t="s">
        <v>380</v>
      </c>
      <c r="D163" t="s">
        <v>46</v>
      </c>
      <c r="E163">
        <v>20411454</v>
      </c>
      <c r="F163" t="s">
        <v>594</v>
      </c>
      <c r="G163" t="s">
        <v>361</v>
      </c>
      <c r="H163" s="1">
        <v>45962</v>
      </c>
      <c r="I163" t="s">
        <v>51</v>
      </c>
      <c r="J163" t="s">
        <v>52</v>
      </c>
      <c r="K163">
        <v>1</v>
      </c>
      <c r="L163" s="2">
        <v>113</v>
      </c>
      <c r="M163"/>
      <c r="N163" t="s">
        <v>484</v>
      </c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</row>
    <row r="164" spans="1:39" s="10" customFormat="1" x14ac:dyDescent="0.25">
      <c r="A164" s="8">
        <v>951450707</v>
      </c>
      <c r="B164" s="8" t="str">
        <f t="shared" si="7"/>
        <v>951450707OVR</v>
      </c>
      <c r="C164" t="s">
        <v>383</v>
      </c>
      <c r="D164" t="s">
        <v>68</v>
      </c>
      <c r="E164">
        <v>20411454</v>
      </c>
      <c r="F164" t="s">
        <v>594</v>
      </c>
      <c r="G164" t="s">
        <v>343</v>
      </c>
      <c r="H164" s="1">
        <v>46054</v>
      </c>
      <c r="I164" t="s">
        <v>51</v>
      </c>
      <c r="J164" t="s">
        <v>52</v>
      </c>
      <c r="K164">
        <v>1</v>
      </c>
      <c r="L164" s="2">
        <v>175</v>
      </c>
      <c r="M164"/>
      <c r="N164" t="s">
        <v>484</v>
      </c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</row>
    <row r="165" spans="1:39" s="10" customFormat="1" x14ac:dyDescent="0.25">
      <c r="A165" s="8">
        <v>953893115</v>
      </c>
      <c r="B165" s="8" t="str">
        <f t="shared" si="7"/>
        <v>953893115OVR</v>
      </c>
      <c r="C165" t="s">
        <v>386</v>
      </c>
      <c r="D165" t="s">
        <v>77</v>
      </c>
      <c r="E165">
        <v>20411454</v>
      </c>
      <c r="F165" t="s">
        <v>594</v>
      </c>
      <c r="G165" t="s">
        <v>240</v>
      </c>
      <c r="H165" s="1">
        <v>46054</v>
      </c>
      <c r="I165" t="s">
        <v>51</v>
      </c>
      <c r="J165" t="s">
        <v>52</v>
      </c>
      <c r="K165">
        <v>1</v>
      </c>
      <c r="L165" s="2">
        <v>66</v>
      </c>
      <c r="M165" t="s">
        <v>238</v>
      </c>
      <c r="N165" t="s">
        <v>484</v>
      </c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</row>
    <row r="166" spans="1:39" s="10" customFormat="1" x14ac:dyDescent="0.25">
      <c r="A166" s="8">
        <v>962753685</v>
      </c>
      <c r="B166" s="8" t="str">
        <f t="shared" si="7"/>
        <v>962753685OVR</v>
      </c>
      <c r="C166" t="s">
        <v>389</v>
      </c>
      <c r="D166" t="s">
        <v>68</v>
      </c>
      <c r="E166">
        <v>20411454</v>
      </c>
      <c r="F166" t="s">
        <v>594</v>
      </c>
      <c r="G166" t="s">
        <v>240</v>
      </c>
      <c r="H166" s="1">
        <v>46054</v>
      </c>
      <c r="I166" t="s">
        <v>51</v>
      </c>
      <c r="J166" t="s">
        <v>52</v>
      </c>
      <c r="K166">
        <v>1</v>
      </c>
      <c r="L166" s="2">
        <v>66</v>
      </c>
      <c r="M166" t="s">
        <v>238</v>
      </c>
      <c r="N166" t="s">
        <v>484</v>
      </c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</row>
    <row r="167" spans="1:39" s="10" customFormat="1" x14ac:dyDescent="0.25">
      <c r="A167" s="8">
        <v>964798677</v>
      </c>
      <c r="B167" s="8" t="str">
        <f t="shared" si="7"/>
        <v>964798677OVR</v>
      </c>
      <c r="C167" t="s">
        <v>392</v>
      </c>
      <c r="D167" t="s">
        <v>68</v>
      </c>
      <c r="E167">
        <v>20411454</v>
      </c>
      <c r="F167" t="s">
        <v>594</v>
      </c>
      <c r="G167" t="s">
        <v>361</v>
      </c>
      <c r="H167" s="1">
        <v>45931</v>
      </c>
      <c r="I167" t="s">
        <v>51</v>
      </c>
      <c r="J167" t="s">
        <v>52</v>
      </c>
      <c r="K167">
        <v>1</v>
      </c>
      <c r="L167" s="2">
        <v>113</v>
      </c>
      <c r="M167"/>
      <c r="N167" t="s">
        <v>484</v>
      </c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</row>
    <row r="168" spans="1:39" s="10" customFormat="1" x14ac:dyDescent="0.25">
      <c r="A168" s="8">
        <v>967982621</v>
      </c>
      <c r="B168" s="8" t="str">
        <f t="shared" si="7"/>
        <v>967982621OVR</v>
      </c>
      <c r="C168" t="s">
        <v>478</v>
      </c>
      <c r="D168" t="s">
        <v>46</v>
      </c>
      <c r="E168">
        <v>20411454</v>
      </c>
      <c r="F168" t="s">
        <v>594</v>
      </c>
      <c r="G168" t="s">
        <v>343</v>
      </c>
      <c r="H168" s="1">
        <v>46023</v>
      </c>
      <c r="I168" t="s">
        <v>51</v>
      </c>
      <c r="J168" t="s">
        <v>52</v>
      </c>
      <c r="K168"/>
      <c r="L168">
        <v>-175</v>
      </c>
      <c r="M168"/>
      <c r="N168" t="s">
        <v>484</v>
      </c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</row>
    <row r="169" spans="1:39" s="10" customFormat="1" x14ac:dyDescent="0.25">
      <c r="A169" s="8">
        <v>970238440</v>
      </c>
      <c r="B169" s="8" t="str">
        <f t="shared" si="7"/>
        <v>970238440OVR</v>
      </c>
      <c r="C169" t="s">
        <v>397</v>
      </c>
      <c r="D169" t="s">
        <v>46</v>
      </c>
      <c r="E169">
        <v>20411454</v>
      </c>
      <c r="F169" t="s">
        <v>594</v>
      </c>
      <c r="G169" t="s">
        <v>361</v>
      </c>
      <c r="H169" s="1">
        <v>45962</v>
      </c>
      <c r="I169" t="s">
        <v>51</v>
      </c>
      <c r="J169" t="s">
        <v>52</v>
      </c>
      <c r="K169">
        <v>1</v>
      </c>
      <c r="L169" s="2">
        <v>113</v>
      </c>
      <c r="M169"/>
      <c r="N169" t="s">
        <v>484</v>
      </c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</row>
    <row r="170" spans="1:39" s="10" customFormat="1" x14ac:dyDescent="0.25">
      <c r="A170" s="8">
        <v>971115971</v>
      </c>
      <c r="B170" s="8" t="str">
        <f t="shared" si="7"/>
        <v>971115971OVR</v>
      </c>
      <c r="C170" t="s">
        <v>400</v>
      </c>
      <c r="D170" t="s">
        <v>68</v>
      </c>
      <c r="E170">
        <v>20411454</v>
      </c>
      <c r="F170" t="s">
        <v>594</v>
      </c>
      <c r="G170" t="s">
        <v>343</v>
      </c>
      <c r="H170" s="1">
        <v>45931</v>
      </c>
      <c r="I170" t="s">
        <v>51</v>
      </c>
      <c r="J170" t="s">
        <v>52</v>
      </c>
      <c r="K170">
        <v>1</v>
      </c>
      <c r="L170" s="2">
        <v>175</v>
      </c>
      <c r="M170"/>
      <c r="N170" t="s">
        <v>484</v>
      </c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</row>
    <row r="171" spans="1:39" s="10" customFormat="1" x14ac:dyDescent="0.25">
      <c r="A171" s="8">
        <v>974471146</v>
      </c>
      <c r="B171" s="8" t="str">
        <f t="shared" si="7"/>
        <v>974471146OVR</v>
      </c>
      <c r="C171" t="s">
        <v>403</v>
      </c>
      <c r="D171" t="s">
        <v>77</v>
      </c>
      <c r="E171">
        <v>20411454</v>
      </c>
      <c r="F171" t="s">
        <v>594</v>
      </c>
      <c r="G171" t="s">
        <v>343</v>
      </c>
      <c r="H171" s="1">
        <v>46054</v>
      </c>
      <c r="I171" t="s">
        <v>51</v>
      </c>
      <c r="J171" t="s">
        <v>52</v>
      </c>
      <c r="K171">
        <v>1</v>
      </c>
      <c r="L171" s="2">
        <v>175</v>
      </c>
      <c r="M171"/>
      <c r="N171" t="s">
        <v>484</v>
      </c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</row>
    <row r="172" spans="1:39" s="10" customFormat="1" x14ac:dyDescent="0.25">
      <c r="A172" s="8">
        <v>977735774</v>
      </c>
      <c r="B172" s="8" t="str">
        <f t="shared" si="7"/>
        <v>977735774OVR</v>
      </c>
      <c r="C172" t="s">
        <v>408</v>
      </c>
      <c r="D172" t="s">
        <v>214</v>
      </c>
      <c r="E172">
        <v>20411454</v>
      </c>
      <c r="F172" t="s">
        <v>594</v>
      </c>
      <c r="G172" t="s">
        <v>343</v>
      </c>
      <c r="H172" s="1">
        <v>46054</v>
      </c>
      <c r="I172" t="s">
        <v>51</v>
      </c>
      <c r="J172" t="s">
        <v>52</v>
      </c>
      <c r="K172">
        <v>1</v>
      </c>
      <c r="L172" s="2">
        <v>175</v>
      </c>
      <c r="M172"/>
      <c r="N172" t="s">
        <v>484</v>
      </c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</row>
    <row r="173" spans="1:39" s="10" customFormat="1" x14ac:dyDescent="0.25">
      <c r="A173" s="8">
        <v>995080570</v>
      </c>
      <c r="B173" s="8" t="str">
        <f t="shared" si="7"/>
        <v>995080570OVR</v>
      </c>
      <c r="C173" t="s">
        <v>481</v>
      </c>
      <c r="D173" t="s">
        <v>482</v>
      </c>
      <c r="E173">
        <v>20411454</v>
      </c>
      <c r="F173" t="s">
        <v>594</v>
      </c>
      <c r="G173" t="s">
        <v>343</v>
      </c>
      <c r="H173" s="1">
        <v>46023</v>
      </c>
      <c r="I173" t="s">
        <v>51</v>
      </c>
      <c r="J173" t="s">
        <v>52</v>
      </c>
      <c r="K173"/>
      <c r="L173">
        <v>-175</v>
      </c>
      <c r="M173"/>
      <c r="N173" t="s">
        <v>484</v>
      </c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</row>
    <row r="174" spans="1:39" s="10" customFormat="1" x14ac:dyDescent="0.25">
      <c r="A174" s="8">
        <v>996000539</v>
      </c>
      <c r="B174" s="8" t="str">
        <f t="shared" si="7"/>
        <v>996000539OVR</v>
      </c>
      <c r="C174" t="s">
        <v>411</v>
      </c>
      <c r="D174" t="s">
        <v>412</v>
      </c>
      <c r="E174">
        <v>20411454</v>
      </c>
      <c r="F174" t="s">
        <v>594</v>
      </c>
      <c r="G174" t="s">
        <v>415</v>
      </c>
      <c r="H174" s="1">
        <v>46054</v>
      </c>
      <c r="I174" t="s">
        <v>51</v>
      </c>
      <c r="J174" t="s">
        <v>52</v>
      </c>
      <c r="K174">
        <v>1</v>
      </c>
      <c r="L174" s="2">
        <v>45.83</v>
      </c>
      <c r="M174" t="s">
        <v>238</v>
      </c>
      <c r="N174" t="s">
        <v>484</v>
      </c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</row>
    <row r="175" spans="1:39" x14ac:dyDescent="0.25">
      <c r="L175" s="2"/>
    </row>
  </sheetData>
  <sortState xmlns:xlrd2="http://schemas.microsoft.com/office/spreadsheetml/2017/richdata2" ref="A2:AM174">
    <sortCondition ref="B2:B17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3E13-EEB7-46CE-9CFA-52E25461E1B9}">
  <dimension ref="A1:N3"/>
  <sheetViews>
    <sheetView tabSelected="1" workbookViewId="0">
      <selection activeCell="F7" sqref="F7"/>
    </sheetView>
  </sheetViews>
  <sheetFormatPr defaultRowHeight="15" x14ac:dyDescent="0.25"/>
  <cols>
    <col min="5" max="5" width="19.28515625" bestFit="1" customWidth="1"/>
    <col min="6" max="6" width="58.28515625" bestFit="1" customWidth="1"/>
  </cols>
  <sheetData>
    <row r="1" spans="1:14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17</v>
      </c>
      <c r="G1" t="s">
        <v>18</v>
      </c>
      <c r="H1" t="s">
        <v>20</v>
      </c>
      <c r="I1" t="s">
        <v>23</v>
      </c>
      <c r="J1" t="s">
        <v>26</v>
      </c>
      <c r="K1" t="s">
        <v>28</v>
      </c>
      <c r="L1" t="s">
        <v>37</v>
      </c>
    </row>
    <row r="2" spans="1:14" s="5" customFormat="1" x14ac:dyDescent="0.25">
      <c r="A2" s="18" t="s">
        <v>574</v>
      </c>
      <c r="B2" s="5" t="s">
        <v>422</v>
      </c>
      <c r="C2" s="5" t="s">
        <v>68</v>
      </c>
      <c r="D2" s="5" t="s">
        <v>184</v>
      </c>
      <c r="E2" s="5" t="s">
        <v>185</v>
      </c>
      <c r="F2" s="5" t="s">
        <v>423</v>
      </c>
      <c r="G2" s="4">
        <v>46054</v>
      </c>
      <c r="H2" s="5" t="s">
        <v>51</v>
      </c>
      <c r="I2" s="5" t="s">
        <v>52</v>
      </c>
      <c r="J2" s="5">
        <v>9</v>
      </c>
      <c r="K2" s="6">
        <v>283.5</v>
      </c>
      <c r="M2" s="5">
        <f>236.25+17.01+30.24</f>
        <v>283.5</v>
      </c>
      <c r="N2" s="5">
        <v>31.5</v>
      </c>
    </row>
    <row r="3" spans="1:14" s="5" customFormat="1" x14ac:dyDescent="0.25">
      <c r="A3" s="18" t="s">
        <v>575</v>
      </c>
      <c r="B3" s="5" t="s">
        <v>417</v>
      </c>
      <c r="C3" s="5" t="s">
        <v>271</v>
      </c>
      <c r="D3" s="5" t="s">
        <v>418</v>
      </c>
      <c r="E3" s="5" t="s">
        <v>419</v>
      </c>
      <c r="F3" s="5" t="s">
        <v>420</v>
      </c>
      <c r="G3" s="4">
        <v>46023</v>
      </c>
      <c r="H3" s="5" t="s">
        <v>51</v>
      </c>
      <c r="I3" s="5" t="s">
        <v>52</v>
      </c>
      <c r="J3" s="5">
        <v>9</v>
      </c>
      <c r="K3" s="6">
        <v>16.2</v>
      </c>
      <c r="M3" s="5">
        <f>14.49+0.99+0.72</f>
        <v>16.2</v>
      </c>
      <c r="N3" s="5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2026-01-22T07:42:48Z</dcterms:created>
  <dcterms:modified xsi:type="dcterms:W3CDTF">2026-01-30T18:18:05Z</dcterms:modified>
</cp:coreProperties>
</file>