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FG\2026\2026-05-06 NB\"/>
    </mc:Choice>
  </mc:AlternateContent>
  <xr:revisionPtr revIDLastSave="0" documentId="13_ncr:1_{1E1BEEE7-592F-4514-B184-319BDAD1033C}" xr6:coauthVersionLast="47" xr6:coauthVersionMax="47" xr10:uidLastSave="{00000000-0000-0000-0000-000000000000}"/>
  <bookViews>
    <workbookView xWindow="-120" yWindow="-120" windowWidth="29040" windowHeight="16440" activeTab="1" xr2:uid="{7C7BB1F0-4D9D-4F8E-B7F7-DC91AA48FBE5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55" i="2" l="1"/>
  <c r="I56" i="2"/>
  <c r="B43" i="2"/>
  <c r="B44" i="2"/>
  <c r="B45" i="2"/>
  <c r="B46" i="2"/>
  <c r="B47" i="2"/>
  <c r="B48" i="2"/>
  <c r="B49" i="2"/>
  <c r="B50" i="2"/>
  <c r="B51" i="2"/>
  <c r="B52" i="2"/>
  <c r="B42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<sst xmlns="http://schemas.openxmlformats.org/spreadsheetml/2006/main" count="1176" uniqueCount="276">
  <si>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</si>
  <si>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</si>
  <si>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</si>
  <si>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</si>
  <si>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</si>
  <si>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</si>
  <si>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</si>
  <si>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</si>
  <si>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</si>
  <si>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</si>
  <si>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</si>
  <si>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</si>
  <si>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</si>
  <si>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</si>
  <si>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</si>
  <si>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</si>
  <si>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</si>
  <si>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</si>
  <si>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</si>
  <si>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</si>
  <si>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</si>
  <si>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</si>
  <si>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</si>
  <si>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</si>
  <si>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</si>
  <si>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</si>
  <si>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</si>
  <si>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</si>
  <si>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</si>
  <si>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</si>
  <si>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</si>
  <si>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</si>
  <si>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</si>
  <si>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</si>
  <si>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</si>
  <si>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</si>
  <si>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</si>
  <si>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</si>
  <si>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</si>
  <si>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</si>
  <si>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</si>
  <si>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</si>
  <si>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</si>
  <si>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</si>
  <si>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'00017506241K</t>
  </si>
  <si>
    <t>DEBRA ABSHER</t>
  </si>
  <si>
    <t>MA</t>
  </si>
  <si>
    <t>'043678</t>
  </si>
  <si>
    <t>MATTHEW DAUGHERTY</t>
  </si>
  <si>
    <t>ACTIVE</t>
  </si>
  <si>
    <t>Humana MA 2019+ Level 15- 175/108</t>
  </si>
  <si>
    <t>Monthly</t>
  </si>
  <si>
    <t>AV</t>
  </si>
  <si>
    <t>'00026413635K</t>
  </si>
  <si>
    <t>BICH HUYNH</t>
  </si>
  <si>
    <t>'045605</t>
  </si>
  <si>
    <t>GARY PORTUGAL</t>
  </si>
  <si>
    <t>'00026413680K</t>
  </si>
  <si>
    <t>ALFREDO LESCANO</t>
  </si>
  <si>
    <t>'043589</t>
  </si>
  <si>
    <t>JOSE TORRES</t>
  </si>
  <si>
    <t>'00026415288K</t>
  </si>
  <si>
    <t>TAMMIE BERKSHIRE</t>
  </si>
  <si>
    <t>'043618</t>
  </si>
  <si>
    <t>SAADIA ABDUL</t>
  </si>
  <si>
    <t>'00026415867K</t>
  </si>
  <si>
    <t>JOHN BAERTSCHI</t>
  </si>
  <si>
    <t>'047621</t>
  </si>
  <si>
    <t>TOM SERIO</t>
  </si>
  <si>
    <t>'00026417432K</t>
  </si>
  <si>
    <t>VINCE TARALLO</t>
  </si>
  <si>
    <t>'043682</t>
  </si>
  <si>
    <t>GREGORY TEIPEL</t>
  </si>
  <si>
    <t>'00026422214K</t>
  </si>
  <si>
    <t>KHAIRUNNISA BEGUM</t>
  </si>
  <si>
    <t>'00026423200K</t>
  </si>
  <si>
    <t>LIBRADO HIDALGO</t>
  </si>
  <si>
    <t>'045613</t>
  </si>
  <si>
    <t>RICARDO SANTOS</t>
  </si>
  <si>
    <t>'00026424182K</t>
  </si>
  <si>
    <t>CELINA RODRIGUEZ DAVILA</t>
  </si>
  <si>
    <t>'043813</t>
  </si>
  <si>
    <t>VICTOR FUENTES</t>
  </si>
  <si>
    <t>'00026426494K</t>
  </si>
  <si>
    <t>LAWRENCE DRAGOZETICH</t>
  </si>
  <si>
    <t>'00026426888K</t>
  </si>
  <si>
    <t>HOWARD FISHMAN</t>
  </si>
  <si>
    <t>'045638</t>
  </si>
  <si>
    <t>RICHARD YALE</t>
  </si>
  <si>
    <t>'00026428954K</t>
  </si>
  <si>
    <t>JOHN BEAUPIED</t>
  </si>
  <si>
    <t>'045671</t>
  </si>
  <si>
    <t>ROBERT SHAPIRO</t>
  </si>
  <si>
    <t>'101385723600</t>
  </si>
  <si>
    <t>ORA HARPER</t>
  </si>
  <si>
    <t>IL</t>
  </si>
  <si>
    <t>Aetna MAPD NMO to MMO - 2025+ Replace E-App</t>
  </si>
  <si>
    <t>9/12 PRORATE</t>
  </si>
  <si>
    <t>'102188513600A</t>
  </si>
  <si>
    <t>JAMES SHIPLETT</t>
  </si>
  <si>
    <t>NC</t>
  </si>
  <si>
    <t>'045611</t>
  </si>
  <si>
    <t>FRANK LISKOVEC</t>
  </si>
  <si>
    <t>Active</t>
  </si>
  <si>
    <t>'102217395100</t>
  </si>
  <si>
    <t>PATRICIA FRY</t>
  </si>
  <si>
    <t>PA</t>
  </si>
  <si>
    <t>'043867</t>
  </si>
  <si>
    <t>RYAN STOCKER</t>
  </si>
  <si>
    <t>8/12 PRORATE</t>
  </si>
  <si>
    <t>'102275883400</t>
  </si>
  <si>
    <t>KENNETH TRACY</t>
  </si>
  <si>
    <t>'043832</t>
  </si>
  <si>
    <t>CAROL FRITZ</t>
  </si>
  <si>
    <t>'102276185900</t>
  </si>
  <si>
    <t>WALTER BATTLE</t>
  </si>
  <si>
    <t>'043679</t>
  </si>
  <si>
    <t>DEBORAH INSKIPT</t>
  </si>
  <si>
    <t>'102276195200</t>
  </si>
  <si>
    <t>CHARLES MCCLERNON</t>
  </si>
  <si>
    <t>'045607</t>
  </si>
  <si>
    <t>PAMELA DEATON</t>
  </si>
  <si>
    <t>'102276209100</t>
  </si>
  <si>
    <t>KATHRYN THOMAS</t>
  </si>
  <si>
    <t>'043786</t>
  </si>
  <si>
    <t>MARGARET SMITH</t>
  </si>
  <si>
    <t>7/12 PRORATE</t>
  </si>
  <si>
    <t>'102276304500</t>
  </si>
  <si>
    <t>MICHAEL HOBACK</t>
  </si>
  <si>
    <t>'043705</t>
  </si>
  <si>
    <t>MICHAEL DUNAVANT</t>
  </si>
  <si>
    <t>6/12 PRORATE</t>
  </si>
  <si>
    <t>'102276340200</t>
  </si>
  <si>
    <t>THOMAS SKWORTZ</t>
  </si>
  <si>
    <t>'102276359600</t>
  </si>
  <si>
    <t>CYNTHIA SKWORTZ</t>
  </si>
  <si>
    <t>'102276384600</t>
  </si>
  <si>
    <t>MARY FRIEND</t>
  </si>
  <si>
    <t>OH</t>
  </si>
  <si>
    <t>'040060</t>
  </si>
  <si>
    <t>RYAN SHEPARD</t>
  </si>
  <si>
    <t>'102276504200</t>
  </si>
  <si>
    <t>DANIEL KORNOWSKI</t>
  </si>
  <si>
    <t>WI</t>
  </si>
  <si>
    <t>'102276570700</t>
  </si>
  <si>
    <t>JODIE HARTUNG</t>
  </si>
  <si>
    <t>'39A4R9R58</t>
  </si>
  <si>
    <t>RONALD LOOMIS</t>
  </si>
  <si>
    <t>MD</t>
  </si>
  <si>
    <t>'045717</t>
  </si>
  <si>
    <t>RONALD MAX</t>
  </si>
  <si>
    <t>Cigna MAPD FMO to GA 1-1-19+ - New</t>
  </si>
  <si>
    <t>'406W26407</t>
  </si>
  <si>
    <t>KRISTI HACKETT</t>
  </si>
  <si>
    <t>'045967</t>
  </si>
  <si>
    <t>DANNA GREEN</t>
  </si>
  <si>
    <t>Anthem BCBS Med Supp Percentage 2025</t>
  </si>
  <si>
    <t>'641W26577</t>
  </si>
  <si>
    <t>DALE GORDON</t>
  </si>
  <si>
    <t>'A04463067</t>
  </si>
  <si>
    <t>LISA CAMPBELL</t>
  </si>
  <si>
    <t>IN</t>
  </si>
  <si>
    <t>UHC AARP Med Supp 2025+ IN All Plans</t>
  </si>
  <si>
    <t>'A04463252</t>
  </si>
  <si>
    <t>KENNETH ANDREWS</t>
  </si>
  <si>
    <t>'A04468008</t>
  </si>
  <si>
    <t>CONNIE GANGNON</t>
  </si>
  <si>
    <t>'A04468083</t>
  </si>
  <si>
    <t>THOMAS KIENTZ</t>
  </si>
  <si>
    <t>'A04468929</t>
  </si>
  <si>
    <t>MICHELLE CUNNINGHAM</t>
  </si>
  <si>
    <t>'045670</t>
  </si>
  <si>
    <t>STEVEN BRANDT</t>
  </si>
  <si>
    <t>UHC AARP Med Supp 2026+ AZ IL KS ME NC TN WV Plan B C D F G</t>
  </si>
  <si>
    <t>'A04469562</t>
  </si>
  <si>
    <t>DENI CARISE</t>
  </si>
  <si>
    <t>'045673</t>
  </si>
  <si>
    <t>MARK ROCCIA</t>
  </si>
  <si>
    <t>UHC AARP Med Supp 2026+ PA Plan B C F G</t>
  </si>
  <si>
    <t>'A04469636</t>
  </si>
  <si>
    <t>JOHN MAKI</t>
  </si>
  <si>
    <t>'045981</t>
  </si>
  <si>
    <t>JAKE SHULMAN</t>
  </si>
  <si>
    <t>UHC AARP Med Supp 2026+ WA All Plans</t>
  </si>
  <si>
    <t>'A04470166</t>
  </si>
  <si>
    <t>SHERRY SKIPTON</t>
  </si>
  <si>
    <t>CA</t>
  </si>
  <si>
    <t>'045601</t>
  </si>
  <si>
    <t>CAROL FOLEY</t>
  </si>
  <si>
    <t>'A04470258</t>
  </si>
  <si>
    <t>MARK COPE</t>
  </si>
  <si>
    <t>'MEQNPDZM00003487368</t>
  </si>
  <si>
    <t>DEBORAH ROSS</t>
  </si>
  <si>
    <t>'045604</t>
  </si>
  <si>
    <t>JEFFREY HORN</t>
  </si>
  <si>
    <t>CB</t>
  </si>
  <si>
    <t>'00024569416KPDPPC</t>
  </si>
  <si>
    <t>SHERWOOD BLITSTEIN</t>
  </si>
  <si>
    <t>'043969</t>
  </si>
  <si>
    <t>STACEY PORTUGAL</t>
  </si>
  <si>
    <t>CHARGEBACK</t>
  </si>
  <si>
    <t>Humana PDP 2019+ Level 15- 15/0</t>
  </si>
  <si>
    <t>'00026223632KCB</t>
  </si>
  <si>
    <t>DARRYL REED</t>
  </si>
  <si>
    <t>'00026260016KCB</t>
  </si>
  <si>
    <t>ANNA YI</t>
  </si>
  <si>
    <t>'102074151600PC</t>
  </si>
  <si>
    <t>SHEILA CHRISTIAN</t>
  </si>
  <si>
    <t>'043644</t>
  </si>
  <si>
    <t>TIMOTHY HODGMAN</t>
  </si>
  <si>
    <t>Aetna MAPD NMO to MMO - 2025+ New E-App</t>
  </si>
  <si>
    <t>'102244065300PC</t>
  </si>
  <si>
    <t>RODNEY ZIPP</t>
  </si>
  <si>
    <t>TX</t>
  </si>
  <si>
    <t>'102244134600PC</t>
  </si>
  <si>
    <t>JANE DOBROWSKI</t>
  </si>
  <si>
    <t>'102248534900PC</t>
  </si>
  <si>
    <t>BRADLEY FOX</t>
  </si>
  <si>
    <t>'045712</t>
  </si>
  <si>
    <t>GREGORY HANSFORD</t>
  </si>
  <si>
    <t>'102259407200CB</t>
  </si>
  <si>
    <t>ROBIN BRALLIER</t>
  </si>
  <si>
    <t>'045637</t>
  </si>
  <si>
    <t>ALISON LUSE</t>
  </si>
  <si>
    <t>'335W26438PC</t>
  </si>
  <si>
    <t>JENNIFE BRATTON</t>
  </si>
  <si>
    <t>'461W26478PC</t>
  </si>
  <si>
    <t>MARIA DAVEY</t>
  </si>
  <si>
    <t>'A04421878PC</t>
  </si>
  <si>
    <t>SCOTT WARREN</t>
  </si>
  <si>
    <t>'043974</t>
  </si>
  <si>
    <t>JENNIFER HALSAVER</t>
  </si>
  <si>
    <t>UHC AARP Med Supp 2026+ IL Plan F G</t>
  </si>
  <si>
    <t>'A04421880PC</t>
  </si>
  <si>
    <t>BEVERLY WARREN</t>
  </si>
  <si>
    <t>'MEQNPDZM00001566197PC</t>
  </si>
  <si>
    <t>00017506241K</t>
  </si>
  <si>
    <t>00026413635K</t>
  </si>
  <si>
    <t>00026413680K</t>
  </si>
  <si>
    <t>00026415288K</t>
  </si>
  <si>
    <t>00026415867K</t>
  </si>
  <si>
    <t>00026417432K</t>
  </si>
  <si>
    <t>00026422214K</t>
  </si>
  <si>
    <t>00026423200K</t>
  </si>
  <si>
    <t>00026424182K</t>
  </si>
  <si>
    <t>00026426494K</t>
  </si>
  <si>
    <t>00026426888K</t>
  </si>
  <si>
    <t>00026428954K</t>
  </si>
  <si>
    <t>102188513600A</t>
  </si>
  <si>
    <t>39A4R9R58</t>
  </si>
  <si>
    <t>406W26407</t>
  </si>
  <si>
    <t>641W26577</t>
  </si>
  <si>
    <t>A04463067</t>
  </si>
  <si>
    <t>A04463252</t>
  </si>
  <si>
    <t>A04468008</t>
  </si>
  <si>
    <t>A04468083</t>
  </si>
  <si>
    <t>A04468929</t>
  </si>
  <si>
    <t>A04469562</t>
  </si>
  <si>
    <t>A04469636</t>
  </si>
  <si>
    <t>A04470166</t>
  </si>
  <si>
    <t>A04470258</t>
  </si>
  <si>
    <t>MEQNPDZM00003487368</t>
  </si>
  <si>
    <t>00024569416KPDP</t>
  </si>
  <si>
    <t>335W26438</t>
  </si>
  <si>
    <t>461W26478</t>
  </si>
  <si>
    <t>A04421878</t>
  </si>
  <si>
    <t>A04421880</t>
  </si>
  <si>
    <t>MEQNPDZM00001566197</t>
  </si>
  <si>
    <t>00026223632K</t>
  </si>
  <si>
    <t>00026260016K</t>
  </si>
  <si>
    <t>Aetna MAPD OVR 2026</t>
  </si>
  <si>
    <t>Anthem MAPD OVR</t>
  </si>
  <si>
    <t>Cigna MAPD Ovr</t>
  </si>
  <si>
    <t>Humana MAPD OVR</t>
  </si>
  <si>
    <t>Humana PDP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</si>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</sst>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  <xf numFmtId="1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DE29-A1C1-4065-852F-D6D416BBAAEB}">
  <dimension ref="A1:AL52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6" bestFit="1" customWidth="1"/>
    <col min="10" max="10" width="25.28515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.57031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46148</v>
      </c>
      <c r="B2" s="1">
        <v>46148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46143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6754930</v>
      </c>
    </row>
    <row r="3" spans="1:38" x14ac:dyDescent="0.25">
      <c r="A3" s="1">
        <v>46148</v>
      </c>
      <c r="B3" s="1">
        <v>46148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46143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6754931</v>
      </c>
    </row>
    <row r="4" spans="1:38" x14ac:dyDescent="0.25">
      <c r="A4" s="1">
        <v>46148</v>
      </c>
      <c r="B4" s="1">
        <v>46148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59</v>
      </c>
      <c r="P4" t="s">
        <v>60</v>
      </c>
      <c r="Q4" t="s">
        <v>49</v>
      </c>
      <c r="R4" t="s">
        <v>50</v>
      </c>
      <c r="S4" s="1">
        <v>46143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6754921</v>
      </c>
    </row>
    <row r="5" spans="1:38" x14ac:dyDescent="0.25">
      <c r="A5" s="1">
        <v>46148</v>
      </c>
      <c r="B5" s="1">
        <v>46148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46</v>
      </c>
      <c r="O5" t="s">
        <v>63</v>
      </c>
      <c r="P5" t="s">
        <v>64</v>
      </c>
      <c r="Q5" t="s">
        <v>49</v>
      </c>
      <c r="R5" t="s">
        <v>50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6754932</v>
      </c>
    </row>
    <row r="6" spans="1:38" x14ac:dyDescent="0.25">
      <c r="A6" s="1">
        <v>46148</v>
      </c>
      <c r="B6" s="1">
        <v>46148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50</v>
      </c>
      <c r="S6" s="1">
        <v>46143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6754933</v>
      </c>
    </row>
    <row r="7" spans="1:38" x14ac:dyDescent="0.25">
      <c r="A7" s="1">
        <v>46148</v>
      </c>
      <c r="B7" s="1">
        <v>46148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46143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6754934</v>
      </c>
    </row>
    <row r="8" spans="1:38" x14ac:dyDescent="0.25">
      <c r="A8" s="1">
        <v>46148</v>
      </c>
      <c r="B8" s="1">
        <v>46148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63</v>
      </c>
      <c r="P8" t="s">
        <v>64</v>
      </c>
      <c r="Q8" t="s">
        <v>49</v>
      </c>
      <c r="R8" t="s">
        <v>50</v>
      </c>
      <c r="S8" s="1">
        <v>46143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6754935</v>
      </c>
    </row>
    <row r="9" spans="1:38" x14ac:dyDescent="0.25">
      <c r="A9" s="1">
        <v>46148</v>
      </c>
      <c r="B9" s="1">
        <v>46148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75</v>
      </c>
      <c r="J9" t="s">
        <v>76</v>
      </c>
      <c r="M9" t="s">
        <v>46</v>
      </c>
      <c r="O9" t="s">
        <v>77</v>
      </c>
      <c r="P9" t="s">
        <v>78</v>
      </c>
      <c r="Q9" t="s">
        <v>49</v>
      </c>
      <c r="R9" t="s">
        <v>50</v>
      </c>
      <c r="S9" s="1">
        <v>46143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6754936</v>
      </c>
    </row>
    <row r="10" spans="1:38" x14ac:dyDescent="0.25">
      <c r="A10" s="1">
        <v>46148</v>
      </c>
      <c r="B10" s="1">
        <v>46148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46</v>
      </c>
      <c r="O10" t="s">
        <v>81</v>
      </c>
      <c r="P10" t="s">
        <v>82</v>
      </c>
      <c r="Q10" t="s">
        <v>49</v>
      </c>
      <c r="R10" t="s">
        <v>50</v>
      </c>
      <c r="S10" s="1">
        <v>46204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6754937</v>
      </c>
    </row>
    <row r="11" spans="1:38" x14ac:dyDescent="0.25">
      <c r="A11" s="1">
        <v>46148</v>
      </c>
      <c r="B11" s="1">
        <v>46148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46</v>
      </c>
      <c r="O11" t="s">
        <v>63</v>
      </c>
      <c r="P11" t="s">
        <v>64</v>
      </c>
      <c r="Q11" t="s">
        <v>49</v>
      </c>
      <c r="R11" t="s">
        <v>50</v>
      </c>
      <c r="S11" s="1">
        <v>46143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6754938</v>
      </c>
    </row>
    <row r="12" spans="1:38" x14ac:dyDescent="0.25">
      <c r="A12" s="1">
        <v>46148</v>
      </c>
      <c r="B12" s="1">
        <v>46148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86</v>
      </c>
      <c r="M12" t="s">
        <v>46</v>
      </c>
      <c r="O12" t="s">
        <v>87</v>
      </c>
      <c r="P12" t="s">
        <v>88</v>
      </c>
      <c r="Q12" t="s">
        <v>49</v>
      </c>
      <c r="R12" t="s">
        <v>50</v>
      </c>
      <c r="S12" s="1">
        <v>46143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6754939</v>
      </c>
    </row>
    <row r="13" spans="1:38" x14ac:dyDescent="0.25">
      <c r="A13" s="1">
        <v>46148</v>
      </c>
      <c r="B13" s="1">
        <v>46148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89</v>
      </c>
      <c r="J13" t="s">
        <v>90</v>
      </c>
      <c r="M13" t="s">
        <v>46</v>
      </c>
      <c r="O13" t="s">
        <v>91</v>
      </c>
      <c r="P13" t="s">
        <v>92</v>
      </c>
      <c r="Q13" t="s">
        <v>49</v>
      </c>
      <c r="R13" t="s">
        <v>50</v>
      </c>
      <c r="S13" s="1">
        <v>46143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6754940</v>
      </c>
    </row>
    <row r="14" spans="1:38" x14ac:dyDescent="0.25">
      <c r="A14" s="1">
        <v>46148</v>
      </c>
      <c r="B14" s="1">
        <v>46148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95</v>
      </c>
      <c r="O14" t="s">
        <v>55</v>
      </c>
      <c r="P14" t="s">
        <v>56</v>
      </c>
      <c r="Q14" t="s">
        <v>49</v>
      </c>
      <c r="R14" t="s">
        <v>96</v>
      </c>
      <c r="S14" s="1">
        <v>46113</v>
      </c>
      <c r="U14" t="s">
        <v>51</v>
      </c>
      <c r="X14" t="s">
        <v>52</v>
      </c>
      <c r="Y14" s="2">
        <v>0</v>
      </c>
      <c r="Z14" s="2">
        <v>18.75</v>
      </c>
      <c r="AA14">
        <v>1</v>
      </c>
      <c r="AB14" s="3">
        <v>1</v>
      </c>
      <c r="AC14" s="2">
        <v>18.75</v>
      </c>
      <c r="AD14" s="3">
        <v>0</v>
      </c>
      <c r="AE14" s="2">
        <v>0</v>
      </c>
      <c r="AF14" s="2">
        <v>18.75</v>
      </c>
      <c r="AK14">
        <v>6754644</v>
      </c>
      <c r="AL14" t="s">
        <v>97</v>
      </c>
    </row>
    <row r="15" spans="1:38" x14ac:dyDescent="0.25">
      <c r="A15" s="1">
        <v>46148</v>
      </c>
      <c r="B15" s="1">
        <v>46148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100</v>
      </c>
      <c r="O15" t="s">
        <v>101</v>
      </c>
      <c r="P15" t="s">
        <v>102</v>
      </c>
      <c r="Q15" t="s">
        <v>103</v>
      </c>
      <c r="R15" t="s">
        <v>96</v>
      </c>
      <c r="S15" s="1">
        <v>46113</v>
      </c>
      <c r="U15" t="s">
        <v>51</v>
      </c>
      <c r="X15" t="s">
        <v>52</v>
      </c>
      <c r="Y15" s="2">
        <v>0</v>
      </c>
      <c r="Z15" s="2">
        <v>18.75</v>
      </c>
      <c r="AA15">
        <v>1</v>
      </c>
      <c r="AB15" s="3">
        <v>1</v>
      </c>
      <c r="AC15" s="2">
        <v>18.75</v>
      </c>
      <c r="AD15" s="3">
        <v>0</v>
      </c>
      <c r="AE15" s="2">
        <v>0</v>
      </c>
      <c r="AF15" s="2">
        <v>18.75</v>
      </c>
      <c r="AK15">
        <v>6754654</v>
      </c>
      <c r="AL15" t="s">
        <v>97</v>
      </c>
    </row>
    <row r="16" spans="1:38" x14ac:dyDescent="0.25">
      <c r="A16" s="1">
        <v>46148</v>
      </c>
      <c r="B16" s="1">
        <v>46148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106</v>
      </c>
      <c r="O16" t="s">
        <v>107</v>
      </c>
      <c r="P16" t="s">
        <v>108</v>
      </c>
      <c r="Q16" t="s">
        <v>49</v>
      </c>
      <c r="R16" t="s">
        <v>96</v>
      </c>
      <c r="S16" s="1">
        <v>46143</v>
      </c>
      <c r="U16" t="s">
        <v>51</v>
      </c>
      <c r="X16" t="s">
        <v>52</v>
      </c>
      <c r="Y16" s="2">
        <v>0</v>
      </c>
      <c r="Z16" s="2">
        <v>16.670000000000002</v>
      </c>
      <c r="AA16">
        <v>1</v>
      </c>
      <c r="AB16" s="3">
        <v>1</v>
      </c>
      <c r="AC16" s="2">
        <v>16.670000000000002</v>
      </c>
      <c r="AD16" s="3">
        <v>0</v>
      </c>
      <c r="AE16" s="2">
        <v>0</v>
      </c>
      <c r="AF16" s="2">
        <v>16.670000000000002</v>
      </c>
      <c r="AK16">
        <v>6754655</v>
      </c>
      <c r="AL16" t="s">
        <v>109</v>
      </c>
    </row>
    <row r="17" spans="1:38" x14ac:dyDescent="0.25">
      <c r="A17" s="1">
        <v>46148</v>
      </c>
      <c r="B17" s="1">
        <v>46148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110</v>
      </c>
      <c r="J17" t="s">
        <v>111</v>
      </c>
      <c r="M17" t="s">
        <v>95</v>
      </c>
      <c r="O17" t="s">
        <v>112</v>
      </c>
      <c r="P17" t="s">
        <v>113</v>
      </c>
      <c r="Q17" t="s">
        <v>49</v>
      </c>
      <c r="R17" t="s">
        <v>96</v>
      </c>
      <c r="S17" s="1">
        <v>46113</v>
      </c>
      <c r="U17" t="s">
        <v>51</v>
      </c>
      <c r="X17" t="s">
        <v>52</v>
      </c>
      <c r="Y17" s="2">
        <v>0</v>
      </c>
      <c r="Z17" s="2">
        <v>18.75</v>
      </c>
      <c r="AA17">
        <v>1</v>
      </c>
      <c r="AB17" s="3">
        <v>1</v>
      </c>
      <c r="AC17" s="2">
        <v>18.75</v>
      </c>
      <c r="AD17" s="3">
        <v>0</v>
      </c>
      <c r="AE17" s="2">
        <v>0</v>
      </c>
      <c r="AF17" s="2">
        <v>18.75</v>
      </c>
      <c r="AK17">
        <v>6754666</v>
      </c>
      <c r="AL17" t="s">
        <v>97</v>
      </c>
    </row>
    <row r="18" spans="1:38" x14ac:dyDescent="0.25">
      <c r="A18" s="1">
        <v>46148</v>
      </c>
      <c r="B18" s="1">
        <v>46148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114</v>
      </c>
      <c r="J18" t="s">
        <v>115</v>
      </c>
      <c r="M18" t="s">
        <v>106</v>
      </c>
      <c r="O18" t="s">
        <v>116</v>
      </c>
      <c r="P18" t="s">
        <v>117</v>
      </c>
      <c r="Q18" t="s">
        <v>49</v>
      </c>
      <c r="R18" t="s">
        <v>96</v>
      </c>
      <c r="S18" s="1">
        <v>46143</v>
      </c>
      <c r="U18" t="s">
        <v>51</v>
      </c>
      <c r="X18" t="s">
        <v>52</v>
      </c>
      <c r="Y18" s="2">
        <v>0</v>
      </c>
      <c r="Z18" s="2">
        <v>16.670000000000002</v>
      </c>
      <c r="AA18">
        <v>1</v>
      </c>
      <c r="AB18" s="3">
        <v>1</v>
      </c>
      <c r="AC18" s="2">
        <v>16.670000000000002</v>
      </c>
      <c r="AD18" s="3">
        <v>0</v>
      </c>
      <c r="AE18" s="2">
        <v>0</v>
      </c>
      <c r="AF18" s="2">
        <v>16.670000000000002</v>
      </c>
      <c r="AK18">
        <v>6754681</v>
      </c>
      <c r="AL18" t="s">
        <v>109</v>
      </c>
    </row>
    <row r="19" spans="1:38" x14ac:dyDescent="0.25">
      <c r="A19" s="1">
        <v>46148</v>
      </c>
      <c r="B19" s="1">
        <v>46148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118</v>
      </c>
      <c r="J19" t="s">
        <v>119</v>
      </c>
      <c r="M19" t="s">
        <v>95</v>
      </c>
      <c r="O19" t="s">
        <v>120</v>
      </c>
      <c r="P19" t="s">
        <v>121</v>
      </c>
      <c r="Q19" t="s">
        <v>49</v>
      </c>
      <c r="R19" t="s">
        <v>96</v>
      </c>
      <c r="S19" s="1">
        <v>46143</v>
      </c>
      <c r="U19" t="s">
        <v>51</v>
      </c>
      <c r="X19" t="s">
        <v>52</v>
      </c>
      <c r="Y19" s="2">
        <v>0</v>
      </c>
      <c r="Z19" s="2">
        <v>16.670000000000002</v>
      </c>
      <c r="AA19">
        <v>1</v>
      </c>
      <c r="AB19" s="3">
        <v>1</v>
      </c>
      <c r="AC19" s="2">
        <v>16.670000000000002</v>
      </c>
      <c r="AD19" s="3">
        <v>0</v>
      </c>
      <c r="AE19" s="2">
        <v>0</v>
      </c>
      <c r="AF19" s="2">
        <v>16.670000000000002</v>
      </c>
      <c r="AK19">
        <v>6754682</v>
      </c>
      <c r="AL19" t="s">
        <v>109</v>
      </c>
    </row>
    <row r="20" spans="1:38" x14ac:dyDescent="0.25">
      <c r="A20" s="1">
        <v>46148</v>
      </c>
      <c r="B20" s="1">
        <v>46148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122</v>
      </c>
      <c r="J20" t="s">
        <v>123</v>
      </c>
      <c r="M20" t="s">
        <v>106</v>
      </c>
      <c r="O20" t="s">
        <v>124</v>
      </c>
      <c r="P20" t="s">
        <v>125</v>
      </c>
      <c r="Q20" t="s">
        <v>49</v>
      </c>
      <c r="R20" t="s">
        <v>96</v>
      </c>
      <c r="S20" s="1">
        <v>46174</v>
      </c>
      <c r="U20" t="s">
        <v>51</v>
      </c>
      <c r="X20" t="s">
        <v>52</v>
      </c>
      <c r="Y20" s="2">
        <v>0</v>
      </c>
      <c r="Z20" s="2">
        <v>14.58</v>
      </c>
      <c r="AA20">
        <v>1</v>
      </c>
      <c r="AB20" s="3">
        <v>1</v>
      </c>
      <c r="AC20" s="2">
        <v>14.58</v>
      </c>
      <c r="AD20" s="3">
        <v>0</v>
      </c>
      <c r="AE20" s="2">
        <v>0</v>
      </c>
      <c r="AF20" s="2">
        <v>14.58</v>
      </c>
      <c r="AK20">
        <v>6754688</v>
      </c>
      <c r="AL20" t="s">
        <v>126</v>
      </c>
    </row>
    <row r="21" spans="1:38" x14ac:dyDescent="0.25">
      <c r="A21" s="1">
        <v>46148</v>
      </c>
      <c r="B21" s="1">
        <v>46148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95</v>
      </c>
      <c r="O21" t="s">
        <v>129</v>
      </c>
      <c r="P21" t="s">
        <v>130</v>
      </c>
      <c r="Q21" t="s">
        <v>49</v>
      </c>
      <c r="R21" t="s">
        <v>96</v>
      </c>
      <c r="S21" s="1">
        <v>46204</v>
      </c>
      <c r="U21" t="s">
        <v>51</v>
      </c>
      <c r="X21" t="s">
        <v>52</v>
      </c>
      <c r="Y21" s="2">
        <v>0</v>
      </c>
      <c r="Z21" s="2">
        <v>12.5</v>
      </c>
      <c r="AA21">
        <v>1</v>
      </c>
      <c r="AB21" s="3">
        <v>1</v>
      </c>
      <c r="AC21" s="2">
        <v>12.5</v>
      </c>
      <c r="AD21" s="3">
        <v>0</v>
      </c>
      <c r="AE21" s="2">
        <v>0</v>
      </c>
      <c r="AF21" s="2">
        <v>12.5</v>
      </c>
      <c r="AK21">
        <v>6754692</v>
      </c>
      <c r="AL21" t="s">
        <v>131</v>
      </c>
    </row>
    <row r="22" spans="1:38" x14ac:dyDescent="0.25">
      <c r="A22" s="1">
        <v>46148</v>
      </c>
      <c r="B22" s="1">
        <v>46148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132</v>
      </c>
      <c r="J22" t="s">
        <v>133</v>
      </c>
      <c r="M22" t="s">
        <v>106</v>
      </c>
      <c r="O22" t="s">
        <v>116</v>
      </c>
      <c r="P22" t="s">
        <v>117</v>
      </c>
      <c r="Q22" t="s">
        <v>49</v>
      </c>
      <c r="R22" t="s">
        <v>96</v>
      </c>
      <c r="S22" s="1">
        <v>46143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6754701</v>
      </c>
      <c r="AL22" t="s">
        <v>109</v>
      </c>
    </row>
    <row r="23" spans="1:38" x14ac:dyDescent="0.25">
      <c r="A23" s="1">
        <v>46148</v>
      </c>
      <c r="B23" s="1">
        <v>46148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106</v>
      </c>
      <c r="O23" t="s">
        <v>116</v>
      </c>
      <c r="P23" t="s">
        <v>117</v>
      </c>
      <c r="Q23" t="s">
        <v>49</v>
      </c>
      <c r="R23" t="s">
        <v>96</v>
      </c>
      <c r="S23" s="1">
        <v>46143</v>
      </c>
      <c r="U23" t="s">
        <v>51</v>
      </c>
      <c r="X23" t="s">
        <v>52</v>
      </c>
      <c r="Y23" s="2">
        <v>0</v>
      </c>
      <c r="Z23" s="2">
        <v>16.670000000000002</v>
      </c>
      <c r="AA23">
        <v>1</v>
      </c>
      <c r="AB23" s="3">
        <v>1</v>
      </c>
      <c r="AC23" s="2">
        <v>16.670000000000002</v>
      </c>
      <c r="AD23" s="3">
        <v>0</v>
      </c>
      <c r="AE23" s="2">
        <v>0</v>
      </c>
      <c r="AF23" s="2">
        <v>16.670000000000002</v>
      </c>
      <c r="AK23">
        <v>6754704</v>
      </c>
      <c r="AL23" t="s">
        <v>109</v>
      </c>
    </row>
    <row r="24" spans="1:38" x14ac:dyDescent="0.25">
      <c r="A24" s="1">
        <v>46148</v>
      </c>
      <c r="B24" s="1">
        <v>46148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136</v>
      </c>
      <c r="J24" t="s">
        <v>137</v>
      </c>
      <c r="M24" t="s">
        <v>138</v>
      </c>
      <c r="O24" t="s">
        <v>139</v>
      </c>
      <c r="P24" t="s">
        <v>140</v>
      </c>
      <c r="Q24" t="s">
        <v>49</v>
      </c>
      <c r="R24" t="s">
        <v>96</v>
      </c>
      <c r="S24" s="1">
        <v>46143</v>
      </c>
      <c r="U24" t="s">
        <v>51</v>
      </c>
      <c r="X24" t="s">
        <v>52</v>
      </c>
      <c r="Y24" s="2">
        <v>0</v>
      </c>
      <c r="Z24" s="2">
        <v>16.670000000000002</v>
      </c>
      <c r="AA24">
        <v>1</v>
      </c>
      <c r="AB24" s="3">
        <v>1</v>
      </c>
      <c r="AC24" s="2">
        <v>16.670000000000002</v>
      </c>
      <c r="AD24" s="3">
        <v>0</v>
      </c>
      <c r="AE24" s="2">
        <v>0</v>
      </c>
      <c r="AF24" s="2">
        <v>16.670000000000002</v>
      </c>
      <c r="AK24">
        <v>6754708</v>
      </c>
      <c r="AL24" t="s">
        <v>109</v>
      </c>
    </row>
    <row r="25" spans="1:38" x14ac:dyDescent="0.25">
      <c r="A25" s="1">
        <v>46148</v>
      </c>
      <c r="B25" s="1">
        <v>46148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141</v>
      </c>
      <c r="J25" t="s">
        <v>142</v>
      </c>
      <c r="M25" t="s">
        <v>143</v>
      </c>
      <c r="O25" t="s">
        <v>67</v>
      </c>
      <c r="P25" t="s">
        <v>68</v>
      </c>
      <c r="Q25" t="s">
        <v>49</v>
      </c>
      <c r="R25" t="s">
        <v>96</v>
      </c>
      <c r="S25" s="1">
        <v>46143</v>
      </c>
      <c r="U25" t="s">
        <v>51</v>
      </c>
      <c r="X25" t="s">
        <v>52</v>
      </c>
      <c r="Y25" s="2">
        <v>0</v>
      </c>
      <c r="Z25" s="2">
        <v>16.670000000000002</v>
      </c>
      <c r="AA25">
        <v>1</v>
      </c>
      <c r="AB25" s="3">
        <v>1</v>
      </c>
      <c r="AC25" s="2">
        <v>16.670000000000002</v>
      </c>
      <c r="AD25" s="3">
        <v>0</v>
      </c>
      <c r="AE25" s="2">
        <v>0</v>
      </c>
      <c r="AF25" s="2">
        <v>16.670000000000002</v>
      </c>
      <c r="AK25">
        <v>6754718</v>
      </c>
      <c r="AL25" t="s">
        <v>109</v>
      </c>
    </row>
    <row r="26" spans="1:38" x14ac:dyDescent="0.25">
      <c r="A26" s="1">
        <v>46148</v>
      </c>
      <c r="B26" s="1">
        <v>46148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145</v>
      </c>
      <c r="M26" t="s">
        <v>138</v>
      </c>
      <c r="O26" t="s">
        <v>139</v>
      </c>
      <c r="P26" t="s">
        <v>140</v>
      </c>
      <c r="Q26" t="s">
        <v>49</v>
      </c>
      <c r="R26" t="s">
        <v>96</v>
      </c>
      <c r="S26" s="1">
        <v>46174</v>
      </c>
      <c r="U26" t="s">
        <v>51</v>
      </c>
      <c r="X26" t="s">
        <v>52</v>
      </c>
      <c r="Y26" s="2">
        <v>0</v>
      </c>
      <c r="Z26" s="2">
        <v>14.58</v>
      </c>
      <c r="AA26">
        <v>1</v>
      </c>
      <c r="AB26" s="3">
        <v>1</v>
      </c>
      <c r="AC26" s="2">
        <v>14.58</v>
      </c>
      <c r="AD26" s="3">
        <v>0</v>
      </c>
      <c r="AE26" s="2">
        <v>0</v>
      </c>
      <c r="AF26" s="2">
        <v>14.58</v>
      </c>
      <c r="AK26">
        <v>6754720</v>
      </c>
      <c r="AL26" t="s">
        <v>126</v>
      </c>
    </row>
    <row r="27" spans="1:38" x14ac:dyDescent="0.25">
      <c r="A27" s="1">
        <v>46148</v>
      </c>
      <c r="B27" s="1">
        <v>46148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148</v>
      </c>
      <c r="O27" t="s">
        <v>149</v>
      </c>
      <c r="P27" t="s">
        <v>150</v>
      </c>
      <c r="Q27" t="s">
        <v>49</v>
      </c>
      <c r="R27" t="s">
        <v>151</v>
      </c>
      <c r="S27" s="1">
        <v>46143</v>
      </c>
      <c r="U27" t="s">
        <v>51</v>
      </c>
      <c r="X27" t="s">
        <v>52</v>
      </c>
      <c r="Y27" s="2">
        <v>0</v>
      </c>
      <c r="Z27" s="2">
        <v>100</v>
      </c>
      <c r="AA27">
        <v>1</v>
      </c>
      <c r="AB27" s="3">
        <v>1</v>
      </c>
      <c r="AC27" s="2">
        <v>100</v>
      </c>
      <c r="AD27" s="3">
        <v>0</v>
      </c>
      <c r="AE27" s="2">
        <v>0</v>
      </c>
      <c r="AF27" s="2">
        <v>100</v>
      </c>
      <c r="AK27">
        <v>6754756</v>
      </c>
    </row>
    <row r="28" spans="1:38" x14ac:dyDescent="0.25">
      <c r="A28" s="1">
        <v>46148</v>
      </c>
      <c r="B28" s="1">
        <v>46148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152</v>
      </c>
      <c r="J28" t="s">
        <v>153</v>
      </c>
      <c r="O28" t="s">
        <v>154</v>
      </c>
      <c r="P28" t="s">
        <v>155</v>
      </c>
      <c r="Q28" t="s">
        <v>103</v>
      </c>
      <c r="R28" t="s">
        <v>156</v>
      </c>
      <c r="S28" s="1">
        <v>46082</v>
      </c>
      <c r="U28" t="s">
        <v>51</v>
      </c>
      <c r="X28" t="s">
        <v>52</v>
      </c>
      <c r="Y28" s="2">
        <v>355.2</v>
      </c>
      <c r="Z28" s="2">
        <v>355.2</v>
      </c>
      <c r="AA28">
        <v>9</v>
      </c>
      <c r="AB28" s="3">
        <v>0.03</v>
      </c>
      <c r="AC28" s="2">
        <v>95.9</v>
      </c>
      <c r="AD28" s="3">
        <v>0</v>
      </c>
      <c r="AE28" s="2">
        <v>0</v>
      </c>
      <c r="AF28" s="2">
        <v>95.9</v>
      </c>
      <c r="AK28">
        <v>6755010</v>
      </c>
    </row>
    <row r="29" spans="1:38" x14ac:dyDescent="0.25">
      <c r="A29" s="1">
        <v>46148</v>
      </c>
      <c r="B29" s="1">
        <v>46148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157</v>
      </c>
      <c r="J29" t="s">
        <v>158</v>
      </c>
      <c r="O29" t="s">
        <v>154</v>
      </c>
      <c r="P29" t="s">
        <v>155</v>
      </c>
      <c r="Q29" t="s">
        <v>103</v>
      </c>
      <c r="R29" t="s">
        <v>156</v>
      </c>
      <c r="S29" s="1">
        <v>46082</v>
      </c>
      <c r="U29" t="s">
        <v>51</v>
      </c>
      <c r="X29" t="s">
        <v>52</v>
      </c>
      <c r="Y29" s="2">
        <v>367.6</v>
      </c>
      <c r="Z29" s="2">
        <v>367.6</v>
      </c>
      <c r="AA29">
        <v>9</v>
      </c>
      <c r="AB29" s="3">
        <v>0.03</v>
      </c>
      <c r="AC29" s="2">
        <v>99.25</v>
      </c>
      <c r="AD29" s="3">
        <v>0</v>
      </c>
      <c r="AE29" s="2">
        <v>0</v>
      </c>
      <c r="AF29" s="2">
        <v>99.25</v>
      </c>
      <c r="AK29">
        <v>6755014</v>
      </c>
    </row>
    <row r="30" spans="1:38" x14ac:dyDescent="0.25">
      <c r="A30" s="1">
        <v>46148</v>
      </c>
      <c r="B30" s="1">
        <v>46148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159</v>
      </c>
      <c r="J30" t="s">
        <v>160</v>
      </c>
      <c r="M30" t="s">
        <v>161</v>
      </c>
      <c r="O30" t="s">
        <v>154</v>
      </c>
      <c r="P30" t="s">
        <v>155</v>
      </c>
      <c r="Q30" t="s">
        <v>49</v>
      </c>
      <c r="R30" t="s">
        <v>162</v>
      </c>
      <c r="S30" s="1">
        <v>46174</v>
      </c>
      <c r="U30" t="s">
        <v>51</v>
      </c>
      <c r="X30" t="s">
        <v>52</v>
      </c>
      <c r="Y30" s="2">
        <v>0</v>
      </c>
      <c r="Z30" s="2">
        <v>31.02</v>
      </c>
      <c r="AA30">
        <v>9</v>
      </c>
      <c r="AB30" s="3">
        <v>1</v>
      </c>
      <c r="AC30" s="2">
        <v>279.18</v>
      </c>
      <c r="AD30" s="3">
        <v>0</v>
      </c>
      <c r="AE30" s="2">
        <v>0</v>
      </c>
      <c r="AF30" s="2">
        <v>279.18</v>
      </c>
      <c r="AK30">
        <v>6754950</v>
      </c>
    </row>
    <row r="31" spans="1:38" x14ac:dyDescent="0.25">
      <c r="A31" s="1">
        <v>46148</v>
      </c>
      <c r="B31" s="1">
        <v>46148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163</v>
      </c>
      <c r="J31" t="s">
        <v>164</v>
      </c>
      <c r="M31" t="s">
        <v>161</v>
      </c>
      <c r="O31" t="s">
        <v>154</v>
      </c>
      <c r="P31" t="s">
        <v>155</v>
      </c>
      <c r="Q31" t="s">
        <v>49</v>
      </c>
      <c r="R31" t="s">
        <v>162</v>
      </c>
      <c r="S31" s="1">
        <v>46204</v>
      </c>
      <c r="U31" t="s">
        <v>51</v>
      </c>
      <c r="X31" t="s">
        <v>52</v>
      </c>
      <c r="Y31" s="2">
        <v>0</v>
      </c>
      <c r="Z31" s="2">
        <v>31.02</v>
      </c>
      <c r="AA31">
        <v>9</v>
      </c>
      <c r="AB31" s="3">
        <v>1</v>
      </c>
      <c r="AC31" s="2">
        <v>279.18</v>
      </c>
      <c r="AD31" s="3">
        <v>0</v>
      </c>
      <c r="AE31" s="2">
        <v>0</v>
      </c>
      <c r="AF31" s="2">
        <v>279.18</v>
      </c>
      <c r="AK31">
        <v>6754951</v>
      </c>
    </row>
    <row r="32" spans="1:38" x14ac:dyDescent="0.25">
      <c r="A32" s="1">
        <v>46148</v>
      </c>
      <c r="B32" s="1">
        <v>46148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165</v>
      </c>
      <c r="J32" t="s">
        <v>166</v>
      </c>
      <c r="M32" t="s">
        <v>161</v>
      </c>
      <c r="O32" t="s">
        <v>154</v>
      </c>
      <c r="P32" t="s">
        <v>155</v>
      </c>
      <c r="Q32" t="s">
        <v>49</v>
      </c>
      <c r="R32" t="s">
        <v>162</v>
      </c>
      <c r="S32" s="1">
        <v>46143</v>
      </c>
      <c r="U32" t="s">
        <v>51</v>
      </c>
      <c r="X32" t="s">
        <v>52</v>
      </c>
      <c r="Y32" s="2">
        <v>0</v>
      </c>
      <c r="Z32" s="2">
        <v>31.02</v>
      </c>
      <c r="AA32">
        <v>9</v>
      </c>
      <c r="AB32" s="3">
        <v>1</v>
      </c>
      <c r="AC32" s="2">
        <v>279.18</v>
      </c>
      <c r="AD32" s="3">
        <v>0</v>
      </c>
      <c r="AE32" s="2">
        <v>0</v>
      </c>
      <c r="AF32" s="2">
        <v>279.18</v>
      </c>
      <c r="AK32">
        <v>6754952</v>
      </c>
    </row>
    <row r="33" spans="1:38" x14ac:dyDescent="0.25">
      <c r="A33" s="1">
        <v>46148</v>
      </c>
      <c r="B33" s="1">
        <v>46148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167</v>
      </c>
      <c r="J33" t="s">
        <v>168</v>
      </c>
      <c r="M33" t="s">
        <v>161</v>
      </c>
      <c r="O33" t="s">
        <v>154</v>
      </c>
      <c r="P33" t="s">
        <v>155</v>
      </c>
      <c r="Q33" t="s">
        <v>49</v>
      </c>
      <c r="R33" t="s">
        <v>162</v>
      </c>
      <c r="S33" s="1">
        <v>46204</v>
      </c>
      <c r="U33" t="s">
        <v>51</v>
      </c>
      <c r="X33" t="s">
        <v>52</v>
      </c>
      <c r="Y33" s="2">
        <v>0</v>
      </c>
      <c r="Z33" s="2">
        <v>31.02</v>
      </c>
      <c r="AA33">
        <v>9</v>
      </c>
      <c r="AB33" s="3">
        <v>1</v>
      </c>
      <c r="AC33" s="2">
        <v>279.18</v>
      </c>
      <c r="AD33" s="3">
        <v>0</v>
      </c>
      <c r="AE33" s="2">
        <v>0</v>
      </c>
      <c r="AF33" s="2">
        <v>279.18</v>
      </c>
      <c r="AK33">
        <v>6754953</v>
      </c>
    </row>
    <row r="34" spans="1:38" x14ac:dyDescent="0.25">
      <c r="A34" s="1">
        <v>46148</v>
      </c>
      <c r="B34" s="1">
        <v>46148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169</v>
      </c>
      <c r="J34" t="s">
        <v>170</v>
      </c>
      <c r="M34" t="s">
        <v>138</v>
      </c>
      <c r="O34" t="s">
        <v>171</v>
      </c>
      <c r="P34" t="s">
        <v>172</v>
      </c>
      <c r="Q34" t="s">
        <v>49</v>
      </c>
      <c r="R34" t="s">
        <v>173</v>
      </c>
      <c r="S34" s="1">
        <v>46143</v>
      </c>
      <c r="U34" t="s">
        <v>51</v>
      </c>
      <c r="X34" t="s">
        <v>52</v>
      </c>
      <c r="Y34" s="2">
        <v>0</v>
      </c>
      <c r="Z34" s="2">
        <v>31.5</v>
      </c>
      <c r="AA34">
        <v>9</v>
      </c>
      <c r="AB34" s="3">
        <v>1</v>
      </c>
      <c r="AC34" s="2">
        <v>283.5</v>
      </c>
      <c r="AD34" s="3">
        <v>0</v>
      </c>
      <c r="AE34" s="2">
        <v>0</v>
      </c>
      <c r="AF34" s="2">
        <v>283.5</v>
      </c>
      <c r="AK34">
        <v>6754954</v>
      </c>
    </row>
    <row r="35" spans="1:38" x14ac:dyDescent="0.25">
      <c r="A35" s="1">
        <v>46148</v>
      </c>
      <c r="B35" s="1">
        <v>46148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174</v>
      </c>
      <c r="J35" t="s">
        <v>175</v>
      </c>
      <c r="M35" t="s">
        <v>106</v>
      </c>
      <c r="O35" t="s">
        <v>176</v>
      </c>
      <c r="P35" t="s">
        <v>177</v>
      </c>
      <c r="Q35" t="s">
        <v>49</v>
      </c>
      <c r="R35" t="s">
        <v>178</v>
      </c>
      <c r="S35" s="1">
        <v>46143</v>
      </c>
      <c r="U35" t="s">
        <v>51</v>
      </c>
      <c r="X35" t="s">
        <v>52</v>
      </c>
      <c r="Y35" s="2">
        <v>0</v>
      </c>
      <c r="Z35" s="2">
        <v>36</v>
      </c>
      <c r="AA35">
        <v>9</v>
      </c>
      <c r="AB35" s="3">
        <v>1</v>
      </c>
      <c r="AC35" s="2">
        <v>324</v>
      </c>
      <c r="AD35" s="3">
        <v>0</v>
      </c>
      <c r="AE35" s="2">
        <v>0</v>
      </c>
      <c r="AF35" s="2">
        <v>324</v>
      </c>
      <c r="AK35">
        <v>6754957</v>
      </c>
    </row>
    <row r="36" spans="1:38" x14ac:dyDescent="0.25">
      <c r="A36" s="1">
        <v>46148</v>
      </c>
      <c r="B36" s="1">
        <v>46148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179</v>
      </c>
      <c r="J36" t="s">
        <v>180</v>
      </c>
      <c r="O36" t="s">
        <v>181</v>
      </c>
      <c r="P36" t="s">
        <v>182</v>
      </c>
      <c r="Q36" t="s">
        <v>103</v>
      </c>
      <c r="R36" t="s">
        <v>183</v>
      </c>
      <c r="S36" s="1">
        <v>46143</v>
      </c>
      <c r="U36" t="s">
        <v>51</v>
      </c>
      <c r="X36" t="s">
        <v>52</v>
      </c>
      <c r="Y36" s="2">
        <v>290</v>
      </c>
      <c r="Z36" s="2">
        <v>290</v>
      </c>
      <c r="AA36">
        <v>9</v>
      </c>
      <c r="AB36" s="3">
        <v>4.7500000000000001E-2</v>
      </c>
      <c r="AC36" s="2">
        <v>123.98</v>
      </c>
      <c r="AD36" s="3">
        <v>0</v>
      </c>
      <c r="AE36" s="2">
        <v>0</v>
      </c>
      <c r="AF36" s="2">
        <v>123.98</v>
      </c>
      <c r="AK36">
        <v>6755056</v>
      </c>
    </row>
    <row r="37" spans="1:38" x14ac:dyDescent="0.25">
      <c r="A37" s="1">
        <v>46148</v>
      </c>
      <c r="B37" s="1">
        <v>46148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184</v>
      </c>
      <c r="J37" t="s">
        <v>185</v>
      </c>
      <c r="M37" t="s">
        <v>186</v>
      </c>
      <c r="O37" t="s">
        <v>187</v>
      </c>
      <c r="P37" t="s">
        <v>188</v>
      </c>
      <c r="Q37" t="s">
        <v>49</v>
      </c>
      <c r="R37" t="s">
        <v>178</v>
      </c>
      <c r="S37" s="1">
        <v>46143</v>
      </c>
      <c r="U37" t="s">
        <v>51</v>
      </c>
      <c r="X37" t="s">
        <v>52</v>
      </c>
      <c r="Y37" s="2">
        <v>0</v>
      </c>
      <c r="Z37" s="2">
        <v>36</v>
      </c>
      <c r="AA37">
        <v>9</v>
      </c>
      <c r="AB37" s="3">
        <v>1</v>
      </c>
      <c r="AC37" s="2">
        <v>324</v>
      </c>
      <c r="AD37" s="3">
        <v>0</v>
      </c>
      <c r="AE37" s="2">
        <v>0</v>
      </c>
      <c r="AF37" s="2">
        <v>324</v>
      </c>
      <c r="AK37">
        <v>6754955</v>
      </c>
    </row>
    <row r="38" spans="1:38" x14ac:dyDescent="0.25">
      <c r="A38" s="1">
        <v>46148</v>
      </c>
      <c r="B38" s="1">
        <v>46148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189</v>
      </c>
      <c r="J38" t="s">
        <v>190</v>
      </c>
      <c r="M38" t="s">
        <v>186</v>
      </c>
      <c r="O38" t="s">
        <v>187</v>
      </c>
      <c r="P38" t="s">
        <v>188</v>
      </c>
      <c r="Q38" t="s">
        <v>49</v>
      </c>
      <c r="R38" t="s">
        <v>178</v>
      </c>
      <c r="S38" s="1">
        <v>46143</v>
      </c>
      <c r="U38" t="s">
        <v>51</v>
      </c>
      <c r="X38" t="s">
        <v>52</v>
      </c>
      <c r="Y38" s="2">
        <v>0</v>
      </c>
      <c r="Z38" s="2">
        <v>36</v>
      </c>
      <c r="AA38">
        <v>9</v>
      </c>
      <c r="AB38" s="3">
        <v>1</v>
      </c>
      <c r="AC38" s="2">
        <v>324</v>
      </c>
      <c r="AD38" s="3">
        <v>0</v>
      </c>
      <c r="AE38" s="2">
        <v>0</v>
      </c>
      <c r="AF38" s="2">
        <v>324</v>
      </c>
      <c r="AK38">
        <v>6754956</v>
      </c>
    </row>
    <row r="39" spans="1:38" x14ac:dyDescent="0.25">
      <c r="A39" s="1">
        <v>46148</v>
      </c>
      <c r="B39" s="1">
        <v>46148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191</v>
      </c>
      <c r="J39" t="s">
        <v>192</v>
      </c>
      <c r="M39" t="s">
        <v>95</v>
      </c>
      <c r="O39" t="s">
        <v>193</v>
      </c>
      <c r="P39" t="s">
        <v>194</v>
      </c>
      <c r="Q39" t="s">
        <v>49</v>
      </c>
      <c r="R39" t="s">
        <v>96</v>
      </c>
      <c r="S39" s="1">
        <v>46143</v>
      </c>
      <c r="U39" t="s">
        <v>51</v>
      </c>
      <c r="X39" t="s">
        <v>52</v>
      </c>
      <c r="Y39" s="2">
        <v>0</v>
      </c>
      <c r="Z39" s="2">
        <v>16.670000000000002</v>
      </c>
      <c r="AA39">
        <v>1</v>
      </c>
      <c r="AB39" s="3">
        <v>1</v>
      </c>
      <c r="AC39" s="2">
        <v>16.670000000000002</v>
      </c>
      <c r="AD39" s="3">
        <v>0</v>
      </c>
      <c r="AE39" s="2">
        <v>0</v>
      </c>
      <c r="AF39" s="2">
        <v>16.670000000000002</v>
      </c>
      <c r="AK39">
        <v>6754726</v>
      </c>
      <c r="AL39" t="s">
        <v>109</v>
      </c>
    </row>
    <row r="40" spans="1:38" x14ac:dyDescent="0.25">
      <c r="A40" s="1">
        <v>46148</v>
      </c>
      <c r="B40" s="1">
        <v>46148</v>
      </c>
      <c r="C40" t="s">
        <v>195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196</v>
      </c>
      <c r="J40" t="s">
        <v>197</v>
      </c>
      <c r="M40" t="s">
        <v>95</v>
      </c>
      <c r="O40" t="s">
        <v>198</v>
      </c>
      <c r="P40" t="s">
        <v>199</v>
      </c>
      <c r="Q40" t="s">
        <v>200</v>
      </c>
      <c r="R40" t="s">
        <v>201</v>
      </c>
      <c r="S40" s="1">
        <v>46023</v>
      </c>
      <c r="U40" t="s">
        <v>51</v>
      </c>
      <c r="X40" t="s">
        <v>52</v>
      </c>
      <c r="AF40" s="2">
        <v>15</v>
      </c>
      <c r="AG40" s="2">
        <v>0</v>
      </c>
      <c r="AJ40" s="2">
        <v>10.050000000000001</v>
      </c>
    </row>
    <row r="41" spans="1:38" x14ac:dyDescent="0.25">
      <c r="A41" s="1">
        <v>46148</v>
      </c>
      <c r="B41" s="1">
        <v>46148</v>
      </c>
      <c r="C41" t="s">
        <v>195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202</v>
      </c>
      <c r="J41" t="s">
        <v>203</v>
      </c>
      <c r="M41" t="s">
        <v>95</v>
      </c>
      <c r="O41" t="s">
        <v>91</v>
      </c>
      <c r="P41" t="s">
        <v>92</v>
      </c>
      <c r="Q41" t="s">
        <v>200</v>
      </c>
      <c r="R41" t="s">
        <v>50</v>
      </c>
      <c r="S41" s="1">
        <v>46143</v>
      </c>
      <c r="U41" t="s">
        <v>51</v>
      </c>
      <c r="X41" t="s">
        <v>52</v>
      </c>
      <c r="AF41" s="2">
        <v>175</v>
      </c>
      <c r="AG41" s="2">
        <v>0</v>
      </c>
      <c r="AJ41" s="2">
        <v>175</v>
      </c>
    </row>
    <row r="42" spans="1:38" x14ac:dyDescent="0.25">
      <c r="A42" s="1">
        <v>46148</v>
      </c>
      <c r="B42" s="1">
        <v>46148</v>
      </c>
      <c r="C42" t="s">
        <v>195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204</v>
      </c>
      <c r="J42" t="s">
        <v>205</v>
      </c>
      <c r="M42" t="s">
        <v>95</v>
      </c>
      <c r="O42" t="s">
        <v>71</v>
      </c>
      <c r="P42" t="s">
        <v>72</v>
      </c>
      <c r="Q42" t="s">
        <v>200</v>
      </c>
      <c r="R42" t="s">
        <v>50</v>
      </c>
      <c r="S42" s="1">
        <v>46143</v>
      </c>
      <c r="U42" t="s">
        <v>51</v>
      </c>
      <c r="X42" t="s">
        <v>52</v>
      </c>
      <c r="AF42" s="2">
        <v>175</v>
      </c>
      <c r="AG42" s="2">
        <v>0</v>
      </c>
      <c r="AJ42" s="2">
        <v>175</v>
      </c>
    </row>
    <row r="43" spans="1:38" x14ac:dyDescent="0.25">
      <c r="A43" s="1">
        <v>46148</v>
      </c>
      <c r="B43" s="1">
        <v>46148</v>
      </c>
      <c r="C43" t="s">
        <v>195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206</v>
      </c>
      <c r="J43" t="s">
        <v>207</v>
      </c>
      <c r="M43" t="s">
        <v>95</v>
      </c>
      <c r="O43" t="s">
        <v>208</v>
      </c>
      <c r="P43" t="s">
        <v>209</v>
      </c>
      <c r="Q43" t="s">
        <v>200</v>
      </c>
      <c r="R43" t="s">
        <v>210</v>
      </c>
      <c r="S43" s="1">
        <v>46023</v>
      </c>
      <c r="U43" t="s">
        <v>51</v>
      </c>
      <c r="X43" t="s">
        <v>52</v>
      </c>
      <c r="AF43" s="2">
        <v>25</v>
      </c>
      <c r="AG43" s="2">
        <v>0</v>
      </c>
      <c r="AJ43" s="2">
        <v>16.670000000000002</v>
      </c>
    </row>
    <row r="44" spans="1:38" x14ac:dyDescent="0.25">
      <c r="A44" s="1">
        <v>46148</v>
      </c>
      <c r="B44" s="1">
        <v>46148</v>
      </c>
      <c r="C44" t="s">
        <v>195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211</v>
      </c>
      <c r="J44" t="s">
        <v>212</v>
      </c>
      <c r="M44" t="s">
        <v>213</v>
      </c>
      <c r="O44" t="s">
        <v>71</v>
      </c>
      <c r="P44" t="s">
        <v>72</v>
      </c>
      <c r="Q44" t="s">
        <v>200</v>
      </c>
      <c r="R44" t="s">
        <v>210</v>
      </c>
      <c r="S44" s="1">
        <v>46023</v>
      </c>
      <c r="U44" t="s">
        <v>51</v>
      </c>
      <c r="X44" t="s">
        <v>52</v>
      </c>
      <c r="AF44" s="2">
        <v>25</v>
      </c>
      <c r="AG44" s="2">
        <v>0</v>
      </c>
      <c r="AJ44" s="2">
        <v>16.670000000000002</v>
      </c>
    </row>
    <row r="45" spans="1:38" x14ac:dyDescent="0.25">
      <c r="A45" s="1">
        <v>46148</v>
      </c>
      <c r="B45" s="1">
        <v>46148</v>
      </c>
      <c r="C45" t="s">
        <v>195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214</v>
      </c>
      <c r="J45" t="s">
        <v>215</v>
      </c>
      <c r="M45" t="s">
        <v>143</v>
      </c>
      <c r="O45" t="s">
        <v>55</v>
      </c>
      <c r="P45" t="s">
        <v>56</v>
      </c>
      <c r="Q45" t="s">
        <v>200</v>
      </c>
      <c r="R45" t="s">
        <v>210</v>
      </c>
      <c r="S45" s="1">
        <v>46023</v>
      </c>
      <c r="U45" t="s">
        <v>51</v>
      </c>
      <c r="X45" t="s">
        <v>52</v>
      </c>
      <c r="AF45" s="2">
        <v>25</v>
      </c>
      <c r="AG45" s="2">
        <v>0</v>
      </c>
      <c r="AJ45" s="2">
        <v>16.670000000000002</v>
      </c>
    </row>
    <row r="46" spans="1:38" x14ac:dyDescent="0.25">
      <c r="A46" s="1">
        <v>46148</v>
      </c>
      <c r="B46" s="1">
        <v>46148</v>
      </c>
      <c r="C46" t="s">
        <v>195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216</v>
      </c>
      <c r="J46" t="s">
        <v>217</v>
      </c>
      <c r="M46" t="s">
        <v>95</v>
      </c>
      <c r="O46" t="s">
        <v>218</v>
      </c>
      <c r="P46" t="s">
        <v>219</v>
      </c>
      <c r="Q46" t="s">
        <v>200</v>
      </c>
      <c r="R46" t="s">
        <v>210</v>
      </c>
      <c r="S46" s="1">
        <v>46023</v>
      </c>
      <c r="U46" t="s">
        <v>51</v>
      </c>
      <c r="X46" t="s">
        <v>52</v>
      </c>
      <c r="AF46" s="2">
        <v>25</v>
      </c>
      <c r="AG46" s="2">
        <v>0</v>
      </c>
      <c r="AJ46" s="2">
        <v>16.670000000000002</v>
      </c>
    </row>
    <row r="47" spans="1:38" x14ac:dyDescent="0.25">
      <c r="A47" s="1">
        <v>46148</v>
      </c>
      <c r="B47" s="1">
        <v>46148</v>
      </c>
      <c r="C47" t="s">
        <v>195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220</v>
      </c>
      <c r="J47" t="s">
        <v>221</v>
      </c>
      <c r="M47" t="s">
        <v>106</v>
      </c>
      <c r="O47" t="s">
        <v>222</v>
      </c>
      <c r="P47" t="s">
        <v>223</v>
      </c>
      <c r="Q47" t="s">
        <v>200</v>
      </c>
      <c r="R47" t="s">
        <v>210</v>
      </c>
      <c r="S47" s="1">
        <v>46054</v>
      </c>
      <c r="U47" t="s">
        <v>51</v>
      </c>
      <c r="X47" t="s">
        <v>52</v>
      </c>
      <c r="AF47" s="2">
        <v>25</v>
      </c>
      <c r="AG47" s="2">
        <v>0</v>
      </c>
      <c r="AJ47" s="2">
        <v>25</v>
      </c>
    </row>
    <row r="48" spans="1:38" x14ac:dyDescent="0.25">
      <c r="A48" s="1">
        <v>46148</v>
      </c>
      <c r="B48" s="1">
        <v>46148</v>
      </c>
      <c r="C48" t="s">
        <v>195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224</v>
      </c>
      <c r="J48" t="s">
        <v>225</v>
      </c>
      <c r="O48" t="s">
        <v>154</v>
      </c>
      <c r="P48" t="s">
        <v>155</v>
      </c>
      <c r="Q48" t="s">
        <v>200</v>
      </c>
      <c r="R48" t="s">
        <v>156</v>
      </c>
      <c r="S48" s="1">
        <v>46054</v>
      </c>
      <c r="U48" t="s">
        <v>51</v>
      </c>
      <c r="X48" t="s">
        <v>52</v>
      </c>
      <c r="AF48" s="2">
        <v>95.9</v>
      </c>
      <c r="AG48" s="2">
        <v>0</v>
      </c>
      <c r="AJ48" s="2">
        <v>47.95</v>
      </c>
    </row>
    <row r="49" spans="1:36" x14ac:dyDescent="0.25">
      <c r="A49" s="1">
        <v>46148</v>
      </c>
      <c r="B49" s="1">
        <v>46148</v>
      </c>
      <c r="C49" t="s">
        <v>195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226</v>
      </c>
      <c r="J49" t="s">
        <v>227</v>
      </c>
      <c r="O49" t="s">
        <v>154</v>
      </c>
      <c r="P49" t="s">
        <v>155</v>
      </c>
      <c r="Q49" t="s">
        <v>200</v>
      </c>
      <c r="R49" t="s">
        <v>156</v>
      </c>
      <c r="S49" s="1">
        <v>46054</v>
      </c>
      <c r="U49" t="s">
        <v>51</v>
      </c>
      <c r="X49" t="s">
        <v>52</v>
      </c>
      <c r="AF49" s="2">
        <v>95.9</v>
      </c>
      <c r="AG49" s="2">
        <v>0</v>
      </c>
      <c r="AJ49" s="2">
        <v>47.95</v>
      </c>
    </row>
    <row r="50" spans="1:36" x14ac:dyDescent="0.25">
      <c r="A50" s="1">
        <v>46148</v>
      </c>
      <c r="B50" s="1">
        <v>46148</v>
      </c>
      <c r="C50" t="s">
        <v>195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228</v>
      </c>
      <c r="J50" t="s">
        <v>229</v>
      </c>
      <c r="M50" t="s">
        <v>138</v>
      </c>
      <c r="O50" t="s">
        <v>230</v>
      </c>
      <c r="P50" t="s">
        <v>231</v>
      </c>
      <c r="Q50" t="s">
        <v>200</v>
      </c>
      <c r="R50" t="s">
        <v>232</v>
      </c>
      <c r="S50" s="1">
        <v>46113</v>
      </c>
      <c r="U50" t="s">
        <v>51</v>
      </c>
      <c r="X50" t="s">
        <v>52</v>
      </c>
      <c r="AF50" s="2">
        <v>88.47</v>
      </c>
      <c r="AG50" s="2">
        <v>0</v>
      </c>
      <c r="AJ50" s="2">
        <v>78.709999999999994</v>
      </c>
    </row>
    <row r="51" spans="1:36" x14ac:dyDescent="0.25">
      <c r="A51" s="1">
        <v>46148</v>
      </c>
      <c r="B51" s="1">
        <v>46148</v>
      </c>
      <c r="C51" t="s">
        <v>195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233</v>
      </c>
      <c r="J51" t="s">
        <v>234</v>
      </c>
      <c r="M51" t="s">
        <v>138</v>
      </c>
      <c r="O51" t="s">
        <v>230</v>
      </c>
      <c r="P51" t="s">
        <v>231</v>
      </c>
      <c r="Q51" t="s">
        <v>200</v>
      </c>
      <c r="R51" t="s">
        <v>232</v>
      </c>
      <c r="S51" s="1">
        <v>46082</v>
      </c>
      <c r="U51" t="s">
        <v>51</v>
      </c>
      <c r="X51" t="s">
        <v>52</v>
      </c>
      <c r="AF51" s="2">
        <v>88.47</v>
      </c>
      <c r="AG51" s="2">
        <v>0</v>
      </c>
      <c r="AJ51" s="2">
        <v>68.88</v>
      </c>
    </row>
    <row r="52" spans="1:36" x14ac:dyDescent="0.25">
      <c r="A52" s="1">
        <v>46148</v>
      </c>
      <c r="B52" s="1">
        <v>46148</v>
      </c>
      <c r="C52" t="s">
        <v>195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235</v>
      </c>
      <c r="J52" t="s">
        <v>94</v>
      </c>
      <c r="M52" t="s">
        <v>95</v>
      </c>
      <c r="O52" t="s">
        <v>55</v>
      </c>
      <c r="P52" t="s">
        <v>56</v>
      </c>
      <c r="Q52" t="s">
        <v>200</v>
      </c>
      <c r="R52" t="s">
        <v>96</v>
      </c>
      <c r="S52" s="1">
        <v>46082</v>
      </c>
      <c r="U52" t="s">
        <v>51</v>
      </c>
      <c r="X52" t="s">
        <v>52</v>
      </c>
      <c r="AF52" s="2">
        <v>20.83</v>
      </c>
      <c r="AG52" s="2">
        <v>0</v>
      </c>
      <c r="AJ52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977C-08C1-4A93-8EA0-EB9825BED11B}">
  <dimension ref="A1:P56"/>
  <sheetViews>
    <sheetView tabSelected="1" topLeftCell="A25" zoomScaleNormal="100" workbookViewId="0">
      <selection activeCell="I55" sqref="I55"/>
    </sheetView>
  </sheetViews>
  <sheetFormatPr defaultRowHeight="15" x14ac:dyDescent="0.25"/>
  <cols>
    <col min="1" max="2" width="14.85546875" customWidth="1"/>
    <col min="3" max="3" width="15.7109375" customWidth="1"/>
    <col min="4" max="4" width="5.5703125" bestFit="1" customWidth="1"/>
    <col min="5" max="5" width="12.28515625" customWidth="1"/>
    <col min="6" max="6" width="16.7109375" customWidth="1"/>
    <col min="7" max="7" width="40.7109375" customWidth="1"/>
    <col min="8" max="8" width="10.140625" bestFit="1" customWidth="1"/>
    <col min="9" max="9" width="14.5703125" bestFit="1" customWidth="1"/>
    <col min="10" max="10" width="11.42578125" customWidth="1"/>
    <col min="11" max="11" width="10.42578125" customWidth="1"/>
    <col min="12" max="12" width="9" customWidth="1"/>
    <col min="13" max="13" width="11.5703125" customWidth="1"/>
    <col min="14" max="14" width="13.42578125" customWidth="1"/>
    <col min="15" max="15" width="14" customWidth="1"/>
  </cols>
  <sheetData>
    <row r="1" spans="1:16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5">
        <v>102074151600</v>
      </c>
      <c r="B2" s="5" t="str">
        <f>CONCATENATE(A2,"OVR")</f>
        <v>102074151600OVR</v>
      </c>
      <c r="C2" t="s">
        <v>207</v>
      </c>
      <c r="D2" t="s">
        <v>95</v>
      </c>
      <c r="E2">
        <v>20411454</v>
      </c>
      <c r="F2" t="s">
        <v>275</v>
      </c>
      <c r="G2" t="s">
        <v>210</v>
      </c>
      <c r="H2" s="1">
        <v>46023</v>
      </c>
      <c r="I2" t="s">
        <v>51</v>
      </c>
      <c r="N2" s="4">
        <v>-16.670000000000002</v>
      </c>
      <c r="P2" t="s">
        <v>270</v>
      </c>
    </row>
    <row r="3" spans="1:16" x14ac:dyDescent="0.25">
      <c r="A3" s="5">
        <v>102244065300</v>
      </c>
      <c r="B3" s="5" t="str">
        <f t="shared" ref="B3:B40" si="0">CONCATENATE(A3,"OVR")</f>
        <v>102244065300OVR</v>
      </c>
      <c r="C3" t="s">
        <v>212</v>
      </c>
      <c r="D3" t="s">
        <v>213</v>
      </c>
      <c r="E3">
        <v>20411454</v>
      </c>
      <c r="F3" t="s">
        <v>275</v>
      </c>
      <c r="G3" t="s">
        <v>210</v>
      </c>
      <c r="H3" s="1">
        <v>46023</v>
      </c>
      <c r="I3" t="s">
        <v>51</v>
      </c>
      <c r="N3" s="4">
        <v>-16.670000000000002</v>
      </c>
      <c r="P3" t="s">
        <v>270</v>
      </c>
    </row>
    <row r="4" spans="1:16" x14ac:dyDescent="0.25">
      <c r="A4" s="5">
        <v>102244134600</v>
      </c>
      <c r="B4" s="5" t="str">
        <f t="shared" si="0"/>
        <v>102244134600OVR</v>
      </c>
      <c r="C4" t="s">
        <v>215</v>
      </c>
      <c r="D4" t="s">
        <v>143</v>
      </c>
      <c r="E4">
        <v>20411454</v>
      </c>
      <c r="F4" t="s">
        <v>275</v>
      </c>
      <c r="G4" t="s">
        <v>210</v>
      </c>
      <c r="H4" s="1">
        <v>46023</v>
      </c>
      <c r="I4" t="s">
        <v>51</v>
      </c>
      <c r="N4" s="4">
        <v>-16.670000000000002</v>
      </c>
      <c r="P4" t="s">
        <v>270</v>
      </c>
    </row>
    <row r="5" spans="1:16" x14ac:dyDescent="0.25">
      <c r="A5" s="5">
        <v>102248534900</v>
      </c>
      <c r="B5" s="5" t="str">
        <f t="shared" si="0"/>
        <v>102248534900OVR</v>
      </c>
      <c r="C5" t="s">
        <v>217</v>
      </c>
      <c r="D5" t="s">
        <v>95</v>
      </c>
      <c r="E5">
        <v>20411454</v>
      </c>
      <c r="F5" t="s">
        <v>275</v>
      </c>
      <c r="G5" t="s">
        <v>210</v>
      </c>
      <c r="H5" s="1">
        <v>46023</v>
      </c>
      <c r="I5" t="s">
        <v>51</v>
      </c>
      <c r="N5" s="4">
        <v>-16.670000000000002</v>
      </c>
      <c r="P5" t="s">
        <v>270</v>
      </c>
    </row>
    <row r="6" spans="1:16" x14ac:dyDescent="0.25">
      <c r="A6" s="5">
        <v>102259407200</v>
      </c>
      <c r="B6" s="5" t="str">
        <f t="shared" si="0"/>
        <v>102259407200OVR</v>
      </c>
      <c r="C6" t="s">
        <v>221</v>
      </c>
      <c r="D6" t="s">
        <v>106</v>
      </c>
      <c r="E6">
        <v>20411454</v>
      </c>
      <c r="F6" t="s">
        <v>275</v>
      </c>
      <c r="G6" t="s">
        <v>210</v>
      </c>
      <c r="H6" s="1">
        <v>46054</v>
      </c>
      <c r="I6" t="s">
        <v>51</v>
      </c>
      <c r="N6" s="4">
        <v>-25</v>
      </c>
      <c r="P6" t="s">
        <v>270</v>
      </c>
    </row>
    <row r="7" spans="1:16" x14ac:dyDescent="0.25">
      <c r="A7" s="5">
        <v>101385723600</v>
      </c>
      <c r="B7" s="5" t="str">
        <f t="shared" si="0"/>
        <v>101385723600OVR</v>
      </c>
      <c r="C7" t="s">
        <v>94</v>
      </c>
      <c r="D7" t="s">
        <v>95</v>
      </c>
      <c r="E7">
        <v>20411454</v>
      </c>
      <c r="F7" t="s">
        <v>275</v>
      </c>
      <c r="G7" t="s">
        <v>96</v>
      </c>
      <c r="H7" s="1">
        <v>46113</v>
      </c>
      <c r="I7" t="s">
        <v>51</v>
      </c>
      <c r="J7" s="2">
        <v>0</v>
      </c>
      <c r="K7" s="2">
        <v>18.75</v>
      </c>
      <c r="L7">
        <v>1</v>
      </c>
      <c r="M7" s="3">
        <v>1</v>
      </c>
      <c r="N7" s="2">
        <v>18.75</v>
      </c>
      <c r="O7" t="s">
        <v>97</v>
      </c>
      <c r="P7" t="s">
        <v>270</v>
      </c>
    </row>
    <row r="8" spans="1:16" x14ac:dyDescent="0.25">
      <c r="A8" s="5" t="s">
        <v>248</v>
      </c>
      <c r="B8" s="5" t="str">
        <f t="shared" si="0"/>
        <v>102188513600AOVR</v>
      </c>
      <c r="C8" t="s">
        <v>99</v>
      </c>
      <c r="D8" t="s">
        <v>100</v>
      </c>
      <c r="E8">
        <v>20411454</v>
      </c>
      <c r="F8" t="s">
        <v>275</v>
      </c>
      <c r="G8" t="s">
        <v>96</v>
      </c>
      <c r="H8" s="1">
        <v>46113</v>
      </c>
      <c r="I8" t="s">
        <v>51</v>
      </c>
      <c r="J8" s="2">
        <v>0</v>
      </c>
      <c r="K8" s="2">
        <v>18.75</v>
      </c>
      <c r="L8">
        <v>1</v>
      </c>
      <c r="M8" s="3">
        <v>1</v>
      </c>
      <c r="N8" s="2">
        <v>18.75</v>
      </c>
      <c r="O8" t="s">
        <v>97</v>
      </c>
      <c r="P8" t="s">
        <v>270</v>
      </c>
    </row>
    <row r="9" spans="1:16" x14ac:dyDescent="0.25">
      <c r="A9" s="5">
        <v>102217395100</v>
      </c>
      <c r="B9" s="5" t="str">
        <f t="shared" si="0"/>
        <v>102217395100OVR</v>
      </c>
      <c r="C9" t="s">
        <v>105</v>
      </c>
      <c r="D9" t="s">
        <v>106</v>
      </c>
      <c r="E9">
        <v>20411454</v>
      </c>
      <c r="F9" t="s">
        <v>275</v>
      </c>
      <c r="G9" t="s">
        <v>96</v>
      </c>
      <c r="H9" s="1">
        <v>46143</v>
      </c>
      <c r="I9" t="s">
        <v>51</v>
      </c>
      <c r="J9" s="2">
        <v>0</v>
      </c>
      <c r="K9" s="2">
        <v>16.670000000000002</v>
      </c>
      <c r="L9">
        <v>1</v>
      </c>
      <c r="M9" s="3">
        <v>1</v>
      </c>
      <c r="N9" s="2">
        <v>16.670000000000002</v>
      </c>
      <c r="O9" t="s">
        <v>109</v>
      </c>
      <c r="P9" t="s">
        <v>270</v>
      </c>
    </row>
    <row r="10" spans="1:16" x14ac:dyDescent="0.25">
      <c r="A10" s="5">
        <v>102275883400</v>
      </c>
      <c r="B10" s="5" t="str">
        <f t="shared" si="0"/>
        <v>102275883400OVR</v>
      </c>
      <c r="C10" t="s">
        <v>111</v>
      </c>
      <c r="D10" t="s">
        <v>95</v>
      </c>
      <c r="E10">
        <v>20411454</v>
      </c>
      <c r="F10" t="s">
        <v>275</v>
      </c>
      <c r="G10" t="s">
        <v>96</v>
      </c>
      <c r="H10" s="1">
        <v>46113</v>
      </c>
      <c r="I10" t="s">
        <v>51</v>
      </c>
      <c r="J10" s="2">
        <v>0</v>
      </c>
      <c r="K10" s="2">
        <v>18.75</v>
      </c>
      <c r="L10">
        <v>1</v>
      </c>
      <c r="M10" s="3">
        <v>1</v>
      </c>
      <c r="N10" s="2">
        <v>18.75</v>
      </c>
      <c r="O10" t="s">
        <v>97</v>
      </c>
      <c r="P10" t="s">
        <v>270</v>
      </c>
    </row>
    <row r="11" spans="1:16" x14ac:dyDescent="0.25">
      <c r="A11" s="5">
        <v>102276185900</v>
      </c>
      <c r="B11" s="5" t="str">
        <f t="shared" si="0"/>
        <v>102276185900OVR</v>
      </c>
      <c r="C11" t="s">
        <v>115</v>
      </c>
      <c r="D11" t="s">
        <v>106</v>
      </c>
      <c r="E11">
        <v>20411454</v>
      </c>
      <c r="F11" t="s">
        <v>275</v>
      </c>
      <c r="G11" t="s">
        <v>96</v>
      </c>
      <c r="H11" s="1">
        <v>46143</v>
      </c>
      <c r="I11" t="s">
        <v>51</v>
      </c>
      <c r="J11" s="2">
        <v>0</v>
      </c>
      <c r="K11" s="2">
        <v>16.670000000000002</v>
      </c>
      <c r="L11">
        <v>1</v>
      </c>
      <c r="M11" s="3">
        <v>1</v>
      </c>
      <c r="N11" s="2">
        <v>16.670000000000002</v>
      </c>
      <c r="O11" t="s">
        <v>109</v>
      </c>
      <c r="P11" t="s">
        <v>270</v>
      </c>
    </row>
    <row r="12" spans="1:16" x14ac:dyDescent="0.25">
      <c r="A12" s="5">
        <v>102276195200</v>
      </c>
      <c r="B12" s="5" t="str">
        <f t="shared" si="0"/>
        <v>102276195200OVR</v>
      </c>
      <c r="C12" t="s">
        <v>119</v>
      </c>
      <c r="D12" t="s">
        <v>95</v>
      </c>
      <c r="E12">
        <v>20411454</v>
      </c>
      <c r="F12" t="s">
        <v>275</v>
      </c>
      <c r="G12" t="s">
        <v>96</v>
      </c>
      <c r="H12" s="1">
        <v>46143</v>
      </c>
      <c r="I12" t="s">
        <v>51</v>
      </c>
      <c r="J12" s="2">
        <v>0</v>
      </c>
      <c r="K12" s="2">
        <v>16.670000000000002</v>
      </c>
      <c r="L12">
        <v>1</v>
      </c>
      <c r="M12" s="3">
        <v>1</v>
      </c>
      <c r="N12" s="2">
        <v>16.670000000000002</v>
      </c>
      <c r="O12" t="s">
        <v>109</v>
      </c>
      <c r="P12" t="s">
        <v>270</v>
      </c>
    </row>
    <row r="13" spans="1:16" x14ac:dyDescent="0.25">
      <c r="A13" s="5">
        <v>102276209100</v>
      </c>
      <c r="B13" s="5" t="str">
        <f t="shared" si="0"/>
        <v>102276209100OVR</v>
      </c>
      <c r="C13" t="s">
        <v>123</v>
      </c>
      <c r="D13" t="s">
        <v>106</v>
      </c>
      <c r="E13">
        <v>20411454</v>
      </c>
      <c r="F13" t="s">
        <v>275</v>
      </c>
      <c r="G13" t="s">
        <v>96</v>
      </c>
      <c r="H13" s="1">
        <v>46174</v>
      </c>
      <c r="I13" t="s">
        <v>51</v>
      </c>
      <c r="J13" s="2">
        <v>0</v>
      </c>
      <c r="K13" s="2">
        <v>14.58</v>
      </c>
      <c r="L13">
        <v>1</v>
      </c>
      <c r="M13" s="3">
        <v>1</v>
      </c>
      <c r="N13" s="2">
        <v>14.58</v>
      </c>
      <c r="O13" t="s">
        <v>126</v>
      </c>
      <c r="P13" t="s">
        <v>270</v>
      </c>
    </row>
    <row r="14" spans="1:16" x14ac:dyDescent="0.25">
      <c r="A14" s="5">
        <v>102276304500</v>
      </c>
      <c r="B14" s="5" t="str">
        <f t="shared" si="0"/>
        <v>102276304500OVR</v>
      </c>
      <c r="C14" t="s">
        <v>128</v>
      </c>
      <c r="D14" t="s">
        <v>95</v>
      </c>
      <c r="E14">
        <v>20411454</v>
      </c>
      <c r="F14" t="s">
        <v>275</v>
      </c>
      <c r="G14" t="s">
        <v>96</v>
      </c>
      <c r="H14" s="1">
        <v>46204</v>
      </c>
      <c r="I14" t="s">
        <v>51</v>
      </c>
      <c r="J14" s="2">
        <v>0</v>
      </c>
      <c r="K14" s="2">
        <v>12.5</v>
      </c>
      <c r="L14">
        <v>1</v>
      </c>
      <c r="M14" s="3">
        <v>1</v>
      </c>
      <c r="N14" s="2">
        <v>12.5</v>
      </c>
      <c r="O14" t="s">
        <v>131</v>
      </c>
      <c r="P14" t="s">
        <v>270</v>
      </c>
    </row>
    <row r="15" spans="1:16" x14ac:dyDescent="0.25">
      <c r="A15" s="5">
        <v>102276340200</v>
      </c>
      <c r="B15" s="5" t="str">
        <f t="shared" si="0"/>
        <v>102276340200OVR</v>
      </c>
      <c r="C15" t="s">
        <v>133</v>
      </c>
      <c r="D15" t="s">
        <v>106</v>
      </c>
      <c r="E15">
        <v>20411454</v>
      </c>
      <c r="F15" t="s">
        <v>275</v>
      </c>
      <c r="G15" t="s">
        <v>96</v>
      </c>
      <c r="H15" s="1">
        <v>46143</v>
      </c>
      <c r="I15" t="s">
        <v>51</v>
      </c>
      <c r="J15" s="2">
        <v>0</v>
      </c>
      <c r="K15" s="2">
        <v>16.670000000000002</v>
      </c>
      <c r="L15">
        <v>1</v>
      </c>
      <c r="M15" s="3">
        <v>1</v>
      </c>
      <c r="N15" s="2">
        <v>16.670000000000002</v>
      </c>
      <c r="O15" t="s">
        <v>109</v>
      </c>
      <c r="P15" t="s">
        <v>270</v>
      </c>
    </row>
    <row r="16" spans="1:16" x14ac:dyDescent="0.25">
      <c r="A16" s="5">
        <v>102276359600</v>
      </c>
      <c r="B16" s="5" t="str">
        <f t="shared" si="0"/>
        <v>102276359600OVR</v>
      </c>
      <c r="C16" t="s">
        <v>135</v>
      </c>
      <c r="D16" t="s">
        <v>106</v>
      </c>
      <c r="E16">
        <v>20411454</v>
      </c>
      <c r="F16" t="s">
        <v>275</v>
      </c>
      <c r="G16" t="s">
        <v>96</v>
      </c>
      <c r="H16" s="1">
        <v>46143</v>
      </c>
      <c r="I16" t="s">
        <v>51</v>
      </c>
      <c r="J16" s="2">
        <v>0</v>
      </c>
      <c r="K16" s="2">
        <v>16.670000000000002</v>
      </c>
      <c r="L16">
        <v>1</v>
      </c>
      <c r="M16" s="3">
        <v>1</v>
      </c>
      <c r="N16" s="2">
        <v>16.670000000000002</v>
      </c>
      <c r="O16" t="s">
        <v>109</v>
      </c>
      <c r="P16" t="s">
        <v>270</v>
      </c>
    </row>
    <row r="17" spans="1:16" x14ac:dyDescent="0.25">
      <c r="A17" s="5">
        <v>102276384600</v>
      </c>
      <c r="B17" s="5" t="str">
        <f t="shared" si="0"/>
        <v>102276384600OVR</v>
      </c>
      <c r="C17" t="s">
        <v>137</v>
      </c>
      <c r="D17" t="s">
        <v>138</v>
      </c>
      <c r="E17">
        <v>20411454</v>
      </c>
      <c r="F17" t="s">
        <v>275</v>
      </c>
      <c r="G17" t="s">
        <v>96</v>
      </c>
      <c r="H17" s="1">
        <v>46143</v>
      </c>
      <c r="I17" t="s">
        <v>51</v>
      </c>
      <c r="J17" s="2">
        <v>0</v>
      </c>
      <c r="K17" s="2">
        <v>16.670000000000002</v>
      </c>
      <c r="L17">
        <v>1</v>
      </c>
      <c r="M17" s="3">
        <v>1</v>
      </c>
      <c r="N17" s="2">
        <v>16.670000000000002</v>
      </c>
      <c r="O17" t="s">
        <v>109</v>
      </c>
      <c r="P17" t="s">
        <v>270</v>
      </c>
    </row>
    <row r="18" spans="1:16" x14ac:dyDescent="0.25">
      <c r="A18" s="5">
        <v>102276504200</v>
      </c>
      <c r="B18" s="5" t="str">
        <f t="shared" si="0"/>
        <v>102276504200OVR</v>
      </c>
      <c r="C18" t="s">
        <v>142</v>
      </c>
      <c r="D18" t="s">
        <v>143</v>
      </c>
      <c r="E18">
        <v>20411454</v>
      </c>
      <c r="F18" t="s">
        <v>275</v>
      </c>
      <c r="G18" t="s">
        <v>96</v>
      </c>
      <c r="H18" s="1">
        <v>46143</v>
      </c>
      <c r="I18" t="s">
        <v>51</v>
      </c>
      <c r="J18" s="2">
        <v>0</v>
      </c>
      <c r="K18" s="2">
        <v>16.670000000000002</v>
      </c>
      <c r="L18">
        <v>1</v>
      </c>
      <c r="M18" s="3">
        <v>1</v>
      </c>
      <c r="N18" s="2">
        <v>16.670000000000002</v>
      </c>
      <c r="O18" t="s">
        <v>109</v>
      </c>
      <c r="P18" t="s">
        <v>270</v>
      </c>
    </row>
    <row r="19" spans="1:16" x14ac:dyDescent="0.25">
      <c r="A19" s="5">
        <v>102276570700</v>
      </c>
      <c r="B19" s="5" t="str">
        <f t="shared" si="0"/>
        <v>102276570700OVR</v>
      </c>
      <c r="C19" t="s">
        <v>145</v>
      </c>
      <c r="D19" t="s">
        <v>138</v>
      </c>
      <c r="E19">
        <v>20411454</v>
      </c>
      <c r="F19" t="s">
        <v>275</v>
      </c>
      <c r="G19" t="s">
        <v>96</v>
      </c>
      <c r="H19" s="1">
        <v>46174</v>
      </c>
      <c r="I19" t="s">
        <v>51</v>
      </c>
      <c r="J19" s="2">
        <v>0</v>
      </c>
      <c r="K19" s="2">
        <v>14.58</v>
      </c>
      <c r="L19">
        <v>1</v>
      </c>
      <c r="M19" s="3">
        <v>1</v>
      </c>
      <c r="N19" s="2">
        <v>14.58</v>
      </c>
      <c r="O19" t="s">
        <v>126</v>
      </c>
      <c r="P19" t="s">
        <v>270</v>
      </c>
    </row>
    <row r="20" spans="1:16" x14ac:dyDescent="0.25">
      <c r="A20" s="5" t="s">
        <v>261</v>
      </c>
      <c r="B20" s="5" t="str">
        <f t="shared" si="0"/>
        <v>MEQNPDZM00003487368OVR</v>
      </c>
      <c r="C20" t="s">
        <v>192</v>
      </c>
      <c r="D20" t="s">
        <v>95</v>
      </c>
      <c r="E20">
        <v>20411454</v>
      </c>
      <c r="F20" t="s">
        <v>275</v>
      </c>
      <c r="G20" t="s">
        <v>96</v>
      </c>
      <c r="H20" s="1">
        <v>46143</v>
      </c>
      <c r="I20" t="s">
        <v>51</v>
      </c>
      <c r="J20" s="2">
        <v>0</v>
      </c>
      <c r="K20" s="2">
        <v>16.670000000000002</v>
      </c>
      <c r="L20">
        <v>1</v>
      </c>
      <c r="M20" s="3">
        <v>1</v>
      </c>
      <c r="N20" s="2">
        <v>16.670000000000002</v>
      </c>
      <c r="O20" t="s">
        <v>109</v>
      </c>
      <c r="P20" t="s">
        <v>270</v>
      </c>
    </row>
    <row r="21" spans="1:16" x14ac:dyDescent="0.25">
      <c r="A21" s="5" t="s">
        <v>267</v>
      </c>
      <c r="B21" s="5" t="str">
        <f t="shared" si="0"/>
        <v>MEQNPDZM00001566197OVR</v>
      </c>
      <c r="C21" t="s">
        <v>94</v>
      </c>
      <c r="D21" t="s">
        <v>95</v>
      </c>
      <c r="E21">
        <v>20411454</v>
      </c>
      <c r="F21" t="s">
        <v>275</v>
      </c>
      <c r="G21" t="s">
        <v>96</v>
      </c>
      <c r="H21" s="1">
        <v>46082</v>
      </c>
      <c r="I21" t="s">
        <v>51</v>
      </c>
      <c r="N21" s="4">
        <v>-6.25</v>
      </c>
      <c r="P21" t="s">
        <v>270</v>
      </c>
    </row>
    <row r="22" spans="1:16" s="13" customFormat="1" x14ac:dyDescent="0.25">
      <c r="A22" s="12" t="s">
        <v>250</v>
      </c>
      <c r="B22" s="5" t="str">
        <f t="shared" si="0"/>
        <v>406W26407OVR</v>
      </c>
      <c r="C22" s="13" t="s">
        <v>153</v>
      </c>
      <c r="E22">
        <v>20411454</v>
      </c>
      <c r="F22" t="s">
        <v>275</v>
      </c>
      <c r="G22" s="13" t="s">
        <v>156</v>
      </c>
      <c r="H22" s="14">
        <v>46082</v>
      </c>
      <c r="I22" s="13" t="s">
        <v>51</v>
      </c>
      <c r="J22" s="15">
        <v>355.2</v>
      </c>
      <c r="K22" s="15">
        <v>355.2</v>
      </c>
      <c r="L22" s="13">
        <v>9</v>
      </c>
      <c r="M22" s="16">
        <v>0.03</v>
      </c>
      <c r="N22" s="15">
        <v>95.9</v>
      </c>
      <c r="P22" s="13" t="s">
        <v>271</v>
      </c>
    </row>
    <row r="23" spans="1:16" s="13" customFormat="1" x14ac:dyDescent="0.25">
      <c r="A23" s="12" t="s">
        <v>251</v>
      </c>
      <c r="B23" s="5" t="str">
        <f t="shared" si="0"/>
        <v>641W26577OVR</v>
      </c>
      <c r="C23" s="13" t="s">
        <v>158</v>
      </c>
      <c r="E23">
        <v>20411454</v>
      </c>
      <c r="F23" t="s">
        <v>275</v>
      </c>
      <c r="G23" s="13" t="s">
        <v>156</v>
      </c>
      <c r="H23" s="14">
        <v>46082</v>
      </c>
      <c r="I23" s="13" t="s">
        <v>51</v>
      </c>
      <c r="J23" s="15">
        <v>367.6</v>
      </c>
      <c r="K23" s="15">
        <v>367.6</v>
      </c>
      <c r="L23" s="13">
        <v>9</v>
      </c>
      <c r="M23" s="16">
        <v>0.03</v>
      </c>
      <c r="N23" s="15">
        <v>99.25</v>
      </c>
      <c r="P23" s="13" t="s">
        <v>271</v>
      </c>
    </row>
    <row r="24" spans="1:16" s="13" customFormat="1" x14ac:dyDescent="0.25">
      <c r="A24" s="12" t="s">
        <v>263</v>
      </c>
      <c r="B24" s="5" t="str">
        <f t="shared" si="0"/>
        <v>335W26438OVR</v>
      </c>
      <c r="C24" s="13" t="s">
        <v>225</v>
      </c>
      <c r="E24">
        <v>20411454</v>
      </c>
      <c r="F24" t="s">
        <v>275</v>
      </c>
      <c r="G24" s="13" t="s">
        <v>156</v>
      </c>
      <c r="H24" s="14">
        <v>46054</v>
      </c>
      <c r="I24" s="13" t="s">
        <v>51</v>
      </c>
      <c r="N24" s="17">
        <v>-47.95</v>
      </c>
      <c r="P24" s="13" t="s">
        <v>271</v>
      </c>
    </row>
    <row r="25" spans="1:16" s="13" customFormat="1" x14ac:dyDescent="0.25">
      <c r="A25" s="12" t="s">
        <v>264</v>
      </c>
      <c r="B25" s="5" t="str">
        <f t="shared" si="0"/>
        <v>461W26478OVR</v>
      </c>
      <c r="C25" s="13" t="s">
        <v>227</v>
      </c>
      <c r="E25">
        <v>20411454</v>
      </c>
      <c r="F25" t="s">
        <v>275</v>
      </c>
      <c r="G25" s="13" t="s">
        <v>156</v>
      </c>
      <c r="H25" s="14">
        <v>46054</v>
      </c>
      <c r="I25" s="13" t="s">
        <v>51</v>
      </c>
      <c r="N25" s="17">
        <v>-47.95</v>
      </c>
      <c r="P25" s="13" t="s">
        <v>271</v>
      </c>
    </row>
    <row r="26" spans="1:16" x14ac:dyDescent="0.25">
      <c r="A26" s="5" t="s">
        <v>249</v>
      </c>
      <c r="B26" s="5" t="str">
        <f t="shared" si="0"/>
        <v>39A4R9R58OVR</v>
      </c>
      <c r="C26" t="s">
        <v>147</v>
      </c>
      <c r="D26" t="s">
        <v>148</v>
      </c>
      <c r="E26">
        <v>20411454</v>
      </c>
      <c r="F26" t="s">
        <v>275</v>
      </c>
      <c r="G26" t="s">
        <v>151</v>
      </c>
      <c r="H26" s="1">
        <v>46143</v>
      </c>
      <c r="I26" t="s">
        <v>51</v>
      </c>
      <c r="J26" s="2">
        <v>0</v>
      </c>
      <c r="K26" s="2">
        <v>100</v>
      </c>
      <c r="L26">
        <v>1</v>
      </c>
      <c r="M26" s="3">
        <v>1</v>
      </c>
      <c r="N26" s="2">
        <v>100</v>
      </c>
      <c r="P26" t="s">
        <v>272</v>
      </c>
    </row>
    <row r="27" spans="1:16" x14ac:dyDescent="0.25">
      <c r="A27" s="5" t="s">
        <v>236</v>
      </c>
      <c r="B27" s="5" t="str">
        <f t="shared" si="0"/>
        <v>00017506241KOVR</v>
      </c>
      <c r="C27" t="s">
        <v>45</v>
      </c>
      <c r="D27" t="s">
        <v>46</v>
      </c>
      <c r="E27">
        <v>20411454</v>
      </c>
      <c r="F27" t="s">
        <v>275</v>
      </c>
      <c r="G27" t="s">
        <v>50</v>
      </c>
      <c r="H27" s="1">
        <v>46143</v>
      </c>
      <c r="I27" t="s">
        <v>51</v>
      </c>
      <c r="J27" s="2">
        <v>0</v>
      </c>
      <c r="K27" s="2">
        <v>175</v>
      </c>
      <c r="L27">
        <v>1</v>
      </c>
      <c r="M27" s="3">
        <v>1</v>
      </c>
      <c r="N27" s="2">
        <v>175</v>
      </c>
      <c r="P27" t="s">
        <v>273</v>
      </c>
    </row>
    <row r="28" spans="1:16" x14ac:dyDescent="0.25">
      <c r="A28" s="5" t="s">
        <v>237</v>
      </c>
      <c r="B28" s="5" t="str">
        <f t="shared" si="0"/>
        <v>00026413635KOVR</v>
      </c>
      <c r="C28" t="s">
        <v>54</v>
      </c>
      <c r="D28" t="s">
        <v>46</v>
      </c>
      <c r="E28">
        <v>20411454</v>
      </c>
      <c r="F28" t="s">
        <v>275</v>
      </c>
      <c r="G28" t="s">
        <v>50</v>
      </c>
      <c r="H28" s="1">
        <v>46143</v>
      </c>
      <c r="I28" t="s">
        <v>51</v>
      </c>
      <c r="J28" s="2">
        <v>0</v>
      </c>
      <c r="K28" s="2">
        <v>175</v>
      </c>
      <c r="L28">
        <v>1</v>
      </c>
      <c r="M28" s="3">
        <v>1</v>
      </c>
      <c r="N28" s="2">
        <v>175</v>
      </c>
      <c r="P28" t="s">
        <v>273</v>
      </c>
    </row>
    <row r="29" spans="1:16" x14ac:dyDescent="0.25">
      <c r="A29" s="5" t="s">
        <v>238</v>
      </c>
      <c r="B29" s="5" t="str">
        <f t="shared" si="0"/>
        <v>00026413680KOVR</v>
      </c>
      <c r="C29" t="s">
        <v>58</v>
      </c>
      <c r="D29" t="s">
        <v>46</v>
      </c>
      <c r="E29">
        <v>20411454</v>
      </c>
      <c r="F29" t="s">
        <v>275</v>
      </c>
      <c r="G29" t="s">
        <v>50</v>
      </c>
      <c r="H29" s="1">
        <v>46143</v>
      </c>
      <c r="I29" t="s">
        <v>51</v>
      </c>
      <c r="J29" s="2">
        <v>0</v>
      </c>
      <c r="K29" s="2">
        <v>175</v>
      </c>
      <c r="L29">
        <v>1</v>
      </c>
      <c r="M29" s="3">
        <v>1</v>
      </c>
      <c r="N29" s="2">
        <v>175</v>
      </c>
      <c r="P29" t="s">
        <v>273</v>
      </c>
    </row>
    <row r="30" spans="1:16" x14ac:dyDescent="0.25">
      <c r="A30" s="5" t="s">
        <v>239</v>
      </c>
      <c r="B30" s="5" t="str">
        <f t="shared" si="0"/>
        <v>00026415288KOVR</v>
      </c>
      <c r="C30" t="s">
        <v>62</v>
      </c>
      <c r="D30" t="s">
        <v>46</v>
      </c>
      <c r="E30">
        <v>20411454</v>
      </c>
      <c r="F30" t="s">
        <v>275</v>
      </c>
      <c r="G30" t="s">
        <v>50</v>
      </c>
      <c r="H30" s="1">
        <v>46174</v>
      </c>
      <c r="I30" t="s">
        <v>51</v>
      </c>
      <c r="J30" s="2">
        <v>0</v>
      </c>
      <c r="K30" s="2">
        <v>175</v>
      </c>
      <c r="L30">
        <v>1</v>
      </c>
      <c r="M30" s="3">
        <v>1</v>
      </c>
      <c r="N30" s="2">
        <v>175</v>
      </c>
      <c r="P30" t="s">
        <v>273</v>
      </c>
    </row>
    <row r="31" spans="1:16" x14ac:dyDescent="0.25">
      <c r="A31" s="5" t="s">
        <v>240</v>
      </c>
      <c r="B31" s="5" t="str">
        <f t="shared" si="0"/>
        <v>00026415867KOVR</v>
      </c>
      <c r="C31" t="s">
        <v>66</v>
      </c>
      <c r="D31" t="s">
        <v>46</v>
      </c>
      <c r="E31">
        <v>20411454</v>
      </c>
      <c r="F31" t="s">
        <v>275</v>
      </c>
      <c r="G31" t="s">
        <v>50</v>
      </c>
      <c r="H31" s="1">
        <v>46143</v>
      </c>
      <c r="I31" t="s">
        <v>51</v>
      </c>
      <c r="J31" s="2">
        <v>0</v>
      </c>
      <c r="K31" s="2">
        <v>175</v>
      </c>
      <c r="L31">
        <v>1</v>
      </c>
      <c r="M31" s="3">
        <v>1</v>
      </c>
      <c r="N31" s="2">
        <v>175</v>
      </c>
      <c r="P31" t="s">
        <v>273</v>
      </c>
    </row>
    <row r="32" spans="1:16" x14ac:dyDescent="0.25">
      <c r="A32" s="5" t="s">
        <v>241</v>
      </c>
      <c r="B32" s="5" t="str">
        <f t="shared" si="0"/>
        <v>00026417432KOVR</v>
      </c>
      <c r="C32" t="s">
        <v>70</v>
      </c>
      <c r="D32" t="s">
        <v>46</v>
      </c>
      <c r="E32">
        <v>20411454</v>
      </c>
      <c r="F32" t="s">
        <v>275</v>
      </c>
      <c r="G32" t="s">
        <v>50</v>
      </c>
      <c r="H32" s="1">
        <v>46143</v>
      </c>
      <c r="I32" t="s">
        <v>51</v>
      </c>
      <c r="J32" s="2">
        <v>0</v>
      </c>
      <c r="K32" s="2">
        <v>175</v>
      </c>
      <c r="L32">
        <v>1</v>
      </c>
      <c r="M32" s="3">
        <v>1</v>
      </c>
      <c r="N32" s="2">
        <v>175</v>
      </c>
      <c r="P32" t="s">
        <v>273</v>
      </c>
    </row>
    <row r="33" spans="1:16" x14ac:dyDescent="0.25">
      <c r="A33" s="5" t="s">
        <v>242</v>
      </c>
      <c r="B33" s="5" t="str">
        <f t="shared" si="0"/>
        <v>00026422214KOVR</v>
      </c>
      <c r="C33" t="s">
        <v>74</v>
      </c>
      <c r="D33" t="s">
        <v>46</v>
      </c>
      <c r="E33">
        <v>20411454</v>
      </c>
      <c r="F33" t="s">
        <v>275</v>
      </c>
      <c r="G33" t="s">
        <v>50</v>
      </c>
      <c r="H33" s="1">
        <v>46143</v>
      </c>
      <c r="I33" t="s">
        <v>51</v>
      </c>
      <c r="J33" s="2">
        <v>0</v>
      </c>
      <c r="K33" s="2">
        <v>175</v>
      </c>
      <c r="L33">
        <v>1</v>
      </c>
      <c r="M33" s="3">
        <v>1</v>
      </c>
      <c r="N33" s="2">
        <v>175</v>
      </c>
      <c r="P33" t="s">
        <v>273</v>
      </c>
    </row>
    <row r="34" spans="1:16" x14ac:dyDescent="0.25">
      <c r="A34" s="5" t="s">
        <v>243</v>
      </c>
      <c r="B34" s="5" t="str">
        <f t="shared" si="0"/>
        <v>00026423200KOVR</v>
      </c>
      <c r="C34" t="s">
        <v>76</v>
      </c>
      <c r="D34" t="s">
        <v>46</v>
      </c>
      <c r="E34">
        <v>20411454</v>
      </c>
      <c r="F34" t="s">
        <v>275</v>
      </c>
      <c r="G34" t="s">
        <v>50</v>
      </c>
      <c r="H34" s="1">
        <v>46143</v>
      </c>
      <c r="I34" t="s">
        <v>51</v>
      </c>
      <c r="J34" s="2">
        <v>0</v>
      </c>
      <c r="K34" s="2">
        <v>175</v>
      </c>
      <c r="L34">
        <v>1</v>
      </c>
      <c r="M34" s="3">
        <v>1</v>
      </c>
      <c r="N34" s="2">
        <v>175</v>
      </c>
      <c r="P34" t="s">
        <v>273</v>
      </c>
    </row>
    <row r="35" spans="1:16" x14ac:dyDescent="0.25">
      <c r="A35" s="5" t="s">
        <v>244</v>
      </c>
      <c r="B35" s="5" t="str">
        <f t="shared" si="0"/>
        <v>00026424182KOVR</v>
      </c>
      <c r="C35" t="s">
        <v>80</v>
      </c>
      <c r="D35" t="s">
        <v>46</v>
      </c>
      <c r="E35">
        <v>20411454</v>
      </c>
      <c r="F35" t="s">
        <v>275</v>
      </c>
      <c r="G35" t="s">
        <v>50</v>
      </c>
      <c r="H35" s="1">
        <v>46204</v>
      </c>
      <c r="I35" t="s">
        <v>51</v>
      </c>
      <c r="J35" s="2">
        <v>0</v>
      </c>
      <c r="K35" s="2">
        <v>175</v>
      </c>
      <c r="L35">
        <v>1</v>
      </c>
      <c r="M35" s="3">
        <v>1</v>
      </c>
      <c r="N35" s="2">
        <v>175</v>
      </c>
      <c r="P35" t="s">
        <v>273</v>
      </c>
    </row>
    <row r="36" spans="1:16" x14ac:dyDescent="0.25">
      <c r="A36" s="5" t="s">
        <v>245</v>
      </c>
      <c r="B36" s="5" t="str">
        <f t="shared" si="0"/>
        <v>00026426494KOVR</v>
      </c>
      <c r="C36" t="s">
        <v>84</v>
      </c>
      <c r="D36" t="s">
        <v>46</v>
      </c>
      <c r="E36">
        <v>20411454</v>
      </c>
      <c r="F36" t="s">
        <v>275</v>
      </c>
      <c r="G36" t="s">
        <v>50</v>
      </c>
      <c r="H36" s="1">
        <v>46143</v>
      </c>
      <c r="I36" t="s">
        <v>51</v>
      </c>
      <c r="J36" s="2">
        <v>0</v>
      </c>
      <c r="K36" s="2">
        <v>175</v>
      </c>
      <c r="L36">
        <v>1</v>
      </c>
      <c r="M36" s="3">
        <v>1</v>
      </c>
      <c r="N36" s="2">
        <v>175</v>
      </c>
      <c r="P36" t="s">
        <v>273</v>
      </c>
    </row>
    <row r="37" spans="1:16" x14ac:dyDescent="0.25">
      <c r="A37" s="5" t="s">
        <v>246</v>
      </c>
      <c r="B37" s="5" t="str">
        <f t="shared" si="0"/>
        <v>00026426888KOVR</v>
      </c>
      <c r="C37" t="s">
        <v>86</v>
      </c>
      <c r="D37" t="s">
        <v>46</v>
      </c>
      <c r="E37">
        <v>20411454</v>
      </c>
      <c r="F37" t="s">
        <v>275</v>
      </c>
      <c r="G37" t="s">
        <v>50</v>
      </c>
      <c r="H37" s="1">
        <v>46143</v>
      </c>
      <c r="I37" t="s">
        <v>51</v>
      </c>
      <c r="J37" s="2">
        <v>0</v>
      </c>
      <c r="K37" s="2">
        <v>175</v>
      </c>
      <c r="L37">
        <v>1</v>
      </c>
      <c r="M37" s="3">
        <v>1</v>
      </c>
      <c r="N37" s="2">
        <v>175</v>
      </c>
      <c r="P37" t="s">
        <v>273</v>
      </c>
    </row>
    <row r="38" spans="1:16" x14ac:dyDescent="0.25">
      <c r="A38" s="5" t="s">
        <v>247</v>
      </c>
      <c r="B38" s="5" t="str">
        <f t="shared" si="0"/>
        <v>00026428954KOVR</v>
      </c>
      <c r="C38" t="s">
        <v>90</v>
      </c>
      <c r="D38" t="s">
        <v>46</v>
      </c>
      <c r="E38">
        <v>20411454</v>
      </c>
      <c r="F38" t="s">
        <v>275</v>
      </c>
      <c r="G38" t="s">
        <v>50</v>
      </c>
      <c r="H38" s="1">
        <v>46143</v>
      </c>
      <c r="I38" t="s">
        <v>51</v>
      </c>
      <c r="J38" s="2">
        <v>0</v>
      </c>
      <c r="K38" s="2">
        <v>175</v>
      </c>
      <c r="L38">
        <v>1</v>
      </c>
      <c r="M38" s="3">
        <v>1</v>
      </c>
      <c r="N38" s="2">
        <v>175</v>
      </c>
      <c r="P38" t="s">
        <v>273</v>
      </c>
    </row>
    <row r="39" spans="1:16" x14ac:dyDescent="0.25">
      <c r="A39" s="5" t="s">
        <v>268</v>
      </c>
      <c r="B39" s="5" t="str">
        <f t="shared" si="0"/>
        <v>00026223632KOVR</v>
      </c>
      <c r="C39" t="s">
        <v>203</v>
      </c>
      <c r="D39" t="s">
        <v>95</v>
      </c>
      <c r="E39">
        <v>20411454</v>
      </c>
      <c r="F39" t="s">
        <v>275</v>
      </c>
      <c r="G39" t="s">
        <v>50</v>
      </c>
      <c r="H39" s="1">
        <v>46143</v>
      </c>
      <c r="I39" t="s">
        <v>51</v>
      </c>
      <c r="N39" s="4">
        <v>-175</v>
      </c>
      <c r="P39" t="s">
        <v>273</v>
      </c>
    </row>
    <row r="40" spans="1:16" x14ac:dyDescent="0.25">
      <c r="A40" s="5" t="s">
        <v>269</v>
      </c>
      <c r="B40" s="5" t="str">
        <f t="shared" si="0"/>
        <v>00026260016KOVR</v>
      </c>
      <c r="C40" t="s">
        <v>205</v>
      </c>
      <c r="D40" t="s">
        <v>95</v>
      </c>
      <c r="E40">
        <v>20411454</v>
      </c>
      <c r="F40" t="s">
        <v>275</v>
      </c>
      <c r="G40" t="s">
        <v>50</v>
      </c>
      <c r="H40" s="1">
        <v>46143</v>
      </c>
      <c r="I40" t="s">
        <v>51</v>
      </c>
      <c r="N40" s="4">
        <v>-175</v>
      </c>
      <c r="P40" t="s">
        <v>273</v>
      </c>
    </row>
    <row r="41" spans="1:16" s="7" customFormat="1" x14ac:dyDescent="0.25">
      <c r="A41" s="6" t="s">
        <v>262</v>
      </c>
      <c r="B41" s="6" t="s">
        <v>262</v>
      </c>
      <c r="C41" s="7" t="s">
        <v>197</v>
      </c>
      <c r="D41" s="7" t="s">
        <v>95</v>
      </c>
      <c r="E41" s="7">
        <v>19645587</v>
      </c>
      <c r="F41" s="7" t="s">
        <v>199</v>
      </c>
      <c r="G41" s="7" t="s">
        <v>201</v>
      </c>
      <c r="H41" s="8">
        <v>46023</v>
      </c>
      <c r="I41" s="7" t="s">
        <v>51</v>
      </c>
      <c r="N41" s="11">
        <v>-10.050000000000001</v>
      </c>
      <c r="P41" s="7" t="s">
        <v>274</v>
      </c>
    </row>
    <row r="42" spans="1:16" s="7" customFormat="1" x14ac:dyDescent="0.25">
      <c r="A42" s="6" t="s">
        <v>252</v>
      </c>
      <c r="B42" s="6" t="str">
        <f>CONCATENATE(A42,1)</f>
        <v>A044630671</v>
      </c>
      <c r="C42" s="7" t="s">
        <v>160</v>
      </c>
      <c r="D42" s="7" t="s">
        <v>161</v>
      </c>
      <c r="E42" s="7">
        <v>16849453</v>
      </c>
      <c r="F42" s="7" t="s">
        <v>155</v>
      </c>
      <c r="G42" s="7" t="s">
        <v>162</v>
      </c>
      <c r="H42" s="8">
        <v>46174</v>
      </c>
      <c r="I42" s="7" t="s">
        <v>51</v>
      </c>
      <c r="J42" s="9">
        <v>0</v>
      </c>
      <c r="K42" s="9">
        <v>31.02</v>
      </c>
      <c r="L42" s="7">
        <v>9</v>
      </c>
      <c r="M42" s="10">
        <v>1</v>
      </c>
      <c r="N42" s="9">
        <v>279.18</v>
      </c>
      <c r="P42" s="7" t="s">
        <v>162</v>
      </c>
    </row>
    <row r="43" spans="1:16" s="7" customFormat="1" x14ac:dyDescent="0.25">
      <c r="A43" s="6" t="s">
        <v>253</v>
      </c>
      <c r="B43" s="6" t="str">
        <f t="shared" ref="B43:B52" si="1">CONCATENATE(A43,1)</f>
        <v>A044632521</v>
      </c>
      <c r="C43" s="7" t="s">
        <v>164</v>
      </c>
      <c r="D43" s="7" t="s">
        <v>161</v>
      </c>
      <c r="E43" s="7">
        <v>16849453</v>
      </c>
      <c r="F43" s="7" t="s">
        <v>155</v>
      </c>
      <c r="G43" s="7" t="s">
        <v>162</v>
      </c>
      <c r="H43" s="8">
        <v>46204</v>
      </c>
      <c r="I43" s="7" t="s">
        <v>51</v>
      </c>
      <c r="J43" s="9">
        <v>0</v>
      </c>
      <c r="K43" s="9">
        <v>31.02</v>
      </c>
      <c r="L43" s="7">
        <v>9</v>
      </c>
      <c r="M43" s="10">
        <v>1</v>
      </c>
      <c r="N43" s="9">
        <v>279.18</v>
      </c>
      <c r="P43" s="7" t="s">
        <v>162</v>
      </c>
    </row>
    <row r="44" spans="1:16" s="7" customFormat="1" x14ac:dyDescent="0.25">
      <c r="A44" s="6" t="s">
        <v>254</v>
      </c>
      <c r="B44" s="6" t="str">
        <f t="shared" si="1"/>
        <v>A044680081</v>
      </c>
      <c r="C44" s="7" t="s">
        <v>166</v>
      </c>
      <c r="D44" s="7" t="s">
        <v>161</v>
      </c>
      <c r="E44" s="7">
        <v>16849453</v>
      </c>
      <c r="F44" s="7" t="s">
        <v>155</v>
      </c>
      <c r="G44" s="7" t="s">
        <v>162</v>
      </c>
      <c r="H44" s="8">
        <v>46143</v>
      </c>
      <c r="I44" s="7" t="s">
        <v>51</v>
      </c>
      <c r="J44" s="9">
        <v>0</v>
      </c>
      <c r="K44" s="9">
        <v>31.02</v>
      </c>
      <c r="L44" s="7">
        <v>9</v>
      </c>
      <c r="M44" s="10">
        <v>1</v>
      </c>
      <c r="N44" s="9">
        <v>279.18</v>
      </c>
      <c r="P44" s="7" t="s">
        <v>162</v>
      </c>
    </row>
    <row r="45" spans="1:16" s="7" customFormat="1" x14ac:dyDescent="0.25">
      <c r="A45" s="6" t="s">
        <v>255</v>
      </c>
      <c r="B45" s="6" t="str">
        <f t="shared" si="1"/>
        <v>A044680831</v>
      </c>
      <c r="C45" s="7" t="s">
        <v>168</v>
      </c>
      <c r="D45" s="7" t="s">
        <v>161</v>
      </c>
      <c r="E45" s="7">
        <v>16849453</v>
      </c>
      <c r="F45" s="7" t="s">
        <v>155</v>
      </c>
      <c r="G45" s="7" t="s">
        <v>162</v>
      </c>
      <c r="H45" s="8">
        <v>46204</v>
      </c>
      <c r="I45" s="7" t="s">
        <v>51</v>
      </c>
      <c r="J45" s="9">
        <v>0</v>
      </c>
      <c r="K45" s="9">
        <v>31.02</v>
      </c>
      <c r="L45" s="7">
        <v>9</v>
      </c>
      <c r="M45" s="10">
        <v>1</v>
      </c>
      <c r="N45" s="9">
        <v>279.18</v>
      </c>
      <c r="P45" s="7" t="s">
        <v>162</v>
      </c>
    </row>
    <row r="46" spans="1:16" s="7" customFormat="1" x14ac:dyDescent="0.25">
      <c r="A46" s="6" t="s">
        <v>256</v>
      </c>
      <c r="B46" s="6" t="str">
        <f t="shared" si="1"/>
        <v>A044689291</v>
      </c>
      <c r="C46" s="7" t="s">
        <v>170</v>
      </c>
      <c r="D46" s="7" t="s">
        <v>138</v>
      </c>
      <c r="E46" s="7">
        <v>19491313</v>
      </c>
      <c r="F46" s="7" t="s">
        <v>172</v>
      </c>
      <c r="G46" s="7" t="s">
        <v>173</v>
      </c>
      <c r="H46" s="8">
        <v>46143</v>
      </c>
      <c r="I46" s="7" t="s">
        <v>51</v>
      </c>
      <c r="J46" s="9">
        <v>0</v>
      </c>
      <c r="K46" s="9">
        <v>31.5</v>
      </c>
      <c r="L46" s="7">
        <v>9</v>
      </c>
      <c r="M46" s="10">
        <v>1</v>
      </c>
      <c r="N46" s="9">
        <v>283.5</v>
      </c>
      <c r="P46" s="7" t="s">
        <v>173</v>
      </c>
    </row>
    <row r="47" spans="1:16" s="7" customFormat="1" x14ac:dyDescent="0.25">
      <c r="A47" s="6" t="s">
        <v>265</v>
      </c>
      <c r="B47" s="6" t="str">
        <f t="shared" si="1"/>
        <v>A044218781</v>
      </c>
      <c r="C47" s="7" t="s">
        <v>229</v>
      </c>
      <c r="D47" s="7" t="s">
        <v>138</v>
      </c>
      <c r="E47" s="7">
        <v>21564088</v>
      </c>
      <c r="F47" s="7" t="s">
        <v>231</v>
      </c>
      <c r="G47" s="7" t="s">
        <v>232</v>
      </c>
      <c r="H47" s="8">
        <v>46113</v>
      </c>
      <c r="I47" s="7" t="s">
        <v>51</v>
      </c>
      <c r="N47" s="11">
        <v>-78.709999999999994</v>
      </c>
      <c r="P47" s="7" t="s">
        <v>232</v>
      </c>
    </row>
    <row r="48" spans="1:16" s="7" customFormat="1" x14ac:dyDescent="0.25">
      <c r="A48" s="6" t="s">
        <v>266</v>
      </c>
      <c r="B48" s="6" t="str">
        <f t="shared" si="1"/>
        <v>A044218801</v>
      </c>
      <c r="C48" s="7" t="s">
        <v>234</v>
      </c>
      <c r="D48" s="7" t="s">
        <v>138</v>
      </c>
      <c r="E48" s="7">
        <v>21564088</v>
      </c>
      <c r="F48" s="7" t="s">
        <v>231</v>
      </c>
      <c r="G48" s="7" t="s">
        <v>232</v>
      </c>
      <c r="H48" s="8">
        <v>46082</v>
      </c>
      <c r="I48" s="7" t="s">
        <v>51</v>
      </c>
      <c r="N48" s="11">
        <v>-68.88</v>
      </c>
      <c r="P48" s="7" t="s">
        <v>232</v>
      </c>
    </row>
    <row r="49" spans="1:16" s="7" customFormat="1" x14ac:dyDescent="0.25">
      <c r="A49" s="6" t="s">
        <v>257</v>
      </c>
      <c r="B49" s="6" t="str">
        <f t="shared" si="1"/>
        <v>A044695621</v>
      </c>
      <c r="C49" s="7" t="s">
        <v>175</v>
      </c>
      <c r="D49" s="7" t="s">
        <v>106</v>
      </c>
      <c r="E49" s="7">
        <v>21618313</v>
      </c>
      <c r="F49" s="7" t="s">
        <v>177</v>
      </c>
      <c r="G49" s="7" t="s">
        <v>178</v>
      </c>
      <c r="H49" s="8">
        <v>46143</v>
      </c>
      <c r="I49" s="7" t="s">
        <v>51</v>
      </c>
      <c r="J49" s="9">
        <v>0</v>
      </c>
      <c r="K49" s="9">
        <v>36</v>
      </c>
      <c r="L49" s="7">
        <v>9</v>
      </c>
      <c r="M49" s="10">
        <v>1</v>
      </c>
      <c r="N49" s="9">
        <v>324</v>
      </c>
      <c r="P49" s="7" t="s">
        <v>178</v>
      </c>
    </row>
    <row r="50" spans="1:16" s="7" customFormat="1" x14ac:dyDescent="0.25">
      <c r="A50" s="6" t="s">
        <v>259</v>
      </c>
      <c r="B50" s="6" t="str">
        <f t="shared" si="1"/>
        <v>A044701661</v>
      </c>
      <c r="C50" s="7" t="s">
        <v>185</v>
      </c>
      <c r="D50" s="7" t="s">
        <v>186</v>
      </c>
      <c r="E50" s="7">
        <v>17425766</v>
      </c>
      <c r="F50" s="7" t="s">
        <v>188</v>
      </c>
      <c r="G50" s="7" t="s">
        <v>178</v>
      </c>
      <c r="H50" s="8">
        <v>46143</v>
      </c>
      <c r="I50" s="7" t="s">
        <v>51</v>
      </c>
      <c r="J50" s="9">
        <v>0</v>
      </c>
      <c r="K50" s="9">
        <v>36</v>
      </c>
      <c r="L50" s="7">
        <v>9</v>
      </c>
      <c r="M50" s="10">
        <v>1</v>
      </c>
      <c r="N50" s="9">
        <v>324</v>
      </c>
      <c r="P50" s="7" t="s">
        <v>178</v>
      </c>
    </row>
    <row r="51" spans="1:16" s="7" customFormat="1" x14ac:dyDescent="0.25">
      <c r="A51" s="6" t="s">
        <v>260</v>
      </c>
      <c r="B51" s="6" t="str">
        <f t="shared" si="1"/>
        <v>A044702581</v>
      </c>
      <c r="C51" s="7" t="s">
        <v>190</v>
      </c>
      <c r="D51" s="7" t="s">
        <v>186</v>
      </c>
      <c r="E51" s="7">
        <v>17425766</v>
      </c>
      <c r="F51" s="7" t="s">
        <v>188</v>
      </c>
      <c r="G51" s="7" t="s">
        <v>178</v>
      </c>
      <c r="H51" s="8">
        <v>46143</v>
      </c>
      <c r="I51" s="7" t="s">
        <v>51</v>
      </c>
      <c r="J51" s="9">
        <v>0</v>
      </c>
      <c r="K51" s="9">
        <v>36</v>
      </c>
      <c r="L51" s="7">
        <v>9</v>
      </c>
      <c r="M51" s="10">
        <v>1</v>
      </c>
      <c r="N51" s="9">
        <v>324</v>
      </c>
      <c r="P51" s="7" t="s">
        <v>178</v>
      </c>
    </row>
    <row r="52" spans="1:16" s="7" customFormat="1" x14ac:dyDescent="0.25">
      <c r="A52" s="6" t="s">
        <v>258</v>
      </c>
      <c r="B52" s="6" t="str">
        <f t="shared" si="1"/>
        <v>A044696361</v>
      </c>
      <c r="C52" s="7" t="s">
        <v>180</v>
      </c>
      <c r="E52" s="7">
        <v>18201929</v>
      </c>
      <c r="F52" s="7" t="s">
        <v>182</v>
      </c>
      <c r="G52" s="7" t="s">
        <v>183</v>
      </c>
      <c r="H52" s="8">
        <v>46143</v>
      </c>
      <c r="I52" s="7" t="s">
        <v>51</v>
      </c>
      <c r="J52" s="9">
        <v>290</v>
      </c>
      <c r="K52" s="9">
        <v>290</v>
      </c>
      <c r="L52" s="7">
        <v>9</v>
      </c>
      <c r="M52" s="10">
        <v>4.7500000000000001E-2</v>
      </c>
      <c r="N52" s="9">
        <v>123.98</v>
      </c>
      <c r="P52" s="7" t="s">
        <v>183</v>
      </c>
    </row>
    <row r="55" spans="1:16" x14ac:dyDescent="0.25">
      <c r="I55">
        <f>78.71/9.83</f>
        <v>8.0071210579857564</v>
      </c>
    </row>
    <row r="56" spans="1:16" x14ac:dyDescent="0.25">
      <c r="I56">
        <f>68.88/9.83</f>
        <v>7.0071210579857572</v>
      </c>
    </row>
  </sheetData>
  <sortState xmlns:xlrd2="http://schemas.microsoft.com/office/spreadsheetml/2017/richdata2" ref="A2:AM52">
    <sortCondition ref="G2:G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2026-05-08T06:08:50Z</dcterms:created>
  <dcterms:modified xsi:type="dcterms:W3CDTF">2026-05-11T20:36:39Z</dcterms:modified>
</cp:coreProperties>
</file>