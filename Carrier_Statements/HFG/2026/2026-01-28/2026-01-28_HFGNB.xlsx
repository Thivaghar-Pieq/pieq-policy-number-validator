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6\NB 1-28-26\"/>
    </mc:Choice>
  </mc:AlternateContent>
  <xr:revisionPtr revIDLastSave="0" documentId="13_ncr:1_{86C133BE-9990-434A-9CAE-CC53F92DC4CD}" xr6:coauthVersionLast="47" xr6:coauthVersionMax="47" xr10:uidLastSave="{00000000-0000-0000-0000-000000000000}"/>
  <bookViews>
    <workbookView xWindow="-120" yWindow="-120" windowWidth="29040" windowHeight="16440" activeTab="2" xr2:uid="{DD79B58A-D7F0-4447-AD23-03B6CFB41866}"/>
  </bookViews>
  <sheets>
    <sheet name="New Business Agent Statement - 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B159" i="2" l="1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158" i="2"/>
  <c r="B157" i="2"/>
  <c r="B156" i="2"/>
  <c r="B149" i="2"/>
  <c r="B146" i="2"/>
  <c r="B153" i="2"/>
  <c r="B145" i="2"/>
  <c r="B154" i="2"/>
  <c r="B151" i="2"/>
  <c r="B152" i="2"/>
  <c r="B150" i="2"/>
  <c r="B147" i="2"/>
  <c r="B148" i="2"/>
  <c r="B155" i="2"/>
  <c r="B144" i="2"/>
  <c r="B135" i="2"/>
  <c r="B139" i="2"/>
  <c r="B134" i="2"/>
  <c r="B138" i="2"/>
  <c r="B137" i="2"/>
  <c r="B133" i="2"/>
  <c r="B136" i="2"/>
  <c r="B142" i="2"/>
  <c r="B140" i="2"/>
  <c r="B141" i="2"/>
  <c r="B143" i="2"/>
  <c r="B132" i="2"/>
  <c r="B131" i="2"/>
  <c r="B130" i="2"/>
  <c r="B129" i="2"/>
  <c r="B128" i="2"/>
  <c r="B127" i="2"/>
  <c r="B126" i="2"/>
  <c r="B125" i="2"/>
  <c r="B124" i="2"/>
  <c r="B116" i="2"/>
  <c r="B115" i="2"/>
  <c r="B121" i="2"/>
  <c r="B117" i="2"/>
  <c r="B122" i="2"/>
  <c r="B119" i="2"/>
  <c r="B118" i="2"/>
  <c r="B120" i="2"/>
  <c r="B123" i="2"/>
  <c r="B113" i="2"/>
  <c r="B112" i="2"/>
  <c r="B114" i="2"/>
  <c r="B105" i="2"/>
  <c r="B104" i="2"/>
  <c r="B107" i="2"/>
  <c r="B106" i="2"/>
  <c r="B108" i="2"/>
  <c r="B110" i="2"/>
  <c r="B109" i="2"/>
  <c r="B111" i="2"/>
  <c r="B103" i="2"/>
  <c r="B102" i="2"/>
  <c r="B101" i="2"/>
  <c r="B100" i="2"/>
  <c r="B99" i="2"/>
  <c r="B98" i="2"/>
  <c r="B97" i="2"/>
  <c r="B96" i="2"/>
  <c r="B95" i="2"/>
  <c r="B75" i="2"/>
  <c r="B93" i="2"/>
  <c r="B74" i="2"/>
  <c r="B92" i="2"/>
  <c r="B91" i="2"/>
  <c r="B73" i="2"/>
  <c r="B85" i="2"/>
  <c r="B72" i="2"/>
  <c r="B94" i="2"/>
  <c r="B71" i="2"/>
  <c r="B70" i="2"/>
  <c r="B69" i="2"/>
  <c r="B68" i="2"/>
  <c r="B67" i="2"/>
  <c r="B84" i="2"/>
  <c r="B83" i="2"/>
  <c r="B82" i="2"/>
  <c r="B66" i="2"/>
  <c r="B65" i="2"/>
  <c r="B64" i="2"/>
  <c r="B90" i="2"/>
  <c r="B81" i="2"/>
  <c r="B63" i="2"/>
  <c r="B62" i="2"/>
  <c r="B88" i="2"/>
  <c r="B87" i="2"/>
  <c r="B80" i="2"/>
  <c r="B79" i="2"/>
  <c r="B86" i="2"/>
  <c r="B61" i="2"/>
  <c r="B60" i="2"/>
  <c r="B89" i="2"/>
  <c r="B59" i="2"/>
  <c r="B78" i="2"/>
  <c r="B76" i="2"/>
  <c r="B77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0" i="2"/>
  <c r="B43" i="2"/>
  <c r="B42" i="2"/>
  <c r="B41" i="2"/>
  <c r="B39" i="2"/>
  <c r="B38" i="2"/>
  <c r="B37" i="2"/>
  <c r="B36" i="2"/>
  <c r="B35" i="2"/>
  <c r="B28" i="2"/>
  <c r="B27" i="2"/>
  <c r="B30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34" i="2"/>
  <c r="B29" i="2"/>
  <c r="B31" i="2"/>
  <c r="B9" i="2"/>
  <c r="B8" i="2"/>
  <c r="B33" i="2"/>
  <c r="B32" i="2"/>
  <c r="B4" i="2"/>
  <c r="B3" i="2"/>
  <c r="B6" i="2"/>
  <c r="B5" i="2"/>
  <c r="B2" i="2"/>
  <c r="B7" i="2"/>
</calcChain>
</file>

<file path=xl/sharedStrings.xml><?xml version="1.0" encoding="utf-8"?>
<sst xmlns="http://schemas.openxmlformats.org/spreadsheetml/2006/main" count="9512" uniqueCount="1641">
  <si>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</si>
  <si>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</si>
  <si>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</si>
  <si>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</si>
  <si>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</si>
  <si>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</si>
  <si>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</si>
  <si>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</si>
  <si>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</si>
  <si>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</si>
  <si>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</si>
  <si>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</si>
  <si>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</si>
  <si>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</si>
  <si>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</si>
  <si>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</si>
  <si>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</si>
  <si>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</si>
  <si>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</si>
  <si>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</si>
  <si>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</si>
  <si>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</si>
  <si>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</si>
  <si>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</si>
  <si>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</si>
  <si>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</si>
  <si>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</si>
  <si>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</si>
  <si>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</si>
  <si>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</si>
  <si>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</si>
  <si>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</si>
  <si>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</si>
  <si>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</si>
  <si>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</si>
  <si>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</si>
  <si>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</si>
  <si>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</si>
  <si>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</si>
  <si>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</si>
  <si>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</si>
  <si>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</si>
  <si>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</si>
  <si>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</si>
  <si>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'00000963879D</t>
  </si>
  <si>
    <t>DEBORAH COLLINS</t>
  </si>
  <si>
    <t>MI</t>
  </si>
  <si>
    <t>'043718</t>
  </si>
  <si>
    <t>CHAD YALE</t>
  </si>
  <si>
    <t>ACTIVE</t>
  </si>
  <si>
    <t>Humana MA 2019+ Level 15- 175/108</t>
  </si>
  <si>
    <t>Monthly</t>
  </si>
  <si>
    <t>AV</t>
  </si>
  <si>
    <t>'00008459655K</t>
  </si>
  <si>
    <t>PARMOD KUMAR</t>
  </si>
  <si>
    <t>IL</t>
  </si>
  <si>
    <t>'045772</t>
  </si>
  <si>
    <t>JASON ROLLER</t>
  </si>
  <si>
    <t>'00009171141K</t>
  </si>
  <si>
    <t>ALAN BLOSS</t>
  </si>
  <si>
    <t>'045638</t>
  </si>
  <si>
    <t>RICHARD YALE</t>
  </si>
  <si>
    <t>'00009430398K</t>
  </si>
  <si>
    <t>JACK BROWN</t>
  </si>
  <si>
    <t>'00013363129K</t>
  </si>
  <si>
    <t>MARY TURNER</t>
  </si>
  <si>
    <t>'00013636650K</t>
  </si>
  <si>
    <t>PATRICIA MUDGETT</t>
  </si>
  <si>
    <t>'043637</t>
  </si>
  <si>
    <t>CHRISTIAN TAUGNER</t>
  </si>
  <si>
    <t>'00013752362K</t>
  </si>
  <si>
    <t>JUNE KUMAR</t>
  </si>
  <si>
    <t>'00020151511K</t>
  </si>
  <si>
    <t>NINA JOHNSON</t>
  </si>
  <si>
    <t>OH</t>
  </si>
  <si>
    <t>'045684</t>
  </si>
  <si>
    <t>JILL SHEPARD</t>
  </si>
  <si>
    <t>Humana MA 2019+ Level 15- 175/108 Repl 2024</t>
  </si>
  <si>
    <t>'00022005823K</t>
  </si>
  <si>
    <t>SUSANNE DESMOND</t>
  </si>
  <si>
    <t>'045604</t>
  </si>
  <si>
    <t>JEFFREY HORN</t>
  </si>
  <si>
    <t>'00022770126K</t>
  </si>
  <si>
    <t>NEIL WEISSMAN</t>
  </si>
  <si>
    <t>FL</t>
  </si>
  <si>
    <t>'045601</t>
  </si>
  <si>
    <t>CAROL FOLEY</t>
  </si>
  <si>
    <t>'00023314572K</t>
  </si>
  <si>
    <t>CARLOS CHAVEZ</t>
  </si>
  <si>
    <t>'043589</t>
  </si>
  <si>
    <t>JOSE TORRES</t>
  </si>
  <si>
    <t>'00023407746K</t>
  </si>
  <si>
    <t>MICHAEL VOELKER</t>
  </si>
  <si>
    <t>'046124</t>
  </si>
  <si>
    <t>KENNETH WEITZMAN</t>
  </si>
  <si>
    <t>'00024302321K</t>
  </si>
  <si>
    <t>THERESA ELSCLAGER</t>
  </si>
  <si>
    <t>TX</t>
  </si>
  <si>
    <t>'00024590403K</t>
  </si>
  <si>
    <t>PETER RICHTER</t>
  </si>
  <si>
    <t>'043585</t>
  </si>
  <si>
    <t>'00024955998K</t>
  </si>
  <si>
    <t>JEANNE ROYER</t>
  </si>
  <si>
    <t>WI</t>
  </si>
  <si>
    <t>'045605</t>
  </si>
  <si>
    <t>GARY PORTUGAL</t>
  </si>
  <si>
    <t>Active</t>
  </si>
  <si>
    <t>Humana MA Bonus Upload 01-28-2026.xlsx</t>
  </si>
  <si>
    <t>'00025199148K</t>
  </si>
  <si>
    <t>BRETT CERVANTES</t>
  </si>
  <si>
    <t>MO</t>
  </si>
  <si>
    <t>'043638</t>
  </si>
  <si>
    <t>THOMAS PARDUE</t>
  </si>
  <si>
    <t>'00025927756K</t>
  </si>
  <si>
    <t>JAMES GREENAWALT</t>
  </si>
  <si>
    <t>'045670</t>
  </si>
  <si>
    <t>STEVEN BRANDT</t>
  </si>
  <si>
    <t>'00025944136K</t>
  </si>
  <si>
    <t>JUDITH PLOPA</t>
  </si>
  <si>
    <t>'00025946847K</t>
  </si>
  <si>
    <t>GEORGETTE KIDD</t>
  </si>
  <si>
    <t>'00025950232K</t>
  </si>
  <si>
    <t>DELFINA COHEN</t>
  </si>
  <si>
    <t>'045612</t>
  </si>
  <si>
    <t>ANTHONY HUNSBERGER</t>
  </si>
  <si>
    <t>'00025950489K</t>
  </si>
  <si>
    <t>PAUL RIZZO</t>
  </si>
  <si>
    <t>'045632</t>
  </si>
  <si>
    <t>BARRY SCHUMANN</t>
  </si>
  <si>
    <t>'00025954028K</t>
  </si>
  <si>
    <t>LINDA MASON</t>
  </si>
  <si>
    <t>'00025957764K</t>
  </si>
  <si>
    <t>MARY KOZENSKI</t>
  </si>
  <si>
    <t>MD</t>
  </si>
  <si>
    <t>'045717</t>
  </si>
  <si>
    <t>RONALD MAX</t>
  </si>
  <si>
    <t>'00025957840K</t>
  </si>
  <si>
    <t>CHRISTIAN COMSTOCK</t>
  </si>
  <si>
    <t>'043682</t>
  </si>
  <si>
    <t>GREGORY TEIPEL</t>
  </si>
  <si>
    <t>'00025958760K</t>
  </si>
  <si>
    <t>JOSHUA SHAW</t>
  </si>
  <si>
    <t>'00025959304K</t>
  </si>
  <si>
    <t>RAYMOND JODLOWSKI</t>
  </si>
  <si>
    <t>'00025959508K</t>
  </si>
  <si>
    <t>JACK BROOKS</t>
  </si>
  <si>
    <t>'00025960130K</t>
  </si>
  <si>
    <t>JAMES TEHAN</t>
  </si>
  <si>
    <t>'045603</t>
  </si>
  <si>
    <t>ANDREW CHOI</t>
  </si>
  <si>
    <t>'00025962433K</t>
  </si>
  <si>
    <t>DONNA JENNINGS</t>
  </si>
  <si>
    <t>'045618</t>
  </si>
  <si>
    <t>STEPHANIE DRAPAC</t>
  </si>
  <si>
    <t>'00025964426K</t>
  </si>
  <si>
    <t>ELLENMARIE MORTIMER</t>
  </si>
  <si>
    <t>'00025965072K</t>
  </si>
  <si>
    <t>LOUIS VASILOPOULOS</t>
  </si>
  <si>
    <t>'045709</t>
  </si>
  <si>
    <t>ESTHER HERRERA-LARSEN</t>
  </si>
  <si>
    <t>'00025968749K</t>
  </si>
  <si>
    <t>LAURA DELLAPOLLA</t>
  </si>
  <si>
    <t>'00025970163K</t>
  </si>
  <si>
    <t>VICTOR LADO</t>
  </si>
  <si>
    <t>'043618</t>
  </si>
  <si>
    <t>SAADIA ABDUL</t>
  </si>
  <si>
    <t>'00025971644K</t>
  </si>
  <si>
    <t>NANCY FLOWERS</t>
  </si>
  <si>
    <t>'00025972977K</t>
  </si>
  <si>
    <t>LUIS JIMENEZ RAMOS</t>
  </si>
  <si>
    <t>'00025974976K</t>
  </si>
  <si>
    <t>GANCHIMEG DAVAA</t>
  </si>
  <si>
    <t>'043758</t>
  </si>
  <si>
    <t>NASANDELGER ZANA</t>
  </si>
  <si>
    <t>'00025976213K</t>
  </si>
  <si>
    <t>ARTHUR RIGGS</t>
  </si>
  <si>
    <t>'043690</t>
  </si>
  <si>
    <t>THOMAS KUCAN</t>
  </si>
  <si>
    <t>'00025978179K</t>
  </si>
  <si>
    <t>MAUREEN PERAZZOLO</t>
  </si>
  <si>
    <t>'00025980223K</t>
  </si>
  <si>
    <t>DOROTHY BAUNACH</t>
  </si>
  <si>
    <t>'00025981100K</t>
  </si>
  <si>
    <t>SCOTT PERAZZOLO</t>
  </si>
  <si>
    <t>'00025982104K</t>
  </si>
  <si>
    <t>XAY XAYAKHAM</t>
  </si>
  <si>
    <t>'043625</t>
  </si>
  <si>
    <t>PATSAMON THANADABOUTH</t>
  </si>
  <si>
    <t>'00025982685K</t>
  </si>
  <si>
    <t>DAVID ALLAN</t>
  </si>
  <si>
    <t>'018W25251</t>
  </si>
  <si>
    <t>MICHAL HOGAN</t>
  </si>
  <si>
    <t>'043974</t>
  </si>
  <si>
    <t>JENNIFER HALSAVER</t>
  </si>
  <si>
    <t>Anthem BCBS Med Supp Percentage 2025</t>
  </si>
  <si>
    <t>'101040206500</t>
  </si>
  <si>
    <t>PATRICIA HAUSER</t>
  </si>
  <si>
    <t>Aetna MAPD NMO to MMO - 2025+ New E-App</t>
  </si>
  <si>
    <t>'101040415500</t>
  </si>
  <si>
    <t>RICHARD HAUSER</t>
  </si>
  <si>
    <t>'101052135000A</t>
  </si>
  <si>
    <t>GERALD KOCHMAR</t>
  </si>
  <si>
    <t>PA</t>
  </si>
  <si>
    <t>'043611</t>
  </si>
  <si>
    <t>TIMOTHY POWERS</t>
  </si>
  <si>
    <t>'101052495000</t>
  </si>
  <si>
    <t>MARSHALL HAWK</t>
  </si>
  <si>
    <t>'043786</t>
  </si>
  <si>
    <t>MARGARET SMITH</t>
  </si>
  <si>
    <t>'101059707300</t>
  </si>
  <si>
    <t>THOMAS MOZUCH</t>
  </si>
  <si>
    <t>'043679</t>
  </si>
  <si>
    <t>DEBORAH INSKIPT</t>
  </si>
  <si>
    <t>'101061204400</t>
  </si>
  <si>
    <t>REGINA MCFARLAND</t>
  </si>
  <si>
    <t>'101074629800</t>
  </si>
  <si>
    <t>ROBERT MCDOWELL</t>
  </si>
  <si>
    <t>'101079424500</t>
  </si>
  <si>
    <t>JEANNE GOODKNIGHT</t>
  </si>
  <si>
    <t>'101083195000A</t>
  </si>
  <si>
    <t>DOMINICA KOCHMAR</t>
  </si>
  <si>
    <t>'101099652800</t>
  </si>
  <si>
    <t>A RAPP</t>
  </si>
  <si>
    <t>'101109436500</t>
  </si>
  <si>
    <t>SUSAN SHEETZ</t>
  </si>
  <si>
    <t>'101181584700</t>
  </si>
  <si>
    <t>MARK RAPP</t>
  </si>
  <si>
    <t>'101298337900</t>
  </si>
  <si>
    <t>ELLEN SCHUSTER</t>
  </si>
  <si>
    <t>'045611</t>
  </si>
  <si>
    <t>FRANK LISKOVEC</t>
  </si>
  <si>
    <t>'101324402000</t>
  </si>
  <si>
    <t>RICHARD OLSON</t>
  </si>
  <si>
    <t>TN</t>
  </si>
  <si>
    <t>'101496289100</t>
  </si>
  <si>
    <t>KEITH MONKS</t>
  </si>
  <si>
    <t>'101942229700</t>
  </si>
  <si>
    <t>JUDY KENT</t>
  </si>
  <si>
    <t>'043633</t>
  </si>
  <si>
    <t>RICHARD WUENSCH</t>
  </si>
  <si>
    <t>'102088624600</t>
  </si>
  <si>
    <t>JAMES HARTER</t>
  </si>
  <si>
    <t>'041686</t>
  </si>
  <si>
    <t>DALE WALENGA</t>
  </si>
  <si>
    <t>Aetna MAPD NMO to MMO - 2025+ Replace E-App</t>
  </si>
  <si>
    <t>11/12 PRORATE</t>
  </si>
  <si>
    <t>'102215997500</t>
  </si>
  <si>
    <t>MANUEL CASTRO ROSARIO</t>
  </si>
  <si>
    <t>'102216488700</t>
  </si>
  <si>
    <t>ANNETTE BALDWIN</t>
  </si>
  <si>
    <t>Aetna MAPD NMO to MMO - 2025+ New Paper</t>
  </si>
  <si>
    <t>'102222211400</t>
  </si>
  <si>
    <t>VALERIE JONES</t>
  </si>
  <si>
    <t>'102224747400</t>
  </si>
  <si>
    <t>JANET MILLER</t>
  </si>
  <si>
    <t>IA</t>
  </si>
  <si>
    <t>'045622</t>
  </si>
  <si>
    <t>JACOB YALE</t>
  </si>
  <si>
    <t>'102226592800</t>
  </si>
  <si>
    <t>TIMOTHY LESHER</t>
  </si>
  <si>
    <t>'102232576500</t>
  </si>
  <si>
    <t>STEVE MERCER</t>
  </si>
  <si>
    <t>'102235813800</t>
  </si>
  <si>
    <t>ANNMARIE BRINK</t>
  </si>
  <si>
    <t>'102240682000</t>
  </si>
  <si>
    <t>RAYMOND DEMATTEO</t>
  </si>
  <si>
    <t>'102241294500</t>
  </si>
  <si>
    <t>DOMINIQUE SANTANIELLO</t>
  </si>
  <si>
    <t>'102241376400</t>
  </si>
  <si>
    <t>CHRISTINE TERRA</t>
  </si>
  <si>
    <t>'043610</t>
  </si>
  <si>
    <t>KLAUS HERCHENRODER</t>
  </si>
  <si>
    <t>'102241978000</t>
  </si>
  <si>
    <t>RAMONA HARRISON</t>
  </si>
  <si>
    <t>'045421</t>
  </si>
  <si>
    <t>MATTHEW SHERMAN</t>
  </si>
  <si>
    <t>'102242332100</t>
  </si>
  <si>
    <t>MARY FRY</t>
  </si>
  <si>
    <t>'102244928700</t>
  </si>
  <si>
    <t>ANGELA COLLINS</t>
  </si>
  <si>
    <t>DE</t>
  </si>
  <si>
    <t>'045673</t>
  </si>
  <si>
    <t>MARK ROCCIA</t>
  </si>
  <si>
    <t>'102245909400</t>
  </si>
  <si>
    <t>RICHARD MAGEE</t>
  </si>
  <si>
    <t>'102248629500</t>
  </si>
  <si>
    <t>RODNEY SUNDSTROM</t>
  </si>
  <si>
    <t>NC</t>
  </si>
  <si>
    <t>'045896</t>
  </si>
  <si>
    <t>LENSIE GONZALEZ</t>
  </si>
  <si>
    <t>'102253501500</t>
  </si>
  <si>
    <t>HOWARD BELLAIRE</t>
  </si>
  <si>
    <t>'102254727000</t>
  </si>
  <si>
    <t>CATHY ROSUS</t>
  </si>
  <si>
    <t>'102255132900</t>
  </si>
  <si>
    <t>SANDRA JOHNSTON</t>
  </si>
  <si>
    <t>'102256083100</t>
  </si>
  <si>
    <t>GLORIA BRYAN</t>
  </si>
  <si>
    <t>'102256266800</t>
  </si>
  <si>
    <t>BRYCE JONES</t>
  </si>
  <si>
    <t>'043705</t>
  </si>
  <si>
    <t>MICHAEL DUNAVANT</t>
  </si>
  <si>
    <t>'102257034100</t>
  </si>
  <si>
    <t>LUCINDA HARTER</t>
  </si>
  <si>
    <t>'102257274900</t>
  </si>
  <si>
    <t>DAVID MANKO</t>
  </si>
  <si>
    <t>'043691</t>
  </si>
  <si>
    <t>MICHELLE MCCORKLE</t>
  </si>
  <si>
    <t>10/12 PRORATE</t>
  </si>
  <si>
    <t>'102257432800</t>
  </si>
  <si>
    <t>WILLIAM BRANNON</t>
  </si>
  <si>
    <t>'102257499500</t>
  </si>
  <si>
    <t>SANDRA BURTNER</t>
  </si>
  <si>
    <t>'102257592400</t>
  </si>
  <si>
    <t>ELAINE MERKEL</t>
  </si>
  <si>
    <t>'133726021</t>
  </si>
  <si>
    <t>CHRISTINE THOMPSON</t>
  </si>
  <si>
    <t>UHC MAPD Street payable to upline PA/CT- 2026 Replace</t>
  </si>
  <si>
    <t>'133726021OV</t>
  </si>
  <si>
    <t>UHC MA Direct 2025 New Initial Prorated</t>
  </si>
  <si>
    <t>'15U8H2A84</t>
  </si>
  <si>
    <t>DARLENE ODEN</t>
  </si>
  <si>
    <t>'045591</t>
  </si>
  <si>
    <t>CHRISTOPHER BROUSSEAU</t>
  </si>
  <si>
    <t>Cigna MAPD FMO to GA 1-1-19+ - New</t>
  </si>
  <si>
    <t>'17H1X6X21</t>
  </si>
  <si>
    <t>OUDONE PHETTHONGSY</t>
  </si>
  <si>
    <t>'17U1L5R79</t>
  </si>
  <si>
    <t>ROBERT DERUBEIS</t>
  </si>
  <si>
    <t>'22R7F8L19</t>
  </si>
  <si>
    <t>C RATTANAVONGKOTH</t>
  </si>
  <si>
    <t>'24A5A1U96</t>
  </si>
  <si>
    <t>BARBARA RAYNER</t>
  </si>
  <si>
    <t>'25R6A4R22</t>
  </si>
  <si>
    <t>CHRISTOPHER BILEK</t>
  </si>
  <si>
    <t>'25X4U8H45</t>
  </si>
  <si>
    <t>DARYL MOOTREY</t>
  </si>
  <si>
    <t>SC</t>
  </si>
  <si>
    <t>'28F5R9H65</t>
  </si>
  <si>
    <t>IRITH HACO</t>
  </si>
  <si>
    <t>Cigna MAPD FMO to GA 1-1-19+ - Replacement</t>
  </si>
  <si>
    <t>'31F5X8A86</t>
  </si>
  <si>
    <t>RICHELLE SPEIGNER GAINES</t>
  </si>
  <si>
    <t>'33U1R6F31</t>
  </si>
  <si>
    <t>NICHOLAS CARCHIDI</t>
  </si>
  <si>
    <t>NJ</t>
  </si>
  <si>
    <t>'045885</t>
  </si>
  <si>
    <t>CHAD BENDER</t>
  </si>
  <si>
    <t>'33U4H8R88</t>
  </si>
  <si>
    <t>MURIEL BROTHERS</t>
  </si>
  <si>
    <t>'35U1H7U87</t>
  </si>
  <si>
    <t>KATHY ROSS</t>
  </si>
  <si>
    <t>'36545567</t>
  </si>
  <si>
    <t>DAVID LOWDER</t>
  </si>
  <si>
    <t>'36864714</t>
  </si>
  <si>
    <t>RICKEY YARBROUGH</t>
  </si>
  <si>
    <t>'046040</t>
  </si>
  <si>
    <t>DANIEL CARNEY</t>
  </si>
  <si>
    <t>'37233819</t>
  </si>
  <si>
    <t>JEAN ALBRIGHT</t>
  </si>
  <si>
    <t>'38L5L5R55</t>
  </si>
  <si>
    <t>ROGER POLONSKY</t>
  </si>
  <si>
    <t>'41A5A8R78</t>
  </si>
  <si>
    <t>PATRICIA LOPEZ</t>
  </si>
  <si>
    <t>'043739</t>
  </si>
  <si>
    <t>ANDREA PETRUNGARO</t>
  </si>
  <si>
    <t>'41H9L7U75</t>
  </si>
  <si>
    <t>EDMUND BABIARZ</t>
  </si>
  <si>
    <t>'502W24995</t>
  </si>
  <si>
    <t>BASSAM REFAI</t>
  </si>
  <si>
    <t>'53U6R8H53</t>
  </si>
  <si>
    <t>MARTIN HUNT</t>
  </si>
  <si>
    <t>'53X4F3H97</t>
  </si>
  <si>
    <t>LARRY ECKHART</t>
  </si>
  <si>
    <t>'045904</t>
  </si>
  <si>
    <t>BRITTANY OLIVER</t>
  </si>
  <si>
    <t>'54R1L1X82</t>
  </si>
  <si>
    <t>KATHLEEN GUILL</t>
  </si>
  <si>
    <t>'54X2U5F22</t>
  </si>
  <si>
    <t>RODNEY LANGE</t>
  </si>
  <si>
    <t>'55R2X7L49</t>
  </si>
  <si>
    <t>JULIA ECKHART</t>
  </si>
  <si>
    <t>'56H4X5A78</t>
  </si>
  <si>
    <t>'58R5A1U71</t>
  </si>
  <si>
    <t>ALAN SEIZYS</t>
  </si>
  <si>
    <t>'043969</t>
  </si>
  <si>
    <t>STACEY PORTUGAL</t>
  </si>
  <si>
    <t>'58X3L4X23</t>
  </si>
  <si>
    <t>DORA EASON</t>
  </si>
  <si>
    <t>'612W25182</t>
  </si>
  <si>
    <t>BRUCE BULTMAN</t>
  </si>
  <si>
    <t>'045937</t>
  </si>
  <si>
    <t>MARSHA SANDEROCK</t>
  </si>
  <si>
    <t>'64A7F1H37</t>
  </si>
  <si>
    <t>DEBRA STOUT</t>
  </si>
  <si>
    <t>'66R4A7H95</t>
  </si>
  <si>
    <t>RONALD RAYNER</t>
  </si>
  <si>
    <t>'69H7U6A93</t>
  </si>
  <si>
    <t>ELIZABETH EDWARDS</t>
  </si>
  <si>
    <t>'71L1A1F62</t>
  </si>
  <si>
    <t>CARMELLA MCKEEL</t>
  </si>
  <si>
    <t>'71X8U5A35</t>
  </si>
  <si>
    <t>JAMES KOWALSKI</t>
  </si>
  <si>
    <t>'045671</t>
  </si>
  <si>
    <t>ROBERT SHAPIRO</t>
  </si>
  <si>
    <t>'75X8A6F48</t>
  </si>
  <si>
    <t>CAROLYN DAVIS</t>
  </si>
  <si>
    <t>'906753502</t>
  </si>
  <si>
    <t>CATERINA VITALE</t>
  </si>
  <si>
    <t>'045607</t>
  </si>
  <si>
    <t>PAMELA DEATON</t>
  </si>
  <si>
    <t>UHC MAPD Street payable to upline- 2026 Replace</t>
  </si>
  <si>
    <t>'906753502OV</t>
  </si>
  <si>
    <t>UHC MA Direct 2025 New Full</t>
  </si>
  <si>
    <t>'909525209</t>
  </si>
  <si>
    <t>REYNALDO ELAZEGUI</t>
  </si>
  <si>
    <t>'043714</t>
  </si>
  <si>
    <t>BRIAN STROHMAN</t>
  </si>
  <si>
    <t>UHC MAPD Street payable to upline- 2026 Replace - Other</t>
  </si>
  <si>
    <t>'909525209OV</t>
  </si>
  <si>
    <t>UHC MA Direct 2025 New Full - Other</t>
  </si>
  <si>
    <t>'921791977</t>
  </si>
  <si>
    <t>HENRY CARPENTER</t>
  </si>
  <si>
    <t>'921791977OV</t>
  </si>
  <si>
    <t>'924390816</t>
  </si>
  <si>
    <t>LORENZO ONTIVEROS</t>
  </si>
  <si>
    <t>'924390816OV</t>
  </si>
  <si>
    <t>'926202494</t>
  </si>
  <si>
    <t>CAROLINE LAGUIMON</t>
  </si>
  <si>
    <t>NA</t>
  </si>
  <si>
    <t>UHC MAPD Street payable to upline- 2025 Replace</t>
  </si>
  <si>
    <t>UHC MA Bonus Upload 01-28-2026.xlsx</t>
  </si>
  <si>
    <t>'926202494OV</t>
  </si>
  <si>
    <t>UHC MA Direct 2025 New Initial Prorated - Other</t>
  </si>
  <si>
    <t>'930381090</t>
  </si>
  <si>
    <t>JOHN BAKER</t>
  </si>
  <si>
    <t>'930381090OV</t>
  </si>
  <si>
    <t>'935028788</t>
  </si>
  <si>
    <t>HEIDI SIEGEL</t>
  </si>
  <si>
    <t>'935028788OV</t>
  </si>
  <si>
    <t>'938953113</t>
  </si>
  <si>
    <t>RODNEY ROUSSARIE</t>
  </si>
  <si>
    <t>'938953113OV</t>
  </si>
  <si>
    <t>'954096512</t>
  </si>
  <si>
    <t>ARMILLIA SNEED</t>
  </si>
  <si>
    <t>'954096512OV</t>
  </si>
  <si>
    <t>'955501117</t>
  </si>
  <si>
    <t>AMPARO ELAZEGUI</t>
  </si>
  <si>
    <t>'955501117OV</t>
  </si>
  <si>
    <t>'959417814</t>
  </si>
  <si>
    <t>RICHARD LOWRY</t>
  </si>
  <si>
    <t>IN</t>
  </si>
  <si>
    <t>'959417814OV</t>
  </si>
  <si>
    <t>'964488477</t>
  </si>
  <si>
    <t>ADA OWENS</t>
  </si>
  <si>
    <t>'964488477OV</t>
  </si>
  <si>
    <t>'969662093</t>
  </si>
  <si>
    <t>JAMES RUSTON</t>
  </si>
  <si>
    <t>'969662093OV</t>
  </si>
  <si>
    <t>'978519946</t>
  </si>
  <si>
    <t>VINCENT GABRIELSE</t>
  </si>
  <si>
    <t>CO</t>
  </si>
  <si>
    <t>'043713</t>
  </si>
  <si>
    <t>JOEL LEE</t>
  </si>
  <si>
    <t>'978519946OV</t>
  </si>
  <si>
    <t>'A04415510</t>
  </si>
  <si>
    <t>RANDALL EDWARDS</t>
  </si>
  <si>
    <t>UHC AARP Med Supp 2026+ AZ IL KS ME NC TN WV Plan B C D F G</t>
  </si>
  <si>
    <t>'A04417194</t>
  </si>
  <si>
    <t>MICHAEL CHARLET</t>
  </si>
  <si>
    <t>LA</t>
  </si>
  <si>
    <t>'A04417209</t>
  </si>
  <si>
    <t>DENA CHARLET</t>
  </si>
  <si>
    <t>'A04418053</t>
  </si>
  <si>
    <t>CAROLYN THOMAS</t>
  </si>
  <si>
    <t>UHC AARP Med Supp 2026+ PA Plan B C F G</t>
  </si>
  <si>
    <t>'A04418214</t>
  </si>
  <si>
    <t>BETTY KLYM</t>
  </si>
  <si>
    <t>'A04419014</t>
  </si>
  <si>
    <t>JOSEPH MORRIS</t>
  </si>
  <si>
    <t>UHC AARP Med Supp 2026+ AR AZ IL KS MS NC NJ PA SC - Plans F G</t>
  </si>
  <si>
    <t>'A04419703</t>
  </si>
  <si>
    <t>BETTE LEFEVER</t>
  </si>
  <si>
    <t>'045621</t>
  </si>
  <si>
    <t>HEATHER GESKE</t>
  </si>
  <si>
    <t>UHC AARP Med Supp 2026+ CO - All Plans</t>
  </si>
  <si>
    <t>'A04420714</t>
  </si>
  <si>
    <t>SHWUHWA DARLING</t>
  </si>
  <si>
    <t>UHC AARP Med Supp 2026+ AR AZ IL KS MS NC NJ PA SC Plan N</t>
  </si>
  <si>
    <t>CB</t>
  </si>
  <si>
    <t>'00018023648KPC</t>
  </si>
  <si>
    <t>CHARGEBACK</t>
  </si>
  <si>
    <t>'00019292757KPC</t>
  </si>
  <si>
    <t>KULSOOM POONJA</t>
  </si>
  <si>
    <t>'00019321108KPC</t>
  </si>
  <si>
    <t>MAHMOOD POONJA</t>
  </si>
  <si>
    <t>'00019862313KPC</t>
  </si>
  <si>
    <t>BRUNHILDE WILSON</t>
  </si>
  <si>
    <t>'00020628364KPC</t>
  </si>
  <si>
    <t>DONALD BENDABOUT</t>
  </si>
  <si>
    <t>OK</t>
  </si>
  <si>
    <t>'00022646964KPC</t>
  </si>
  <si>
    <t>MARIA OLIVA</t>
  </si>
  <si>
    <t>'00022770126KPC</t>
  </si>
  <si>
    <t>'00023621536KPC</t>
  </si>
  <si>
    <t>JOHN MENDENHALL</t>
  </si>
  <si>
    <t>'00024112192KPC</t>
  </si>
  <si>
    <t>'00024582757KPC</t>
  </si>
  <si>
    <t>EDNA SCHENKEL</t>
  </si>
  <si>
    <t>'00025104052KPC</t>
  </si>
  <si>
    <t>MICHAEL HALINSKI</t>
  </si>
  <si>
    <t>'00025199148KPC</t>
  </si>
  <si>
    <t>'00025552127KPC</t>
  </si>
  <si>
    <t>DEBORAH WELSH</t>
  </si>
  <si>
    <t>'00025697687KPC</t>
  </si>
  <si>
    <t>REBECCA MAHLER</t>
  </si>
  <si>
    <t>'102207957400CB</t>
  </si>
  <si>
    <t>SHARON SACKETT</t>
  </si>
  <si>
    <t>'045428</t>
  </si>
  <si>
    <t>NATHAN WELLER</t>
  </si>
  <si>
    <t>'102208803900CB</t>
  </si>
  <si>
    <t>CARL MYERS</t>
  </si>
  <si>
    <t>'102211743600CB</t>
  </si>
  <si>
    <t>JUDITH TRIMBLE</t>
  </si>
  <si>
    <t>'102215997500CB</t>
  </si>
  <si>
    <t>'102216488700CB</t>
  </si>
  <si>
    <t>Aetna MAPD NMO to MMO - 2025+ Replace Paper</t>
  </si>
  <si>
    <t>'102222211400CB</t>
  </si>
  <si>
    <t>'102224747400CB</t>
  </si>
  <si>
    <t>'102226592800CB</t>
  </si>
  <si>
    <t>'102228477200PC</t>
  </si>
  <si>
    <t>HELGA MARI</t>
  </si>
  <si>
    <t>'102232576500CB</t>
  </si>
  <si>
    <t>'102235813800CB</t>
  </si>
  <si>
    <t>'102240682000CB</t>
  </si>
  <si>
    <t>'102241294500CB</t>
  </si>
  <si>
    <t>'102241376400CB</t>
  </si>
  <si>
    <t>'102241978000CB</t>
  </si>
  <si>
    <t>'102242332100CB</t>
  </si>
  <si>
    <t>'102244928700CB</t>
  </si>
  <si>
    <t>'102245909400CB</t>
  </si>
  <si>
    <t>'102248827600CB</t>
  </si>
  <si>
    <t>ROBERT DICK</t>
  </si>
  <si>
    <t>'102253501500CB</t>
  </si>
  <si>
    <t>'102254527700PC</t>
  </si>
  <si>
    <t>RICHARD HOLIDAY</t>
  </si>
  <si>
    <t>NY</t>
  </si>
  <si>
    <t>'102254727000CB</t>
  </si>
  <si>
    <t>'102255132900CB</t>
  </si>
  <si>
    <t>'102255620200PC</t>
  </si>
  <si>
    <t>JANICE WALSH</t>
  </si>
  <si>
    <t>'102256083100CB</t>
  </si>
  <si>
    <t>'102256266800CB</t>
  </si>
  <si>
    <t>'21R4U1R71CB</t>
  </si>
  <si>
    <t>'47A7U3H98CB</t>
  </si>
  <si>
    <t>ANDREW SCHAEFFER</t>
  </si>
  <si>
    <t>'937444625CB</t>
  </si>
  <si>
    <t>STUART SIMCOX</t>
  </si>
  <si>
    <t>'937444625OVCB</t>
  </si>
  <si>
    <t>'941459548CB</t>
  </si>
  <si>
    <t>VALENTINA FIELDS</t>
  </si>
  <si>
    <t>'941459548OVCB</t>
  </si>
  <si>
    <t>'979408187CB</t>
  </si>
  <si>
    <t>SHERRY GREELEY</t>
  </si>
  <si>
    <t>'979408187OVCB</t>
  </si>
  <si>
    <t>CAROL SCHABER</t>
  </si>
  <si>
    <t>TOM SERIO</t>
  </si>
  <si>
    <t>Humana DEC 2025 Statement</t>
  </si>
  <si>
    <t>DONNIE HAMILTON</t>
  </si>
  <si>
    <t>GERRI WALTHERS</t>
  </si>
  <si>
    <t>MARY HUSTON</t>
  </si>
  <si>
    <t>KHAIRUNNISA MOHIUDDIN</t>
  </si>
  <si>
    <t>RUBEN TORRES</t>
  </si>
  <si>
    <t>MARIANNE O'BRIEN</t>
  </si>
  <si>
    <t>DEBRA SIMS</t>
  </si>
  <si>
    <t>KAREN YOSHIKAWA</t>
  </si>
  <si>
    <t>FRED BORROWMAN</t>
  </si>
  <si>
    <t>Humana MAPD Street payable to upline- 2024 Replace</t>
  </si>
  <si>
    <t>Humana LOA DEC 2025 Statement</t>
  </si>
  <si>
    <t>LARRY BOUBEL</t>
  </si>
  <si>
    <t>STEVEN CONNOR</t>
  </si>
  <si>
    <t>RAYMOND HUMPHRIES</t>
  </si>
  <si>
    <t>LONNIE ALTOM</t>
  </si>
  <si>
    <t>CATHERINE LAUDERDALE</t>
  </si>
  <si>
    <t>PAULA MARINO</t>
  </si>
  <si>
    <t>EUGENE PAYNE</t>
  </si>
  <si>
    <t>MARYCLARE BENTLEY</t>
  </si>
  <si>
    <t>MURRAY STERNER</t>
  </si>
  <si>
    <t>ROBERT BENTLEY</t>
  </si>
  <si>
    <t>TIMOTHY HATMAKER</t>
  </si>
  <si>
    <t>MARY GIOVINCO</t>
  </si>
  <si>
    <t>EFRAIN GARCIA</t>
  </si>
  <si>
    <t>Humana MAPD Street payable to upline - 2024 New</t>
  </si>
  <si>
    <t>TATYANA FISHMAN</t>
  </si>
  <si>
    <t>TONY PAYNE</t>
  </si>
  <si>
    <t>MARIAN PAYNE</t>
  </si>
  <si>
    <t>THERESA CIMARUSTI</t>
  </si>
  <si>
    <t>Humana MAPD Street payable to upline- 2024 Pro New</t>
  </si>
  <si>
    <t>DEBORAH BRODER</t>
  </si>
  <si>
    <t>MARTIN KELLEY</t>
  </si>
  <si>
    <t>MARIAREDEMCION DE GALA</t>
  </si>
  <si>
    <t>RICARDO SANTOS</t>
  </si>
  <si>
    <t>KATHLEEN OCONNOR</t>
  </si>
  <si>
    <t>TODD COHEN</t>
  </si>
  <si>
    <t>SCOTT WAXMAN</t>
  </si>
  <si>
    <t>LAURA MELVIN</t>
  </si>
  <si>
    <t>DAVID LEWAKOWSKI</t>
  </si>
  <si>
    <t>MARY BOETTCHER</t>
  </si>
  <si>
    <t>CHESTER ANTCZAK</t>
  </si>
  <si>
    <t>WILLIAM NAIDENOVICH</t>
  </si>
  <si>
    <t>FRANK SCARDINA</t>
  </si>
  <si>
    <t>Humana MA 2019+ Level 15- 150/84</t>
  </si>
  <si>
    <t>MITCH WISE</t>
  </si>
  <si>
    <t>RICHARD COSARO</t>
  </si>
  <si>
    <t>CHRISTINE KALIS</t>
  </si>
  <si>
    <t>PATRICIA MCGRAIL</t>
  </si>
  <si>
    <t>TERRY BRYAN</t>
  </si>
  <si>
    <t>PERIKLI HAXHI</t>
  </si>
  <si>
    <t>KRISTY DOLPH</t>
  </si>
  <si>
    <t>GIL VALENZUELA</t>
  </si>
  <si>
    <t>EDITA VALENZUELA</t>
  </si>
  <si>
    <t>PATRICK JOCHUM</t>
  </si>
  <si>
    <t>ALEXANDER RANCE</t>
  </si>
  <si>
    <t>TERRANCE HALLMAN</t>
  </si>
  <si>
    <t>DONNA CHILDS</t>
  </si>
  <si>
    <t>EDWARD RYAN</t>
  </si>
  <si>
    <t>TERESA DRAGONETTI</t>
  </si>
  <si>
    <t>RAYMOND HOCK</t>
  </si>
  <si>
    <t>PAUL ARNOLD</t>
  </si>
  <si>
    <t>MARGARET BASHLINE</t>
  </si>
  <si>
    <t>BRIAN CHINDERLE</t>
  </si>
  <si>
    <t>BRENDA REIMANN</t>
  </si>
  <si>
    <t>JUAN REYNA</t>
  </si>
  <si>
    <t>SANDRA SCHEIDENHELM</t>
  </si>
  <si>
    <t>KENNETH WONG</t>
  </si>
  <si>
    <t>GAY BAKKER</t>
  </si>
  <si>
    <t>KEITH DONOVAN</t>
  </si>
  <si>
    <t>TRACEY BROWN</t>
  </si>
  <si>
    <t>STEVE ZAFIRIADIS</t>
  </si>
  <si>
    <t>C CHADDERDON GAITSCH</t>
  </si>
  <si>
    <t>TERRY ROSS</t>
  </si>
  <si>
    <t>MARK VANDERPLUYM</t>
  </si>
  <si>
    <t>JEANA LASSITER</t>
  </si>
  <si>
    <t>LESLIE IANNACE</t>
  </si>
  <si>
    <t>JEFFREY PATRICK</t>
  </si>
  <si>
    <t>ALEX YAKULIS</t>
  </si>
  <si>
    <t>DEBBY SHEDD</t>
  </si>
  <si>
    <t>THOMAS BRISCOE</t>
  </si>
  <si>
    <t>MARY GERAGHTY</t>
  </si>
  <si>
    <t>JAMES HILBURN</t>
  </si>
  <si>
    <t>SALLY FISHER-PLANIC</t>
  </si>
  <si>
    <t>FARZANA AKRAM</t>
  </si>
  <si>
    <t>RUMPIN BUNYAVONG</t>
  </si>
  <si>
    <t>SUZI FRIESE</t>
  </si>
  <si>
    <t>MIKE FOLLANSBEE</t>
  </si>
  <si>
    <t>SHAZIA SHAHRUKH</t>
  </si>
  <si>
    <t>MAURICE ENWIA</t>
  </si>
  <si>
    <t>LORI RODGERS</t>
  </si>
  <si>
    <t>MARCELINO CENTENO</t>
  </si>
  <si>
    <t>SHIRLEY SHELTON</t>
  </si>
  <si>
    <t>MARGARET GARRITY</t>
  </si>
  <si>
    <t>ELLEN SHAKER</t>
  </si>
  <si>
    <t>SUSAN MADETE</t>
  </si>
  <si>
    <t>PATRICK OTTO</t>
  </si>
  <si>
    <t>LISA CAVITT</t>
  </si>
  <si>
    <t>JOHN SMITH</t>
  </si>
  <si>
    <t>CARRIE STEPHENS</t>
  </si>
  <si>
    <t>JR REIF</t>
  </si>
  <si>
    <t>HENRY ASEGA</t>
  </si>
  <si>
    <t>JOSEPH MANNERINO</t>
  </si>
  <si>
    <t>SHERYL MANNERINO</t>
  </si>
  <si>
    <t>DALE KLUGA</t>
  </si>
  <si>
    <t>DOREEN PUDLOWSKI</t>
  </si>
  <si>
    <t>DRAGISA PAVLOVIC</t>
  </si>
  <si>
    <t>RICKY ORLANDO</t>
  </si>
  <si>
    <t>ANNETTE BOWLING</t>
  </si>
  <si>
    <t>MARY PAUL</t>
  </si>
  <si>
    <t>JOHN MCGARY</t>
  </si>
  <si>
    <t>SAM PHOMSOPHA</t>
  </si>
  <si>
    <t>PHOUTHONE PHOMSOPHA</t>
  </si>
  <si>
    <t>CHRISTY CHUBICK</t>
  </si>
  <si>
    <t>ROBIN DIEDERICH</t>
  </si>
  <si>
    <t>TERRI EATON</t>
  </si>
  <si>
    <t>EUGENE JACKSON</t>
  </si>
  <si>
    <t>THEROLD RATHGEB</t>
  </si>
  <si>
    <t>DEBORAH BARCLAY</t>
  </si>
  <si>
    <t>KATHY VANHORN</t>
  </si>
  <si>
    <t>NICOMEDES SILVA</t>
  </si>
  <si>
    <t>DONNA DRUCKER</t>
  </si>
  <si>
    <t>ADELAIDA SILVA</t>
  </si>
  <si>
    <t>MALGORZATA GONET</t>
  </si>
  <si>
    <t>AUDREY RIDLEN</t>
  </si>
  <si>
    <t>DONARIA CARVALHO</t>
  </si>
  <si>
    <t>MARILYN SCHUMM</t>
  </si>
  <si>
    <t>ANTHONY LEONE</t>
  </si>
  <si>
    <t>LINDA HOEKS</t>
  </si>
  <si>
    <t>MARY LUPOU</t>
  </si>
  <si>
    <t>LORRAINE HACKMAN</t>
  </si>
  <si>
    <t>JUAN WILSON</t>
  </si>
  <si>
    <t>PAUL BORASH</t>
  </si>
  <si>
    <t>ANTONIO SANCHEZ</t>
  </si>
  <si>
    <t>JAMES HARBACEK</t>
  </si>
  <si>
    <t>DOLORES DUNCAN</t>
  </si>
  <si>
    <t>JAMES BECKWITH</t>
  </si>
  <si>
    <t>RALPH RICHMOND</t>
  </si>
  <si>
    <t>IULIANA ACHIMAS</t>
  </si>
  <si>
    <t>HU NEG Bonus Upload 01-15-2026.xlsx</t>
  </si>
  <si>
    <t>PAWEL DUSZCZYK</t>
  </si>
  <si>
    <t>DANNY VORIS</t>
  </si>
  <si>
    <t>Anthem HFG Med Supp DEC 2025 Comm Stmt</t>
  </si>
  <si>
    <t>RACHEL WILLIAMS</t>
  </si>
  <si>
    <t>Per DEC 2025 UHC LOA Stmt</t>
  </si>
  <si>
    <t>LAUREN KNOBBS</t>
  </si>
  <si>
    <t>FRANK WUCHEVICH</t>
  </si>
  <si>
    <t>Aetna MAPD NMO to GMO - 4-1-23+  New E-App</t>
  </si>
  <si>
    <t>Per Aetna LOA DEC 2025 Statement</t>
  </si>
  <si>
    <t>DENNIS BELL</t>
  </si>
  <si>
    <t>THERESA MANGUS</t>
  </si>
  <si>
    <t>CAROLYN HERVEY</t>
  </si>
  <si>
    <t>DORIS MCCONNELL</t>
  </si>
  <si>
    <t>BETSY HARVEY</t>
  </si>
  <si>
    <t>SUZANNE STEIGERWALD</t>
  </si>
  <si>
    <t>RICHARD CLOUSE</t>
  </si>
  <si>
    <t>CARL BRACKEN</t>
  </si>
  <si>
    <t>JOSEPH HOFFMAN</t>
  </si>
  <si>
    <t>MARIAN PARENTE</t>
  </si>
  <si>
    <t>RUTH CLAYPOOLE</t>
  </si>
  <si>
    <t>GRACE BRACKEN</t>
  </si>
  <si>
    <t>RUSSELL HEARN</t>
  </si>
  <si>
    <t>VICTORIA HOFFMAN</t>
  </si>
  <si>
    <t>STEPHEN GREEN</t>
  </si>
  <si>
    <t>D SULLENBERGER</t>
  </si>
  <si>
    <t>DAVID SNYDER</t>
  </si>
  <si>
    <t>RICHARD BAPTISTE</t>
  </si>
  <si>
    <t>KAREN HILLIARD</t>
  </si>
  <si>
    <t>MARSHALL MCELRAVY</t>
  </si>
  <si>
    <t>DONNA WILLIAMS</t>
  </si>
  <si>
    <t>JUDITH PEAVORNICK</t>
  </si>
  <si>
    <t>RICHARD MANGUS</t>
  </si>
  <si>
    <t>JOSEPH KOLODZIEJCZYK</t>
  </si>
  <si>
    <t>JOAN TOMSEY</t>
  </si>
  <si>
    <t>LORETO LOBUE</t>
  </si>
  <si>
    <t>WILLIAM HOCHBEIN</t>
  </si>
  <si>
    <t>DOUGLAS HERVEY</t>
  </si>
  <si>
    <t>KATHLEEN TENNYSON</t>
  </si>
  <si>
    <t>DARLENE SNYDER</t>
  </si>
  <si>
    <t>JOYCE GIESLER</t>
  </si>
  <si>
    <t>HEMA WOODWARD</t>
  </si>
  <si>
    <t>GEORGE PATRICK</t>
  </si>
  <si>
    <t>GLEN RIZZO</t>
  </si>
  <si>
    <t>STAN POPINSKI</t>
  </si>
  <si>
    <t>CLIFFORD ANDERSON</t>
  </si>
  <si>
    <t>ROSEMARIE LOKER</t>
  </si>
  <si>
    <t>KAREN RUSSELL</t>
  </si>
  <si>
    <t>BEVERLY SASSE</t>
  </si>
  <si>
    <t>RUBY FERRERE</t>
  </si>
  <si>
    <t>MARK BRANTHOOVER</t>
  </si>
  <si>
    <t>RICHARD PISOR</t>
  </si>
  <si>
    <t>ABRAHAM SANO</t>
  </si>
  <si>
    <t>RETA ZEIGLER</t>
  </si>
  <si>
    <t>JEFFREY ALLAN</t>
  </si>
  <si>
    <t>SANDRA CRIDER</t>
  </si>
  <si>
    <t>TERRY ALBECK</t>
  </si>
  <si>
    <t>DENNIS SCHELETSKY</t>
  </si>
  <si>
    <t>WILLIAM RUSSELL</t>
  </si>
  <si>
    <t>BEVERLY JONES</t>
  </si>
  <si>
    <t>BARBARA CRANE</t>
  </si>
  <si>
    <t>JEFFREY CRANE</t>
  </si>
  <si>
    <t>JAMES MILCIC</t>
  </si>
  <si>
    <t>ROBERT MILLER</t>
  </si>
  <si>
    <t>JOHN BLAZOSKY</t>
  </si>
  <si>
    <t>WILLIAM MCDONOUGH</t>
  </si>
  <si>
    <t>PAUL EDGERTON</t>
  </si>
  <si>
    <t>NORMAN GRAHAM</t>
  </si>
  <si>
    <t>STELLA GRAHAM</t>
  </si>
  <si>
    <t>LINDA EDGERTON</t>
  </si>
  <si>
    <t>MARGIE ROME</t>
  </si>
  <si>
    <t>DEBBIE SELFRIDGE</t>
  </si>
  <si>
    <t>DENNIS NOLLINGER</t>
  </si>
  <si>
    <t>SHARON MIHALEK</t>
  </si>
  <si>
    <t>GARY SPAULDING</t>
  </si>
  <si>
    <t>SHIRLEY SPAULDING</t>
  </si>
  <si>
    <t>ROBERT NICHOLS</t>
  </si>
  <si>
    <t>CLAUDIA CONTE</t>
  </si>
  <si>
    <t>MARILOU RUSIANA</t>
  </si>
  <si>
    <t>RICHARD LIEBERT</t>
  </si>
  <si>
    <t>JAMES HOLLOBAUGH</t>
  </si>
  <si>
    <t>RICHARD COMBEN</t>
  </si>
  <si>
    <t>JANET WIKERT</t>
  </si>
  <si>
    <t>Aetna MAPD NMO to GMO - 4-1-23+  Replace E-App</t>
  </si>
  <si>
    <t>JOHN THORPE</t>
  </si>
  <si>
    <t>ELIZABE LIEBERT</t>
  </si>
  <si>
    <t>NANCY WONG</t>
  </si>
  <si>
    <t>DAVID HARFORD</t>
  </si>
  <si>
    <t>GUENTER SEIDEL</t>
  </si>
  <si>
    <t>EVELYN GRIFFITHS</t>
  </si>
  <si>
    <t>DEAN REED</t>
  </si>
  <si>
    <t>GORDON SINCLAIR</t>
  </si>
  <si>
    <t>MARJORY HARFORD</t>
  </si>
  <si>
    <t>ROBERT HNAT</t>
  </si>
  <si>
    <t>SANDRA POPINSKI</t>
  </si>
  <si>
    <t>GARY SCHMIEDECKE</t>
  </si>
  <si>
    <t>FRANK BUCK</t>
  </si>
  <si>
    <t>DEBRA BARRALL</t>
  </si>
  <si>
    <t>TIMOTHY CRIDER</t>
  </si>
  <si>
    <t>JOANNE DALUISIO</t>
  </si>
  <si>
    <t>EARL CLARK</t>
  </si>
  <si>
    <t>KATHLEEN THORNTON</t>
  </si>
  <si>
    <t>EDDIE JEWART</t>
  </si>
  <si>
    <t>REBA BECKER</t>
  </si>
  <si>
    <t>SHARON OESTERLING</t>
  </si>
  <si>
    <t>JOANNE BAPTISTE</t>
  </si>
  <si>
    <t>DARLENE STRAMA</t>
  </si>
  <si>
    <t>LON OESTERLING</t>
  </si>
  <si>
    <t>ALLAN ZWIRN</t>
  </si>
  <si>
    <t>JOAN PARK</t>
  </si>
  <si>
    <t>EARL BALENTINE</t>
  </si>
  <si>
    <t>ROBERT PARK</t>
  </si>
  <si>
    <t>RONALD GUINEY</t>
  </si>
  <si>
    <t>CHERYL TOOMEY</t>
  </si>
  <si>
    <t>THOMAS PERRY</t>
  </si>
  <si>
    <t>CHERYL TURNER</t>
  </si>
  <si>
    <t>GAYLE MARETTI</t>
  </si>
  <si>
    <t>THOMAS MCMULLEN</t>
  </si>
  <si>
    <t>MICHALENE MCMULLEN</t>
  </si>
  <si>
    <t>DAVID MOSER</t>
  </si>
  <si>
    <t>KENNETH CLAYPOOLE</t>
  </si>
  <si>
    <t>TERESA CALAMUSA</t>
  </si>
  <si>
    <t>JOSEPH CALAMUSA</t>
  </si>
  <si>
    <t>DANIEL VEITH</t>
  </si>
  <si>
    <t>CHRISTY ROBERT</t>
  </si>
  <si>
    <t>GENEVIEVE MCDONOUGH</t>
  </si>
  <si>
    <t>JAMES NORTON</t>
  </si>
  <si>
    <t>GEORGE CRAVEN</t>
  </si>
  <si>
    <t>STACEY GORSKI</t>
  </si>
  <si>
    <t>HELEN FERGUSON</t>
  </si>
  <si>
    <t>GLENDA COUGHENOUR</t>
  </si>
  <si>
    <t>RICHARD COUGHENOUR</t>
  </si>
  <si>
    <t>RAYMOND MURTHA</t>
  </si>
  <si>
    <t>GEORGE SHAFFER</t>
  </si>
  <si>
    <t>RONALD MOORE</t>
  </si>
  <si>
    <t>RENE CARNEVALI</t>
  </si>
  <si>
    <t>JOHN MORRISON</t>
  </si>
  <si>
    <t>HOBART KENTON</t>
  </si>
  <si>
    <t>EUNICE KENTON</t>
  </si>
  <si>
    <t>DARCEE BOWSER</t>
  </si>
  <si>
    <t>RONALD PARKER</t>
  </si>
  <si>
    <t>KATHLEEN UFNER</t>
  </si>
  <si>
    <t>LINDA EURY</t>
  </si>
  <si>
    <t>MICHAEL FERDINANDSEN</t>
  </si>
  <si>
    <t>MARY FERDINANDSEN</t>
  </si>
  <si>
    <t>KAREN MCANDREWS</t>
  </si>
  <si>
    <t>ROBIN GALL</t>
  </si>
  <si>
    <t>JAMES FAGAN</t>
  </si>
  <si>
    <t>NEIL STEWART</t>
  </si>
  <si>
    <t>LINDA ARMSTRONG</t>
  </si>
  <si>
    <t>ANNA PAPA</t>
  </si>
  <si>
    <t>DAVENA HOPSON</t>
  </si>
  <si>
    <t>GERALD BRNA</t>
  </si>
  <si>
    <t>SUSAN MASON</t>
  </si>
  <si>
    <t>DONALD MCCLOSKEY</t>
  </si>
  <si>
    <t>TERRI MARBURGER</t>
  </si>
  <si>
    <t>KENNETH TROUP</t>
  </si>
  <si>
    <t>SUSAN CUPPS</t>
  </si>
  <si>
    <t>JOLINDA DOUTHETT</t>
  </si>
  <si>
    <t>PAMELA JEWART</t>
  </si>
  <si>
    <t>GREGORY FERDINANDSEN</t>
  </si>
  <si>
    <t>TERRY NEY</t>
  </si>
  <si>
    <t>LLOYD LAKE</t>
  </si>
  <si>
    <t>PEGGY ROCCO</t>
  </si>
  <si>
    <t>THOMAS BORCZ</t>
  </si>
  <si>
    <t>KIMBERLY SIDLEY</t>
  </si>
  <si>
    <t>TIMOTHY FLANIGAN</t>
  </si>
  <si>
    <t>ROGER WOLFE</t>
  </si>
  <si>
    <t>PAMELA DORCY</t>
  </si>
  <si>
    <t>CORNELIUS DORCY</t>
  </si>
  <si>
    <t>DEBORAH PEGHER</t>
  </si>
  <si>
    <t>GREGORY RUTKOSKI</t>
  </si>
  <si>
    <t>JEFFREY EDWARDS</t>
  </si>
  <si>
    <t>LINDA CARSON</t>
  </si>
  <si>
    <t>EARL CHRISTY</t>
  </si>
  <si>
    <t>VICKI HEFFERAN</t>
  </si>
  <si>
    <t>CHARLES CRAIG</t>
  </si>
  <si>
    <t>EUGENE EVANS</t>
  </si>
  <si>
    <t>ANDREW SCHRIM</t>
  </si>
  <si>
    <t>HANNAH SCHRIM</t>
  </si>
  <si>
    <t>ROBERT BROWN</t>
  </si>
  <si>
    <t>ROBERTA YOUNG</t>
  </si>
  <si>
    <t>GARY YOUNG</t>
  </si>
  <si>
    <t>DEBRA MCCUNE</t>
  </si>
  <si>
    <t>LISA MAJESKY</t>
  </si>
  <si>
    <t>SUSAN RUSSO</t>
  </si>
  <si>
    <t>SHIRLEY ERWIN</t>
  </si>
  <si>
    <t>GERALD CUPPS</t>
  </si>
  <si>
    <t>ANNA DICKSON</t>
  </si>
  <si>
    <t>PATRICIA CHAFFIN</t>
  </si>
  <si>
    <t>JOY ROBBINS</t>
  </si>
  <si>
    <t>JANICE DEMARTINI</t>
  </si>
  <si>
    <t>RONALD THOMPSON</t>
  </si>
  <si>
    <t>HOWARD KAMERER</t>
  </si>
  <si>
    <t>JUDITH SPORKA</t>
  </si>
  <si>
    <t>STEVEN NAPOLETAN</t>
  </si>
  <si>
    <t>CHARLES JORDAN</t>
  </si>
  <si>
    <t>KAREN KROPF</t>
  </si>
  <si>
    <t>JANET PARKER</t>
  </si>
  <si>
    <t>BRUCE PETTIT</t>
  </si>
  <si>
    <t>CAROL PETTIT</t>
  </si>
  <si>
    <t>SUZANNE WARHEIT</t>
  </si>
  <si>
    <t>STACY NEMETH</t>
  </si>
  <si>
    <t>DANIEL MAGILL</t>
  </si>
  <si>
    <t>WILLIAM MAURICE</t>
  </si>
  <si>
    <t>EDWARD FANTUZZO</t>
  </si>
  <si>
    <t>KIMBERLY COBLENTZ</t>
  </si>
  <si>
    <t>SANDRA MONTGOMERY</t>
  </si>
  <si>
    <t>THOMAS MCCOMMON</t>
  </si>
  <si>
    <t>RICHARD HOLSTINE</t>
  </si>
  <si>
    <t>JANINE POLKY</t>
  </si>
  <si>
    <t>MICHAEL MONTGOMERY</t>
  </si>
  <si>
    <t>ALAN BEBLO</t>
  </si>
  <si>
    <t>SUZEE BEBLO</t>
  </si>
  <si>
    <t>LISA RITCHIE</t>
  </si>
  <si>
    <t>MICHAEL OWENS</t>
  </si>
  <si>
    <t>THOMAS RITCHIE</t>
  </si>
  <si>
    <t>NICHOLAS BURKA</t>
  </si>
  <si>
    <t>PAUL HICKOK</t>
  </si>
  <si>
    <t>DAVID PARSONS</t>
  </si>
  <si>
    <t>PATRICIA RUTKOSKI</t>
  </si>
  <si>
    <t>JANICE GAWLIK</t>
  </si>
  <si>
    <t>DONALD OLMSTEAD</t>
  </si>
  <si>
    <t>TIMOTHY PHIPPS</t>
  </si>
  <si>
    <t>ROBERT EMIGH</t>
  </si>
  <si>
    <t>NAOMI WAGNER</t>
  </si>
  <si>
    <t>WILLIAM HARTSHORN</t>
  </si>
  <si>
    <t>PATRICIA WILLIAMS</t>
  </si>
  <si>
    <t>JAMES YURISIC</t>
  </si>
  <si>
    <t>VIDIC CATHLEEN</t>
  </si>
  <si>
    <t>THOMAS BISHOP</t>
  </si>
  <si>
    <t>MARGARET BEERS</t>
  </si>
  <si>
    <t>MARY GORDON</t>
  </si>
  <si>
    <t>KEVIN GALLAGHER</t>
  </si>
  <si>
    <t>THOMAS CLAY</t>
  </si>
  <si>
    <t>CHRISTINE MACGREGOR</t>
  </si>
  <si>
    <t>JONATHAN BENETAS</t>
  </si>
  <si>
    <t>JAMES DUDEK</t>
  </si>
  <si>
    <t>MARK CIESIELSKI</t>
  </si>
  <si>
    <t>PAULA SOLEY</t>
  </si>
  <si>
    <t>NANCY MCKEE</t>
  </si>
  <si>
    <t>LORI RANDALL</t>
  </si>
  <si>
    <t>VIDALES VILLA</t>
  </si>
  <si>
    <t>PATRICIA BYRD</t>
  </si>
  <si>
    <t>JAMES FILITTO</t>
  </si>
  <si>
    <t>RONALD DUESENBERRY</t>
  </si>
  <si>
    <t>MARIAN YUROSKY</t>
  </si>
  <si>
    <t>JULIA ROSS</t>
  </si>
  <si>
    <t>JACK PARROTT</t>
  </si>
  <si>
    <t>MILLIE PARROTT</t>
  </si>
  <si>
    <t>DAVID BOLFING</t>
  </si>
  <si>
    <t>LESLIE PARK</t>
  </si>
  <si>
    <t>ROBERT BOYLE</t>
  </si>
  <si>
    <t>JAMES MILLER</t>
  </si>
  <si>
    <t>CATHY WURMB</t>
  </si>
  <si>
    <t>WALLACE ANDERSON</t>
  </si>
  <si>
    <t>TIMOTHY GORDON</t>
  </si>
  <si>
    <t>JOHN BRENCHAK</t>
  </si>
  <si>
    <t>BEEBEE KHODABUKUS</t>
  </si>
  <si>
    <t>ANNE MARIE KOZACHECK</t>
  </si>
  <si>
    <t>LAURIE HURWITZ WHITE</t>
  </si>
  <si>
    <t>NANCY WILSON</t>
  </si>
  <si>
    <t>JOHN HAYS</t>
  </si>
  <si>
    <t>ELIZABETH SYCHAK</t>
  </si>
  <si>
    <t>AMY GIAMMATTEI</t>
  </si>
  <si>
    <t>LORI NELSON</t>
  </si>
  <si>
    <t>JAMES MCDONOUGH</t>
  </si>
  <si>
    <t>BRUCE SHAFFER</t>
  </si>
  <si>
    <t>ANTHONY ROMEO</t>
  </si>
  <si>
    <t>DANIEL ROTHRAUFF</t>
  </si>
  <si>
    <t>TERESA YAROSCHAK</t>
  </si>
  <si>
    <t>NANCY JOHNSON</t>
  </si>
  <si>
    <t>KAREN KUSH</t>
  </si>
  <si>
    <t>RUTH MICHLER</t>
  </si>
  <si>
    <t>CYNDIE SIMMONS</t>
  </si>
  <si>
    <t>RENEE RITCHEY</t>
  </si>
  <si>
    <t>SUSAN LARGEN</t>
  </si>
  <si>
    <t>NE</t>
  </si>
  <si>
    <t>KIRBY PASCUS</t>
  </si>
  <si>
    <t>BARBARA STOICA</t>
  </si>
  <si>
    <t>MARY RUCH</t>
  </si>
  <si>
    <t>WILLIAM BROWN</t>
  </si>
  <si>
    <t>RAYLENE MILLER</t>
  </si>
  <si>
    <t>BILLY FONG</t>
  </si>
  <si>
    <t>PAULA ANGELINI</t>
  </si>
  <si>
    <t>GUADALUPE FONG</t>
  </si>
  <si>
    <t>DAVID WOITASZEK</t>
  </si>
  <si>
    <t>ELIZABETH RICHTER</t>
  </si>
  <si>
    <t>GORDON PANEI</t>
  </si>
  <si>
    <t>SHARON LINK</t>
  </si>
  <si>
    <t>BRUCE WICKLINE</t>
  </si>
  <si>
    <t>KAREN HADAWAY</t>
  </si>
  <si>
    <t>PHILIP ANGELINI</t>
  </si>
  <si>
    <t>ROY KIMBROUGH</t>
  </si>
  <si>
    <t>AL</t>
  </si>
  <si>
    <t>LINDA MIHALKA</t>
  </si>
  <si>
    <t>DEBRA PROTZMAN</t>
  </si>
  <si>
    <t>NORINE LISCHY</t>
  </si>
  <si>
    <t>Aetna MAPD NMO to GMO - 4-1-23+  New Paper</t>
  </si>
  <si>
    <t>LOIS STEPHENS</t>
  </si>
  <si>
    <t>CYNTHIA FEESER</t>
  </si>
  <si>
    <t>KATHLEEN PLOCHARSKI</t>
  </si>
  <si>
    <t>ANITA ADAMS</t>
  </si>
  <si>
    <t>LORI FITZ</t>
  </si>
  <si>
    <t>SUSAN BETTENHAUSEN</t>
  </si>
  <si>
    <t>PETER PRIBILA</t>
  </si>
  <si>
    <t>KENNETH GRUDOWSKI</t>
  </si>
  <si>
    <t>DONNA ROUSSARIE</t>
  </si>
  <si>
    <t>CHIANITA HARRELL</t>
  </si>
  <si>
    <t>KENNY ASHLOCK</t>
  </si>
  <si>
    <t>LUANN MARZULLO</t>
  </si>
  <si>
    <t>ADOLFO GALARZA</t>
  </si>
  <si>
    <t>THERESA CARDIN</t>
  </si>
  <si>
    <t>FELIX SCIULLO</t>
  </si>
  <si>
    <t>REBECCA MANKO</t>
  </si>
  <si>
    <t>SONYA BOOKER</t>
  </si>
  <si>
    <t>SHARYN MCGALLIS</t>
  </si>
  <si>
    <t>RICHARD MARSHALL</t>
  </si>
  <si>
    <t>JAMES BLESSINGTON</t>
  </si>
  <si>
    <t>THOMAS SELLERS</t>
  </si>
  <si>
    <t>KATHLEEN MORAN</t>
  </si>
  <si>
    <t>WILLIAM DOBLER</t>
  </si>
  <si>
    <t>ROXANN ROBINSON</t>
  </si>
  <si>
    <t>SD</t>
  </si>
  <si>
    <t>TRACEY BROCKMAN</t>
  </si>
  <si>
    <t>JAMES MCATEE</t>
  </si>
  <si>
    <t>CHRISTOPHER PICCOLI</t>
  </si>
  <si>
    <t>BARRY RHOADES</t>
  </si>
  <si>
    <t>GA</t>
  </si>
  <si>
    <t>MARILYN DAVIDSON</t>
  </si>
  <si>
    <t>WILLIAM SAMKO</t>
  </si>
  <si>
    <t>SHARON SAMKO</t>
  </si>
  <si>
    <t>PAUL MYRICK</t>
  </si>
  <si>
    <t>LORI BRYNICZKA</t>
  </si>
  <si>
    <t>JEFFREY KRAUSE</t>
  </si>
  <si>
    <t>KEITH MACPHAIL</t>
  </si>
  <si>
    <t>PATRICIA KRAUSE</t>
  </si>
  <si>
    <t>ANN GORDON</t>
  </si>
  <si>
    <t>MICHAEL BIESCHKE</t>
  </si>
  <si>
    <t>PAULA ROPPO</t>
  </si>
  <si>
    <t>DOUGLAS LEIN</t>
  </si>
  <si>
    <t>PETER MALONE</t>
  </si>
  <si>
    <t>DIANA BORJON</t>
  </si>
  <si>
    <t>DOLORES BOLDEN</t>
  </si>
  <si>
    <t>MARY HEARN</t>
  </si>
  <si>
    <t>JESUS GUILLEN</t>
  </si>
  <si>
    <t>JOHN ROBERT OSTERKAMP</t>
  </si>
  <si>
    <t>ELIZABETH BRIDGES</t>
  </si>
  <si>
    <t>PAUL WITTMER</t>
  </si>
  <si>
    <t>RACHEL RIEDLER</t>
  </si>
  <si>
    <t>DEBORAH MIHALKO</t>
  </si>
  <si>
    <t>MARK WACHOWICZ</t>
  </si>
  <si>
    <t>THOMAS WELCH</t>
  </si>
  <si>
    <t>DEBORAH CHILENSKY</t>
  </si>
  <si>
    <t>MARK KESSLER</t>
  </si>
  <si>
    <t>MICHAEL BULL</t>
  </si>
  <si>
    <t>KS</t>
  </si>
  <si>
    <t>CYNTHIA KING</t>
  </si>
  <si>
    <t>BRIAN PISOR</t>
  </si>
  <si>
    <t>HEWLETT BROWN</t>
  </si>
  <si>
    <t>SCOTT WALLACH</t>
  </si>
  <si>
    <t>MARTHA BEARDMORE</t>
  </si>
  <si>
    <t>RAYMOND WHALEN</t>
  </si>
  <si>
    <t>MARIBEL JIMENEZ</t>
  </si>
  <si>
    <t>COLLEEN KUHNS</t>
  </si>
  <si>
    <t>THERESA PRINZ</t>
  </si>
  <si>
    <t>JOHN PRINZ</t>
  </si>
  <si>
    <t>CHARLES WOLNI</t>
  </si>
  <si>
    <t>VICTORIA PRIGG</t>
  </si>
  <si>
    <t>PEGGY OBRIEN</t>
  </si>
  <si>
    <t>JIM MCDONALD</t>
  </si>
  <si>
    <t>SANDRA FODSE</t>
  </si>
  <si>
    <t>JEFFREY RAGAZZINI</t>
  </si>
  <si>
    <t>NAOMI SHERIDAN SALMAN</t>
  </si>
  <si>
    <t>RUSSELL WILLIFORD</t>
  </si>
  <si>
    <t>WILFRED FAHRNEY</t>
  </si>
  <si>
    <t>MARGARET JEDRZEJCZAK</t>
  </si>
  <si>
    <t>POLLY NEISER</t>
  </si>
  <si>
    <t>JUDITH RIDDLEBERGER</t>
  </si>
  <si>
    <t>ADAM RICHTER</t>
  </si>
  <si>
    <t>KILEY ORTIZ</t>
  </si>
  <si>
    <t>STEVEN HOMISON</t>
  </si>
  <si>
    <t>LINDA SZYJKO</t>
  </si>
  <si>
    <t>ELENI VETTAS</t>
  </si>
  <si>
    <t>TERESE PINTA</t>
  </si>
  <si>
    <t>LAURALEE BEERMAN</t>
  </si>
  <si>
    <t>SCOTT DOLGE</t>
  </si>
  <si>
    <t>JAMES RAUSCH</t>
  </si>
  <si>
    <t>GLORIA MARSHALL</t>
  </si>
  <si>
    <t>JOHN VLAHOS</t>
  </si>
  <si>
    <t>RONALD MESHENBERG</t>
  </si>
  <si>
    <t>VICKI SKINNER</t>
  </si>
  <si>
    <t>BARBARA ZEJER</t>
  </si>
  <si>
    <t>ELISE CLANCY</t>
  </si>
  <si>
    <t>JAMES CROUT</t>
  </si>
  <si>
    <t>MARY WEATHERSTONE</t>
  </si>
  <si>
    <t>FREDERICK SICILIANO</t>
  </si>
  <si>
    <t>ALISON SPARKS</t>
  </si>
  <si>
    <t>EDWARD SCHAEFER</t>
  </si>
  <si>
    <t>TIM PRICE</t>
  </si>
  <si>
    <t>KATHERINE MAY</t>
  </si>
  <si>
    <t>PATRICIA SCHAEFER</t>
  </si>
  <si>
    <t>LIZA LACOSTA</t>
  </si>
  <si>
    <t>JOHN GALIOTO</t>
  </si>
  <si>
    <t>Aetna MA NEG Bonus Upload 01-15-2026.xlsx</t>
  </si>
  <si>
    <t>LENDAYSHA TAYLOR</t>
  </si>
  <si>
    <t>CATHY LEMON</t>
  </si>
  <si>
    <t>UHC MAPD Street payable to upline - 2024 New</t>
  </si>
  <si>
    <t>UHC MA Direct 2024 New Full</t>
  </si>
  <si>
    <t>KEITH MOORE</t>
  </si>
  <si>
    <t>UHC MAPD Street payable to upline- 2024 Pro New</t>
  </si>
  <si>
    <t>UHC MA Direct 2024 New Prorated</t>
  </si>
  <si>
    <t>THOMAS PROFFITT</t>
  </si>
  <si>
    <t>SANDRA WHITT</t>
  </si>
  <si>
    <t>Anthem MA 2025</t>
  </si>
  <si>
    <t>Per Anthem_Elevance HFG RN DEC stmt</t>
  </si>
  <si>
    <t>STEPHEN PERRENOUD</t>
  </si>
  <si>
    <t>WILLIAM EKLOF</t>
  </si>
  <si>
    <t>DYWANNA CALLOWAY</t>
  </si>
  <si>
    <t>Anthem MA 2023</t>
  </si>
  <si>
    <t>MICHAEL SOLL</t>
  </si>
  <si>
    <t>EDWARDO ESTRADA</t>
  </si>
  <si>
    <t>Wellcare MA 2025 SGA</t>
  </si>
  <si>
    <t>Per WC HFG DEC 2025 MA Stmt</t>
  </si>
  <si>
    <t>KRISTIE BERGER</t>
  </si>
  <si>
    <t>SANDRA LYTLE</t>
  </si>
  <si>
    <t>UHC MAPD Street payable to upline PA/CT- 2024 New</t>
  </si>
  <si>
    <t>JANICE PLAISTED</t>
  </si>
  <si>
    <t>UHC MA Direct 2024 New Initial Prorated</t>
  </si>
  <si>
    <t>Per DEC 2025 UHC MA Stmt</t>
  </si>
  <si>
    <t>SHIRLEY ANDERSON</t>
  </si>
  <si>
    <t>RONALD PLAISTED</t>
  </si>
  <si>
    <t>DAVID BOWLING</t>
  </si>
  <si>
    <t>MELINDA VLAHON</t>
  </si>
  <si>
    <t>DIANA BOLTON</t>
  </si>
  <si>
    <t>GERALD BOND</t>
  </si>
  <si>
    <t>CONSTANCE OBRIEN</t>
  </si>
  <si>
    <t>JAMES MAZANEK</t>
  </si>
  <si>
    <t>UHC MAPD Street payable to upline- 2024 Replace</t>
  </si>
  <si>
    <t>DARLENE BRANDENBURG</t>
  </si>
  <si>
    <t>BEVERLY SHUMAKER</t>
  </si>
  <si>
    <t>UHC AARP Med Supp TN Plan F &amp; G</t>
  </si>
  <si>
    <t>Per DEC 2025 UHC AARP Stmt</t>
  </si>
  <si>
    <t>ERICA ROBINSON</t>
  </si>
  <si>
    <t>UHC AARP Med Supp 2025+ NJ Plan N Internal Repl</t>
  </si>
  <si>
    <t>KATHY SHELDON</t>
  </si>
  <si>
    <t>UHC AARP Med Supp PA Area 3 2024- Plan  BC F G internal repl</t>
  </si>
  <si>
    <t>JEAN BRINKMEIER</t>
  </si>
  <si>
    <t>UHC AARP Med Supp IL Area 1- Plan  B C F G internal repl</t>
  </si>
  <si>
    <t>JAMES PALMER</t>
  </si>
  <si>
    <t>UHC AARP Med Supp PA Area 3 2025- Plan  N internal repl</t>
  </si>
  <si>
    <t>JOYCE DOUGHERTY</t>
  </si>
  <si>
    <t>UHC AARP Med Supp PA Area 1 2024- Plan  B F G</t>
  </si>
  <si>
    <t>ELIZABETH REESE</t>
  </si>
  <si>
    <t>UHC AARP Med Supp PA Area 2 2025- Plan  N GI</t>
  </si>
  <si>
    <t>CHRISTOPHER KRYGER</t>
  </si>
  <si>
    <t>OR</t>
  </si>
  <si>
    <t>UHC AARP Med Supp OR - Plan  N</t>
  </si>
  <si>
    <t>LISA FARQUHAR</t>
  </si>
  <si>
    <t>UHC AARP Med Supp FL Area 4- Plan  B C F G</t>
  </si>
  <si>
    <t>PATRICK HALLINAN</t>
  </si>
  <si>
    <t>UHC AARP Med Supp PA Area 1 2024- Plan  N</t>
  </si>
  <si>
    <t>GARY SCHOENEMAN</t>
  </si>
  <si>
    <t>UHC AARP Med Supp IL Area 1- Plan  B C F G</t>
  </si>
  <si>
    <t>RICHARD GELINAS</t>
  </si>
  <si>
    <t>UHC AARP Med Supp PA Area 1- Plan  B C F G</t>
  </si>
  <si>
    <t>DROR ROM</t>
  </si>
  <si>
    <t>UHC AARP Med Supp MD - Plan  B C D F G</t>
  </si>
  <si>
    <t>MARK ADLER</t>
  </si>
  <si>
    <t>DANIEL WAHL</t>
  </si>
  <si>
    <t>KY</t>
  </si>
  <si>
    <t>UHC AARP Med Supp KY - Plan  B C D F G</t>
  </si>
  <si>
    <t>ANDREW SORRENTINO</t>
  </si>
  <si>
    <t>GERALD O' NEILL</t>
  </si>
  <si>
    <t>LINDA O' NEILL</t>
  </si>
  <si>
    <t>DEBRA STOCK</t>
  </si>
  <si>
    <t>DANIEL PICARD</t>
  </si>
  <si>
    <t>UHC AARP Med Supp PA Area 2- Plan  N</t>
  </si>
  <si>
    <t>REBECCA NICHOLSON</t>
  </si>
  <si>
    <t>ROBERT KURASZ</t>
  </si>
  <si>
    <t>JENNIFER EWING</t>
  </si>
  <si>
    <t>WILLIAM SMIALEK</t>
  </si>
  <si>
    <t>TERESA SMIALEK</t>
  </si>
  <si>
    <t>KIMBERLY HOLLERAN</t>
  </si>
  <si>
    <t>JOSEPH MCMASTER</t>
  </si>
  <si>
    <t>JAMES KARR</t>
  </si>
  <si>
    <t>CHRISTINE TILTZ</t>
  </si>
  <si>
    <t>ANDREA BLUMBERG</t>
  </si>
  <si>
    <t>UHC AARP Med Supp FL Area 1- Plan  B C F G</t>
  </si>
  <si>
    <t>GARY MARTIN</t>
  </si>
  <si>
    <t>NANCY MARTIN</t>
  </si>
  <si>
    <t>SANDRA MONDEK</t>
  </si>
  <si>
    <t>MATTHEW MONDEK</t>
  </si>
  <si>
    <t>CINDI CLIFFORD</t>
  </si>
  <si>
    <t>UHC AARP Med Supp NJ - Plan  B C D F G</t>
  </si>
  <si>
    <t>THERESE MONGAN</t>
  </si>
  <si>
    <t>WILLIAM MONGAN</t>
  </si>
  <si>
    <t>TRACY COSTANTINO</t>
  </si>
  <si>
    <t>JANICE KERESTLY</t>
  </si>
  <si>
    <t>SGARCIA VELAZQUEZ</t>
  </si>
  <si>
    <t>ALLISON WEBER</t>
  </si>
  <si>
    <t>PETER WEBER</t>
  </si>
  <si>
    <t>ELIZABETH RICE</t>
  </si>
  <si>
    <t>NINA GAINES</t>
  </si>
  <si>
    <t>MARK GAINES</t>
  </si>
  <si>
    <t>KAREN SMITHCHURCHVILLE</t>
  </si>
  <si>
    <t>BARRY LEDERER</t>
  </si>
  <si>
    <t>MATTHEW PHILLIPS</t>
  </si>
  <si>
    <t>RAYMOND KNOBBS</t>
  </si>
  <si>
    <t>UHC AARP Med Supp PA Area 2- Plan  B C F G</t>
  </si>
  <si>
    <t>MIRIAM LUCENTE</t>
  </si>
  <si>
    <t>STEPHEN SHUMAKER</t>
  </si>
  <si>
    <t>DOUGLAS RENKOSIK</t>
  </si>
  <si>
    <t>KATHLEEN RENKOSIK</t>
  </si>
  <si>
    <t>CHRISTOPHER ROLAND</t>
  </si>
  <si>
    <t>UHC AARP Med Supp FL Area 4 - High Ded Plan G</t>
  </si>
  <si>
    <t>HELEN ROLAND</t>
  </si>
  <si>
    <t>JOHN GUTKNECHT</t>
  </si>
  <si>
    <t>KENT SMITH</t>
  </si>
  <si>
    <t>CYNTHIA VANSLAMBROUCK</t>
  </si>
  <si>
    <t>UHC AARP Med Supp CO all plans</t>
  </si>
  <si>
    <t>NANCY RICCHIO</t>
  </si>
  <si>
    <t>UHC AARP Med Supp IN all plans</t>
  </si>
  <si>
    <t>LANE REIDER</t>
  </si>
  <si>
    <t>UHC AARP Med Supp PA Area 3 2024- Plan  BC F G</t>
  </si>
  <si>
    <t>GINA REIDER</t>
  </si>
  <si>
    <t>NEAL NETZEL</t>
  </si>
  <si>
    <t>KEVIN MCCOLE</t>
  </si>
  <si>
    <t>MARYANNE NICKEL</t>
  </si>
  <si>
    <t>UHC AARP Med Supp FL Area 2 2024- Plan  BC F G</t>
  </si>
  <si>
    <t>THOMAS UJIIYE</t>
  </si>
  <si>
    <t>DOREEN NORWOOD</t>
  </si>
  <si>
    <t>EDWARD TURNER</t>
  </si>
  <si>
    <t>WILLIAM LANTGIM</t>
  </si>
  <si>
    <t>VIRGINIA MAHONEY</t>
  </si>
  <si>
    <t>TARYN GOLDSTEIN</t>
  </si>
  <si>
    <t>VERA CORTEZ</t>
  </si>
  <si>
    <t>THERESA SCHOCH</t>
  </si>
  <si>
    <t>UHC AARP Med Supp PA Area 3 2024- Plan  B F G</t>
  </si>
  <si>
    <t>HAROLD SHOCH</t>
  </si>
  <si>
    <t>ANTHONY JASIENSKI</t>
  </si>
  <si>
    <t>AKSHAY SHAH</t>
  </si>
  <si>
    <t>UHC AARP Med Supp MI 2025- Plan  B C D F G</t>
  </si>
  <si>
    <t>ILENE MCKINNEY</t>
  </si>
  <si>
    <t>BEN CORTEZ</t>
  </si>
  <si>
    <t>PAULA DUNN</t>
  </si>
  <si>
    <t>SUZANNEM BENIE</t>
  </si>
  <si>
    <t>UHC AARP Med Supp MD 2025- Plan  B C D F G</t>
  </si>
  <si>
    <t>BRENDA MAHAN</t>
  </si>
  <si>
    <t>MARYK WALSDORF</t>
  </si>
  <si>
    <t>JUDY GREENBERG</t>
  </si>
  <si>
    <t>CHARLES GORMAN</t>
  </si>
  <si>
    <t>DOLORES DUNBAR</t>
  </si>
  <si>
    <t>UHC AARP Med Supp TX Area 3 2025- Plan F G</t>
  </si>
  <si>
    <t>MONICA GAMBONY</t>
  </si>
  <si>
    <t>FRANCIS GAMBONY111</t>
  </si>
  <si>
    <t>LESLIE GORMAN</t>
  </si>
  <si>
    <t>VIRGINIA LANGTIM</t>
  </si>
  <si>
    <t>00000963879D</t>
  </si>
  <si>
    <t>00008459655K</t>
  </si>
  <si>
    <t>00009171141K</t>
  </si>
  <si>
    <t>00009430398K</t>
  </si>
  <si>
    <t>00013363129K</t>
  </si>
  <si>
    <t>00013636650K</t>
  </si>
  <si>
    <t>00013752362K</t>
  </si>
  <si>
    <t>00020151511K</t>
  </si>
  <si>
    <t>00022005823K</t>
  </si>
  <si>
    <t>00022770126K</t>
  </si>
  <si>
    <t>00023314572K</t>
  </si>
  <si>
    <t>00023407746K</t>
  </si>
  <si>
    <t>00024302321K</t>
  </si>
  <si>
    <t>00024590403K</t>
  </si>
  <si>
    <t>00024955998K</t>
  </si>
  <si>
    <t>00025199148K</t>
  </si>
  <si>
    <t>00025927756K</t>
  </si>
  <si>
    <t>00025944136K</t>
  </si>
  <si>
    <t>00025946847K</t>
  </si>
  <si>
    <t>00025950232K</t>
  </si>
  <si>
    <t>00025950489K</t>
  </si>
  <si>
    <t>00025954028K</t>
  </si>
  <si>
    <t>00025957764K</t>
  </si>
  <si>
    <t>00025957840K</t>
  </si>
  <si>
    <t>00025958760K</t>
  </si>
  <si>
    <t>00025959304K</t>
  </si>
  <si>
    <t>00025959508K</t>
  </si>
  <si>
    <t>00025960130K</t>
  </si>
  <si>
    <t>00025962433K</t>
  </si>
  <si>
    <t>00025964426K</t>
  </si>
  <si>
    <t>00025965072K</t>
  </si>
  <si>
    <t>00025968749K</t>
  </si>
  <si>
    <t>00025970163K</t>
  </si>
  <si>
    <t>00025971644K</t>
  </si>
  <si>
    <t>00025972977K</t>
  </si>
  <si>
    <t>00025974976K</t>
  </si>
  <si>
    <t>00025976213K</t>
  </si>
  <si>
    <t>00025978179K</t>
  </si>
  <si>
    <t>00025980223K</t>
  </si>
  <si>
    <t>00025981100K</t>
  </si>
  <si>
    <t>00025982104K</t>
  </si>
  <si>
    <t>00025982685K</t>
  </si>
  <si>
    <t>018W25251</t>
  </si>
  <si>
    <t>101052135000A</t>
  </si>
  <si>
    <t>101083195000A</t>
  </si>
  <si>
    <t>15U8H2A84</t>
  </si>
  <si>
    <t>17H1X6X21</t>
  </si>
  <si>
    <t>17U1L5R79</t>
  </si>
  <si>
    <t>22R7F8L19</t>
  </si>
  <si>
    <t>24A5A1U96</t>
  </si>
  <si>
    <t>25R6A4R22</t>
  </si>
  <si>
    <t>25X4U8H45</t>
  </si>
  <si>
    <t>28F5R9H65</t>
  </si>
  <si>
    <t>31F5X8A86</t>
  </si>
  <si>
    <t>33U1R6F31</t>
  </si>
  <si>
    <t>33U4H8R88</t>
  </si>
  <si>
    <t>35U1H7U87</t>
  </si>
  <si>
    <t>38L5L5R55</t>
  </si>
  <si>
    <t>41A5A8R78</t>
  </si>
  <si>
    <t>41H9L7U75</t>
  </si>
  <si>
    <t>502W24995</t>
  </si>
  <si>
    <t>53U6R8H53</t>
  </si>
  <si>
    <t>53X4F3H97</t>
  </si>
  <si>
    <t>54R1L1X82</t>
  </si>
  <si>
    <t>54X2U5F22</t>
  </si>
  <si>
    <t>55R2X7L49</t>
  </si>
  <si>
    <t>56H4X5A78</t>
  </si>
  <si>
    <t>58R5A1U71</t>
  </si>
  <si>
    <t>58X3L4X23</t>
  </si>
  <si>
    <t>612W25182</t>
  </si>
  <si>
    <t>64A7F1H37</t>
  </si>
  <si>
    <t>66R4A7H95</t>
  </si>
  <si>
    <t>69H7U6A93</t>
  </si>
  <si>
    <t>71L1A1F62</t>
  </si>
  <si>
    <t>71X8U5A35</t>
  </si>
  <si>
    <t>75X8A6F48</t>
  </si>
  <si>
    <t>A04415510</t>
  </si>
  <si>
    <t>A04417194</t>
  </si>
  <si>
    <t>A04417209</t>
  </si>
  <si>
    <t>A04418053</t>
  </si>
  <si>
    <t>A04418214</t>
  </si>
  <si>
    <t>A04419014</t>
  </si>
  <si>
    <t>A04419703</t>
  </si>
  <si>
    <t>A04420714</t>
  </si>
  <si>
    <t>00000076874F</t>
  </si>
  <si>
    <t>00001672119K</t>
  </si>
  <si>
    <t>00010066661K</t>
  </si>
  <si>
    <t>00011182221K</t>
  </si>
  <si>
    <t>00011519472K</t>
  </si>
  <si>
    <t>00013131759K</t>
  </si>
  <si>
    <t>00016845150K</t>
  </si>
  <si>
    <t>00017505325K</t>
  </si>
  <si>
    <t>00018671925K</t>
  </si>
  <si>
    <t>00020054580K</t>
  </si>
  <si>
    <t>00020195670K</t>
  </si>
  <si>
    <t>00020751148K</t>
  </si>
  <si>
    <t>00021641743K</t>
  </si>
  <si>
    <t>00021686716K</t>
  </si>
  <si>
    <t>00021754102K</t>
  </si>
  <si>
    <t>00021776882K</t>
  </si>
  <si>
    <t>00021778915K</t>
  </si>
  <si>
    <t>00021783471K</t>
  </si>
  <si>
    <t>00021784141K</t>
  </si>
  <si>
    <t>00021792778K</t>
  </si>
  <si>
    <t>00021801538K</t>
  </si>
  <si>
    <t>00021812164K</t>
  </si>
  <si>
    <t>00021819613K</t>
  </si>
  <si>
    <t>00021836561K</t>
  </si>
  <si>
    <t>00021836597K</t>
  </si>
  <si>
    <t>00021852153K</t>
  </si>
  <si>
    <t>00021853327K</t>
  </si>
  <si>
    <t>00021853815K</t>
  </si>
  <si>
    <t>00021859258K</t>
  </si>
  <si>
    <t>00021865984K</t>
  </si>
  <si>
    <t>00021876313K</t>
  </si>
  <si>
    <t>00021876763K</t>
  </si>
  <si>
    <t>00021878864K</t>
  </si>
  <si>
    <t>00021881964K</t>
  </si>
  <si>
    <t>00021882434K</t>
  </si>
  <si>
    <t>00021883797K</t>
  </si>
  <si>
    <t>00021884516K</t>
  </si>
  <si>
    <t>00021892187K</t>
  </si>
  <si>
    <t>00021895596K</t>
  </si>
  <si>
    <t>00021895977K</t>
  </si>
  <si>
    <t>00021906634K</t>
  </si>
  <si>
    <t>00021908647K</t>
  </si>
  <si>
    <t>00021915889K</t>
  </si>
  <si>
    <t>00021917176K</t>
  </si>
  <si>
    <t>00021918216K</t>
  </si>
  <si>
    <t>00021920643K</t>
  </si>
  <si>
    <t>00021921861K</t>
  </si>
  <si>
    <t>00021926659K</t>
  </si>
  <si>
    <t>00021937596K</t>
  </si>
  <si>
    <t>00021938736K</t>
  </si>
  <si>
    <t>00021938762K</t>
  </si>
  <si>
    <t>00021942365K</t>
  </si>
  <si>
    <t>00021948322K</t>
  </si>
  <si>
    <t>00021951591K</t>
  </si>
  <si>
    <t>00021961080K</t>
  </si>
  <si>
    <t>00021969632K</t>
  </si>
  <si>
    <t>00021970944K</t>
  </si>
  <si>
    <t>00021973818K</t>
  </si>
  <si>
    <t>00021973839K</t>
  </si>
  <si>
    <t>00021976197K</t>
  </si>
  <si>
    <t>00021996169K</t>
  </si>
  <si>
    <t>00021999707K</t>
  </si>
  <si>
    <t>00022004915K</t>
  </si>
  <si>
    <t>00022011876K</t>
  </si>
  <si>
    <t>00022014220K</t>
  </si>
  <si>
    <t>00022021737K</t>
  </si>
  <si>
    <t>00022023339K</t>
  </si>
  <si>
    <t>00022025150K</t>
  </si>
  <si>
    <t>00022026537K</t>
  </si>
  <si>
    <t>00022031158K</t>
  </si>
  <si>
    <t>00022032935K</t>
  </si>
  <si>
    <t>00022033067K</t>
  </si>
  <si>
    <t>00022033172K</t>
  </si>
  <si>
    <t>00022035242K</t>
  </si>
  <si>
    <t>00022040894K</t>
  </si>
  <si>
    <t>00022049020K</t>
  </si>
  <si>
    <t>00022052067K</t>
  </si>
  <si>
    <t>00022063091K</t>
  </si>
  <si>
    <t>00022063543K</t>
  </si>
  <si>
    <t>00022070044K</t>
  </si>
  <si>
    <t>00022074715K</t>
  </si>
  <si>
    <t>00022077041K</t>
  </si>
  <si>
    <t>00022077277K</t>
  </si>
  <si>
    <t>00022078841K</t>
  </si>
  <si>
    <t>00022082807K</t>
  </si>
  <si>
    <t>00022083688K</t>
  </si>
  <si>
    <t>00022084599K</t>
  </si>
  <si>
    <t>00022085271K</t>
  </si>
  <si>
    <t>00022085971K</t>
  </si>
  <si>
    <t>00022087983K</t>
  </si>
  <si>
    <t>00022088151K</t>
  </si>
  <si>
    <t>00022092926K</t>
  </si>
  <si>
    <t>00022094729K</t>
  </si>
  <si>
    <t>00022094985K</t>
  </si>
  <si>
    <t>00022094990K</t>
  </si>
  <si>
    <t>00022095955K</t>
  </si>
  <si>
    <t>00022096948K</t>
  </si>
  <si>
    <t>00022097947K</t>
  </si>
  <si>
    <t>00022106958K</t>
  </si>
  <si>
    <t>00022107554K</t>
  </si>
  <si>
    <t>00022112017K</t>
  </si>
  <si>
    <t>00022137026K</t>
  </si>
  <si>
    <t>00022148995K</t>
  </si>
  <si>
    <t>00022193283K</t>
  </si>
  <si>
    <t>00022198910K</t>
  </si>
  <si>
    <t>00022203514K</t>
  </si>
  <si>
    <t>00022217599K</t>
  </si>
  <si>
    <t>00022235665K</t>
  </si>
  <si>
    <t>00022241122K</t>
  </si>
  <si>
    <t>00022256745K</t>
  </si>
  <si>
    <t>00022351069K</t>
  </si>
  <si>
    <t>00022366455K</t>
  </si>
  <si>
    <t>00022386017K</t>
  </si>
  <si>
    <t>00022406995K</t>
  </si>
  <si>
    <t>00022413863K</t>
  </si>
  <si>
    <t>00022462923K</t>
  </si>
  <si>
    <t>00022466880K</t>
  </si>
  <si>
    <t>00022498051K</t>
  </si>
  <si>
    <t>00022517390K</t>
  </si>
  <si>
    <t>00022524693K</t>
  </si>
  <si>
    <t>00022571242K</t>
  </si>
  <si>
    <t>00022602838K</t>
  </si>
  <si>
    <t>00022627896K</t>
  </si>
  <si>
    <t>00022643625K</t>
  </si>
  <si>
    <t>00022646876K</t>
  </si>
  <si>
    <t>00022659909K</t>
  </si>
  <si>
    <t>00022671607K</t>
  </si>
  <si>
    <t>00022674415K</t>
  </si>
  <si>
    <t>00022688863K</t>
  </si>
  <si>
    <t>00022698535K</t>
  </si>
  <si>
    <t>00022763707K</t>
  </si>
  <si>
    <t>000W24385</t>
  </si>
  <si>
    <t>140W10931</t>
  </si>
  <si>
    <t>283W17578</t>
  </si>
  <si>
    <t>352W10665</t>
  </si>
  <si>
    <t>614W13756</t>
  </si>
  <si>
    <t>829W21544</t>
  </si>
  <si>
    <t>8JY2HT0WT21</t>
  </si>
  <si>
    <t>948W21216</t>
  </si>
  <si>
    <t>A02824541</t>
  </si>
  <si>
    <t>A02883885</t>
  </si>
  <si>
    <t>A03722685</t>
  </si>
  <si>
    <t>A03755145</t>
  </si>
  <si>
    <t>A03777817</t>
  </si>
  <si>
    <t>A04074909</t>
  </si>
  <si>
    <t>A04078728</t>
  </si>
  <si>
    <t>A04081413</t>
  </si>
  <si>
    <t>A04082949</t>
  </si>
  <si>
    <t>A04086593</t>
  </si>
  <si>
    <t>A04089206</t>
  </si>
  <si>
    <t>A04092389</t>
  </si>
  <si>
    <t>A04102810</t>
  </si>
  <si>
    <t>A04107151</t>
  </si>
  <si>
    <t>A04108152</t>
  </si>
  <si>
    <t>A04110970</t>
  </si>
  <si>
    <t>A04111252</t>
  </si>
  <si>
    <t>A04111744</t>
  </si>
  <si>
    <t>A04112278</t>
  </si>
  <si>
    <t>A04113627</t>
  </si>
  <si>
    <t>A04115541</t>
  </si>
  <si>
    <t>A04120363</t>
  </si>
  <si>
    <t>A04125735</t>
  </si>
  <si>
    <t>A04127140</t>
  </si>
  <si>
    <t>A04127176</t>
  </si>
  <si>
    <t>A04127325</t>
  </si>
  <si>
    <t>A04130550</t>
  </si>
  <si>
    <t>A04134476</t>
  </si>
  <si>
    <t>A04135901</t>
  </si>
  <si>
    <t>A04136148</t>
  </si>
  <si>
    <t>A04136338</t>
  </si>
  <si>
    <t>A04137009</t>
  </si>
  <si>
    <t>A04137015</t>
  </si>
  <si>
    <t>A04137828</t>
  </si>
  <si>
    <t>A04139611</t>
  </si>
  <si>
    <t>A04141002</t>
  </si>
  <si>
    <t>A04141096</t>
  </si>
  <si>
    <t>A04142465</t>
  </si>
  <si>
    <t>A04145915</t>
  </si>
  <si>
    <t>A04148386</t>
  </si>
  <si>
    <t>A04149761</t>
  </si>
  <si>
    <t>A04150482</t>
  </si>
  <si>
    <t>A04150490</t>
  </si>
  <si>
    <t>A04150520</t>
  </si>
  <si>
    <t>A04152855</t>
  </si>
  <si>
    <t>A04155252</t>
  </si>
  <si>
    <t>A04156119</t>
  </si>
  <si>
    <t>A04159973</t>
  </si>
  <si>
    <t>A04160389</t>
  </si>
  <si>
    <t>A04161751</t>
  </si>
  <si>
    <t>A04162708</t>
  </si>
  <si>
    <t>A04162844</t>
  </si>
  <si>
    <t>A04163727</t>
  </si>
  <si>
    <t>A04164004</t>
  </si>
  <si>
    <t>A04164064</t>
  </si>
  <si>
    <t>A04164556</t>
  </si>
  <si>
    <t>A04167296</t>
  </si>
  <si>
    <t>A04167351</t>
  </si>
  <si>
    <t>A04167519</t>
  </si>
  <si>
    <t>A04168420</t>
  </si>
  <si>
    <t>A04169115</t>
  </si>
  <si>
    <t>A04172708</t>
  </si>
  <si>
    <t>A04176860</t>
  </si>
  <si>
    <t>A04176992</t>
  </si>
  <si>
    <t>A04178117</t>
  </si>
  <si>
    <t>A04182320</t>
  </si>
  <si>
    <t>A04185404</t>
  </si>
  <si>
    <t>A04186207</t>
  </si>
  <si>
    <t>A04187200</t>
  </si>
  <si>
    <t>A04190340</t>
  </si>
  <si>
    <t>A04191720</t>
  </si>
  <si>
    <t>A04193033</t>
  </si>
  <si>
    <t>A04194279</t>
  </si>
  <si>
    <t>A04195265</t>
  </si>
  <si>
    <t>A04199309</t>
  </si>
  <si>
    <t>A04199312</t>
  </si>
  <si>
    <t>A04205457</t>
  </si>
  <si>
    <t>A04209304</t>
  </si>
  <si>
    <t>A04212407</t>
  </si>
  <si>
    <t>A04213560</t>
  </si>
  <si>
    <t>A04217742</t>
  </si>
  <si>
    <t>A04219053</t>
  </si>
  <si>
    <t>A04219376</t>
  </si>
  <si>
    <t>A04221031</t>
  </si>
  <si>
    <t>A04222178</t>
  </si>
  <si>
    <t>A04226341</t>
  </si>
  <si>
    <t>A04227121</t>
  </si>
  <si>
    <t>A04228662</t>
  </si>
  <si>
    <t>A04230405</t>
  </si>
  <si>
    <t>A04231546</t>
  </si>
  <si>
    <t>Aetna MAPD OVR 2026</t>
  </si>
  <si>
    <t>Elevance GA, KY, OH All Plans</t>
  </si>
  <si>
    <t>Anthem MAPD OVR</t>
  </si>
  <si>
    <t>Cigna MAPD Ovr</t>
  </si>
  <si>
    <t>Humana MAPD OVR</t>
  </si>
  <si>
    <t>[%/$=306][prorate=1/12]</t>
  </si>
  <si>
    <t>Humana MAPD NATIONAL 2024!</t>
  </si>
  <si>
    <t>UHC AARP Med Supp 2025+ NJ Plan N Internal Replace</t>
  </si>
  <si>
    <t>UHC AARP MS FL Area 1- Plan B C F G</t>
  </si>
  <si>
    <t>UHC AARP MS FL Area 4 2024 High Ded G</t>
  </si>
  <si>
    <t>UHC AARP MS FL Area 4- Plan B C F G</t>
  </si>
  <si>
    <t>UHC AARP MS IL Area 1 - Plan B C F G</t>
  </si>
  <si>
    <t>UHC AARP MS IL Area 1- Plan B C F G(90%)</t>
  </si>
  <si>
    <t>UHC AARP Med Supp 2025+ IN All Plans</t>
  </si>
  <si>
    <t>UHC AARP MS KY - Plan B C D F G</t>
  </si>
  <si>
    <t>UHC AARP MS MD - Plan B C D F G</t>
  </si>
  <si>
    <t>UHC AARP MS OR - Plan N</t>
  </si>
  <si>
    <t>UHC AARP MS MI 2025- Plan B C D F G</t>
  </si>
  <si>
    <t>UHC AARP MS NJ - Plan B C D F G</t>
  </si>
  <si>
    <t>UHC AARP MS PA Area 1 2024- Plan B F G</t>
  </si>
  <si>
    <t>UHC AARP MS PA Area 1 2024- Plan N</t>
  </si>
  <si>
    <t>UHC AARP MS PA Area 1- Plan B C F G 2024</t>
  </si>
  <si>
    <t>UHC AARP MS PA Area 2- Plan N</t>
  </si>
  <si>
    <t>UHC AARP MS PA Area 2- Plan B C F G</t>
  </si>
  <si>
    <t>UHC AARP Med Supp PA Area 3 2024- Plan B F G</t>
  </si>
  <si>
    <t>UHC AARP MS PA Area 3 2024- Plan BC F G</t>
  </si>
  <si>
    <t>UHC AARP MS PA Area 3 2024- Plan BC F G(90%)</t>
  </si>
  <si>
    <t>UHC AARP MS PA Area 3- Plan N</t>
  </si>
  <si>
    <t>UHC plan F G (area 3 TX)</t>
  </si>
  <si>
    <t>UHC AARP MS FL Area 2 2024- Plan B C F G</t>
  </si>
  <si>
    <t>UHC AARP MS CO all plans</t>
  </si>
  <si>
    <t>UHC MAPD Nat 2024!</t>
  </si>
  <si>
    <t>UHC MAPD 2025*</t>
  </si>
  <si>
    <t>[%/$=313][prorate=1/12]</t>
  </si>
  <si>
    <t>[%/$=347][prorate=12/12]</t>
  </si>
  <si>
    <t>UHC MAPD 2026*</t>
  </si>
  <si>
    <t>UHC MAPD Ovr 2026</t>
  </si>
  <si>
    <t>[%/$=347][prorate=11/12]</t>
  </si>
  <si>
    <t>2026 UHC MAPD National*</t>
  </si>
  <si>
    <t>[%/$=203][prorate=11/12]</t>
  </si>
  <si>
    <t>[%/$=203][prorate=10/12]</t>
  </si>
  <si>
    <t>UHC 2026 CT, PA, DC *</t>
  </si>
  <si>
    <t>[%/$=391][prorate=11/12]</t>
  </si>
  <si>
    <t>UHC MAPD CT, PA, DC 2024!</t>
  </si>
  <si>
    <t>[%/$=345][prorate=1/12]</t>
  </si>
  <si>
    <t>Wellcare MAPD Ovr</t>
  </si>
  <si>
    <t>21R4U1R71</t>
  </si>
  <si>
    <t>47A7U3H98</t>
  </si>
  <si>
    <t>00018023648K</t>
  </si>
  <si>
    <t>00019862313K</t>
  </si>
  <si>
    <t>00022646964K</t>
  </si>
  <si>
    <t>00023621536K</t>
  </si>
  <si>
    <t>00024112192K</t>
  </si>
  <si>
    <t>00024582757K</t>
  </si>
  <si>
    <t>00025104052K</t>
  </si>
  <si>
    <t>00025552127K</t>
  </si>
  <si>
    <t>00025697687K</t>
  </si>
  <si>
    <t>00019292757K</t>
  </si>
  <si>
    <t>00019321108K</t>
  </si>
  <si>
    <t>00020628364K</t>
  </si>
  <si>
    <t>00023224834K</t>
  </si>
  <si>
    <t>00023268932K</t>
  </si>
  <si>
    <t>Main Line Benefits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</si>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</sst>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0" fontId="0" fillId="33" borderId="0" xfId="0" applyFill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7FF9D-15B4-400A-A42B-55E67089B496}">
  <dimension ref="A1:AL206"/>
  <sheetViews>
    <sheetView topLeftCell="A94" workbookViewId="0">
      <selection activeCell="I107" sqref="I107"/>
    </sheetView>
  </sheetViews>
  <sheetFormatPr defaultRowHeight="15" x14ac:dyDescent="0.25"/>
  <cols>
    <col min="18" max="18" width="60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46050</v>
      </c>
      <c r="B2" s="1">
        <v>46050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46054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6202169</v>
      </c>
    </row>
    <row r="3" spans="1:38" x14ac:dyDescent="0.25">
      <c r="A3" s="1">
        <v>46050</v>
      </c>
      <c r="B3" s="1">
        <v>46050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50</v>
      </c>
      <c r="S3" s="1">
        <v>46054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6202170</v>
      </c>
    </row>
    <row r="4" spans="1:38" x14ac:dyDescent="0.25">
      <c r="A4" s="1">
        <v>46050</v>
      </c>
      <c r="B4" s="1">
        <v>46050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58</v>
      </c>
      <c r="J4" t="s">
        <v>59</v>
      </c>
      <c r="M4" t="s">
        <v>55</v>
      </c>
      <c r="O4" t="s">
        <v>60</v>
      </c>
      <c r="P4" t="s">
        <v>61</v>
      </c>
      <c r="Q4" t="s">
        <v>49</v>
      </c>
      <c r="R4" t="s">
        <v>50</v>
      </c>
      <c r="S4" s="1">
        <v>46054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6202171</v>
      </c>
    </row>
    <row r="5" spans="1:38" x14ac:dyDescent="0.25">
      <c r="A5" s="1">
        <v>46050</v>
      </c>
      <c r="B5" s="1">
        <v>46050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62</v>
      </c>
      <c r="J5" t="s">
        <v>63</v>
      </c>
      <c r="M5" t="s">
        <v>55</v>
      </c>
      <c r="O5" t="s">
        <v>56</v>
      </c>
      <c r="P5" t="s">
        <v>57</v>
      </c>
      <c r="Q5" t="s">
        <v>49</v>
      </c>
      <c r="R5" t="s">
        <v>50</v>
      </c>
      <c r="S5" s="1">
        <v>46054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6202172</v>
      </c>
    </row>
    <row r="6" spans="1:38" x14ac:dyDescent="0.25">
      <c r="A6" s="1">
        <v>46050</v>
      </c>
      <c r="B6" s="1">
        <v>46050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64</v>
      </c>
      <c r="J6" t="s">
        <v>65</v>
      </c>
      <c r="M6" t="s">
        <v>55</v>
      </c>
      <c r="O6" t="s">
        <v>56</v>
      </c>
      <c r="P6" t="s">
        <v>57</v>
      </c>
      <c r="Q6" t="s">
        <v>49</v>
      </c>
      <c r="R6" t="s">
        <v>50</v>
      </c>
      <c r="S6" s="1">
        <v>46054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6202173</v>
      </c>
    </row>
    <row r="7" spans="1:38" x14ac:dyDescent="0.25">
      <c r="A7" s="1">
        <v>46050</v>
      </c>
      <c r="B7" s="1">
        <v>46050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66</v>
      </c>
      <c r="J7" t="s">
        <v>67</v>
      </c>
      <c r="M7" t="s">
        <v>55</v>
      </c>
      <c r="O7" t="s">
        <v>68</v>
      </c>
      <c r="P7" t="s">
        <v>69</v>
      </c>
      <c r="Q7" t="s">
        <v>49</v>
      </c>
      <c r="R7" t="s">
        <v>50</v>
      </c>
      <c r="S7" s="1">
        <v>46054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6202133</v>
      </c>
    </row>
    <row r="8" spans="1:38" x14ac:dyDescent="0.25">
      <c r="A8" s="1">
        <v>46050</v>
      </c>
      <c r="B8" s="1">
        <v>46050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70</v>
      </c>
      <c r="J8" t="s">
        <v>71</v>
      </c>
      <c r="M8" t="s">
        <v>55</v>
      </c>
      <c r="O8" t="s">
        <v>56</v>
      </c>
      <c r="P8" t="s">
        <v>57</v>
      </c>
      <c r="Q8" t="s">
        <v>49</v>
      </c>
      <c r="R8" t="s">
        <v>50</v>
      </c>
      <c r="S8" s="1">
        <v>46054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6202174</v>
      </c>
    </row>
    <row r="9" spans="1:38" x14ac:dyDescent="0.25">
      <c r="A9" s="1">
        <v>46050</v>
      </c>
      <c r="B9" s="1">
        <v>46050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72</v>
      </c>
      <c r="J9" t="s">
        <v>73</v>
      </c>
      <c r="M9" t="s">
        <v>74</v>
      </c>
      <c r="O9" t="s">
        <v>75</v>
      </c>
      <c r="P9" t="s">
        <v>76</v>
      </c>
      <c r="Q9" t="s">
        <v>49</v>
      </c>
      <c r="R9" t="s">
        <v>77</v>
      </c>
      <c r="S9" s="1">
        <v>46054</v>
      </c>
      <c r="U9" t="s">
        <v>51</v>
      </c>
      <c r="X9" t="s">
        <v>52</v>
      </c>
      <c r="Y9" s="2">
        <v>0</v>
      </c>
      <c r="Z9" s="2">
        <v>108</v>
      </c>
      <c r="AA9">
        <v>1</v>
      </c>
      <c r="AB9" s="3">
        <v>1</v>
      </c>
      <c r="AC9" s="2">
        <v>108</v>
      </c>
      <c r="AD9" s="3">
        <v>0</v>
      </c>
      <c r="AE9" s="2">
        <v>0</v>
      </c>
      <c r="AF9" s="2">
        <v>108</v>
      </c>
      <c r="AK9">
        <v>6202009</v>
      </c>
    </row>
    <row r="10" spans="1:38" x14ac:dyDescent="0.25">
      <c r="A10" s="1">
        <v>46050</v>
      </c>
      <c r="B10" s="1">
        <v>46050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78</v>
      </c>
      <c r="J10" t="s">
        <v>79</v>
      </c>
      <c r="M10" t="s">
        <v>46</v>
      </c>
      <c r="O10" t="s">
        <v>80</v>
      </c>
      <c r="P10" t="s">
        <v>81</v>
      </c>
      <c r="Q10" t="s">
        <v>49</v>
      </c>
      <c r="R10" t="s">
        <v>77</v>
      </c>
      <c r="S10" s="1">
        <v>46054</v>
      </c>
      <c r="U10" t="s">
        <v>51</v>
      </c>
      <c r="X10" t="s">
        <v>52</v>
      </c>
      <c r="Y10" s="2">
        <v>0</v>
      </c>
      <c r="Z10" s="2">
        <v>108</v>
      </c>
      <c r="AA10">
        <v>1</v>
      </c>
      <c r="AB10" s="3">
        <v>1</v>
      </c>
      <c r="AC10" s="2">
        <v>108</v>
      </c>
      <c r="AD10" s="3">
        <v>0</v>
      </c>
      <c r="AE10" s="2">
        <v>0</v>
      </c>
      <c r="AF10" s="2">
        <v>108</v>
      </c>
      <c r="AK10">
        <v>6202021</v>
      </c>
    </row>
    <row r="11" spans="1:38" x14ac:dyDescent="0.25">
      <c r="A11" s="1">
        <v>46050</v>
      </c>
      <c r="B11" s="1">
        <v>46050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82</v>
      </c>
      <c r="J11" t="s">
        <v>83</v>
      </c>
      <c r="M11" t="s">
        <v>84</v>
      </c>
      <c r="O11" t="s">
        <v>85</v>
      </c>
      <c r="P11" t="s">
        <v>86</v>
      </c>
      <c r="Q11" t="s">
        <v>49</v>
      </c>
      <c r="R11" t="s">
        <v>77</v>
      </c>
      <c r="S11" s="1">
        <v>46054</v>
      </c>
      <c r="U11" t="s">
        <v>51</v>
      </c>
      <c r="X11" t="s">
        <v>52</v>
      </c>
      <c r="Y11" s="2">
        <v>0</v>
      </c>
      <c r="Z11" s="2">
        <v>108</v>
      </c>
      <c r="AA11">
        <v>1</v>
      </c>
      <c r="AB11" s="3">
        <v>1</v>
      </c>
      <c r="AC11" s="2">
        <v>108</v>
      </c>
      <c r="AD11" s="3">
        <v>0</v>
      </c>
      <c r="AE11" s="2">
        <v>0</v>
      </c>
      <c r="AF11" s="2">
        <v>108</v>
      </c>
      <c r="AK11">
        <v>6202022</v>
      </c>
    </row>
    <row r="12" spans="1:38" x14ac:dyDescent="0.25">
      <c r="A12" s="1">
        <v>46050</v>
      </c>
      <c r="B12" s="1">
        <v>46050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87</v>
      </c>
      <c r="J12" t="s">
        <v>88</v>
      </c>
      <c r="M12" t="s">
        <v>55</v>
      </c>
      <c r="O12" t="s">
        <v>89</v>
      </c>
      <c r="P12" t="s">
        <v>90</v>
      </c>
      <c r="Q12" t="s">
        <v>49</v>
      </c>
      <c r="R12" t="s">
        <v>77</v>
      </c>
      <c r="S12" s="1">
        <v>46054</v>
      </c>
      <c r="U12" t="s">
        <v>51</v>
      </c>
      <c r="X12" t="s">
        <v>52</v>
      </c>
      <c r="Y12" s="2">
        <v>0</v>
      </c>
      <c r="Z12" s="2">
        <v>108</v>
      </c>
      <c r="AA12">
        <v>1</v>
      </c>
      <c r="AB12" s="3">
        <v>1</v>
      </c>
      <c r="AC12" s="2">
        <v>108</v>
      </c>
      <c r="AD12" s="3">
        <v>0</v>
      </c>
      <c r="AE12" s="2">
        <v>0</v>
      </c>
      <c r="AF12" s="2">
        <v>108</v>
      </c>
      <c r="AK12">
        <v>6202012</v>
      </c>
    </row>
    <row r="13" spans="1:38" x14ac:dyDescent="0.25">
      <c r="A13" s="1">
        <v>46050</v>
      </c>
      <c r="B13" s="1">
        <v>46050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91</v>
      </c>
      <c r="J13" t="s">
        <v>92</v>
      </c>
      <c r="M13" t="s">
        <v>84</v>
      </c>
      <c r="O13" t="s">
        <v>93</v>
      </c>
      <c r="P13" t="s">
        <v>94</v>
      </c>
      <c r="Q13" t="s">
        <v>49</v>
      </c>
      <c r="R13" t="s">
        <v>77</v>
      </c>
      <c r="S13" s="1">
        <v>46054</v>
      </c>
      <c r="U13" t="s">
        <v>51</v>
      </c>
      <c r="X13" t="s">
        <v>52</v>
      </c>
      <c r="Y13" s="2">
        <v>0</v>
      </c>
      <c r="Z13" s="2">
        <v>108</v>
      </c>
      <c r="AA13">
        <v>1</v>
      </c>
      <c r="AB13" s="3">
        <v>1</v>
      </c>
      <c r="AC13" s="2">
        <v>108</v>
      </c>
      <c r="AD13" s="3">
        <v>0</v>
      </c>
      <c r="AE13" s="2">
        <v>0</v>
      </c>
      <c r="AF13" s="2">
        <v>108</v>
      </c>
      <c r="AK13">
        <v>6202013</v>
      </c>
    </row>
    <row r="14" spans="1:38" x14ac:dyDescent="0.25">
      <c r="A14" s="1">
        <v>46050</v>
      </c>
      <c r="B14" s="1">
        <v>46050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95</v>
      </c>
      <c r="J14" t="s">
        <v>96</v>
      </c>
      <c r="M14" t="s">
        <v>97</v>
      </c>
      <c r="O14" t="s">
        <v>47</v>
      </c>
      <c r="P14" t="s">
        <v>48</v>
      </c>
      <c r="Q14" t="s">
        <v>49</v>
      </c>
      <c r="R14" t="s">
        <v>50</v>
      </c>
      <c r="S14" s="1">
        <v>45962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6202175</v>
      </c>
    </row>
    <row r="15" spans="1:38" x14ac:dyDescent="0.25">
      <c r="A15" s="1">
        <v>46050</v>
      </c>
      <c r="B15" s="1">
        <v>46050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98</v>
      </c>
      <c r="J15" t="s">
        <v>99</v>
      </c>
      <c r="M15" t="s">
        <v>84</v>
      </c>
      <c r="O15" t="s">
        <v>100</v>
      </c>
      <c r="P15" t="s">
        <v>99</v>
      </c>
      <c r="Q15" t="s">
        <v>49</v>
      </c>
      <c r="R15" t="s">
        <v>50</v>
      </c>
      <c r="S15" s="1">
        <v>46023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6202176</v>
      </c>
    </row>
    <row r="16" spans="1:38" x14ac:dyDescent="0.25">
      <c r="A16" s="1">
        <v>46050</v>
      </c>
      <c r="B16" s="1">
        <v>46050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101</v>
      </c>
      <c r="J16" t="s">
        <v>102</v>
      </c>
      <c r="M16" t="s">
        <v>103</v>
      </c>
      <c r="O16" t="s">
        <v>104</v>
      </c>
      <c r="P16" t="s">
        <v>105</v>
      </c>
      <c r="Q16" t="s">
        <v>106</v>
      </c>
      <c r="R16" t="s">
        <v>50</v>
      </c>
      <c r="S16" s="1">
        <v>46023</v>
      </c>
      <c r="U16" t="s">
        <v>51</v>
      </c>
      <c r="X16" t="s">
        <v>52</v>
      </c>
      <c r="Y16" s="2">
        <v>0</v>
      </c>
      <c r="Z16" s="2">
        <v>161</v>
      </c>
      <c r="AA16">
        <v>1</v>
      </c>
      <c r="AB16" s="3">
        <v>1</v>
      </c>
      <c r="AC16" s="2">
        <v>161</v>
      </c>
      <c r="AD16" s="3">
        <v>0</v>
      </c>
      <c r="AE16" s="2">
        <v>0</v>
      </c>
      <c r="AF16" s="2">
        <v>161</v>
      </c>
      <c r="AK16">
        <v>0</v>
      </c>
      <c r="AL16" t="s">
        <v>107</v>
      </c>
    </row>
    <row r="17" spans="1:37" x14ac:dyDescent="0.25">
      <c r="A17" s="1">
        <v>46050</v>
      </c>
      <c r="B17" s="1">
        <v>46050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108</v>
      </c>
      <c r="J17" t="s">
        <v>109</v>
      </c>
      <c r="M17" t="s">
        <v>110</v>
      </c>
      <c r="O17" t="s">
        <v>111</v>
      </c>
      <c r="P17" t="s">
        <v>112</v>
      </c>
      <c r="Q17" t="s">
        <v>49</v>
      </c>
      <c r="R17" t="s">
        <v>77</v>
      </c>
      <c r="S17" s="1">
        <v>46054</v>
      </c>
      <c r="U17" t="s">
        <v>51</v>
      </c>
      <c r="X17" t="s">
        <v>52</v>
      </c>
      <c r="Y17" s="2">
        <v>0</v>
      </c>
      <c r="Z17" s="2">
        <v>108</v>
      </c>
      <c r="AA17">
        <v>1</v>
      </c>
      <c r="AB17" s="3">
        <v>1</v>
      </c>
      <c r="AC17" s="2">
        <v>108</v>
      </c>
      <c r="AD17" s="3">
        <v>0</v>
      </c>
      <c r="AE17" s="2">
        <v>0</v>
      </c>
      <c r="AF17" s="2">
        <v>108</v>
      </c>
      <c r="AK17">
        <v>6202023</v>
      </c>
    </row>
    <row r="18" spans="1:37" x14ac:dyDescent="0.25">
      <c r="A18" s="1">
        <v>46050</v>
      </c>
      <c r="B18" s="1">
        <v>46050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113</v>
      </c>
      <c r="J18" t="s">
        <v>114</v>
      </c>
      <c r="M18" t="s">
        <v>74</v>
      </c>
      <c r="O18" t="s">
        <v>115</v>
      </c>
      <c r="P18" t="s">
        <v>116</v>
      </c>
      <c r="Q18" t="s">
        <v>49</v>
      </c>
      <c r="R18" t="s">
        <v>50</v>
      </c>
      <c r="S18" s="1">
        <v>46054</v>
      </c>
      <c r="U18" t="s">
        <v>51</v>
      </c>
      <c r="X18" t="s">
        <v>52</v>
      </c>
      <c r="Y18" s="2">
        <v>0</v>
      </c>
      <c r="Z18" s="2">
        <v>175</v>
      </c>
      <c r="AA18">
        <v>1</v>
      </c>
      <c r="AB18" s="3">
        <v>1</v>
      </c>
      <c r="AC18" s="2">
        <v>175</v>
      </c>
      <c r="AD18" s="3">
        <v>0</v>
      </c>
      <c r="AE18" s="2">
        <v>0</v>
      </c>
      <c r="AF18" s="2">
        <v>175</v>
      </c>
      <c r="AK18">
        <v>6202177</v>
      </c>
    </row>
    <row r="19" spans="1:37" x14ac:dyDescent="0.25">
      <c r="A19" s="1">
        <v>46050</v>
      </c>
      <c r="B19" s="1">
        <v>46050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117</v>
      </c>
      <c r="J19" t="s">
        <v>118</v>
      </c>
      <c r="M19" t="s">
        <v>55</v>
      </c>
      <c r="O19" t="s">
        <v>104</v>
      </c>
      <c r="P19" t="s">
        <v>105</v>
      </c>
      <c r="Q19" t="s">
        <v>49</v>
      </c>
      <c r="R19" t="s">
        <v>50</v>
      </c>
      <c r="S19" s="1">
        <v>46054</v>
      </c>
      <c r="U19" t="s">
        <v>51</v>
      </c>
      <c r="X19" t="s">
        <v>52</v>
      </c>
      <c r="Y19" s="2">
        <v>0</v>
      </c>
      <c r="Z19" s="2">
        <v>175</v>
      </c>
      <c r="AA19">
        <v>1</v>
      </c>
      <c r="AB19" s="3">
        <v>1</v>
      </c>
      <c r="AC19" s="2">
        <v>175</v>
      </c>
      <c r="AD19" s="3">
        <v>0</v>
      </c>
      <c r="AE19" s="2">
        <v>0</v>
      </c>
      <c r="AF19" s="2">
        <v>175</v>
      </c>
      <c r="AK19">
        <v>6202178</v>
      </c>
    </row>
    <row r="20" spans="1:37" x14ac:dyDescent="0.25">
      <c r="A20" s="1">
        <v>46050</v>
      </c>
      <c r="B20" s="1">
        <v>46050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119</v>
      </c>
      <c r="J20" t="s">
        <v>120</v>
      </c>
      <c r="M20" t="s">
        <v>55</v>
      </c>
      <c r="O20" t="s">
        <v>56</v>
      </c>
      <c r="P20" t="s">
        <v>57</v>
      </c>
      <c r="Q20" t="s">
        <v>49</v>
      </c>
      <c r="R20" t="s">
        <v>50</v>
      </c>
      <c r="S20" s="1">
        <v>46054</v>
      </c>
      <c r="U20" t="s">
        <v>51</v>
      </c>
      <c r="X20" t="s">
        <v>52</v>
      </c>
      <c r="Y20" s="2">
        <v>0</v>
      </c>
      <c r="Z20" s="2">
        <v>175</v>
      </c>
      <c r="AA20">
        <v>1</v>
      </c>
      <c r="AB20" s="3">
        <v>1</v>
      </c>
      <c r="AC20" s="2">
        <v>175</v>
      </c>
      <c r="AD20" s="3">
        <v>0</v>
      </c>
      <c r="AE20" s="2">
        <v>0</v>
      </c>
      <c r="AF20" s="2">
        <v>175</v>
      </c>
      <c r="AK20">
        <v>6202179</v>
      </c>
    </row>
    <row r="21" spans="1:37" x14ac:dyDescent="0.25">
      <c r="A21" s="1">
        <v>46050</v>
      </c>
      <c r="B21" s="1">
        <v>46050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121</v>
      </c>
      <c r="J21" t="s">
        <v>122</v>
      </c>
      <c r="M21" t="s">
        <v>55</v>
      </c>
      <c r="O21" t="s">
        <v>123</v>
      </c>
      <c r="P21" t="s">
        <v>124</v>
      </c>
      <c r="Q21" t="s">
        <v>49</v>
      </c>
      <c r="R21" t="s">
        <v>50</v>
      </c>
      <c r="S21" s="1">
        <v>46054</v>
      </c>
      <c r="U21" t="s">
        <v>51</v>
      </c>
      <c r="X21" t="s">
        <v>52</v>
      </c>
      <c r="Y21" s="2">
        <v>0</v>
      </c>
      <c r="Z21" s="2">
        <v>175</v>
      </c>
      <c r="AA21">
        <v>1</v>
      </c>
      <c r="AB21" s="3">
        <v>1</v>
      </c>
      <c r="AC21" s="2">
        <v>175</v>
      </c>
      <c r="AD21" s="3">
        <v>0</v>
      </c>
      <c r="AE21" s="2">
        <v>0</v>
      </c>
      <c r="AF21" s="2">
        <v>175</v>
      </c>
      <c r="AK21">
        <v>6202180</v>
      </c>
    </row>
    <row r="22" spans="1:37" x14ac:dyDescent="0.25">
      <c r="A22" s="1">
        <v>46050</v>
      </c>
      <c r="B22" s="1">
        <v>46050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125</v>
      </c>
      <c r="J22" t="s">
        <v>126</v>
      </c>
      <c r="M22" t="s">
        <v>55</v>
      </c>
      <c r="O22" t="s">
        <v>127</v>
      </c>
      <c r="P22" t="s">
        <v>128</v>
      </c>
      <c r="Q22" t="s">
        <v>49</v>
      </c>
      <c r="R22" t="s">
        <v>50</v>
      </c>
      <c r="S22" s="1">
        <v>46054</v>
      </c>
      <c r="U22" t="s">
        <v>51</v>
      </c>
      <c r="X22" t="s">
        <v>52</v>
      </c>
      <c r="Y22" s="2">
        <v>0</v>
      </c>
      <c r="Z22" s="2">
        <v>175</v>
      </c>
      <c r="AA22">
        <v>1</v>
      </c>
      <c r="AB22" s="3">
        <v>1</v>
      </c>
      <c r="AC22" s="2">
        <v>175</v>
      </c>
      <c r="AD22" s="3">
        <v>0</v>
      </c>
      <c r="AE22" s="2">
        <v>0</v>
      </c>
      <c r="AF22" s="2">
        <v>175</v>
      </c>
      <c r="AK22">
        <v>6202181</v>
      </c>
    </row>
    <row r="23" spans="1:37" x14ac:dyDescent="0.25">
      <c r="A23" s="1">
        <v>46050</v>
      </c>
      <c r="B23" s="1">
        <v>46050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129</v>
      </c>
      <c r="J23" t="s">
        <v>130</v>
      </c>
      <c r="M23" t="s">
        <v>55</v>
      </c>
      <c r="O23" t="s">
        <v>60</v>
      </c>
      <c r="P23" t="s">
        <v>61</v>
      </c>
      <c r="Q23" t="s">
        <v>49</v>
      </c>
      <c r="R23" t="s">
        <v>50</v>
      </c>
      <c r="S23" s="1">
        <v>46054</v>
      </c>
      <c r="U23" t="s">
        <v>51</v>
      </c>
      <c r="X23" t="s">
        <v>52</v>
      </c>
      <c r="Y23" s="2">
        <v>0</v>
      </c>
      <c r="Z23" s="2">
        <v>175</v>
      </c>
      <c r="AA23">
        <v>1</v>
      </c>
      <c r="AB23" s="3">
        <v>1</v>
      </c>
      <c r="AC23" s="2">
        <v>175</v>
      </c>
      <c r="AD23" s="3">
        <v>0</v>
      </c>
      <c r="AE23" s="2">
        <v>0</v>
      </c>
      <c r="AF23" s="2">
        <v>175</v>
      </c>
      <c r="AK23">
        <v>6202182</v>
      </c>
    </row>
    <row r="24" spans="1:37" x14ac:dyDescent="0.25">
      <c r="A24" s="1">
        <v>46050</v>
      </c>
      <c r="B24" s="1">
        <v>46050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131</v>
      </c>
      <c r="J24" t="s">
        <v>132</v>
      </c>
      <c r="M24" t="s">
        <v>133</v>
      </c>
      <c r="O24" t="s">
        <v>134</v>
      </c>
      <c r="P24" t="s">
        <v>135</v>
      </c>
      <c r="Q24" t="s">
        <v>49</v>
      </c>
      <c r="R24" t="s">
        <v>50</v>
      </c>
      <c r="S24" s="1">
        <v>46054</v>
      </c>
      <c r="U24" t="s">
        <v>51</v>
      </c>
      <c r="X24" t="s">
        <v>52</v>
      </c>
      <c r="Y24" s="2">
        <v>0</v>
      </c>
      <c r="Z24" s="2">
        <v>175</v>
      </c>
      <c r="AA24">
        <v>1</v>
      </c>
      <c r="AB24" s="3">
        <v>1</v>
      </c>
      <c r="AC24" s="2">
        <v>175</v>
      </c>
      <c r="AD24" s="3">
        <v>0</v>
      </c>
      <c r="AE24" s="2">
        <v>0</v>
      </c>
      <c r="AF24" s="2">
        <v>175</v>
      </c>
      <c r="AK24">
        <v>6202183</v>
      </c>
    </row>
    <row r="25" spans="1:37" x14ac:dyDescent="0.25">
      <c r="A25" s="1">
        <v>46050</v>
      </c>
      <c r="B25" s="1">
        <v>46050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136</v>
      </c>
      <c r="J25" t="s">
        <v>137</v>
      </c>
      <c r="M25" t="s">
        <v>84</v>
      </c>
      <c r="O25" t="s">
        <v>138</v>
      </c>
      <c r="P25" t="s">
        <v>139</v>
      </c>
      <c r="Q25" t="s">
        <v>49</v>
      </c>
      <c r="R25" t="s">
        <v>50</v>
      </c>
      <c r="S25" s="1">
        <v>46082</v>
      </c>
      <c r="U25" t="s">
        <v>51</v>
      </c>
      <c r="X25" t="s">
        <v>52</v>
      </c>
      <c r="Y25" s="2">
        <v>0</v>
      </c>
      <c r="Z25" s="2">
        <v>175</v>
      </c>
      <c r="AA25">
        <v>1</v>
      </c>
      <c r="AB25" s="3">
        <v>1</v>
      </c>
      <c r="AC25" s="2">
        <v>175</v>
      </c>
      <c r="AD25" s="3">
        <v>0</v>
      </c>
      <c r="AE25" s="2">
        <v>0</v>
      </c>
      <c r="AF25" s="2">
        <v>175</v>
      </c>
      <c r="AK25">
        <v>6202184</v>
      </c>
    </row>
    <row r="26" spans="1:37" x14ac:dyDescent="0.25">
      <c r="A26" s="1">
        <v>46050</v>
      </c>
      <c r="B26" s="1">
        <v>46050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140</v>
      </c>
      <c r="J26" t="s">
        <v>141</v>
      </c>
      <c r="M26" t="s">
        <v>55</v>
      </c>
      <c r="O26" t="s">
        <v>138</v>
      </c>
      <c r="P26" t="s">
        <v>139</v>
      </c>
      <c r="Q26" t="s">
        <v>49</v>
      </c>
      <c r="R26" t="s">
        <v>50</v>
      </c>
      <c r="S26" s="1">
        <v>46054</v>
      </c>
      <c r="U26" t="s">
        <v>51</v>
      </c>
      <c r="X26" t="s">
        <v>52</v>
      </c>
      <c r="Y26" s="2">
        <v>0</v>
      </c>
      <c r="Z26" s="2">
        <v>175</v>
      </c>
      <c r="AA26">
        <v>1</v>
      </c>
      <c r="AB26" s="3">
        <v>1</v>
      </c>
      <c r="AC26" s="2">
        <v>175</v>
      </c>
      <c r="AD26" s="3">
        <v>0</v>
      </c>
      <c r="AE26" s="2">
        <v>0</v>
      </c>
      <c r="AF26" s="2">
        <v>175</v>
      </c>
      <c r="AK26">
        <v>6202185</v>
      </c>
    </row>
    <row r="27" spans="1:37" x14ac:dyDescent="0.25">
      <c r="A27" s="1">
        <v>46050</v>
      </c>
      <c r="B27" s="1">
        <v>46050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142</v>
      </c>
      <c r="J27" t="s">
        <v>143</v>
      </c>
      <c r="M27" t="s">
        <v>55</v>
      </c>
      <c r="O27" t="s">
        <v>104</v>
      </c>
      <c r="P27" t="s">
        <v>105</v>
      </c>
      <c r="Q27" t="s">
        <v>49</v>
      </c>
      <c r="R27" t="s">
        <v>50</v>
      </c>
      <c r="S27" s="1">
        <v>46054</v>
      </c>
      <c r="U27" t="s">
        <v>51</v>
      </c>
      <c r="X27" t="s">
        <v>52</v>
      </c>
      <c r="Y27" s="2">
        <v>0</v>
      </c>
      <c r="Z27" s="2">
        <v>175</v>
      </c>
      <c r="AA27">
        <v>1</v>
      </c>
      <c r="AB27" s="3">
        <v>1</v>
      </c>
      <c r="AC27" s="2">
        <v>175</v>
      </c>
      <c r="AD27" s="3">
        <v>0</v>
      </c>
      <c r="AE27" s="2">
        <v>0</v>
      </c>
      <c r="AF27" s="2">
        <v>175</v>
      </c>
      <c r="AK27">
        <v>6202186</v>
      </c>
    </row>
    <row r="28" spans="1:37" x14ac:dyDescent="0.25">
      <c r="A28" s="1">
        <v>46050</v>
      </c>
      <c r="B28" s="1">
        <v>46050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144</v>
      </c>
      <c r="J28" t="s">
        <v>145</v>
      </c>
      <c r="M28" t="s">
        <v>55</v>
      </c>
      <c r="O28" t="s">
        <v>127</v>
      </c>
      <c r="P28" t="s">
        <v>128</v>
      </c>
      <c r="Q28" t="s">
        <v>49</v>
      </c>
      <c r="R28" t="s">
        <v>50</v>
      </c>
      <c r="S28" s="1">
        <v>46054</v>
      </c>
      <c r="U28" t="s">
        <v>51</v>
      </c>
      <c r="X28" t="s">
        <v>52</v>
      </c>
      <c r="Y28" s="2">
        <v>0</v>
      </c>
      <c r="Z28" s="2">
        <v>175</v>
      </c>
      <c r="AA28">
        <v>1</v>
      </c>
      <c r="AB28" s="3">
        <v>1</v>
      </c>
      <c r="AC28" s="2">
        <v>175</v>
      </c>
      <c r="AD28" s="3">
        <v>0</v>
      </c>
      <c r="AE28" s="2">
        <v>0</v>
      </c>
      <c r="AF28" s="2">
        <v>175</v>
      </c>
      <c r="AK28">
        <v>6202187</v>
      </c>
    </row>
    <row r="29" spans="1:37" x14ac:dyDescent="0.25">
      <c r="A29" s="1">
        <v>46050</v>
      </c>
      <c r="B29" s="1">
        <v>46050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146</v>
      </c>
      <c r="J29" t="s">
        <v>147</v>
      </c>
      <c r="M29" t="s">
        <v>55</v>
      </c>
      <c r="O29" t="s">
        <v>148</v>
      </c>
      <c r="P29" t="s">
        <v>149</v>
      </c>
      <c r="Q29" t="s">
        <v>49</v>
      </c>
      <c r="R29" t="s">
        <v>50</v>
      </c>
      <c r="S29" s="1">
        <v>46054</v>
      </c>
      <c r="U29" t="s">
        <v>51</v>
      </c>
      <c r="X29" t="s">
        <v>52</v>
      </c>
      <c r="Y29" s="2">
        <v>0</v>
      </c>
      <c r="Z29" s="2">
        <v>175</v>
      </c>
      <c r="AA29">
        <v>1</v>
      </c>
      <c r="AB29" s="3">
        <v>1</v>
      </c>
      <c r="AC29" s="2">
        <v>175</v>
      </c>
      <c r="AD29" s="3">
        <v>0</v>
      </c>
      <c r="AE29" s="2">
        <v>0</v>
      </c>
      <c r="AF29" s="2">
        <v>175</v>
      </c>
      <c r="AK29">
        <v>6202188</v>
      </c>
    </row>
    <row r="30" spans="1:37" x14ac:dyDescent="0.25">
      <c r="A30" s="1">
        <v>46050</v>
      </c>
      <c r="B30" s="1">
        <v>46050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150</v>
      </c>
      <c r="J30" t="s">
        <v>151</v>
      </c>
      <c r="M30" t="s">
        <v>55</v>
      </c>
      <c r="O30" t="s">
        <v>152</v>
      </c>
      <c r="P30" t="s">
        <v>153</v>
      </c>
      <c r="Q30" t="s">
        <v>49</v>
      </c>
      <c r="R30" t="s">
        <v>50</v>
      </c>
      <c r="S30" s="1">
        <v>46054</v>
      </c>
      <c r="U30" t="s">
        <v>51</v>
      </c>
      <c r="X30" t="s">
        <v>52</v>
      </c>
      <c r="Y30" s="2">
        <v>0</v>
      </c>
      <c r="Z30" s="2">
        <v>175</v>
      </c>
      <c r="AA30">
        <v>1</v>
      </c>
      <c r="AB30" s="3">
        <v>1</v>
      </c>
      <c r="AC30" s="2">
        <v>175</v>
      </c>
      <c r="AD30" s="3">
        <v>0</v>
      </c>
      <c r="AE30" s="2">
        <v>0</v>
      </c>
      <c r="AF30" s="2">
        <v>175</v>
      </c>
      <c r="AK30">
        <v>6202189</v>
      </c>
    </row>
    <row r="31" spans="1:37" x14ac:dyDescent="0.25">
      <c r="A31" s="1">
        <v>46050</v>
      </c>
      <c r="B31" s="1">
        <v>46050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154</v>
      </c>
      <c r="J31" t="s">
        <v>155</v>
      </c>
      <c r="M31" t="s">
        <v>55</v>
      </c>
      <c r="O31" t="s">
        <v>123</v>
      </c>
      <c r="P31" t="s">
        <v>124</v>
      </c>
      <c r="Q31" t="s">
        <v>49</v>
      </c>
      <c r="R31" t="s">
        <v>50</v>
      </c>
      <c r="S31" s="1">
        <v>46054</v>
      </c>
      <c r="U31" t="s">
        <v>51</v>
      </c>
      <c r="X31" t="s">
        <v>52</v>
      </c>
      <c r="Y31" s="2">
        <v>0</v>
      </c>
      <c r="Z31" s="2">
        <v>175</v>
      </c>
      <c r="AA31">
        <v>1</v>
      </c>
      <c r="AB31" s="3">
        <v>1</v>
      </c>
      <c r="AC31" s="2">
        <v>175</v>
      </c>
      <c r="AD31" s="3">
        <v>0</v>
      </c>
      <c r="AE31" s="2">
        <v>0</v>
      </c>
      <c r="AF31" s="2">
        <v>175</v>
      </c>
      <c r="AK31">
        <v>6202190</v>
      </c>
    </row>
    <row r="32" spans="1:37" x14ac:dyDescent="0.25">
      <c r="A32" s="1">
        <v>46050</v>
      </c>
      <c r="B32" s="1">
        <v>46050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156</v>
      </c>
      <c r="J32" t="s">
        <v>157</v>
      </c>
      <c r="M32" t="s">
        <v>55</v>
      </c>
      <c r="O32" t="s">
        <v>158</v>
      </c>
      <c r="P32" t="s">
        <v>159</v>
      </c>
      <c r="Q32" t="s">
        <v>49</v>
      </c>
      <c r="R32" t="s">
        <v>50</v>
      </c>
      <c r="S32" s="1">
        <v>46054</v>
      </c>
      <c r="U32" t="s">
        <v>51</v>
      </c>
      <c r="X32" t="s">
        <v>52</v>
      </c>
      <c r="Y32" s="2">
        <v>0</v>
      </c>
      <c r="Z32" s="2">
        <v>175</v>
      </c>
      <c r="AA32">
        <v>1</v>
      </c>
      <c r="AB32" s="3">
        <v>1</v>
      </c>
      <c r="AC32" s="2">
        <v>175</v>
      </c>
      <c r="AD32" s="3">
        <v>0</v>
      </c>
      <c r="AE32" s="2">
        <v>0</v>
      </c>
      <c r="AF32" s="2">
        <v>175</v>
      </c>
      <c r="AK32">
        <v>6202191</v>
      </c>
    </row>
    <row r="33" spans="1:37" x14ac:dyDescent="0.25">
      <c r="A33" s="1">
        <v>46050</v>
      </c>
      <c r="B33" s="1">
        <v>46050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160</v>
      </c>
      <c r="J33" t="s">
        <v>161</v>
      </c>
      <c r="M33" t="s">
        <v>55</v>
      </c>
      <c r="O33" t="s">
        <v>60</v>
      </c>
      <c r="P33" t="s">
        <v>61</v>
      </c>
      <c r="Q33" t="s">
        <v>49</v>
      </c>
      <c r="R33" t="s">
        <v>50</v>
      </c>
      <c r="S33" s="1">
        <v>46082</v>
      </c>
      <c r="U33" t="s">
        <v>51</v>
      </c>
      <c r="X33" t="s">
        <v>52</v>
      </c>
      <c r="Y33" s="2">
        <v>0</v>
      </c>
      <c r="Z33" s="2">
        <v>175</v>
      </c>
      <c r="AA33">
        <v>1</v>
      </c>
      <c r="AB33" s="3">
        <v>1</v>
      </c>
      <c r="AC33" s="2">
        <v>175</v>
      </c>
      <c r="AD33" s="3">
        <v>0</v>
      </c>
      <c r="AE33" s="2">
        <v>0</v>
      </c>
      <c r="AF33" s="2">
        <v>175</v>
      </c>
      <c r="AK33">
        <v>6202192</v>
      </c>
    </row>
    <row r="34" spans="1:37" x14ac:dyDescent="0.25">
      <c r="A34" s="1">
        <v>46050</v>
      </c>
      <c r="B34" s="1">
        <v>46050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162</v>
      </c>
      <c r="J34" t="s">
        <v>163</v>
      </c>
      <c r="M34" t="s">
        <v>55</v>
      </c>
      <c r="O34" t="s">
        <v>164</v>
      </c>
      <c r="P34" t="s">
        <v>165</v>
      </c>
      <c r="Q34" t="s">
        <v>49</v>
      </c>
      <c r="R34" t="s">
        <v>50</v>
      </c>
      <c r="S34" s="1">
        <v>46054</v>
      </c>
      <c r="U34" t="s">
        <v>51</v>
      </c>
      <c r="X34" t="s">
        <v>52</v>
      </c>
      <c r="Y34" s="2">
        <v>0</v>
      </c>
      <c r="Z34" s="2">
        <v>175</v>
      </c>
      <c r="AA34">
        <v>1</v>
      </c>
      <c r="AB34" s="3">
        <v>1</v>
      </c>
      <c r="AC34" s="2">
        <v>175</v>
      </c>
      <c r="AD34" s="3">
        <v>0</v>
      </c>
      <c r="AE34" s="2">
        <v>0</v>
      </c>
      <c r="AF34" s="2">
        <v>175</v>
      </c>
      <c r="AK34">
        <v>6202193</v>
      </c>
    </row>
    <row r="35" spans="1:37" x14ac:dyDescent="0.25">
      <c r="A35" s="1">
        <v>46050</v>
      </c>
      <c r="B35" s="1">
        <v>46050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166</v>
      </c>
      <c r="J35" t="s">
        <v>167</v>
      </c>
      <c r="M35" t="s">
        <v>103</v>
      </c>
      <c r="O35" t="s">
        <v>60</v>
      </c>
      <c r="P35" t="s">
        <v>61</v>
      </c>
      <c r="Q35" t="s">
        <v>49</v>
      </c>
      <c r="R35" t="s">
        <v>50</v>
      </c>
      <c r="S35" s="1">
        <v>46113</v>
      </c>
      <c r="U35" t="s">
        <v>51</v>
      </c>
      <c r="X35" t="s">
        <v>52</v>
      </c>
      <c r="Y35" s="2">
        <v>0</v>
      </c>
      <c r="Z35" s="2">
        <v>175</v>
      </c>
      <c r="AA35">
        <v>1</v>
      </c>
      <c r="AB35" s="3">
        <v>1</v>
      </c>
      <c r="AC35" s="2">
        <v>175</v>
      </c>
      <c r="AD35" s="3">
        <v>0</v>
      </c>
      <c r="AE35" s="2">
        <v>0</v>
      </c>
      <c r="AF35" s="2">
        <v>175</v>
      </c>
      <c r="AK35">
        <v>6202194</v>
      </c>
    </row>
    <row r="36" spans="1:37" x14ac:dyDescent="0.25">
      <c r="A36" s="1">
        <v>46050</v>
      </c>
      <c r="B36" s="1">
        <v>46050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168</v>
      </c>
      <c r="J36" t="s">
        <v>169</v>
      </c>
      <c r="M36" t="s">
        <v>55</v>
      </c>
      <c r="O36" t="s">
        <v>89</v>
      </c>
      <c r="P36" t="s">
        <v>90</v>
      </c>
      <c r="Q36" t="s">
        <v>49</v>
      </c>
      <c r="R36" t="s">
        <v>50</v>
      </c>
      <c r="S36" s="1">
        <v>46054</v>
      </c>
      <c r="U36" t="s">
        <v>51</v>
      </c>
      <c r="X36" t="s">
        <v>52</v>
      </c>
      <c r="Y36" s="2">
        <v>0</v>
      </c>
      <c r="Z36" s="2">
        <v>175</v>
      </c>
      <c r="AA36">
        <v>1</v>
      </c>
      <c r="AB36" s="3">
        <v>1</v>
      </c>
      <c r="AC36" s="2">
        <v>175</v>
      </c>
      <c r="AD36" s="3">
        <v>0</v>
      </c>
      <c r="AE36" s="2">
        <v>0</v>
      </c>
      <c r="AF36" s="2">
        <v>175</v>
      </c>
      <c r="AK36">
        <v>6202150</v>
      </c>
    </row>
    <row r="37" spans="1:37" x14ac:dyDescent="0.25">
      <c r="A37" s="1">
        <v>46050</v>
      </c>
      <c r="B37" s="1">
        <v>46050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170</v>
      </c>
      <c r="J37" t="s">
        <v>171</v>
      </c>
      <c r="M37" t="s">
        <v>55</v>
      </c>
      <c r="O37" t="s">
        <v>172</v>
      </c>
      <c r="P37" t="s">
        <v>173</v>
      </c>
      <c r="Q37" t="s">
        <v>49</v>
      </c>
      <c r="R37" t="s">
        <v>50</v>
      </c>
      <c r="S37" s="1">
        <v>46113</v>
      </c>
      <c r="U37" t="s">
        <v>51</v>
      </c>
      <c r="X37" t="s">
        <v>52</v>
      </c>
      <c r="Y37" s="2">
        <v>0</v>
      </c>
      <c r="Z37" s="2">
        <v>175</v>
      </c>
      <c r="AA37">
        <v>1</v>
      </c>
      <c r="AB37" s="3">
        <v>1</v>
      </c>
      <c r="AC37" s="2">
        <v>175</v>
      </c>
      <c r="AD37" s="3">
        <v>0</v>
      </c>
      <c r="AE37" s="2">
        <v>0</v>
      </c>
      <c r="AF37" s="2">
        <v>175</v>
      </c>
      <c r="AK37">
        <v>6202195</v>
      </c>
    </row>
    <row r="38" spans="1:37" x14ac:dyDescent="0.25">
      <c r="A38" s="1">
        <v>46050</v>
      </c>
      <c r="B38" s="1">
        <v>46050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174</v>
      </c>
      <c r="J38" t="s">
        <v>175</v>
      </c>
      <c r="M38" t="s">
        <v>133</v>
      </c>
      <c r="O38" t="s">
        <v>176</v>
      </c>
      <c r="P38" t="s">
        <v>177</v>
      </c>
      <c r="Q38" t="s">
        <v>49</v>
      </c>
      <c r="R38" t="s">
        <v>50</v>
      </c>
      <c r="S38" s="1">
        <v>46054</v>
      </c>
      <c r="U38" t="s">
        <v>51</v>
      </c>
      <c r="X38" t="s">
        <v>52</v>
      </c>
      <c r="Y38" s="2">
        <v>0</v>
      </c>
      <c r="Z38" s="2">
        <v>175</v>
      </c>
      <c r="AA38">
        <v>1</v>
      </c>
      <c r="AB38" s="3">
        <v>1</v>
      </c>
      <c r="AC38" s="2">
        <v>175</v>
      </c>
      <c r="AD38" s="3">
        <v>0</v>
      </c>
      <c r="AE38" s="2">
        <v>0</v>
      </c>
      <c r="AF38" s="2">
        <v>175</v>
      </c>
      <c r="AK38">
        <v>6202196</v>
      </c>
    </row>
    <row r="39" spans="1:37" x14ac:dyDescent="0.25">
      <c r="A39" s="1">
        <v>46050</v>
      </c>
      <c r="B39" s="1">
        <v>46050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178</v>
      </c>
      <c r="J39" t="s">
        <v>179</v>
      </c>
      <c r="M39" t="s">
        <v>55</v>
      </c>
      <c r="O39" t="s">
        <v>56</v>
      </c>
      <c r="P39" t="s">
        <v>57</v>
      </c>
      <c r="Q39" t="s">
        <v>49</v>
      </c>
      <c r="R39" t="s">
        <v>50</v>
      </c>
      <c r="S39" s="1">
        <v>46054</v>
      </c>
      <c r="U39" t="s">
        <v>51</v>
      </c>
      <c r="X39" t="s">
        <v>52</v>
      </c>
      <c r="Y39" s="2">
        <v>0</v>
      </c>
      <c r="Z39" s="2">
        <v>175</v>
      </c>
      <c r="AA39">
        <v>1</v>
      </c>
      <c r="AB39" s="3">
        <v>1</v>
      </c>
      <c r="AC39" s="2">
        <v>175</v>
      </c>
      <c r="AD39" s="3">
        <v>0</v>
      </c>
      <c r="AE39" s="2">
        <v>0</v>
      </c>
      <c r="AF39" s="2">
        <v>175</v>
      </c>
      <c r="AK39">
        <v>6202197</v>
      </c>
    </row>
    <row r="40" spans="1:37" x14ac:dyDescent="0.25">
      <c r="A40" s="1">
        <v>46050</v>
      </c>
      <c r="B40" s="1">
        <v>46050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180</v>
      </c>
      <c r="J40" t="s">
        <v>181</v>
      </c>
      <c r="M40" t="s">
        <v>74</v>
      </c>
      <c r="O40" t="s">
        <v>75</v>
      </c>
      <c r="P40" t="s">
        <v>76</v>
      </c>
      <c r="Q40" t="s">
        <v>49</v>
      </c>
      <c r="R40" t="s">
        <v>50</v>
      </c>
      <c r="S40" s="1">
        <v>46054</v>
      </c>
      <c r="U40" t="s">
        <v>51</v>
      </c>
      <c r="X40" t="s">
        <v>52</v>
      </c>
      <c r="Y40" s="2">
        <v>0</v>
      </c>
      <c r="Z40" s="2">
        <v>175</v>
      </c>
      <c r="AA40">
        <v>1</v>
      </c>
      <c r="AB40" s="3">
        <v>1</v>
      </c>
      <c r="AC40" s="2">
        <v>175</v>
      </c>
      <c r="AD40" s="3">
        <v>0</v>
      </c>
      <c r="AE40" s="2">
        <v>0</v>
      </c>
      <c r="AF40" s="2">
        <v>175</v>
      </c>
      <c r="AK40">
        <v>6202154</v>
      </c>
    </row>
    <row r="41" spans="1:37" x14ac:dyDescent="0.25">
      <c r="A41" s="1">
        <v>46050</v>
      </c>
      <c r="B41" s="1">
        <v>46050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182</v>
      </c>
      <c r="J41" t="s">
        <v>183</v>
      </c>
      <c r="M41" t="s">
        <v>55</v>
      </c>
      <c r="O41" t="s">
        <v>56</v>
      </c>
      <c r="P41" t="s">
        <v>57</v>
      </c>
      <c r="Q41" t="s">
        <v>49</v>
      </c>
      <c r="R41" t="s">
        <v>50</v>
      </c>
      <c r="S41" s="1">
        <v>46054</v>
      </c>
      <c r="U41" t="s">
        <v>51</v>
      </c>
      <c r="X41" t="s">
        <v>52</v>
      </c>
      <c r="Y41" s="2">
        <v>0</v>
      </c>
      <c r="Z41" s="2">
        <v>175</v>
      </c>
      <c r="AA41">
        <v>1</v>
      </c>
      <c r="AB41" s="3">
        <v>1</v>
      </c>
      <c r="AC41" s="2">
        <v>175</v>
      </c>
      <c r="AD41" s="3">
        <v>0</v>
      </c>
      <c r="AE41" s="2">
        <v>0</v>
      </c>
      <c r="AF41" s="2">
        <v>175</v>
      </c>
      <c r="AK41">
        <v>6202198</v>
      </c>
    </row>
    <row r="42" spans="1:37" x14ac:dyDescent="0.25">
      <c r="A42" s="1">
        <v>46050</v>
      </c>
      <c r="B42" s="1">
        <v>46050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184</v>
      </c>
      <c r="J42" t="s">
        <v>185</v>
      </c>
      <c r="M42" t="s">
        <v>55</v>
      </c>
      <c r="O42" t="s">
        <v>186</v>
      </c>
      <c r="P42" t="s">
        <v>187</v>
      </c>
      <c r="Q42" t="s">
        <v>49</v>
      </c>
      <c r="R42" t="s">
        <v>50</v>
      </c>
      <c r="S42" s="1">
        <v>46054</v>
      </c>
      <c r="U42" t="s">
        <v>51</v>
      </c>
      <c r="X42" t="s">
        <v>52</v>
      </c>
      <c r="Y42" s="2">
        <v>0</v>
      </c>
      <c r="Z42" s="2">
        <v>175</v>
      </c>
      <c r="AA42">
        <v>1</v>
      </c>
      <c r="AB42" s="3">
        <v>1</v>
      </c>
      <c r="AC42" s="2">
        <v>175</v>
      </c>
      <c r="AD42" s="3">
        <v>0</v>
      </c>
      <c r="AE42" s="2">
        <v>0</v>
      </c>
      <c r="AF42" s="2">
        <v>175</v>
      </c>
      <c r="AK42">
        <v>6202199</v>
      </c>
    </row>
    <row r="43" spans="1:37" x14ac:dyDescent="0.25">
      <c r="A43" s="1">
        <v>46050</v>
      </c>
      <c r="B43" s="1">
        <v>46050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188</v>
      </c>
      <c r="J43" t="s">
        <v>189</v>
      </c>
      <c r="M43" t="s">
        <v>55</v>
      </c>
      <c r="O43" t="s">
        <v>68</v>
      </c>
      <c r="P43" t="s">
        <v>69</v>
      </c>
      <c r="Q43" t="s">
        <v>49</v>
      </c>
      <c r="R43" t="s">
        <v>50</v>
      </c>
      <c r="S43" s="1">
        <v>46054</v>
      </c>
      <c r="U43" t="s">
        <v>51</v>
      </c>
      <c r="X43" t="s">
        <v>52</v>
      </c>
      <c r="Y43" s="2">
        <v>0</v>
      </c>
      <c r="Z43" s="2">
        <v>175</v>
      </c>
      <c r="AA43">
        <v>1</v>
      </c>
      <c r="AB43" s="3">
        <v>1</v>
      </c>
      <c r="AC43" s="2">
        <v>175</v>
      </c>
      <c r="AD43" s="3">
        <v>0</v>
      </c>
      <c r="AE43" s="2">
        <v>0</v>
      </c>
      <c r="AF43" s="2">
        <v>175</v>
      </c>
      <c r="AK43">
        <v>6202156</v>
      </c>
    </row>
    <row r="44" spans="1:37" s="6" customFormat="1" x14ac:dyDescent="0.25">
      <c r="A44" s="7">
        <v>46050</v>
      </c>
      <c r="B44" s="7">
        <v>46050</v>
      </c>
      <c r="C44" s="6" t="s">
        <v>38</v>
      </c>
      <c r="D44" s="6" t="s">
        <v>39</v>
      </c>
      <c r="E44" s="6" t="s">
        <v>40</v>
      </c>
      <c r="F44" s="6" t="s">
        <v>41</v>
      </c>
      <c r="G44" s="6" t="s">
        <v>42</v>
      </c>
      <c r="H44" s="6" t="s">
        <v>43</v>
      </c>
      <c r="I44" s="6" t="s">
        <v>190</v>
      </c>
      <c r="J44" s="6" t="s">
        <v>191</v>
      </c>
      <c r="O44" s="6" t="s">
        <v>192</v>
      </c>
      <c r="P44" s="6" t="s">
        <v>193</v>
      </c>
      <c r="Q44" s="6" t="s">
        <v>106</v>
      </c>
      <c r="R44" s="6" t="s">
        <v>194</v>
      </c>
      <c r="S44" s="7">
        <v>45992</v>
      </c>
      <c r="U44" s="6" t="s">
        <v>51</v>
      </c>
      <c r="X44" s="6" t="s">
        <v>52</v>
      </c>
      <c r="Y44" s="8">
        <v>147.6</v>
      </c>
      <c r="Z44" s="8">
        <v>147.6</v>
      </c>
      <c r="AA44" s="6">
        <v>9</v>
      </c>
      <c r="AB44" s="9">
        <v>0.03</v>
      </c>
      <c r="AC44" s="8">
        <v>39.85</v>
      </c>
      <c r="AD44" s="9">
        <v>0</v>
      </c>
      <c r="AE44" s="8">
        <v>0</v>
      </c>
      <c r="AF44" s="8">
        <v>39.85</v>
      </c>
      <c r="AK44" s="6">
        <v>6202949</v>
      </c>
    </row>
    <row r="45" spans="1:37" x14ac:dyDescent="0.25">
      <c r="A45" s="1">
        <v>46050</v>
      </c>
      <c r="B45" s="1">
        <v>46050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195</v>
      </c>
      <c r="J45" t="s">
        <v>196</v>
      </c>
      <c r="M45" t="s">
        <v>55</v>
      </c>
      <c r="O45" t="s">
        <v>123</v>
      </c>
      <c r="P45" t="s">
        <v>124</v>
      </c>
      <c r="Q45" t="s">
        <v>49</v>
      </c>
      <c r="R45" t="s">
        <v>197</v>
      </c>
      <c r="S45" s="1">
        <v>46023</v>
      </c>
      <c r="U45" t="s">
        <v>51</v>
      </c>
      <c r="X45" t="s">
        <v>52</v>
      </c>
      <c r="Y45" s="2">
        <v>0</v>
      </c>
      <c r="Z45" s="2">
        <v>25</v>
      </c>
      <c r="AA45">
        <v>1</v>
      </c>
      <c r="AB45" s="3">
        <v>1</v>
      </c>
      <c r="AC45" s="2">
        <v>25</v>
      </c>
      <c r="AD45" s="3">
        <v>0</v>
      </c>
      <c r="AE45" s="2">
        <v>0</v>
      </c>
      <c r="AF45" s="2">
        <v>25</v>
      </c>
      <c r="AK45">
        <v>6200270</v>
      </c>
    </row>
    <row r="46" spans="1:37" x14ac:dyDescent="0.25">
      <c r="A46" s="1">
        <v>46050</v>
      </c>
      <c r="B46" s="1">
        <v>46050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198</v>
      </c>
      <c r="J46" t="s">
        <v>199</v>
      </c>
      <c r="M46" t="s">
        <v>55</v>
      </c>
      <c r="O46" t="s">
        <v>123</v>
      </c>
      <c r="P46" t="s">
        <v>124</v>
      </c>
      <c r="Q46" t="s">
        <v>49</v>
      </c>
      <c r="R46" t="s">
        <v>197</v>
      </c>
      <c r="S46" s="1">
        <v>46023</v>
      </c>
      <c r="U46" t="s">
        <v>51</v>
      </c>
      <c r="X46" t="s">
        <v>52</v>
      </c>
      <c r="Y46" s="2">
        <v>0</v>
      </c>
      <c r="Z46" s="2">
        <v>25</v>
      </c>
      <c r="AA46">
        <v>1</v>
      </c>
      <c r="AB46" s="3">
        <v>1</v>
      </c>
      <c r="AC46" s="2">
        <v>25</v>
      </c>
      <c r="AD46" s="3">
        <v>0</v>
      </c>
      <c r="AE46" s="2">
        <v>0</v>
      </c>
      <c r="AF46" s="2">
        <v>25</v>
      </c>
      <c r="AK46">
        <v>6200271</v>
      </c>
    </row>
    <row r="47" spans="1:37" x14ac:dyDescent="0.25">
      <c r="A47" s="1">
        <v>46050</v>
      </c>
      <c r="B47" s="1">
        <v>46050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200</v>
      </c>
      <c r="J47" t="s">
        <v>201</v>
      </c>
      <c r="M47" t="s">
        <v>202</v>
      </c>
      <c r="O47" t="s">
        <v>203</v>
      </c>
      <c r="P47" t="s">
        <v>204</v>
      </c>
      <c r="Q47" t="s">
        <v>106</v>
      </c>
      <c r="R47" t="s">
        <v>197</v>
      </c>
      <c r="S47" s="1">
        <v>46023</v>
      </c>
      <c r="U47" t="s">
        <v>51</v>
      </c>
      <c r="X47" t="s">
        <v>52</v>
      </c>
      <c r="Y47" s="2">
        <v>0</v>
      </c>
      <c r="Z47" s="2">
        <v>25</v>
      </c>
      <c r="AA47">
        <v>1</v>
      </c>
      <c r="AB47" s="3">
        <v>1</v>
      </c>
      <c r="AC47" s="2">
        <v>25</v>
      </c>
      <c r="AD47" s="3">
        <v>0</v>
      </c>
      <c r="AE47" s="2">
        <v>0</v>
      </c>
      <c r="AF47" s="2">
        <v>25</v>
      </c>
      <c r="AK47">
        <v>6200273</v>
      </c>
    </row>
    <row r="48" spans="1:37" x14ac:dyDescent="0.25">
      <c r="A48" s="1">
        <v>46050</v>
      </c>
      <c r="B48" s="1">
        <v>46050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205</v>
      </c>
      <c r="J48" t="s">
        <v>206</v>
      </c>
      <c r="M48" t="s">
        <v>202</v>
      </c>
      <c r="O48" t="s">
        <v>207</v>
      </c>
      <c r="P48" t="s">
        <v>208</v>
      </c>
      <c r="Q48" t="s">
        <v>49</v>
      </c>
      <c r="R48" t="s">
        <v>197</v>
      </c>
      <c r="S48" s="1">
        <v>46023</v>
      </c>
      <c r="U48" t="s">
        <v>51</v>
      </c>
      <c r="X48" t="s">
        <v>52</v>
      </c>
      <c r="Y48" s="2">
        <v>0</v>
      </c>
      <c r="Z48" s="2">
        <v>25</v>
      </c>
      <c r="AA48">
        <v>1</v>
      </c>
      <c r="AB48" s="3">
        <v>1</v>
      </c>
      <c r="AC48" s="2">
        <v>25</v>
      </c>
      <c r="AD48" s="3">
        <v>0</v>
      </c>
      <c r="AE48" s="2">
        <v>0</v>
      </c>
      <c r="AF48" s="2">
        <v>25</v>
      </c>
      <c r="AK48">
        <v>6200274</v>
      </c>
    </row>
    <row r="49" spans="1:38" x14ac:dyDescent="0.25">
      <c r="A49" s="1">
        <v>46050</v>
      </c>
      <c r="B49" s="1">
        <v>46050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209</v>
      </c>
      <c r="J49" t="s">
        <v>210</v>
      </c>
      <c r="M49" t="s">
        <v>202</v>
      </c>
      <c r="O49" t="s">
        <v>211</v>
      </c>
      <c r="P49" t="s">
        <v>212</v>
      </c>
      <c r="Q49" t="s">
        <v>49</v>
      </c>
      <c r="R49" t="s">
        <v>197</v>
      </c>
      <c r="S49" s="1">
        <v>46023</v>
      </c>
      <c r="U49" t="s">
        <v>51</v>
      </c>
      <c r="X49" t="s">
        <v>52</v>
      </c>
      <c r="Y49" s="2">
        <v>0</v>
      </c>
      <c r="Z49" s="2">
        <v>25</v>
      </c>
      <c r="AA49">
        <v>1</v>
      </c>
      <c r="AB49" s="3">
        <v>1</v>
      </c>
      <c r="AC49" s="2">
        <v>25</v>
      </c>
      <c r="AD49" s="3">
        <v>0</v>
      </c>
      <c r="AE49" s="2">
        <v>0</v>
      </c>
      <c r="AF49" s="2">
        <v>25</v>
      </c>
      <c r="AK49">
        <v>6200275</v>
      </c>
    </row>
    <row r="50" spans="1:38" x14ac:dyDescent="0.25">
      <c r="A50" s="1">
        <v>46050</v>
      </c>
      <c r="B50" s="1">
        <v>46050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213</v>
      </c>
      <c r="J50" t="s">
        <v>214</v>
      </c>
      <c r="M50" t="s">
        <v>202</v>
      </c>
      <c r="O50" t="s">
        <v>203</v>
      </c>
      <c r="P50" t="s">
        <v>204</v>
      </c>
      <c r="Q50" t="s">
        <v>49</v>
      </c>
      <c r="R50" t="s">
        <v>197</v>
      </c>
      <c r="S50" s="1">
        <v>46023</v>
      </c>
      <c r="U50" t="s">
        <v>51</v>
      </c>
      <c r="X50" t="s">
        <v>52</v>
      </c>
      <c r="Y50" s="2">
        <v>0</v>
      </c>
      <c r="Z50" s="2">
        <v>25</v>
      </c>
      <c r="AA50">
        <v>1</v>
      </c>
      <c r="AB50" s="3">
        <v>1</v>
      </c>
      <c r="AC50" s="2">
        <v>25</v>
      </c>
      <c r="AD50" s="3">
        <v>0</v>
      </c>
      <c r="AE50" s="2">
        <v>0</v>
      </c>
      <c r="AF50" s="2">
        <v>25</v>
      </c>
      <c r="AK50">
        <v>6200276</v>
      </c>
    </row>
    <row r="51" spans="1:38" x14ac:dyDescent="0.25">
      <c r="A51" s="1">
        <v>46050</v>
      </c>
      <c r="B51" s="1">
        <v>46050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215</v>
      </c>
      <c r="J51" t="s">
        <v>216</v>
      </c>
      <c r="M51" t="s">
        <v>202</v>
      </c>
      <c r="O51" t="s">
        <v>211</v>
      </c>
      <c r="P51" t="s">
        <v>212</v>
      </c>
      <c r="Q51" t="s">
        <v>49</v>
      </c>
      <c r="R51" t="s">
        <v>197</v>
      </c>
      <c r="S51" s="1">
        <v>46023</v>
      </c>
      <c r="U51" t="s">
        <v>51</v>
      </c>
      <c r="X51" t="s">
        <v>52</v>
      </c>
      <c r="Y51" s="2">
        <v>0</v>
      </c>
      <c r="Z51" s="2">
        <v>25</v>
      </c>
      <c r="AA51">
        <v>1</v>
      </c>
      <c r="AB51" s="3">
        <v>1</v>
      </c>
      <c r="AC51" s="2">
        <v>25</v>
      </c>
      <c r="AD51" s="3">
        <v>0</v>
      </c>
      <c r="AE51" s="2">
        <v>0</v>
      </c>
      <c r="AF51" s="2">
        <v>25</v>
      </c>
      <c r="AK51">
        <v>6200279</v>
      </c>
    </row>
    <row r="52" spans="1:38" x14ac:dyDescent="0.25">
      <c r="A52" s="1">
        <v>46050</v>
      </c>
      <c r="B52" s="1">
        <v>46050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217</v>
      </c>
      <c r="J52" t="s">
        <v>218</v>
      </c>
      <c r="M52" t="s">
        <v>202</v>
      </c>
      <c r="O52" t="s">
        <v>203</v>
      </c>
      <c r="P52" t="s">
        <v>204</v>
      </c>
      <c r="Q52" t="s">
        <v>49</v>
      </c>
      <c r="R52" t="s">
        <v>197</v>
      </c>
      <c r="S52" s="1">
        <v>46023</v>
      </c>
      <c r="U52" t="s">
        <v>51</v>
      </c>
      <c r="X52" t="s">
        <v>52</v>
      </c>
      <c r="Y52" s="2">
        <v>0</v>
      </c>
      <c r="Z52" s="2">
        <v>25</v>
      </c>
      <c r="AA52">
        <v>1</v>
      </c>
      <c r="AB52" s="3">
        <v>1</v>
      </c>
      <c r="AC52" s="2">
        <v>25</v>
      </c>
      <c r="AD52" s="3">
        <v>0</v>
      </c>
      <c r="AE52" s="2">
        <v>0</v>
      </c>
      <c r="AF52" s="2">
        <v>25</v>
      </c>
      <c r="AK52">
        <v>6200281</v>
      </c>
    </row>
    <row r="53" spans="1:38" x14ac:dyDescent="0.25">
      <c r="A53" s="1">
        <v>46050</v>
      </c>
      <c r="B53" s="1">
        <v>46050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219</v>
      </c>
      <c r="J53" t="s">
        <v>220</v>
      </c>
      <c r="M53" t="s">
        <v>202</v>
      </c>
      <c r="O53" t="s">
        <v>203</v>
      </c>
      <c r="P53" t="s">
        <v>204</v>
      </c>
      <c r="Q53" t="s">
        <v>106</v>
      </c>
      <c r="R53" t="s">
        <v>197</v>
      </c>
      <c r="S53" s="1">
        <v>46023</v>
      </c>
      <c r="U53" t="s">
        <v>51</v>
      </c>
      <c r="X53" t="s">
        <v>52</v>
      </c>
      <c r="Y53" s="2">
        <v>0</v>
      </c>
      <c r="Z53" s="2">
        <v>25</v>
      </c>
      <c r="AA53">
        <v>1</v>
      </c>
      <c r="AB53" s="3">
        <v>1</v>
      </c>
      <c r="AC53" s="2">
        <v>25</v>
      </c>
      <c r="AD53" s="3">
        <v>0</v>
      </c>
      <c r="AE53" s="2">
        <v>0</v>
      </c>
      <c r="AF53" s="2">
        <v>25</v>
      </c>
      <c r="AK53">
        <v>6200282</v>
      </c>
    </row>
    <row r="54" spans="1:38" x14ac:dyDescent="0.25">
      <c r="A54" s="1">
        <v>46050</v>
      </c>
      <c r="B54" s="1">
        <v>46050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221</v>
      </c>
      <c r="J54" t="s">
        <v>222</v>
      </c>
      <c r="M54" t="s">
        <v>202</v>
      </c>
      <c r="O54" t="s">
        <v>211</v>
      </c>
      <c r="P54" t="s">
        <v>212</v>
      </c>
      <c r="Q54" t="s">
        <v>49</v>
      </c>
      <c r="R54" t="s">
        <v>197</v>
      </c>
      <c r="S54" s="1">
        <v>46023</v>
      </c>
      <c r="U54" t="s">
        <v>51</v>
      </c>
      <c r="X54" t="s">
        <v>52</v>
      </c>
      <c r="Y54" s="2">
        <v>0</v>
      </c>
      <c r="Z54" s="2">
        <v>25</v>
      </c>
      <c r="AA54">
        <v>1</v>
      </c>
      <c r="AB54" s="3">
        <v>1</v>
      </c>
      <c r="AC54" s="2">
        <v>25</v>
      </c>
      <c r="AD54" s="3">
        <v>0</v>
      </c>
      <c r="AE54" s="2">
        <v>0</v>
      </c>
      <c r="AF54" s="2">
        <v>25</v>
      </c>
      <c r="AK54">
        <v>6200284</v>
      </c>
    </row>
    <row r="55" spans="1:38" x14ac:dyDescent="0.25">
      <c r="A55" s="1">
        <v>46050</v>
      </c>
      <c r="B55" s="1">
        <v>46050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223</v>
      </c>
      <c r="J55" t="s">
        <v>224</v>
      </c>
      <c r="M55" t="s">
        <v>202</v>
      </c>
      <c r="O55" t="s">
        <v>211</v>
      </c>
      <c r="P55" t="s">
        <v>212</v>
      </c>
      <c r="Q55" t="s">
        <v>49</v>
      </c>
      <c r="R55" t="s">
        <v>197</v>
      </c>
      <c r="S55" s="1">
        <v>46023</v>
      </c>
      <c r="U55" t="s">
        <v>51</v>
      </c>
      <c r="X55" t="s">
        <v>52</v>
      </c>
      <c r="Y55" s="2">
        <v>0</v>
      </c>
      <c r="Z55" s="2">
        <v>25</v>
      </c>
      <c r="AA55">
        <v>1</v>
      </c>
      <c r="AB55" s="3">
        <v>1</v>
      </c>
      <c r="AC55" s="2">
        <v>25</v>
      </c>
      <c r="AD55" s="3">
        <v>0</v>
      </c>
      <c r="AE55" s="2">
        <v>0</v>
      </c>
      <c r="AF55" s="2">
        <v>25</v>
      </c>
      <c r="AK55">
        <v>6200285</v>
      </c>
    </row>
    <row r="56" spans="1:38" x14ac:dyDescent="0.25">
      <c r="A56" s="1">
        <v>46050</v>
      </c>
      <c r="B56" s="1">
        <v>46050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225</v>
      </c>
      <c r="J56" t="s">
        <v>226</v>
      </c>
      <c r="M56" t="s">
        <v>202</v>
      </c>
      <c r="O56" t="s">
        <v>211</v>
      </c>
      <c r="P56" t="s">
        <v>212</v>
      </c>
      <c r="Q56" t="s">
        <v>49</v>
      </c>
      <c r="R56" t="s">
        <v>197</v>
      </c>
      <c r="S56" s="1">
        <v>46023</v>
      </c>
      <c r="U56" t="s">
        <v>51</v>
      </c>
      <c r="X56" t="s">
        <v>52</v>
      </c>
      <c r="Y56" s="2">
        <v>0</v>
      </c>
      <c r="Z56" s="2">
        <v>25</v>
      </c>
      <c r="AA56">
        <v>1</v>
      </c>
      <c r="AB56" s="3">
        <v>1</v>
      </c>
      <c r="AC56" s="2">
        <v>25</v>
      </c>
      <c r="AD56" s="3">
        <v>0</v>
      </c>
      <c r="AE56" s="2">
        <v>0</v>
      </c>
      <c r="AF56" s="2">
        <v>25</v>
      </c>
      <c r="AK56">
        <v>6200286</v>
      </c>
    </row>
    <row r="57" spans="1:38" x14ac:dyDescent="0.25">
      <c r="A57" s="1">
        <v>46050</v>
      </c>
      <c r="B57" s="1">
        <v>46050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227</v>
      </c>
      <c r="J57" t="s">
        <v>228</v>
      </c>
      <c r="M57" t="s">
        <v>84</v>
      </c>
      <c r="O57" t="s">
        <v>229</v>
      </c>
      <c r="P57" t="s">
        <v>230</v>
      </c>
      <c r="Q57" t="s">
        <v>49</v>
      </c>
      <c r="R57" t="s">
        <v>197</v>
      </c>
      <c r="S57" s="1">
        <v>46023</v>
      </c>
      <c r="U57" t="s">
        <v>51</v>
      </c>
      <c r="X57" t="s">
        <v>52</v>
      </c>
      <c r="Y57" s="2">
        <v>0</v>
      </c>
      <c r="Z57" s="2">
        <v>25</v>
      </c>
      <c r="AA57">
        <v>1</v>
      </c>
      <c r="AB57" s="3">
        <v>1</v>
      </c>
      <c r="AC57" s="2">
        <v>25</v>
      </c>
      <c r="AD57" s="3">
        <v>0</v>
      </c>
      <c r="AE57" s="2">
        <v>0</v>
      </c>
      <c r="AF57" s="2">
        <v>25</v>
      </c>
      <c r="AK57">
        <v>6200293</v>
      </c>
    </row>
    <row r="58" spans="1:38" x14ac:dyDescent="0.25">
      <c r="A58" s="1">
        <v>46050</v>
      </c>
      <c r="B58" s="1">
        <v>46050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231</v>
      </c>
      <c r="J58" t="s">
        <v>232</v>
      </c>
      <c r="M58" t="s">
        <v>233</v>
      </c>
      <c r="O58" t="s">
        <v>104</v>
      </c>
      <c r="P58" t="s">
        <v>105</v>
      </c>
      <c r="Q58" t="s">
        <v>49</v>
      </c>
      <c r="R58" t="s">
        <v>197</v>
      </c>
      <c r="S58" s="1">
        <v>46023</v>
      </c>
      <c r="U58" t="s">
        <v>51</v>
      </c>
      <c r="X58" t="s">
        <v>52</v>
      </c>
      <c r="Y58" s="2">
        <v>0</v>
      </c>
      <c r="Z58" s="2">
        <v>25</v>
      </c>
      <c r="AA58">
        <v>1</v>
      </c>
      <c r="AB58" s="3">
        <v>1</v>
      </c>
      <c r="AC58" s="2">
        <v>25</v>
      </c>
      <c r="AD58" s="3">
        <v>0</v>
      </c>
      <c r="AE58" s="2">
        <v>0</v>
      </c>
      <c r="AF58" s="2">
        <v>25</v>
      </c>
      <c r="AK58">
        <v>6200294</v>
      </c>
    </row>
    <row r="59" spans="1:38" x14ac:dyDescent="0.25">
      <c r="A59" s="1">
        <v>46050</v>
      </c>
      <c r="B59" s="1">
        <v>46050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234</v>
      </c>
      <c r="J59" t="s">
        <v>235</v>
      </c>
      <c r="M59" t="s">
        <v>202</v>
      </c>
      <c r="O59" t="s">
        <v>203</v>
      </c>
      <c r="P59" t="s">
        <v>204</v>
      </c>
      <c r="Q59" t="s">
        <v>49</v>
      </c>
      <c r="R59" t="s">
        <v>197</v>
      </c>
      <c r="S59" s="1">
        <v>46023</v>
      </c>
      <c r="U59" t="s">
        <v>51</v>
      </c>
      <c r="X59" t="s">
        <v>52</v>
      </c>
      <c r="Y59" s="2">
        <v>0</v>
      </c>
      <c r="Z59" s="2">
        <v>25</v>
      </c>
      <c r="AA59">
        <v>1</v>
      </c>
      <c r="AB59" s="3">
        <v>1</v>
      </c>
      <c r="AC59" s="2">
        <v>25</v>
      </c>
      <c r="AD59" s="3">
        <v>0</v>
      </c>
      <c r="AE59" s="2">
        <v>0</v>
      </c>
      <c r="AF59" s="2">
        <v>25</v>
      </c>
      <c r="AK59">
        <v>6200299</v>
      </c>
    </row>
    <row r="60" spans="1:38" x14ac:dyDescent="0.25">
      <c r="A60" s="1">
        <v>46050</v>
      </c>
      <c r="B60" s="1">
        <v>46050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236</v>
      </c>
      <c r="J60" t="s">
        <v>237</v>
      </c>
      <c r="M60" t="s">
        <v>55</v>
      </c>
      <c r="O60" t="s">
        <v>238</v>
      </c>
      <c r="P60" t="s">
        <v>239</v>
      </c>
      <c r="Q60" t="s">
        <v>49</v>
      </c>
      <c r="R60" t="s">
        <v>197</v>
      </c>
      <c r="S60" s="1">
        <v>46023</v>
      </c>
      <c r="U60" t="s">
        <v>51</v>
      </c>
      <c r="X60" t="s">
        <v>52</v>
      </c>
      <c r="Y60" s="2">
        <v>0</v>
      </c>
      <c r="Z60" s="2">
        <v>25</v>
      </c>
      <c r="AA60">
        <v>1</v>
      </c>
      <c r="AB60" s="3">
        <v>1</v>
      </c>
      <c r="AC60" s="2">
        <v>25</v>
      </c>
      <c r="AD60" s="3">
        <v>0</v>
      </c>
      <c r="AE60" s="2">
        <v>0</v>
      </c>
      <c r="AF60" s="2">
        <v>25</v>
      </c>
      <c r="AK60">
        <v>6200317</v>
      </c>
    </row>
    <row r="61" spans="1:38" x14ac:dyDescent="0.25">
      <c r="A61" s="1">
        <v>46050</v>
      </c>
      <c r="B61" s="1">
        <v>46050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240</v>
      </c>
      <c r="J61" t="s">
        <v>241</v>
      </c>
      <c r="M61" t="s">
        <v>103</v>
      </c>
      <c r="O61" t="s">
        <v>242</v>
      </c>
      <c r="P61" t="s">
        <v>243</v>
      </c>
      <c r="Q61" t="s">
        <v>49</v>
      </c>
      <c r="R61" t="s">
        <v>244</v>
      </c>
      <c r="S61" s="1">
        <v>46054</v>
      </c>
      <c r="U61" t="s">
        <v>51</v>
      </c>
      <c r="X61" t="s">
        <v>52</v>
      </c>
      <c r="Y61" s="2">
        <v>0</v>
      </c>
      <c r="Z61" s="2">
        <v>22.92</v>
      </c>
      <c r="AA61">
        <v>1</v>
      </c>
      <c r="AB61" s="3">
        <v>1</v>
      </c>
      <c r="AC61" s="2">
        <v>22.92</v>
      </c>
      <c r="AD61" s="3">
        <v>0</v>
      </c>
      <c r="AE61" s="2">
        <v>0</v>
      </c>
      <c r="AF61" s="2">
        <v>22.92</v>
      </c>
      <c r="AK61">
        <v>6200326</v>
      </c>
      <c r="AL61" t="s">
        <v>245</v>
      </c>
    </row>
    <row r="62" spans="1:38" x14ac:dyDescent="0.25">
      <c r="A62" s="1">
        <v>46050</v>
      </c>
      <c r="B62" s="1">
        <v>46050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246</v>
      </c>
      <c r="J62" t="s">
        <v>247</v>
      </c>
      <c r="M62" t="s">
        <v>55</v>
      </c>
      <c r="O62" t="s">
        <v>123</v>
      </c>
      <c r="P62" t="s">
        <v>124</v>
      </c>
      <c r="Q62" t="s">
        <v>49</v>
      </c>
      <c r="R62" t="s">
        <v>197</v>
      </c>
      <c r="S62" s="1">
        <v>46054</v>
      </c>
      <c r="U62" t="s">
        <v>51</v>
      </c>
      <c r="X62" t="s">
        <v>52</v>
      </c>
      <c r="Y62" s="2">
        <v>0</v>
      </c>
      <c r="Z62" s="2">
        <v>25</v>
      </c>
      <c r="AA62">
        <v>1</v>
      </c>
      <c r="AB62" s="3">
        <v>1</v>
      </c>
      <c r="AC62" s="2">
        <v>25</v>
      </c>
      <c r="AD62" s="3">
        <v>0</v>
      </c>
      <c r="AE62" s="2">
        <v>0</v>
      </c>
      <c r="AF62" s="2">
        <v>25</v>
      </c>
      <c r="AK62">
        <v>6200368</v>
      </c>
    </row>
    <row r="63" spans="1:38" x14ac:dyDescent="0.25">
      <c r="A63" s="1">
        <v>46050</v>
      </c>
      <c r="B63" s="1">
        <v>46050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248</v>
      </c>
      <c r="J63" t="s">
        <v>249</v>
      </c>
      <c r="M63" t="s">
        <v>202</v>
      </c>
      <c r="O63" t="s">
        <v>211</v>
      </c>
      <c r="P63" t="s">
        <v>212</v>
      </c>
      <c r="Q63" t="s">
        <v>49</v>
      </c>
      <c r="R63" t="s">
        <v>250</v>
      </c>
      <c r="S63" s="1">
        <v>46054</v>
      </c>
      <c r="U63" t="s">
        <v>51</v>
      </c>
      <c r="X63" t="s">
        <v>52</v>
      </c>
      <c r="Y63" s="2">
        <v>0</v>
      </c>
      <c r="Z63" s="2">
        <v>15</v>
      </c>
      <c r="AA63">
        <v>1</v>
      </c>
      <c r="AB63" s="3">
        <v>1</v>
      </c>
      <c r="AC63" s="2">
        <v>15</v>
      </c>
      <c r="AD63" s="3">
        <v>0</v>
      </c>
      <c r="AE63" s="2">
        <v>0</v>
      </c>
      <c r="AF63" s="2">
        <v>15</v>
      </c>
      <c r="AK63">
        <v>6200369</v>
      </c>
    </row>
    <row r="64" spans="1:38" x14ac:dyDescent="0.25">
      <c r="A64" s="1">
        <v>46050</v>
      </c>
      <c r="B64" s="1">
        <v>46050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251</v>
      </c>
      <c r="J64" t="s">
        <v>252</v>
      </c>
      <c r="M64" t="s">
        <v>202</v>
      </c>
      <c r="O64" t="s">
        <v>138</v>
      </c>
      <c r="P64" t="s">
        <v>139</v>
      </c>
      <c r="Q64" t="s">
        <v>49</v>
      </c>
      <c r="R64" t="s">
        <v>197</v>
      </c>
      <c r="S64" s="1">
        <v>46054</v>
      </c>
      <c r="U64" t="s">
        <v>51</v>
      </c>
      <c r="X64" t="s">
        <v>52</v>
      </c>
      <c r="Y64" s="2">
        <v>0</v>
      </c>
      <c r="Z64" s="2">
        <v>25</v>
      </c>
      <c r="AA64">
        <v>1</v>
      </c>
      <c r="AB64" s="3">
        <v>1</v>
      </c>
      <c r="AC64" s="2">
        <v>25</v>
      </c>
      <c r="AD64" s="3">
        <v>0</v>
      </c>
      <c r="AE64" s="2">
        <v>0</v>
      </c>
      <c r="AF64" s="2">
        <v>25</v>
      </c>
      <c r="AK64">
        <v>6200381</v>
      </c>
    </row>
    <row r="65" spans="1:37" x14ac:dyDescent="0.25">
      <c r="A65" s="1">
        <v>46050</v>
      </c>
      <c r="B65" s="1">
        <v>46050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253</v>
      </c>
      <c r="J65" t="s">
        <v>254</v>
      </c>
      <c r="M65" t="s">
        <v>255</v>
      </c>
      <c r="O65" t="s">
        <v>256</v>
      </c>
      <c r="P65" t="s">
        <v>257</v>
      </c>
      <c r="Q65" t="s">
        <v>49</v>
      </c>
      <c r="R65" t="s">
        <v>250</v>
      </c>
      <c r="S65" s="1">
        <v>46054</v>
      </c>
      <c r="U65" t="s">
        <v>51</v>
      </c>
      <c r="X65" t="s">
        <v>52</v>
      </c>
      <c r="Y65" s="2">
        <v>0</v>
      </c>
      <c r="Z65" s="2">
        <v>15</v>
      </c>
      <c r="AA65">
        <v>1</v>
      </c>
      <c r="AB65" s="3">
        <v>1</v>
      </c>
      <c r="AC65" s="2">
        <v>15</v>
      </c>
      <c r="AD65" s="3">
        <v>0</v>
      </c>
      <c r="AE65" s="2">
        <v>0</v>
      </c>
      <c r="AF65" s="2">
        <v>15</v>
      </c>
      <c r="AK65">
        <v>6200386</v>
      </c>
    </row>
    <row r="66" spans="1:37" x14ac:dyDescent="0.25">
      <c r="A66" s="1">
        <v>46050</v>
      </c>
      <c r="B66" s="1">
        <v>46050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258</v>
      </c>
      <c r="J66" t="s">
        <v>259</v>
      </c>
      <c r="M66" t="s">
        <v>202</v>
      </c>
      <c r="O66" t="s">
        <v>138</v>
      </c>
      <c r="P66" t="s">
        <v>139</v>
      </c>
      <c r="Q66" t="s">
        <v>49</v>
      </c>
      <c r="R66" t="s">
        <v>197</v>
      </c>
      <c r="S66" s="1">
        <v>46054</v>
      </c>
      <c r="U66" t="s">
        <v>51</v>
      </c>
      <c r="X66" t="s">
        <v>52</v>
      </c>
      <c r="Y66" s="2">
        <v>0</v>
      </c>
      <c r="Z66" s="2">
        <v>25</v>
      </c>
      <c r="AA66">
        <v>1</v>
      </c>
      <c r="AB66" s="3">
        <v>1</v>
      </c>
      <c r="AC66" s="2">
        <v>25</v>
      </c>
      <c r="AD66" s="3">
        <v>0</v>
      </c>
      <c r="AE66" s="2">
        <v>0</v>
      </c>
      <c r="AF66" s="2">
        <v>25</v>
      </c>
      <c r="AK66">
        <v>6200389</v>
      </c>
    </row>
    <row r="67" spans="1:37" x14ac:dyDescent="0.25">
      <c r="A67" s="1">
        <v>46050</v>
      </c>
      <c r="B67" s="1">
        <v>46050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260</v>
      </c>
      <c r="J67" t="s">
        <v>261</v>
      </c>
      <c r="O67" t="s">
        <v>115</v>
      </c>
      <c r="P67" t="s">
        <v>116</v>
      </c>
      <c r="Q67" t="s">
        <v>49</v>
      </c>
      <c r="R67" t="s">
        <v>197</v>
      </c>
      <c r="S67" s="1">
        <v>46054</v>
      </c>
      <c r="U67" t="s">
        <v>51</v>
      </c>
      <c r="X67" t="s">
        <v>52</v>
      </c>
      <c r="Y67" s="2">
        <v>0</v>
      </c>
      <c r="Z67" s="2">
        <v>25</v>
      </c>
      <c r="AA67">
        <v>1</v>
      </c>
      <c r="AB67" s="3">
        <v>1</v>
      </c>
      <c r="AC67" s="2">
        <v>25</v>
      </c>
      <c r="AD67" s="3">
        <v>0</v>
      </c>
      <c r="AE67" s="2">
        <v>0</v>
      </c>
      <c r="AF67" s="2">
        <v>25</v>
      </c>
      <c r="AK67">
        <v>6200398</v>
      </c>
    </row>
    <row r="68" spans="1:37" x14ac:dyDescent="0.25">
      <c r="A68" s="1">
        <v>46050</v>
      </c>
      <c r="B68" s="1">
        <v>46050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262</v>
      </c>
      <c r="J68" t="s">
        <v>263</v>
      </c>
      <c r="O68" t="s">
        <v>104</v>
      </c>
      <c r="P68" t="s">
        <v>105</v>
      </c>
      <c r="Q68" t="s">
        <v>49</v>
      </c>
      <c r="R68" t="s">
        <v>197</v>
      </c>
      <c r="S68" s="1">
        <v>46054</v>
      </c>
      <c r="U68" t="s">
        <v>51</v>
      </c>
      <c r="X68" t="s">
        <v>52</v>
      </c>
      <c r="Y68" s="2">
        <v>0</v>
      </c>
      <c r="Z68" s="2">
        <v>25</v>
      </c>
      <c r="AA68">
        <v>1</v>
      </c>
      <c r="AB68" s="3">
        <v>1</v>
      </c>
      <c r="AC68" s="2">
        <v>25</v>
      </c>
      <c r="AD68" s="3">
        <v>0</v>
      </c>
      <c r="AE68" s="2">
        <v>0</v>
      </c>
      <c r="AF68" s="2">
        <v>25</v>
      </c>
      <c r="AK68">
        <v>6200406</v>
      </c>
    </row>
    <row r="69" spans="1:37" x14ac:dyDescent="0.25">
      <c r="A69" s="1">
        <v>46050</v>
      </c>
      <c r="B69" s="1">
        <v>46050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264</v>
      </c>
      <c r="J69" t="s">
        <v>265</v>
      </c>
      <c r="O69" t="s">
        <v>158</v>
      </c>
      <c r="P69" t="s">
        <v>159</v>
      </c>
      <c r="Q69" t="s">
        <v>49</v>
      </c>
      <c r="R69" t="s">
        <v>197</v>
      </c>
      <c r="S69" s="1">
        <v>45992</v>
      </c>
      <c r="U69" t="s">
        <v>51</v>
      </c>
      <c r="X69" t="s">
        <v>52</v>
      </c>
      <c r="Y69" s="2">
        <v>0</v>
      </c>
      <c r="Z69" s="2">
        <v>25</v>
      </c>
      <c r="AA69">
        <v>1</v>
      </c>
      <c r="AB69" s="3">
        <v>1</v>
      </c>
      <c r="AC69" s="2">
        <v>25</v>
      </c>
      <c r="AD69" s="3">
        <v>0</v>
      </c>
      <c r="AE69" s="2">
        <v>0</v>
      </c>
      <c r="AF69" s="2">
        <v>25</v>
      </c>
      <c r="AK69">
        <v>6200408</v>
      </c>
    </row>
    <row r="70" spans="1:37" x14ac:dyDescent="0.25">
      <c r="A70" s="1">
        <v>46050</v>
      </c>
      <c r="B70" s="1">
        <v>46050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266</v>
      </c>
      <c r="J70" t="s">
        <v>267</v>
      </c>
      <c r="O70" t="s">
        <v>100</v>
      </c>
      <c r="P70" t="s">
        <v>99</v>
      </c>
      <c r="Q70" t="s">
        <v>49</v>
      </c>
      <c r="R70" t="s">
        <v>197</v>
      </c>
      <c r="S70" s="1">
        <v>45992</v>
      </c>
      <c r="U70" t="s">
        <v>51</v>
      </c>
      <c r="X70" t="s">
        <v>52</v>
      </c>
      <c r="Y70" s="2">
        <v>0</v>
      </c>
      <c r="Z70" s="2">
        <v>25</v>
      </c>
      <c r="AA70">
        <v>1</v>
      </c>
      <c r="AB70" s="3">
        <v>1</v>
      </c>
      <c r="AC70" s="2">
        <v>25</v>
      </c>
      <c r="AD70" s="3">
        <v>0</v>
      </c>
      <c r="AE70" s="2">
        <v>0</v>
      </c>
      <c r="AF70" s="2">
        <v>25</v>
      </c>
      <c r="AK70">
        <v>6200410</v>
      </c>
    </row>
    <row r="71" spans="1:37" x14ac:dyDescent="0.25">
      <c r="A71" s="1">
        <v>46050</v>
      </c>
      <c r="B71" s="1">
        <v>46050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268</v>
      </c>
      <c r="J71" t="s">
        <v>269</v>
      </c>
      <c r="O71" t="s">
        <v>270</v>
      </c>
      <c r="P71" t="s">
        <v>271</v>
      </c>
      <c r="Q71" t="s">
        <v>49</v>
      </c>
      <c r="R71" t="s">
        <v>250</v>
      </c>
      <c r="S71" s="1">
        <v>45992</v>
      </c>
      <c r="U71" t="s">
        <v>51</v>
      </c>
      <c r="X71" t="s">
        <v>52</v>
      </c>
      <c r="Y71" s="2">
        <v>0</v>
      </c>
      <c r="Z71" s="2">
        <v>15</v>
      </c>
      <c r="AA71">
        <v>1</v>
      </c>
      <c r="AB71" s="3">
        <v>1</v>
      </c>
      <c r="AC71" s="2">
        <v>15</v>
      </c>
      <c r="AD71" s="3">
        <v>0</v>
      </c>
      <c r="AE71" s="2">
        <v>0</v>
      </c>
      <c r="AF71" s="2">
        <v>15</v>
      </c>
      <c r="AK71">
        <v>6200411</v>
      </c>
    </row>
    <row r="72" spans="1:37" x14ac:dyDescent="0.25">
      <c r="A72" s="1">
        <v>46050</v>
      </c>
      <c r="B72" s="1">
        <v>46050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272</v>
      </c>
      <c r="J72" t="s">
        <v>273</v>
      </c>
      <c r="O72" t="s">
        <v>274</v>
      </c>
      <c r="P72" t="s">
        <v>275</v>
      </c>
      <c r="Q72" t="s">
        <v>49</v>
      </c>
      <c r="R72" t="s">
        <v>197</v>
      </c>
      <c r="S72" s="1">
        <v>46054</v>
      </c>
      <c r="U72" t="s">
        <v>51</v>
      </c>
      <c r="X72" t="s">
        <v>52</v>
      </c>
      <c r="Y72" s="2">
        <v>0</v>
      </c>
      <c r="Z72" s="2">
        <v>25</v>
      </c>
      <c r="AA72">
        <v>1</v>
      </c>
      <c r="AB72" s="3">
        <v>1</v>
      </c>
      <c r="AC72" s="2">
        <v>25</v>
      </c>
      <c r="AD72" s="3">
        <v>0</v>
      </c>
      <c r="AE72" s="2">
        <v>0</v>
      </c>
      <c r="AF72" s="2">
        <v>25</v>
      </c>
      <c r="AK72">
        <v>6200415</v>
      </c>
    </row>
    <row r="73" spans="1:37" x14ac:dyDescent="0.25">
      <c r="A73" s="1">
        <v>46050</v>
      </c>
      <c r="B73" s="1">
        <v>46050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276</v>
      </c>
      <c r="J73" t="s">
        <v>277</v>
      </c>
      <c r="O73" t="s">
        <v>138</v>
      </c>
      <c r="P73" t="s">
        <v>139</v>
      </c>
      <c r="Q73" t="s">
        <v>49</v>
      </c>
      <c r="R73" t="s">
        <v>197</v>
      </c>
      <c r="S73" s="1">
        <v>46054</v>
      </c>
      <c r="U73" t="s">
        <v>51</v>
      </c>
      <c r="X73" t="s">
        <v>52</v>
      </c>
      <c r="Y73" s="2">
        <v>0</v>
      </c>
      <c r="Z73" s="2">
        <v>25</v>
      </c>
      <c r="AA73">
        <v>1</v>
      </c>
      <c r="AB73" s="3">
        <v>1</v>
      </c>
      <c r="AC73" s="2">
        <v>25</v>
      </c>
      <c r="AD73" s="3">
        <v>0</v>
      </c>
      <c r="AE73" s="2">
        <v>0</v>
      </c>
      <c r="AF73" s="2">
        <v>25</v>
      </c>
      <c r="AK73">
        <v>6200416</v>
      </c>
    </row>
    <row r="74" spans="1:37" x14ac:dyDescent="0.25">
      <c r="A74" s="1">
        <v>46050</v>
      </c>
      <c r="B74" s="1">
        <v>46050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278</v>
      </c>
      <c r="J74" t="s">
        <v>279</v>
      </c>
      <c r="M74" t="s">
        <v>280</v>
      </c>
      <c r="O74" t="s">
        <v>281</v>
      </c>
      <c r="P74" t="s">
        <v>282</v>
      </c>
      <c r="Q74" t="s">
        <v>49</v>
      </c>
      <c r="R74" t="s">
        <v>197</v>
      </c>
      <c r="S74" s="1">
        <v>46054</v>
      </c>
      <c r="U74" t="s">
        <v>51</v>
      </c>
      <c r="X74" t="s">
        <v>52</v>
      </c>
      <c r="Y74" s="2">
        <v>0</v>
      </c>
      <c r="Z74" s="2">
        <v>25</v>
      </c>
      <c r="AA74">
        <v>1</v>
      </c>
      <c r="AB74" s="3">
        <v>1</v>
      </c>
      <c r="AC74" s="2">
        <v>25</v>
      </c>
      <c r="AD74" s="3">
        <v>0</v>
      </c>
      <c r="AE74" s="2">
        <v>0</v>
      </c>
      <c r="AF74" s="2">
        <v>25</v>
      </c>
      <c r="AK74">
        <v>6200425</v>
      </c>
    </row>
    <row r="75" spans="1:37" x14ac:dyDescent="0.25">
      <c r="A75" s="1">
        <v>46050</v>
      </c>
      <c r="B75" s="1">
        <v>46050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283</v>
      </c>
      <c r="J75" t="s">
        <v>284</v>
      </c>
      <c r="M75" t="s">
        <v>202</v>
      </c>
      <c r="O75" t="s">
        <v>203</v>
      </c>
      <c r="P75" t="s">
        <v>204</v>
      </c>
      <c r="Q75" t="s">
        <v>49</v>
      </c>
      <c r="R75" t="s">
        <v>197</v>
      </c>
      <c r="S75" s="1">
        <v>46054</v>
      </c>
      <c r="U75" t="s">
        <v>51</v>
      </c>
      <c r="X75" t="s">
        <v>52</v>
      </c>
      <c r="Y75" s="2">
        <v>0</v>
      </c>
      <c r="Z75" s="2">
        <v>25</v>
      </c>
      <c r="AA75">
        <v>1</v>
      </c>
      <c r="AB75" s="3">
        <v>1</v>
      </c>
      <c r="AC75" s="2">
        <v>25</v>
      </c>
      <c r="AD75" s="3">
        <v>0</v>
      </c>
      <c r="AE75" s="2">
        <v>0</v>
      </c>
      <c r="AF75" s="2">
        <v>25</v>
      </c>
      <c r="AK75">
        <v>6200428</v>
      </c>
    </row>
    <row r="76" spans="1:37" x14ac:dyDescent="0.25">
      <c r="A76" s="1">
        <v>46050</v>
      </c>
      <c r="B76" s="1">
        <v>46050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285</v>
      </c>
      <c r="J76" t="s">
        <v>286</v>
      </c>
      <c r="M76" t="s">
        <v>287</v>
      </c>
      <c r="O76" t="s">
        <v>288</v>
      </c>
      <c r="P76" t="s">
        <v>289</v>
      </c>
      <c r="Q76" t="s">
        <v>49</v>
      </c>
      <c r="R76" t="s">
        <v>197</v>
      </c>
      <c r="S76" s="1">
        <v>46023</v>
      </c>
      <c r="U76" t="s">
        <v>51</v>
      </c>
      <c r="X76" t="s">
        <v>52</v>
      </c>
      <c r="Y76" s="2">
        <v>0</v>
      </c>
      <c r="Z76" s="2">
        <v>25</v>
      </c>
      <c r="AA76">
        <v>1</v>
      </c>
      <c r="AB76" s="3">
        <v>1</v>
      </c>
      <c r="AC76" s="2">
        <v>25</v>
      </c>
      <c r="AD76" s="3">
        <v>0</v>
      </c>
      <c r="AE76" s="2">
        <v>0</v>
      </c>
      <c r="AF76" s="2">
        <v>25</v>
      </c>
      <c r="AK76">
        <v>6200337</v>
      </c>
    </row>
    <row r="77" spans="1:37" x14ac:dyDescent="0.25">
      <c r="A77" s="1">
        <v>46050</v>
      </c>
      <c r="B77" s="1">
        <v>46050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290</v>
      </c>
      <c r="J77" t="s">
        <v>291</v>
      </c>
      <c r="M77" t="s">
        <v>202</v>
      </c>
      <c r="O77" t="s">
        <v>211</v>
      </c>
      <c r="P77" t="s">
        <v>212</v>
      </c>
      <c r="Q77" t="s">
        <v>49</v>
      </c>
      <c r="R77" t="s">
        <v>197</v>
      </c>
      <c r="S77" s="1">
        <v>46054</v>
      </c>
      <c r="U77" t="s">
        <v>51</v>
      </c>
      <c r="X77" t="s">
        <v>52</v>
      </c>
      <c r="Y77" s="2">
        <v>0</v>
      </c>
      <c r="Z77" s="2">
        <v>25</v>
      </c>
      <c r="AA77">
        <v>1</v>
      </c>
      <c r="AB77" s="3">
        <v>1</v>
      </c>
      <c r="AC77" s="2">
        <v>25</v>
      </c>
      <c r="AD77" s="3">
        <v>0</v>
      </c>
      <c r="AE77" s="2">
        <v>0</v>
      </c>
      <c r="AF77" s="2">
        <v>25</v>
      </c>
      <c r="AK77">
        <v>6200442</v>
      </c>
    </row>
    <row r="78" spans="1:37" x14ac:dyDescent="0.25">
      <c r="A78" s="1">
        <v>46050</v>
      </c>
      <c r="B78" s="1">
        <v>46050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292</v>
      </c>
      <c r="J78" t="s">
        <v>293</v>
      </c>
      <c r="M78" t="s">
        <v>202</v>
      </c>
      <c r="O78" t="s">
        <v>211</v>
      </c>
      <c r="P78" t="s">
        <v>212</v>
      </c>
      <c r="Q78" t="s">
        <v>49</v>
      </c>
      <c r="R78" t="s">
        <v>197</v>
      </c>
      <c r="S78" s="1">
        <v>46054</v>
      </c>
      <c r="U78" t="s">
        <v>51</v>
      </c>
      <c r="X78" t="s">
        <v>52</v>
      </c>
      <c r="Y78" s="2">
        <v>0</v>
      </c>
      <c r="Z78" s="2">
        <v>25</v>
      </c>
      <c r="AA78">
        <v>1</v>
      </c>
      <c r="AB78" s="3">
        <v>1</v>
      </c>
      <c r="AC78" s="2">
        <v>25</v>
      </c>
      <c r="AD78" s="3">
        <v>0</v>
      </c>
      <c r="AE78" s="2">
        <v>0</v>
      </c>
      <c r="AF78" s="2">
        <v>25</v>
      </c>
      <c r="AK78">
        <v>6200454</v>
      </c>
    </row>
    <row r="79" spans="1:37" x14ac:dyDescent="0.25">
      <c r="A79" s="1">
        <v>46050</v>
      </c>
      <c r="B79" s="1">
        <v>46050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294</v>
      </c>
      <c r="J79" t="s">
        <v>295</v>
      </c>
      <c r="M79" t="s">
        <v>55</v>
      </c>
      <c r="O79" t="s">
        <v>274</v>
      </c>
      <c r="P79" t="s">
        <v>275</v>
      </c>
      <c r="Q79" t="s">
        <v>49</v>
      </c>
      <c r="R79" t="s">
        <v>197</v>
      </c>
      <c r="S79" s="1">
        <v>46054</v>
      </c>
      <c r="U79" t="s">
        <v>51</v>
      </c>
      <c r="X79" t="s">
        <v>52</v>
      </c>
      <c r="Y79" s="2">
        <v>0</v>
      </c>
      <c r="Z79" s="2">
        <v>25</v>
      </c>
      <c r="AA79">
        <v>1</v>
      </c>
      <c r="AB79" s="3">
        <v>1</v>
      </c>
      <c r="AC79" s="2">
        <v>25</v>
      </c>
      <c r="AD79" s="3">
        <v>0</v>
      </c>
      <c r="AE79" s="2">
        <v>0</v>
      </c>
      <c r="AF79" s="2">
        <v>25</v>
      </c>
      <c r="AK79">
        <v>6200462</v>
      </c>
    </row>
    <row r="80" spans="1:37" x14ac:dyDescent="0.25">
      <c r="A80" s="1">
        <v>46050</v>
      </c>
      <c r="B80" s="1">
        <v>46050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296</v>
      </c>
      <c r="J80" t="s">
        <v>297</v>
      </c>
      <c r="M80" t="s">
        <v>202</v>
      </c>
      <c r="O80" t="s">
        <v>203</v>
      </c>
      <c r="P80" t="s">
        <v>204</v>
      </c>
      <c r="Q80" t="s">
        <v>49</v>
      </c>
      <c r="R80" t="s">
        <v>197</v>
      </c>
      <c r="S80" s="1">
        <v>46054</v>
      </c>
      <c r="U80" t="s">
        <v>51</v>
      </c>
      <c r="X80" t="s">
        <v>52</v>
      </c>
      <c r="Y80" s="2">
        <v>0</v>
      </c>
      <c r="Z80" s="2">
        <v>25</v>
      </c>
      <c r="AA80">
        <v>1</v>
      </c>
      <c r="AB80" s="3">
        <v>1</v>
      </c>
      <c r="AC80" s="2">
        <v>25</v>
      </c>
      <c r="AD80" s="3">
        <v>0</v>
      </c>
      <c r="AE80" s="2">
        <v>0</v>
      </c>
      <c r="AF80" s="2">
        <v>25</v>
      </c>
      <c r="AK80">
        <v>6200469</v>
      </c>
    </row>
    <row r="81" spans="1:38" x14ac:dyDescent="0.25">
      <c r="A81" s="1">
        <v>46050</v>
      </c>
      <c r="B81" s="1">
        <v>46050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298</v>
      </c>
      <c r="J81" t="s">
        <v>299</v>
      </c>
      <c r="M81" t="s">
        <v>55</v>
      </c>
      <c r="O81" t="s">
        <v>300</v>
      </c>
      <c r="P81" t="s">
        <v>301</v>
      </c>
      <c r="Q81" t="s">
        <v>49</v>
      </c>
      <c r="R81" t="s">
        <v>197</v>
      </c>
      <c r="S81" s="1">
        <v>46054</v>
      </c>
      <c r="U81" t="s">
        <v>51</v>
      </c>
      <c r="X81" t="s">
        <v>52</v>
      </c>
      <c r="Y81" s="2">
        <v>0</v>
      </c>
      <c r="Z81" s="2">
        <v>25</v>
      </c>
      <c r="AA81">
        <v>1</v>
      </c>
      <c r="AB81" s="3">
        <v>1</v>
      </c>
      <c r="AC81" s="2">
        <v>25</v>
      </c>
      <c r="AD81" s="3">
        <v>0</v>
      </c>
      <c r="AE81" s="2">
        <v>0</v>
      </c>
      <c r="AF81" s="2">
        <v>25</v>
      </c>
      <c r="AK81">
        <v>6200470</v>
      </c>
    </row>
    <row r="82" spans="1:38" x14ac:dyDescent="0.25">
      <c r="A82" s="1">
        <v>46050</v>
      </c>
      <c r="B82" s="1">
        <v>46050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302</v>
      </c>
      <c r="J82" t="s">
        <v>303</v>
      </c>
      <c r="M82" t="s">
        <v>103</v>
      </c>
      <c r="O82" t="s">
        <v>242</v>
      </c>
      <c r="P82" t="s">
        <v>243</v>
      </c>
      <c r="Q82" t="s">
        <v>49</v>
      </c>
      <c r="R82" t="s">
        <v>244</v>
      </c>
      <c r="S82" s="1">
        <v>46054</v>
      </c>
      <c r="U82" t="s">
        <v>51</v>
      </c>
      <c r="X82" t="s">
        <v>52</v>
      </c>
      <c r="Y82" s="2">
        <v>0</v>
      </c>
      <c r="Z82" s="2">
        <v>22.92</v>
      </c>
      <c r="AA82">
        <v>1</v>
      </c>
      <c r="AB82" s="3">
        <v>1</v>
      </c>
      <c r="AC82" s="2">
        <v>22.92</v>
      </c>
      <c r="AD82" s="3">
        <v>0</v>
      </c>
      <c r="AE82" s="2">
        <v>0</v>
      </c>
      <c r="AF82" s="2">
        <v>22.92</v>
      </c>
      <c r="AK82">
        <v>6200347</v>
      </c>
      <c r="AL82" t="s">
        <v>245</v>
      </c>
    </row>
    <row r="83" spans="1:38" x14ac:dyDescent="0.25">
      <c r="A83" s="1">
        <v>46050</v>
      </c>
      <c r="B83" s="1">
        <v>46050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304</v>
      </c>
      <c r="J83" t="s">
        <v>305</v>
      </c>
      <c r="M83" t="s">
        <v>202</v>
      </c>
      <c r="O83" t="s">
        <v>306</v>
      </c>
      <c r="P83" t="s">
        <v>307</v>
      </c>
      <c r="Q83" t="s">
        <v>49</v>
      </c>
      <c r="R83" t="s">
        <v>244</v>
      </c>
      <c r="S83" s="1">
        <v>46082</v>
      </c>
      <c r="U83" t="s">
        <v>51</v>
      </c>
      <c r="X83" t="s">
        <v>52</v>
      </c>
      <c r="Y83" s="2">
        <v>0</v>
      </c>
      <c r="Z83" s="2">
        <v>20.83</v>
      </c>
      <c r="AA83">
        <v>1</v>
      </c>
      <c r="AB83" s="3">
        <v>1</v>
      </c>
      <c r="AC83" s="2">
        <v>20.83</v>
      </c>
      <c r="AD83" s="3">
        <v>0</v>
      </c>
      <c r="AE83" s="2">
        <v>0</v>
      </c>
      <c r="AF83" s="2">
        <v>20.83</v>
      </c>
      <c r="AK83">
        <v>6200350</v>
      </c>
      <c r="AL83" t="s">
        <v>308</v>
      </c>
    </row>
    <row r="84" spans="1:38" x14ac:dyDescent="0.25">
      <c r="A84" s="1">
        <v>46050</v>
      </c>
      <c r="B84" s="1">
        <v>46050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309</v>
      </c>
      <c r="J84" t="s">
        <v>310</v>
      </c>
      <c r="M84" t="s">
        <v>202</v>
      </c>
      <c r="O84" t="s">
        <v>203</v>
      </c>
      <c r="P84" t="s">
        <v>204</v>
      </c>
      <c r="Q84" t="s">
        <v>49</v>
      </c>
      <c r="R84" t="s">
        <v>244</v>
      </c>
      <c r="S84" s="1">
        <v>46054</v>
      </c>
      <c r="U84" t="s">
        <v>51</v>
      </c>
      <c r="X84" t="s">
        <v>52</v>
      </c>
      <c r="Y84" s="2">
        <v>0</v>
      </c>
      <c r="Z84" s="2">
        <v>22.92</v>
      </c>
      <c r="AA84">
        <v>1</v>
      </c>
      <c r="AB84" s="3">
        <v>1</v>
      </c>
      <c r="AC84" s="2">
        <v>22.92</v>
      </c>
      <c r="AD84" s="3">
        <v>0</v>
      </c>
      <c r="AE84" s="2">
        <v>0</v>
      </c>
      <c r="AF84" s="2">
        <v>22.92</v>
      </c>
      <c r="AK84">
        <v>6200356</v>
      </c>
      <c r="AL84" t="s">
        <v>245</v>
      </c>
    </row>
    <row r="85" spans="1:38" x14ac:dyDescent="0.25">
      <c r="A85" s="1">
        <v>46050</v>
      </c>
      <c r="B85" s="1">
        <v>46050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311</v>
      </c>
      <c r="J85" t="s">
        <v>312</v>
      </c>
      <c r="M85" t="s">
        <v>202</v>
      </c>
      <c r="O85" t="s">
        <v>203</v>
      </c>
      <c r="P85" t="s">
        <v>204</v>
      </c>
      <c r="Q85" t="s">
        <v>49</v>
      </c>
      <c r="R85" t="s">
        <v>244</v>
      </c>
      <c r="S85" s="1">
        <v>46082</v>
      </c>
      <c r="U85" t="s">
        <v>51</v>
      </c>
      <c r="X85" t="s">
        <v>52</v>
      </c>
      <c r="Y85" s="2">
        <v>0</v>
      </c>
      <c r="Z85" s="2">
        <v>20.83</v>
      </c>
      <c r="AA85">
        <v>1</v>
      </c>
      <c r="AB85" s="3">
        <v>1</v>
      </c>
      <c r="AC85" s="2">
        <v>20.83</v>
      </c>
      <c r="AD85" s="3">
        <v>0</v>
      </c>
      <c r="AE85" s="2">
        <v>0</v>
      </c>
      <c r="AF85" s="2">
        <v>20.83</v>
      </c>
      <c r="AK85">
        <v>6200357</v>
      </c>
      <c r="AL85" t="s">
        <v>308</v>
      </c>
    </row>
    <row r="86" spans="1:38" x14ac:dyDescent="0.25">
      <c r="A86" s="1">
        <v>46050</v>
      </c>
      <c r="B86" s="1">
        <v>46050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313</v>
      </c>
      <c r="J86" t="s">
        <v>314</v>
      </c>
      <c r="M86" t="s">
        <v>202</v>
      </c>
      <c r="O86" t="s">
        <v>211</v>
      </c>
      <c r="P86" t="s">
        <v>212</v>
      </c>
      <c r="Q86" t="s">
        <v>49</v>
      </c>
      <c r="R86" t="s">
        <v>244</v>
      </c>
      <c r="S86" s="1">
        <v>46054</v>
      </c>
      <c r="U86" t="s">
        <v>51</v>
      </c>
      <c r="X86" t="s">
        <v>52</v>
      </c>
      <c r="Y86" s="2">
        <v>0</v>
      </c>
      <c r="Z86" s="2">
        <v>22.92</v>
      </c>
      <c r="AA86">
        <v>1</v>
      </c>
      <c r="AB86" s="3">
        <v>1</v>
      </c>
      <c r="AC86" s="2">
        <v>22.92</v>
      </c>
      <c r="AD86" s="3">
        <v>0</v>
      </c>
      <c r="AE86" s="2">
        <v>0</v>
      </c>
      <c r="AF86" s="2">
        <v>22.92</v>
      </c>
      <c r="AK86">
        <v>6200360</v>
      </c>
      <c r="AL86" t="s">
        <v>245</v>
      </c>
    </row>
    <row r="87" spans="1:38" x14ac:dyDescent="0.25">
      <c r="A87" s="1">
        <v>46050</v>
      </c>
      <c r="B87" s="1">
        <v>46050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315</v>
      </c>
      <c r="J87" t="s">
        <v>316</v>
      </c>
      <c r="M87" t="s">
        <v>202</v>
      </c>
      <c r="O87" t="s">
        <v>306</v>
      </c>
      <c r="P87" t="s">
        <v>307</v>
      </c>
      <c r="Q87" t="s">
        <v>49</v>
      </c>
      <c r="R87" t="s">
        <v>317</v>
      </c>
      <c r="S87" s="1">
        <v>46054</v>
      </c>
      <c r="U87" t="s">
        <v>51</v>
      </c>
      <c r="X87" t="s">
        <v>52</v>
      </c>
      <c r="Y87" s="2">
        <v>0</v>
      </c>
      <c r="Z87" s="2">
        <v>358.42</v>
      </c>
      <c r="AA87">
        <v>1</v>
      </c>
      <c r="AB87" s="3">
        <v>1</v>
      </c>
      <c r="AC87" s="2">
        <v>358.42</v>
      </c>
      <c r="AD87" s="3">
        <v>0</v>
      </c>
      <c r="AE87" s="2">
        <v>0</v>
      </c>
      <c r="AF87" s="2">
        <v>358.42</v>
      </c>
      <c r="AK87">
        <v>6202632</v>
      </c>
      <c r="AL87" t="s">
        <v>245</v>
      </c>
    </row>
    <row r="88" spans="1:38" x14ac:dyDescent="0.25">
      <c r="A88" s="1">
        <v>46050</v>
      </c>
      <c r="B88" s="1">
        <v>46050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318</v>
      </c>
      <c r="J88" t="s">
        <v>316</v>
      </c>
      <c r="M88" t="s">
        <v>202</v>
      </c>
      <c r="O88" t="s">
        <v>306</v>
      </c>
      <c r="P88" t="s">
        <v>307</v>
      </c>
      <c r="Q88" t="s">
        <v>49</v>
      </c>
      <c r="R88" t="s">
        <v>319</v>
      </c>
      <c r="S88" s="1">
        <v>46054</v>
      </c>
      <c r="U88" t="s">
        <v>51</v>
      </c>
      <c r="X88" t="s">
        <v>52</v>
      </c>
      <c r="Y88" s="2">
        <v>0</v>
      </c>
      <c r="Z88" s="2">
        <v>66</v>
      </c>
      <c r="AA88">
        <v>1</v>
      </c>
      <c r="AB88" s="3">
        <v>1</v>
      </c>
      <c r="AC88" s="2">
        <v>66</v>
      </c>
      <c r="AD88" s="3">
        <v>0</v>
      </c>
      <c r="AE88" s="2">
        <v>0</v>
      </c>
      <c r="AF88" s="2">
        <v>66</v>
      </c>
      <c r="AK88">
        <v>6202633</v>
      </c>
      <c r="AL88" t="s">
        <v>245</v>
      </c>
    </row>
    <row r="89" spans="1:38" x14ac:dyDescent="0.25">
      <c r="A89" s="1">
        <v>46050</v>
      </c>
      <c r="B89" s="1">
        <v>46050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320</v>
      </c>
      <c r="J89" t="s">
        <v>321</v>
      </c>
      <c r="M89" t="s">
        <v>97</v>
      </c>
      <c r="O89" t="s">
        <v>322</v>
      </c>
      <c r="P89" t="s">
        <v>323</v>
      </c>
      <c r="Q89" t="s">
        <v>49</v>
      </c>
      <c r="R89" t="s">
        <v>324</v>
      </c>
      <c r="S89" s="1">
        <v>46023</v>
      </c>
      <c r="U89" t="s">
        <v>51</v>
      </c>
      <c r="X89" t="s">
        <v>52</v>
      </c>
      <c r="Y89" s="2">
        <v>0</v>
      </c>
      <c r="Z89" s="2">
        <v>100</v>
      </c>
      <c r="AA89">
        <v>1</v>
      </c>
      <c r="AB89" s="3">
        <v>1</v>
      </c>
      <c r="AC89" s="2">
        <v>100</v>
      </c>
      <c r="AD89" s="3">
        <v>0</v>
      </c>
      <c r="AE89" s="2">
        <v>0</v>
      </c>
      <c r="AF89" s="2">
        <v>100</v>
      </c>
      <c r="AK89">
        <v>6200870</v>
      </c>
    </row>
    <row r="90" spans="1:38" x14ac:dyDescent="0.25">
      <c r="A90" s="1">
        <v>46050</v>
      </c>
      <c r="B90" s="1">
        <v>46050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325</v>
      </c>
      <c r="J90" t="s">
        <v>326</v>
      </c>
      <c r="M90" t="s">
        <v>55</v>
      </c>
      <c r="O90" t="s">
        <v>186</v>
      </c>
      <c r="P90" t="s">
        <v>187</v>
      </c>
      <c r="Q90" t="s">
        <v>49</v>
      </c>
      <c r="R90" t="s">
        <v>324</v>
      </c>
      <c r="S90" s="1">
        <v>46023</v>
      </c>
      <c r="U90" t="s">
        <v>51</v>
      </c>
      <c r="X90" t="s">
        <v>52</v>
      </c>
      <c r="Y90" s="2">
        <v>0</v>
      </c>
      <c r="Z90" s="2">
        <v>100</v>
      </c>
      <c r="AA90">
        <v>1</v>
      </c>
      <c r="AB90" s="3">
        <v>1</v>
      </c>
      <c r="AC90" s="2">
        <v>100</v>
      </c>
      <c r="AD90" s="3">
        <v>0</v>
      </c>
      <c r="AE90" s="2">
        <v>0</v>
      </c>
      <c r="AF90" s="2">
        <v>100</v>
      </c>
      <c r="AK90">
        <v>6200916</v>
      </c>
    </row>
    <row r="91" spans="1:38" x14ac:dyDescent="0.25">
      <c r="A91" s="1">
        <v>46050</v>
      </c>
      <c r="B91" s="1">
        <v>46050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327</v>
      </c>
      <c r="J91" t="s">
        <v>328</v>
      </c>
      <c r="M91" t="s">
        <v>74</v>
      </c>
      <c r="O91" t="s">
        <v>75</v>
      </c>
      <c r="P91" t="s">
        <v>76</v>
      </c>
      <c r="Q91" t="s">
        <v>49</v>
      </c>
      <c r="R91" t="s">
        <v>324</v>
      </c>
      <c r="S91" s="1">
        <v>46023</v>
      </c>
      <c r="U91" t="s">
        <v>51</v>
      </c>
      <c r="X91" t="s">
        <v>52</v>
      </c>
      <c r="Y91" s="2">
        <v>0</v>
      </c>
      <c r="Z91" s="2">
        <v>100</v>
      </c>
      <c r="AA91">
        <v>1</v>
      </c>
      <c r="AB91" s="3">
        <v>1</v>
      </c>
      <c r="AC91" s="2">
        <v>100</v>
      </c>
      <c r="AD91" s="3">
        <v>0</v>
      </c>
      <c r="AE91" s="2">
        <v>0</v>
      </c>
      <c r="AF91" s="2">
        <v>100</v>
      </c>
      <c r="AK91">
        <v>6200936</v>
      </c>
    </row>
    <row r="92" spans="1:38" x14ac:dyDescent="0.25">
      <c r="A92" s="1">
        <v>46050</v>
      </c>
      <c r="B92" s="1">
        <v>46050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329</v>
      </c>
      <c r="J92" t="s">
        <v>330</v>
      </c>
      <c r="M92" t="s">
        <v>55</v>
      </c>
      <c r="O92" t="s">
        <v>186</v>
      </c>
      <c r="P92" t="s">
        <v>187</v>
      </c>
      <c r="Q92" t="s">
        <v>49</v>
      </c>
      <c r="R92" t="s">
        <v>324</v>
      </c>
      <c r="S92" s="1">
        <v>46023</v>
      </c>
      <c r="U92" t="s">
        <v>51</v>
      </c>
      <c r="X92" t="s">
        <v>52</v>
      </c>
      <c r="Y92" s="2">
        <v>0</v>
      </c>
      <c r="Z92" s="2">
        <v>100</v>
      </c>
      <c r="AA92">
        <v>1</v>
      </c>
      <c r="AB92" s="3">
        <v>1</v>
      </c>
      <c r="AC92" s="2">
        <v>100</v>
      </c>
      <c r="AD92" s="3">
        <v>0</v>
      </c>
      <c r="AE92" s="2">
        <v>0</v>
      </c>
      <c r="AF92" s="2">
        <v>100</v>
      </c>
      <c r="AK92">
        <v>6200954</v>
      </c>
    </row>
    <row r="93" spans="1:38" x14ac:dyDescent="0.25">
      <c r="A93" s="1">
        <v>46050</v>
      </c>
      <c r="B93" s="1">
        <v>46050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331</v>
      </c>
      <c r="J93" t="s">
        <v>332</v>
      </c>
      <c r="M93" t="s">
        <v>133</v>
      </c>
      <c r="O93" t="s">
        <v>134</v>
      </c>
      <c r="P93" t="s">
        <v>135</v>
      </c>
      <c r="Q93" t="s">
        <v>49</v>
      </c>
      <c r="R93" t="s">
        <v>324</v>
      </c>
      <c r="S93" s="1">
        <v>46023</v>
      </c>
      <c r="U93" t="s">
        <v>51</v>
      </c>
      <c r="X93" t="s">
        <v>52</v>
      </c>
      <c r="Y93" s="2">
        <v>0</v>
      </c>
      <c r="Z93" s="2">
        <v>100</v>
      </c>
      <c r="AA93">
        <v>1</v>
      </c>
      <c r="AB93" s="3">
        <v>1</v>
      </c>
      <c r="AC93" s="2">
        <v>100</v>
      </c>
      <c r="AD93" s="3">
        <v>0</v>
      </c>
      <c r="AE93" s="2">
        <v>0</v>
      </c>
      <c r="AF93" s="2">
        <v>100</v>
      </c>
      <c r="AK93">
        <v>6200957</v>
      </c>
    </row>
    <row r="94" spans="1:38" x14ac:dyDescent="0.25">
      <c r="A94" s="1">
        <v>46050</v>
      </c>
      <c r="B94" s="1">
        <v>46050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333</v>
      </c>
      <c r="J94" t="s">
        <v>334</v>
      </c>
      <c r="M94" t="s">
        <v>55</v>
      </c>
      <c r="O94" t="s">
        <v>242</v>
      </c>
      <c r="P94" t="s">
        <v>243</v>
      </c>
      <c r="Q94" t="s">
        <v>49</v>
      </c>
      <c r="R94" t="s">
        <v>324</v>
      </c>
      <c r="S94" s="1">
        <v>46054</v>
      </c>
      <c r="U94" t="s">
        <v>51</v>
      </c>
      <c r="X94" t="s">
        <v>52</v>
      </c>
      <c r="Y94" s="2">
        <v>0</v>
      </c>
      <c r="Z94" s="2">
        <v>100</v>
      </c>
      <c r="AA94">
        <v>1</v>
      </c>
      <c r="AB94" s="3">
        <v>1</v>
      </c>
      <c r="AC94" s="2">
        <v>100</v>
      </c>
      <c r="AD94" s="3">
        <v>0</v>
      </c>
      <c r="AE94" s="2">
        <v>0</v>
      </c>
      <c r="AF94" s="2">
        <v>100</v>
      </c>
      <c r="AK94">
        <v>6200617</v>
      </c>
    </row>
    <row r="95" spans="1:38" x14ac:dyDescent="0.25">
      <c r="A95" s="1">
        <v>46050</v>
      </c>
      <c r="B95" s="1">
        <v>46050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335</v>
      </c>
      <c r="J95" t="s">
        <v>336</v>
      </c>
      <c r="M95" t="s">
        <v>337</v>
      </c>
      <c r="O95" t="s">
        <v>60</v>
      </c>
      <c r="P95" t="s">
        <v>61</v>
      </c>
      <c r="Q95" t="s">
        <v>49</v>
      </c>
      <c r="R95" t="s">
        <v>324</v>
      </c>
      <c r="S95" s="1">
        <v>46023</v>
      </c>
      <c r="U95" t="s">
        <v>51</v>
      </c>
      <c r="X95" t="s">
        <v>52</v>
      </c>
      <c r="Y95" s="2">
        <v>0</v>
      </c>
      <c r="Z95" s="2">
        <v>100</v>
      </c>
      <c r="AA95">
        <v>1</v>
      </c>
      <c r="AB95" s="3">
        <v>1</v>
      </c>
      <c r="AC95" s="2">
        <v>100</v>
      </c>
      <c r="AD95" s="3">
        <v>0</v>
      </c>
      <c r="AE95" s="2">
        <v>0</v>
      </c>
      <c r="AF95" s="2">
        <v>100</v>
      </c>
      <c r="AK95">
        <v>6201001</v>
      </c>
    </row>
    <row r="96" spans="1:38" x14ac:dyDescent="0.25">
      <c r="A96" s="1">
        <v>46050</v>
      </c>
      <c r="B96" s="1">
        <v>46050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338</v>
      </c>
      <c r="J96" t="s">
        <v>339</v>
      </c>
      <c r="M96" t="s">
        <v>74</v>
      </c>
      <c r="O96" t="s">
        <v>75</v>
      </c>
      <c r="P96" t="s">
        <v>76</v>
      </c>
      <c r="Q96" t="s">
        <v>49</v>
      </c>
      <c r="R96" t="s">
        <v>340</v>
      </c>
      <c r="S96" s="1">
        <v>46023</v>
      </c>
      <c r="U96" t="s">
        <v>51</v>
      </c>
      <c r="X96" t="s">
        <v>52</v>
      </c>
      <c r="Y96" s="2">
        <v>0</v>
      </c>
      <c r="Z96" s="2">
        <v>50</v>
      </c>
      <c r="AA96">
        <v>1</v>
      </c>
      <c r="AB96" s="3">
        <v>1</v>
      </c>
      <c r="AC96" s="2">
        <v>50</v>
      </c>
      <c r="AD96" s="3">
        <v>0</v>
      </c>
      <c r="AE96" s="2">
        <v>0</v>
      </c>
      <c r="AF96" s="2">
        <v>50</v>
      </c>
      <c r="AK96">
        <v>6200787</v>
      </c>
    </row>
    <row r="97" spans="1:37" x14ac:dyDescent="0.25">
      <c r="A97" s="1">
        <v>46050</v>
      </c>
      <c r="B97" s="1">
        <v>46050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341</v>
      </c>
      <c r="J97" t="s">
        <v>342</v>
      </c>
      <c r="M97" t="s">
        <v>74</v>
      </c>
      <c r="O97" t="s">
        <v>322</v>
      </c>
      <c r="P97" t="s">
        <v>323</v>
      </c>
      <c r="Q97" t="s">
        <v>49</v>
      </c>
      <c r="R97" t="s">
        <v>324</v>
      </c>
      <c r="S97" s="1">
        <v>46023</v>
      </c>
      <c r="U97" t="s">
        <v>51</v>
      </c>
      <c r="X97" t="s">
        <v>52</v>
      </c>
      <c r="Y97" s="2">
        <v>0</v>
      </c>
      <c r="Z97" s="2">
        <v>100</v>
      </c>
      <c r="AA97">
        <v>1</v>
      </c>
      <c r="AB97" s="3">
        <v>1</v>
      </c>
      <c r="AC97" s="2">
        <v>100</v>
      </c>
      <c r="AD97" s="3">
        <v>0</v>
      </c>
      <c r="AE97" s="2">
        <v>0</v>
      </c>
      <c r="AF97" s="2">
        <v>100</v>
      </c>
      <c r="AK97">
        <v>6201132</v>
      </c>
    </row>
    <row r="98" spans="1:37" x14ac:dyDescent="0.25">
      <c r="A98" s="1">
        <v>46050</v>
      </c>
      <c r="B98" s="1">
        <v>46050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343</v>
      </c>
      <c r="J98" t="s">
        <v>344</v>
      </c>
      <c r="M98" t="s">
        <v>345</v>
      </c>
      <c r="O98" t="s">
        <v>346</v>
      </c>
      <c r="P98" t="s">
        <v>347</v>
      </c>
      <c r="Q98" t="s">
        <v>49</v>
      </c>
      <c r="R98" t="s">
        <v>324</v>
      </c>
      <c r="S98" s="1">
        <v>46023</v>
      </c>
      <c r="U98" t="s">
        <v>51</v>
      </c>
      <c r="X98" t="s">
        <v>52</v>
      </c>
      <c r="Y98" s="2">
        <v>0</v>
      </c>
      <c r="Z98" s="2">
        <v>100</v>
      </c>
      <c r="AA98">
        <v>1</v>
      </c>
      <c r="AB98" s="3">
        <v>1</v>
      </c>
      <c r="AC98" s="2">
        <v>100</v>
      </c>
      <c r="AD98" s="3">
        <v>0</v>
      </c>
      <c r="AE98" s="2">
        <v>0</v>
      </c>
      <c r="AF98" s="2">
        <v>100</v>
      </c>
      <c r="AK98">
        <v>6201154</v>
      </c>
    </row>
    <row r="99" spans="1:37" x14ac:dyDescent="0.25">
      <c r="A99" s="1">
        <v>46050</v>
      </c>
      <c r="B99" s="1">
        <v>46050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348</v>
      </c>
      <c r="J99" t="s">
        <v>349</v>
      </c>
      <c r="M99" t="s">
        <v>133</v>
      </c>
      <c r="O99" t="s">
        <v>134</v>
      </c>
      <c r="P99" t="s">
        <v>135</v>
      </c>
      <c r="Q99" t="s">
        <v>49</v>
      </c>
      <c r="R99" t="s">
        <v>324</v>
      </c>
      <c r="S99" s="1">
        <v>46023</v>
      </c>
      <c r="U99" t="s">
        <v>51</v>
      </c>
      <c r="X99" t="s">
        <v>52</v>
      </c>
      <c r="Y99" s="2">
        <v>0</v>
      </c>
      <c r="Z99" s="2">
        <v>100</v>
      </c>
      <c r="AA99">
        <v>1</v>
      </c>
      <c r="AB99" s="3">
        <v>1</v>
      </c>
      <c r="AC99" s="2">
        <v>100</v>
      </c>
      <c r="AD99" s="3">
        <v>0</v>
      </c>
      <c r="AE99" s="2">
        <v>0</v>
      </c>
      <c r="AF99" s="2">
        <v>100</v>
      </c>
      <c r="AK99">
        <v>6201155</v>
      </c>
    </row>
    <row r="100" spans="1:37" x14ac:dyDescent="0.25">
      <c r="A100" s="1">
        <v>46050</v>
      </c>
      <c r="B100" s="1">
        <v>46050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350</v>
      </c>
      <c r="J100" t="s">
        <v>351</v>
      </c>
      <c r="M100" t="s">
        <v>97</v>
      </c>
      <c r="O100" t="s">
        <v>322</v>
      </c>
      <c r="P100" t="s">
        <v>323</v>
      </c>
      <c r="Q100" t="s">
        <v>49</v>
      </c>
      <c r="R100" t="s">
        <v>324</v>
      </c>
      <c r="S100" s="1">
        <v>46023</v>
      </c>
      <c r="U100" t="s">
        <v>51</v>
      </c>
      <c r="X100" t="s">
        <v>52</v>
      </c>
      <c r="Y100" s="2">
        <v>0</v>
      </c>
      <c r="Z100" s="2">
        <v>100</v>
      </c>
      <c r="AA100">
        <v>1</v>
      </c>
      <c r="AB100" s="3">
        <v>1</v>
      </c>
      <c r="AC100" s="2">
        <v>100</v>
      </c>
      <c r="AD100" s="3">
        <v>0</v>
      </c>
      <c r="AE100" s="2">
        <v>0</v>
      </c>
      <c r="AF100" s="2">
        <v>100</v>
      </c>
      <c r="AK100">
        <v>6201234</v>
      </c>
    </row>
    <row r="101" spans="1:37" x14ac:dyDescent="0.25">
      <c r="A101" s="1">
        <v>46050</v>
      </c>
      <c r="B101" s="1">
        <v>46050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352</v>
      </c>
      <c r="J101" t="s">
        <v>353</v>
      </c>
      <c r="M101" t="s">
        <v>287</v>
      </c>
      <c r="O101" t="s">
        <v>47</v>
      </c>
      <c r="P101" t="s">
        <v>48</v>
      </c>
      <c r="Q101" t="s">
        <v>49</v>
      </c>
      <c r="R101" t="s">
        <v>340</v>
      </c>
      <c r="S101" s="1">
        <v>46023</v>
      </c>
      <c r="U101" t="s">
        <v>51</v>
      </c>
      <c r="X101" t="s">
        <v>52</v>
      </c>
      <c r="Y101" s="2">
        <v>0</v>
      </c>
      <c r="Z101" s="2">
        <v>50</v>
      </c>
      <c r="AA101">
        <v>1</v>
      </c>
      <c r="AB101" s="3">
        <v>1</v>
      </c>
      <c r="AC101" s="2">
        <v>50</v>
      </c>
      <c r="AD101" s="3">
        <v>0</v>
      </c>
      <c r="AE101" s="2">
        <v>0</v>
      </c>
      <c r="AF101" s="2">
        <v>50</v>
      </c>
      <c r="AK101">
        <v>6200809</v>
      </c>
    </row>
    <row r="102" spans="1:37" x14ac:dyDescent="0.25">
      <c r="A102" s="1">
        <v>46050</v>
      </c>
      <c r="B102" s="1">
        <v>46050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354</v>
      </c>
      <c r="J102" t="s">
        <v>355</v>
      </c>
      <c r="M102" t="s">
        <v>97</v>
      </c>
      <c r="O102" t="s">
        <v>356</v>
      </c>
      <c r="P102" t="s">
        <v>357</v>
      </c>
      <c r="Q102" t="s">
        <v>49</v>
      </c>
      <c r="R102" t="s">
        <v>340</v>
      </c>
      <c r="S102" s="1">
        <v>46023</v>
      </c>
      <c r="U102" t="s">
        <v>51</v>
      </c>
      <c r="X102" t="s">
        <v>52</v>
      </c>
      <c r="Y102" s="2">
        <v>0</v>
      </c>
      <c r="Z102" s="2">
        <v>50</v>
      </c>
      <c r="AA102">
        <v>1</v>
      </c>
      <c r="AB102" s="3">
        <v>1</v>
      </c>
      <c r="AC102" s="2">
        <v>50</v>
      </c>
      <c r="AD102" s="3">
        <v>0</v>
      </c>
      <c r="AE102" s="2">
        <v>0</v>
      </c>
      <c r="AF102" s="2">
        <v>50</v>
      </c>
      <c r="AK102">
        <v>6200897</v>
      </c>
    </row>
    <row r="103" spans="1:37" x14ac:dyDescent="0.25">
      <c r="A103" s="1">
        <v>46050</v>
      </c>
      <c r="B103" s="1">
        <v>46050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358</v>
      </c>
      <c r="J103" t="s">
        <v>359</v>
      </c>
      <c r="M103" t="s">
        <v>74</v>
      </c>
      <c r="O103" t="s">
        <v>75</v>
      </c>
      <c r="P103" t="s">
        <v>76</v>
      </c>
      <c r="Q103" t="s">
        <v>49</v>
      </c>
      <c r="R103" t="s">
        <v>340</v>
      </c>
      <c r="S103" s="1">
        <v>46023</v>
      </c>
      <c r="U103" t="s">
        <v>51</v>
      </c>
      <c r="X103" t="s">
        <v>52</v>
      </c>
      <c r="Y103" s="2">
        <v>0</v>
      </c>
      <c r="Z103" s="2">
        <v>50</v>
      </c>
      <c r="AA103">
        <v>1</v>
      </c>
      <c r="AB103" s="3">
        <v>1</v>
      </c>
      <c r="AC103" s="2">
        <v>50</v>
      </c>
      <c r="AD103" s="3">
        <v>0</v>
      </c>
      <c r="AE103" s="2">
        <v>0</v>
      </c>
      <c r="AF103" s="2">
        <v>50</v>
      </c>
      <c r="AK103">
        <v>6201024</v>
      </c>
    </row>
    <row r="104" spans="1:37" x14ac:dyDescent="0.25">
      <c r="A104" s="1">
        <v>46050</v>
      </c>
      <c r="B104" s="1">
        <v>46050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360</v>
      </c>
      <c r="J104" t="s">
        <v>361</v>
      </c>
      <c r="M104" t="s">
        <v>55</v>
      </c>
      <c r="O104" t="s">
        <v>164</v>
      </c>
      <c r="P104" t="s">
        <v>165</v>
      </c>
      <c r="Q104" t="s">
        <v>49</v>
      </c>
      <c r="R104" t="s">
        <v>324</v>
      </c>
      <c r="S104" s="1">
        <v>46023</v>
      </c>
      <c r="U104" t="s">
        <v>51</v>
      </c>
      <c r="X104" t="s">
        <v>52</v>
      </c>
      <c r="Y104" s="2">
        <v>0</v>
      </c>
      <c r="Z104" s="2">
        <v>100</v>
      </c>
      <c r="AA104">
        <v>1</v>
      </c>
      <c r="AB104" s="3">
        <v>1</v>
      </c>
      <c r="AC104" s="2">
        <v>100</v>
      </c>
      <c r="AD104" s="3">
        <v>0</v>
      </c>
      <c r="AE104" s="2">
        <v>0</v>
      </c>
      <c r="AF104" s="2">
        <v>100</v>
      </c>
      <c r="AK104">
        <v>6201263</v>
      </c>
    </row>
    <row r="105" spans="1:37" x14ac:dyDescent="0.25">
      <c r="A105" s="1">
        <v>46050</v>
      </c>
      <c r="B105" s="1">
        <v>46050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362</v>
      </c>
      <c r="J105" t="s">
        <v>363</v>
      </c>
      <c r="M105" t="s">
        <v>55</v>
      </c>
      <c r="O105" t="s">
        <v>364</v>
      </c>
      <c r="P105" t="s">
        <v>365</v>
      </c>
      <c r="Q105" t="s">
        <v>49</v>
      </c>
      <c r="R105" t="s">
        <v>324</v>
      </c>
      <c r="S105" s="1">
        <v>46023</v>
      </c>
      <c r="U105" t="s">
        <v>51</v>
      </c>
      <c r="X105" t="s">
        <v>52</v>
      </c>
      <c r="Y105" s="2">
        <v>0</v>
      </c>
      <c r="Z105" s="2">
        <v>100</v>
      </c>
      <c r="AA105">
        <v>1</v>
      </c>
      <c r="AB105" s="3">
        <v>1</v>
      </c>
      <c r="AC105" s="2">
        <v>100</v>
      </c>
      <c r="AD105" s="3">
        <v>0</v>
      </c>
      <c r="AE105" s="2">
        <v>0</v>
      </c>
      <c r="AF105" s="2">
        <v>100</v>
      </c>
      <c r="AK105">
        <v>6201265</v>
      </c>
    </row>
    <row r="106" spans="1:37" x14ac:dyDescent="0.25">
      <c r="A106" s="1">
        <v>46050</v>
      </c>
      <c r="B106" s="1">
        <v>46050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366</v>
      </c>
      <c r="J106" t="s">
        <v>367</v>
      </c>
      <c r="M106" t="s">
        <v>337</v>
      </c>
      <c r="O106" t="s">
        <v>47</v>
      </c>
      <c r="P106" t="s">
        <v>48</v>
      </c>
      <c r="Q106" t="s">
        <v>49</v>
      </c>
      <c r="R106" t="s">
        <v>324</v>
      </c>
      <c r="S106" s="1">
        <v>46023</v>
      </c>
      <c r="U106" t="s">
        <v>51</v>
      </c>
      <c r="X106" t="s">
        <v>52</v>
      </c>
      <c r="Y106" s="2">
        <v>0</v>
      </c>
      <c r="Z106" s="2">
        <v>100</v>
      </c>
      <c r="AA106">
        <v>1</v>
      </c>
      <c r="AB106" s="3">
        <v>1</v>
      </c>
      <c r="AC106" s="2">
        <v>100</v>
      </c>
      <c r="AD106" s="3">
        <v>0</v>
      </c>
      <c r="AE106" s="2">
        <v>0</v>
      </c>
      <c r="AF106" s="2">
        <v>100</v>
      </c>
      <c r="AK106">
        <v>6201272</v>
      </c>
    </row>
    <row r="107" spans="1:37" s="6" customFormat="1" x14ac:dyDescent="0.25">
      <c r="A107" s="7">
        <v>46050</v>
      </c>
      <c r="B107" s="7">
        <v>46050</v>
      </c>
      <c r="C107" s="6" t="s">
        <v>38</v>
      </c>
      <c r="D107" s="6" t="s">
        <v>39</v>
      </c>
      <c r="E107" s="6" t="s">
        <v>40</v>
      </c>
      <c r="F107" s="6" t="s">
        <v>41</v>
      </c>
      <c r="G107" s="6" t="s">
        <v>42</v>
      </c>
      <c r="H107" s="6" t="s">
        <v>43</v>
      </c>
      <c r="I107" s="6" t="s">
        <v>368</v>
      </c>
      <c r="J107" s="6" t="s">
        <v>369</v>
      </c>
      <c r="O107" s="6" t="s">
        <v>192</v>
      </c>
      <c r="P107" s="6" t="s">
        <v>193</v>
      </c>
      <c r="Q107" s="6" t="s">
        <v>106</v>
      </c>
      <c r="R107" s="6" t="s">
        <v>194</v>
      </c>
      <c r="S107" s="7">
        <v>45992</v>
      </c>
      <c r="U107" s="6" t="s">
        <v>51</v>
      </c>
      <c r="X107" s="6" t="s">
        <v>52</v>
      </c>
      <c r="Y107" s="8">
        <v>162</v>
      </c>
      <c r="Z107" s="8">
        <v>162</v>
      </c>
      <c r="AA107" s="6">
        <v>9</v>
      </c>
      <c r="AB107" s="9">
        <v>0.03</v>
      </c>
      <c r="AC107" s="8">
        <v>43.74</v>
      </c>
      <c r="AD107" s="9">
        <v>0</v>
      </c>
      <c r="AE107" s="8">
        <v>0</v>
      </c>
      <c r="AF107" s="8">
        <v>43.74</v>
      </c>
      <c r="AK107" s="6">
        <v>6202954</v>
      </c>
    </row>
    <row r="108" spans="1:37" x14ac:dyDescent="0.25">
      <c r="A108" s="1">
        <v>46050</v>
      </c>
      <c r="B108" s="1">
        <v>46050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370</v>
      </c>
      <c r="J108" t="s">
        <v>371</v>
      </c>
      <c r="M108" t="s">
        <v>133</v>
      </c>
      <c r="O108" t="s">
        <v>134</v>
      </c>
      <c r="P108" t="s">
        <v>135</v>
      </c>
      <c r="Q108" t="s">
        <v>49</v>
      </c>
      <c r="R108" t="s">
        <v>324</v>
      </c>
      <c r="S108" s="1">
        <v>46023</v>
      </c>
      <c r="U108" t="s">
        <v>51</v>
      </c>
      <c r="X108" t="s">
        <v>52</v>
      </c>
      <c r="Y108" s="2">
        <v>0</v>
      </c>
      <c r="Z108" s="2">
        <v>100</v>
      </c>
      <c r="AA108">
        <v>1</v>
      </c>
      <c r="AB108" s="3">
        <v>1</v>
      </c>
      <c r="AC108" s="2">
        <v>100</v>
      </c>
      <c r="AD108" s="3">
        <v>0</v>
      </c>
      <c r="AE108" s="2">
        <v>0</v>
      </c>
      <c r="AF108" s="2">
        <v>100</v>
      </c>
      <c r="AK108">
        <v>6201277</v>
      </c>
    </row>
    <row r="109" spans="1:37" x14ac:dyDescent="0.25">
      <c r="A109" s="1">
        <v>46050</v>
      </c>
      <c r="B109" s="1">
        <v>46050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372</v>
      </c>
      <c r="J109" t="s">
        <v>373</v>
      </c>
      <c r="M109" t="s">
        <v>202</v>
      </c>
      <c r="O109" t="s">
        <v>374</v>
      </c>
      <c r="P109" t="s">
        <v>375</v>
      </c>
      <c r="Q109" t="s">
        <v>49</v>
      </c>
      <c r="R109" t="s">
        <v>324</v>
      </c>
      <c r="S109" s="1">
        <v>46023</v>
      </c>
      <c r="U109" t="s">
        <v>51</v>
      </c>
      <c r="X109" t="s">
        <v>52</v>
      </c>
      <c r="Y109" s="2">
        <v>0</v>
      </c>
      <c r="Z109" s="2">
        <v>100</v>
      </c>
      <c r="AA109">
        <v>1</v>
      </c>
      <c r="AB109" s="3">
        <v>1</v>
      </c>
      <c r="AC109" s="2">
        <v>100</v>
      </c>
      <c r="AD109" s="3">
        <v>0</v>
      </c>
      <c r="AE109" s="2">
        <v>0</v>
      </c>
      <c r="AF109" s="2">
        <v>100</v>
      </c>
      <c r="AK109">
        <v>6201286</v>
      </c>
    </row>
    <row r="110" spans="1:37" x14ac:dyDescent="0.25">
      <c r="A110" s="1">
        <v>46050</v>
      </c>
      <c r="B110" s="1">
        <v>46050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376</v>
      </c>
      <c r="J110" t="s">
        <v>377</v>
      </c>
      <c r="M110" t="s">
        <v>74</v>
      </c>
      <c r="O110" t="s">
        <v>75</v>
      </c>
      <c r="P110" t="s">
        <v>76</v>
      </c>
      <c r="Q110" t="s">
        <v>49</v>
      </c>
      <c r="R110" t="s">
        <v>324</v>
      </c>
      <c r="S110" s="1">
        <v>46023</v>
      </c>
      <c r="U110" t="s">
        <v>51</v>
      </c>
      <c r="X110" t="s">
        <v>52</v>
      </c>
      <c r="Y110" s="2">
        <v>0</v>
      </c>
      <c r="Z110" s="2">
        <v>100</v>
      </c>
      <c r="AA110">
        <v>1</v>
      </c>
      <c r="AB110" s="3">
        <v>1</v>
      </c>
      <c r="AC110" s="2">
        <v>100</v>
      </c>
      <c r="AD110" s="3">
        <v>0</v>
      </c>
      <c r="AE110" s="2">
        <v>0</v>
      </c>
      <c r="AF110" s="2">
        <v>100</v>
      </c>
      <c r="AK110">
        <v>6201297</v>
      </c>
    </row>
    <row r="111" spans="1:37" x14ac:dyDescent="0.25">
      <c r="A111" s="1">
        <v>46050</v>
      </c>
      <c r="B111" s="1">
        <v>46050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378</v>
      </c>
      <c r="J111" t="s">
        <v>379</v>
      </c>
      <c r="M111" t="s">
        <v>97</v>
      </c>
      <c r="O111" t="s">
        <v>47</v>
      </c>
      <c r="P111" t="s">
        <v>48</v>
      </c>
      <c r="Q111" t="s">
        <v>49</v>
      </c>
      <c r="R111" t="s">
        <v>324</v>
      </c>
      <c r="S111" s="1">
        <v>46023</v>
      </c>
      <c r="U111" t="s">
        <v>51</v>
      </c>
      <c r="X111" t="s">
        <v>52</v>
      </c>
      <c r="Y111" s="2">
        <v>0</v>
      </c>
      <c r="Z111" s="2">
        <v>100</v>
      </c>
      <c r="AA111">
        <v>1</v>
      </c>
      <c r="AB111" s="3">
        <v>1</v>
      </c>
      <c r="AC111" s="2">
        <v>100</v>
      </c>
      <c r="AD111" s="3">
        <v>0</v>
      </c>
      <c r="AE111" s="2">
        <v>0</v>
      </c>
      <c r="AF111" s="2">
        <v>100</v>
      </c>
      <c r="AK111">
        <v>6201330</v>
      </c>
    </row>
    <row r="112" spans="1:37" x14ac:dyDescent="0.25">
      <c r="A112" s="1">
        <v>46050</v>
      </c>
      <c r="B112" s="1">
        <v>46050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380</v>
      </c>
      <c r="J112" t="s">
        <v>381</v>
      </c>
      <c r="M112" t="s">
        <v>202</v>
      </c>
      <c r="O112" t="s">
        <v>374</v>
      </c>
      <c r="P112" t="s">
        <v>375</v>
      </c>
      <c r="Q112" t="s">
        <v>49</v>
      </c>
      <c r="R112" t="s">
        <v>324</v>
      </c>
      <c r="S112" s="1">
        <v>46023</v>
      </c>
      <c r="U112" t="s">
        <v>51</v>
      </c>
      <c r="X112" t="s">
        <v>52</v>
      </c>
      <c r="Y112" s="2">
        <v>0</v>
      </c>
      <c r="Z112" s="2">
        <v>100</v>
      </c>
      <c r="AA112">
        <v>1</v>
      </c>
      <c r="AB112" s="3">
        <v>1</v>
      </c>
      <c r="AC112" s="2">
        <v>100</v>
      </c>
      <c r="AD112" s="3">
        <v>0</v>
      </c>
      <c r="AE112" s="2">
        <v>0</v>
      </c>
      <c r="AF112" s="2">
        <v>100</v>
      </c>
      <c r="AK112">
        <v>6201331</v>
      </c>
    </row>
    <row r="113" spans="1:38" x14ac:dyDescent="0.25">
      <c r="A113" s="1">
        <v>46050</v>
      </c>
      <c r="B113" s="1">
        <v>46050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382</v>
      </c>
      <c r="J113" t="s">
        <v>185</v>
      </c>
      <c r="M113" t="s">
        <v>55</v>
      </c>
      <c r="O113" t="s">
        <v>186</v>
      </c>
      <c r="P113" t="s">
        <v>187</v>
      </c>
      <c r="Q113" t="s">
        <v>49</v>
      </c>
      <c r="R113" t="s">
        <v>324</v>
      </c>
      <c r="S113" s="1">
        <v>46023</v>
      </c>
      <c r="U113" t="s">
        <v>51</v>
      </c>
      <c r="X113" t="s">
        <v>52</v>
      </c>
      <c r="Y113" s="2">
        <v>0</v>
      </c>
      <c r="Z113" s="2">
        <v>100</v>
      </c>
      <c r="AA113">
        <v>1</v>
      </c>
      <c r="AB113" s="3">
        <v>1</v>
      </c>
      <c r="AC113" s="2">
        <v>100</v>
      </c>
      <c r="AD113" s="3">
        <v>0</v>
      </c>
      <c r="AE113" s="2">
        <v>0</v>
      </c>
      <c r="AF113" s="2">
        <v>100</v>
      </c>
      <c r="AK113">
        <v>6201345</v>
      </c>
    </row>
    <row r="114" spans="1:38" x14ac:dyDescent="0.25">
      <c r="A114" s="1">
        <v>46050</v>
      </c>
      <c r="B114" s="1">
        <v>46050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383</v>
      </c>
      <c r="J114" t="s">
        <v>384</v>
      </c>
      <c r="M114" t="s">
        <v>55</v>
      </c>
      <c r="O114" t="s">
        <v>385</v>
      </c>
      <c r="P114" t="s">
        <v>386</v>
      </c>
      <c r="Q114" t="s">
        <v>49</v>
      </c>
      <c r="R114" t="s">
        <v>324</v>
      </c>
      <c r="S114" s="1">
        <v>46023</v>
      </c>
      <c r="U114" t="s">
        <v>51</v>
      </c>
      <c r="X114" t="s">
        <v>52</v>
      </c>
      <c r="Y114" s="2">
        <v>0</v>
      </c>
      <c r="Z114" s="2">
        <v>100</v>
      </c>
      <c r="AA114">
        <v>1</v>
      </c>
      <c r="AB114" s="3">
        <v>1</v>
      </c>
      <c r="AC114" s="2">
        <v>100</v>
      </c>
      <c r="AD114" s="3">
        <v>0</v>
      </c>
      <c r="AE114" s="2">
        <v>0</v>
      </c>
      <c r="AF114" s="2">
        <v>100</v>
      </c>
      <c r="AK114">
        <v>6200618</v>
      </c>
    </row>
    <row r="115" spans="1:38" x14ac:dyDescent="0.25">
      <c r="A115" s="1">
        <v>46050</v>
      </c>
      <c r="B115" s="1">
        <v>46050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387</v>
      </c>
      <c r="J115" t="s">
        <v>388</v>
      </c>
      <c r="M115" t="s">
        <v>55</v>
      </c>
      <c r="O115" t="s">
        <v>60</v>
      </c>
      <c r="P115" t="s">
        <v>61</v>
      </c>
      <c r="Q115" t="s">
        <v>49</v>
      </c>
      <c r="R115" t="s">
        <v>324</v>
      </c>
      <c r="S115" s="1">
        <v>46023</v>
      </c>
      <c r="U115" t="s">
        <v>51</v>
      </c>
      <c r="X115" t="s">
        <v>52</v>
      </c>
      <c r="Y115" s="2">
        <v>0</v>
      </c>
      <c r="Z115" s="2">
        <v>100</v>
      </c>
      <c r="AA115">
        <v>1</v>
      </c>
      <c r="AB115" s="3">
        <v>1</v>
      </c>
      <c r="AC115" s="2">
        <v>100</v>
      </c>
      <c r="AD115" s="3">
        <v>0</v>
      </c>
      <c r="AE115" s="2">
        <v>0</v>
      </c>
      <c r="AF115" s="2">
        <v>100</v>
      </c>
      <c r="AK115">
        <v>6201370</v>
      </c>
    </row>
    <row r="116" spans="1:38" s="6" customFormat="1" x14ac:dyDescent="0.25">
      <c r="A116" s="7">
        <v>46050</v>
      </c>
      <c r="B116" s="7">
        <v>46050</v>
      </c>
      <c r="C116" s="6" t="s">
        <v>38</v>
      </c>
      <c r="D116" s="6" t="s">
        <v>39</v>
      </c>
      <c r="E116" s="6" t="s">
        <v>40</v>
      </c>
      <c r="F116" s="6" t="s">
        <v>41</v>
      </c>
      <c r="G116" s="6" t="s">
        <v>42</v>
      </c>
      <c r="H116" s="6" t="s">
        <v>43</v>
      </c>
      <c r="I116" s="6" t="s">
        <v>389</v>
      </c>
      <c r="J116" s="6" t="s">
        <v>390</v>
      </c>
      <c r="O116" s="6" t="s">
        <v>391</v>
      </c>
      <c r="P116" s="6" t="s">
        <v>392</v>
      </c>
      <c r="Q116" s="6" t="s">
        <v>106</v>
      </c>
      <c r="R116" s="6" t="s">
        <v>194</v>
      </c>
      <c r="S116" s="7">
        <v>45992</v>
      </c>
      <c r="U116" s="6" t="s">
        <v>51</v>
      </c>
      <c r="X116" s="6" t="s">
        <v>52</v>
      </c>
      <c r="Y116" s="8">
        <v>163.4</v>
      </c>
      <c r="Z116" s="8">
        <v>163.4</v>
      </c>
      <c r="AA116" s="6">
        <v>9</v>
      </c>
      <c r="AB116" s="9">
        <v>0.03</v>
      </c>
      <c r="AC116" s="8">
        <v>44.12</v>
      </c>
      <c r="AD116" s="9">
        <v>0</v>
      </c>
      <c r="AE116" s="8">
        <v>0</v>
      </c>
      <c r="AF116" s="8">
        <v>44.12</v>
      </c>
      <c r="AK116" s="6">
        <v>6202956</v>
      </c>
    </row>
    <row r="117" spans="1:38" x14ac:dyDescent="0.25">
      <c r="A117" s="1">
        <v>46050</v>
      </c>
      <c r="B117" s="1">
        <v>46050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393</v>
      </c>
      <c r="J117" t="s">
        <v>394</v>
      </c>
      <c r="M117" t="s">
        <v>55</v>
      </c>
      <c r="O117" t="s">
        <v>385</v>
      </c>
      <c r="P117" t="s">
        <v>386</v>
      </c>
      <c r="Q117" t="s">
        <v>49</v>
      </c>
      <c r="R117" t="s">
        <v>324</v>
      </c>
      <c r="S117" s="1">
        <v>46082</v>
      </c>
      <c r="U117" t="s">
        <v>51</v>
      </c>
      <c r="X117" t="s">
        <v>52</v>
      </c>
      <c r="Y117" s="2">
        <v>0</v>
      </c>
      <c r="Z117" s="2">
        <v>100</v>
      </c>
      <c r="AA117">
        <v>1</v>
      </c>
      <c r="AB117" s="3">
        <v>1</v>
      </c>
      <c r="AC117" s="2">
        <v>100</v>
      </c>
      <c r="AD117" s="3">
        <v>0</v>
      </c>
      <c r="AE117" s="2">
        <v>0</v>
      </c>
      <c r="AF117" s="2">
        <v>100</v>
      </c>
      <c r="AK117">
        <v>6200619</v>
      </c>
    </row>
    <row r="118" spans="1:38" x14ac:dyDescent="0.25">
      <c r="A118" s="1">
        <v>46050</v>
      </c>
      <c r="B118" s="1">
        <v>46050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395</v>
      </c>
      <c r="J118" t="s">
        <v>396</v>
      </c>
      <c r="M118" t="s">
        <v>133</v>
      </c>
      <c r="O118" t="s">
        <v>134</v>
      </c>
      <c r="P118" t="s">
        <v>135</v>
      </c>
      <c r="Q118" t="s">
        <v>49</v>
      </c>
      <c r="R118" t="s">
        <v>324</v>
      </c>
      <c r="S118" s="1">
        <v>46023</v>
      </c>
      <c r="U118" t="s">
        <v>51</v>
      </c>
      <c r="X118" t="s">
        <v>52</v>
      </c>
      <c r="Y118" s="2">
        <v>0</v>
      </c>
      <c r="Z118" s="2">
        <v>100</v>
      </c>
      <c r="AA118">
        <v>1</v>
      </c>
      <c r="AB118" s="3">
        <v>1</v>
      </c>
      <c r="AC118" s="2">
        <v>100</v>
      </c>
      <c r="AD118" s="3">
        <v>0</v>
      </c>
      <c r="AE118" s="2">
        <v>0</v>
      </c>
      <c r="AF118" s="2">
        <v>100</v>
      </c>
      <c r="AK118">
        <v>6201450</v>
      </c>
    </row>
    <row r="119" spans="1:38" x14ac:dyDescent="0.25">
      <c r="A119" s="1">
        <v>46050</v>
      </c>
      <c r="B119" s="1">
        <v>46050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397</v>
      </c>
      <c r="J119" t="s">
        <v>398</v>
      </c>
      <c r="M119" t="s">
        <v>133</v>
      </c>
      <c r="O119" t="s">
        <v>134</v>
      </c>
      <c r="P119" t="s">
        <v>135</v>
      </c>
      <c r="Q119" t="s">
        <v>49</v>
      </c>
      <c r="R119" t="s">
        <v>324</v>
      </c>
      <c r="S119" s="1">
        <v>46054</v>
      </c>
      <c r="U119" t="s">
        <v>51</v>
      </c>
      <c r="X119" t="s">
        <v>52</v>
      </c>
      <c r="Y119" s="2">
        <v>0</v>
      </c>
      <c r="Z119" s="2">
        <v>100</v>
      </c>
      <c r="AA119">
        <v>1</v>
      </c>
      <c r="AB119" s="3">
        <v>1</v>
      </c>
      <c r="AC119" s="2">
        <v>100</v>
      </c>
      <c r="AD119" s="3">
        <v>0</v>
      </c>
      <c r="AE119" s="2">
        <v>0</v>
      </c>
      <c r="AF119" s="2">
        <v>100</v>
      </c>
      <c r="AK119">
        <v>6200620</v>
      </c>
    </row>
    <row r="120" spans="1:38" x14ac:dyDescent="0.25">
      <c r="A120" s="1">
        <v>46050</v>
      </c>
      <c r="B120" s="1">
        <v>46050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399</v>
      </c>
      <c r="J120" t="s">
        <v>400</v>
      </c>
      <c r="M120" t="s">
        <v>97</v>
      </c>
      <c r="O120" t="s">
        <v>47</v>
      </c>
      <c r="P120" t="s">
        <v>48</v>
      </c>
      <c r="Q120" t="s">
        <v>49</v>
      </c>
      <c r="R120" t="s">
        <v>340</v>
      </c>
      <c r="S120" s="1">
        <v>46023</v>
      </c>
      <c r="U120" t="s">
        <v>51</v>
      </c>
      <c r="X120" t="s">
        <v>52</v>
      </c>
      <c r="Y120" s="2">
        <v>0</v>
      </c>
      <c r="Z120" s="2">
        <v>50</v>
      </c>
      <c r="AA120">
        <v>1</v>
      </c>
      <c r="AB120" s="3">
        <v>1</v>
      </c>
      <c r="AC120" s="2">
        <v>50</v>
      </c>
      <c r="AD120" s="3">
        <v>0</v>
      </c>
      <c r="AE120" s="2">
        <v>0</v>
      </c>
      <c r="AF120" s="2">
        <v>50</v>
      </c>
      <c r="AK120">
        <v>6201056</v>
      </c>
    </row>
    <row r="121" spans="1:38" x14ac:dyDescent="0.25">
      <c r="A121" s="1">
        <v>46050</v>
      </c>
      <c r="B121" s="1">
        <v>46050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401</v>
      </c>
      <c r="J121" t="s">
        <v>402</v>
      </c>
      <c r="M121" t="s">
        <v>55</v>
      </c>
      <c r="O121" t="s">
        <v>403</v>
      </c>
      <c r="P121" t="s">
        <v>404</v>
      </c>
      <c r="Q121" t="s">
        <v>49</v>
      </c>
      <c r="R121" t="s">
        <v>324</v>
      </c>
      <c r="S121" s="1">
        <v>46023</v>
      </c>
      <c r="U121" t="s">
        <v>51</v>
      </c>
      <c r="X121" t="s">
        <v>52</v>
      </c>
      <c r="Y121" s="2">
        <v>0</v>
      </c>
      <c r="Z121" s="2">
        <v>100</v>
      </c>
      <c r="AA121">
        <v>1</v>
      </c>
      <c r="AB121" s="3">
        <v>1</v>
      </c>
      <c r="AC121" s="2">
        <v>100</v>
      </c>
      <c r="AD121" s="3">
        <v>0</v>
      </c>
      <c r="AE121" s="2">
        <v>0</v>
      </c>
      <c r="AF121" s="2">
        <v>100</v>
      </c>
      <c r="AK121">
        <v>6201481</v>
      </c>
    </row>
    <row r="122" spans="1:38" x14ac:dyDescent="0.25">
      <c r="A122" s="1">
        <v>46050</v>
      </c>
      <c r="B122" s="1">
        <v>46050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405</v>
      </c>
      <c r="J122" t="s">
        <v>406</v>
      </c>
      <c r="M122" t="s">
        <v>55</v>
      </c>
      <c r="O122" t="s">
        <v>403</v>
      </c>
      <c r="P122" t="s">
        <v>404</v>
      </c>
      <c r="Q122" t="s">
        <v>49</v>
      </c>
      <c r="R122" t="s">
        <v>324</v>
      </c>
      <c r="S122" s="1">
        <v>46023</v>
      </c>
      <c r="U122" t="s">
        <v>51</v>
      </c>
      <c r="X122" t="s">
        <v>52</v>
      </c>
      <c r="Y122" s="2">
        <v>0</v>
      </c>
      <c r="Z122" s="2">
        <v>100</v>
      </c>
      <c r="AA122">
        <v>1</v>
      </c>
      <c r="AB122" s="3">
        <v>1</v>
      </c>
      <c r="AC122" s="2">
        <v>100</v>
      </c>
      <c r="AD122" s="3">
        <v>0</v>
      </c>
      <c r="AE122" s="2">
        <v>0</v>
      </c>
      <c r="AF122" s="2">
        <v>100</v>
      </c>
      <c r="AK122">
        <v>6201488</v>
      </c>
    </row>
    <row r="123" spans="1:38" x14ac:dyDescent="0.25">
      <c r="A123" s="1">
        <v>46050</v>
      </c>
      <c r="B123" s="1">
        <v>46050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407</v>
      </c>
      <c r="J123" t="s">
        <v>408</v>
      </c>
      <c r="M123" t="s">
        <v>55</v>
      </c>
      <c r="O123" t="s">
        <v>409</v>
      </c>
      <c r="P123" t="s">
        <v>410</v>
      </c>
      <c r="Q123" t="s">
        <v>49</v>
      </c>
      <c r="R123" t="s">
        <v>411</v>
      </c>
      <c r="S123" s="1">
        <v>46054</v>
      </c>
      <c r="U123" t="s">
        <v>51</v>
      </c>
      <c r="X123" t="s">
        <v>52</v>
      </c>
      <c r="Y123" s="2">
        <v>0</v>
      </c>
      <c r="Z123" s="2">
        <v>318.08</v>
      </c>
      <c r="AA123">
        <v>1</v>
      </c>
      <c r="AB123" s="3">
        <v>1</v>
      </c>
      <c r="AC123" s="2">
        <v>318.08</v>
      </c>
      <c r="AD123" s="3">
        <v>0</v>
      </c>
      <c r="AE123" s="2">
        <v>0</v>
      </c>
      <c r="AF123" s="2">
        <v>318.08</v>
      </c>
      <c r="AK123">
        <v>6202685</v>
      </c>
      <c r="AL123" t="s">
        <v>245</v>
      </c>
    </row>
    <row r="124" spans="1:38" x14ac:dyDescent="0.25">
      <c r="A124" s="1">
        <v>46050</v>
      </c>
      <c r="B124" s="1">
        <v>46050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412</v>
      </c>
      <c r="J124" t="s">
        <v>408</v>
      </c>
      <c r="M124" t="s">
        <v>55</v>
      </c>
      <c r="O124" t="s">
        <v>409</v>
      </c>
      <c r="P124" t="s">
        <v>410</v>
      </c>
      <c r="Q124" t="s">
        <v>49</v>
      </c>
      <c r="R124" t="s">
        <v>413</v>
      </c>
      <c r="S124" s="1">
        <v>46054</v>
      </c>
      <c r="U124" t="s">
        <v>51</v>
      </c>
      <c r="X124" t="s">
        <v>52</v>
      </c>
      <c r="Y124" s="2">
        <v>0</v>
      </c>
      <c r="Z124" s="2">
        <v>175</v>
      </c>
      <c r="AA124">
        <v>1</v>
      </c>
      <c r="AB124" s="3">
        <v>1</v>
      </c>
      <c r="AC124" s="2">
        <v>175</v>
      </c>
      <c r="AD124" s="3">
        <v>0</v>
      </c>
      <c r="AE124" s="2">
        <v>0</v>
      </c>
      <c r="AF124" s="2">
        <v>175</v>
      </c>
      <c r="AK124">
        <v>6202684</v>
      </c>
    </row>
    <row r="125" spans="1:38" x14ac:dyDescent="0.25">
      <c r="A125" s="1">
        <v>46050</v>
      </c>
      <c r="B125" s="1">
        <v>46050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414</v>
      </c>
      <c r="J125" t="s">
        <v>415</v>
      </c>
      <c r="M125" t="s">
        <v>55</v>
      </c>
      <c r="O125" t="s">
        <v>416</v>
      </c>
      <c r="P125" t="s">
        <v>417</v>
      </c>
      <c r="Q125" t="s">
        <v>49</v>
      </c>
      <c r="R125" t="s">
        <v>418</v>
      </c>
      <c r="S125" s="1">
        <v>46054</v>
      </c>
      <c r="U125" t="s">
        <v>51</v>
      </c>
      <c r="X125" t="s">
        <v>52</v>
      </c>
      <c r="Y125" s="2">
        <v>0</v>
      </c>
      <c r="Z125" s="2">
        <v>186.08</v>
      </c>
      <c r="AA125">
        <v>1</v>
      </c>
      <c r="AB125" s="3">
        <v>1</v>
      </c>
      <c r="AC125" s="2">
        <v>186.08</v>
      </c>
      <c r="AD125" s="3">
        <v>0</v>
      </c>
      <c r="AE125" s="2">
        <v>0</v>
      </c>
      <c r="AF125" s="2">
        <v>186.08</v>
      </c>
      <c r="AK125">
        <v>6202900</v>
      </c>
      <c r="AL125" t="s">
        <v>245</v>
      </c>
    </row>
    <row r="126" spans="1:38" x14ac:dyDescent="0.25">
      <c r="A126" s="1">
        <v>46050</v>
      </c>
      <c r="B126" s="1">
        <v>46050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419</v>
      </c>
      <c r="J126" t="s">
        <v>415</v>
      </c>
      <c r="M126" t="s">
        <v>55</v>
      </c>
      <c r="O126" t="s">
        <v>416</v>
      </c>
      <c r="P126" t="s">
        <v>417</v>
      </c>
      <c r="Q126" t="s">
        <v>49</v>
      </c>
      <c r="R126" t="s">
        <v>420</v>
      </c>
      <c r="S126" s="1">
        <v>46054</v>
      </c>
      <c r="U126" t="s">
        <v>51</v>
      </c>
      <c r="X126" t="s">
        <v>52</v>
      </c>
      <c r="Y126" s="2">
        <v>0</v>
      </c>
      <c r="Z126" s="2">
        <v>113</v>
      </c>
      <c r="AA126">
        <v>1</v>
      </c>
      <c r="AB126" s="3">
        <v>1</v>
      </c>
      <c r="AC126" s="2">
        <v>113</v>
      </c>
      <c r="AD126" s="3">
        <v>0</v>
      </c>
      <c r="AE126" s="2">
        <v>0</v>
      </c>
      <c r="AF126" s="2">
        <v>113</v>
      </c>
      <c r="AK126">
        <v>6202901</v>
      </c>
    </row>
    <row r="127" spans="1:38" x14ac:dyDescent="0.25">
      <c r="A127" s="1">
        <v>46050</v>
      </c>
      <c r="B127" s="1">
        <v>46050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421</v>
      </c>
      <c r="J127" t="s">
        <v>422</v>
      </c>
      <c r="M127" t="s">
        <v>287</v>
      </c>
      <c r="O127" t="s">
        <v>322</v>
      </c>
      <c r="P127" t="s">
        <v>323</v>
      </c>
      <c r="Q127" t="s">
        <v>49</v>
      </c>
      <c r="R127" t="s">
        <v>411</v>
      </c>
      <c r="S127" s="1">
        <v>46054</v>
      </c>
      <c r="U127" t="s">
        <v>51</v>
      </c>
      <c r="X127" t="s">
        <v>52</v>
      </c>
      <c r="Y127" s="2">
        <v>0</v>
      </c>
      <c r="Z127" s="2">
        <v>318.08</v>
      </c>
      <c r="AA127">
        <v>1</v>
      </c>
      <c r="AB127" s="3">
        <v>1</v>
      </c>
      <c r="AC127" s="2">
        <v>318.08</v>
      </c>
      <c r="AD127" s="3">
        <v>0</v>
      </c>
      <c r="AE127" s="2">
        <v>0</v>
      </c>
      <c r="AF127" s="2">
        <v>318.08</v>
      </c>
      <c r="AK127">
        <v>6202714</v>
      </c>
      <c r="AL127" t="s">
        <v>245</v>
      </c>
    </row>
    <row r="128" spans="1:38" x14ac:dyDescent="0.25">
      <c r="A128" s="1">
        <v>46050</v>
      </c>
      <c r="B128" s="1">
        <v>46050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423</v>
      </c>
      <c r="J128" t="s">
        <v>422</v>
      </c>
      <c r="M128" t="s">
        <v>287</v>
      </c>
      <c r="O128" t="s">
        <v>322</v>
      </c>
      <c r="P128" t="s">
        <v>323</v>
      </c>
      <c r="Q128" t="s">
        <v>49</v>
      </c>
      <c r="R128" t="s">
        <v>413</v>
      </c>
      <c r="S128" s="1">
        <v>46054</v>
      </c>
      <c r="U128" t="s">
        <v>51</v>
      </c>
      <c r="X128" t="s">
        <v>52</v>
      </c>
      <c r="Y128" s="2">
        <v>0</v>
      </c>
      <c r="Z128" s="2">
        <v>175</v>
      </c>
      <c r="AA128">
        <v>1</v>
      </c>
      <c r="AB128" s="3">
        <v>1</v>
      </c>
      <c r="AC128" s="2">
        <v>175</v>
      </c>
      <c r="AD128" s="3">
        <v>0</v>
      </c>
      <c r="AE128" s="2">
        <v>0</v>
      </c>
      <c r="AF128" s="2">
        <v>175</v>
      </c>
      <c r="AK128">
        <v>6202713</v>
      </c>
    </row>
    <row r="129" spans="1:38" x14ac:dyDescent="0.25">
      <c r="A129" s="1">
        <v>46050</v>
      </c>
      <c r="B129" s="1">
        <v>46050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424</v>
      </c>
      <c r="J129" t="s">
        <v>425</v>
      </c>
      <c r="M129" t="s">
        <v>97</v>
      </c>
      <c r="O129" t="s">
        <v>104</v>
      </c>
      <c r="P129" t="s">
        <v>105</v>
      </c>
      <c r="Q129" t="s">
        <v>49</v>
      </c>
      <c r="R129" t="s">
        <v>418</v>
      </c>
      <c r="S129" s="1">
        <v>46054</v>
      </c>
      <c r="U129" t="s">
        <v>51</v>
      </c>
      <c r="X129" t="s">
        <v>52</v>
      </c>
      <c r="Y129" s="2">
        <v>0</v>
      </c>
      <c r="Z129" s="2">
        <v>186.08</v>
      </c>
      <c r="AA129">
        <v>1</v>
      </c>
      <c r="AB129" s="3">
        <v>1</v>
      </c>
      <c r="AC129" s="2">
        <v>186.08</v>
      </c>
      <c r="AD129" s="3">
        <v>0</v>
      </c>
      <c r="AE129" s="2">
        <v>0</v>
      </c>
      <c r="AF129" s="2">
        <v>186.08</v>
      </c>
      <c r="AK129">
        <v>6202721</v>
      </c>
      <c r="AL129" t="s">
        <v>245</v>
      </c>
    </row>
    <row r="130" spans="1:38" x14ac:dyDescent="0.25">
      <c r="A130" s="1">
        <v>46050</v>
      </c>
      <c r="B130" s="1">
        <v>46050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426</v>
      </c>
      <c r="J130" t="s">
        <v>425</v>
      </c>
      <c r="M130" t="s">
        <v>97</v>
      </c>
      <c r="O130" t="s">
        <v>104</v>
      </c>
      <c r="P130" t="s">
        <v>105</v>
      </c>
      <c r="Q130" t="s">
        <v>49</v>
      </c>
      <c r="R130" t="s">
        <v>420</v>
      </c>
      <c r="S130" s="1">
        <v>46054</v>
      </c>
      <c r="U130" t="s">
        <v>51</v>
      </c>
      <c r="X130" t="s">
        <v>52</v>
      </c>
      <c r="Y130" s="2">
        <v>0</v>
      </c>
      <c r="Z130" s="2">
        <v>113</v>
      </c>
      <c r="AA130">
        <v>1</v>
      </c>
      <c r="AB130" s="3">
        <v>1</v>
      </c>
      <c r="AC130" s="2">
        <v>113</v>
      </c>
      <c r="AD130" s="3">
        <v>0</v>
      </c>
      <c r="AE130" s="2">
        <v>0</v>
      </c>
      <c r="AF130" s="2">
        <v>113</v>
      </c>
      <c r="AK130">
        <v>6202722</v>
      </c>
    </row>
    <row r="131" spans="1:38" x14ac:dyDescent="0.25">
      <c r="A131" s="1">
        <v>46050</v>
      </c>
      <c r="B131" s="1">
        <v>46050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427</v>
      </c>
      <c r="J131" t="s">
        <v>428</v>
      </c>
      <c r="M131" t="s">
        <v>429</v>
      </c>
      <c r="O131" t="s">
        <v>104</v>
      </c>
      <c r="P131" t="s">
        <v>105</v>
      </c>
      <c r="Q131" t="s">
        <v>106</v>
      </c>
      <c r="R131" t="s">
        <v>430</v>
      </c>
      <c r="S131" s="1">
        <v>45992</v>
      </c>
      <c r="U131" t="s">
        <v>51</v>
      </c>
      <c r="X131" t="s">
        <v>52</v>
      </c>
      <c r="Y131" s="2">
        <v>0</v>
      </c>
      <c r="Z131" s="2">
        <v>26.08</v>
      </c>
      <c r="AA131">
        <v>1</v>
      </c>
      <c r="AB131" s="3">
        <v>1</v>
      </c>
      <c r="AC131" s="2">
        <v>26.08</v>
      </c>
      <c r="AD131" s="3">
        <v>0</v>
      </c>
      <c r="AE131" s="2">
        <v>0</v>
      </c>
      <c r="AF131" s="2">
        <v>26.08</v>
      </c>
      <c r="AK131">
        <v>0</v>
      </c>
      <c r="AL131" t="s">
        <v>431</v>
      </c>
    </row>
    <row r="132" spans="1:38" x14ac:dyDescent="0.25">
      <c r="A132" s="1">
        <v>46050</v>
      </c>
      <c r="B132" s="1">
        <v>46050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432</v>
      </c>
      <c r="J132" t="s">
        <v>428</v>
      </c>
      <c r="M132" t="s">
        <v>429</v>
      </c>
      <c r="O132" t="s">
        <v>104</v>
      </c>
      <c r="P132" t="s">
        <v>105</v>
      </c>
      <c r="Q132" t="s">
        <v>106</v>
      </c>
      <c r="R132" t="s">
        <v>433</v>
      </c>
      <c r="S132" s="1">
        <v>45992</v>
      </c>
      <c r="U132" t="s">
        <v>51</v>
      </c>
      <c r="X132" t="s">
        <v>52</v>
      </c>
      <c r="Y132" s="2">
        <v>0</v>
      </c>
      <c r="Z132" s="2">
        <v>4.17</v>
      </c>
      <c r="AA132">
        <v>1</v>
      </c>
      <c r="AB132" s="3">
        <v>1</v>
      </c>
      <c r="AC132" s="2">
        <v>4.17</v>
      </c>
      <c r="AD132" s="3">
        <v>0</v>
      </c>
      <c r="AE132" s="2">
        <v>0</v>
      </c>
      <c r="AF132" s="2">
        <v>4.17</v>
      </c>
      <c r="AK132">
        <v>0</v>
      </c>
      <c r="AL132" t="s">
        <v>431</v>
      </c>
    </row>
    <row r="133" spans="1:38" x14ac:dyDescent="0.25">
      <c r="A133" s="1">
        <v>46050</v>
      </c>
      <c r="B133" s="1">
        <v>46050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434</v>
      </c>
      <c r="J133" t="s">
        <v>435</v>
      </c>
      <c r="M133" t="s">
        <v>55</v>
      </c>
      <c r="O133" t="s">
        <v>403</v>
      </c>
      <c r="P133" t="s">
        <v>404</v>
      </c>
      <c r="Q133" t="s">
        <v>49</v>
      </c>
      <c r="R133" t="s">
        <v>411</v>
      </c>
      <c r="S133" s="1">
        <v>46054</v>
      </c>
      <c r="U133" t="s">
        <v>51</v>
      </c>
      <c r="X133" t="s">
        <v>52</v>
      </c>
      <c r="Y133" s="2">
        <v>0</v>
      </c>
      <c r="Z133" s="2">
        <v>318.08</v>
      </c>
      <c r="AA133">
        <v>1</v>
      </c>
      <c r="AB133" s="3">
        <v>1</v>
      </c>
      <c r="AC133" s="2">
        <v>318.08</v>
      </c>
      <c r="AD133" s="3">
        <v>0</v>
      </c>
      <c r="AE133" s="2">
        <v>0</v>
      </c>
      <c r="AF133" s="2">
        <v>318.08</v>
      </c>
      <c r="AK133">
        <v>6202735</v>
      </c>
      <c r="AL133" t="s">
        <v>245</v>
      </c>
    </row>
    <row r="134" spans="1:38" x14ac:dyDescent="0.25">
      <c r="A134" s="1">
        <v>46050</v>
      </c>
      <c r="B134" s="1">
        <v>46050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436</v>
      </c>
      <c r="J134" t="s">
        <v>435</v>
      </c>
      <c r="M134" t="s">
        <v>55</v>
      </c>
      <c r="O134" t="s">
        <v>403</v>
      </c>
      <c r="P134" t="s">
        <v>404</v>
      </c>
      <c r="Q134" t="s">
        <v>49</v>
      </c>
      <c r="R134" t="s">
        <v>413</v>
      </c>
      <c r="S134" s="1">
        <v>46054</v>
      </c>
      <c r="U134" t="s">
        <v>51</v>
      </c>
      <c r="X134" t="s">
        <v>52</v>
      </c>
      <c r="Y134" s="2">
        <v>0</v>
      </c>
      <c r="Z134" s="2">
        <v>175</v>
      </c>
      <c r="AA134">
        <v>1</v>
      </c>
      <c r="AB134" s="3">
        <v>1</v>
      </c>
      <c r="AC134" s="2">
        <v>175</v>
      </c>
      <c r="AD134" s="3">
        <v>0</v>
      </c>
      <c r="AE134" s="2">
        <v>0</v>
      </c>
      <c r="AF134" s="2">
        <v>175</v>
      </c>
      <c r="AK134">
        <v>6202734</v>
      </c>
    </row>
    <row r="135" spans="1:38" x14ac:dyDescent="0.25">
      <c r="A135" s="1">
        <v>46050</v>
      </c>
      <c r="B135" s="1">
        <v>46050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437</v>
      </c>
      <c r="J135" t="s">
        <v>438</v>
      </c>
      <c r="M135" t="s">
        <v>55</v>
      </c>
      <c r="O135" t="s">
        <v>256</v>
      </c>
      <c r="P135" t="s">
        <v>257</v>
      </c>
      <c r="Q135" t="s">
        <v>49</v>
      </c>
      <c r="R135" t="s">
        <v>418</v>
      </c>
      <c r="S135" s="1">
        <v>46054</v>
      </c>
      <c r="U135" t="s">
        <v>51</v>
      </c>
      <c r="X135" t="s">
        <v>52</v>
      </c>
      <c r="Y135" s="2">
        <v>0</v>
      </c>
      <c r="Z135" s="2">
        <v>186.08</v>
      </c>
      <c r="AA135">
        <v>1</v>
      </c>
      <c r="AB135" s="3">
        <v>1</v>
      </c>
      <c r="AC135" s="2">
        <v>186.08</v>
      </c>
      <c r="AD135" s="3">
        <v>0</v>
      </c>
      <c r="AE135" s="2">
        <v>0</v>
      </c>
      <c r="AF135" s="2">
        <v>186.08</v>
      </c>
      <c r="AK135">
        <v>6202750</v>
      </c>
      <c r="AL135" t="s">
        <v>245</v>
      </c>
    </row>
    <row r="136" spans="1:38" x14ac:dyDescent="0.25">
      <c r="A136" s="1">
        <v>46050</v>
      </c>
      <c r="B136" s="1">
        <v>46050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439</v>
      </c>
      <c r="J136" t="s">
        <v>438</v>
      </c>
      <c r="M136" t="s">
        <v>55</v>
      </c>
      <c r="O136" t="s">
        <v>256</v>
      </c>
      <c r="P136" t="s">
        <v>257</v>
      </c>
      <c r="Q136" t="s">
        <v>49</v>
      </c>
      <c r="R136" t="s">
        <v>433</v>
      </c>
      <c r="S136" s="1">
        <v>46054</v>
      </c>
      <c r="U136" t="s">
        <v>51</v>
      </c>
      <c r="X136" t="s">
        <v>52</v>
      </c>
      <c r="Y136" s="2">
        <v>0</v>
      </c>
      <c r="Z136" s="2">
        <v>45.83</v>
      </c>
      <c r="AA136">
        <v>1</v>
      </c>
      <c r="AB136" s="3">
        <v>1</v>
      </c>
      <c r="AC136" s="2">
        <v>45.83</v>
      </c>
      <c r="AD136" s="3">
        <v>0</v>
      </c>
      <c r="AE136" s="2">
        <v>0</v>
      </c>
      <c r="AF136" s="2">
        <v>45.83</v>
      </c>
      <c r="AK136">
        <v>6202751</v>
      </c>
      <c r="AL136" t="s">
        <v>245</v>
      </c>
    </row>
    <row r="137" spans="1:38" x14ac:dyDescent="0.25">
      <c r="A137" s="1">
        <v>46050</v>
      </c>
      <c r="B137" s="1">
        <v>46050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440</v>
      </c>
      <c r="J137" t="s">
        <v>441</v>
      </c>
      <c r="M137" t="s">
        <v>97</v>
      </c>
      <c r="O137" t="s">
        <v>385</v>
      </c>
      <c r="P137" t="s">
        <v>386</v>
      </c>
      <c r="Q137" t="s">
        <v>49</v>
      </c>
      <c r="R137" t="s">
        <v>418</v>
      </c>
      <c r="S137" s="1">
        <v>46082</v>
      </c>
      <c r="U137" t="s">
        <v>51</v>
      </c>
      <c r="X137" t="s">
        <v>52</v>
      </c>
      <c r="Y137" s="2">
        <v>0</v>
      </c>
      <c r="Z137" s="2">
        <v>169.17</v>
      </c>
      <c r="AA137">
        <v>1</v>
      </c>
      <c r="AB137" s="3">
        <v>1</v>
      </c>
      <c r="AC137" s="2">
        <v>169.17</v>
      </c>
      <c r="AD137" s="3">
        <v>0</v>
      </c>
      <c r="AE137" s="2">
        <v>0</v>
      </c>
      <c r="AF137" s="2">
        <v>169.17</v>
      </c>
      <c r="AK137">
        <v>6202760</v>
      </c>
      <c r="AL137" t="s">
        <v>308</v>
      </c>
    </row>
    <row r="138" spans="1:38" x14ac:dyDescent="0.25">
      <c r="A138" s="1">
        <v>46050</v>
      </c>
      <c r="B138" s="1">
        <v>46050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442</v>
      </c>
      <c r="J138" t="s">
        <v>441</v>
      </c>
      <c r="M138" t="s">
        <v>97</v>
      </c>
      <c r="O138" t="s">
        <v>385</v>
      </c>
      <c r="P138" t="s">
        <v>386</v>
      </c>
      <c r="Q138" t="s">
        <v>49</v>
      </c>
      <c r="R138" t="s">
        <v>420</v>
      </c>
      <c r="S138" s="1">
        <v>46082</v>
      </c>
      <c r="U138" t="s">
        <v>51</v>
      </c>
      <c r="X138" t="s">
        <v>52</v>
      </c>
      <c r="Y138" s="2">
        <v>0</v>
      </c>
      <c r="Z138" s="2">
        <v>113</v>
      </c>
      <c r="AA138">
        <v>1</v>
      </c>
      <c r="AB138" s="3">
        <v>1</v>
      </c>
      <c r="AC138" s="2">
        <v>113</v>
      </c>
      <c r="AD138" s="3">
        <v>0</v>
      </c>
      <c r="AE138" s="2">
        <v>0</v>
      </c>
      <c r="AF138" s="2">
        <v>113</v>
      </c>
      <c r="AK138">
        <v>6202761</v>
      </c>
    </row>
    <row r="139" spans="1:38" x14ac:dyDescent="0.25">
      <c r="A139" s="1">
        <v>46050</v>
      </c>
      <c r="B139" s="1">
        <v>46050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443</v>
      </c>
      <c r="J139" t="s">
        <v>444</v>
      </c>
      <c r="M139" t="s">
        <v>97</v>
      </c>
      <c r="O139" t="s">
        <v>385</v>
      </c>
      <c r="P139" t="s">
        <v>386</v>
      </c>
      <c r="Q139" t="s">
        <v>49</v>
      </c>
      <c r="R139" t="s">
        <v>411</v>
      </c>
      <c r="S139" s="1">
        <v>46054</v>
      </c>
      <c r="U139" t="s">
        <v>51</v>
      </c>
      <c r="X139" t="s">
        <v>52</v>
      </c>
      <c r="Y139" s="2">
        <v>0</v>
      </c>
      <c r="Z139" s="2">
        <v>318.08</v>
      </c>
      <c r="AA139">
        <v>1</v>
      </c>
      <c r="AB139" s="3">
        <v>1</v>
      </c>
      <c r="AC139" s="2">
        <v>318.08</v>
      </c>
      <c r="AD139" s="3">
        <v>0</v>
      </c>
      <c r="AE139" s="2">
        <v>0</v>
      </c>
      <c r="AF139" s="2">
        <v>318.08</v>
      </c>
      <c r="AK139">
        <v>6202792</v>
      </c>
      <c r="AL139" t="s">
        <v>245</v>
      </c>
    </row>
    <row r="140" spans="1:38" x14ac:dyDescent="0.25">
      <c r="A140" s="1">
        <v>46050</v>
      </c>
      <c r="B140" s="1">
        <v>46050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445</v>
      </c>
      <c r="J140" t="s">
        <v>444</v>
      </c>
      <c r="M140" t="s">
        <v>97</v>
      </c>
      <c r="O140" t="s">
        <v>385</v>
      </c>
      <c r="P140" t="s">
        <v>386</v>
      </c>
      <c r="Q140" t="s">
        <v>49</v>
      </c>
      <c r="R140" t="s">
        <v>413</v>
      </c>
      <c r="S140" s="1">
        <v>46054</v>
      </c>
      <c r="U140" t="s">
        <v>51</v>
      </c>
      <c r="X140" t="s">
        <v>52</v>
      </c>
      <c r="Y140" s="2">
        <v>0</v>
      </c>
      <c r="Z140" s="2">
        <v>175</v>
      </c>
      <c r="AA140">
        <v>1</v>
      </c>
      <c r="AB140" s="3">
        <v>1</v>
      </c>
      <c r="AC140" s="2">
        <v>175</v>
      </c>
      <c r="AD140" s="3">
        <v>0</v>
      </c>
      <c r="AE140" s="2">
        <v>0</v>
      </c>
      <c r="AF140" s="2">
        <v>175</v>
      </c>
      <c r="AK140">
        <v>6202791</v>
      </c>
    </row>
    <row r="141" spans="1:38" x14ac:dyDescent="0.25">
      <c r="A141" s="1">
        <v>46050</v>
      </c>
      <c r="B141" s="1">
        <v>46050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446</v>
      </c>
      <c r="J141" t="s">
        <v>447</v>
      </c>
      <c r="M141" t="s">
        <v>55</v>
      </c>
      <c r="O141" t="s">
        <v>416</v>
      </c>
      <c r="P141" t="s">
        <v>417</v>
      </c>
      <c r="Q141" t="s">
        <v>49</v>
      </c>
      <c r="R141" t="s">
        <v>418</v>
      </c>
      <c r="S141" s="1">
        <v>46054</v>
      </c>
      <c r="U141" t="s">
        <v>51</v>
      </c>
      <c r="X141" t="s">
        <v>52</v>
      </c>
      <c r="Y141" s="2">
        <v>0</v>
      </c>
      <c r="Z141" s="2">
        <v>186.08</v>
      </c>
      <c r="AA141">
        <v>1</v>
      </c>
      <c r="AB141" s="3">
        <v>1</v>
      </c>
      <c r="AC141" s="2">
        <v>186.08</v>
      </c>
      <c r="AD141" s="3">
        <v>0</v>
      </c>
      <c r="AE141" s="2">
        <v>0</v>
      </c>
      <c r="AF141" s="2">
        <v>186.08</v>
      </c>
      <c r="AK141">
        <v>6202902</v>
      </c>
      <c r="AL141" t="s">
        <v>245</v>
      </c>
    </row>
    <row r="142" spans="1:38" x14ac:dyDescent="0.25">
      <c r="A142" s="1">
        <v>46050</v>
      </c>
      <c r="B142" s="1">
        <v>46050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448</v>
      </c>
      <c r="J142" t="s">
        <v>447</v>
      </c>
      <c r="M142" t="s">
        <v>55</v>
      </c>
      <c r="O142" t="s">
        <v>416</v>
      </c>
      <c r="P142" t="s">
        <v>417</v>
      </c>
      <c r="Q142" t="s">
        <v>49</v>
      </c>
      <c r="R142" t="s">
        <v>420</v>
      </c>
      <c r="S142" s="1">
        <v>46054</v>
      </c>
      <c r="U142" t="s">
        <v>51</v>
      </c>
      <c r="X142" t="s">
        <v>52</v>
      </c>
      <c r="Y142" s="2">
        <v>0</v>
      </c>
      <c r="Z142" s="2">
        <v>113</v>
      </c>
      <c r="AA142">
        <v>1</v>
      </c>
      <c r="AB142" s="3">
        <v>1</v>
      </c>
      <c r="AC142" s="2">
        <v>113</v>
      </c>
      <c r="AD142" s="3">
        <v>0</v>
      </c>
      <c r="AE142" s="2">
        <v>0</v>
      </c>
      <c r="AF142" s="2">
        <v>113</v>
      </c>
      <c r="AK142">
        <v>6202903</v>
      </c>
    </row>
    <row r="143" spans="1:38" x14ac:dyDescent="0.25">
      <c r="A143" s="1">
        <v>46050</v>
      </c>
      <c r="B143" s="1">
        <v>46050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449</v>
      </c>
      <c r="J143" t="s">
        <v>450</v>
      </c>
      <c r="M143" t="s">
        <v>451</v>
      </c>
      <c r="O143" t="s">
        <v>104</v>
      </c>
      <c r="P143" t="s">
        <v>105</v>
      </c>
      <c r="Q143" t="s">
        <v>49</v>
      </c>
      <c r="R143" t="s">
        <v>411</v>
      </c>
      <c r="S143" s="1">
        <v>46054</v>
      </c>
      <c r="U143" t="s">
        <v>51</v>
      </c>
      <c r="X143" t="s">
        <v>52</v>
      </c>
      <c r="Y143" s="2">
        <v>0</v>
      </c>
      <c r="Z143" s="2">
        <v>318.08</v>
      </c>
      <c r="AA143">
        <v>1</v>
      </c>
      <c r="AB143" s="3">
        <v>1</v>
      </c>
      <c r="AC143" s="2">
        <v>318.08</v>
      </c>
      <c r="AD143" s="3">
        <v>0</v>
      </c>
      <c r="AE143" s="2">
        <v>0</v>
      </c>
      <c r="AF143" s="2">
        <v>318.08</v>
      </c>
      <c r="AK143">
        <v>6202806</v>
      </c>
      <c r="AL143" t="s">
        <v>245</v>
      </c>
    </row>
    <row r="144" spans="1:38" x14ac:dyDescent="0.25">
      <c r="A144" s="1">
        <v>46050</v>
      </c>
      <c r="B144" s="1">
        <v>46050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452</v>
      </c>
      <c r="J144" t="s">
        <v>450</v>
      </c>
      <c r="M144" t="s">
        <v>451</v>
      </c>
      <c r="O144" t="s">
        <v>104</v>
      </c>
      <c r="P144" t="s">
        <v>105</v>
      </c>
      <c r="Q144" t="s">
        <v>49</v>
      </c>
      <c r="R144" t="s">
        <v>413</v>
      </c>
      <c r="S144" s="1">
        <v>46054</v>
      </c>
      <c r="U144" t="s">
        <v>51</v>
      </c>
      <c r="X144" t="s">
        <v>52</v>
      </c>
      <c r="Y144" s="2">
        <v>0</v>
      </c>
      <c r="Z144" s="2">
        <v>175</v>
      </c>
      <c r="AA144">
        <v>1</v>
      </c>
      <c r="AB144" s="3">
        <v>1</v>
      </c>
      <c r="AC144" s="2">
        <v>175</v>
      </c>
      <c r="AD144" s="3">
        <v>0</v>
      </c>
      <c r="AE144" s="2">
        <v>0</v>
      </c>
      <c r="AF144" s="2">
        <v>175</v>
      </c>
      <c r="AK144">
        <v>6202805</v>
      </c>
    </row>
    <row r="145" spans="1:38" x14ac:dyDescent="0.25">
      <c r="A145" s="1">
        <v>46050</v>
      </c>
      <c r="B145" s="1">
        <v>46050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453</v>
      </c>
      <c r="J145" t="s">
        <v>454</v>
      </c>
      <c r="M145" t="s">
        <v>97</v>
      </c>
      <c r="O145" t="s">
        <v>385</v>
      </c>
      <c r="P145" t="s">
        <v>386</v>
      </c>
      <c r="Q145" t="s">
        <v>49</v>
      </c>
      <c r="R145" t="s">
        <v>411</v>
      </c>
      <c r="S145" s="1">
        <v>46054</v>
      </c>
      <c r="U145" t="s">
        <v>51</v>
      </c>
      <c r="X145" t="s">
        <v>52</v>
      </c>
      <c r="Y145" s="2">
        <v>0</v>
      </c>
      <c r="Z145" s="2">
        <v>318.08</v>
      </c>
      <c r="AA145">
        <v>1</v>
      </c>
      <c r="AB145" s="3">
        <v>1</v>
      </c>
      <c r="AC145" s="2">
        <v>318.08</v>
      </c>
      <c r="AD145" s="3">
        <v>0</v>
      </c>
      <c r="AE145" s="2">
        <v>0</v>
      </c>
      <c r="AF145" s="2">
        <v>318.08</v>
      </c>
      <c r="AK145">
        <v>6202818</v>
      </c>
      <c r="AL145" t="s">
        <v>245</v>
      </c>
    </row>
    <row r="146" spans="1:38" x14ac:dyDescent="0.25">
      <c r="A146" s="1">
        <v>46050</v>
      </c>
      <c r="B146" s="1">
        <v>46050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455</v>
      </c>
      <c r="J146" t="s">
        <v>454</v>
      </c>
      <c r="M146" t="s">
        <v>97</v>
      </c>
      <c r="O146" t="s">
        <v>385</v>
      </c>
      <c r="P146" t="s">
        <v>386</v>
      </c>
      <c r="Q146" t="s">
        <v>49</v>
      </c>
      <c r="R146" t="s">
        <v>413</v>
      </c>
      <c r="S146" s="1">
        <v>46054</v>
      </c>
      <c r="U146" t="s">
        <v>51</v>
      </c>
      <c r="X146" t="s">
        <v>52</v>
      </c>
      <c r="Y146" s="2">
        <v>0</v>
      </c>
      <c r="Z146" s="2">
        <v>175</v>
      </c>
      <c r="AA146">
        <v>1</v>
      </c>
      <c r="AB146" s="3">
        <v>1</v>
      </c>
      <c r="AC146" s="2">
        <v>175</v>
      </c>
      <c r="AD146" s="3">
        <v>0</v>
      </c>
      <c r="AE146" s="2">
        <v>0</v>
      </c>
      <c r="AF146" s="2">
        <v>175</v>
      </c>
      <c r="AK146">
        <v>6202817</v>
      </c>
    </row>
    <row r="147" spans="1:38" x14ac:dyDescent="0.25">
      <c r="A147" s="1">
        <v>46050</v>
      </c>
      <c r="B147" s="1">
        <v>46050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456</v>
      </c>
      <c r="J147" t="s">
        <v>457</v>
      </c>
      <c r="M147" t="s">
        <v>55</v>
      </c>
      <c r="O147" t="s">
        <v>322</v>
      </c>
      <c r="P147" t="s">
        <v>323</v>
      </c>
      <c r="Q147" t="s">
        <v>49</v>
      </c>
      <c r="R147" t="s">
        <v>418</v>
      </c>
      <c r="S147" s="1">
        <v>46054</v>
      </c>
      <c r="U147" t="s">
        <v>51</v>
      </c>
      <c r="X147" t="s">
        <v>52</v>
      </c>
      <c r="Y147" s="2">
        <v>0</v>
      </c>
      <c r="Z147" s="2">
        <v>186.08</v>
      </c>
      <c r="AA147">
        <v>1</v>
      </c>
      <c r="AB147" s="3">
        <v>1</v>
      </c>
      <c r="AC147" s="2">
        <v>186.08</v>
      </c>
      <c r="AD147" s="3">
        <v>0</v>
      </c>
      <c r="AE147" s="2">
        <v>0</v>
      </c>
      <c r="AF147" s="2">
        <v>186.08</v>
      </c>
      <c r="AK147">
        <v>6202904</v>
      </c>
      <c r="AL147" t="s">
        <v>245</v>
      </c>
    </row>
    <row r="148" spans="1:38" x14ac:dyDescent="0.25">
      <c r="A148" s="1">
        <v>46050</v>
      </c>
      <c r="B148" s="1">
        <v>46050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458</v>
      </c>
      <c r="J148" t="s">
        <v>457</v>
      </c>
      <c r="M148" t="s">
        <v>55</v>
      </c>
      <c r="O148" t="s">
        <v>322</v>
      </c>
      <c r="P148" t="s">
        <v>323</v>
      </c>
      <c r="Q148" t="s">
        <v>49</v>
      </c>
      <c r="R148" t="s">
        <v>420</v>
      </c>
      <c r="S148" s="1">
        <v>46054</v>
      </c>
      <c r="U148" t="s">
        <v>51</v>
      </c>
      <c r="X148" t="s">
        <v>52</v>
      </c>
      <c r="Y148" s="2">
        <v>0</v>
      </c>
      <c r="Z148" s="2">
        <v>113</v>
      </c>
      <c r="AA148">
        <v>1</v>
      </c>
      <c r="AB148" s="3">
        <v>1</v>
      </c>
      <c r="AC148" s="2">
        <v>113</v>
      </c>
      <c r="AD148" s="3">
        <v>0</v>
      </c>
      <c r="AE148" s="2">
        <v>0</v>
      </c>
      <c r="AF148" s="2">
        <v>113</v>
      </c>
      <c r="AK148">
        <v>6202905</v>
      </c>
    </row>
    <row r="149" spans="1:38" x14ac:dyDescent="0.25">
      <c r="A149" s="1">
        <v>46050</v>
      </c>
      <c r="B149" s="1">
        <v>46050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459</v>
      </c>
      <c r="J149" t="s">
        <v>460</v>
      </c>
      <c r="M149" t="s">
        <v>461</v>
      </c>
      <c r="O149" t="s">
        <v>462</v>
      </c>
      <c r="P149" t="s">
        <v>463</v>
      </c>
      <c r="Q149" t="s">
        <v>49</v>
      </c>
      <c r="R149" t="s">
        <v>411</v>
      </c>
      <c r="S149" s="1">
        <v>46054</v>
      </c>
      <c r="U149" t="s">
        <v>51</v>
      </c>
      <c r="X149" t="s">
        <v>52</v>
      </c>
      <c r="Y149" s="2">
        <v>0</v>
      </c>
      <c r="Z149" s="2">
        <v>318.08</v>
      </c>
      <c r="AA149">
        <v>1</v>
      </c>
      <c r="AB149" s="3">
        <v>1</v>
      </c>
      <c r="AC149" s="2">
        <v>318.08</v>
      </c>
      <c r="AD149" s="3">
        <v>0</v>
      </c>
      <c r="AE149" s="2">
        <v>0</v>
      </c>
      <c r="AF149" s="2">
        <v>318.08</v>
      </c>
      <c r="AK149">
        <v>6202842</v>
      </c>
      <c r="AL149" t="s">
        <v>245</v>
      </c>
    </row>
    <row r="150" spans="1:38" x14ac:dyDescent="0.25">
      <c r="A150" s="1">
        <v>46050</v>
      </c>
      <c r="B150" s="1">
        <v>46050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464</v>
      </c>
      <c r="J150" t="s">
        <v>460</v>
      </c>
      <c r="M150" t="s">
        <v>461</v>
      </c>
      <c r="O150" t="s">
        <v>462</v>
      </c>
      <c r="P150" t="s">
        <v>463</v>
      </c>
      <c r="Q150" t="s">
        <v>49</v>
      </c>
      <c r="R150" t="s">
        <v>413</v>
      </c>
      <c r="S150" s="1">
        <v>46054</v>
      </c>
      <c r="U150" t="s">
        <v>51</v>
      </c>
      <c r="X150" t="s">
        <v>52</v>
      </c>
      <c r="Y150" s="2">
        <v>0</v>
      </c>
      <c r="Z150" s="2">
        <v>175</v>
      </c>
      <c r="AA150">
        <v>1</v>
      </c>
      <c r="AB150" s="3">
        <v>1</v>
      </c>
      <c r="AC150" s="2">
        <v>175</v>
      </c>
      <c r="AD150" s="3">
        <v>0</v>
      </c>
      <c r="AE150" s="2">
        <v>0</v>
      </c>
      <c r="AF150" s="2">
        <v>175</v>
      </c>
      <c r="AK150">
        <v>6202841</v>
      </c>
    </row>
    <row r="151" spans="1:38" x14ac:dyDescent="0.25">
      <c r="A151" s="1">
        <v>46050</v>
      </c>
      <c r="B151" s="1">
        <v>46050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465</v>
      </c>
      <c r="J151" t="s">
        <v>466</v>
      </c>
      <c r="M151" t="s">
        <v>74</v>
      </c>
      <c r="O151" t="s">
        <v>75</v>
      </c>
      <c r="P151" t="s">
        <v>76</v>
      </c>
      <c r="Q151" t="s">
        <v>49</v>
      </c>
      <c r="R151" t="s">
        <v>467</v>
      </c>
      <c r="S151" s="1">
        <v>46054</v>
      </c>
      <c r="U151" t="s">
        <v>51</v>
      </c>
      <c r="X151" t="s">
        <v>52</v>
      </c>
      <c r="Y151" s="2">
        <v>0</v>
      </c>
      <c r="Z151" s="2">
        <v>31.5</v>
      </c>
      <c r="AA151">
        <v>9</v>
      </c>
      <c r="AB151" s="3">
        <v>1</v>
      </c>
      <c r="AC151" s="2">
        <v>283.5</v>
      </c>
      <c r="AD151" s="3">
        <v>0</v>
      </c>
      <c r="AE151" s="2">
        <v>0</v>
      </c>
      <c r="AF151" s="2">
        <v>283.5</v>
      </c>
      <c r="AK151">
        <v>6202590</v>
      </c>
    </row>
    <row r="152" spans="1:38" x14ac:dyDescent="0.25">
      <c r="A152" s="1">
        <v>46050</v>
      </c>
      <c r="B152" s="1">
        <v>46050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468</v>
      </c>
      <c r="J152" t="s">
        <v>469</v>
      </c>
      <c r="M152" t="s">
        <v>470</v>
      </c>
      <c r="O152" t="s">
        <v>100</v>
      </c>
      <c r="P152" t="s">
        <v>99</v>
      </c>
      <c r="Q152" t="s">
        <v>49</v>
      </c>
      <c r="R152" t="s">
        <v>467</v>
      </c>
      <c r="S152" s="1">
        <v>46054</v>
      </c>
      <c r="U152" t="s">
        <v>51</v>
      </c>
      <c r="X152" t="s">
        <v>52</v>
      </c>
      <c r="Y152" s="2">
        <v>0</v>
      </c>
      <c r="Z152" s="2">
        <v>31.5</v>
      </c>
      <c r="AA152">
        <v>9</v>
      </c>
      <c r="AB152" s="3">
        <v>1</v>
      </c>
      <c r="AC152" s="2">
        <v>283.5</v>
      </c>
      <c r="AD152" s="3">
        <v>0</v>
      </c>
      <c r="AE152" s="2">
        <v>0</v>
      </c>
      <c r="AF152" s="2">
        <v>283.5</v>
      </c>
      <c r="AK152">
        <v>6202591</v>
      </c>
    </row>
    <row r="153" spans="1:38" x14ac:dyDescent="0.25">
      <c r="A153" s="1">
        <v>46050</v>
      </c>
      <c r="B153" s="1">
        <v>46050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471</v>
      </c>
      <c r="J153" t="s">
        <v>472</v>
      </c>
      <c r="M153" t="s">
        <v>470</v>
      </c>
      <c r="O153" t="s">
        <v>100</v>
      </c>
      <c r="P153" t="s">
        <v>99</v>
      </c>
      <c r="Q153" t="s">
        <v>49</v>
      </c>
      <c r="R153" t="s">
        <v>467</v>
      </c>
      <c r="S153" s="1">
        <v>46054</v>
      </c>
      <c r="U153" t="s">
        <v>51</v>
      </c>
      <c r="X153" t="s">
        <v>52</v>
      </c>
      <c r="Y153" s="2">
        <v>0</v>
      </c>
      <c r="Z153" s="2">
        <v>31.5</v>
      </c>
      <c r="AA153">
        <v>9</v>
      </c>
      <c r="AB153" s="3">
        <v>1</v>
      </c>
      <c r="AC153" s="2">
        <v>283.5</v>
      </c>
      <c r="AD153" s="3">
        <v>0</v>
      </c>
      <c r="AE153" s="2">
        <v>0</v>
      </c>
      <c r="AF153" s="2">
        <v>283.5</v>
      </c>
      <c r="AK153">
        <v>6202592</v>
      </c>
    </row>
    <row r="154" spans="1:38" x14ac:dyDescent="0.25">
      <c r="A154" s="1">
        <v>46050</v>
      </c>
      <c r="B154" s="1">
        <v>46050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473</v>
      </c>
      <c r="J154" t="s">
        <v>474</v>
      </c>
      <c r="M154" t="s">
        <v>202</v>
      </c>
      <c r="O154" t="s">
        <v>281</v>
      </c>
      <c r="P154" t="s">
        <v>282</v>
      </c>
      <c r="Q154" t="s">
        <v>49</v>
      </c>
      <c r="R154" t="s">
        <v>475</v>
      </c>
      <c r="S154" s="1">
        <v>46113</v>
      </c>
      <c r="U154" t="s">
        <v>51</v>
      </c>
      <c r="X154" t="s">
        <v>52</v>
      </c>
      <c r="Y154" s="2">
        <v>0</v>
      </c>
      <c r="Z154" s="2">
        <v>36</v>
      </c>
      <c r="AA154">
        <v>9</v>
      </c>
      <c r="AB154" s="3">
        <v>1</v>
      </c>
      <c r="AC154" s="2">
        <v>324</v>
      </c>
      <c r="AD154" s="3">
        <v>0</v>
      </c>
      <c r="AE154" s="2">
        <v>0</v>
      </c>
      <c r="AF154" s="2">
        <v>324</v>
      </c>
      <c r="AK154">
        <v>6202585</v>
      </c>
    </row>
    <row r="155" spans="1:38" x14ac:dyDescent="0.25">
      <c r="A155" s="1">
        <v>46050</v>
      </c>
      <c r="B155" s="1">
        <v>46050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476</v>
      </c>
      <c r="J155" t="s">
        <v>477</v>
      </c>
      <c r="M155" t="s">
        <v>55</v>
      </c>
      <c r="O155" t="s">
        <v>229</v>
      </c>
      <c r="P155" t="s">
        <v>230</v>
      </c>
      <c r="Q155" t="s">
        <v>49</v>
      </c>
      <c r="R155" t="s">
        <v>467</v>
      </c>
      <c r="S155" s="1">
        <v>46054</v>
      </c>
      <c r="U155" t="s">
        <v>51</v>
      </c>
      <c r="X155" t="s">
        <v>52</v>
      </c>
      <c r="Y155" s="2">
        <v>0</v>
      </c>
      <c r="Z155" s="2">
        <v>31.5</v>
      </c>
      <c r="AA155">
        <v>9</v>
      </c>
      <c r="AB155" s="3">
        <v>1</v>
      </c>
      <c r="AC155" s="2">
        <v>283.5</v>
      </c>
      <c r="AD155" s="3">
        <v>0</v>
      </c>
      <c r="AE155" s="2">
        <v>0</v>
      </c>
      <c r="AF155" s="2">
        <v>283.5</v>
      </c>
      <c r="AK155">
        <v>6202586</v>
      </c>
    </row>
    <row r="156" spans="1:38" x14ac:dyDescent="0.25">
      <c r="A156" s="1">
        <v>46050</v>
      </c>
      <c r="B156" s="1">
        <v>46050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478</v>
      </c>
      <c r="J156" t="s">
        <v>479</v>
      </c>
      <c r="M156" t="s">
        <v>287</v>
      </c>
      <c r="O156" t="s">
        <v>85</v>
      </c>
      <c r="P156" t="s">
        <v>86</v>
      </c>
      <c r="Q156" t="s">
        <v>49</v>
      </c>
      <c r="R156" t="s">
        <v>480</v>
      </c>
      <c r="S156" s="1">
        <v>46113</v>
      </c>
      <c r="U156" t="s">
        <v>51</v>
      </c>
      <c r="X156" t="s">
        <v>52</v>
      </c>
      <c r="Y156" s="2">
        <v>0</v>
      </c>
      <c r="Z156" s="2">
        <v>9.83</v>
      </c>
      <c r="AA156">
        <v>9</v>
      </c>
      <c r="AB156" s="3">
        <v>1</v>
      </c>
      <c r="AC156" s="2">
        <v>88.47</v>
      </c>
      <c r="AD156" s="3">
        <v>0</v>
      </c>
      <c r="AE156" s="2">
        <v>0</v>
      </c>
      <c r="AF156" s="2">
        <v>88.47</v>
      </c>
      <c r="AK156">
        <v>6202587</v>
      </c>
    </row>
    <row r="157" spans="1:38" x14ac:dyDescent="0.25">
      <c r="A157" s="1">
        <v>46050</v>
      </c>
      <c r="B157" s="1">
        <v>46050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481</v>
      </c>
      <c r="J157" t="s">
        <v>482</v>
      </c>
      <c r="M157" t="s">
        <v>461</v>
      </c>
      <c r="O157" t="s">
        <v>483</v>
      </c>
      <c r="P157" t="s">
        <v>484</v>
      </c>
      <c r="Q157" t="s">
        <v>49</v>
      </c>
      <c r="R157" t="s">
        <v>485</v>
      </c>
      <c r="S157" s="1">
        <v>46082</v>
      </c>
      <c r="U157" t="s">
        <v>51</v>
      </c>
      <c r="X157" t="s">
        <v>52</v>
      </c>
      <c r="Y157" s="2">
        <v>0</v>
      </c>
      <c r="Z157" s="2">
        <v>21</v>
      </c>
      <c r="AA157">
        <v>9</v>
      </c>
      <c r="AB157" s="3">
        <v>1</v>
      </c>
      <c r="AC157" s="2">
        <v>189</v>
      </c>
      <c r="AD157" s="3">
        <v>0</v>
      </c>
      <c r="AE157" s="2">
        <v>0</v>
      </c>
      <c r="AF157" s="2">
        <v>189</v>
      </c>
      <c r="AK157">
        <v>6202588</v>
      </c>
    </row>
    <row r="158" spans="1:38" x14ac:dyDescent="0.25">
      <c r="A158" s="1">
        <v>46050</v>
      </c>
      <c r="B158" s="1">
        <v>46050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486</v>
      </c>
      <c r="J158" t="s">
        <v>487</v>
      </c>
      <c r="M158" t="s">
        <v>202</v>
      </c>
      <c r="O158" t="s">
        <v>346</v>
      </c>
      <c r="P158" t="s">
        <v>347</v>
      </c>
      <c r="Q158" t="s">
        <v>49</v>
      </c>
      <c r="R158" t="s">
        <v>488</v>
      </c>
      <c r="S158" s="1">
        <v>46054</v>
      </c>
      <c r="U158" t="s">
        <v>51</v>
      </c>
      <c r="X158" t="s">
        <v>52</v>
      </c>
      <c r="Y158" s="2">
        <v>0</v>
      </c>
      <c r="Z158" s="2">
        <v>4.92</v>
      </c>
      <c r="AA158">
        <v>9</v>
      </c>
      <c r="AB158" s="3">
        <v>1</v>
      </c>
      <c r="AC158" s="2">
        <v>44.28</v>
      </c>
      <c r="AD158" s="3">
        <v>0</v>
      </c>
      <c r="AE158" s="2">
        <v>0</v>
      </c>
      <c r="AF158" s="2">
        <v>44.28</v>
      </c>
      <c r="AK158">
        <v>6202589</v>
      </c>
    </row>
    <row r="159" spans="1:38" x14ac:dyDescent="0.25">
      <c r="A159" s="1">
        <v>46050</v>
      </c>
      <c r="B159" s="1">
        <v>46050</v>
      </c>
      <c r="C159" t="s">
        <v>489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490</v>
      </c>
      <c r="J159" t="s">
        <v>334</v>
      </c>
      <c r="M159" t="s">
        <v>55</v>
      </c>
      <c r="O159" t="s">
        <v>242</v>
      </c>
      <c r="P159" t="s">
        <v>243</v>
      </c>
      <c r="Q159" t="s">
        <v>491</v>
      </c>
      <c r="R159" t="s">
        <v>50</v>
      </c>
      <c r="S159" s="1">
        <v>46023</v>
      </c>
      <c r="U159" t="s">
        <v>51</v>
      </c>
      <c r="X159" t="s">
        <v>52</v>
      </c>
      <c r="AF159" s="2">
        <v>175</v>
      </c>
      <c r="AG159" s="2">
        <v>0</v>
      </c>
      <c r="AJ159" s="2">
        <v>161</v>
      </c>
    </row>
    <row r="160" spans="1:38" x14ac:dyDescent="0.25">
      <c r="A160" s="1">
        <v>46050</v>
      </c>
      <c r="B160" s="1">
        <v>46050</v>
      </c>
      <c r="C160" t="s">
        <v>489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492</v>
      </c>
      <c r="J160" t="s">
        <v>493</v>
      </c>
      <c r="M160" t="s">
        <v>55</v>
      </c>
      <c r="O160" t="s">
        <v>242</v>
      </c>
      <c r="P160" t="s">
        <v>243</v>
      </c>
      <c r="Q160" t="s">
        <v>491</v>
      </c>
      <c r="R160" t="s">
        <v>77</v>
      </c>
      <c r="S160" s="1">
        <v>46023</v>
      </c>
      <c r="U160" t="s">
        <v>51</v>
      </c>
      <c r="X160" t="s">
        <v>52</v>
      </c>
      <c r="AF160" s="2">
        <v>108</v>
      </c>
      <c r="AG160" s="2">
        <v>0</v>
      </c>
      <c r="AJ160" s="2">
        <v>99.36</v>
      </c>
    </row>
    <row r="161" spans="1:36" x14ac:dyDescent="0.25">
      <c r="A161" s="1">
        <v>46050</v>
      </c>
      <c r="B161" s="1">
        <v>46050</v>
      </c>
      <c r="C161" t="s">
        <v>489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494</v>
      </c>
      <c r="J161" t="s">
        <v>495</v>
      </c>
      <c r="M161" t="s">
        <v>55</v>
      </c>
      <c r="O161" t="s">
        <v>242</v>
      </c>
      <c r="P161" t="s">
        <v>243</v>
      </c>
      <c r="Q161" t="s">
        <v>491</v>
      </c>
      <c r="R161" t="s">
        <v>77</v>
      </c>
      <c r="S161" s="1">
        <v>46023</v>
      </c>
      <c r="U161" t="s">
        <v>51</v>
      </c>
      <c r="X161" t="s">
        <v>52</v>
      </c>
      <c r="AF161" s="2">
        <v>108</v>
      </c>
      <c r="AG161" s="2">
        <v>0</v>
      </c>
      <c r="AJ161" s="2">
        <v>99.36</v>
      </c>
    </row>
    <row r="162" spans="1:36" x14ac:dyDescent="0.25">
      <c r="A162" s="1">
        <v>46050</v>
      </c>
      <c r="B162" s="1">
        <v>46050</v>
      </c>
      <c r="C162" t="s">
        <v>489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496</v>
      </c>
      <c r="J162" t="s">
        <v>497</v>
      </c>
      <c r="M162" t="s">
        <v>97</v>
      </c>
      <c r="O162" t="s">
        <v>322</v>
      </c>
      <c r="P162" t="s">
        <v>323</v>
      </c>
      <c r="Q162" t="s">
        <v>491</v>
      </c>
      <c r="R162" t="s">
        <v>50</v>
      </c>
      <c r="S162" s="1">
        <v>46023</v>
      </c>
      <c r="U162" t="s">
        <v>51</v>
      </c>
      <c r="X162" t="s">
        <v>52</v>
      </c>
      <c r="AF162" s="2">
        <v>175</v>
      </c>
      <c r="AG162" s="2">
        <v>0</v>
      </c>
      <c r="AJ162" s="2">
        <v>161</v>
      </c>
    </row>
    <row r="163" spans="1:36" x14ac:dyDescent="0.25">
      <c r="A163" s="1">
        <v>46050</v>
      </c>
      <c r="B163" s="1">
        <v>46050</v>
      </c>
      <c r="C163" t="s">
        <v>489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498</v>
      </c>
      <c r="J163" t="s">
        <v>499</v>
      </c>
      <c r="M163" t="s">
        <v>500</v>
      </c>
      <c r="O163" t="s">
        <v>111</v>
      </c>
      <c r="P163" t="s">
        <v>112</v>
      </c>
      <c r="Q163" t="s">
        <v>491</v>
      </c>
      <c r="R163" t="s">
        <v>77</v>
      </c>
      <c r="S163" s="1">
        <v>46023</v>
      </c>
      <c r="U163" t="s">
        <v>51</v>
      </c>
      <c r="X163" t="s">
        <v>52</v>
      </c>
      <c r="AF163" s="2">
        <v>108</v>
      </c>
      <c r="AG163" s="2">
        <v>0</v>
      </c>
      <c r="AJ163" s="2">
        <v>99.36</v>
      </c>
    </row>
    <row r="164" spans="1:36" x14ac:dyDescent="0.25">
      <c r="A164" s="1">
        <v>46050</v>
      </c>
      <c r="B164" s="1">
        <v>46050</v>
      </c>
      <c r="C164" t="s">
        <v>489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501</v>
      </c>
      <c r="J164" t="s">
        <v>502</v>
      </c>
      <c r="M164" t="s">
        <v>84</v>
      </c>
      <c r="O164" t="s">
        <v>256</v>
      </c>
      <c r="P164" t="s">
        <v>257</v>
      </c>
      <c r="Q164" t="s">
        <v>491</v>
      </c>
      <c r="R164" t="s">
        <v>50</v>
      </c>
      <c r="S164" s="1">
        <v>46023</v>
      </c>
      <c r="U164" t="s">
        <v>51</v>
      </c>
      <c r="X164" t="s">
        <v>52</v>
      </c>
      <c r="AF164" s="2">
        <v>175</v>
      </c>
      <c r="AG164" s="2">
        <v>0</v>
      </c>
      <c r="AJ164" s="2">
        <v>161</v>
      </c>
    </row>
    <row r="165" spans="1:36" x14ac:dyDescent="0.25">
      <c r="A165" s="1">
        <v>46050</v>
      </c>
      <c r="B165" s="1">
        <v>46050</v>
      </c>
      <c r="C165" t="s">
        <v>489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503</v>
      </c>
      <c r="J165" t="s">
        <v>83</v>
      </c>
      <c r="M165" t="s">
        <v>84</v>
      </c>
      <c r="O165" t="s">
        <v>85</v>
      </c>
      <c r="P165" t="s">
        <v>86</v>
      </c>
      <c r="Q165" t="s">
        <v>491</v>
      </c>
      <c r="R165" t="s">
        <v>77</v>
      </c>
      <c r="S165" s="1">
        <v>46023</v>
      </c>
      <c r="U165" t="s">
        <v>51</v>
      </c>
      <c r="X165" t="s">
        <v>52</v>
      </c>
      <c r="AF165" s="2">
        <v>108</v>
      </c>
      <c r="AG165" s="2">
        <v>0</v>
      </c>
      <c r="AJ165" s="2">
        <v>99.36</v>
      </c>
    </row>
    <row r="166" spans="1:36" x14ac:dyDescent="0.25">
      <c r="A166" s="1">
        <v>46050</v>
      </c>
      <c r="B166" s="1">
        <v>46050</v>
      </c>
      <c r="C166" t="s">
        <v>489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504</v>
      </c>
      <c r="J166" t="s">
        <v>505</v>
      </c>
      <c r="M166" t="s">
        <v>470</v>
      </c>
      <c r="O166" t="s">
        <v>85</v>
      </c>
      <c r="P166" t="s">
        <v>86</v>
      </c>
      <c r="Q166" t="s">
        <v>491</v>
      </c>
      <c r="R166" t="s">
        <v>50</v>
      </c>
      <c r="S166" s="1">
        <v>46023</v>
      </c>
      <c r="U166" t="s">
        <v>51</v>
      </c>
      <c r="X166" t="s">
        <v>52</v>
      </c>
      <c r="AF166" s="2">
        <v>175</v>
      </c>
      <c r="AG166" s="2">
        <v>0</v>
      </c>
      <c r="AJ166" s="2">
        <v>161</v>
      </c>
    </row>
    <row r="167" spans="1:36" x14ac:dyDescent="0.25">
      <c r="A167" s="1">
        <v>46050</v>
      </c>
      <c r="B167" s="1">
        <v>46050</v>
      </c>
      <c r="C167" t="s">
        <v>489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506</v>
      </c>
      <c r="J167" t="s">
        <v>438</v>
      </c>
      <c r="M167" t="s">
        <v>55</v>
      </c>
      <c r="O167" t="s">
        <v>256</v>
      </c>
      <c r="P167" t="s">
        <v>257</v>
      </c>
      <c r="Q167" t="s">
        <v>491</v>
      </c>
      <c r="R167" t="s">
        <v>50</v>
      </c>
      <c r="S167" s="1">
        <v>46023</v>
      </c>
      <c r="U167" t="s">
        <v>51</v>
      </c>
      <c r="X167" t="s">
        <v>52</v>
      </c>
      <c r="AF167" s="2">
        <v>175</v>
      </c>
      <c r="AG167" s="2">
        <v>0</v>
      </c>
      <c r="AJ167" s="2">
        <v>161</v>
      </c>
    </row>
    <row r="168" spans="1:36" x14ac:dyDescent="0.25">
      <c r="A168" s="1">
        <v>46050</v>
      </c>
      <c r="B168" s="1">
        <v>46050</v>
      </c>
      <c r="C168" t="s">
        <v>489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507</v>
      </c>
      <c r="J168" t="s">
        <v>508</v>
      </c>
      <c r="M168" t="s">
        <v>84</v>
      </c>
      <c r="O168" t="s">
        <v>385</v>
      </c>
      <c r="P168" t="s">
        <v>386</v>
      </c>
      <c r="Q168" t="s">
        <v>491</v>
      </c>
      <c r="R168" t="s">
        <v>50</v>
      </c>
      <c r="S168" s="1">
        <v>46023</v>
      </c>
      <c r="U168" t="s">
        <v>51</v>
      </c>
      <c r="X168" t="s">
        <v>52</v>
      </c>
      <c r="AF168" s="2">
        <v>175</v>
      </c>
      <c r="AG168" s="2">
        <v>0</v>
      </c>
      <c r="AJ168" s="2">
        <v>161</v>
      </c>
    </row>
    <row r="169" spans="1:36" x14ac:dyDescent="0.25">
      <c r="A169" s="1">
        <v>46050</v>
      </c>
      <c r="B169" s="1">
        <v>46050</v>
      </c>
      <c r="C169" t="s">
        <v>489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509</v>
      </c>
      <c r="J169" t="s">
        <v>510</v>
      </c>
      <c r="M169" t="s">
        <v>55</v>
      </c>
      <c r="O169" t="s">
        <v>80</v>
      </c>
      <c r="P169" t="s">
        <v>81</v>
      </c>
      <c r="Q169" t="s">
        <v>491</v>
      </c>
      <c r="R169" t="s">
        <v>50</v>
      </c>
      <c r="S169" s="1">
        <v>46023</v>
      </c>
      <c r="U169" t="s">
        <v>51</v>
      </c>
      <c r="X169" t="s">
        <v>52</v>
      </c>
      <c r="AF169" s="2">
        <v>175</v>
      </c>
      <c r="AG169" s="2">
        <v>0</v>
      </c>
      <c r="AJ169" s="2">
        <v>161</v>
      </c>
    </row>
    <row r="170" spans="1:36" x14ac:dyDescent="0.25">
      <c r="A170" s="1">
        <v>46050</v>
      </c>
      <c r="B170" s="1">
        <v>46050</v>
      </c>
      <c r="C170" t="s">
        <v>489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511</v>
      </c>
      <c r="J170" t="s">
        <v>109</v>
      </c>
      <c r="M170" t="s">
        <v>110</v>
      </c>
      <c r="O170" t="s">
        <v>111</v>
      </c>
      <c r="P170" t="s">
        <v>112</v>
      </c>
      <c r="Q170" t="s">
        <v>491</v>
      </c>
      <c r="R170" t="s">
        <v>50</v>
      </c>
      <c r="S170" s="1">
        <v>46023</v>
      </c>
      <c r="U170" t="s">
        <v>51</v>
      </c>
      <c r="X170" t="s">
        <v>52</v>
      </c>
      <c r="AF170" s="2">
        <v>175</v>
      </c>
      <c r="AG170" s="2">
        <v>0</v>
      </c>
      <c r="AJ170" s="2">
        <v>161</v>
      </c>
    </row>
    <row r="171" spans="1:36" x14ac:dyDescent="0.25">
      <c r="A171" s="1">
        <v>46050</v>
      </c>
      <c r="B171" s="1">
        <v>46050</v>
      </c>
      <c r="C171" t="s">
        <v>489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512</v>
      </c>
      <c r="J171" t="s">
        <v>513</v>
      </c>
      <c r="M171" t="s">
        <v>97</v>
      </c>
      <c r="O171" t="s">
        <v>385</v>
      </c>
      <c r="P171" t="s">
        <v>386</v>
      </c>
      <c r="Q171" t="s">
        <v>491</v>
      </c>
      <c r="R171" t="s">
        <v>50</v>
      </c>
      <c r="S171" s="1">
        <v>46023</v>
      </c>
      <c r="U171" t="s">
        <v>51</v>
      </c>
      <c r="X171" t="s">
        <v>52</v>
      </c>
      <c r="AF171" s="2">
        <v>175</v>
      </c>
      <c r="AG171" s="2">
        <v>0</v>
      </c>
      <c r="AJ171" s="2">
        <v>161</v>
      </c>
    </row>
    <row r="172" spans="1:36" x14ac:dyDescent="0.25">
      <c r="A172" s="1">
        <v>46050</v>
      </c>
      <c r="B172" s="1">
        <v>46050</v>
      </c>
      <c r="C172" t="s">
        <v>489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514</v>
      </c>
      <c r="J172" t="s">
        <v>515</v>
      </c>
      <c r="M172" t="s">
        <v>84</v>
      </c>
      <c r="O172" t="s">
        <v>93</v>
      </c>
      <c r="P172" t="s">
        <v>94</v>
      </c>
      <c r="Q172" t="s">
        <v>491</v>
      </c>
      <c r="R172" t="s">
        <v>50</v>
      </c>
      <c r="S172" s="1">
        <v>46023</v>
      </c>
      <c r="U172" t="s">
        <v>51</v>
      </c>
      <c r="X172" t="s">
        <v>52</v>
      </c>
      <c r="AF172" s="2">
        <v>175</v>
      </c>
      <c r="AG172" s="2">
        <v>0</v>
      </c>
      <c r="AJ172" s="2">
        <v>161</v>
      </c>
    </row>
    <row r="173" spans="1:36" x14ac:dyDescent="0.25">
      <c r="A173" s="1">
        <v>46050</v>
      </c>
      <c r="B173" s="1">
        <v>46050</v>
      </c>
      <c r="C173" t="s">
        <v>489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516</v>
      </c>
      <c r="J173" t="s">
        <v>517</v>
      </c>
      <c r="M173" t="s">
        <v>74</v>
      </c>
      <c r="O173" t="s">
        <v>518</v>
      </c>
      <c r="P173" t="s">
        <v>519</v>
      </c>
      <c r="Q173" t="s">
        <v>491</v>
      </c>
      <c r="R173" t="s">
        <v>250</v>
      </c>
      <c r="S173" s="1">
        <v>46023</v>
      </c>
      <c r="U173" t="s">
        <v>51</v>
      </c>
      <c r="X173" t="s">
        <v>52</v>
      </c>
      <c r="AF173" s="2">
        <v>15</v>
      </c>
      <c r="AG173" s="2">
        <v>0</v>
      </c>
      <c r="AJ173" s="2">
        <v>15</v>
      </c>
    </row>
    <row r="174" spans="1:36" x14ac:dyDescent="0.25">
      <c r="A174" s="1">
        <v>46050</v>
      </c>
      <c r="B174" s="1">
        <v>46050</v>
      </c>
      <c r="C174" t="s">
        <v>489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520</v>
      </c>
      <c r="J174" t="s">
        <v>521</v>
      </c>
      <c r="M174" t="s">
        <v>74</v>
      </c>
      <c r="O174" t="s">
        <v>518</v>
      </c>
      <c r="P174" t="s">
        <v>519</v>
      </c>
      <c r="Q174" t="s">
        <v>491</v>
      </c>
      <c r="R174" t="s">
        <v>197</v>
      </c>
      <c r="S174" s="1">
        <v>46023</v>
      </c>
      <c r="U174" t="s">
        <v>51</v>
      </c>
      <c r="X174" t="s">
        <v>52</v>
      </c>
      <c r="AF174" s="2">
        <v>25</v>
      </c>
      <c r="AG174" s="2">
        <v>0</v>
      </c>
      <c r="AJ174" s="2">
        <v>25</v>
      </c>
    </row>
    <row r="175" spans="1:36" x14ac:dyDescent="0.25">
      <c r="A175" s="1">
        <v>46050</v>
      </c>
      <c r="B175" s="1">
        <v>46050</v>
      </c>
      <c r="C175" t="s">
        <v>489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522</v>
      </c>
      <c r="J175" t="s">
        <v>523</v>
      </c>
      <c r="M175" t="s">
        <v>55</v>
      </c>
      <c r="O175" t="s">
        <v>300</v>
      </c>
      <c r="P175" t="s">
        <v>301</v>
      </c>
      <c r="Q175" t="s">
        <v>491</v>
      </c>
      <c r="R175" t="s">
        <v>250</v>
      </c>
      <c r="S175" s="1">
        <v>46023</v>
      </c>
      <c r="U175" t="s">
        <v>51</v>
      </c>
      <c r="X175" t="s">
        <v>52</v>
      </c>
      <c r="AF175" s="2">
        <v>15</v>
      </c>
      <c r="AG175" s="2">
        <v>0</v>
      </c>
      <c r="AJ175" s="2">
        <v>15</v>
      </c>
    </row>
    <row r="176" spans="1:36" x14ac:dyDescent="0.25">
      <c r="A176" s="1">
        <v>46050</v>
      </c>
      <c r="B176" s="1">
        <v>46050</v>
      </c>
      <c r="C176" t="s">
        <v>489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524</v>
      </c>
      <c r="J176" t="s">
        <v>247</v>
      </c>
      <c r="M176" t="s">
        <v>55</v>
      </c>
      <c r="O176" t="s">
        <v>123</v>
      </c>
      <c r="P176" t="s">
        <v>124</v>
      </c>
      <c r="Q176" t="s">
        <v>491</v>
      </c>
      <c r="R176" t="s">
        <v>244</v>
      </c>
      <c r="S176" s="1">
        <v>46054</v>
      </c>
      <c r="U176" t="s">
        <v>51</v>
      </c>
      <c r="X176" t="s">
        <v>52</v>
      </c>
      <c r="AF176" s="2">
        <v>22.92</v>
      </c>
      <c r="AG176" s="2">
        <v>0</v>
      </c>
      <c r="AJ176" s="2">
        <v>22.92</v>
      </c>
    </row>
    <row r="177" spans="1:36" x14ac:dyDescent="0.25">
      <c r="A177" s="1">
        <v>46050</v>
      </c>
      <c r="B177" s="1">
        <v>46050</v>
      </c>
      <c r="C177" t="s">
        <v>489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525</v>
      </c>
      <c r="J177" t="s">
        <v>249</v>
      </c>
      <c r="M177" t="s">
        <v>202</v>
      </c>
      <c r="O177" t="s">
        <v>211</v>
      </c>
      <c r="P177" t="s">
        <v>212</v>
      </c>
      <c r="Q177" t="s">
        <v>491</v>
      </c>
      <c r="R177" t="s">
        <v>526</v>
      </c>
      <c r="S177" s="1">
        <v>46054</v>
      </c>
      <c r="U177" t="s">
        <v>51</v>
      </c>
      <c r="X177" t="s">
        <v>52</v>
      </c>
      <c r="AF177" s="2">
        <v>13.75</v>
      </c>
      <c r="AG177" s="2">
        <v>0</v>
      </c>
      <c r="AJ177" s="2">
        <v>13.75</v>
      </c>
    </row>
    <row r="178" spans="1:36" x14ac:dyDescent="0.25">
      <c r="A178" s="1">
        <v>46050</v>
      </c>
      <c r="B178" s="1">
        <v>46050</v>
      </c>
      <c r="C178" t="s">
        <v>489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527</v>
      </c>
      <c r="J178" t="s">
        <v>252</v>
      </c>
      <c r="M178" t="s">
        <v>202</v>
      </c>
      <c r="O178" t="s">
        <v>138</v>
      </c>
      <c r="P178" t="s">
        <v>139</v>
      </c>
      <c r="Q178" t="s">
        <v>491</v>
      </c>
      <c r="R178" t="s">
        <v>244</v>
      </c>
      <c r="S178" s="1">
        <v>46054</v>
      </c>
      <c r="U178" t="s">
        <v>51</v>
      </c>
      <c r="X178" t="s">
        <v>52</v>
      </c>
      <c r="AF178" s="2">
        <v>22.92</v>
      </c>
      <c r="AG178" s="2">
        <v>0</v>
      </c>
      <c r="AJ178" s="2">
        <v>22.92</v>
      </c>
    </row>
    <row r="179" spans="1:36" x14ac:dyDescent="0.25">
      <c r="A179" s="1">
        <v>46050</v>
      </c>
      <c r="B179" s="1">
        <v>46050</v>
      </c>
      <c r="C179" t="s">
        <v>489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528</v>
      </c>
      <c r="J179" t="s">
        <v>254</v>
      </c>
      <c r="M179" t="s">
        <v>255</v>
      </c>
      <c r="O179" t="s">
        <v>256</v>
      </c>
      <c r="P179" t="s">
        <v>257</v>
      </c>
      <c r="Q179" t="s">
        <v>491</v>
      </c>
      <c r="R179" t="s">
        <v>526</v>
      </c>
      <c r="S179" s="1">
        <v>46054</v>
      </c>
      <c r="U179" t="s">
        <v>51</v>
      </c>
      <c r="X179" t="s">
        <v>52</v>
      </c>
      <c r="AF179" s="2">
        <v>13.75</v>
      </c>
      <c r="AG179" s="2">
        <v>0</v>
      </c>
      <c r="AJ179" s="2">
        <v>13.75</v>
      </c>
    </row>
    <row r="180" spans="1:36" x14ac:dyDescent="0.25">
      <c r="A180" s="1">
        <v>46050</v>
      </c>
      <c r="B180" s="1">
        <v>46050</v>
      </c>
      <c r="C180" t="s">
        <v>489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529</v>
      </c>
      <c r="J180" t="s">
        <v>259</v>
      </c>
      <c r="M180" t="s">
        <v>202</v>
      </c>
      <c r="O180" t="s">
        <v>138</v>
      </c>
      <c r="P180" t="s">
        <v>139</v>
      </c>
      <c r="Q180" t="s">
        <v>491</v>
      </c>
      <c r="R180" t="s">
        <v>244</v>
      </c>
      <c r="S180" s="1">
        <v>46054</v>
      </c>
      <c r="U180" t="s">
        <v>51</v>
      </c>
      <c r="X180" t="s">
        <v>52</v>
      </c>
      <c r="AF180" s="2">
        <v>22.92</v>
      </c>
      <c r="AG180" s="2">
        <v>0</v>
      </c>
      <c r="AJ180" s="2">
        <v>22.92</v>
      </c>
    </row>
    <row r="181" spans="1:36" x14ac:dyDescent="0.25">
      <c r="A181" s="1">
        <v>46050</v>
      </c>
      <c r="B181" s="1">
        <v>46050</v>
      </c>
      <c r="C181" t="s">
        <v>489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530</v>
      </c>
      <c r="J181" t="s">
        <v>531</v>
      </c>
      <c r="M181" t="s">
        <v>46</v>
      </c>
      <c r="O181" t="s">
        <v>518</v>
      </c>
      <c r="P181" t="s">
        <v>519</v>
      </c>
      <c r="Q181" t="s">
        <v>491</v>
      </c>
      <c r="R181" t="s">
        <v>250</v>
      </c>
      <c r="S181" s="1">
        <v>46023</v>
      </c>
      <c r="U181" t="s">
        <v>51</v>
      </c>
      <c r="X181" t="s">
        <v>52</v>
      </c>
      <c r="AF181" s="2">
        <v>15</v>
      </c>
      <c r="AG181" s="2">
        <v>0</v>
      </c>
      <c r="AJ181" s="2">
        <v>13.75</v>
      </c>
    </row>
    <row r="182" spans="1:36" x14ac:dyDescent="0.25">
      <c r="A182" s="1">
        <v>46050</v>
      </c>
      <c r="B182" s="1">
        <v>46050</v>
      </c>
      <c r="C182" t="s">
        <v>489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532</v>
      </c>
      <c r="J182" t="s">
        <v>261</v>
      </c>
      <c r="O182" t="s">
        <v>115</v>
      </c>
      <c r="P182" t="s">
        <v>116</v>
      </c>
      <c r="Q182" t="s">
        <v>491</v>
      </c>
      <c r="R182" t="s">
        <v>244</v>
      </c>
      <c r="S182" s="1">
        <v>46054</v>
      </c>
      <c r="U182" t="s">
        <v>51</v>
      </c>
      <c r="X182" t="s">
        <v>52</v>
      </c>
      <c r="AF182" s="2">
        <v>22.92</v>
      </c>
      <c r="AG182" s="2">
        <v>0</v>
      </c>
      <c r="AJ182" s="2">
        <v>22.92</v>
      </c>
    </row>
    <row r="183" spans="1:36" x14ac:dyDescent="0.25">
      <c r="A183" s="1">
        <v>46050</v>
      </c>
      <c r="B183" s="1">
        <v>46050</v>
      </c>
      <c r="C183" t="s">
        <v>489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533</v>
      </c>
      <c r="J183" t="s">
        <v>263</v>
      </c>
      <c r="O183" t="s">
        <v>104</v>
      </c>
      <c r="P183" t="s">
        <v>105</v>
      </c>
      <c r="Q183" t="s">
        <v>491</v>
      </c>
      <c r="R183" t="s">
        <v>244</v>
      </c>
      <c r="S183" s="1">
        <v>46054</v>
      </c>
      <c r="U183" t="s">
        <v>51</v>
      </c>
      <c r="X183" t="s">
        <v>52</v>
      </c>
      <c r="AF183" s="2">
        <v>22.92</v>
      </c>
      <c r="AG183" s="2">
        <v>0</v>
      </c>
      <c r="AJ183" s="2">
        <v>22.92</v>
      </c>
    </row>
    <row r="184" spans="1:36" x14ac:dyDescent="0.25">
      <c r="A184" s="1">
        <v>46050</v>
      </c>
      <c r="B184" s="1">
        <v>46050</v>
      </c>
      <c r="C184" t="s">
        <v>489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534</v>
      </c>
      <c r="J184" t="s">
        <v>265</v>
      </c>
      <c r="O184" t="s">
        <v>158</v>
      </c>
      <c r="P184" t="s">
        <v>159</v>
      </c>
      <c r="Q184" t="s">
        <v>491</v>
      </c>
      <c r="R184" t="s">
        <v>244</v>
      </c>
      <c r="S184" s="1">
        <v>45992</v>
      </c>
      <c r="U184" t="s">
        <v>51</v>
      </c>
      <c r="X184" t="s">
        <v>52</v>
      </c>
      <c r="AF184" s="2">
        <v>2.08</v>
      </c>
      <c r="AG184" s="2">
        <v>0</v>
      </c>
      <c r="AJ184" s="2">
        <v>2.08</v>
      </c>
    </row>
    <row r="185" spans="1:36" x14ac:dyDescent="0.25">
      <c r="A185" s="1">
        <v>46050</v>
      </c>
      <c r="B185" s="1">
        <v>46050</v>
      </c>
      <c r="C185" t="s">
        <v>489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535</v>
      </c>
      <c r="J185" t="s">
        <v>267</v>
      </c>
      <c r="O185" t="s">
        <v>100</v>
      </c>
      <c r="P185" t="s">
        <v>99</v>
      </c>
      <c r="Q185" t="s">
        <v>491</v>
      </c>
      <c r="R185" t="s">
        <v>244</v>
      </c>
      <c r="S185" s="1">
        <v>45992</v>
      </c>
      <c r="U185" t="s">
        <v>51</v>
      </c>
      <c r="X185" t="s">
        <v>52</v>
      </c>
      <c r="AF185" s="2">
        <v>2.08</v>
      </c>
      <c r="AG185" s="2">
        <v>0</v>
      </c>
      <c r="AJ185" s="2">
        <v>2.08</v>
      </c>
    </row>
    <row r="186" spans="1:36" x14ac:dyDescent="0.25">
      <c r="A186" s="1">
        <v>46050</v>
      </c>
      <c r="B186" s="1">
        <v>46050</v>
      </c>
      <c r="C186" t="s">
        <v>489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536</v>
      </c>
      <c r="J186" t="s">
        <v>269</v>
      </c>
      <c r="O186" t="s">
        <v>270</v>
      </c>
      <c r="P186" t="s">
        <v>271</v>
      </c>
      <c r="Q186" t="s">
        <v>491</v>
      </c>
      <c r="R186" t="s">
        <v>526</v>
      </c>
      <c r="S186" s="1">
        <v>45992</v>
      </c>
      <c r="U186" t="s">
        <v>51</v>
      </c>
      <c r="X186" t="s">
        <v>52</v>
      </c>
      <c r="AF186" s="2">
        <v>1.25</v>
      </c>
      <c r="AG186" s="2">
        <v>0</v>
      </c>
      <c r="AJ186" s="2">
        <v>1.25</v>
      </c>
    </row>
    <row r="187" spans="1:36" x14ac:dyDescent="0.25">
      <c r="A187" s="1">
        <v>46050</v>
      </c>
      <c r="B187" s="1">
        <v>46050</v>
      </c>
      <c r="C187" t="s">
        <v>489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537</v>
      </c>
      <c r="J187" t="s">
        <v>273</v>
      </c>
      <c r="O187" t="s">
        <v>274</v>
      </c>
      <c r="P187" t="s">
        <v>275</v>
      </c>
      <c r="Q187" t="s">
        <v>491</v>
      </c>
      <c r="R187" t="s">
        <v>244</v>
      </c>
      <c r="S187" s="1">
        <v>46054</v>
      </c>
      <c r="U187" t="s">
        <v>51</v>
      </c>
      <c r="X187" t="s">
        <v>52</v>
      </c>
      <c r="AF187" s="2">
        <v>22.92</v>
      </c>
      <c r="AG187" s="2">
        <v>0</v>
      </c>
      <c r="AJ187" s="2">
        <v>22.92</v>
      </c>
    </row>
    <row r="188" spans="1:36" x14ac:dyDescent="0.25">
      <c r="A188" s="1">
        <v>46050</v>
      </c>
      <c r="B188" s="1">
        <v>46050</v>
      </c>
      <c r="C188" t="s">
        <v>489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538</v>
      </c>
      <c r="J188" t="s">
        <v>277</v>
      </c>
      <c r="O188" t="s">
        <v>138</v>
      </c>
      <c r="P188" t="s">
        <v>139</v>
      </c>
      <c r="Q188" t="s">
        <v>491</v>
      </c>
      <c r="R188" t="s">
        <v>244</v>
      </c>
      <c r="S188" s="1">
        <v>46054</v>
      </c>
      <c r="U188" t="s">
        <v>51</v>
      </c>
      <c r="X188" t="s">
        <v>52</v>
      </c>
      <c r="AF188" s="2">
        <v>22.92</v>
      </c>
      <c r="AG188" s="2">
        <v>0</v>
      </c>
      <c r="AJ188" s="2">
        <v>22.92</v>
      </c>
    </row>
    <row r="189" spans="1:36" x14ac:dyDescent="0.25">
      <c r="A189" s="1">
        <v>46050</v>
      </c>
      <c r="B189" s="1">
        <v>46050</v>
      </c>
      <c r="C189" t="s">
        <v>489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539</v>
      </c>
      <c r="J189" t="s">
        <v>279</v>
      </c>
      <c r="M189" t="s">
        <v>280</v>
      </c>
      <c r="O189" t="s">
        <v>281</v>
      </c>
      <c r="P189" t="s">
        <v>282</v>
      </c>
      <c r="Q189" t="s">
        <v>491</v>
      </c>
      <c r="R189" t="s">
        <v>244</v>
      </c>
      <c r="S189" s="1">
        <v>46054</v>
      </c>
      <c r="U189" t="s">
        <v>51</v>
      </c>
      <c r="X189" t="s">
        <v>52</v>
      </c>
      <c r="AF189" s="2">
        <v>22.92</v>
      </c>
      <c r="AG189" s="2">
        <v>0</v>
      </c>
      <c r="AJ189" s="2">
        <v>22.92</v>
      </c>
    </row>
    <row r="190" spans="1:36" x14ac:dyDescent="0.25">
      <c r="A190" s="1">
        <v>46050</v>
      </c>
      <c r="B190" s="1">
        <v>46050</v>
      </c>
      <c r="C190" t="s">
        <v>489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540</v>
      </c>
      <c r="J190" t="s">
        <v>284</v>
      </c>
      <c r="M190" t="s">
        <v>202</v>
      </c>
      <c r="O190" t="s">
        <v>203</v>
      </c>
      <c r="P190" t="s">
        <v>204</v>
      </c>
      <c r="Q190" t="s">
        <v>491</v>
      </c>
      <c r="R190" t="s">
        <v>244</v>
      </c>
      <c r="S190" s="1">
        <v>46054</v>
      </c>
      <c r="U190" t="s">
        <v>51</v>
      </c>
      <c r="X190" t="s">
        <v>52</v>
      </c>
      <c r="AF190" s="2">
        <v>22.92</v>
      </c>
      <c r="AG190" s="2">
        <v>0</v>
      </c>
      <c r="AJ190" s="2">
        <v>22.92</v>
      </c>
    </row>
    <row r="191" spans="1:36" x14ac:dyDescent="0.25">
      <c r="A191" s="1">
        <v>46050</v>
      </c>
      <c r="B191" s="1">
        <v>46050</v>
      </c>
      <c r="C191" t="s">
        <v>489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541</v>
      </c>
      <c r="J191" t="s">
        <v>542</v>
      </c>
      <c r="M191" t="s">
        <v>55</v>
      </c>
      <c r="O191" t="s">
        <v>229</v>
      </c>
      <c r="P191" t="s">
        <v>230</v>
      </c>
      <c r="Q191" t="s">
        <v>491</v>
      </c>
      <c r="R191" t="s">
        <v>197</v>
      </c>
      <c r="S191" s="1">
        <v>46023</v>
      </c>
      <c r="U191" t="s">
        <v>51</v>
      </c>
      <c r="X191" t="s">
        <v>52</v>
      </c>
      <c r="AF191" s="2">
        <v>25</v>
      </c>
      <c r="AG191" s="2">
        <v>0</v>
      </c>
      <c r="AJ191" s="2">
        <v>25</v>
      </c>
    </row>
    <row r="192" spans="1:36" x14ac:dyDescent="0.25">
      <c r="A192" s="1">
        <v>46050</v>
      </c>
      <c r="B192" s="1">
        <v>46050</v>
      </c>
      <c r="C192" t="s">
        <v>489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543</v>
      </c>
      <c r="J192" t="s">
        <v>291</v>
      </c>
      <c r="M192" t="s">
        <v>202</v>
      </c>
      <c r="O192" t="s">
        <v>211</v>
      </c>
      <c r="P192" t="s">
        <v>212</v>
      </c>
      <c r="Q192" t="s">
        <v>491</v>
      </c>
      <c r="R192" t="s">
        <v>244</v>
      </c>
      <c r="S192" s="1">
        <v>46054</v>
      </c>
      <c r="U192" t="s">
        <v>51</v>
      </c>
      <c r="X192" t="s">
        <v>52</v>
      </c>
      <c r="AF192" s="2">
        <v>22.92</v>
      </c>
      <c r="AG192" s="2">
        <v>0</v>
      </c>
      <c r="AJ192" s="2">
        <v>22.92</v>
      </c>
    </row>
    <row r="193" spans="1:36" x14ac:dyDescent="0.25">
      <c r="A193" s="1">
        <v>46050</v>
      </c>
      <c r="B193" s="1">
        <v>46050</v>
      </c>
      <c r="C193" t="s">
        <v>489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544</v>
      </c>
      <c r="J193" t="s">
        <v>545</v>
      </c>
      <c r="M193" t="s">
        <v>546</v>
      </c>
      <c r="O193" t="s">
        <v>322</v>
      </c>
      <c r="P193" t="s">
        <v>323</v>
      </c>
      <c r="Q193" t="s">
        <v>491</v>
      </c>
      <c r="R193" t="s">
        <v>197</v>
      </c>
      <c r="S193" s="1">
        <v>46023</v>
      </c>
      <c r="U193" t="s">
        <v>51</v>
      </c>
      <c r="X193" t="s">
        <v>52</v>
      </c>
      <c r="AF193" s="2">
        <v>25</v>
      </c>
      <c r="AG193" s="2">
        <v>0</v>
      </c>
      <c r="AJ193" s="2">
        <v>22.92</v>
      </c>
    </row>
    <row r="194" spans="1:36" x14ac:dyDescent="0.25">
      <c r="A194" s="1">
        <v>46050</v>
      </c>
      <c r="B194" s="1">
        <v>46050</v>
      </c>
      <c r="C194" t="s">
        <v>489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547</v>
      </c>
      <c r="J194" t="s">
        <v>293</v>
      </c>
      <c r="M194" t="s">
        <v>202</v>
      </c>
      <c r="O194" t="s">
        <v>211</v>
      </c>
      <c r="P194" t="s">
        <v>212</v>
      </c>
      <c r="Q194" t="s">
        <v>491</v>
      </c>
      <c r="R194" t="s">
        <v>244</v>
      </c>
      <c r="S194" s="1">
        <v>46054</v>
      </c>
      <c r="U194" t="s">
        <v>51</v>
      </c>
      <c r="X194" t="s">
        <v>52</v>
      </c>
      <c r="AF194" s="2">
        <v>22.92</v>
      </c>
      <c r="AG194" s="2">
        <v>0</v>
      </c>
      <c r="AJ194" s="2">
        <v>22.92</v>
      </c>
    </row>
    <row r="195" spans="1:36" x14ac:dyDescent="0.25">
      <c r="A195" s="1">
        <v>46050</v>
      </c>
      <c r="B195" s="1">
        <v>46050</v>
      </c>
      <c r="C195" t="s">
        <v>489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548</v>
      </c>
      <c r="J195" t="s">
        <v>295</v>
      </c>
      <c r="M195" t="s">
        <v>55</v>
      </c>
      <c r="O195" t="s">
        <v>274</v>
      </c>
      <c r="P195" t="s">
        <v>275</v>
      </c>
      <c r="Q195" t="s">
        <v>491</v>
      </c>
      <c r="R195" t="s">
        <v>244</v>
      </c>
      <c r="S195" s="1">
        <v>46054</v>
      </c>
      <c r="U195" t="s">
        <v>51</v>
      </c>
      <c r="X195" t="s">
        <v>52</v>
      </c>
      <c r="AF195" s="2">
        <v>22.92</v>
      </c>
      <c r="AG195" s="2">
        <v>0</v>
      </c>
      <c r="AJ195" s="2">
        <v>22.92</v>
      </c>
    </row>
    <row r="196" spans="1:36" x14ac:dyDescent="0.25">
      <c r="A196" s="1">
        <v>46050</v>
      </c>
      <c r="B196" s="1">
        <v>46050</v>
      </c>
      <c r="C196" t="s">
        <v>489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549</v>
      </c>
      <c r="J196" t="s">
        <v>550</v>
      </c>
      <c r="M196" t="s">
        <v>337</v>
      </c>
      <c r="O196" t="s">
        <v>409</v>
      </c>
      <c r="P196" t="s">
        <v>410</v>
      </c>
      <c r="Q196" t="s">
        <v>491</v>
      </c>
      <c r="R196" t="s">
        <v>197</v>
      </c>
      <c r="S196" s="1">
        <v>46023</v>
      </c>
      <c r="U196" t="s">
        <v>51</v>
      </c>
      <c r="X196" t="s">
        <v>52</v>
      </c>
      <c r="AF196" s="2">
        <v>25</v>
      </c>
      <c r="AG196" s="2">
        <v>0</v>
      </c>
      <c r="AJ196" s="2">
        <v>2.08</v>
      </c>
    </row>
    <row r="197" spans="1:36" x14ac:dyDescent="0.25">
      <c r="A197" s="1">
        <v>46050</v>
      </c>
      <c r="B197" s="1">
        <v>46050</v>
      </c>
      <c r="C197" t="s">
        <v>489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551</v>
      </c>
      <c r="J197" t="s">
        <v>297</v>
      </c>
      <c r="M197" t="s">
        <v>202</v>
      </c>
      <c r="O197" t="s">
        <v>203</v>
      </c>
      <c r="P197" t="s">
        <v>204</v>
      </c>
      <c r="Q197" t="s">
        <v>491</v>
      </c>
      <c r="R197" t="s">
        <v>244</v>
      </c>
      <c r="S197" s="1">
        <v>46054</v>
      </c>
      <c r="U197" t="s">
        <v>51</v>
      </c>
      <c r="X197" t="s">
        <v>52</v>
      </c>
      <c r="AF197" s="2">
        <v>22.92</v>
      </c>
      <c r="AG197" s="2">
        <v>0</v>
      </c>
      <c r="AJ197" s="2">
        <v>22.92</v>
      </c>
    </row>
    <row r="198" spans="1:36" x14ac:dyDescent="0.25">
      <c r="A198" s="1">
        <v>46050</v>
      </c>
      <c r="B198" s="1">
        <v>46050</v>
      </c>
      <c r="C198" t="s">
        <v>489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552</v>
      </c>
      <c r="J198" t="s">
        <v>299</v>
      </c>
      <c r="M198" t="s">
        <v>55</v>
      </c>
      <c r="O198" t="s">
        <v>300</v>
      </c>
      <c r="P198" t="s">
        <v>301</v>
      </c>
      <c r="Q198" t="s">
        <v>491</v>
      </c>
      <c r="R198" t="s">
        <v>244</v>
      </c>
      <c r="S198" s="1">
        <v>46054</v>
      </c>
      <c r="U198" t="s">
        <v>51</v>
      </c>
      <c r="X198" t="s">
        <v>52</v>
      </c>
      <c r="AF198" s="2">
        <v>22.92</v>
      </c>
      <c r="AG198" s="2">
        <v>0</v>
      </c>
      <c r="AJ198" s="2">
        <v>22.92</v>
      </c>
    </row>
    <row r="199" spans="1:36" x14ac:dyDescent="0.25">
      <c r="A199" s="1">
        <v>46050</v>
      </c>
      <c r="B199" s="1">
        <v>46050</v>
      </c>
      <c r="C199" t="s">
        <v>489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553</v>
      </c>
      <c r="J199" t="s">
        <v>67</v>
      </c>
      <c r="M199" t="s">
        <v>55</v>
      </c>
      <c r="O199" t="s">
        <v>68</v>
      </c>
      <c r="P199" t="s">
        <v>69</v>
      </c>
      <c r="Q199" t="s">
        <v>491</v>
      </c>
      <c r="R199" t="s">
        <v>324</v>
      </c>
      <c r="S199" s="1">
        <v>46023</v>
      </c>
      <c r="U199" t="s">
        <v>51</v>
      </c>
      <c r="X199" t="s">
        <v>52</v>
      </c>
      <c r="AF199" s="2">
        <v>100</v>
      </c>
      <c r="AG199" s="2">
        <v>0</v>
      </c>
      <c r="AJ199" s="2">
        <v>100</v>
      </c>
    </row>
    <row r="200" spans="1:36" x14ac:dyDescent="0.25">
      <c r="A200" s="1">
        <v>46050</v>
      </c>
      <c r="B200" s="1">
        <v>46050</v>
      </c>
      <c r="C200" t="s">
        <v>489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554</v>
      </c>
      <c r="J200" t="s">
        <v>555</v>
      </c>
      <c r="M200" t="s">
        <v>55</v>
      </c>
      <c r="O200" t="s">
        <v>127</v>
      </c>
      <c r="P200" t="s">
        <v>128</v>
      </c>
      <c r="Q200" t="s">
        <v>491</v>
      </c>
      <c r="R200" t="s">
        <v>324</v>
      </c>
      <c r="S200" s="1">
        <v>46023</v>
      </c>
      <c r="U200" t="s">
        <v>51</v>
      </c>
      <c r="X200" t="s">
        <v>52</v>
      </c>
      <c r="AF200" s="2">
        <v>100</v>
      </c>
      <c r="AG200" s="2">
        <v>0</v>
      </c>
      <c r="AJ200" s="2">
        <v>100</v>
      </c>
    </row>
    <row r="201" spans="1:36" x14ac:dyDescent="0.25">
      <c r="A201" s="1">
        <v>46050</v>
      </c>
      <c r="B201" s="1">
        <v>46050</v>
      </c>
      <c r="C201" t="s">
        <v>489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556</v>
      </c>
      <c r="J201" t="s">
        <v>557</v>
      </c>
      <c r="M201" t="s">
        <v>74</v>
      </c>
      <c r="O201" t="s">
        <v>322</v>
      </c>
      <c r="P201" t="s">
        <v>323</v>
      </c>
      <c r="Q201" t="s">
        <v>491</v>
      </c>
      <c r="R201" t="s">
        <v>411</v>
      </c>
      <c r="S201" s="1">
        <v>46023</v>
      </c>
      <c r="U201" t="s">
        <v>51</v>
      </c>
      <c r="X201" t="s">
        <v>52</v>
      </c>
      <c r="AF201" s="2">
        <v>347</v>
      </c>
      <c r="AG201" s="2">
        <v>0</v>
      </c>
      <c r="AJ201" s="2">
        <v>347</v>
      </c>
    </row>
    <row r="202" spans="1:36" x14ac:dyDescent="0.25">
      <c r="A202" s="1">
        <v>46050</v>
      </c>
      <c r="B202" s="1">
        <v>46050</v>
      </c>
      <c r="C202" t="s">
        <v>489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558</v>
      </c>
      <c r="J202" t="s">
        <v>557</v>
      </c>
      <c r="M202" t="s">
        <v>74</v>
      </c>
      <c r="O202" t="s">
        <v>322</v>
      </c>
      <c r="P202" t="s">
        <v>323</v>
      </c>
      <c r="Q202" t="s">
        <v>491</v>
      </c>
      <c r="R202" t="s">
        <v>413</v>
      </c>
      <c r="S202" s="1">
        <v>46023</v>
      </c>
      <c r="U202" t="s">
        <v>51</v>
      </c>
      <c r="X202" t="s">
        <v>52</v>
      </c>
      <c r="AF202" s="2">
        <v>175</v>
      </c>
      <c r="AG202" s="2">
        <v>0</v>
      </c>
      <c r="AJ202" s="2">
        <v>175</v>
      </c>
    </row>
    <row r="203" spans="1:36" x14ac:dyDescent="0.25">
      <c r="A203" s="1">
        <v>46050</v>
      </c>
      <c r="B203" s="1">
        <v>46050</v>
      </c>
      <c r="C203" t="s">
        <v>489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559</v>
      </c>
      <c r="J203" t="s">
        <v>560</v>
      </c>
      <c r="M203" t="s">
        <v>451</v>
      </c>
      <c r="O203" t="s">
        <v>385</v>
      </c>
      <c r="P203" t="s">
        <v>386</v>
      </c>
      <c r="Q203" t="s">
        <v>491</v>
      </c>
      <c r="R203" t="s">
        <v>411</v>
      </c>
      <c r="S203" s="1">
        <v>46054</v>
      </c>
      <c r="U203" t="s">
        <v>51</v>
      </c>
      <c r="X203" t="s">
        <v>52</v>
      </c>
      <c r="AF203" s="2">
        <v>318.08</v>
      </c>
      <c r="AG203" s="2">
        <v>0</v>
      </c>
      <c r="AJ203" s="2">
        <v>318.08</v>
      </c>
    </row>
    <row r="204" spans="1:36" x14ac:dyDescent="0.25">
      <c r="A204" s="1">
        <v>46050</v>
      </c>
      <c r="B204" s="1">
        <v>46050</v>
      </c>
      <c r="C204" t="s">
        <v>489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561</v>
      </c>
      <c r="J204" t="s">
        <v>560</v>
      </c>
      <c r="M204" t="s">
        <v>451</v>
      </c>
      <c r="O204" t="s">
        <v>385</v>
      </c>
      <c r="P204" t="s">
        <v>386</v>
      </c>
      <c r="Q204" t="s">
        <v>491</v>
      </c>
      <c r="R204" t="s">
        <v>413</v>
      </c>
      <c r="S204" s="1">
        <v>46054</v>
      </c>
      <c r="U204" t="s">
        <v>51</v>
      </c>
      <c r="X204" t="s">
        <v>52</v>
      </c>
      <c r="AF204" s="2">
        <v>175</v>
      </c>
      <c r="AG204" s="2">
        <v>0</v>
      </c>
      <c r="AJ204" s="2">
        <v>175</v>
      </c>
    </row>
    <row r="205" spans="1:36" x14ac:dyDescent="0.25">
      <c r="A205" s="1">
        <v>46050</v>
      </c>
      <c r="B205" s="1">
        <v>46050</v>
      </c>
      <c r="C205" t="s">
        <v>489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562</v>
      </c>
      <c r="J205" t="s">
        <v>563</v>
      </c>
      <c r="M205" t="s">
        <v>55</v>
      </c>
      <c r="O205" t="s">
        <v>68</v>
      </c>
      <c r="P205" t="s">
        <v>69</v>
      </c>
      <c r="Q205" t="s">
        <v>491</v>
      </c>
      <c r="R205" t="s">
        <v>411</v>
      </c>
      <c r="S205" s="1">
        <v>46023</v>
      </c>
      <c r="U205" t="s">
        <v>51</v>
      </c>
      <c r="X205" t="s">
        <v>52</v>
      </c>
      <c r="AF205" s="2">
        <v>347</v>
      </c>
      <c r="AG205" s="2">
        <v>0</v>
      </c>
      <c r="AJ205" s="2">
        <v>347</v>
      </c>
    </row>
    <row r="206" spans="1:36" x14ac:dyDescent="0.25">
      <c r="A206" s="1">
        <v>46050</v>
      </c>
      <c r="B206" s="1">
        <v>46050</v>
      </c>
      <c r="C206" t="s">
        <v>489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564</v>
      </c>
      <c r="J206" t="s">
        <v>563</v>
      </c>
      <c r="M206" t="s">
        <v>55</v>
      </c>
      <c r="O206" t="s">
        <v>68</v>
      </c>
      <c r="P206" t="s">
        <v>69</v>
      </c>
      <c r="Q206" t="s">
        <v>491</v>
      </c>
      <c r="R206" t="s">
        <v>413</v>
      </c>
      <c r="S206" s="1">
        <v>46023</v>
      </c>
      <c r="U206" t="s">
        <v>51</v>
      </c>
      <c r="X206" t="s">
        <v>52</v>
      </c>
      <c r="AF206" s="2">
        <v>175</v>
      </c>
      <c r="AG206" s="2">
        <v>0</v>
      </c>
      <c r="AJ206" s="2">
        <v>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B78C1-7D72-476B-A9B3-F89BCAD00CA2}">
  <dimension ref="A1:T875"/>
  <sheetViews>
    <sheetView topLeftCell="B28" workbookViewId="0">
      <selection activeCell="L38" sqref="L38:L45"/>
    </sheetView>
  </sheetViews>
  <sheetFormatPr defaultRowHeight="15" x14ac:dyDescent="0.25"/>
  <cols>
    <col min="1" max="1" width="16.42578125" style="4" bestFit="1" customWidth="1"/>
    <col min="2" max="2" width="17" style="4" bestFit="1" customWidth="1"/>
    <col min="3" max="3" width="19.42578125" customWidth="1"/>
    <col min="5" max="5" width="15.7109375" bestFit="1" customWidth="1"/>
    <col min="6" max="6" width="27.28515625" bestFit="1" customWidth="1"/>
    <col min="8" max="8" width="17.85546875" customWidth="1"/>
    <col min="9" max="9" width="10.140625" bestFit="1" customWidth="1"/>
    <col min="12" max="12" width="6.42578125" customWidth="1"/>
    <col min="15" max="15" width="8.28515625" customWidth="1"/>
    <col min="16" max="16" width="60" bestFit="1" customWidth="1"/>
  </cols>
  <sheetData>
    <row r="1" spans="1:20" x14ac:dyDescent="0.25">
      <c r="A1" s="4" t="s">
        <v>8</v>
      </c>
      <c r="C1" t="s">
        <v>9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37</v>
      </c>
    </row>
    <row r="2" spans="1:20" x14ac:dyDescent="0.25">
      <c r="A2" s="5">
        <v>909525209</v>
      </c>
      <c r="B2" s="5" t="str">
        <f t="shared" ref="B2:B7" si="0">CONCATENATE(A2,13)</f>
        <v>90952520913</v>
      </c>
      <c r="C2" s="6" t="s">
        <v>415</v>
      </c>
      <c r="D2" s="6" t="s">
        <v>55</v>
      </c>
      <c r="E2" s="10">
        <v>21104854</v>
      </c>
      <c r="F2" s="6" t="s">
        <v>417</v>
      </c>
      <c r="G2" s="6" t="s">
        <v>49</v>
      </c>
      <c r="H2" s="6" t="s">
        <v>418</v>
      </c>
      <c r="I2" s="7">
        <v>46054</v>
      </c>
      <c r="J2" s="8">
        <v>0</v>
      </c>
      <c r="K2" s="8">
        <v>186.08</v>
      </c>
      <c r="L2" s="6">
        <v>1</v>
      </c>
      <c r="M2" s="9">
        <v>1</v>
      </c>
      <c r="N2" s="8">
        <v>186.08</v>
      </c>
      <c r="O2" s="6" t="s">
        <v>245</v>
      </c>
      <c r="P2" s="6" t="s">
        <v>1615</v>
      </c>
      <c r="Q2" s="6" t="s">
        <v>1616</v>
      </c>
      <c r="R2" s="6"/>
      <c r="S2" s="6"/>
      <c r="T2" s="6"/>
    </row>
    <row r="3" spans="1:20" x14ac:dyDescent="0.25">
      <c r="A3" s="5">
        <v>955501117</v>
      </c>
      <c r="B3" s="5" t="str">
        <f t="shared" si="0"/>
        <v>95550111713</v>
      </c>
      <c r="C3" s="6" t="s">
        <v>447</v>
      </c>
      <c r="D3" s="6" t="s">
        <v>55</v>
      </c>
      <c r="E3" s="10">
        <v>21104854</v>
      </c>
      <c r="F3" s="6" t="s">
        <v>417</v>
      </c>
      <c r="G3" s="6" t="s">
        <v>49</v>
      </c>
      <c r="H3" s="6" t="s">
        <v>418</v>
      </c>
      <c r="I3" s="7">
        <v>46054</v>
      </c>
      <c r="J3" s="8">
        <v>0</v>
      </c>
      <c r="K3" s="8">
        <v>186.08</v>
      </c>
      <c r="L3" s="6">
        <v>1</v>
      </c>
      <c r="M3" s="9">
        <v>1</v>
      </c>
      <c r="N3" s="8">
        <v>186.08</v>
      </c>
      <c r="O3" s="6" t="s">
        <v>245</v>
      </c>
      <c r="P3" s="6" t="s">
        <v>1615</v>
      </c>
      <c r="Q3" s="6" t="s">
        <v>1616</v>
      </c>
      <c r="R3" s="6"/>
      <c r="S3" s="6"/>
      <c r="T3" s="6"/>
    </row>
    <row r="4" spans="1:20" x14ac:dyDescent="0.25">
      <c r="A4" s="5">
        <v>969662093</v>
      </c>
      <c r="B4" s="5" t="str">
        <f t="shared" si="0"/>
        <v>96966209313</v>
      </c>
      <c r="C4" s="6" t="s">
        <v>457</v>
      </c>
      <c r="D4" s="6" t="s">
        <v>55</v>
      </c>
      <c r="E4" s="10">
        <v>21435997</v>
      </c>
      <c r="F4" s="6" t="s">
        <v>323</v>
      </c>
      <c r="G4" s="6" t="s">
        <v>49</v>
      </c>
      <c r="H4" s="6" t="s">
        <v>418</v>
      </c>
      <c r="I4" s="7">
        <v>46054</v>
      </c>
      <c r="J4" s="8">
        <v>0</v>
      </c>
      <c r="K4" s="8">
        <v>186.08</v>
      </c>
      <c r="L4" s="6">
        <v>1</v>
      </c>
      <c r="M4" s="9">
        <v>1</v>
      </c>
      <c r="N4" s="8">
        <v>186.08</v>
      </c>
      <c r="O4" s="6" t="s">
        <v>245</v>
      </c>
      <c r="P4" s="6" t="s">
        <v>1615</v>
      </c>
      <c r="Q4" s="6" t="s">
        <v>1616</v>
      </c>
      <c r="R4" s="6"/>
      <c r="S4" s="6"/>
      <c r="T4" s="6"/>
    </row>
    <row r="5" spans="1:20" x14ac:dyDescent="0.25">
      <c r="A5" s="5">
        <v>924390816</v>
      </c>
      <c r="B5" s="5" t="str">
        <f t="shared" si="0"/>
        <v>92439081613</v>
      </c>
      <c r="C5" s="6" t="s">
        <v>425</v>
      </c>
      <c r="D5" s="6" t="s">
        <v>97</v>
      </c>
      <c r="E5" s="10">
        <v>9213293</v>
      </c>
      <c r="F5" s="6" t="s">
        <v>105</v>
      </c>
      <c r="G5" s="6" t="s">
        <v>49</v>
      </c>
      <c r="H5" s="6" t="s">
        <v>418</v>
      </c>
      <c r="I5" s="7">
        <v>46054</v>
      </c>
      <c r="J5" s="8">
        <v>0</v>
      </c>
      <c r="K5" s="8">
        <v>186.08</v>
      </c>
      <c r="L5" s="6">
        <v>1</v>
      </c>
      <c r="M5" s="9">
        <v>1</v>
      </c>
      <c r="N5" s="8">
        <v>186.08</v>
      </c>
      <c r="O5" s="6" t="s">
        <v>245</v>
      </c>
      <c r="P5" s="6" t="s">
        <v>1615</v>
      </c>
      <c r="Q5" s="6" t="s">
        <v>1616</v>
      </c>
      <c r="R5" s="6"/>
      <c r="S5" s="6"/>
      <c r="T5" s="6"/>
    </row>
    <row r="6" spans="1:20" x14ac:dyDescent="0.25">
      <c r="A6" s="5">
        <v>935028788</v>
      </c>
      <c r="B6" s="5" t="str">
        <f t="shared" si="0"/>
        <v>93502878813</v>
      </c>
      <c r="C6" s="6" t="s">
        <v>438</v>
      </c>
      <c r="D6" s="6" t="s">
        <v>55</v>
      </c>
      <c r="E6" s="10">
        <v>18754354</v>
      </c>
      <c r="F6" s="6" t="s">
        <v>257</v>
      </c>
      <c r="G6" s="6" t="s">
        <v>49</v>
      </c>
      <c r="H6" s="6" t="s">
        <v>418</v>
      </c>
      <c r="I6" s="7">
        <v>46054</v>
      </c>
      <c r="J6" s="8">
        <v>0</v>
      </c>
      <c r="K6" s="8">
        <v>186.08</v>
      </c>
      <c r="L6" s="6">
        <v>1</v>
      </c>
      <c r="M6" s="9">
        <v>1</v>
      </c>
      <c r="N6" s="8">
        <v>186.08</v>
      </c>
      <c r="O6" s="6" t="s">
        <v>245</v>
      </c>
      <c r="P6" s="6" t="s">
        <v>1615</v>
      </c>
      <c r="Q6" s="6" t="s">
        <v>1616</v>
      </c>
      <c r="R6" s="6"/>
      <c r="S6" s="6"/>
      <c r="T6" s="6"/>
    </row>
    <row r="7" spans="1:20" x14ac:dyDescent="0.25">
      <c r="A7" s="5">
        <v>938953113</v>
      </c>
      <c r="B7" s="5" t="str">
        <f t="shared" si="0"/>
        <v>93895311313</v>
      </c>
      <c r="C7" s="6" t="s">
        <v>441</v>
      </c>
      <c r="D7" s="6" t="s">
        <v>97</v>
      </c>
      <c r="E7" s="10">
        <v>19645587</v>
      </c>
      <c r="F7" s="6" t="s">
        <v>386</v>
      </c>
      <c r="G7" s="6" t="s">
        <v>49</v>
      </c>
      <c r="H7" s="6" t="s">
        <v>418</v>
      </c>
      <c r="I7" s="7">
        <v>46082</v>
      </c>
      <c r="J7" s="8">
        <v>0</v>
      </c>
      <c r="K7" s="8">
        <v>169.17</v>
      </c>
      <c r="L7" s="6">
        <v>1</v>
      </c>
      <c r="M7" s="9">
        <v>1</v>
      </c>
      <c r="N7" s="8">
        <v>169.17</v>
      </c>
      <c r="O7" s="6" t="s">
        <v>308</v>
      </c>
      <c r="P7" s="6" t="s">
        <v>1615</v>
      </c>
      <c r="Q7" s="6" t="s">
        <v>1617</v>
      </c>
      <c r="R7" s="6"/>
      <c r="S7" s="6"/>
      <c r="T7" s="6"/>
    </row>
    <row r="8" spans="1:20" x14ac:dyDescent="0.25">
      <c r="A8" s="5" t="s">
        <v>1371</v>
      </c>
      <c r="B8" s="5" t="str">
        <f t="shared" ref="B8:B34" si="1">CONCATENATE(A8,1)</f>
        <v>00021836561K1</v>
      </c>
      <c r="C8" s="6" t="s">
        <v>594</v>
      </c>
      <c r="D8" s="6" t="s">
        <v>429</v>
      </c>
      <c r="E8" s="10">
        <v>7470776</v>
      </c>
      <c r="F8" s="6" t="s">
        <v>149</v>
      </c>
      <c r="G8" s="6" t="s">
        <v>49</v>
      </c>
      <c r="H8" s="6" t="s">
        <v>592</v>
      </c>
      <c r="I8" s="7">
        <v>45474</v>
      </c>
      <c r="J8" s="8">
        <v>1</v>
      </c>
      <c r="K8" s="8">
        <v>1</v>
      </c>
      <c r="L8" s="6"/>
      <c r="M8" s="9">
        <v>1</v>
      </c>
      <c r="N8" s="8">
        <v>25.5</v>
      </c>
      <c r="O8" s="6" t="s">
        <v>578</v>
      </c>
      <c r="P8" s="6" t="s">
        <v>1583</v>
      </c>
      <c r="Q8" s="6" t="s">
        <v>1582</v>
      </c>
      <c r="S8" s="6"/>
      <c r="T8" s="6"/>
    </row>
    <row r="9" spans="1:20" x14ac:dyDescent="0.25">
      <c r="A9" s="5" t="s">
        <v>1372</v>
      </c>
      <c r="B9" s="5" t="str">
        <f t="shared" si="1"/>
        <v>00021836597K1</v>
      </c>
      <c r="C9" s="6" t="s">
        <v>595</v>
      </c>
      <c r="D9" s="6" t="s">
        <v>429</v>
      </c>
      <c r="E9" s="10">
        <v>7470776</v>
      </c>
      <c r="F9" s="6" t="s">
        <v>149</v>
      </c>
      <c r="G9" s="6" t="s">
        <v>49</v>
      </c>
      <c r="H9" s="6" t="s">
        <v>592</v>
      </c>
      <c r="I9" s="7">
        <v>45474</v>
      </c>
      <c r="J9" s="8">
        <v>1</v>
      </c>
      <c r="K9" s="8">
        <v>1</v>
      </c>
      <c r="L9" s="6"/>
      <c r="M9" s="9">
        <v>1</v>
      </c>
      <c r="N9" s="8">
        <v>25.5</v>
      </c>
      <c r="O9" s="6" t="s">
        <v>578</v>
      </c>
      <c r="P9" s="6" t="s">
        <v>1583</v>
      </c>
      <c r="Q9" s="6" t="s">
        <v>1582</v>
      </c>
      <c r="S9" s="6"/>
      <c r="T9" s="6"/>
    </row>
    <row r="10" spans="1:20" x14ac:dyDescent="0.25">
      <c r="A10" s="5" t="s">
        <v>1377</v>
      </c>
      <c r="B10" s="5" t="str">
        <f t="shared" si="1"/>
        <v>00021865984K1</v>
      </c>
      <c r="C10" s="6" t="s">
        <v>602</v>
      </c>
      <c r="D10" s="6"/>
      <c r="E10" s="10">
        <v>7470776</v>
      </c>
      <c r="F10" s="6" t="s">
        <v>149</v>
      </c>
      <c r="G10" s="6" t="s">
        <v>49</v>
      </c>
      <c r="H10" s="6" t="s">
        <v>592</v>
      </c>
      <c r="I10" s="7">
        <v>45474</v>
      </c>
      <c r="J10" s="8">
        <v>1</v>
      </c>
      <c r="K10" s="8">
        <v>1</v>
      </c>
      <c r="L10" s="6"/>
      <c r="M10" s="9">
        <v>1</v>
      </c>
      <c r="N10" s="8">
        <v>25.5</v>
      </c>
      <c r="O10" s="6" t="s">
        <v>578</v>
      </c>
      <c r="P10" s="6" t="s">
        <v>1583</v>
      </c>
      <c r="Q10" s="6" t="s">
        <v>1582</v>
      </c>
      <c r="S10" s="6"/>
      <c r="T10" s="6"/>
    </row>
    <row r="11" spans="1:20" x14ac:dyDescent="0.25">
      <c r="A11" s="5" t="s">
        <v>1382</v>
      </c>
      <c r="B11" s="5" t="str">
        <f t="shared" si="1"/>
        <v>00021882434K1</v>
      </c>
      <c r="C11" s="6" t="s">
        <v>607</v>
      </c>
      <c r="D11" s="6" t="s">
        <v>429</v>
      </c>
      <c r="E11" s="10">
        <v>7470776</v>
      </c>
      <c r="F11" s="6" t="s">
        <v>149</v>
      </c>
      <c r="G11" s="6" t="s">
        <v>49</v>
      </c>
      <c r="H11" s="6" t="s">
        <v>592</v>
      </c>
      <c r="I11" s="7">
        <v>45474</v>
      </c>
      <c r="J11" s="8">
        <v>1</v>
      </c>
      <c r="K11" s="8">
        <v>1</v>
      </c>
      <c r="L11" s="6"/>
      <c r="M11" s="9">
        <v>1</v>
      </c>
      <c r="N11" s="8">
        <v>25.5</v>
      </c>
      <c r="O11" s="6" t="s">
        <v>578</v>
      </c>
      <c r="P11" s="6" t="s">
        <v>1583</v>
      </c>
      <c r="Q11" s="6" t="s">
        <v>1582</v>
      </c>
      <c r="S11" s="6"/>
      <c r="T11" s="6"/>
    </row>
    <row r="12" spans="1:20" x14ac:dyDescent="0.25">
      <c r="A12" s="5" t="s">
        <v>1387</v>
      </c>
      <c r="B12" s="5" t="str">
        <f t="shared" si="1"/>
        <v>00021895977K1</v>
      </c>
      <c r="C12" s="6" t="s">
        <v>613</v>
      </c>
      <c r="D12" s="6" t="s">
        <v>429</v>
      </c>
      <c r="E12" s="10">
        <v>7470776</v>
      </c>
      <c r="F12" s="6" t="s">
        <v>149</v>
      </c>
      <c r="G12" s="6" t="s">
        <v>49</v>
      </c>
      <c r="H12" s="6" t="s">
        <v>592</v>
      </c>
      <c r="I12" s="7">
        <v>45505</v>
      </c>
      <c r="J12" s="8">
        <v>1</v>
      </c>
      <c r="K12" s="8">
        <v>1</v>
      </c>
      <c r="L12" s="6"/>
      <c r="M12" s="9">
        <v>1</v>
      </c>
      <c r="N12" s="8">
        <v>25.5</v>
      </c>
      <c r="O12" s="6" t="s">
        <v>578</v>
      </c>
      <c r="P12" s="6" t="s">
        <v>1583</v>
      </c>
      <c r="Q12" s="6" t="s">
        <v>1582</v>
      </c>
      <c r="S12" s="6"/>
      <c r="T12" s="6"/>
    </row>
    <row r="13" spans="1:20" x14ac:dyDescent="0.25">
      <c r="A13" s="5" t="s">
        <v>1391</v>
      </c>
      <c r="B13" s="5" t="str">
        <f t="shared" si="1"/>
        <v>00021917176K1</v>
      </c>
      <c r="C13" s="6" t="s">
        <v>617</v>
      </c>
      <c r="D13" s="6" t="s">
        <v>429</v>
      </c>
      <c r="E13" s="10">
        <v>7470776</v>
      </c>
      <c r="F13" s="6" t="s">
        <v>149</v>
      </c>
      <c r="G13" s="6" t="s">
        <v>49</v>
      </c>
      <c r="H13" s="6" t="s">
        <v>592</v>
      </c>
      <c r="I13" s="7">
        <v>45505</v>
      </c>
      <c r="J13" s="8">
        <v>1</v>
      </c>
      <c r="K13" s="8">
        <v>1</v>
      </c>
      <c r="L13" s="6"/>
      <c r="M13" s="9">
        <v>1</v>
      </c>
      <c r="N13" s="8">
        <v>25.5</v>
      </c>
      <c r="O13" s="6" t="s">
        <v>578</v>
      </c>
      <c r="P13" s="6" t="s">
        <v>1583</v>
      </c>
      <c r="Q13" s="6" t="s">
        <v>1582</v>
      </c>
      <c r="S13" s="6"/>
      <c r="T13" s="6"/>
    </row>
    <row r="14" spans="1:20" x14ac:dyDescent="0.25">
      <c r="A14" s="5" t="s">
        <v>1406</v>
      </c>
      <c r="B14" s="5" t="str">
        <f t="shared" si="1"/>
        <v>00021973839K1</v>
      </c>
      <c r="C14" s="6" t="s">
        <v>632</v>
      </c>
      <c r="D14" s="6" t="s">
        <v>429</v>
      </c>
      <c r="E14" s="10">
        <v>7470776</v>
      </c>
      <c r="F14" s="6" t="s">
        <v>149</v>
      </c>
      <c r="G14" s="6" t="s">
        <v>49</v>
      </c>
      <c r="H14" s="6" t="s">
        <v>592</v>
      </c>
      <c r="I14" s="7">
        <v>45536</v>
      </c>
      <c r="J14" s="8">
        <v>1</v>
      </c>
      <c r="K14" s="8">
        <v>1</v>
      </c>
      <c r="L14" s="6"/>
      <c r="M14" s="9">
        <v>1</v>
      </c>
      <c r="N14" s="8">
        <v>25.5</v>
      </c>
      <c r="O14" s="6" t="s">
        <v>578</v>
      </c>
      <c r="P14" s="6" t="s">
        <v>1583</v>
      </c>
      <c r="Q14" s="6" t="s">
        <v>1582</v>
      </c>
      <c r="S14" s="6"/>
      <c r="T14" s="6"/>
    </row>
    <row r="15" spans="1:20" x14ac:dyDescent="0.25">
      <c r="A15" s="5" t="s">
        <v>1410</v>
      </c>
      <c r="B15" s="5" t="str">
        <f t="shared" si="1"/>
        <v>00022004915K1</v>
      </c>
      <c r="C15" s="6" t="s">
        <v>636</v>
      </c>
      <c r="D15" s="6" t="s">
        <v>429</v>
      </c>
      <c r="E15" s="10">
        <v>7470776</v>
      </c>
      <c r="F15" s="6" t="s">
        <v>149</v>
      </c>
      <c r="G15" s="6" t="s">
        <v>49</v>
      </c>
      <c r="H15" s="6" t="s">
        <v>592</v>
      </c>
      <c r="I15" s="7">
        <v>45536</v>
      </c>
      <c r="J15" s="8">
        <v>1</v>
      </c>
      <c r="K15" s="8">
        <v>1</v>
      </c>
      <c r="L15" s="6"/>
      <c r="M15" s="9">
        <v>1</v>
      </c>
      <c r="N15" s="8">
        <v>25.5</v>
      </c>
      <c r="O15" s="6" t="s">
        <v>578</v>
      </c>
      <c r="P15" s="6" t="s">
        <v>1583</v>
      </c>
      <c r="Q15" s="6" t="s">
        <v>1582</v>
      </c>
      <c r="S15" s="6"/>
      <c r="T15" s="6"/>
    </row>
    <row r="16" spans="1:20" x14ac:dyDescent="0.25">
      <c r="A16" s="5" t="s">
        <v>1415</v>
      </c>
      <c r="B16" s="5" t="str">
        <f t="shared" si="1"/>
        <v>00022025150K1</v>
      </c>
      <c r="C16" s="6" t="s">
        <v>641</v>
      </c>
      <c r="D16" s="6" t="s">
        <v>429</v>
      </c>
      <c r="E16" s="10">
        <v>7470776</v>
      </c>
      <c r="F16" s="6" t="s">
        <v>149</v>
      </c>
      <c r="G16" s="6" t="s">
        <v>106</v>
      </c>
      <c r="H16" s="6" t="s">
        <v>592</v>
      </c>
      <c r="I16" s="7">
        <v>45566</v>
      </c>
      <c r="J16" s="8">
        <v>1</v>
      </c>
      <c r="K16" s="8">
        <v>1</v>
      </c>
      <c r="L16" s="6"/>
      <c r="M16" s="9">
        <v>1</v>
      </c>
      <c r="N16" s="8">
        <v>25.5</v>
      </c>
      <c r="O16" s="6" t="s">
        <v>578</v>
      </c>
      <c r="P16" s="6" t="s">
        <v>1583</v>
      </c>
      <c r="Q16" s="6" t="s">
        <v>1582</v>
      </c>
      <c r="S16" s="6"/>
      <c r="T16" s="6"/>
    </row>
    <row r="17" spans="1:20" x14ac:dyDescent="0.25">
      <c r="A17" s="5" t="s">
        <v>1417</v>
      </c>
      <c r="B17" s="5" t="str">
        <f t="shared" si="1"/>
        <v>00022031158K1</v>
      </c>
      <c r="C17" s="6" t="s">
        <v>643</v>
      </c>
      <c r="D17" s="6" t="s">
        <v>429</v>
      </c>
      <c r="E17" s="10">
        <v>7470776</v>
      </c>
      <c r="F17" s="6" t="s">
        <v>149</v>
      </c>
      <c r="G17" s="6" t="s">
        <v>106</v>
      </c>
      <c r="H17" s="6" t="s">
        <v>592</v>
      </c>
      <c r="I17" s="7">
        <v>45566</v>
      </c>
      <c r="J17" s="8">
        <v>1</v>
      </c>
      <c r="K17" s="8">
        <v>1</v>
      </c>
      <c r="L17" s="6"/>
      <c r="M17" s="9">
        <v>1</v>
      </c>
      <c r="N17" s="8">
        <v>25.5</v>
      </c>
      <c r="O17" s="6" t="s">
        <v>578</v>
      </c>
      <c r="P17" s="6" t="s">
        <v>1583</v>
      </c>
      <c r="Q17" s="6" t="s">
        <v>1582</v>
      </c>
      <c r="S17" s="6"/>
      <c r="T17" s="6"/>
    </row>
    <row r="18" spans="1:20" x14ac:dyDescent="0.25">
      <c r="A18" s="5" t="s">
        <v>1418</v>
      </c>
      <c r="B18" s="5" t="str">
        <f t="shared" si="1"/>
        <v>00022032935K1</v>
      </c>
      <c r="C18" s="6" t="s">
        <v>644</v>
      </c>
      <c r="D18" s="6" t="s">
        <v>429</v>
      </c>
      <c r="E18" s="10">
        <v>7470776</v>
      </c>
      <c r="F18" s="6" t="s">
        <v>149</v>
      </c>
      <c r="G18" s="6" t="s">
        <v>106</v>
      </c>
      <c r="H18" s="6" t="s">
        <v>592</v>
      </c>
      <c r="I18" s="7">
        <v>45566</v>
      </c>
      <c r="J18" s="8">
        <v>1</v>
      </c>
      <c r="K18" s="8">
        <v>1</v>
      </c>
      <c r="L18" s="6"/>
      <c r="M18" s="9">
        <v>1</v>
      </c>
      <c r="N18" s="8">
        <v>25.5</v>
      </c>
      <c r="O18" s="6" t="s">
        <v>578</v>
      </c>
      <c r="P18" s="6" t="s">
        <v>1583</v>
      </c>
      <c r="Q18" s="6" t="s">
        <v>1582</v>
      </c>
      <c r="S18" s="6"/>
      <c r="T18" s="6"/>
    </row>
    <row r="19" spans="1:20" x14ac:dyDescent="0.25">
      <c r="A19" s="5" t="s">
        <v>1421</v>
      </c>
      <c r="B19" s="5" t="str">
        <f t="shared" si="1"/>
        <v>00022035242K1</v>
      </c>
      <c r="C19" s="6" t="s">
        <v>647</v>
      </c>
      <c r="D19" s="6" t="s">
        <v>429</v>
      </c>
      <c r="E19" s="10">
        <v>7470776</v>
      </c>
      <c r="F19" s="6" t="s">
        <v>149</v>
      </c>
      <c r="G19" s="6" t="s">
        <v>106</v>
      </c>
      <c r="H19" s="6" t="s">
        <v>592</v>
      </c>
      <c r="I19" s="7">
        <v>45566</v>
      </c>
      <c r="J19" s="8">
        <v>1</v>
      </c>
      <c r="K19" s="8">
        <v>1</v>
      </c>
      <c r="L19" s="6"/>
      <c r="M19" s="9">
        <v>1</v>
      </c>
      <c r="N19" s="8">
        <v>25.5</v>
      </c>
      <c r="O19" s="6" t="s">
        <v>578</v>
      </c>
      <c r="P19" s="6" t="s">
        <v>1583</v>
      </c>
      <c r="Q19" s="6" t="s">
        <v>1582</v>
      </c>
      <c r="S19" s="6"/>
      <c r="T19" s="6"/>
    </row>
    <row r="20" spans="1:20" x14ac:dyDescent="0.25">
      <c r="A20" s="5" t="s">
        <v>1422</v>
      </c>
      <c r="B20" s="5" t="str">
        <f t="shared" si="1"/>
        <v>00022040894K1</v>
      </c>
      <c r="C20" s="6" t="s">
        <v>648</v>
      </c>
      <c r="D20" s="6" t="s">
        <v>429</v>
      </c>
      <c r="E20" s="10">
        <v>7470776</v>
      </c>
      <c r="F20" s="6" t="s">
        <v>149</v>
      </c>
      <c r="G20" s="6" t="s">
        <v>106</v>
      </c>
      <c r="H20" s="6" t="s">
        <v>592</v>
      </c>
      <c r="I20" s="7">
        <v>45566</v>
      </c>
      <c r="J20" s="8">
        <v>1</v>
      </c>
      <c r="K20" s="8">
        <v>1</v>
      </c>
      <c r="L20" s="6"/>
      <c r="M20" s="9">
        <v>1</v>
      </c>
      <c r="N20" s="8">
        <v>25.5</v>
      </c>
      <c r="O20" s="6" t="s">
        <v>578</v>
      </c>
      <c r="P20" s="6" t="s">
        <v>1583</v>
      </c>
      <c r="Q20" s="6" t="s">
        <v>1582</v>
      </c>
      <c r="S20" s="6"/>
      <c r="T20" s="6"/>
    </row>
    <row r="21" spans="1:20" x14ac:dyDescent="0.25">
      <c r="A21" s="5" t="s">
        <v>1424</v>
      </c>
      <c r="B21" s="5" t="str">
        <f t="shared" si="1"/>
        <v>00022052067K1</v>
      </c>
      <c r="C21" s="6" t="s">
        <v>650</v>
      </c>
      <c r="D21" s="6" t="s">
        <v>429</v>
      </c>
      <c r="E21" s="10">
        <v>7470776</v>
      </c>
      <c r="F21" s="6" t="s">
        <v>149</v>
      </c>
      <c r="G21" s="6" t="s">
        <v>106</v>
      </c>
      <c r="H21" s="6" t="s">
        <v>592</v>
      </c>
      <c r="I21" s="7">
        <v>45566</v>
      </c>
      <c r="J21" s="8">
        <v>1</v>
      </c>
      <c r="K21" s="8">
        <v>1</v>
      </c>
      <c r="L21" s="6"/>
      <c r="M21" s="9">
        <v>1</v>
      </c>
      <c r="N21" s="8">
        <v>25.5</v>
      </c>
      <c r="O21" s="6" t="s">
        <v>578</v>
      </c>
      <c r="P21" s="6" t="s">
        <v>1583</v>
      </c>
      <c r="Q21" s="6" t="s">
        <v>1582</v>
      </c>
      <c r="S21" s="6"/>
      <c r="T21" s="6"/>
    </row>
    <row r="22" spans="1:20" x14ac:dyDescent="0.25">
      <c r="A22" s="5" t="s">
        <v>1440</v>
      </c>
      <c r="B22" s="5" t="str">
        <f t="shared" si="1"/>
        <v>00022094729K1</v>
      </c>
      <c r="C22" s="6" t="s">
        <v>666</v>
      </c>
      <c r="D22" s="6" t="s">
        <v>429</v>
      </c>
      <c r="E22" s="10">
        <v>7470776</v>
      </c>
      <c r="F22" s="6" t="s">
        <v>149</v>
      </c>
      <c r="G22" s="6" t="s">
        <v>49</v>
      </c>
      <c r="H22" s="6" t="s">
        <v>592</v>
      </c>
      <c r="I22" s="7">
        <v>45597</v>
      </c>
      <c r="J22" s="8">
        <v>1</v>
      </c>
      <c r="K22" s="8">
        <v>1</v>
      </c>
      <c r="L22" s="6"/>
      <c r="M22" s="9">
        <v>1</v>
      </c>
      <c r="N22" s="8">
        <v>25.5</v>
      </c>
      <c r="O22" s="6" t="s">
        <v>578</v>
      </c>
      <c r="P22" s="6" t="s">
        <v>1583</v>
      </c>
      <c r="Q22" s="6" t="s">
        <v>1582</v>
      </c>
      <c r="S22" s="6"/>
      <c r="T22" s="6"/>
    </row>
    <row r="23" spans="1:20" x14ac:dyDescent="0.25">
      <c r="A23" s="5" t="s">
        <v>1441</v>
      </c>
      <c r="B23" s="5" t="str">
        <f t="shared" si="1"/>
        <v>00022094985K1</v>
      </c>
      <c r="C23" s="6" t="s">
        <v>667</v>
      </c>
      <c r="D23" s="6" t="s">
        <v>429</v>
      </c>
      <c r="E23" s="10">
        <v>7470776</v>
      </c>
      <c r="F23" s="6" t="s">
        <v>149</v>
      </c>
      <c r="G23" s="6" t="s">
        <v>49</v>
      </c>
      <c r="H23" s="6" t="s">
        <v>592</v>
      </c>
      <c r="I23" s="7">
        <v>45597</v>
      </c>
      <c r="J23" s="8">
        <v>1</v>
      </c>
      <c r="K23" s="8">
        <v>1</v>
      </c>
      <c r="L23" s="6"/>
      <c r="M23" s="9">
        <v>1</v>
      </c>
      <c r="N23" s="8">
        <v>25.5</v>
      </c>
      <c r="O23" s="6" t="s">
        <v>578</v>
      </c>
      <c r="P23" s="6" t="s">
        <v>1583</v>
      </c>
      <c r="Q23" s="6" t="s">
        <v>1582</v>
      </c>
      <c r="S23" s="6"/>
      <c r="T23" s="6"/>
    </row>
    <row r="24" spans="1:20" x14ac:dyDescent="0.25">
      <c r="A24" s="5" t="s">
        <v>1443</v>
      </c>
      <c r="B24" s="5" t="str">
        <f t="shared" si="1"/>
        <v>00022095955K1</v>
      </c>
      <c r="C24" s="6" t="s">
        <v>669</v>
      </c>
      <c r="D24" s="6" t="s">
        <v>429</v>
      </c>
      <c r="E24" s="10">
        <v>7470776</v>
      </c>
      <c r="F24" s="6" t="s">
        <v>149</v>
      </c>
      <c r="G24" s="6" t="s">
        <v>49</v>
      </c>
      <c r="H24" s="6" t="s">
        <v>592</v>
      </c>
      <c r="I24" s="7">
        <v>45597</v>
      </c>
      <c r="J24" s="8">
        <v>1</v>
      </c>
      <c r="K24" s="8">
        <v>1</v>
      </c>
      <c r="L24" s="6"/>
      <c r="M24" s="9">
        <v>1</v>
      </c>
      <c r="N24" s="8">
        <v>25.5</v>
      </c>
      <c r="O24" s="6" t="s">
        <v>578</v>
      </c>
      <c r="P24" s="6" t="s">
        <v>1583</v>
      </c>
      <c r="Q24" s="6" t="s">
        <v>1582</v>
      </c>
      <c r="S24" s="6"/>
      <c r="T24" s="6"/>
    </row>
    <row r="25" spans="1:20" x14ac:dyDescent="0.25">
      <c r="A25" s="5" t="s">
        <v>1444</v>
      </c>
      <c r="B25" s="5" t="str">
        <f t="shared" si="1"/>
        <v>00022096948K1</v>
      </c>
      <c r="C25" s="6" t="s">
        <v>670</v>
      </c>
      <c r="D25" s="6" t="s">
        <v>429</v>
      </c>
      <c r="E25" s="10">
        <v>7470776</v>
      </c>
      <c r="F25" s="6" t="s">
        <v>149</v>
      </c>
      <c r="G25" s="6" t="s">
        <v>49</v>
      </c>
      <c r="H25" s="6" t="s">
        <v>592</v>
      </c>
      <c r="I25" s="7">
        <v>45597</v>
      </c>
      <c r="J25" s="8">
        <v>1</v>
      </c>
      <c r="K25" s="8">
        <v>1</v>
      </c>
      <c r="L25" s="6"/>
      <c r="M25" s="9">
        <v>1</v>
      </c>
      <c r="N25" s="8">
        <v>25.5</v>
      </c>
      <c r="O25" s="6" t="s">
        <v>578</v>
      </c>
      <c r="P25" s="6" t="s">
        <v>1583</v>
      </c>
      <c r="Q25" s="6" t="s">
        <v>1582</v>
      </c>
      <c r="S25" s="6"/>
      <c r="T25" s="6"/>
    </row>
    <row r="26" spans="1:20" x14ac:dyDescent="0.25">
      <c r="A26" s="5" t="s">
        <v>1445</v>
      </c>
      <c r="B26" s="5" t="str">
        <f t="shared" si="1"/>
        <v>00022097947K1</v>
      </c>
      <c r="C26" s="6" t="s">
        <v>671</v>
      </c>
      <c r="D26" s="6" t="s">
        <v>429</v>
      </c>
      <c r="E26" s="10">
        <v>7470776</v>
      </c>
      <c r="F26" s="6" t="s">
        <v>149</v>
      </c>
      <c r="G26" s="6" t="s">
        <v>49</v>
      </c>
      <c r="H26" s="6" t="s">
        <v>592</v>
      </c>
      <c r="I26" s="7">
        <v>45597</v>
      </c>
      <c r="J26" s="8">
        <v>1</v>
      </c>
      <c r="K26" s="8">
        <v>1</v>
      </c>
      <c r="L26" s="6"/>
      <c r="M26" s="9">
        <v>1</v>
      </c>
      <c r="N26" s="8">
        <v>25.5</v>
      </c>
      <c r="O26" s="6" t="s">
        <v>578</v>
      </c>
      <c r="P26" s="6" t="s">
        <v>1583</v>
      </c>
      <c r="Q26" s="6" t="s">
        <v>1582</v>
      </c>
      <c r="S26" s="6"/>
      <c r="T26" s="6"/>
    </row>
    <row r="27" spans="1:20" x14ac:dyDescent="0.25">
      <c r="A27" s="5" t="s">
        <v>1357</v>
      </c>
      <c r="B27" s="5" t="str">
        <f t="shared" si="1"/>
        <v>00020054580K1</v>
      </c>
      <c r="C27" s="6" t="s">
        <v>576</v>
      </c>
      <c r="D27" s="6" t="s">
        <v>429</v>
      </c>
      <c r="E27" s="10">
        <v>7470776</v>
      </c>
      <c r="F27" s="6" t="s">
        <v>149</v>
      </c>
      <c r="G27" s="6" t="s">
        <v>49</v>
      </c>
      <c r="H27" s="6" t="s">
        <v>577</v>
      </c>
      <c r="I27" s="7">
        <v>45505</v>
      </c>
      <c r="J27" s="8">
        <v>1</v>
      </c>
      <c r="K27" s="8">
        <v>1</v>
      </c>
      <c r="L27" s="6"/>
      <c r="M27" s="9">
        <v>1</v>
      </c>
      <c r="N27" s="8">
        <v>25.5</v>
      </c>
      <c r="O27" s="6" t="s">
        <v>578</v>
      </c>
      <c r="P27" s="6" t="s">
        <v>1583</v>
      </c>
      <c r="Q27" s="6" t="s">
        <v>1582</v>
      </c>
      <c r="S27" s="6"/>
      <c r="T27" s="6"/>
    </row>
    <row r="28" spans="1:20" x14ac:dyDescent="0.25">
      <c r="A28" s="5" t="s">
        <v>1384</v>
      </c>
      <c r="B28" s="5" t="str">
        <f t="shared" si="1"/>
        <v>00021884516K1</v>
      </c>
      <c r="C28" s="6" t="s">
        <v>609</v>
      </c>
      <c r="D28" s="6" t="s">
        <v>429</v>
      </c>
      <c r="E28" s="10">
        <v>7470776</v>
      </c>
      <c r="F28" s="6" t="s">
        <v>149</v>
      </c>
      <c r="G28" s="6" t="s">
        <v>49</v>
      </c>
      <c r="H28" s="6" t="s">
        <v>577</v>
      </c>
      <c r="I28" s="7">
        <v>45474</v>
      </c>
      <c r="J28" s="8">
        <v>1</v>
      </c>
      <c r="K28" s="8">
        <v>1</v>
      </c>
      <c r="L28" s="6"/>
      <c r="M28" s="9">
        <v>1</v>
      </c>
      <c r="N28" s="8">
        <v>25.5</v>
      </c>
      <c r="O28" s="6" t="s">
        <v>578</v>
      </c>
      <c r="P28" s="6" t="s">
        <v>1583</v>
      </c>
      <c r="Q28" s="6" t="s">
        <v>1582</v>
      </c>
      <c r="S28" s="6"/>
      <c r="T28" s="6"/>
    </row>
    <row r="29" spans="1:20" x14ac:dyDescent="0.25">
      <c r="A29" s="5" t="s">
        <v>1375</v>
      </c>
      <c r="B29" s="5" t="str">
        <f t="shared" si="1"/>
        <v>00021853815K1</v>
      </c>
      <c r="C29" s="6" t="s">
        <v>599</v>
      </c>
      <c r="D29" s="6" t="s">
        <v>429</v>
      </c>
      <c r="E29" s="10">
        <v>7146581</v>
      </c>
      <c r="F29" s="6" t="s">
        <v>124</v>
      </c>
      <c r="G29" s="6" t="s">
        <v>49</v>
      </c>
      <c r="H29" s="6" t="s">
        <v>592</v>
      </c>
      <c r="I29" s="7">
        <v>45474</v>
      </c>
      <c r="J29" s="8">
        <v>1</v>
      </c>
      <c r="K29" s="8">
        <v>1</v>
      </c>
      <c r="L29" s="6"/>
      <c r="M29" s="9">
        <v>1</v>
      </c>
      <c r="N29" s="8">
        <v>25.5</v>
      </c>
      <c r="O29" s="6" t="s">
        <v>578</v>
      </c>
      <c r="P29" s="6" t="s">
        <v>1583</v>
      </c>
      <c r="Q29" s="6" t="s">
        <v>1582</v>
      </c>
      <c r="S29" s="6"/>
      <c r="T29" s="6"/>
    </row>
    <row r="30" spans="1:20" x14ac:dyDescent="0.25">
      <c r="A30" s="5" t="s">
        <v>1373</v>
      </c>
      <c r="B30" s="5" t="str">
        <f t="shared" si="1"/>
        <v>00021852153K1</v>
      </c>
      <c r="C30" s="6" t="s">
        <v>596</v>
      </c>
      <c r="D30" s="6" t="s">
        <v>429</v>
      </c>
      <c r="E30" s="10">
        <v>7146581</v>
      </c>
      <c r="F30" s="6" t="s">
        <v>124</v>
      </c>
      <c r="G30" s="6" t="s">
        <v>49</v>
      </c>
      <c r="H30" s="6" t="s">
        <v>597</v>
      </c>
      <c r="I30" s="7">
        <v>45474</v>
      </c>
      <c r="J30" s="8">
        <v>1</v>
      </c>
      <c r="K30" s="8">
        <v>1</v>
      </c>
      <c r="L30" s="6"/>
      <c r="M30" s="9">
        <v>1</v>
      </c>
      <c r="N30" s="8">
        <v>25.5</v>
      </c>
      <c r="O30" s="6" t="s">
        <v>578</v>
      </c>
      <c r="P30" s="6" t="s">
        <v>1583</v>
      </c>
      <c r="Q30" s="6" t="s">
        <v>1582</v>
      </c>
      <c r="S30" s="6"/>
      <c r="T30" s="6"/>
    </row>
    <row r="31" spans="1:20" x14ac:dyDescent="0.25">
      <c r="A31" s="5" t="s">
        <v>1374</v>
      </c>
      <c r="B31" s="5" t="str">
        <f t="shared" si="1"/>
        <v>00021853327K1</v>
      </c>
      <c r="C31" s="6" t="s">
        <v>598</v>
      </c>
      <c r="D31" s="6" t="s">
        <v>429</v>
      </c>
      <c r="E31" s="10">
        <v>8814784</v>
      </c>
      <c r="F31" s="6" t="s">
        <v>230</v>
      </c>
      <c r="G31" s="6" t="s">
        <v>49</v>
      </c>
      <c r="H31" s="6" t="s">
        <v>592</v>
      </c>
      <c r="I31" s="7">
        <v>45474</v>
      </c>
      <c r="J31" s="8">
        <v>1</v>
      </c>
      <c r="K31" s="8">
        <v>1</v>
      </c>
      <c r="L31" s="6"/>
      <c r="M31" s="9">
        <v>1</v>
      </c>
      <c r="N31" s="8">
        <v>25.5</v>
      </c>
      <c r="O31" s="6" t="s">
        <v>578</v>
      </c>
      <c r="P31" s="6" t="s">
        <v>1583</v>
      </c>
      <c r="Q31" s="6" t="s">
        <v>1582</v>
      </c>
      <c r="S31" s="6"/>
      <c r="T31" s="6"/>
    </row>
    <row r="32" spans="1:20" x14ac:dyDescent="0.25">
      <c r="A32" s="5" t="s">
        <v>1369</v>
      </c>
      <c r="B32" s="5" t="str">
        <f t="shared" si="1"/>
        <v>00021812164K1</v>
      </c>
      <c r="C32" s="6" t="s">
        <v>591</v>
      </c>
      <c r="D32" s="6" t="s">
        <v>429</v>
      </c>
      <c r="E32" s="10">
        <v>9213293</v>
      </c>
      <c r="F32" s="6" t="s">
        <v>105</v>
      </c>
      <c r="G32" s="6" t="s">
        <v>49</v>
      </c>
      <c r="H32" s="6" t="s">
        <v>592</v>
      </c>
      <c r="I32" s="7">
        <v>45444</v>
      </c>
      <c r="J32" s="8">
        <v>1</v>
      </c>
      <c r="K32" s="8">
        <v>1</v>
      </c>
      <c r="L32" s="6"/>
      <c r="M32" s="9">
        <v>1</v>
      </c>
      <c r="N32" s="8">
        <v>25.5</v>
      </c>
      <c r="O32" s="6" t="s">
        <v>578</v>
      </c>
      <c r="P32" s="6" t="s">
        <v>1583</v>
      </c>
      <c r="Q32" s="6" t="s">
        <v>1582</v>
      </c>
      <c r="S32" s="6"/>
      <c r="T32" s="6"/>
    </row>
    <row r="33" spans="1:20" x14ac:dyDescent="0.25">
      <c r="A33" s="5" t="s">
        <v>1370</v>
      </c>
      <c r="B33" s="5" t="str">
        <f t="shared" si="1"/>
        <v>00021819613K1</v>
      </c>
      <c r="C33" s="6" t="s">
        <v>593</v>
      </c>
      <c r="D33" s="6" t="s">
        <v>429</v>
      </c>
      <c r="E33" s="10">
        <v>8244481</v>
      </c>
      <c r="F33" s="6" t="s">
        <v>410</v>
      </c>
      <c r="G33" s="6" t="s">
        <v>49</v>
      </c>
      <c r="H33" s="6" t="s">
        <v>592</v>
      </c>
      <c r="I33" s="7">
        <v>45444</v>
      </c>
      <c r="J33" s="8">
        <v>1</v>
      </c>
      <c r="K33" s="8">
        <v>1</v>
      </c>
      <c r="L33" s="6"/>
      <c r="M33" s="9">
        <v>1</v>
      </c>
      <c r="N33" s="8">
        <v>25.5</v>
      </c>
      <c r="O33" s="6" t="s">
        <v>578</v>
      </c>
      <c r="P33" s="6" t="s">
        <v>1583</v>
      </c>
      <c r="Q33" s="6" t="s">
        <v>1582</v>
      </c>
      <c r="S33" s="6"/>
      <c r="T33" s="6"/>
    </row>
    <row r="34" spans="1:20" x14ac:dyDescent="0.25">
      <c r="A34" s="5" t="s">
        <v>1376</v>
      </c>
      <c r="B34" s="5" t="str">
        <f t="shared" si="1"/>
        <v>00021859258K1</v>
      </c>
      <c r="C34" s="6" t="s">
        <v>600</v>
      </c>
      <c r="D34" s="6" t="s">
        <v>429</v>
      </c>
      <c r="E34" s="10">
        <v>19200754</v>
      </c>
      <c r="F34" s="6" t="s">
        <v>601</v>
      </c>
      <c r="G34" s="6" t="s">
        <v>49</v>
      </c>
      <c r="H34" s="6" t="s">
        <v>592</v>
      </c>
      <c r="I34" s="7">
        <v>45474</v>
      </c>
      <c r="J34" s="8">
        <v>1</v>
      </c>
      <c r="K34" s="8">
        <v>1</v>
      </c>
      <c r="L34" s="6"/>
      <c r="M34" s="9">
        <v>1</v>
      </c>
      <c r="N34" s="8">
        <v>25.5</v>
      </c>
      <c r="O34" s="6" t="s">
        <v>578</v>
      </c>
      <c r="P34" s="6" t="s">
        <v>1583</v>
      </c>
      <c r="Q34" s="6" t="s">
        <v>1582</v>
      </c>
      <c r="S34" s="6"/>
      <c r="T34" s="6"/>
    </row>
    <row r="35" spans="1:20" x14ac:dyDescent="0.25">
      <c r="A35" s="5">
        <v>133726021</v>
      </c>
      <c r="B35" s="5" t="str">
        <f>CONCATENATE(A35,11)</f>
        <v>13372602111</v>
      </c>
      <c r="C35" s="6" t="s">
        <v>316</v>
      </c>
      <c r="D35" s="6" t="s">
        <v>202</v>
      </c>
      <c r="E35" s="10" t="s">
        <v>1640</v>
      </c>
      <c r="F35" s="6" t="s">
        <v>307</v>
      </c>
      <c r="G35" s="6" t="s">
        <v>49</v>
      </c>
      <c r="H35" s="6" t="s">
        <v>317</v>
      </c>
      <c r="I35" s="7">
        <v>46054</v>
      </c>
      <c r="J35" s="8">
        <v>0</v>
      </c>
      <c r="K35" s="8">
        <v>358.42</v>
      </c>
      <c r="L35" s="6">
        <v>1</v>
      </c>
      <c r="M35" s="9">
        <v>1</v>
      </c>
      <c r="N35" s="8">
        <v>358.42</v>
      </c>
      <c r="O35" s="6" t="s">
        <v>245</v>
      </c>
      <c r="P35" s="6" t="s">
        <v>1618</v>
      </c>
      <c r="Q35" s="6" t="s">
        <v>1619</v>
      </c>
      <c r="S35" s="6"/>
      <c r="T35" s="6"/>
    </row>
    <row r="36" spans="1:20" x14ac:dyDescent="0.25">
      <c r="A36" s="5" t="s">
        <v>1548</v>
      </c>
      <c r="B36" s="5" t="str">
        <f t="shared" ref="B36:B67" si="2">CONCATENATE(A36,1)</f>
        <v>A041727081</v>
      </c>
      <c r="C36" s="6" t="s">
        <v>1227</v>
      </c>
      <c r="D36" s="6" t="s">
        <v>451</v>
      </c>
      <c r="E36" s="10">
        <v>9213293</v>
      </c>
      <c r="F36" s="6" t="s">
        <v>105</v>
      </c>
      <c r="G36" s="6" t="s">
        <v>49</v>
      </c>
      <c r="H36" s="6" t="s">
        <v>1228</v>
      </c>
      <c r="I36" s="7">
        <v>45658</v>
      </c>
      <c r="J36" s="8">
        <v>1</v>
      </c>
      <c r="K36" s="8">
        <v>1</v>
      </c>
      <c r="L36" s="6"/>
      <c r="M36" s="9">
        <v>1</v>
      </c>
      <c r="N36" s="8">
        <v>31.02</v>
      </c>
      <c r="O36" s="6" t="s">
        <v>1148</v>
      </c>
      <c r="P36" s="6" t="s">
        <v>1590</v>
      </c>
      <c r="Q36" s="6"/>
      <c r="R36" s="6"/>
      <c r="S36" s="6"/>
      <c r="T36" s="6"/>
    </row>
    <row r="37" spans="1:20" x14ac:dyDescent="0.25">
      <c r="A37" s="5" t="s">
        <v>1488</v>
      </c>
      <c r="B37" s="5" t="str">
        <f t="shared" si="2"/>
        <v>A028838851</v>
      </c>
      <c r="C37" s="6" t="s">
        <v>1149</v>
      </c>
      <c r="D37" s="6" t="s">
        <v>345</v>
      </c>
      <c r="E37" s="10">
        <v>9079571</v>
      </c>
      <c r="F37" s="6" t="s">
        <v>1085</v>
      </c>
      <c r="G37" s="6" t="s">
        <v>49</v>
      </c>
      <c r="H37" s="6" t="s">
        <v>1150</v>
      </c>
      <c r="I37" s="7">
        <v>45962</v>
      </c>
      <c r="J37" s="8">
        <v>1</v>
      </c>
      <c r="K37" s="8">
        <v>1</v>
      </c>
      <c r="L37" s="6"/>
      <c r="M37" s="9">
        <v>1</v>
      </c>
      <c r="N37" s="8">
        <v>27</v>
      </c>
      <c r="O37" s="6" t="s">
        <v>1148</v>
      </c>
      <c r="P37" s="6" t="s">
        <v>1584</v>
      </c>
      <c r="Q37" s="6"/>
      <c r="R37" s="6"/>
      <c r="S37" s="6"/>
      <c r="T37" s="6"/>
    </row>
    <row r="38" spans="1:20" x14ac:dyDescent="0.25">
      <c r="A38" s="5" t="s">
        <v>1345</v>
      </c>
      <c r="B38" s="5" t="str">
        <f t="shared" si="2"/>
        <v>A044190141</v>
      </c>
      <c r="C38" s="6" t="s">
        <v>479</v>
      </c>
      <c r="D38" s="6" t="s">
        <v>287</v>
      </c>
      <c r="E38" s="10">
        <v>17425766</v>
      </c>
      <c r="F38" s="6" t="s">
        <v>86</v>
      </c>
      <c r="G38" s="6" t="s">
        <v>49</v>
      </c>
      <c r="H38" s="6" t="s">
        <v>480</v>
      </c>
      <c r="I38" s="7">
        <v>46113</v>
      </c>
      <c r="J38" s="8">
        <v>0</v>
      </c>
      <c r="K38" s="8">
        <v>9.83</v>
      </c>
      <c r="L38" s="6">
        <v>9</v>
      </c>
      <c r="M38" s="9">
        <v>1</v>
      </c>
      <c r="N38" s="8">
        <v>88.47</v>
      </c>
      <c r="O38" s="6"/>
      <c r="P38" s="6" t="s">
        <v>480</v>
      </c>
      <c r="Q38" s="6"/>
      <c r="R38" s="6"/>
      <c r="S38" s="6"/>
      <c r="T38" s="6"/>
    </row>
    <row r="39" spans="1:20" x14ac:dyDescent="0.25">
      <c r="A39" s="5" t="s">
        <v>1347</v>
      </c>
      <c r="B39" s="5" t="str">
        <f t="shared" si="2"/>
        <v>A044207141</v>
      </c>
      <c r="C39" s="6" t="s">
        <v>487</v>
      </c>
      <c r="D39" s="6" t="s">
        <v>202</v>
      </c>
      <c r="E39" s="10">
        <v>18598357</v>
      </c>
      <c r="F39" s="6" t="s">
        <v>347</v>
      </c>
      <c r="G39" s="6" t="s">
        <v>49</v>
      </c>
      <c r="H39" s="6" t="s">
        <v>488</v>
      </c>
      <c r="I39" s="7">
        <v>46054</v>
      </c>
      <c r="J39" s="8">
        <v>0</v>
      </c>
      <c r="K39" s="8">
        <v>4.92</v>
      </c>
      <c r="L39" s="6">
        <v>9</v>
      </c>
      <c r="M39" s="9">
        <v>1</v>
      </c>
      <c r="N39" s="8">
        <v>44.28</v>
      </c>
      <c r="O39" s="6"/>
      <c r="P39" s="6" t="s">
        <v>488</v>
      </c>
      <c r="Q39" s="6"/>
      <c r="R39" s="6"/>
      <c r="S39" s="6"/>
      <c r="T39" s="6"/>
    </row>
    <row r="40" spans="1:20" x14ac:dyDescent="0.25">
      <c r="A40" s="5" t="s">
        <v>1344</v>
      </c>
      <c r="B40" s="5" t="str">
        <f t="shared" si="2"/>
        <v>A044182141</v>
      </c>
      <c r="C40" s="6" t="s">
        <v>477</v>
      </c>
      <c r="D40" s="6" t="s">
        <v>55</v>
      </c>
      <c r="E40" s="10">
        <v>8814784</v>
      </c>
      <c r="F40" s="6" t="s">
        <v>230</v>
      </c>
      <c r="G40" s="6" t="s">
        <v>49</v>
      </c>
      <c r="H40" s="6" t="s">
        <v>467</v>
      </c>
      <c r="I40" s="7">
        <v>46054</v>
      </c>
      <c r="J40" s="8">
        <v>0</v>
      </c>
      <c r="K40" s="8">
        <v>31.5</v>
      </c>
      <c r="L40" s="6">
        <v>9</v>
      </c>
      <c r="M40" s="9">
        <v>1</v>
      </c>
      <c r="N40" s="8">
        <v>283.5</v>
      </c>
      <c r="O40" s="6"/>
      <c r="P40" s="6" t="s">
        <v>467</v>
      </c>
      <c r="Q40" s="6"/>
      <c r="R40" s="6"/>
      <c r="S40" s="6"/>
      <c r="T40" s="6"/>
    </row>
    <row r="41" spans="1:20" x14ac:dyDescent="0.25">
      <c r="A41" s="5" t="s">
        <v>1340</v>
      </c>
      <c r="B41" s="5" t="str">
        <f t="shared" si="2"/>
        <v>A044155101</v>
      </c>
      <c r="C41" s="6" t="s">
        <v>466</v>
      </c>
      <c r="D41" s="6" t="s">
        <v>74</v>
      </c>
      <c r="E41" s="10">
        <v>18142208</v>
      </c>
      <c r="F41" s="6" t="s">
        <v>76</v>
      </c>
      <c r="G41" s="6" t="s">
        <v>49</v>
      </c>
      <c r="H41" s="6" t="s">
        <v>467</v>
      </c>
      <c r="I41" s="7">
        <v>46054</v>
      </c>
      <c r="J41" s="8">
        <v>0</v>
      </c>
      <c r="K41" s="8">
        <v>31.5</v>
      </c>
      <c r="L41" s="6">
        <v>9</v>
      </c>
      <c r="M41" s="9">
        <v>1</v>
      </c>
      <c r="N41" s="8">
        <v>283.5</v>
      </c>
      <c r="O41" s="6"/>
      <c r="P41" s="6" t="s">
        <v>467</v>
      </c>
      <c r="Q41" s="6"/>
      <c r="R41" s="6"/>
      <c r="S41" s="6"/>
      <c r="T41" s="6"/>
    </row>
    <row r="42" spans="1:20" x14ac:dyDescent="0.25">
      <c r="A42" s="5" t="s">
        <v>1341</v>
      </c>
      <c r="B42" s="5" t="str">
        <f t="shared" si="2"/>
        <v>A044171941</v>
      </c>
      <c r="C42" s="6" t="s">
        <v>469</v>
      </c>
      <c r="D42" s="6" t="s">
        <v>470</v>
      </c>
      <c r="E42" s="10">
        <v>16509456</v>
      </c>
      <c r="F42" s="6" t="s">
        <v>99</v>
      </c>
      <c r="G42" s="6" t="s">
        <v>49</v>
      </c>
      <c r="H42" s="6" t="s">
        <v>467</v>
      </c>
      <c r="I42" s="7">
        <v>46054</v>
      </c>
      <c r="J42" s="8">
        <v>0</v>
      </c>
      <c r="K42" s="8">
        <v>31.5</v>
      </c>
      <c r="L42" s="6">
        <v>9</v>
      </c>
      <c r="M42" s="9">
        <v>1</v>
      </c>
      <c r="N42" s="8">
        <v>283.5</v>
      </c>
      <c r="O42" s="6"/>
      <c r="P42" s="6" t="s">
        <v>467</v>
      </c>
      <c r="Q42" s="6"/>
      <c r="R42" s="6"/>
      <c r="S42" s="6"/>
      <c r="T42" s="6"/>
    </row>
    <row r="43" spans="1:20" x14ac:dyDescent="0.25">
      <c r="A43" s="5" t="s">
        <v>1342</v>
      </c>
      <c r="B43" s="5" t="str">
        <f t="shared" si="2"/>
        <v>A044172091</v>
      </c>
      <c r="C43" s="6" t="s">
        <v>472</v>
      </c>
      <c r="D43" s="6" t="s">
        <v>470</v>
      </c>
      <c r="E43" s="10">
        <v>16509456</v>
      </c>
      <c r="F43" s="6" t="s">
        <v>99</v>
      </c>
      <c r="G43" s="6" t="s">
        <v>49</v>
      </c>
      <c r="H43" s="6" t="s">
        <v>467</v>
      </c>
      <c r="I43" s="7">
        <v>46054</v>
      </c>
      <c r="J43" s="8">
        <v>0</v>
      </c>
      <c r="K43" s="8">
        <v>31.5</v>
      </c>
      <c r="L43" s="6">
        <v>9</v>
      </c>
      <c r="M43" s="9">
        <v>1</v>
      </c>
      <c r="N43" s="8">
        <v>283.5</v>
      </c>
      <c r="O43" s="6"/>
      <c r="P43" s="6" t="s">
        <v>467</v>
      </c>
      <c r="Q43" s="6"/>
      <c r="R43" s="6"/>
      <c r="S43" s="6"/>
      <c r="T43" s="6"/>
    </row>
    <row r="44" spans="1:20" x14ac:dyDescent="0.25">
      <c r="A44" s="5" t="s">
        <v>1346</v>
      </c>
      <c r="B44" s="5" t="str">
        <f t="shared" si="2"/>
        <v>A044197031</v>
      </c>
      <c r="C44" s="6" t="s">
        <v>482</v>
      </c>
      <c r="D44" s="6" t="s">
        <v>461</v>
      </c>
      <c r="E44" s="10">
        <v>16865615</v>
      </c>
      <c r="F44" s="6" t="s">
        <v>484</v>
      </c>
      <c r="G44" s="6" t="s">
        <v>49</v>
      </c>
      <c r="H44" s="6" t="s">
        <v>485</v>
      </c>
      <c r="I44" s="7">
        <v>46082</v>
      </c>
      <c r="J44" s="8">
        <v>0</v>
      </c>
      <c r="K44" s="8">
        <v>21</v>
      </c>
      <c r="L44" s="6">
        <v>9</v>
      </c>
      <c r="M44" s="9">
        <v>1</v>
      </c>
      <c r="N44" s="8">
        <v>189</v>
      </c>
      <c r="O44" s="6"/>
      <c r="P44" s="6" t="s">
        <v>485</v>
      </c>
      <c r="Q44" s="6"/>
      <c r="R44" s="6"/>
      <c r="S44" s="6"/>
      <c r="T44" s="6"/>
    </row>
    <row r="45" spans="1:20" x14ac:dyDescent="0.25">
      <c r="A45" s="5" t="s">
        <v>1343</v>
      </c>
      <c r="B45" s="5" t="str">
        <f t="shared" si="2"/>
        <v>A044180531</v>
      </c>
      <c r="C45" s="6" t="s">
        <v>474</v>
      </c>
      <c r="D45" s="6" t="s">
        <v>202</v>
      </c>
      <c r="E45" s="10">
        <v>21618313</v>
      </c>
      <c r="F45" s="6" t="s">
        <v>282</v>
      </c>
      <c r="G45" s="6" t="s">
        <v>49</v>
      </c>
      <c r="H45" s="6" t="s">
        <v>475</v>
      </c>
      <c r="I45" s="7">
        <v>46113</v>
      </c>
      <c r="J45" s="8">
        <v>0</v>
      </c>
      <c r="K45" s="8">
        <v>36</v>
      </c>
      <c r="L45" s="6">
        <v>9</v>
      </c>
      <c r="M45" s="9">
        <v>1</v>
      </c>
      <c r="N45" s="8">
        <v>324</v>
      </c>
      <c r="O45" s="6"/>
      <c r="P45" s="6" t="s">
        <v>475</v>
      </c>
      <c r="Q45" s="6"/>
      <c r="R45" s="6"/>
      <c r="S45" s="6"/>
      <c r="T45" s="6"/>
    </row>
    <row r="46" spans="1:20" x14ac:dyDescent="0.25">
      <c r="A46" s="5" t="s">
        <v>1561</v>
      </c>
      <c r="B46" s="5" t="str">
        <f t="shared" si="2"/>
        <v>A041993091</v>
      </c>
      <c r="C46" s="6" t="s">
        <v>1243</v>
      </c>
      <c r="D46" s="6" t="s">
        <v>202</v>
      </c>
      <c r="E46" s="10">
        <v>19278370</v>
      </c>
      <c r="F46" s="6" t="s">
        <v>965</v>
      </c>
      <c r="G46" s="6" t="s">
        <v>49</v>
      </c>
      <c r="H46" s="6" t="s">
        <v>1244</v>
      </c>
      <c r="I46" s="7">
        <v>45689</v>
      </c>
      <c r="J46" s="8">
        <v>1</v>
      </c>
      <c r="K46" s="8">
        <v>1</v>
      </c>
      <c r="L46" s="6"/>
      <c r="M46" s="9">
        <v>1</v>
      </c>
      <c r="N46" s="8">
        <v>29.52</v>
      </c>
      <c r="O46" s="6" t="s">
        <v>1148</v>
      </c>
      <c r="P46" s="6" t="s">
        <v>1601</v>
      </c>
      <c r="Q46" s="6"/>
      <c r="R46" s="6"/>
      <c r="S46" s="6"/>
      <c r="T46" s="6"/>
    </row>
    <row r="47" spans="1:20" x14ac:dyDescent="0.25">
      <c r="A47" s="5" t="s">
        <v>1562</v>
      </c>
      <c r="B47" s="5" t="str">
        <f t="shared" si="2"/>
        <v>A041993121</v>
      </c>
      <c r="C47" s="6" t="s">
        <v>1245</v>
      </c>
      <c r="D47" s="6" t="s">
        <v>202</v>
      </c>
      <c r="E47" s="10">
        <v>19278370</v>
      </c>
      <c r="F47" s="6" t="s">
        <v>965</v>
      </c>
      <c r="G47" s="6" t="s">
        <v>49</v>
      </c>
      <c r="H47" s="6" t="s">
        <v>1244</v>
      </c>
      <c r="I47" s="7">
        <v>45689</v>
      </c>
      <c r="J47" s="8">
        <v>1</v>
      </c>
      <c r="K47" s="8">
        <v>1</v>
      </c>
      <c r="L47" s="6"/>
      <c r="M47" s="9">
        <v>1</v>
      </c>
      <c r="N47" s="8">
        <v>29.52</v>
      </c>
      <c r="O47" s="6" t="s">
        <v>1148</v>
      </c>
      <c r="P47" s="6" t="s">
        <v>1601</v>
      </c>
      <c r="Q47" s="6"/>
      <c r="R47" s="6"/>
      <c r="S47" s="6"/>
      <c r="T47" s="6"/>
    </row>
    <row r="48" spans="1:20" x14ac:dyDescent="0.25">
      <c r="A48" s="5" t="s">
        <v>1487</v>
      </c>
      <c r="B48" s="5" t="str">
        <f t="shared" si="2"/>
        <v>A028245411</v>
      </c>
      <c r="C48" s="6" t="s">
        <v>1146</v>
      </c>
      <c r="D48" s="6" t="s">
        <v>233</v>
      </c>
      <c r="E48" s="10">
        <v>8325282</v>
      </c>
      <c r="F48" s="6" t="s">
        <v>243</v>
      </c>
      <c r="G48" s="6" t="s">
        <v>49</v>
      </c>
      <c r="H48" s="6" t="s">
        <v>1147</v>
      </c>
      <c r="I48" s="7">
        <v>45658</v>
      </c>
      <c r="J48" s="8">
        <v>1</v>
      </c>
      <c r="K48" s="8">
        <v>1</v>
      </c>
      <c r="L48" s="6"/>
      <c r="M48" s="9">
        <v>1</v>
      </c>
      <c r="N48" s="8">
        <v>25.02</v>
      </c>
      <c r="O48" s="6" t="s">
        <v>1148</v>
      </c>
      <c r="P48" s="6" t="s">
        <v>1147</v>
      </c>
      <c r="Q48" s="6"/>
      <c r="R48" s="6"/>
      <c r="S48" s="6"/>
      <c r="T48" s="6"/>
    </row>
    <row r="49" spans="1:20" x14ac:dyDescent="0.25">
      <c r="A49" s="5" t="s">
        <v>1540</v>
      </c>
      <c r="B49" s="5" t="str">
        <f t="shared" si="2"/>
        <v>A041640041</v>
      </c>
      <c r="C49" s="6" t="s">
        <v>1217</v>
      </c>
      <c r="D49" s="6" t="s">
        <v>233</v>
      </c>
      <c r="E49" s="10">
        <v>8325282</v>
      </c>
      <c r="F49" s="6" t="s">
        <v>243</v>
      </c>
      <c r="G49" s="6" t="s">
        <v>49</v>
      </c>
      <c r="H49" s="6" t="s">
        <v>1147</v>
      </c>
      <c r="I49" s="7">
        <v>45658</v>
      </c>
      <c r="J49" s="8">
        <v>1</v>
      </c>
      <c r="K49" s="8">
        <v>1</v>
      </c>
      <c r="L49" s="6"/>
      <c r="M49" s="9">
        <v>1</v>
      </c>
      <c r="N49" s="8">
        <v>25.02</v>
      </c>
      <c r="O49" s="6" t="s">
        <v>1148</v>
      </c>
      <c r="P49" s="6" t="s">
        <v>1147</v>
      </c>
      <c r="Q49" s="6"/>
      <c r="R49" s="6"/>
      <c r="S49" s="6"/>
      <c r="T49" s="6"/>
    </row>
    <row r="50" spans="1:20" x14ac:dyDescent="0.25">
      <c r="A50" s="5" t="s">
        <v>1547</v>
      </c>
      <c r="B50" s="5" t="str">
        <f t="shared" si="2"/>
        <v>A041691151</v>
      </c>
      <c r="C50" s="6" t="s">
        <v>1225</v>
      </c>
      <c r="D50" s="6" t="s">
        <v>461</v>
      </c>
      <c r="E50" s="10">
        <v>16865615</v>
      </c>
      <c r="F50" s="6" t="s">
        <v>484</v>
      </c>
      <c r="G50" s="6" t="s">
        <v>49</v>
      </c>
      <c r="H50" s="6" t="s">
        <v>1226</v>
      </c>
      <c r="I50" s="7">
        <v>45627</v>
      </c>
      <c r="J50" s="8">
        <v>1</v>
      </c>
      <c r="K50" s="8">
        <v>1</v>
      </c>
      <c r="L50" s="6"/>
      <c r="M50" s="9">
        <v>1</v>
      </c>
      <c r="N50" s="8">
        <v>19.52</v>
      </c>
      <c r="O50" s="6" t="s">
        <v>1148</v>
      </c>
      <c r="P50" s="6" t="s">
        <v>1607</v>
      </c>
      <c r="Q50" s="6"/>
      <c r="R50" s="6"/>
      <c r="S50" s="6"/>
      <c r="T50" s="6"/>
    </row>
    <row r="51" spans="1:20" x14ac:dyDescent="0.25">
      <c r="A51" s="5" t="s">
        <v>1516</v>
      </c>
      <c r="B51" s="5" t="str">
        <f t="shared" si="2"/>
        <v>A041361481</v>
      </c>
      <c r="C51" s="6" t="s">
        <v>1193</v>
      </c>
      <c r="D51" s="6" t="s">
        <v>84</v>
      </c>
      <c r="E51" s="10">
        <v>17425766</v>
      </c>
      <c r="F51" s="6" t="s">
        <v>86</v>
      </c>
      <c r="G51" s="6" t="s">
        <v>49</v>
      </c>
      <c r="H51" s="6" t="s">
        <v>1194</v>
      </c>
      <c r="I51" s="7">
        <v>45658</v>
      </c>
      <c r="J51" s="8">
        <v>1</v>
      </c>
      <c r="K51" s="8">
        <v>1</v>
      </c>
      <c r="L51" s="6"/>
      <c r="M51" s="9">
        <v>1</v>
      </c>
      <c r="N51" s="8">
        <v>58.19</v>
      </c>
      <c r="O51" s="6" t="s">
        <v>1148</v>
      </c>
      <c r="P51" s="6" t="s">
        <v>1585</v>
      </c>
      <c r="Q51" s="6"/>
      <c r="R51" s="6"/>
      <c r="S51" s="6"/>
      <c r="T51" s="6"/>
    </row>
    <row r="52" spans="1:20" x14ac:dyDescent="0.25">
      <c r="A52" s="5" t="s">
        <v>1539</v>
      </c>
      <c r="B52" s="5" t="str">
        <f t="shared" si="2"/>
        <v>A041637271</v>
      </c>
      <c r="C52" s="6" t="s">
        <v>1216</v>
      </c>
      <c r="D52" s="6" t="s">
        <v>84</v>
      </c>
      <c r="E52" s="10">
        <v>17425766</v>
      </c>
      <c r="F52" s="6" t="s">
        <v>86</v>
      </c>
      <c r="G52" s="6" t="s">
        <v>49</v>
      </c>
      <c r="H52" s="6" t="s">
        <v>1194</v>
      </c>
      <c r="I52" s="7">
        <v>45658</v>
      </c>
      <c r="J52" s="8">
        <v>1</v>
      </c>
      <c r="K52" s="8">
        <v>1</v>
      </c>
      <c r="L52" s="6"/>
      <c r="M52" s="9">
        <v>1</v>
      </c>
      <c r="N52" s="8">
        <v>58.19</v>
      </c>
      <c r="O52" s="6" t="s">
        <v>1148</v>
      </c>
      <c r="P52" s="6" t="s">
        <v>1585</v>
      </c>
      <c r="Q52" s="6"/>
      <c r="R52" s="6"/>
      <c r="S52" s="6"/>
      <c r="T52" s="6"/>
    </row>
    <row r="53" spans="1:20" x14ac:dyDescent="0.25">
      <c r="A53" s="5" t="s">
        <v>1559</v>
      </c>
      <c r="B53" s="5" t="str">
        <f t="shared" si="2"/>
        <v>A041942791</v>
      </c>
      <c r="C53" s="6" t="s">
        <v>1241</v>
      </c>
      <c r="D53" s="6" t="s">
        <v>84</v>
      </c>
      <c r="E53" s="10">
        <v>19645587</v>
      </c>
      <c r="F53" s="6" t="s">
        <v>386</v>
      </c>
      <c r="G53" s="6" t="s">
        <v>49</v>
      </c>
      <c r="H53" s="6" t="s">
        <v>1194</v>
      </c>
      <c r="I53" s="7">
        <v>45658</v>
      </c>
      <c r="J53" s="8">
        <v>1</v>
      </c>
      <c r="K53" s="8">
        <v>1</v>
      </c>
      <c r="L53" s="6"/>
      <c r="M53" s="9">
        <v>1</v>
      </c>
      <c r="N53" s="8">
        <v>58.19</v>
      </c>
      <c r="O53" s="6" t="s">
        <v>1148</v>
      </c>
      <c r="P53" s="6" t="s">
        <v>1585</v>
      </c>
      <c r="Q53" s="6"/>
      <c r="R53" s="6"/>
      <c r="S53" s="6"/>
      <c r="T53" s="6"/>
    </row>
    <row r="54" spans="1:20" x14ac:dyDescent="0.25">
      <c r="A54" s="5" t="s">
        <v>1553</v>
      </c>
      <c r="B54" s="5" t="str">
        <f t="shared" si="2"/>
        <v>A041854041</v>
      </c>
      <c r="C54" s="6" t="s">
        <v>1234</v>
      </c>
      <c r="D54" s="6" t="s">
        <v>84</v>
      </c>
      <c r="E54" s="10">
        <v>19645587</v>
      </c>
      <c r="F54" s="6" t="s">
        <v>386</v>
      </c>
      <c r="G54" s="6" t="s">
        <v>49</v>
      </c>
      <c r="H54" s="6" t="s">
        <v>1235</v>
      </c>
      <c r="I54" s="7">
        <v>45658</v>
      </c>
      <c r="J54" s="8">
        <v>1</v>
      </c>
      <c r="K54" s="8">
        <v>1</v>
      </c>
      <c r="L54" s="6"/>
      <c r="M54" s="9">
        <v>1</v>
      </c>
      <c r="N54" s="8">
        <v>42.13</v>
      </c>
      <c r="O54" s="6" t="s">
        <v>1148</v>
      </c>
      <c r="P54" s="6" t="s">
        <v>1606</v>
      </c>
      <c r="Q54" s="6"/>
      <c r="R54" s="6"/>
      <c r="S54" s="6"/>
      <c r="T54" s="6"/>
    </row>
    <row r="55" spans="1:20" x14ac:dyDescent="0.25">
      <c r="A55" s="5" t="s">
        <v>1543</v>
      </c>
      <c r="B55" s="5" t="str">
        <f t="shared" si="2"/>
        <v>A041672961</v>
      </c>
      <c r="C55" s="6" t="s">
        <v>1220</v>
      </c>
      <c r="D55" s="6" t="s">
        <v>84</v>
      </c>
      <c r="E55" s="10">
        <v>19645587</v>
      </c>
      <c r="F55" s="6" t="s">
        <v>386</v>
      </c>
      <c r="G55" s="6" t="s">
        <v>49</v>
      </c>
      <c r="H55" s="6" t="s">
        <v>1221</v>
      </c>
      <c r="I55" s="7">
        <v>45658</v>
      </c>
      <c r="J55" s="8">
        <v>1</v>
      </c>
      <c r="K55" s="8">
        <v>1</v>
      </c>
      <c r="L55" s="6"/>
      <c r="M55" s="9">
        <v>1</v>
      </c>
      <c r="N55" s="8">
        <v>10.38</v>
      </c>
      <c r="O55" s="6" t="s">
        <v>1148</v>
      </c>
      <c r="P55" s="6" t="s">
        <v>1586</v>
      </c>
      <c r="Q55" s="6"/>
      <c r="R55" s="6"/>
      <c r="S55" s="6"/>
      <c r="T55" s="6"/>
    </row>
    <row r="56" spans="1:20" x14ac:dyDescent="0.25">
      <c r="A56" s="5" t="s">
        <v>1544</v>
      </c>
      <c r="B56" s="5" t="str">
        <f t="shared" si="2"/>
        <v>A041673511</v>
      </c>
      <c r="C56" s="6" t="s">
        <v>1222</v>
      </c>
      <c r="D56" s="6" t="s">
        <v>84</v>
      </c>
      <c r="E56" s="10">
        <v>19645587</v>
      </c>
      <c r="F56" s="6" t="s">
        <v>386</v>
      </c>
      <c r="G56" s="6" t="s">
        <v>49</v>
      </c>
      <c r="H56" s="6" t="s">
        <v>1221</v>
      </c>
      <c r="I56" s="7">
        <v>45658</v>
      </c>
      <c r="J56" s="8">
        <v>1</v>
      </c>
      <c r="K56" s="8">
        <v>1</v>
      </c>
      <c r="L56" s="6"/>
      <c r="M56" s="9">
        <v>1</v>
      </c>
      <c r="N56" s="8">
        <v>10.38</v>
      </c>
      <c r="O56" s="6" t="s">
        <v>1148</v>
      </c>
      <c r="P56" s="6" t="s">
        <v>1586</v>
      </c>
      <c r="Q56" s="6"/>
      <c r="R56" s="6"/>
      <c r="S56" s="6"/>
      <c r="T56" s="6"/>
    </row>
    <row r="57" spans="1:20" x14ac:dyDescent="0.25">
      <c r="A57" s="5" t="s">
        <v>1495</v>
      </c>
      <c r="B57" s="5" t="str">
        <f t="shared" si="2"/>
        <v>A040829491</v>
      </c>
      <c r="C57" s="6" t="s">
        <v>1164</v>
      </c>
      <c r="D57" s="6" t="s">
        <v>84</v>
      </c>
      <c r="E57" s="10">
        <v>17425766</v>
      </c>
      <c r="F57" s="6" t="s">
        <v>86</v>
      </c>
      <c r="G57" s="6" t="s">
        <v>49</v>
      </c>
      <c r="H57" s="6" t="s">
        <v>1165</v>
      </c>
      <c r="I57" s="7">
        <v>45536</v>
      </c>
      <c r="J57" s="8">
        <v>1</v>
      </c>
      <c r="K57" s="8">
        <v>1</v>
      </c>
      <c r="L57" s="6"/>
      <c r="M57" s="9">
        <v>1</v>
      </c>
      <c r="N57" s="8">
        <v>44.31</v>
      </c>
      <c r="O57" s="6" t="s">
        <v>1148</v>
      </c>
      <c r="P57" s="6" t="s">
        <v>1587</v>
      </c>
      <c r="Q57" s="6"/>
      <c r="R57" s="6"/>
      <c r="S57" s="6"/>
      <c r="T57" s="6"/>
    </row>
    <row r="58" spans="1:20" x14ac:dyDescent="0.25">
      <c r="A58" s="5" t="s">
        <v>1512</v>
      </c>
      <c r="B58" s="5" t="str">
        <f t="shared" si="2"/>
        <v>A041273251</v>
      </c>
      <c r="C58" s="6" t="s">
        <v>1189</v>
      </c>
      <c r="D58" s="6" t="s">
        <v>84</v>
      </c>
      <c r="E58" s="10">
        <v>17425766</v>
      </c>
      <c r="F58" s="6" t="s">
        <v>86</v>
      </c>
      <c r="G58" s="6" t="s">
        <v>49</v>
      </c>
      <c r="H58" s="6" t="s">
        <v>1165</v>
      </c>
      <c r="I58" s="7">
        <v>45566</v>
      </c>
      <c r="J58" s="8">
        <v>1</v>
      </c>
      <c r="K58" s="8">
        <v>1</v>
      </c>
      <c r="L58" s="6"/>
      <c r="M58" s="9">
        <v>1</v>
      </c>
      <c r="N58" s="8">
        <v>44.31</v>
      </c>
      <c r="O58" s="6" t="s">
        <v>1148</v>
      </c>
      <c r="P58" s="6" t="s">
        <v>1587</v>
      </c>
      <c r="Q58" s="6"/>
      <c r="R58" s="6"/>
      <c r="S58" s="6"/>
      <c r="T58" s="6"/>
    </row>
    <row r="59" spans="1:20" x14ac:dyDescent="0.25">
      <c r="A59" s="5" t="s">
        <v>1507</v>
      </c>
      <c r="B59" s="5" t="str">
        <f t="shared" si="2"/>
        <v>A041155411</v>
      </c>
      <c r="C59" s="6" t="s">
        <v>1184</v>
      </c>
      <c r="D59" s="6" t="s">
        <v>55</v>
      </c>
      <c r="E59" s="10">
        <v>8325282</v>
      </c>
      <c r="F59" s="6" t="s">
        <v>243</v>
      </c>
      <c r="G59" s="6" t="s">
        <v>49</v>
      </c>
      <c r="H59" s="6" t="s">
        <v>1169</v>
      </c>
      <c r="I59" s="7">
        <v>45536</v>
      </c>
      <c r="J59" s="8">
        <v>1</v>
      </c>
      <c r="K59" s="8">
        <v>1</v>
      </c>
      <c r="L59" s="6"/>
      <c r="M59" s="9">
        <v>1</v>
      </c>
      <c r="N59" s="8">
        <v>31.98</v>
      </c>
      <c r="O59" s="6" t="s">
        <v>1148</v>
      </c>
      <c r="P59" s="6" t="s">
        <v>1588</v>
      </c>
      <c r="Q59" s="6"/>
      <c r="R59" s="6"/>
      <c r="S59" s="6"/>
      <c r="T59" s="6"/>
    </row>
    <row r="60" spans="1:20" x14ac:dyDescent="0.25">
      <c r="A60" s="5" t="s">
        <v>1510</v>
      </c>
      <c r="B60" s="5" t="str">
        <f t="shared" si="2"/>
        <v>A041271401</v>
      </c>
      <c r="C60" s="6" t="s">
        <v>1187</v>
      </c>
      <c r="D60" s="6" t="s">
        <v>55</v>
      </c>
      <c r="E60" s="10">
        <v>8325282</v>
      </c>
      <c r="F60" s="6" t="s">
        <v>243</v>
      </c>
      <c r="G60" s="6" t="s">
        <v>49</v>
      </c>
      <c r="H60" s="6" t="s">
        <v>1169</v>
      </c>
      <c r="I60" s="7">
        <v>45597</v>
      </c>
      <c r="J60" s="8">
        <v>1</v>
      </c>
      <c r="K60" s="8">
        <v>1</v>
      </c>
      <c r="L60" s="6"/>
      <c r="M60" s="9">
        <v>1</v>
      </c>
      <c r="N60" s="8">
        <v>31.98</v>
      </c>
      <c r="O60" s="6" t="s">
        <v>1148</v>
      </c>
      <c r="P60" s="6" t="s">
        <v>1588</v>
      </c>
      <c r="Q60" s="6"/>
      <c r="R60" s="6"/>
      <c r="S60" s="6"/>
      <c r="T60" s="6"/>
    </row>
    <row r="61" spans="1:20" x14ac:dyDescent="0.25">
      <c r="A61" s="5" t="s">
        <v>1511</v>
      </c>
      <c r="B61" s="5" t="str">
        <f t="shared" si="2"/>
        <v>A041271761</v>
      </c>
      <c r="C61" s="6" t="s">
        <v>1188</v>
      </c>
      <c r="D61" s="6" t="s">
        <v>55</v>
      </c>
      <c r="E61" s="10">
        <v>8325282</v>
      </c>
      <c r="F61" s="6" t="s">
        <v>243</v>
      </c>
      <c r="G61" s="6" t="s">
        <v>49</v>
      </c>
      <c r="H61" s="6" t="s">
        <v>1169</v>
      </c>
      <c r="I61" s="7">
        <v>45597</v>
      </c>
      <c r="J61" s="8">
        <v>1</v>
      </c>
      <c r="K61" s="8">
        <v>1</v>
      </c>
      <c r="L61" s="6"/>
      <c r="M61" s="9">
        <v>1</v>
      </c>
      <c r="N61" s="8">
        <v>31.98</v>
      </c>
      <c r="O61" s="6" t="s">
        <v>1148</v>
      </c>
      <c r="P61" s="6" t="s">
        <v>1588</v>
      </c>
      <c r="Q61" s="6"/>
      <c r="R61" s="6"/>
      <c r="S61" s="6"/>
      <c r="T61" s="6"/>
    </row>
    <row r="62" spans="1:20" x14ac:dyDescent="0.25">
      <c r="A62" s="5" t="s">
        <v>1519</v>
      </c>
      <c r="B62" s="5" t="str">
        <f t="shared" si="2"/>
        <v>A041370151</v>
      </c>
      <c r="C62" s="6" t="s">
        <v>1197</v>
      </c>
      <c r="D62" s="6" t="s">
        <v>55</v>
      </c>
      <c r="E62" s="10">
        <v>8325282</v>
      </c>
      <c r="F62" s="6" t="s">
        <v>243</v>
      </c>
      <c r="G62" s="6" t="s">
        <v>49</v>
      </c>
      <c r="H62" s="6" t="s">
        <v>1169</v>
      </c>
      <c r="I62" s="7">
        <v>45597</v>
      </c>
      <c r="J62" s="8">
        <v>1</v>
      </c>
      <c r="K62" s="8">
        <v>1</v>
      </c>
      <c r="L62" s="6"/>
      <c r="M62" s="9">
        <v>1</v>
      </c>
      <c r="N62" s="8">
        <v>31.98</v>
      </c>
      <c r="O62" s="6" t="s">
        <v>1148</v>
      </c>
      <c r="P62" s="6" t="s">
        <v>1588</v>
      </c>
      <c r="Q62" s="6"/>
      <c r="R62" s="6"/>
      <c r="S62" s="6"/>
      <c r="T62" s="6"/>
    </row>
    <row r="63" spans="1:20" x14ac:dyDescent="0.25">
      <c r="A63" s="5" t="s">
        <v>1520</v>
      </c>
      <c r="B63" s="5" t="str">
        <f t="shared" si="2"/>
        <v>A041378281</v>
      </c>
      <c r="C63" s="6" t="s">
        <v>1198</v>
      </c>
      <c r="D63" s="6" t="s">
        <v>55</v>
      </c>
      <c r="E63" s="10">
        <v>8325282</v>
      </c>
      <c r="F63" s="6" t="s">
        <v>243</v>
      </c>
      <c r="G63" s="6" t="s">
        <v>49</v>
      </c>
      <c r="H63" s="6" t="s">
        <v>1169</v>
      </c>
      <c r="I63" s="7">
        <v>45597</v>
      </c>
      <c r="J63" s="8">
        <v>1</v>
      </c>
      <c r="K63" s="8">
        <v>1</v>
      </c>
      <c r="L63" s="6"/>
      <c r="M63" s="9">
        <v>1</v>
      </c>
      <c r="N63" s="8">
        <v>31.98</v>
      </c>
      <c r="O63" s="6" t="s">
        <v>1148</v>
      </c>
      <c r="P63" s="6" t="s">
        <v>1588</v>
      </c>
      <c r="Q63" s="6"/>
      <c r="R63" s="6"/>
      <c r="S63" s="6"/>
      <c r="T63" s="6"/>
    </row>
    <row r="64" spans="1:20" x14ac:dyDescent="0.25">
      <c r="A64" s="5" t="s">
        <v>1528</v>
      </c>
      <c r="B64" s="5" t="str">
        <f t="shared" si="2"/>
        <v>A041504821</v>
      </c>
      <c r="C64" s="6" t="s">
        <v>1206</v>
      </c>
      <c r="D64" s="6" t="s">
        <v>55</v>
      </c>
      <c r="E64" s="10">
        <v>8325282</v>
      </c>
      <c r="F64" s="6" t="s">
        <v>243</v>
      </c>
      <c r="G64" s="6" t="s">
        <v>49</v>
      </c>
      <c r="H64" s="6" t="s">
        <v>1169</v>
      </c>
      <c r="I64" s="7">
        <v>45658</v>
      </c>
      <c r="J64" s="8">
        <v>1</v>
      </c>
      <c r="K64" s="8">
        <v>1</v>
      </c>
      <c r="L64" s="6"/>
      <c r="M64" s="9">
        <v>1</v>
      </c>
      <c r="N64" s="8">
        <v>31.98</v>
      </c>
      <c r="O64" s="6" t="s">
        <v>1148</v>
      </c>
      <c r="P64" s="6" t="s">
        <v>1588</v>
      </c>
      <c r="Q64" s="6"/>
      <c r="R64" s="6"/>
      <c r="S64" s="6"/>
      <c r="T64" s="6"/>
    </row>
    <row r="65" spans="1:20" x14ac:dyDescent="0.25">
      <c r="A65" s="5" t="s">
        <v>1529</v>
      </c>
      <c r="B65" s="5" t="str">
        <f t="shared" si="2"/>
        <v>A041504901</v>
      </c>
      <c r="C65" s="6" t="s">
        <v>1207</v>
      </c>
      <c r="D65" s="6" t="s">
        <v>55</v>
      </c>
      <c r="E65" s="10">
        <v>8325282</v>
      </c>
      <c r="F65" s="6" t="s">
        <v>243</v>
      </c>
      <c r="G65" s="6" t="s">
        <v>49</v>
      </c>
      <c r="H65" s="6" t="s">
        <v>1169</v>
      </c>
      <c r="I65" s="7">
        <v>45658</v>
      </c>
      <c r="J65" s="8">
        <v>1</v>
      </c>
      <c r="K65" s="8">
        <v>1</v>
      </c>
      <c r="L65" s="6"/>
      <c r="M65" s="9">
        <v>1</v>
      </c>
      <c r="N65" s="8">
        <v>31.98</v>
      </c>
      <c r="O65" s="6" t="s">
        <v>1148</v>
      </c>
      <c r="P65" s="6" t="s">
        <v>1588</v>
      </c>
      <c r="Q65" s="6"/>
      <c r="R65" s="6"/>
      <c r="S65" s="6"/>
      <c r="T65" s="6"/>
    </row>
    <row r="66" spans="1:20" x14ac:dyDescent="0.25">
      <c r="A66" s="5" t="s">
        <v>1530</v>
      </c>
      <c r="B66" s="5" t="str">
        <f t="shared" si="2"/>
        <v>A041505201</v>
      </c>
      <c r="C66" s="6" t="s">
        <v>1208</v>
      </c>
      <c r="D66" s="6" t="s">
        <v>55</v>
      </c>
      <c r="E66" s="10">
        <v>8325282</v>
      </c>
      <c r="F66" s="6" t="s">
        <v>243</v>
      </c>
      <c r="G66" s="6" t="s">
        <v>49</v>
      </c>
      <c r="H66" s="6" t="s">
        <v>1169</v>
      </c>
      <c r="I66" s="7">
        <v>45597</v>
      </c>
      <c r="J66" s="8">
        <v>1</v>
      </c>
      <c r="K66" s="8">
        <v>1</v>
      </c>
      <c r="L66" s="6"/>
      <c r="M66" s="9">
        <v>1</v>
      </c>
      <c r="N66" s="8">
        <v>31.98</v>
      </c>
      <c r="O66" s="6" t="s">
        <v>1148</v>
      </c>
      <c r="P66" s="6" t="s">
        <v>1588</v>
      </c>
      <c r="Q66" s="6"/>
      <c r="R66" s="6"/>
      <c r="S66" s="6"/>
      <c r="T66" s="6"/>
    </row>
    <row r="67" spans="1:20" x14ac:dyDescent="0.25">
      <c r="A67" s="5" t="s">
        <v>1535</v>
      </c>
      <c r="B67" s="5" t="str">
        <f t="shared" si="2"/>
        <v>A041603891</v>
      </c>
      <c r="C67" s="6" t="s">
        <v>1212</v>
      </c>
      <c r="D67" s="6" t="s">
        <v>55</v>
      </c>
      <c r="E67" s="10">
        <v>8325282</v>
      </c>
      <c r="F67" s="6" t="s">
        <v>243</v>
      </c>
      <c r="G67" s="6" t="s">
        <v>49</v>
      </c>
      <c r="H67" s="6" t="s">
        <v>1169</v>
      </c>
      <c r="I67" s="7">
        <v>45627</v>
      </c>
      <c r="J67" s="8">
        <v>1</v>
      </c>
      <c r="K67" s="8">
        <v>1</v>
      </c>
      <c r="L67" s="6"/>
      <c r="M67" s="9">
        <v>1</v>
      </c>
      <c r="N67" s="8">
        <v>31.98</v>
      </c>
      <c r="O67" s="6" t="s">
        <v>1148</v>
      </c>
      <c r="P67" s="6" t="s">
        <v>1588</v>
      </c>
      <c r="Q67" s="6"/>
      <c r="R67" s="6"/>
      <c r="S67" s="6"/>
      <c r="T67" s="6"/>
    </row>
    <row r="68" spans="1:20" x14ac:dyDescent="0.25">
      <c r="A68" s="5" t="s">
        <v>1541</v>
      </c>
      <c r="B68" s="5" t="str">
        <f t="shared" ref="B68:B99" si="3">CONCATENATE(A68,1)</f>
        <v>A041640641</v>
      </c>
      <c r="C68" s="6" t="s">
        <v>1218</v>
      </c>
      <c r="D68" s="6" t="s">
        <v>55</v>
      </c>
      <c r="E68" s="10">
        <v>8325282</v>
      </c>
      <c r="F68" s="6" t="s">
        <v>243</v>
      </c>
      <c r="G68" s="6" t="s">
        <v>49</v>
      </c>
      <c r="H68" s="6" t="s">
        <v>1169</v>
      </c>
      <c r="I68" s="7">
        <v>45627</v>
      </c>
      <c r="J68" s="8">
        <v>1</v>
      </c>
      <c r="K68" s="8">
        <v>1</v>
      </c>
      <c r="L68" s="6"/>
      <c r="M68" s="9">
        <v>1</v>
      </c>
      <c r="N68" s="8">
        <v>31.98</v>
      </c>
      <c r="O68" s="6" t="s">
        <v>1148</v>
      </c>
      <c r="P68" s="6" t="s">
        <v>1588</v>
      </c>
      <c r="Q68" s="6"/>
      <c r="R68" s="6"/>
      <c r="S68" s="6"/>
      <c r="T68" s="6"/>
    </row>
    <row r="69" spans="1:20" x14ac:dyDescent="0.25">
      <c r="A69" s="5" t="s">
        <v>1542</v>
      </c>
      <c r="B69" s="5" t="str">
        <f t="shared" si="3"/>
        <v>A041645561</v>
      </c>
      <c r="C69" s="6" t="s">
        <v>1219</v>
      </c>
      <c r="D69" s="6" t="s">
        <v>55</v>
      </c>
      <c r="E69" s="10">
        <v>8325282</v>
      </c>
      <c r="F69" s="6" t="s">
        <v>243</v>
      </c>
      <c r="G69" s="6" t="s">
        <v>49</v>
      </c>
      <c r="H69" s="6" t="s">
        <v>1169</v>
      </c>
      <c r="I69" s="7">
        <v>45627</v>
      </c>
      <c r="J69" s="8">
        <v>1</v>
      </c>
      <c r="K69" s="8">
        <v>1</v>
      </c>
      <c r="L69" s="6"/>
      <c r="M69" s="9">
        <v>1</v>
      </c>
      <c r="N69" s="8">
        <v>31.98</v>
      </c>
      <c r="O69" s="6" t="s">
        <v>1148</v>
      </c>
      <c r="P69" s="6" t="s">
        <v>1588</v>
      </c>
      <c r="Q69" s="6"/>
      <c r="R69" s="6"/>
      <c r="S69" s="6"/>
      <c r="T69" s="6"/>
    </row>
    <row r="70" spans="1:20" x14ac:dyDescent="0.25">
      <c r="A70" s="5" t="s">
        <v>1545</v>
      </c>
      <c r="B70" s="5" t="str">
        <f t="shared" si="3"/>
        <v>A041675191</v>
      </c>
      <c r="C70" s="6" t="s">
        <v>1223</v>
      </c>
      <c r="D70" s="6" t="s">
        <v>55</v>
      </c>
      <c r="E70" s="10">
        <v>8325282</v>
      </c>
      <c r="F70" s="6" t="s">
        <v>243</v>
      </c>
      <c r="G70" s="6" t="s">
        <v>49</v>
      </c>
      <c r="H70" s="6" t="s">
        <v>1169</v>
      </c>
      <c r="I70" s="7">
        <v>45658</v>
      </c>
      <c r="J70" s="8">
        <v>1</v>
      </c>
      <c r="K70" s="8">
        <v>1</v>
      </c>
      <c r="L70" s="6"/>
      <c r="M70" s="9">
        <v>1</v>
      </c>
      <c r="N70" s="8">
        <v>31.98</v>
      </c>
      <c r="O70" s="6" t="s">
        <v>1148</v>
      </c>
      <c r="P70" s="6" t="s">
        <v>1588</v>
      </c>
      <c r="Q70" s="6"/>
      <c r="R70" s="6"/>
      <c r="S70" s="6"/>
      <c r="T70" s="6"/>
    </row>
    <row r="71" spans="1:20" x14ac:dyDescent="0.25">
      <c r="A71" s="5" t="s">
        <v>1546</v>
      </c>
      <c r="B71" s="5" t="str">
        <f t="shared" si="3"/>
        <v>A041684201</v>
      </c>
      <c r="C71" s="6" t="s">
        <v>1224</v>
      </c>
      <c r="D71" s="6" t="s">
        <v>55</v>
      </c>
      <c r="E71" s="10">
        <v>8325282</v>
      </c>
      <c r="F71" s="6" t="s">
        <v>243</v>
      </c>
      <c r="G71" s="6" t="s">
        <v>49</v>
      </c>
      <c r="H71" s="6" t="s">
        <v>1169</v>
      </c>
      <c r="I71" s="7">
        <v>45627</v>
      </c>
      <c r="J71" s="8">
        <v>1</v>
      </c>
      <c r="K71" s="8">
        <v>1</v>
      </c>
      <c r="L71" s="6"/>
      <c r="M71" s="9">
        <v>1</v>
      </c>
      <c r="N71" s="8">
        <v>31.98</v>
      </c>
      <c r="O71" s="6" t="s">
        <v>1148</v>
      </c>
      <c r="P71" s="6" t="s">
        <v>1588</v>
      </c>
      <c r="Q71" s="6"/>
      <c r="R71" s="6"/>
      <c r="S71" s="6"/>
      <c r="T71" s="6"/>
    </row>
    <row r="72" spans="1:20" x14ac:dyDescent="0.25">
      <c r="A72" s="5" t="s">
        <v>1554</v>
      </c>
      <c r="B72" s="5" t="str">
        <f t="shared" si="3"/>
        <v>A041862071</v>
      </c>
      <c r="C72" s="6" t="s">
        <v>1236</v>
      </c>
      <c r="D72" s="6" t="s">
        <v>55</v>
      </c>
      <c r="E72" s="10">
        <v>8325282</v>
      </c>
      <c r="F72" s="6" t="s">
        <v>243</v>
      </c>
      <c r="G72" s="6" t="s">
        <v>49</v>
      </c>
      <c r="H72" s="6" t="s">
        <v>1169</v>
      </c>
      <c r="I72" s="7">
        <v>45658</v>
      </c>
      <c r="J72" s="8">
        <v>1</v>
      </c>
      <c r="K72" s="8">
        <v>1</v>
      </c>
      <c r="L72" s="6"/>
      <c r="M72" s="9">
        <v>1</v>
      </c>
      <c r="N72" s="8">
        <v>31.98</v>
      </c>
      <c r="O72" s="6" t="s">
        <v>1148</v>
      </c>
      <c r="P72" s="6" t="s">
        <v>1588</v>
      </c>
      <c r="Q72" s="6"/>
      <c r="R72" s="6"/>
      <c r="S72" s="6"/>
      <c r="T72" s="6"/>
    </row>
    <row r="73" spans="1:20" x14ac:dyDescent="0.25">
      <c r="A73" s="5" t="s">
        <v>1557</v>
      </c>
      <c r="B73" s="5" t="str">
        <f t="shared" si="3"/>
        <v>A041917201</v>
      </c>
      <c r="C73" s="6" t="s">
        <v>1239</v>
      </c>
      <c r="D73" s="6" t="s">
        <v>55</v>
      </c>
      <c r="E73" s="10">
        <v>8325282</v>
      </c>
      <c r="F73" s="6" t="s">
        <v>243</v>
      </c>
      <c r="G73" s="6" t="s">
        <v>49</v>
      </c>
      <c r="H73" s="6" t="s">
        <v>1169</v>
      </c>
      <c r="I73" s="7">
        <v>45658</v>
      </c>
      <c r="J73" s="8">
        <v>1</v>
      </c>
      <c r="K73" s="8">
        <v>1</v>
      </c>
      <c r="L73" s="6"/>
      <c r="M73" s="9">
        <v>1</v>
      </c>
      <c r="N73" s="8">
        <v>31.98</v>
      </c>
      <c r="O73" s="6" t="s">
        <v>1148</v>
      </c>
      <c r="P73" s="6" t="s">
        <v>1588</v>
      </c>
      <c r="Q73" s="6"/>
      <c r="R73" s="6"/>
      <c r="S73" s="6"/>
      <c r="T73" s="6"/>
    </row>
    <row r="74" spans="1:20" x14ac:dyDescent="0.25">
      <c r="A74" s="5" t="s">
        <v>1570</v>
      </c>
      <c r="B74" s="5" t="str">
        <f t="shared" si="3"/>
        <v>A042210311</v>
      </c>
      <c r="C74" s="6" t="s">
        <v>1255</v>
      </c>
      <c r="D74" s="6" t="s">
        <v>55</v>
      </c>
      <c r="E74" s="10">
        <v>8325282</v>
      </c>
      <c r="F74" s="6" t="s">
        <v>243</v>
      </c>
      <c r="G74" s="6" t="s">
        <v>49</v>
      </c>
      <c r="H74" s="6" t="s">
        <v>1169</v>
      </c>
      <c r="I74" s="7">
        <v>45689</v>
      </c>
      <c r="J74" s="8">
        <v>1</v>
      </c>
      <c r="K74" s="8">
        <v>1</v>
      </c>
      <c r="L74" s="6"/>
      <c r="M74" s="9">
        <v>1</v>
      </c>
      <c r="N74" s="8">
        <v>31.98</v>
      </c>
      <c r="O74" s="6" t="s">
        <v>1148</v>
      </c>
      <c r="P74" s="6" t="s">
        <v>1588</v>
      </c>
      <c r="Q74" s="6"/>
      <c r="R74" s="6"/>
      <c r="S74" s="6"/>
      <c r="T74" s="6"/>
    </row>
    <row r="75" spans="1:20" x14ac:dyDescent="0.25">
      <c r="A75" s="5" t="s">
        <v>1576</v>
      </c>
      <c r="B75" s="5" t="str">
        <f t="shared" si="3"/>
        <v>A042315461</v>
      </c>
      <c r="C75" s="6" t="s">
        <v>1263</v>
      </c>
      <c r="D75" s="6" t="s">
        <v>55</v>
      </c>
      <c r="E75" s="10">
        <v>8325282</v>
      </c>
      <c r="F75" s="6" t="s">
        <v>243</v>
      </c>
      <c r="G75" s="6" t="s">
        <v>49</v>
      </c>
      <c r="H75" s="6" t="s">
        <v>1169</v>
      </c>
      <c r="I75" s="7">
        <v>45717</v>
      </c>
      <c r="J75" s="8">
        <v>1</v>
      </c>
      <c r="K75" s="8">
        <v>1</v>
      </c>
      <c r="L75" s="6"/>
      <c r="M75" s="9">
        <v>1</v>
      </c>
      <c r="N75" s="8">
        <v>31.98</v>
      </c>
      <c r="O75" s="6" t="s">
        <v>1148</v>
      </c>
      <c r="P75" s="6" t="s">
        <v>1588</v>
      </c>
      <c r="Q75" s="6"/>
      <c r="R75" s="6"/>
      <c r="S75" s="6"/>
      <c r="T75" s="6"/>
    </row>
    <row r="76" spans="1:20" x14ac:dyDescent="0.25">
      <c r="A76" s="5" t="s">
        <v>1500</v>
      </c>
      <c r="B76" s="5" t="str">
        <f t="shared" si="3"/>
        <v>A041071511</v>
      </c>
      <c r="C76" s="6" t="s">
        <v>1174</v>
      </c>
      <c r="D76" s="6" t="s">
        <v>55</v>
      </c>
      <c r="E76" s="10">
        <v>8814784</v>
      </c>
      <c r="F76" s="6" t="s">
        <v>230</v>
      </c>
      <c r="G76" s="6" t="s">
        <v>49</v>
      </c>
      <c r="H76" s="6" t="s">
        <v>1169</v>
      </c>
      <c r="I76" s="7">
        <v>45566</v>
      </c>
      <c r="J76" s="8">
        <v>1</v>
      </c>
      <c r="K76" s="8">
        <v>1</v>
      </c>
      <c r="L76" s="6"/>
      <c r="M76" s="9">
        <v>1</v>
      </c>
      <c r="N76" s="8">
        <v>31.98</v>
      </c>
      <c r="O76" s="6" t="s">
        <v>1148</v>
      </c>
      <c r="P76" s="6" t="s">
        <v>1588</v>
      </c>
      <c r="Q76" s="6"/>
      <c r="R76" s="6"/>
      <c r="S76" s="6"/>
      <c r="T76" s="6"/>
    </row>
    <row r="77" spans="1:20" x14ac:dyDescent="0.25">
      <c r="A77" s="5" t="s">
        <v>1497</v>
      </c>
      <c r="B77" s="5" t="str">
        <f t="shared" si="3"/>
        <v>A040892061</v>
      </c>
      <c r="C77" s="6" t="s">
        <v>1168</v>
      </c>
      <c r="D77" s="6" t="s">
        <v>55</v>
      </c>
      <c r="E77" s="10">
        <v>9213293</v>
      </c>
      <c r="F77" s="6" t="s">
        <v>105</v>
      </c>
      <c r="G77" s="6" t="s">
        <v>49</v>
      </c>
      <c r="H77" s="6" t="s">
        <v>1169</v>
      </c>
      <c r="I77" s="7">
        <v>45505</v>
      </c>
      <c r="J77" s="8">
        <v>1</v>
      </c>
      <c r="K77" s="8">
        <v>1</v>
      </c>
      <c r="L77" s="6"/>
      <c r="M77" s="9">
        <v>1</v>
      </c>
      <c r="N77" s="8">
        <v>31.98</v>
      </c>
      <c r="O77" s="6" t="s">
        <v>1148</v>
      </c>
      <c r="P77" s="6" t="s">
        <v>1588</v>
      </c>
      <c r="Q77" s="6"/>
      <c r="R77" s="6"/>
      <c r="S77" s="6"/>
      <c r="T77" s="6"/>
    </row>
    <row r="78" spans="1:20" x14ac:dyDescent="0.25">
      <c r="A78" s="5" t="s">
        <v>1502</v>
      </c>
      <c r="B78" s="5" t="str">
        <f t="shared" si="3"/>
        <v>A041109701</v>
      </c>
      <c r="C78" s="6" t="s">
        <v>1178</v>
      </c>
      <c r="D78" s="6" t="s">
        <v>55</v>
      </c>
      <c r="E78" s="10">
        <v>9213293</v>
      </c>
      <c r="F78" s="6" t="s">
        <v>105</v>
      </c>
      <c r="G78" s="6" t="s">
        <v>49</v>
      </c>
      <c r="H78" s="6" t="s">
        <v>1169</v>
      </c>
      <c r="I78" s="7">
        <v>45566</v>
      </c>
      <c r="J78" s="8">
        <v>1</v>
      </c>
      <c r="K78" s="8">
        <v>1</v>
      </c>
      <c r="L78" s="6"/>
      <c r="M78" s="9">
        <v>1</v>
      </c>
      <c r="N78" s="8">
        <v>31.98</v>
      </c>
      <c r="O78" s="6" t="s">
        <v>1148</v>
      </c>
      <c r="P78" s="6" t="s">
        <v>1588</v>
      </c>
      <c r="Q78" s="6"/>
      <c r="R78" s="6"/>
      <c r="S78" s="6"/>
      <c r="T78" s="6"/>
    </row>
    <row r="79" spans="1:20" x14ac:dyDescent="0.25">
      <c r="A79" s="5" t="s">
        <v>1514</v>
      </c>
      <c r="B79" s="5" t="str">
        <f t="shared" si="3"/>
        <v>A041344761</v>
      </c>
      <c r="C79" s="6" t="s">
        <v>1191</v>
      </c>
      <c r="D79" s="6" t="s">
        <v>55</v>
      </c>
      <c r="E79" s="10">
        <v>9213293</v>
      </c>
      <c r="F79" s="6" t="s">
        <v>105</v>
      </c>
      <c r="G79" s="6" t="s">
        <v>49</v>
      </c>
      <c r="H79" s="6" t="s">
        <v>1169</v>
      </c>
      <c r="I79" s="7">
        <v>45627</v>
      </c>
      <c r="J79" s="8">
        <v>1</v>
      </c>
      <c r="K79" s="8">
        <v>1</v>
      </c>
      <c r="L79" s="6"/>
      <c r="M79" s="9">
        <v>1</v>
      </c>
      <c r="N79" s="8">
        <v>31.98</v>
      </c>
      <c r="O79" s="6" t="s">
        <v>1148</v>
      </c>
      <c r="P79" s="6" t="s">
        <v>1588</v>
      </c>
      <c r="Q79" s="6"/>
      <c r="R79" s="6"/>
      <c r="S79" s="6"/>
      <c r="T79" s="6"/>
    </row>
    <row r="80" spans="1:20" x14ac:dyDescent="0.25">
      <c r="A80" s="5" t="s">
        <v>1515</v>
      </c>
      <c r="B80" s="5" t="str">
        <f t="shared" si="3"/>
        <v>A041359011</v>
      </c>
      <c r="C80" s="6" t="s">
        <v>1192</v>
      </c>
      <c r="D80" s="6" t="s">
        <v>55</v>
      </c>
      <c r="E80" s="10">
        <v>9213293</v>
      </c>
      <c r="F80" s="6" t="s">
        <v>105</v>
      </c>
      <c r="G80" s="6" t="s">
        <v>49</v>
      </c>
      <c r="H80" s="6" t="s">
        <v>1169</v>
      </c>
      <c r="I80" s="7">
        <v>45597</v>
      </c>
      <c r="J80" s="8">
        <v>1</v>
      </c>
      <c r="K80" s="8">
        <v>1</v>
      </c>
      <c r="L80" s="6"/>
      <c r="M80" s="9">
        <v>1</v>
      </c>
      <c r="N80" s="8">
        <v>31.98</v>
      </c>
      <c r="O80" s="6" t="s">
        <v>1148</v>
      </c>
      <c r="P80" s="6" t="s">
        <v>1588</v>
      </c>
      <c r="Q80" s="6"/>
      <c r="R80" s="6"/>
      <c r="S80" s="6"/>
      <c r="T80" s="6"/>
    </row>
    <row r="81" spans="1:20" x14ac:dyDescent="0.25">
      <c r="A81" s="5" t="s">
        <v>1525</v>
      </c>
      <c r="B81" s="5" t="str">
        <f t="shared" si="3"/>
        <v>A041459151</v>
      </c>
      <c r="C81" s="6" t="s">
        <v>105</v>
      </c>
      <c r="D81" s="6" t="s">
        <v>55</v>
      </c>
      <c r="E81" s="10">
        <v>9213293</v>
      </c>
      <c r="F81" s="6" t="s">
        <v>105</v>
      </c>
      <c r="G81" s="6" t="s">
        <v>49</v>
      </c>
      <c r="H81" s="6" t="s">
        <v>1169</v>
      </c>
      <c r="I81" s="7">
        <v>45658</v>
      </c>
      <c r="J81" s="8">
        <v>1</v>
      </c>
      <c r="K81" s="8">
        <v>1</v>
      </c>
      <c r="L81" s="6"/>
      <c r="M81" s="9">
        <v>1</v>
      </c>
      <c r="N81" s="8">
        <v>31.98</v>
      </c>
      <c r="O81" s="6" t="s">
        <v>1148</v>
      </c>
      <c r="P81" s="6" t="s">
        <v>1588</v>
      </c>
      <c r="Q81" s="6"/>
      <c r="R81" s="6"/>
      <c r="S81" s="6"/>
      <c r="T81" s="6"/>
    </row>
    <row r="82" spans="1:20" x14ac:dyDescent="0.25">
      <c r="A82" s="5" t="s">
        <v>1531</v>
      </c>
      <c r="B82" s="5" t="str">
        <f t="shared" si="3"/>
        <v>A041528551</v>
      </c>
      <c r="C82" s="6" t="s">
        <v>1209</v>
      </c>
      <c r="D82" s="6" t="s">
        <v>55</v>
      </c>
      <c r="E82" s="10">
        <v>9213293</v>
      </c>
      <c r="F82" s="6" t="s">
        <v>105</v>
      </c>
      <c r="G82" s="6" t="s">
        <v>49</v>
      </c>
      <c r="H82" s="6" t="s">
        <v>1169</v>
      </c>
      <c r="I82" s="7">
        <v>45658</v>
      </c>
      <c r="J82" s="8">
        <v>1</v>
      </c>
      <c r="K82" s="8">
        <v>1</v>
      </c>
      <c r="L82" s="6"/>
      <c r="M82" s="9">
        <v>1</v>
      </c>
      <c r="N82" s="8">
        <v>31.98</v>
      </c>
      <c r="O82" s="6" t="s">
        <v>1148</v>
      </c>
      <c r="P82" s="6" t="s">
        <v>1588</v>
      </c>
      <c r="Q82" s="6"/>
      <c r="R82" s="6"/>
      <c r="S82" s="6"/>
      <c r="T82" s="6"/>
    </row>
    <row r="83" spans="1:20" x14ac:dyDescent="0.25">
      <c r="A83" s="5" t="s">
        <v>1532</v>
      </c>
      <c r="B83" s="5" t="str">
        <f t="shared" si="3"/>
        <v>A041552521</v>
      </c>
      <c r="C83" s="6" t="s">
        <v>1210</v>
      </c>
      <c r="D83" s="6" t="s">
        <v>55</v>
      </c>
      <c r="E83" s="10">
        <v>9213293</v>
      </c>
      <c r="F83" s="6" t="s">
        <v>105</v>
      </c>
      <c r="G83" s="6" t="s">
        <v>49</v>
      </c>
      <c r="H83" s="6" t="s">
        <v>1169</v>
      </c>
      <c r="I83" s="7">
        <v>45658</v>
      </c>
      <c r="J83" s="8">
        <v>1</v>
      </c>
      <c r="K83" s="8">
        <v>1</v>
      </c>
      <c r="L83" s="6"/>
      <c r="M83" s="9">
        <v>1</v>
      </c>
      <c r="N83" s="8">
        <v>31.98</v>
      </c>
      <c r="O83" s="6" t="s">
        <v>1148</v>
      </c>
      <c r="P83" s="6" t="s">
        <v>1588</v>
      </c>
      <c r="Q83" s="6"/>
      <c r="R83" s="6"/>
      <c r="S83" s="6"/>
      <c r="T83" s="6"/>
    </row>
    <row r="84" spans="1:20" x14ac:dyDescent="0.25">
      <c r="A84" s="5" t="s">
        <v>1534</v>
      </c>
      <c r="B84" s="5" t="str">
        <f t="shared" si="3"/>
        <v>A041599731</v>
      </c>
      <c r="C84" s="6" t="s">
        <v>710</v>
      </c>
      <c r="D84" s="6" t="s">
        <v>55</v>
      </c>
      <c r="E84" s="10">
        <v>9213293</v>
      </c>
      <c r="F84" s="6" t="s">
        <v>105</v>
      </c>
      <c r="G84" s="6" t="s">
        <v>49</v>
      </c>
      <c r="H84" s="6" t="s">
        <v>1169</v>
      </c>
      <c r="I84" s="7">
        <v>45627</v>
      </c>
      <c r="J84" s="8">
        <v>1</v>
      </c>
      <c r="K84" s="8">
        <v>1</v>
      </c>
      <c r="L84" s="6"/>
      <c r="M84" s="9">
        <v>1</v>
      </c>
      <c r="N84" s="8">
        <v>31.98</v>
      </c>
      <c r="O84" s="6" t="s">
        <v>1148</v>
      </c>
      <c r="P84" s="6" t="s">
        <v>1588</v>
      </c>
      <c r="Q84" s="6"/>
      <c r="R84" s="6"/>
      <c r="S84" s="6"/>
      <c r="T84" s="6"/>
    </row>
    <row r="85" spans="1:20" x14ac:dyDescent="0.25">
      <c r="A85" s="5" t="s">
        <v>1555</v>
      </c>
      <c r="B85" s="5" t="str">
        <f t="shared" si="3"/>
        <v>A041872001</v>
      </c>
      <c r="C85" s="6" t="s">
        <v>1237</v>
      </c>
      <c r="D85" s="6" t="s">
        <v>55</v>
      </c>
      <c r="E85" s="10">
        <v>9213293</v>
      </c>
      <c r="F85" s="6" t="s">
        <v>105</v>
      </c>
      <c r="G85" s="6" t="s">
        <v>49</v>
      </c>
      <c r="H85" s="6" t="s">
        <v>1169</v>
      </c>
      <c r="I85" s="7">
        <v>45689</v>
      </c>
      <c r="J85" s="8">
        <v>1</v>
      </c>
      <c r="K85" s="8">
        <v>1</v>
      </c>
      <c r="L85" s="6"/>
      <c r="M85" s="9">
        <v>1</v>
      </c>
      <c r="N85" s="8">
        <v>31.98</v>
      </c>
      <c r="O85" s="6" t="s">
        <v>1148</v>
      </c>
      <c r="P85" s="6" t="s">
        <v>1588</v>
      </c>
      <c r="Q85" s="6"/>
      <c r="R85" s="6"/>
      <c r="S85" s="6"/>
      <c r="T85" s="6"/>
    </row>
    <row r="86" spans="1:20" x14ac:dyDescent="0.25">
      <c r="A86" s="5" t="s">
        <v>1513</v>
      </c>
      <c r="B86" s="5" t="str">
        <f t="shared" si="3"/>
        <v>A041305501</v>
      </c>
      <c r="C86" s="6" t="s">
        <v>1190</v>
      </c>
      <c r="D86" s="6" t="s">
        <v>55</v>
      </c>
      <c r="E86" s="10">
        <v>18754354</v>
      </c>
      <c r="F86" s="6" t="s">
        <v>257</v>
      </c>
      <c r="G86" s="6" t="s">
        <v>49</v>
      </c>
      <c r="H86" s="6" t="s">
        <v>1169</v>
      </c>
      <c r="I86" s="7">
        <v>45658</v>
      </c>
      <c r="J86" s="8">
        <v>1</v>
      </c>
      <c r="K86" s="8">
        <v>1</v>
      </c>
      <c r="L86" s="6"/>
      <c r="M86" s="9">
        <v>1</v>
      </c>
      <c r="N86" s="8">
        <v>31.98</v>
      </c>
      <c r="O86" s="6" t="s">
        <v>1148</v>
      </c>
      <c r="P86" s="6" t="s">
        <v>1588</v>
      </c>
      <c r="Q86" s="6"/>
      <c r="R86" s="6"/>
      <c r="S86" s="6"/>
      <c r="T86" s="6"/>
    </row>
    <row r="87" spans="1:20" x14ac:dyDescent="0.25">
      <c r="A87" s="5" t="s">
        <v>1517</v>
      </c>
      <c r="B87" s="5" t="str">
        <f t="shared" si="3"/>
        <v>A041363381</v>
      </c>
      <c r="C87" s="6" t="s">
        <v>1195</v>
      </c>
      <c r="D87" s="6" t="s">
        <v>55</v>
      </c>
      <c r="E87" s="10">
        <v>18754354</v>
      </c>
      <c r="F87" s="6" t="s">
        <v>257</v>
      </c>
      <c r="G87" s="6" t="s">
        <v>49</v>
      </c>
      <c r="H87" s="6" t="s">
        <v>1169</v>
      </c>
      <c r="I87" s="7">
        <v>45658</v>
      </c>
      <c r="J87" s="8">
        <v>1</v>
      </c>
      <c r="K87" s="8">
        <v>1</v>
      </c>
      <c r="L87" s="6"/>
      <c r="M87" s="9">
        <v>1</v>
      </c>
      <c r="N87" s="8">
        <v>31.98</v>
      </c>
      <c r="O87" s="6" t="s">
        <v>1148</v>
      </c>
      <c r="P87" s="6" t="s">
        <v>1588</v>
      </c>
      <c r="Q87" s="6"/>
      <c r="R87" s="6"/>
      <c r="S87" s="6"/>
      <c r="T87" s="6"/>
    </row>
    <row r="88" spans="1:20" x14ac:dyDescent="0.25">
      <c r="A88" s="5" t="s">
        <v>1518</v>
      </c>
      <c r="B88" s="5" t="str">
        <f t="shared" si="3"/>
        <v>A041370091</v>
      </c>
      <c r="C88" s="6" t="s">
        <v>1196</v>
      </c>
      <c r="D88" s="6" t="s">
        <v>55</v>
      </c>
      <c r="E88" s="10">
        <v>18754354</v>
      </c>
      <c r="F88" s="6" t="s">
        <v>257</v>
      </c>
      <c r="G88" s="6" t="s">
        <v>49</v>
      </c>
      <c r="H88" s="6" t="s">
        <v>1169</v>
      </c>
      <c r="I88" s="7">
        <v>45658</v>
      </c>
      <c r="J88" s="8">
        <v>1</v>
      </c>
      <c r="K88" s="8">
        <v>1</v>
      </c>
      <c r="L88" s="6"/>
      <c r="M88" s="9">
        <v>1</v>
      </c>
      <c r="N88" s="8">
        <v>31.98</v>
      </c>
      <c r="O88" s="6" t="s">
        <v>1148</v>
      </c>
      <c r="P88" s="6" t="s">
        <v>1588</v>
      </c>
      <c r="Q88" s="6"/>
      <c r="R88" s="6"/>
      <c r="S88" s="6"/>
      <c r="T88" s="6"/>
    </row>
    <row r="89" spans="1:20" x14ac:dyDescent="0.25">
      <c r="A89" s="5" t="s">
        <v>1508</v>
      </c>
      <c r="B89" s="5" t="str">
        <f t="shared" si="3"/>
        <v>A041203631</v>
      </c>
      <c r="C89" s="6" t="s">
        <v>1185</v>
      </c>
      <c r="D89" s="6" t="s">
        <v>55</v>
      </c>
      <c r="E89" s="10">
        <v>19200754</v>
      </c>
      <c r="F89" s="6" t="s">
        <v>601</v>
      </c>
      <c r="G89" s="6" t="s">
        <v>49</v>
      </c>
      <c r="H89" s="6" t="s">
        <v>1169</v>
      </c>
      <c r="I89" s="7">
        <v>45597</v>
      </c>
      <c r="J89" s="8">
        <v>1</v>
      </c>
      <c r="K89" s="8">
        <v>1</v>
      </c>
      <c r="L89" s="6"/>
      <c r="M89" s="9">
        <v>1</v>
      </c>
      <c r="N89" s="8">
        <v>31.98</v>
      </c>
      <c r="O89" s="6" t="s">
        <v>1148</v>
      </c>
      <c r="P89" s="6" t="s">
        <v>1588</v>
      </c>
      <c r="Q89" s="6"/>
      <c r="R89" s="6"/>
      <c r="S89" s="6"/>
      <c r="T89" s="6"/>
    </row>
    <row r="90" spans="1:20" x14ac:dyDescent="0.25">
      <c r="A90" s="5" t="s">
        <v>1527</v>
      </c>
      <c r="B90" s="5" t="str">
        <f t="shared" si="3"/>
        <v>A041497611</v>
      </c>
      <c r="C90" s="6" t="s">
        <v>1205</v>
      </c>
      <c r="D90" s="6" t="s">
        <v>55</v>
      </c>
      <c r="E90" s="10">
        <v>19200754</v>
      </c>
      <c r="F90" s="6" t="s">
        <v>601</v>
      </c>
      <c r="G90" s="6" t="s">
        <v>49</v>
      </c>
      <c r="H90" s="6" t="s">
        <v>1169</v>
      </c>
      <c r="I90" s="7">
        <v>45627</v>
      </c>
      <c r="J90" s="8">
        <v>1</v>
      </c>
      <c r="K90" s="8">
        <v>1</v>
      </c>
      <c r="L90" s="6"/>
      <c r="M90" s="9">
        <v>1</v>
      </c>
      <c r="N90" s="8">
        <v>31.98</v>
      </c>
      <c r="O90" s="6" t="s">
        <v>1148</v>
      </c>
      <c r="P90" s="6" t="s">
        <v>1588</v>
      </c>
      <c r="Q90" s="6"/>
      <c r="R90" s="6"/>
      <c r="S90" s="6"/>
      <c r="T90" s="6"/>
    </row>
    <row r="91" spans="1:20" x14ac:dyDescent="0.25">
      <c r="A91" s="5" t="s">
        <v>1560</v>
      </c>
      <c r="B91" s="5" t="str">
        <f t="shared" si="3"/>
        <v>A041952651</v>
      </c>
      <c r="C91" s="6" t="s">
        <v>1242</v>
      </c>
      <c r="D91" s="6" t="s">
        <v>55</v>
      </c>
      <c r="E91" s="10">
        <v>19645587</v>
      </c>
      <c r="F91" s="6" t="s">
        <v>386</v>
      </c>
      <c r="G91" s="6" t="s">
        <v>49</v>
      </c>
      <c r="H91" s="6" t="s">
        <v>1169</v>
      </c>
      <c r="I91" s="7">
        <v>45689</v>
      </c>
      <c r="J91" s="8">
        <v>1</v>
      </c>
      <c r="K91" s="8">
        <v>1</v>
      </c>
      <c r="L91" s="6"/>
      <c r="M91" s="9">
        <v>1</v>
      </c>
      <c r="N91" s="8">
        <v>31.98</v>
      </c>
      <c r="O91" s="6" t="s">
        <v>1148</v>
      </c>
      <c r="P91" s="6" t="s">
        <v>1588</v>
      </c>
      <c r="Q91" s="6"/>
      <c r="R91" s="6"/>
      <c r="S91" s="6"/>
      <c r="T91" s="6"/>
    </row>
    <row r="92" spans="1:20" x14ac:dyDescent="0.25">
      <c r="A92" s="5" t="s">
        <v>1566</v>
      </c>
      <c r="B92" s="5" t="str">
        <f t="shared" si="3"/>
        <v>A042135601</v>
      </c>
      <c r="C92" s="6" t="s">
        <v>1250</v>
      </c>
      <c r="D92" s="6" t="s">
        <v>55</v>
      </c>
      <c r="E92" s="10">
        <v>19645587</v>
      </c>
      <c r="F92" s="6" t="s">
        <v>386</v>
      </c>
      <c r="G92" s="6" t="s">
        <v>49</v>
      </c>
      <c r="H92" s="6" t="s">
        <v>1169</v>
      </c>
      <c r="I92" s="7">
        <v>45689</v>
      </c>
      <c r="J92" s="8">
        <v>1</v>
      </c>
      <c r="K92" s="8">
        <v>1</v>
      </c>
      <c r="L92" s="6"/>
      <c r="M92" s="9">
        <v>1</v>
      </c>
      <c r="N92" s="8">
        <v>31.98</v>
      </c>
      <c r="O92" s="6" t="s">
        <v>1148</v>
      </c>
      <c r="P92" s="6" t="s">
        <v>1588</v>
      </c>
      <c r="Q92" s="6"/>
      <c r="R92" s="6"/>
      <c r="S92" s="6"/>
      <c r="T92" s="6"/>
    </row>
    <row r="93" spans="1:20" x14ac:dyDescent="0.25">
      <c r="A93" s="5" t="s">
        <v>1571</v>
      </c>
      <c r="B93" s="5" t="str">
        <f t="shared" si="3"/>
        <v>A042221781</v>
      </c>
      <c r="C93" s="6" t="s">
        <v>1256</v>
      </c>
      <c r="D93" s="6" t="s">
        <v>55</v>
      </c>
      <c r="E93" s="10">
        <v>19645587</v>
      </c>
      <c r="F93" s="6" t="s">
        <v>386</v>
      </c>
      <c r="G93" s="6" t="s">
        <v>49</v>
      </c>
      <c r="H93" s="6" t="s">
        <v>1169</v>
      </c>
      <c r="I93" s="7">
        <v>45717</v>
      </c>
      <c r="J93" s="8">
        <v>1</v>
      </c>
      <c r="K93" s="8">
        <v>1</v>
      </c>
      <c r="L93" s="6"/>
      <c r="M93" s="9">
        <v>1</v>
      </c>
      <c r="N93" s="8">
        <v>31.98</v>
      </c>
      <c r="O93" s="6" t="s">
        <v>1148</v>
      </c>
      <c r="P93" s="6" t="s">
        <v>1588</v>
      </c>
      <c r="Q93" s="6"/>
      <c r="R93" s="6"/>
      <c r="S93" s="6"/>
      <c r="T93" s="6"/>
    </row>
    <row r="94" spans="1:20" x14ac:dyDescent="0.25">
      <c r="A94" s="5" t="s">
        <v>1551</v>
      </c>
      <c r="B94" s="5" t="str">
        <f t="shared" si="3"/>
        <v>A041781171</v>
      </c>
      <c r="C94" s="6" t="s">
        <v>1232</v>
      </c>
      <c r="D94" s="6" t="s">
        <v>55</v>
      </c>
      <c r="E94" s="10">
        <v>20490188</v>
      </c>
      <c r="F94" s="6" t="s">
        <v>566</v>
      </c>
      <c r="G94" s="6" t="s">
        <v>49</v>
      </c>
      <c r="H94" s="6" t="s">
        <v>1169</v>
      </c>
      <c r="I94" s="7">
        <v>45627</v>
      </c>
      <c r="J94" s="8">
        <v>1</v>
      </c>
      <c r="K94" s="8">
        <v>1</v>
      </c>
      <c r="L94" s="6"/>
      <c r="M94" s="9">
        <v>1</v>
      </c>
      <c r="N94" s="8">
        <v>31.98</v>
      </c>
      <c r="O94" s="6" t="s">
        <v>1148</v>
      </c>
      <c r="P94" s="6" t="s">
        <v>1588</v>
      </c>
      <c r="Q94" s="6"/>
      <c r="R94" s="6"/>
      <c r="S94" s="6"/>
      <c r="T94" s="6"/>
    </row>
    <row r="95" spans="1:20" x14ac:dyDescent="0.25">
      <c r="A95" s="5" t="s">
        <v>1490</v>
      </c>
      <c r="B95" s="5" t="str">
        <f t="shared" si="3"/>
        <v>A037551451</v>
      </c>
      <c r="C95" s="6" t="s">
        <v>1153</v>
      </c>
      <c r="D95" s="6" t="s">
        <v>55</v>
      </c>
      <c r="E95" s="10">
        <v>8325282</v>
      </c>
      <c r="F95" s="6" t="s">
        <v>243</v>
      </c>
      <c r="G95" s="6" t="s">
        <v>49</v>
      </c>
      <c r="H95" s="6" t="s">
        <v>1154</v>
      </c>
      <c r="I95" s="7">
        <v>45627</v>
      </c>
      <c r="J95" s="8">
        <v>1</v>
      </c>
      <c r="K95" s="8">
        <v>1</v>
      </c>
      <c r="L95" s="6"/>
      <c r="M95" s="9">
        <v>1</v>
      </c>
      <c r="N95" s="8">
        <v>28.78</v>
      </c>
      <c r="O95" s="6" t="s">
        <v>1148</v>
      </c>
      <c r="P95" s="6" t="s">
        <v>1589</v>
      </c>
      <c r="Q95" s="6"/>
      <c r="R95" s="6"/>
      <c r="S95" s="6"/>
      <c r="T95" s="6"/>
    </row>
    <row r="96" spans="1:20" x14ac:dyDescent="0.25">
      <c r="A96" s="5" t="s">
        <v>1501</v>
      </c>
      <c r="B96" s="5" t="str">
        <f t="shared" si="3"/>
        <v>A041081521</v>
      </c>
      <c r="C96" s="6" t="s">
        <v>1175</v>
      </c>
      <c r="D96" s="6" t="s">
        <v>1176</v>
      </c>
      <c r="E96" s="10">
        <v>9213293</v>
      </c>
      <c r="F96" s="6" t="s">
        <v>105</v>
      </c>
      <c r="G96" s="6" t="s">
        <v>49</v>
      </c>
      <c r="H96" s="6" t="s">
        <v>1177</v>
      </c>
      <c r="I96" s="7">
        <v>45566</v>
      </c>
      <c r="J96" s="8">
        <v>1</v>
      </c>
      <c r="K96" s="8">
        <v>1</v>
      </c>
      <c r="L96" s="6"/>
      <c r="M96" s="9">
        <v>1</v>
      </c>
      <c r="N96" s="8">
        <v>33</v>
      </c>
      <c r="O96" s="6" t="s">
        <v>1148</v>
      </c>
      <c r="P96" s="6" t="s">
        <v>1591</v>
      </c>
      <c r="Q96" s="6"/>
      <c r="R96" s="6"/>
      <c r="S96" s="6"/>
      <c r="T96" s="6"/>
    </row>
    <row r="97" spans="1:20" x14ac:dyDescent="0.25">
      <c r="A97" s="5" t="s">
        <v>1499</v>
      </c>
      <c r="B97" s="5" t="str">
        <f t="shared" si="3"/>
        <v>A041028101</v>
      </c>
      <c r="C97" s="6" t="s">
        <v>1172</v>
      </c>
      <c r="D97" s="6" t="s">
        <v>133</v>
      </c>
      <c r="E97" s="10">
        <v>19278370</v>
      </c>
      <c r="F97" s="6" t="s">
        <v>965</v>
      </c>
      <c r="G97" s="6" t="s">
        <v>49</v>
      </c>
      <c r="H97" s="6" t="s">
        <v>1173</v>
      </c>
      <c r="I97" s="7">
        <v>45536</v>
      </c>
      <c r="J97" s="8">
        <v>1</v>
      </c>
      <c r="K97" s="8">
        <v>1</v>
      </c>
      <c r="L97" s="6"/>
      <c r="M97" s="9">
        <v>1</v>
      </c>
      <c r="N97" s="8">
        <v>36</v>
      </c>
      <c r="O97" s="6" t="s">
        <v>1148</v>
      </c>
      <c r="P97" s="6" t="s">
        <v>1592</v>
      </c>
      <c r="Q97" s="6"/>
      <c r="R97" s="6"/>
      <c r="S97" s="6"/>
      <c r="T97" s="6"/>
    </row>
    <row r="98" spans="1:20" x14ac:dyDescent="0.25">
      <c r="A98" s="5" t="s">
        <v>1564</v>
      </c>
      <c r="B98" s="5" t="str">
        <f t="shared" si="3"/>
        <v>A042093041</v>
      </c>
      <c r="C98" s="6" t="s">
        <v>1247</v>
      </c>
      <c r="D98" s="6" t="s">
        <v>46</v>
      </c>
      <c r="E98" s="10">
        <v>19681796</v>
      </c>
      <c r="F98" s="6" t="s">
        <v>69</v>
      </c>
      <c r="G98" s="6" t="s">
        <v>49</v>
      </c>
      <c r="H98" s="6" t="s">
        <v>1248</v>
      </c>
      <c r="I98" s="7">
        <v>45689</v>
      </c>
      <c r="J98" s="8">
        <v>1</v>
      </c>
      <c r="K98" s="8">
        <v>1</v>
      </c>
      <c r="L98" s="6"/>
      <c r="M98" s="9">
        <v>1</v>
      </c>
      <c r="N98" s="8">
        <v>40.98</v>
      </c>
      <c r="O98" s="6" t="s">
        <v>1148</v>
      </c>
      <c r="P98" s="6" t="s">
        <v>1594</v>
      </c>
      <c r="Q98" s="6"/>
      <c r="R98" s="6"/>
      <c r="S98" s="6"/>
      <c r="T98" s="6"/>
    </row>
    <row r="99" spans="1:20" x14ac:dyDescent="0.25">
      <c r="A99" s="5" t="s">
        <v>1521</v>
      </c>
      <c r="B99" s="5" t="str">
        <f t="shared" si="3"/>
        <v>A041396111</v>
      </c>
      <c r="C99" s="6" t="s">
        <v>1199</v>
      </c>
      <c r="D99" s="6" t="s">
        <v>345</v>
      </c>
      <c r="E99" s="10">
        <v>16212649</v>
      </c>
      <c r="F99" s="6" t="s">
        <v>587</v>
      </c>
      <c r="G99" s="6" t="s">
        <v>49</v>
      </c>
      <c r="H99" s="6" t="s">
        <v>1200</v>
      </c>
      <c r="I99" s="7">
        <v>45658</v>
      </c>
      <c r="J99" s="8">
        <v>1</v>
      </c>
      <c r="K99" s="8">
        <v>1</v>
      </c>
      <c r="L99" s="6"/>
      <c r="M99" s="9">
        <v>1</v>
      </c>
      <c r="N99" s="8">
        <v>34.85</v>
      </c>
      <c r="O99" s="6" t="s">
        <v>1148</v>
      </c>
      <c r="P99" s="6" t="s">
        <v>1595</v>
      </c>
      <c r="Q99" s="6"/>
      <c r="R99" s="6"/>
      <c r="S99" s="6"/>
      <c r="T99" s="6"/>
    </row>
    <row r="100" spans="1:20" x14ac:dyDescent="0.25">
      <c r="A100" s="5" t="s">
        <v>1573</v>
      </c>
      <c r="B100" s="5" t="str">
        <f t="shared" ref="B100:B131" si="4">CONCATENATE(A100,1)</f>
        <v>A042271211</v>
      </c>
      <c r="C100" s="6" t="s">
        <v>1260</v>
      </c>
      <c r="D100" s="6" t="s">
        <v>345</v>
      </c>
      <c r="E100" s="10">
        <v>16212649</v>
      </c>
      <c r="F100" s="6" t="s">
        <v>587</v>
      </c>
      <c r="G100" s="6" t="s">
        <v>49</v>
      </c>
      <c r="H100" s="6" t="s">
        <v>1200</v>
      </c>
      <c r="I100" s="7">
        <v>45717</v>
      </c>
      <c r="J100" s="8">
        <v>1</v>
      </c>
      <c r="K100" s="8">
        <v>1</v>
      </c>
      <c r="L100" s="6"/>
      <c r="M100" s="9">
        <v>1</v>
      </c>
      <c r="N100" s="8">
        <v>42.21</v>
      </c>
      <c r="O100" s="6" t="s">
        <v>1148</v>
      </c>
      <c r="P100" s="6" t="s">
        <v>1595</v>
      </c>
      <c r="Q100" s="6"/>
      <c r="R100" s="6"/>
      <c r="S100" s="6"/>
      <c r="T100" s="6"/>
    </row>
    <row r="101" spans="1:20" x14ac:dyDescent="0.25">
      <c r="A101" s="5" t="s">
        <v>1574</v>
      </c>
      <c r="B101" s="5" t="str">
        <f t="shared" si="4"/>
        <v>A042286621</v>
      </c>
      <c r="C101" s="6" t="s">
        <v>1261</v>
      </c>
      <c r="D101" s="6" t="s">
        <v>345</v>
      </c>
      <c r="E101" s="10">
        <v>16212649</v>
      </c>
      <c r="F101" s="6" t="s">
        <v>587</v>
      </c>
      <c r="G101" s="6" t="s">
        <v>49</v>
      </c>
      <c r="H101" s="6" t="s">
        <v>1200</v>
      </c>
      <c r="I101" s="7">
        <v>45717</v>
      </c>
      <c r="J101" s="8">
        <v>1</v>
      </c>
      <c r="K101" s="8">
        <v>1</v>
      </c>
      <c r="L101" s="6"/>
      <c r="M101" s="9">
        <v>1</v>
      </c>
      <c r="N101" s="8">
        <v>42.21</v>
      </c>
      <c r="O101" s="6" t="s">
        <v>1148</v>
      </c>
      <c r="P101" s="6" t="s">
        <v>1595</v>
      </c>
      <c r="Q101" s="6"/>
      <c r="R101" s="6"/>
      <c r="S101" s="6"/>
      <c r="T101" s="6"/>
    </row>
    <row r="102" spans="1:20" x14ac:dyDescent="0.25">
      <c r="A102" s="5" t="s">
        <v>1494</v>
      </c>
      <c r="B102" s="5" t="str">
        <f t="shared" si="4"/>
        <v>A040814131</v>
      </c>
      <c r="C102" s="6" t="s">
        <v>1161</v>
      </c>
      <c r="D102" s="6" t="s">
        <v>1162</v>
      </c>
      <c r="E102" s="10">
        <v>17425766</v>
      </c>
      <c r="F102" s="6" t="s">
        <v>86</v>
      </c>
      <c r="G102" s="6" t="s">
        <v>49</v>
      </c>
      <c r="H102" s="6" t="s">
        <v>1163</v>
      </c>
      <c r="I102" s="7">
        <v>45505</v>
      </c>
      <c r="J102" s="8">
        <v>1</v>
      </c>
      <c r="K102" s="8">
        <v>1</v>
      </c>
      <c r="L102" s="6"/>
      <c r="M102" s="9">
        <v>1</v>
      </c>
      <c r="N102" s="8">
        <v>25.02</v>
      </c>
      <c r="O102" s="6" t="s">
        <v>1148</v>
      </c>
      <c r="P102" s="6" t="s">
        <v>1593</v>
      </c>
      <c r="Q102" s="6"/>
      <c r="R102" s="6"/>
      <c r="S102" s="6"/>
      <c r="T102" s="6"/>
    </row>
    <row r="103" spans="1:20" x14ac:dyDescent="0.25">
      <c r="A103" s="5" t="s">
        <v>1568</v>
      </c>
      <c r="B103" s="5" t="str">
        <f t="shared" si="4"/>
        <v>A042190531</v>
      </c>
      <c r="C103" s="6" t="s">
        <v>1252</v>
      </c>
      <c r="D103" s="6" t="s">
        <v>133</v>
      </c>
      <c r="E103" s="10">
        <v>17195620</v>
      </c>
      <c r="F103" s="6" t="s">
        <v>1112</v>
      </c>
      <c r="G103" s="6" t="s">
        <v>49</v>
      </c>
      <c r="H103" s="6" t="s">
        <v>1253</v>
      </c>
      <c r="I103" s="7">
        <v>45689</v>
      </c>
      <c r="J103" s="8">
        <v>1</v>
      </c>
      <c r="K103" s="8">
        <v>1</v>
      </c>
      <c r="L103" s="6"/>
      <c r="M103" s="9">
        <v>1</v>
      </c>
      <c r="N103" s="8">
        <v>30</v>
      </c>
      <c r="O103" s="6" t="s">
        <v>1148</v>
      </c>
      <c r="P103" s="6" t="s">
        <v>1593</v>
      </c>
      <c r="Q103" s="6"/>
      <c r="R103" s="6"/>
      <c r="S103" s="6"/>
      <c r="T103" s="6"/>
    </row>
    <row r="104" spans="1:20" x14ac:dyDescent="0.25">
      <c r="A104" s="5" t="s">
        <v>1565</v>
      </c>
      <c r="B104" s="5" t="str">
        <f t="shared" si="4"/>
        <v>A042124071</v>
      </c>
      <c r="C104" s="6" t="s">
        <v>1249</v>
      </c>
      <c r="D104" s="6" t="s">
        <v>202</v>
      </c>
      <c r="E104" s="10">
        <v>19278370</v>
      </c>
      <c r="F104" s="6" t="s">
        <v>965</v>
      </c>
      <c r="G104" s="6" t="s">
        <v>49</v>
      </c>
      <c r="H104" s="6" t="s">
        <v>1158</v>
      </c>
      <c r="I104" s="7">
        <v>45689</v>
      </c>
      <c r="J104" s="8">
        <v>1</v>
      </c>
      <c r="K104" s="8">
        <v>1</v>
      </c>
      <c r="L104" s="6"/>
      <c r="M104" s="9">
        <v>1</v>
      </c>
      <c r="N104" s="8">
        <v>37.5</v>
      </c>
      <c r="O104" s="6" t="s">
        <v>1148</v>
      </c>
      <c r="P104" s="6" t="s">
        <v>1596</v>
      </c>
      <c r="Q104" s="6"/>
      <c r="R104" s="6"/>
      <c r="S104" s="6"/>
      <c r="T104" s="6"/>
    </row>
    <row r="105" spans="1:20" x14ac:dyDescent="0.25">
      <c r="A105" s="5" t="s">
        <v>1567</v>
      </c>
      <c r="B105" s="5" t="str">
        <f t="shared" si="4"/>
        <v>A042177421</v>
      </c>
      <c r="C105" s="6" t="s">
        <v>1251</v>
      </c>
      <c r="D105" s="6" t="s">
        <v>202</v>
      </c>
      <c r="E105" s="10">
        <v>19278370</v>
      </c>
      <c r="F105" s="6" t="s">
        <v>965</v>
      </c>
      <c r="G105" s="6" t="s">
        <v>49</v>
      </c>
      <c r="H105" s="6" t="s">
        <v>1158</v>
      </c>
      <c r="I105" s="7">
        <v>45689</v>
      </c>
      <c r="J105" s="8">
        <v>1</v>
      </c>
      <c r="K105" s="8">
        <v>1</v>
      </c>
      <c r="L105" s="6"/>
      <c r="M105" s="9">
        <v>1</v>
      </c>
      <c r="N105" s="8">
        <v>37.5</v>
      </c>
      <c r="O105" s="6" t="s">
        <v>1148</v>
      </c>
      <c r="P105" s="6" t="s">
        <v>1596</v>
      </c>
      <c r="Q105" s="6"/>
      <c r="R105" s="6"/>
      <c r="S105" s="6"/>
      <c r="T105" s="6"/>
    </row>
    <row r="106" spans="1:20" x14ac:dyDescent="0.25">
      <c r="A106" s="5" t="s">
        <v>1524</v>
      </c>
      <c r="B106" s="5" t="str">
        <f t="shared" si="4"/>
        <v>A041424651</v>
      </c>
      <c r="C106" s="6" t="s">
        <v>1203</v>
      </c>
      <c r="D106" s="6" t="s">
        <v>202</v>
      </c>
      <c r="E106" s="10">
        <v>19278370</v>
      </c>
      <c r="F106" s="6" t="s">
        <v>965</v>
      </c>
      <c r="G106" s="6" t="s">
        <v>49</v>
      </c>
      <c r="H106" s="6" t="s">
        <v>1158</v>
      </c>
      <c r="I106" s="7">
        <v>45658</v>
      </c>
      <c r="J106" s="8">
        <v>1</v>
      </c>
      <c r="K106" s="8">
        <v>1</v>
      </c>
      <c r="L106" s="6"/>
      <c r="M106" s="9">
        <v>1</v>
      </c>
      <c r="N106" s="8">
        <v>37.5</v>
      </c>
      <c r="O106" s="6" t="s">
        <v>1148</v>
      </c>
      <c r="P106" s="6" t="s">
        <v>1596</v>
      </c>
      <c r="Q106" s="6"/>
      <c r="R106" s="6"/>
      <c r="S106" s="6"/>
      <c r="T106" s="6"/>
    </row>
    <row r="107" spans="1:20" x14ac:dyDescent="0.25">
      <c r="A107" s="5" t="s">
        <v>1563</v>
      </c>
      <c r="B107" s="5" t="str">
        <f t="shared" si="4"/>
        <v>A042054571</v>
      </c>
      <c r="C107" s="6" t="s">
        <v>1246</v>
      </c>
      <c r="D107" s="6" t="s">
        <v>202</v>
      </c>
      <c r="E107" s="10">
        <v>19278370</v>
      </c>
      <c r="F107" s="6" t="s">
        <v>965</v>
      </c>
      <c r="G107" s="6" t="s">
        <v>49</v>
      </c>
      <c r="H107" s="6" t="s">
        <v>1158</v>
      </c>
      <c r="I107" s="7">
        <v>45658</v>
      </c>
      <c r="J107" s="8">
        <v>1</v>
      </c>
      <c r="K107" s="8">
        <v>1</v>
      </c>
      <c r="L107" s="6"/>
      <c r="M107" s="9">
        <v>1</v>
      </c>
      <c r="N107" s="8">
        <v>37.5</v>
      </c>
      <c r="O107" s="6" t="s">
        <v>1148</v>
      </c>
      <c r="P107" s="6" t="s">
        <v>1596</v>
      </c>
      <c r="Q107" s="6"/>
      <c r="R107" s="6"/>
      <c r="S107" s="6"/>
      <c r="T107" s="6"/>
    </row>
    <row r="108" spans="1:20" x14ac:dyDescent="0.25">
      <c r="A108" s="5" t="s">
        <v>1509</v>
      </c>
      <c r="B108" s="5" t="str">
        <f t="shared" si="4"/>
        <v>A041257351</v>
      </c>
      <c r="C108" s="6" t="s">
        <v>1186</v>
      </c>
      <c r="D108" s="6" t="s">
        <v>202</v>
      </c>
      <c r="E108" s="10">
        <v>19278370</v>
      </c>
      <c r="F108" s="6" t="s">
        <v>965</v>
      </c>
      <c r="G108" s="6" t="s">
        <v>49</v>
      </c>
      <c r="H108" s="6" t="s">
        <v>1158</v>
      </c>
      <c r="I108" s="7">
        <v>45566</v>
      </c>
      <c r="J108" s="8">
        <v>1</v>
      </c>
      <c r="K108" s="8">
        <v>1</v>
      </c>
      <c r="L108" s="6"/>
      <c r="M108" s="9">
        <v>1</v>
      </c>
      <c r="N108" s="8">
        <v>37.5</v>
      </c>
      <c r="O108" s="6" t="s">
        <v>1148</v>
      </c>
      <c r="P108" s="6" t="s">
        <v>1596</v>
      </c>
      <c r="Q108" s="6"/>
      <c r="R108" s="6"/>
      <c r="S108" s="6"/>
      <c r="T108" s="6"/>
    </row>
    <row r="109" spans="1:20" x14ac:dyDescent="0.25">
      <c r="A109" s="5" t="s">
        <v>1503</v>
      </c>
      <c r="B109" s="5" t="str">
        <f t="shared" si="4"/>
        <v>A041112521</v>
      </c>
      <c r="C109" s="6" t="s">
        <v>1179</v>
      </c>
      <c r="D109" s="6" t="s">
        <v>202</v>
      </c>
      <c r="E109" s="10">
        <v>19278370</v>
      </c>
      <c r="F109" s="6" t="s">
        <v>965</v>
      </c>
      <c r="G109" s="6" t="s">
        <v>49</v>
      </c>
      <c r="H109" s="6" t="s">
        <v>1158</v>
      </c>
      <c r="I109" s="7">
        <v>45536</v>
      </c>
      <c r="J109" s="8">
        <v>1</v>
      </c>
      <c r="K109" s="8">
        <v>1</v>
      </c>
      <c r="L109" s="6"/>
      <c r="M109" s="9">
        <v>1</v>
      </c>
      <c r="N109" s="8">
        <v>37.5</v>
      </c>
      <c r="O109" s="6" t="s">
        <v>1148</v>
      </c>
      <c r="P109" s="6" t="s">
        <v>1596</v>
      </c>
      <c r="Q109" s="6"/>
      <c r="R109" s="6"/>
      <c r="S109" s="6"/>
      <c r="T109" s="6"/>
    </row>
    <row r="110" spans="1:20" x14ac:dyDescent="0.25">
      <c r="A110" s="5" t="s">
        <v>1504</v>
      </c>
      <c r="B110" s="5" t="str">
        <f t="shared" si="4"/>
        <v>A041117441</v>
      </c>
      <c r="C110" s="6" t="s">
        <v>1180</v>
      </c>
      <c r="D110" s="6" t="s">
        <v>202</v>
      </c>
      <c r="E110" s="10">
        <v>19278370</v>
      </c>
      <c r="F110" s="6" t="s">
        <v>965</v>
      </c>
      <c r="G110" s="6" t="s">
        <v>49</v>
      </c>
      <c r="H110" s="6" t="s">
        <v>1158</v>
      </c>
      <c r="I110" s="7">
        <v>45536</v>
      </c>
      <c r="J110" s="8">
        <v>1</v>
      </c>
      <c r="K110" s="8">
        <v>1</v>
      </c>
      <c r="L110" s="6"/>
      <c r="M110" s="9">
        <v>1</v>
      </c>
      <c r="N110" s="8">
        <v>37.5</v>
      </c>
      <c r="O110" s="6" t="s">
        <v>1148</v>
      </c>
      <c r="P110" s="6" t="s">
        <v>1596</v>
      </c>
      <c r="Q110" s="6"/>
      <c r="R110" s="6"/>
      <c r="S110" s="6"/>
      <c r="T110" s="6"/>
    </row>
    <row r="111" spans="1:20" x14ac:dyDescent="0.25">
      <c r="A111" s="5" t="s">
        <v>1492</v>
      </c>
      <c r="B111" s="5" t="str">
        <f t="shared" si="4"/>
        <v>A040749091</v>
      </c>
      <c r="C111" s="6" t="s">
        <v>1157</v>
      </c>
      <c r="D111" s="6" t="s">
        <v>202</v>
      </c>
      <c r="E111" s="10">
        <v>19278370</v>
      </c>
      <c r="F111" s="6" t="s">
        <v>965</v>
      </c>
      <c r="G111" s="6" t="s">
        <v>49</v>
      </c>
      <c r="H111" s="6" t="s">
        <v>1158</v>
      </c>
      <c r="I111" s="7">
        <v>45474</v>
      </c>
      <c r="J111" s="8">
        <v>1</v>
      </c>
      <c r="K111" s="8">
        <v>1</v>
      </c>
      <c r="L111" s="6"/>
      <c r="M111" s="9">
        <v>1</v>
      </c>
      <c r="N111" s="8">
        <v>37.5</v>
      </c>
      <c r="O111" s="6" t="s">
        <v>1148</v>
      </c>
      <c r="P111" s="6" t="s">
        <v>1596</v>
      </c>
      <c r="Q111" s="6"/>
      <c r="R111" s="6"/>
      <c r="S111" s="6"/>
      <c r="T111" s="6"/>
    </row>
    <row r="112" spans="1:20" x14ac:dyDescent="0.25">
      <c r="A112" s="5" t="s">
        <v>1533</v>
      </c>
      <c r="B112" s="5" t="str">
        <f t="shared" si="4"/>
        <v>A041561191</v>
      </c>
      <c r="C112" s="6" t="s">
        <v>1211</v>
      </c>
      <c r="D112" s="6" t="s">
        <v>202</v>
      </c>
      <c r="E112" s="10">
        <v>19278370</v>
      </c>
      <c r="F112" s="6" t="s">
        <v>965</v>
      </c>
      <c r="G112" s="6" t="s">
        <v>49</v>
      </c>
      <c r="H112" s="6" t="s">
        <v>1167</v>
      </c>
      <c r="I112" s="7">
        <v>45658</v>
      </c>
      <c r="J112" s="8">
        <v>1</v>
      </c>
      <c r="K112" s="8">
        <v>1</v>
      </c>
      <c r="L112" s="6"/>
      <c r="M112" s="9">
        <v>1</v>
      </c>
      <c r="N112" s="8">
        <v>31.02</v>
      </c>
      <c r="O112" s="6" t="s">
        <v>1148</v>
      </c>
      <c r="P112" s="6" t="s">
        <v>1597</v>
      </c>
      <c r="Q112" s="6"/>
      <c r="R112" s="6"/>
      <c r="S112" s="6"/>
      <c r="T112" s="6"/>
    </row>
    <row r="113" spans="1:20" x14ac:dyDescent="0.25">
      <c r="A113" s="5" t="s">
        <v>1556</v>
      </c>
      <c r="B113" s="5" t="str">
        <f t="shared" si="4"/>
        <v>A041903401</v>
      </c>
      <c r="C113" s="6" t="s">
        <v>1238</v>
      </c>
      <c r="D113" s="6" t="s">
        <v>202</v>
      </c>
      <c r="E113" s="10">
        <v>19278370</v>
      </c>
      <c r="F113" s="6" t="s">
        <v>965</v>
      </c>
      <c r="G113" s="6" t="s">
        <v>49</v>
      </c>
      <c r="H113" s="6" t="s">
        <v>1167</v>
      </c>
      <c r="I113" s="7">
        <v>45658</v>
      </c>
      <c r="J113" s="8">
        <v>1</v>
      </c>
      <c r="K113" s="8">
        <v>1</v>
      </c>
      <c r="L113" s="6"/>
      <c r="M113" s="9">
        <v>1</v>
      </c>
      <c r="N113" s="8">
        <v>31.02</v>
      </c>
      <c r="O113" s="6" t="s">
        <v>1148</v>
      </c>
      <c r="P113" s="6" t="s">
        <v>1597</v>
      </c>
      <c r="Q113" s="6"/>
      <c r="R113" s="6"/>
      <c r="S113" s="6"/>
      <c r="T113" s="6"/>
    </row>
    <row r="114" spans="1:20" x14ac:dyDescent="0.25">
      <c r="A114" s="5" t="s">
        <v>1496</v>
      </c>
      <c r="B114" s="5" t="str">
        <f t="shared" si="4"/>
        <v>A040865931</v>
      </c>
      <c r="C114" s="6" t="s">
        <v>1166</v>
      </c>
      <c r="D114" s="6" t="s">
        <v>202</v>
      </c>
      <c r="E114" s="10">
        <v>19278370</v>
      </c>
      <c r="F114" s="6" t="s">
        <v>965</v>
      </c>
      <c r="G114" s="6" t="s">
        <v>49</v>
      </c>
      <c r="H114" s="6" t="s">
        <v>1167</v>
      </c>
      <c r="I114" s="7">
        <v>45505</v>
      </c>
      <c r="J114" s="8">
        <v>1</v>
      </c>
      <c r="K114" s="8">
        <v>1</v>
      </c>
      <c r="L114" s="6"/>
      <c r="M114" s="9">
        <v>1</v>
      </c>
      <c r="N114" s="8">
        <v>31.02</v>
      </c>
      <c r="O114" s="6" t="s">
        <v>1148</v>
      </c>
      <c r="P114" s="6" t="s">
        <v>1597</v>
      </c>
      <c r="Q114" s="6"/>
      <c r="R114" s="6"/>
      <c r="S114" s="6"/>
      <c r="T114" s="6"/>
    </row>
    <row r="115" spans="1:20" x14ac:dyDescent="0.25">
      <c r="A115" s="5" t="s">
        <v>1558</v>
      </c>
      <c r="B115" s="5" t="str">
        <f t="shared" si="4"/>
        <v>A041930331</v>
      </c>
      <c r="C115" s="6" t="s">
        <v>1240</v>
      </c>
      <c r="D115" s="6" t="s">
        <v>202</v>
      </c>
      <c r="E115" s="10">
        <v>19278370</v>
      </c>
      <c r="F115" s="6" t="s">
        <v>965</v>
      </c>
      <c r="G115" s="6" t="s">
        <v>49</v>
      </c>
      <c r="H115" s="6" t="s">
        <v>1171</v>
      </c>
      <c r="I115" s="7">
        <v>45689</v>
      </c>
      <c r="J115" s="8">
        <v>1</v>
      </c>
      <c r="K115" s="8">
        <v>1</v>
      </c>
      <c r="L115" s="6"/>
      <c r="M115" s="9">
        <v>1</v>
      </c>
      <c r="N115" s="8">
        <v>36.479999999999997</v>
      </c>
      <c r="O115" s="6" t="s">
        <v>1148</v>
      </c>
      <c r="P115" s="6" t="s">
        <v>1598</v>
      </c>
      <c r="Q115" s="6"/>
      <c r="R115" s="6"/>
      <c r="S115" s="6"/>
      <c r="T115" s="6"/>
    </row>
    <row r="116" spans="1:20" x14ac:dyDescent="0.25">
      <c r="A116" s="5" t="s">
        <v>1569</v>
      </c>
      <c r="B116" s="5" t="str">
        <f t="shared" si="4"/>
        <v>A042193761</v>
      </c>
      <c r="C116" s="6" t="s">
        <v>1254</v>
      </c>
      <c r="D116" s="6" t="s">
        <v>202</v>
      </c>
      <c r="E116" s="10">
        <v>19278370</v>
      </c>
      <c r="F116" s="6" t="s">
        <v>965</v>
      </c>
      <c r="G116" s="6" t="s">
        <v>49</v>
      </c>
      <c r="H116" s="6" t="s">
        <v>1171</v>
      </c>
      <c r="I116" s="7">
        <v>45689</v>
      </c>
      <c r="J116" s="8">
        <v>1</v>
      </c>
      <c r="K116" s="8">
        <v>1</v>
      </c>
      <c r="L116" s="6"/>
      <c r="M116" s="9">
        <v>1</v>
      </c>
      <c r="N116" s="8">
        <v>36.479999999999997</v>
      </c>
      <c r="O116" s="6" t="s">
        <v>1148</v>
      </c>
      <c r="P116" s="6" t="s">
        <v>1598</v>
      </c>
      <c r="Q116" s="6"/>
      <c r="R116" s="6"/>
      <c r="S116" s="6"/>
      <c r="T116" s="6"/>
    </row>
    <row r="117" spans="1:20" x14ac:dyDescent="0.25">
      <c r="A117" s="5" t="s">
        <v>1536</v>
      </c>
      <c r="B117" s="5" t="str">
        <f t="shared" si="4"/>
        <v>A041617511</v>
      </c>
      <c r="C117" s="6" t="s">
        <v>1213</v>
      </c>
      <c r="D117" s="6" t="s">
        <v>202</v>
      </c>
      <c r="E117" s="10">
        <v>19278370</v>
      </c>
      <c r="F117" s="6" t="s">
        <v>965</v>
      </c>
      <c r="G117" s="6" t="s">
        <v>49</v>
      </c>
      <c r="H117" s="6" t="s">
        <v>1171</v>
      </c>
      <c r="I117" s="7">
        <v>45658</v>
      </c>
      <c r="J117" s="8">
        <v>1</v>
      </c>
      <c r="K117" s="8">
        <v>1</v>
      </c>
      <c r="L117" s="6"/>
      <c r="M117" s="9">
        <v>1</v>
      </c>
      <c r="N117" s="8">
        <v>36.479999999999997</v>
      </c>
      <c r="O117" s="6" t="s">
        <v>1148</v>
      </c>
      <c r="P117" s="6" t="s">
        <v>1598</v>
      </c>
      <c r="Q117" s="6"/>
      <c r="R117" s="6"/>
      <c r="S117" s="6"/>
      <c r="T117" s="6"/>
    </row>
    <row r="118" spans="1:20" x14ac:dyDescent="0.25">
      <c r="A118" s="5" t="s">
        <v>1522</v>
      </c>
      <c r="B118" s="5" t="str">
        <f t="shared" si="4"/>
        <v>A041410021</v>
      </c>
      <c r="C118" s="6" t="s">
        <v>1201</v>
      </c>
      <c r="D118" s="6" t="s">
        <v>202</v>
      </c>
      <c r="E118" s="10">
        <v>19278370</v>
      </c>
      <c r="F118" s="6" t="s">
        <v>965</v>
      </c>
      <c r="G118" s="6" t="s">
        <v>49</v>
      </c>
      <c r="H118" s="6" t="s">
        <v>1171</v>
      </c>
      <c r="I118" s="7">
        <v>45627</v>
      </c>
      <c r="J118" s="8">
        <v>1</v>
      </c>
      <c r="K118" s="8">
        <v>1</v>
      </c>
      <c r="L118" s="6"/>
      <c r="M118" s="9">
        <v>1</v>
      </c>
      <c r="N118" s="8">
        <v>36.479999999999997</v>
      </c>
      <c r="O118" s="6" t="s">
        <v>1148</v>
      </c>
      <c r="P118" s="6" t="s">
        <v>1598</v>
      </c>
      <c r="Q118" s="6"/>
      <c r="R118" s="6"/>
      <c r="S118" s="6"/>
      <c r="T118" s="6"/>
    </row>
    <row r="119" spans="1:20" x14ac:dyDescent="0.25">
      <c r="A119" s="5" t="s">
        <v>1523</v>
      </c>
      <c r="B119" s="5" t="str">
        <f t="shared" si="4"/>
        <v>A041410961</v>
      </c>
      <c r="C119" s="6" t="s">
        <v>1202</v>
      </c>
      <c r="D119" s="6" t="s">
        <v>202</v>
      </c>
      <c r="E119" s="10">
        <v>19278370</v>
      </c>
      <c r="F119" s="6" t="s">
        <v>965</v>
      </c>
      <c r="G119" s="6" t="s">
        <v>49</v>
      </c>
      <c r="H119" s="6" t="s">
        <v>1171</v>
      </c>
      <c r="I119" s="7">
        <v>45627</v>
      </c>
      <c r="J119" s="8">
        <v>1</v>
      </c>
      <c r="K119" s="8">
        <v>1</v>
      </c>
      <c r="L119" s="6"/>
      <c r="M119" s="9">
        <v>1</v>
      </c>
      <c r="N119" s="8">
        <v>36.479999999999997</v>
      </c>
      <c r="O119" s="6" t="s">
        <v>1148</v>
      </c>
      <c r="P119" s="6" t="s">
        <v>1598</v>
      </c>
      <c r="Q119" s="6"/>
      <c r="R119" s="6"/>
      <c r="S119" s="6"/>
      <c r="T119" s="6"/>
    </row>
    <row r="120" spans="1:20" x14ac:dyDescent="0.25">
      <c r="A120" s="5" t="s">
        <v>1505</v>
      </c>
      <c r="B120" s="5" t="str">
        <f t="shared" si="4"/>
        <v>A041122781</v>
      </c>
      <c r="C120" s="6" t="s">
        <v>1181</v>
      </c>
      <c r="D120" s="6" t="s">
        <v>202</v>
      </c>
      <c r="E120" s="10">
        <v>19278370</v>
      </c>
      <c r="F120" s="6" t="s">
        <v>965</v>
      </c>
      <c r="G120" s="6" t="s">
        <v>49</v>
      </c>
      <c r="H120" s="6" t="s">
        <v>1171</v>
      </c>
      <c r="I120" s="7">
        <v>45536</v>
      </c>
      <c r="J120" s="8">
        <v>1</v>
      </c>
      <c r="K120" s="8">
        <v>1</v>
      </c>
      <c r="L120" s="6"/>
      <c r="M120" s="9">
        <v>1</v>
      </c>
      <c r="N120" s="8">
        <v>36.479999999999997</v>
      </c>
      <c r="O120" s="6" t="s">
        <v>1148</v>
      </c>
      <c r="P120" s="6" t="s">
        <v>1598</v>
      </c>
      <c r="Q120" s="6"/>
      <c r="R120" s="6"/>
      <c r="S120" s="6"/>
      <c r="T120" s="6"/>
    </row>
    <row r="121" spans="1:20" x14ac:dyDescent="0.25">
      <c r="A121" s="5" t="s">
        <v>1552</v>
      </c>
      <c r="B121" s="5" t="str">
        <f t="shared" si="4"/>
        <v>A041823201</v>
      </c>
      <c r="C121" s="6" t="s">
        <v>1233</v>
      </c>
      <c r="D121" s="6" t="s">
        <v>202</v>
      </c>
      <c r="E121" s="10">
        <v>17425766</v>
      </c>
      <c r="F121" s="6" t="s">
        <v>86</v>
      </c>
      <c r="G121" s="6" t="s">
        <v>49</v>
      </c>
      <c r="H121" s="6" t="s">
        <v>1171</v>
      </c>
      <c r="I121" s="7">
        <v>45658</v>
      </c>
      <c r="J121" s="8">
        <v>1</v>
      </c>
      <c r="K121" s="8">
        <v>1</v>
      </c>
      <c r="L121" s="6"/>
      <c r="M121" s="9">
        <v>1</v>
      </c>
      <c r="N121" s="8">
        <v>36.479999999999997</v>
      </c>
      <c r="O121" s="6" t="s">
        <v>1148</v>
      </c>
      <c r="P121" s="6" t="s">
        <v>1598</v>
      </c>
      <c r="Q121" s="6"/>
      <c r="R121" s="6"/>
      <c r="S121" s="6"/>
      <c r="T121" s="6"/>
    </row>
    <row r="122" spans="1:20" x14ac:dyDescent="0.25">
      <c r="A122" s="5" t="s">
        <v>1526</v>
      </c>
      <c r="B122" s="5" t="str">
        <f t="shared" si="4"/>
        <v>A041483861</v>
      </c>
      <c r="C122" s="6" t="s">
        <v>1204</v>
      </c>
      <c r="D122" s="6" t="s">
        <v>202</v>
      </c>
      <c r="E122" s="10">
        <v>17528908</v>
      </c>
      <c r="F122" s="6" t="s">
        <v>212</v>
      </c>
      <c r="G122" s="6" t="s">
        <v>49</v>
      </c>
      <c r="H122" s="6" t="s">
        <v>1171</v>
      </c>
      <c r="I122" s="7">
        <v>45658</v>
      </c>
      <c r="J122" s="8">
        <v>1</v>
      </c>
      <c r="K122" s="8">
        <v>1</v>
      </c>
      <c r="L122" s="6"/>
      <c r="M122" s="9">
        <v>1</v>
      </c>
      <c r="N122" s="8">
        <v>36.479999999999997</v>
      </c>
      <c r="O122" s="6" t="s">
        <v>1148</v>
      </c>
      <c r="P122" s="6" t="s">
        <v>1598</v>
      </c>
      <c r="Q122" s="6"/>
      <c r="R122" s="6"/>
      <c r="S122" s="6"/>
      <c r="T122" s="6"/>
    </row>
    <row r="123" spans="1:20" x14ac:dyDescent="0.25">
      <c r="A123" s="5" t="s">
        <v>1498</v>
      </c>
      <c r="B123" s="5" t="str">
        <f t="shared" si="4"/>
        <v>A040923891</v>
      </c>
      <c r="C123" s="6" t="s">
        <v>1170</v>
      </c>
      <c r="D123" s="6" t="s">
        <v>202</v>
      </c>
      <c r="E123" s="10">
        <v>16509456</v>
      </c>
      <c r="F123" s="6" t="s">
        <v>99</v>
      </c>
      <c r="G123" s="6" t="s">
        <v>49</v>
      </c>
      <c r="H123" s="6" t="s">
        <v>1171</v>
      </c>
      <c r="I123" s="7">
        <v>45536</v>
      </c>
      <c r="J123" s="8">
        <v>1</v>
      </c>
      <c r="K123" s="8">
        <v>1</v>
      </c>
      <c r="L123" s="6"/>
      <c r="M123" s="9">
        <v>1</v>
      </c>
      <c r="N123" s="8">
        <v>36.479999999999997</v>
      </c>
      <c r="O123" s="6" t="s">
        <v>1148</v>
      </c>
      <c r="P123" s="6" t="s">
        <v>1598</v>
      </c>
      <c r="Q123" s="6"/>
      <c r="R123" s="6"/>
      <c r="S123" s="6"/>
      <c r="T123" s="6"/>
    </row>
    <row r="124" spans="1:20" x14ac:dyDescent="0.25">
      <c r="A124" s="5" t="s">
        <v>1537</v>
      </c>
      <c r="B124" s="5" t="str">
        <f t="shared" si="4"/>
        <v>A041627081</v>
      </c>
      <c r="C124" s="6" t="s">
        <v>1214</v>
      </c>
      <c r="D124" s="6" t="s">
        <v>202</v>
      </c>
      <c r="E124" s="10">
        <v>17528908</v>
      </c>
      <c r="F124" s="6" t="s">
        <v>212</v>
      </c>
      <c r="G124" s="6" t="s">
        <v>49</v>
      </c>
      <c r="H124" s="6" t="s">
        <v>1215</v>
      </c>
      <c r="I124" s="7">
        <v>45627</v>
      </c>
      <c r="J124" s="8">
        <v>1</v>
      </c>
      <c r="K124" s="8">
        <v>1</v>
      </c>
      <c r="L124" s="6"/>
      <c r="M124" s="9">
        <v>1</v>
      </c>
      <c r="N124" s="8">
        <v>35.520000000000003</v>
      </c>
      <c r="O124" s="6" t="s">
        <v>1148</v>
      </c>
      <c r="P124" s="6" t="s">
        <v>1600</v>
      </c>
      <c r="Q124" s="6"/>
      <c r="R124" s="6"/>
      <c r="S124" s="6"/>
      <c r="T124" s="6"/>
    </row>
    <row r="125" spans="1:20" x14ac:dyDescent="0.25">
      <c r="A125" s="5" t="s">
        <v>1538</v>
      </c>
      <c r="B125" s="5" t="str">
        <f t="shared" si="4"/>
        <v>A041628441</v>
      </c>
      <c r="C125" s="6" t="s">
        <v>712</v>
      </c>
      <c r="D125" s="6" t="s">
        <v>202</v>
      </c>
      <c r="E125" s="10">
        <v>17528908</v>
      </c>
      <c r="F125" s="6" t="s">
        <v>212</v>
      </c>
      <c r="G125" s="6" t="s">
        <v>49</v>
      </c>
      <c r="H125" s="6" t="s">
        <v>1215</v>
      </c>
      <c r="I125" s="7">
        <v>45627</v>
      </c>
      <c r="J125" s="8">
        <v>1</v>
      </c>
      <c r="K125" s="8">
        <v>1</v>
      </c>
      <c r="L125" s="6"/>
      <c r="M125" s="9">
        <v>1</v>
      </c>
      <c r="N125" s="8">
        <v>35.520000000000003</v>
      </c>
      <c r="O125" s="6" t="s">
        <v>1148</v>
      </c>
      <c r="P125" s="6" t="s">
        <v>1600</v>
      </c>
      <c r="Q125" s="6"/>
      <c r="R125" s="6"/>
      <c r="S125" s="6"/>
      <c r="T125" s="6"/>
    </row>
    <row r="126" spans="1:20" x14ac:dyDescent="0.25">
      <c r="A126" s="5" t="s">
        <v>1493</v>
      </c>
      <c r="B126" s="5" t="str">
        <f t="shared" si="4"/>
        <v>A040787281</v>
      </c>
      <c r="C126" s="6" t="s">
        <v>1159</v>
      </c>
      <c r="D126" s="6" t="s">
        <v>202</v>
      </c>
      <c r="E126" s="10">
        <v>17528908</v>
      </c>
      <c r="F126" s="6" t="s">
        <v>212</v>
      </c>
      <c r="G126" s="6" t="s">
        <v>49</v>
      </c>
      <c r="H126" s="6" t="s">
        <v>1160</v>
      </c>
      <c r="I126" s="7">
        <v>45474</v>
      </c>
      <c r="J126" s="8">
        <v>1</v>
      </c>
      <c r="K126" s="8">
        <v>1</v>
      </c>
      <c r="L126" s="6"/>
      <c r="M126" s="9">
        <v>1</v>
      </c>
      <c r="N126" s="8">
        <v>1.3</v>
      </c>
      <c r="O126" s="6" t="s">
        <v>1148</v>
      </c>
      <c r="P126" s="6" t="s">
        <v>1599</v>
      </c>
      <c r="Q126" s="6"/>
      <c r="R126" s="6"/>
      <c r="S126" s="6"/>
      <c r="T126" s="6"/>
    </row>
    <row r="127" spans="1:20" x14ac:dyDescent="0.25">
      <c r="A127" s="5" t="s">
        <v>1506</v>
      </c>
      <c r="B127" s="5" t="str">
        <f t="shared" si="4"/>
        <v>A041136271</v>
      </c>
      <c r="C127" s="6" t="s">
        <v>1182</v>
      </c>
      <c r="D127" s="6" t="s">
        <v>202</v>
      </c>
      <c r="E127" s="10">
        <v>18710070</v>
      </c>
      <c r="F127" s="6" t="s">
        <v>307</v>
      </c>
      <c r="G127" s="6" t="s">
        <v>49</v>
      </c>
      <c r="H127" s="6" t="s">
        <v>1183</v>
      </c>
      <c r="I127" s="7">
        <v>45566</v>
      </c>
      <c r="J127" s="8">
        <v>1</v>
      </c>
      <c r="K127" s="8">
        <v>1</v>
      </c>
      <c r="L127" s="6"/>
      <c r="M127" s="9">
        <v>1</v>
      </c>
      <c r="N127" s="8">
        <v>25.98</v>
      </c>
      <c r="O127" s="6" t="s">
        <v>1148</v>
      </c>
      <c r="P127" s="6" t="s">
        <v>1599</v>
      </c>
      <c r="Q127" s="6"/>
      <c r="R127" s="6"/>
      <c r="S127" s="6"/>
      <c r="T127" s="6"/>
    </row>
    <row r="128" spans="1:20" x14ac:dyDescent="0.25">
      <c r="A128" s="5" t="s">
        <v>1549</v>
      </c>
      <c r="B128" s="5" t="str">
        <f t="shared" si="4"/>
        <v>A041768601</v>
      </c>
      <c r="C128" s="6" t="s">
        <v>1229</v>
      </c>
      <c r="D128" s="6" t="s">
        <v>202</v>
      </c>
      <c r="E128" s="10">
        <v>16212649</v>
      </c>
      <c r="F128" s="6" t="s">
        <v>587</v>
      </c>
      <c r="G128" s="6" t="s">
        <v>49</v>
      </c>
      <c r="H128" s="6" t="s">
        <v>1230</v>
      </c>
      <c r="I128" s="7">
        <v>45627</v>
      </c>
      <c r="J128" s="8">
        <v>1</v>
      </c>
      <c r="K128" s="8">
        <v>1</v>
      </c>
      <c r="L128" s="6"/>
      <c r="M128" s="9">
        <v>1</v>
      </c>
      <c r="N128" s="8">
        <v>27.48</v>
      </c>
      <c r="O128" s="6" t="s">
        <v>1148</v>
      </c>
      <c r="P128" s="6" t="s">
        <v>1602</v>
      </c>
      <c r="Q128" s="6"/>
      <c r="R128" s="6"/>
      <c r="S128" s="6"/>
      <c r="T128" s="6"/>
    </row>
    <row r="129" spans="1:20" x14ac:dyDescent="0.25">
      <c r="A129" s="5" t="s">
        <v>1550</v>
      </c>
      <c r="B129" s="5" t="str">
        <f t="shared" si="4"/>
        <v>A041769921</v>
      </c>
      <c r="C129" s="6" t="s">
        <v>1231</v>
      </c>
      <c r="D129" s="6" t="s">
        <v>202</v>
      </c>
      <c r="E129" s="10">
        <v>16212649</v>
      </c>
      <c r="F129" s="6" t="s">
        <v>587</v>
      </c>
      <c r="G129" s="6" t="s">
        <v>49</v>
      </c>
      <c r="H129" s="6" t="s">
        <v>1230</v>
      </c>
      <c r="I129" s="7">
        <v>45627</v>
      </c>
      <c r="J129" s="8">
        <v>1</v>
      </c>
      <c r="K129" s="8">
        <v>1</v>
      </c>
      <c r="L129" s="6"/>
      <c r="M129" s="9">
        <v>1</v>
      </c>
      <c r="N129" s="8">
        <v>27.48</v>
      </c>
      <c r="O129" s="6" t="s">
        <v>1148</v>
      </c>
      <c r="P129" s="6" t="s">
        <v>1602</v>
      </c>
      <c r="Q129" s="6"/>
      <c r="R129" s="6"/>
      <c r="S129" s="6"/>
      <c r="T129" s="6"/>
    </row>
    <row r="130" spans="1:20" x14ac:dyDescent="0.25">
      <c r="A130" s="5" t="s">
        <v>1489</v>
      </c>
      <c r="B130" s="5" t="str">
        <f t="shared" si="4"/>
        <v>A037226851</v>
      </c>
      <c r="C130" s="6" t="s">
        <v>1151</v>
      </c>
      <c r="D130" s="6" t="s">
        <v>202</v>
      </c>
      <c r="E130" s="10">
        <v>19278370</v>
      </c>
      <c r="F130" s="6" t="s">
        <v>965</v>
      </c>
      <c r="G130" s="6" t="s">
        <v>49</v>
      </c>
      <c r="H130" s="6" t="s">
        <v>1152</v>
      </c>
      <c r="I130" s="7">
        <v>45689</v>
      </c>
      <c r="J130" s="8">
        <v>1</v>
      </c>
      <c r="K130" s="8">
        <v>1</v>
      </c>
      <c r="L130" s="6"/>
      <c r="M130" s="9">
        <v>1</v>
      </c>
      <c r="N130" s="8">
        <v>24.73</v>
      </c>
      <c r="O130" s="6" t="s">
        <v>1148</v>
      </c>
      <c r="P130" s="6" t="s">
        <v>1603</v>
      </c>
      <c r="Q130" s="6"/>
      <c r="R130" s="6"/>
      <c r="S130" s="6"/>
      <c r="T130" s="6"/>
    </row>
    <row r="131" spans="1:20" x14ac:dyDescent="0.25">
      <c r="A131" s="5" t="s">
        <v>1491</v>
      </c>
      <c r="B131" s="5" t="str">
        <f t="shared" si="4"/>
        <v>A037778171</v>
      </c>
      <c r="C131" s="6" t="s">
        <v>1155</v>
      </c>
      <c r="D131" s="6" t="s">
        <v>202</v>
      </c>
      <c r="E131" s="10">
        <v>17425766</v>
      </c>
      <c r="F131" s="6" t="s">
        <v>86</v>
      </c>
      <c r="G131" s="6" t="s">
        <v>106</v>
      </c>
      <c r="H131" s="6" t="s">
        <v>1156</v>
      </c>
      <c r="I131" s="7">
        <v>45597</v>
      </c>
      <c r="J131" s="8">
        <v>1</v>
      </c>
      <c r="K131" s="8">
        <v>1</v>
      </c>
      <c r="L131" s="6"/>
      <c r="M131" s="9">
        <v>1</v>
      </c>
      <c r="N131" s="8">
        <v>22.52</v>
      </c>
      <c r="O131" s="6" t="s">
        <v>1148</v>
      </c>
      <c r="P131" s="6" t="s">
        <v>1604</v>
      </c>
      <c r="Q131" s="6"/>
      <c r="R131" s="6"/>
      <c r="S131" s="6"/>
      <c r="T131" s="6"/>
    </row>
    <row r="132" spans="1:20" x14ac:dyDescent="0.25">
      <c r="A132" s="5">
        <v>926202494</v>
      </c>
      <c r="B132" s="5" t="str">
        <f t="shared" ref="B132:B163" si="5">CONCATENATE(A132,1)</f>
        <v>9262024941</v>
      </c>
      <c r="C132" s="6" t="s">
        <v>428</v>
      </c>
      <c r="D132" s="6" t="s">
        <v>429</v>
      </c>
      <c r="E132" s="10">
        <v>9213293</v>
      </c>
      <c r="F132" s="6" t="s">
        <v>105</v>
      </c>
      <c r="G132" s="6" t="s">
        <v>106</v>
      </c>
      <c r="H132" s="6" t="s">
        <v>430</v>
      </c>
      <c r="I132" s="7">
        <v>45992</v>
      </c>
      <c r="J132" s="8">
        <v>0</v>
      </c>
      <c r="K132" s="8">
        <v>26.08</v>
      </c>
      <c r="L132" s="6">
        <v>1</v>
      </c>
      <c r="M132" s="9">
        <v>1</v>
      </c>
      <c r="N132" s="8">
        <v>26.08</v>
      </c>
      <c r="O132" s="6" t="s">
        <v>431</v>
      </c>
      <c r="P132" s="6" t="s">
        <v>1609</v>
      </c>
      <c r="Q132" s="6" t="s">
        <v>1610</v>
      </c>
      <c r="R132" s="6"/>
      <c r="S132" s="6"/>
      <c r="T132" s="6"/>
    </row>
    <row r="133" spans="1:20" x14ac:dyDescent="0.25">
      <c r="A133" s="5">
        <v>921791977</v>
      </c>
      <c r="B133" s="5" t="str">
        <f t="shared" ref="B133:B142" si="6">CONCATENATE(A133,11)</f>
        <v>92179197711</v>
      </c>
      <c r="C133" s="6" t="s">
        <v>422</v>
      </c>
      <c r="D133" s="6" t="s">
        <v>287</v>
      </c>
      <c r="E133" s="10">
        <v>21435997</v>
      </c>
      <c r="F133" s="6" t="s">
        <v>323</v>
      </c>
      <c r="G133" s="6" t="s">
        <v>49</v>
      </c>
      <c r="H133" s="6" t="s">
        <v>411</v>
      </c>
      <c r="I133" s="7">
        <v>46054</v>
      </c>
      <c r="J133" s="8">
        <v>0</v>
      </c>
      <c r="K133" s="8">
        <v>318.08</v>
      </c>
      <c r="L133" s="6">
        <v>1</v>
      </c>
      <c r="M133" s="9">
        <v>1</v>
      </c>
      <c r="N133" s="8">
        <v>318.08</v>
      </c>
      <c r="O133" s="6" t="s">
        <v>245</v>
      </c>
      <c r="P133" s="6" t="s">
        <v>1612</v>
      </c>
      <c r="Q133" s="6" t="s">
        <v>1614</v>
      </c>
      <c r="R133" s="6"/>
      <c r="S133" s="6"/>
      <c r="T133" s="6"/>
    </row>
    <row r="134" spans="1:20" x14ac:dyDescent="0.25">
      <c r="A134" s="5">
        <v>959417814</v>
      </c>
      <c r="B134" s="5" t="str">
        <f t="shared" si="6"/>
        <v>95941781411</v>
      </c>
      <c r="C134" s="6" t="s">
        <v>450</v>
      </c>
      <c r="D134" s="6" t="s">
        <v>451</v>
      </c>
      <c r="E134" s="10">
        <v>9213293</v>
      </c>
      <c r="F134" s="6" t="s">
        <v>105</v>
      </c>
      <c r="G134" s="6" t="s">
        <v>49</v>
      </c>
      <c r="H134" s="6" t="s">
        <v>411</v>
      </c>
      <c r="I134" s="7">
        <v>46054</v>
      </c>
      <c r="J134" s="8">
        <v>0</v>
      </c>
      <c r="K134" s="8">
        <v>318.08</v>
      </c>
      <c r="L134" s="6">
        <v>1</v>
      </c>
      <c r="M134" s="9">
        <v>1</v>
      </c>
      <c r="N134" s="8">
        <v>318.08</v>
      </c>
      <c r="O134" s="6" t="s">
        <v>245</v>
      </c>
      <c r="P134" s="6" t="s">
        <v>1612</v>
      </c>
      <c r="Q134" s="6" t="s">
        <v>1614</v>
      </c>
      <c r="R134" s="6"/>
      <c r="S134" s="6"/>
      <c r="T134" s="6"/>
    </row>
    <row r="135" spans="1:20" x14ac:dyDescent="0.25">
      <c r="A135" s="5">
        <v>978519946</v>
      </c>
      <c r="B135" s="5" t="str">
        <f t="shared" si="6"/>
        <v>97851994611</v>
      </c>
      <c r="C135" s="6" t="s">
        <v>460</v>
      </c>
      <c r="D135" s="6" t="s">
        <v>461</v>
      </c>
      <c r="E135" s="10">
        <v>6634327</v>
      </c>
      <c r="F135" s="6" t="s">
        <v>463</v>
      </c>
      <c r="G135" s="6" t="s">
        <v>49</v>
      </c>
      <c r="H135" s="6" t="s">
        <v>411</v>
      </c>
      <c r="I135" s="7">
        <v>46054</v>
      </c>
      <c r="J135" s="8">
        <v>0</v>
      </c>
      <c r="K135" s="8">
        <v>318.08</v>
      </c>
      <c r="L135" s="6">
        <v>1</v>
      </c>
      <c r="M135" s="9">
        <v>1</v>
      </c>
      <c r="N135" s="8">
        <v>318.08</v>
      </c>
      <c r="O135" s="6" t="s">
        <v>245</v>
      </c>
      <c r="P135" s="6" t="s">
        <v>1612</v>
      </c>
      <c r="Q135" s="6" t="s">
        <v>1614</v>
      </c>
      <c r="R135" s="6"/>
      <c r="S135" s="6"/>
      <c r="T135" s="6"/>
    </row>
    <row r="136" spans="1:20" x14ac:dyDescent="0.25">
      <c r="A136" s="5">
        <v>906753502</v>
      </c>
      <c r="B136" s="5" t="str">
        <f t="shared" si="6"/>
        <v>90675350211</v>
      </c>
      <c r="C136" s="6" t="s">
        <v>408</v>
      </c>
      <c r="D136" s="6" t="s">
        <v>55</v>
      </c>
      <c r="E136" s="10">
        <v>8244481</v>
      </c>
      <c r="F136" s="6" t="s">
        <v>410</v>
      </c>
      <c r="G136" s="6" t="s">
        <v>49</v>
      </c>
      <c r="H136" s="6" t="s">
        <v>411</v>
      </c>
      <c r="I136" s="7">
        <v>46054</v>
      </c>
      <c r="J136" s="8">
        <v>0</v>
      </c>
      <c r="K136" s="8">
        <v>318.08</v>
      </c>
      <c r="L136" s="6">
        <v>1</v>
      </c>
      <c r="M136" s="9">
        <v>1</v>
      </c>
      <c r="N136" s="8">
        <v>318.08</v>
      </c>
      <c r="O136" s="6" t="s">
        <v>245</v>
      </c>
      <c r="P136" s="6" t="s">
        <v>1612</v>
      </c>
      <c r="Q136" s="6" t="s">
        <v>1614</v>
      </c>
      <c r="R136" s="6"/>
      <c r="S136" s="6"/>
      <c r="T136" s="6"/>
    </row>
    <row r="137" spans="1:20" x14ac:dyDescent="0.25">
      <c r="A137" s="5">
        <v>930381090</v>
      </c>
      <c r="B137" s="5" t="str">
        <f t="shared" si="6"/>
        <v>93038109011</v>
      </c>
      <c r="C137" s="6" t="s">
        <v>435</v>
      </c>
      <c r="D137" s="6" t="s">
        <v>55</v>
      </c>
      <c r="E137" s="10">
        <v>7565575</v>
      </c>
      <c r="F137" s="6" t="s">
        <v>404</v>
      </c>
      <c r="G137" s="6" t="s">
        <v>49</v>
      </c>
      <c r="H137" s="6" t="s">
        <v>411</v>
      </c>
      <c r="I137" s="7">
        <v>46054</v>
      </c>
      <c r="J137" s="8">
        <v>0</v>
      </c>
      <c r="K137" s="8">
        <v>318.08</v>
      </c>
      <c r="L137" s="6">
        <v>1</v>
      </c>
      <c r="M137" s="9">
        <v>1</v>
      </c>
      <c r="N137" s="8">
        <v>318.08</v>
      </c>
      <c r="O137" s="6" t="s">
        <v>245</v>
      </c>
      <c r="P137" s="6" t="s">
        <v>1612</v>
      </c>
      <c r="Q137" s="6" t="s">
        <v>1614</v>
      </c>
      <c r="R137" s="6"/>
      <c r="S137" s="6"/>
      <c r="T137" s="6"/>
    </row>
    <row r="138" spans="1:20" x14ac:dyDescent="0.25">
      <c r="A138" s="5">
        <v>954096512</v>
      </c>
      <c r="B138" s="5" t="str">
        <f t="shared" si="6"/>
        <v>95409651211</v>
      </c>
      <c r="C138" s="6" t="s">
        <v>444</v>
      </c>
      <c r="D138" s="6" t="s">
        <v>97</v>
      </c>
      <c r="E138" s="10">
        <v>19645587</v>
      </c>
      <c r="F138" s="6" t="s">
        <v>386</v>
      </c>
      <c r="G138" s="6" t="s">
        <v>49</v>
      </c>
      <c r="H138" s="6" t="s">
        <v>411</v>
      </c>
      <c r="I138" s="7">
        <v>46054</v>
      </c>
      <c r="J138" s="8">
        <v>0</v>
      </c>
      <c r="K138" s="8">
        <v>318.08</v>
      </c>
      <c r="L138" s="6">
        <v>1</v>
      </c>
      <c r="M138" s="9">
        <v>1</v>
      </c>
      <c r="N138" s="8">
        <v>318.08</v>
      </c>
      <c r="O138" s="6" t="s">
        <v>245</v>
      </c>
      <c r="P138" s="6" t="s">
        <v>1612</v>
      </c>
      <c r="Q138" s="6" t="s">
        <v>1614</v>
      </c>
      <c r="R138" s="6"/>
      <c r="S138" s="6"/>
      <c r="T138" s="6"/>
    </row>
    <row r="139" spans="1:20" x14ac:dyDescent="0.25">
      <c r="A139" s="5">
        <v>964488477</v>
      </c>
      <c r="B139" s="5" t="str">
        <f t="shared" si="6"/>
        <v>96448847711</v>
      </c>
      <c r="C139" s="6" t="s">
        <v>454</v>
      </c>
      <c r="D139" s="6" t="s">
        <v>97</v>
      </c>
      <c r="E139" s="10">
        <v>19645587</v>
      </c>
      <c r="F139" s="6" t="s">
        <v>386</v>
      </c>
      <c r="G139" s="6" t="s">
        <v>49</v>
      </c>
      <c r="H139" s="6" t="s">
        <v>411</v>
      </c>
      <c r="I139" s="7">
        <v>46054</v>
      </c>
      <c r="J139" s="8">
        <v>0</v>
      </c>
      <c r="K139" s="8">
        <v>318.08</v>
      </c>
      <c r="L139" s="6">
        <v>1</v>
      </c>
      <c r="M139" s="9">
        <v>1</v>
      </c>
      <c r="N139" s="8">
        <v>318.08</v>
      </c>
      <c r="O139" s="6" t="s">
        <v>245</v>
      </c>
      <c r="P139" s="6" t="s">
        <v>1612</v>
      </c>
      <c r="Q139" s="6" t="s">
        <v>1614</v>
      </c>
      <c r="R139" s="6"/>
      <c r="S139" s="6"/>
      <c r="T139" s="6"/>
    </row>
    <row r="140" spans="1:20" x14ac:dyDescent="0.25">
      <c r="A140" s="5">
        <v>979408187</v>
      </c>
      <c r="B140" s="5" t="str">
        <f t="shared" si="6"/>
        <v>97940818711</v>
      </c>
      <c r="C140" s="6" t="s">
        <v>563</v>
      </c>
      <c r="D140" s="6" t="s">
        <v>55</v>
      </c>
      <c r="E140" s="10">
        <v>19681796</v>
      </c>
      <c r="F140" s="6" t="s">
        <v>69</v>
      </c>
      <c r="G140" s="6" t="s">
        <v>491</v>
      </c>
      <c r="H140" s="6" t="s">
        <v>411</v>
      </c>
      <c r="I140" s="7">
        <v>46023</v>
      </c>
      <c r="J140" s="6"/>
      <c r="K140" s="6"/>
      <c r="L140" s="6"/>
      <c r="M140" s="6"/>
      <c r="N140" s="6">
        <v>-347</v>
      </c>
      <c r="O140" s="6"/>
      <c r="P140" s="6" t="s">
        <v>1612</v>
      </c>
      <c r="Q140" s="6" t="s">
        <v>1611</v>
      </c>
      <c r="R140" s="6"/>
      <c r="S140" s="6"/>
      <c r="T140" s="6"/>
    </row>
    <row r="141" spans="1:20" x14ac:dyDescent="0.25">
      <c r="A141" s="5">
        <v>937444625</v>
      </c>
      <c r="B141" s="5" t="str">
        <f t="shared" si="6"/>
        <v>93744462511</v>
      </c>
      <c r="C141" s="6" t="s">
        <v>557</v>
      </c>
      <c r="D141" s="6" t="s">
        <v>74</v>
      </c>
      <c r="E141" s="10">
        <v>21435997</v>
      </c>
      <c r="F141" s="6" t="s">
        <v>323</v>
      </c>
      <c r="G141" s="6" t="s">
        <v>491</v>
      </c>
      <c r="H141" s="6" t="s">
        <v>411</v>
      </c>
      <c r="I141" s="7">
        <v>46023</v>
      </c>
      <c r="J141" s="6"/>
      <c r="K141" s="6"/>
      <c r="L141" s="6"/>
      <c r="M141" s="6"/>
      <c r="N141" s="6">
        <v>-347</v>
      </c>
      <c r="O141" s="6"/>
      <c r="P141" s="6" t="s">
        <v>1612</v>
      </c>
      <c r="Q141" s="6" t="s">
        <v>1611</v>
      </c>
      <c r="R141" s="6"/>
      <c r="S141" s="6"/>
      <c r="T141" s="6"/>
    </row>
    <row r="142" spans="1:20" x14ac:dyDescent="0.25">
      <c r="A142" s="5">
        <v>941459548</v>
      </c>
      <c r="B142" s="5" t="str">
        <f t="shared" si="6"/>
        <v>94145954811</v>
      </c>
      <c r="C142" s="6" t="s">
        <v>560</v>
      </c>
      <c r="D142" s="6" t="s">
        <v>451</v>
      </c>
      <c r="E142" s="10">
        <v>19645587</v>
      </c>
      <c r="F142" s="6" t="s">
        <v>386</v>
      </c>
      <c r="G142" s="6" t="s">
        <v>491</v>
      </c>
      <c r="H142" s="6" t="s">
        <v>411</v>
      </c>
      <c r="I142" s="7">
        <v>46054</v>
      </c>
      <c r="J142" s="6"/>
      <c r="K142" s="6"/>
      <c r="L142" s="6"/>
      <c r="M142" s="6"/>
      <c r="N142" s="6">
        <v>-318.08</v>
      </c>
      <c r="O142" s="6"/>
      <c r="P142" s="6" t="s">
        <v>1612</v>
      </c>
      <c r="Q142" s="6" t="s">
        <v>1614</v>
      </c>
      <c r="R142" s="6"/>
      <c r="S142" s="6"/>
      <c r="T142" s="6"/>
    </row>
    <row r="143" spans="1:20" x14ac:dyDescent="0.25">
      <c r="A143" s="5">
        <v>909023469</v>
      </c>
      <c r="B143" s="5" t="str">
        <f t="shared" ref="B143:B157" si="7">CONCATENATE(A143,1)</f>
        <v>9090234691</v>
      </c>
      <c r="C143" s="6" t="s">
        <v>1131</v>
      </c>
      <c r="D143" s="6" t="s">
        <v>202</v>
      </c>
      <c r="E143" s="10">
        <v>19278370</v>
      </c>
      <c r="F143" s="6" t="s">
        <v>965</v>
      </c>
      <c r="G143" s="6" t="s">
        <v>106</v>
      </c>
      <c r="H143" s="6" t="s">
        <v>1132</v>
      </c>
      <c r="I143" s="7">
        <v>45627</v>
      </c>
      <c r="J143" s="8">
        <v>1</v>
      </c>
      <c r="K143" s="8">
        <v>1</v>
      </c>
      <c r="L143" s="6"/>
      <c r="M143" s="9">
        <v>1</v>
      </c>
      <c r="N143" s="8">
        <v>28.75</v>
      </c>
      <c r="O143" s="6" t="s">
        <v>711</v>
      </c>
      <c r="P143" s="6" t="s">
        <v>1620</v>
      </c>
      <c r="Q143" s="6" t="s">
        <v>1621</v>
      </c>
      <c r="R143" s="6"/>
      <c r="S143" s="6"/>
      <c r="T143" s="6"/>
    </row>
    <row r="144" spans="1:20" x14ac:dyDescent="0.25">
      <c r="A144" s="5">
        <v>130273314</v>
      </c>
      <c r="B144" s="5" t="str">
        <f t="shared" si="7"/>
        <v>1302733141</v>
      </c>
      <c r="C144" s="6" t="s">
        <v>1111</v>
      </c>
      <c r="D144" s="6" t="s">
        <v>133</v>
      </c>
      <c r="E144" s="10">
        <v>17195620</v>
      </c>
      <c r="F144" s="6" t="s">
        <v>1112</v>
      </c>
      <c r="G144" s="6" t="s">
        <v>49</v>
      </c>
      <c r="H144" s="6" t="s">
        <v>1113</v>
      </c>
      <c r="I144" s="7">
        <v>45474</v>
      </c>
      <c r="J144" s="8">
        <v>1</v>
      </c>
      <c r="K144" s="8">
        <v>1</v>
      </c>
      <c r="L144" s="6"/>
      <c r="M144" s="9">
        <v>1</v>
      </c>
      <c r="N144" s="8">
        <v>25.5</v>
      </c>
      <c r="O144" s="6" t="s">
        <v>711</v>
      </c>
      <c r="P144" s="6" t="s">
        <v>1608</v>
      </c>
      <c r="Q144" s="6" t="s">
        <v>1582</v>
      </c>
      <c r="R144" s="6"/>
      <c r="S144" s="6"/>
      <c r="T144" s="6"/>
    </row>
    <row r="145" spans="1:20" x14ac:dyDescent="0.25">
      <c r="A145" s="5">
        <v>130524428</v>
      </c>
      <c r="B145" s="5" t="str">
        <f t="shared" si="7"/>
        <v>1305244281</v>
      </c>
      <c r="C145" s="6" t="s">
        <v>1115</v>
      </c>
      <c r="D145" s="6" t="s">
        <v>133</v>
      </c>
      <c r="E145" s="10">
        <v>17195620</v>
      </c>
      <c r="F145" s="6" t="s">
        <v>1112</v>
      </c>
      <c r="G145" s="6" t="s">
        <v>49</v>
      </c>
      <c r="H145" s="6" t="s">
        <v>1116</v>
      </c>
      <c r="I145" s="7">
        <v>45505</v>
      </c>
      <c r="J145" s="8">
        <v>1</v>
      </c>
      <c r="K145" s="8">
        <v>1</v>
      </c>
      <c r="L145" s="6"/>
      <c r="M145" s="9">
        <v>1</v>
      </c>
      <c r="N145" s="8">
        <v>25.5</v>
      </c>
      <c r="O145" s="6" t="s">
        <v>711</v>
      </c>
      <c r="P145" s="6" t="s">
        <v>1608</v>
      </c>
      <c r="Q145" s="6" t="s">
        <v>1582</v>
      </c>
      <c r="R145" s="6"/>
      <c r="S145" s="6"/>
      <c r="T145" s="6"/>
    </row>
    <row r="146" spans="1:20" x14ac:dyDescent="0.25">
      <c r="A146" s="5">
        <v>993708991</v>
      </c>
      <c r="B146" s="5" t="str">
        <f t="shared" si="7"/>
        <v>9937089911</v>
      </c>
      <c r="C146" s="6" t="s">
        <v>1145</v>
      </c>
      <c r="D146" s="6" t="s">
        <v>103</v>
      </c>
      <c r="E146" s="10">
        <v>19681796</v>
      </c>
      <c r="F146" s="6" t="s">
        <v>69</v>
      </c>
      <c r="G146" s="6" t="s">
        <v>49</v>
      </c>
      <c r="H146" s="6" t="s">
        <v>1116</v>
      </c>
      <c r="I146" s="7">
        <v>45566</v>
      </c>
      <c r="J146" s="8">
        <v>1</v>
      </c>
      <c r="K146" s="8">
        <v>1</v>
      </c>
      <c r="L146" s="6"/>
      <c r="M146" s="9">
        <v>1</v>
      </c>
      <c r="N146" s="8">
        <v>25.5</v>
      </c>
      <c r="O146" s="6" t="s">
        <v>711</v>
      </c>
      <c r="P146" s="6" t="s">
        <v>1608</v>
      </c>
      <c r="Q146" s="6" t="s">
        <v>1582</v>
      </c>
      <c r="R146" s="6"/>
      <c r="S146" s="6"/>
      <c r="T146" s="6"/>
    </row>
    <row r="147" spans="1:20" x14ac:dyDescent="0.25">
      <c r="A147" s="5">
        <v>967561705</v>
      </c>
      <c r="B147" s="5" t="str">
        <f t="shared" si="7"/>
        <v>9675617051</v>
      </c>
      <c r="C147" s="6" t="s">
        <v>1136</v>
      </c>
      <c r="D147" s="6" t="s">
        <v>55</v>
      </c>
      <c r="E147" s="10">
        <v>8325282</v>
      </c>
      <c r="F147" s="6" t="s">
        <v>243</v>
      </c>
      <c r="G147" s="6" t="s">
        <v>49</v>
      </c>
      <c r="H147" s="6" t="s">
        <v>1113</v>
      </c>
      <c r="I147" s="7">
        <v>45597</v>
      </c>
      <c r="J147" s="8">
        <v>1</v>
      </c>
      <c r="K147" s="8">
        <v>1</v>
      </c>
      <c r="L147" s="6"/>
      <c r="M147" s="9">
        <v>1</v>
      </c>
      <c r="N147" s="8">
        <v>25.5</v>
      </c>
      <c r="O147" s="6" t="s">
        <v>711</v>
      </c>
      <c r="P147" s="6" t="s">
        <v>1608</v>
      </c>
      <c r="Q147" s="6" t="s">
        <v>1582</v>
      </c>
      <c r="R147" s="6"/>
      <c r="S147" s="6"/>
      <c r="T147" s="6"/>
    </row>
    <row r="148" spans="1:20" x14ac:dyDescent="0.25">
      <c r="A148" s="5">
        <v>906051412</v>
      </c>
      <c r="B148" s="5" t="str">
        <f t="shared" si="7"/>
        <v>9060514121</v>
      </c>
      <c r="C148" s="6" t="s">
        <v>1130</v>
      </c>
      <c r="D148" s="6" t="s">
        <v>55</v>
      </c>
      <c r="E148" s="10">
        <v>9213293</v>
      </c>
      <c r="F148" s="6" t="s">
        <v>105</v>
      </c>
      <c r="G148" s="6" t="s">
        <v>49</v>
      </c>
      <c r="H148" s="6" t="s">
        <v>1113</v>
      </c>
      <c r="I148" s="7">
        <v>45566</v>
      </c>
      <c r="J148" s="8">
        <v>1</v>
      </c>
      <c r="K148" s="8">
        <v>1</v>
      </c>
      <c r="L148" s="6"/>
      <c r="M148" s="9">
        <v>1</v>
      </c>
      <c r="N148" s="8">
        <v>25.5</v>
      </c>
      <c r="O148" s="6" t="s">
        <v>711</v>
      </c>
      <c r="P148" s="6" t="s">
        <v>1608</v>
      </c>
      <c r="Q148" s="6" t="s">
        <v>1582</v>
      </c>
      <c r="R148" s="6"/>
      <c r="S148" s="6"/>
      <c r="T148" s="6"/>
    </row>
    <row r="149" spans="1:20" x14ac:dyDescent="0.25">
      <c r="A149" s="5">
        <v>992426853</v>
      </c>
      <c r="B149" s="5" t="str">
        <f t="shared" si="7"/>
        <v>9924268531</v>
      </c>
      <c r="C149" s="6" t="s">
        <v>1143</v>
      </c>
      <c r="D149" s="6" t="s">
        <v>55</v>
      </c>
      <c r="E149" s="10">
        <v>9213293</v>
      </c>
      <c r="F149" s="6" t="s">
        <v>105</v>
      </c>
      <c r="G149" s="6" t="s">
        <v>49</v>
      </c>
      <c r="H149" s="6" t="s">
        <v>1144</v>
      </c>
      <c r="I149" s="7">
        <v>45566</v>
      </c>
      <c r="J149" s="8">
        <v>1</v>
      </c>
      <c r="K149" s="8">
        <v>1</v>
      </c>
      <c r="L149" s="6"/>
      <c r="M149" s="9">
        <v>1</v>
      </c>
      <c r="N149" s="8">
        <v>25.5</v>
      </c>
      <c r="O149" s="6" t="s">
        <v>711</v>
      </c>
      <c r="P149" s="6" t="s">
        <v>1608</v>
      </c>
      <c r="Q149" s="6" t="s">
        <v>1582</v>
      </c>
      <c r="R149" s="6"/>
      <c r="S149" s="6"/>
      <c r="T149" s="6"/>
    </row>
    <row r="150" spans="1:20" x14ac:dyDescent="0.25">
      <c r="A150" s="5">
        <v>970181792</v>
      </c>
      <c r="B150" s="5" t="str">
        <f t="shared" si="7"/>
        <v>9701817921</v>
      </c>
      <c r="C150" s="6" t="s">
        <v>1138</v>
      </c>
      <c r="D150" s="6" t="s">
        <v>1029</v>
      </c>
      <c r="E150" s="10">
        <v>8307933</v>
      </c>
      <c r="F150" s="6" t="s">
        <v>139</v>
      </c>
      <c r="G150" s="6" t="s">
        <v>106</v>
      </c>
      <c r="H150" s="6" t="s">
        <v>1113</v>
      </c>
      <c r="I150" s="7">
        <v>45597</v>
      </c>
      <c r="J150" s="8">
        <v>1</v>
      </c>
      <c r="K150" s="8">
        <v>1</v>
      </c>
      <c r="L150" s="6"/>
      <c r="M150" s="9">
        <v>1</v>
      </c>
      <c r="N150" s="8">
        <v>25.5</v>
      </c>
      <c r="O150" s="6" t="s">
        <v>711</v>
      </c>
      <c r="P150" s="6" t="s">
        <v>1608</v>
      </c>
      <c r="Q150" s="6" t="s">
        <v>1582</v>
      </c>
      <c r="R150" s="6"/>
      <c r="S150" s="6"/>
      <c r="T150" s="6"/>
    </row>
    <row r="151" spans="1:20" x14ac:dyDescent="0.25">
      <c r="A151" s="5">
        <v>992088421</v>
      </c>
      <c r="B151" s="5" t="str">
        <f t="shared" si="7"/>
        <v>9920884211</v>
      </c>
      <c r="C151" s="6" t="s">
        <v>1141</v>
      </c>
      <c r="D151" s="6" t="s">
        <v>97</v>
      </c>
      <c r="E151" s="10">
        <v>8307933</v>
      </c>
      <c r="F151" s="6" t="s">
        <v>139</v>
      </c>
      <c r="G151" s="6" t="s">
        <v>49</v>
      </c>
      <c r="H151" s="6" t="s">
        <v>1113</v>
      </c>
      <c r="I151" s="7">
        <v>45597</v>
      </c>
      <c r="J151" s="8">
        <v>1</v>
      </c>
      <c r="K151" s="8">
        <v>1</v>
      </c>
      <c r="L151" s="6"/>
      <c r="M151" s="9">
        <v>1</v>
      </c>
      <c r="N151" s="8">
        <v>25.5</v>
      </c>
      <c r="O151" s="6" t="s">
        <v>711</v>
      </c>
      <c r="P151" s="6" t="s">
        <v>1608</v>
      </c>
      <c r="Q151" s="6" t="s">
        <v>1582</v>
      </c>
      <c r="R151" s="6"/>
      <c r="S151" s="6"/>
      <c r="T151" s="6"/>
    </row>
    <row r="152" spans="1:20" x14ac:dyDescent="0.25">
      <c r="A152" s="5">
        <v>991398727</v>
      </c>
      <c r="B152" s="5" t="str">
        <f t="shared" si="7"/>
        <v>9913987271</v>
      </c>
      <c r="C152" s="6" t="s">
        <v>1140</v>
      </c>
      <c r="D152" s="6" t="s">
        <v>461</v>
      </c>
      <c r="E152" s="10">
        <v>16865615</v>
      </c>
      <c r="F152" s="6" t="s">
        <v>484</v>
      </c>
      <c r="G152" s="6" t="s">
        <v>49</v>
      </c>
      <c r="H152" s="6" t="s">
        <v>1113</v>
      </c>
      <c r="I152" s="7">
        <v>45474</v>
      </c>
      <c r="J152" s="8">
        <v>1</v>
      </c>
      <c r="K152" s="8">
        <v>1</v>
      </c>
      <c r="L152" s="6"/>
      <c r="M152" s="9">
        <v>1</v>
      </c>
      <c r="N152" s="8">
        <v>25.5</v>
      </c>
      <c r="O152" s="6" t="s">
        <v>1135</v>
      </c>
      <c r="P152" s="6" t="s">
        <v>1608</v>
      </c>
      <c r="Q152" s="6" t="s">
        <v>1582</v>
      </c>
      <c r="R152" s="6"/>
      <c r="S152" s="6"/>
      <c r="T152" s="6"/>
    </row>
    <row r="153" spans="1:20" x14ac:dyDescent="0.25">
      <c r="A153" s="5">
        <v>981141937</v>
      </c>
      <c r="B153" s="5" t="str">
        <f t="shared" si="7"/>
        <v>9811419371</v>
      </c>
      <c r="C153" s="6" t="s">
        <v>1139</v>
      </c>
      <c r="D153" s="6" t="s">
        <v>461</v>
      </c>
      <c r="E153" s="10">
        <v>16865615</v>
      </c>
      <c r="F153" s="6" t="s">
        <v>484</v>
      </c>
      <c r="G153" s="6" t="s">
        <v>49</v>
      </c>
      <c r="H153" s="6" t="s">
        <v>1116</v>
      </c>
      <c r="I153" s="7">
        <v>45597</v>
      </c>
      <c r="J153" s="8">
        <v>1</v>
      </c>
      <c r="K153" s="8">
        <v>1</v>
      </c>
      <c r="L153" s="6"/>
      <c r="M153" s="9">
        <v>1</v>
      </c>
      <c r="N153" s="8">
        <v>25.5</v>
      </c>
      <c r="O153" s="6" t="s">
        <v>711</v>
      </c>
      <c r="P153" s="6" t="s">
        <v>1608</v>
      </c>
      <c r="Q153" s="6" t="s">
        <v>1582</v>
      </c>
      <c r="R153" s="6"/>
      <c r="S153" s="6"/>
      <c r="T153" s="6"/>
    </row>
    <row r="154" spans="1:20" x14ac:dyDescent="0.25">
      <c r="A154" s="5">
        <v>992248315</v>
      </c>
      <c r="B154" s="5" t="str">
        <f t="shared" si="7"/>
        <v>9922483151</v>
      </c>
      <c r="C154" s="6" t="s">
        <v>1142</v>
      </c>
      <c r="D154" s="6" t="s">
        <v>55</v>
      </c>
      <c r="E154" s="10">
        <v>18828278</v>
      </c>
      <c r="F154" s="6" t="s">
        <v>301</v>
      </c>
      <c r="G154" s="6" t="s">
        <v>49</v>
      </c>
      <c r="H154" s="6" t="s">
        <v>1113</v>
      </c>
      <c r="I154" s="7">
        <v>45536</v>
      </c>
      <c r="J154" s="8">
        <v>1</v>
      </c>
      <c r="K154" s="8">
        <v>1</v>
      </c>
      <c r="L154" s="6"/>
      <c r="M154" s="9">
        <v>1</v>
      </c>
      <c r="N154" s="8">
        <v>25.5</v>
      </c>
      <c r="O154" s="6" t="s">
        <v>711</v>
      </c>
      <c r="P154" s="6" t="s">
        <v>1608</v>
      </c>
      <c r="Q154" s="6" t="s">
        <v>1582</v>
      </c>
      <c r="R154" s="6"/>
      <c r="S154" s="6"/>
      <c r="T154" s="6"/>
    </row>
    <row r="155" spans="1:20" x14ac:dyDescent="0.25">
      <c r="A155" s="5">
        <v>130625781</v>
      </c>
      <c r="B155" s="5" t="str">
        <f t="shared" si="7"/>
        <v>1306257811</v>
      </c>
      <c r="C155" s="6" t="s">
        <v>1118</v>
      </c>
      <c r="D155" s="6" t="s">
        <v>74</v>
      </c>
      <c r="E155" s="10">
        <v>19200754</v>
      </c>
      <c r="F155" s="6" t="s">
        <v>601</v>
      </c>
      <c r="G155" s="6" t="s">
        <v>49</v>
      </c>
      <c r="H155" s="6" t="s">
        <v>1113</v>
      </c>
      <c r="I155" s="7">
        <v>45536</v>
      </c>
      <c r="J155" s="8">
        <v>1</v>
      </c>
      <c r="K155" s="8">
        <v>1</v>
      </c>
      <c r="L155" s="6"/>
      <c r="M155" s="9">
        <v>1</v>
      </c>
      <c r="N155" s="8">
        <v>25.5</v>
      </c>
      <c r="O155" s="6" t="s">
        <v>711</v>
      </c>
      <c r="P155" s="6" t="s">
        <v>1608</v>
      </c>
      <c r="Q155" s="6" t="s">
        <v>1582</v>
      </c>
      <c r="R155" s="6"/>
      <c r="S155" s="6"/>
      <c r="T155" s="6"/>
    </row>
    <row r="156" spans="1:20" x14ac:dyDescent="0.25">
      <c r="A156" s="5" t="s">
        <v>1572</v>
      </c>
      <c r="B156" s="5" t="str">
        <f t="shared" si="7"/>
        <v>A042263411</v>
      </c>
      <c r="C156" s="6" t="s">
        <v>1257</v>
      </c>
      <c r="D156" s="6" t="s">
        <v>97</v>
      </c>
      <c r="E156" s="10">
        <v>17774994</v>
      </c>
      <c r="F156" s="6" t="s">
        <v>1258</v>
      </c>
      <c r="G156" s="6" t="s">
        <v>49</v>
      </c>
      <c r="H156" s="6" t="s">
        <v>1259</v>
      </c>
      <c r="I156" s="7">
        <v>45717</v>
      </c>
      <c r="J156" s="8">
        <v>1</v>
      </c>
      <c r="K156" s="8">
        <v>1</v>
      </c>
      <c r="L156" s="6"/>
      <c r="M156" s="9">
        <v>1</v>
      </c>
      <c r="N156" s="8">
        <v>29.7</v>
      </c>
      <c r="O156" s="6" t="s">
        <v>1148</v>
      </c>
      <c r="P156" s="6" t="s">
        <v>1605</v>
      </c>
      <c r="Q156" s="6"/>
      <c r="R156" s="6"/>
      <c r="S156" s="6"/>
      <c r="T156" s="6"/>
    </row>
    <row r="157" spans="1:20" x14ac:dyDescent="0.25">
      <c r="A157" s="5" t="s">
        <v>1575</v>
      </c>
      <c r="B157" s="5" t="str">
        <f t="shared" si="7"/>
        <v>A042304051</v>
      </c>
      <c r="C157" s="6" t="s">
        <v>1262</v>
      </c>
      <c r="D157" s="6" t="s">
        <v>97</v>
      </c>
      <c r="E157" s="10">
        <v>17774994</v>
      </c>
      <c r="F157" s="6" t="s">
        <v>1258</v>
      </c>
      <c r="G157" s="6" t="s">
        <v>49</v>
      </c>
      <c r="H157" s="6" t="s">
        <v>1259</v>
      </c>
      <c r="I157" s="7">
        <v>45717</v>
      </c>
      <c r="J157" s="8">
        <v>1</v>
      </c>
      <c r="K157" s="8">
        <v>1</v>
      </c>
      <c r="L157" s="6"/>
      <c r="M157" s="9">
        <v>1</v>
      </c>
      <c r="N157" s="8">
        <v>29.7</v>
      </c>
      <c r="O157" s="6" t="s">
        <v>1148</v>
      </c>
      <c r="P157" s="6" t="s">
        <v>1605</v>
      </c>
      <c r="Q157" s="6"/>
      <c r="R157" s="6"/>
      <c r="S157" s="6"/>
      <c r="T157" s="6"/>
    </row>
    <row r="158" spans="1:20" x14ac:dyDescent="0.25">
      <c r="A158" s="4">
        <v>102137272900</v>
      </c>
      <c r="B158" s="4" t="str">
        <f>CONCATENATE(A158,"OVR")</f>
        <v>102137272900OVR</v>
      </c>
      <c r="C158" t="s">
        <v>1109</v>
      </c>
      <c r="D158" t="s">
        <v>55</v>
      </c>
      <c r="E158" s="11">
        <v>20411454</v>
      </c>
      <c r="F158" t="s">
        <v>1639</v>
      </c>
      <c r="G158" t="s">
        <v>106</v>
      </c>
      <c r="H158" t="s">
        <v>714</v>
      </c>
      <c r="I158" s="1">
        <v>45689</v>
      </c>
      <c r="J158" s="2">
        <v>0</v>
      </c>
      <c r="K158" s="2">
        <v>0</v>
      </c>
      <c r="M158" s="3">
        <v>1</v>
      </c>
      <c r="N158" s="2">
        <v>-25</v>
      </c>
      <c r="O158" t="s">
        <v>1110</v>
      </c>
      <c r="P158" t="s">
        <v>1577</v>
      </c>
    </row>
    <row r="159" spans="1:20" x14ac:dyDescent="0.25">
      <c r="A159" s="4">
        <v>102208803900</v>
      </c>
      <c r="B159" s="4" t="str">
        <f t="shared" ref="B159:B222" si="8">CONCATENATE(A159,"OVR")</f>
        <v>102208803900OVR</v>
      </c>
      <c r="C159" t="s">
        <v>521</v>
      </c>
      <c r="D159" t="s">
        <v>74</v>
      </c>
      <c r="E159" s="11">
        <v>20411454</v>
      </c>
      <c r="F159" t="s">
        <v>1639</v>
      </c>
      <c r="G159" t="s">
        <v>491</v>
      </c>
      <c r="H159" t="s">
        <v>197</v>
      </c>
      <c r="I159" s="1">
        <v>46023</v>
      </c>
      <c r="N159">
        <v>-25</v>
      </c>
      <c r="P159" t="s">
        <v>1577</v>
      </c>
    </row>
    <row r="160" spans="1:20" x14ac:dyDescent="0.25">
      <c r="A160" s="4">
        <v>102248827600</v>
      </c>
      <c r="B160" s="4" t="str">
        <f t="shared" si="8"/>
        <v>102248827600OVR</v>
      </c>
      <c r="C160" t="s">
        <v>542</v>
      </c>
      <c r="D160" t="s">
        <v>55</v>
      </c>
      <c r="E160" s="11">
        <v>20411454</v>
      </c>
      <c r="F160" t="s">
        <v>1639</v>
      </c>
      <c r="G160" t="s">
        <v>491</v>
      </c>
      <c r="H160" t="s">
        <v>197</v>
      </c>
      <c r="I160" s="1">
        <v>46023</v>
      </c>
      <c r="N160">
        <v>-25</v>
      </c>
      <c r="P160" t="s">
        <v>1577</v>
      </c>
    </row>
    <row r="161" spans="1:16" x14ac:dyDescent="0.25">
      <c r="A161" s="4">
        <v>102254527700</v>
      </c>
      <c r="B161" s="4" t="str">
        <f t="shared" si="8"/>
        <v>102254527700OVR</v>
      </c>
      <c r="C161" t="s">
        <v>545</v>
      </c>
      <c r="D161" t="s">
        <v>546</v>
      </c>
      <c r="E161" s="11">
        <v>20411454</v>
      </c>
      <c r="F161" t="s">
        <v>1639</v>
      </c>
      <c r="G161" t="s">
        <v>491</v>
      </c>
      <c r="H161" t="s">
        <v>197</v>
      </c>
      <c r="I161" s="1">
        <v>46023</v>
      </c>
      <c r="N161">
        <v>-22.92</v>
      </c>
      <c r="P161" t="s">
        <v>1577</v>
      </c>
    </row>
    <row r="162" spans="1:16" x14ac:dyDescent="0.25">
      <c r="A162" s="4">
        <v>102215997500</v>
      </c>
      <c r="B162" s="4" t="str">
        <f t="shared" si="8"/>
        <v>102215997500OVR</v>
      </c>
      <c r="C162" t="s">
        <v>247</v>
      </c>
      <c r="D162" t="s">
        <v>55</v>
      </c>
      <c r="E162" s="11">
        <v>20411454</v>
      </c>
      <c r="F162" t="s">
        <v>1639</v>
      </c>
      <c r="G162" t="s">
        <v>491</v>
      </c>
      <c r="H162" t="s">
        <v>244</v>
      </c>
      <c r="I162" s="1">
        <v>46054</v>
      </c>
      <c r="N162">
        <v>-22.92</v>
      </c>
      <c r="P162" t="s">
        <v>1577</v>
      </c>
    </row>
    <row r="163" spans="1:16" x14ac:dyDescent="0.25">
      <c r="A163" s="4">
        <v>102222211400</v>
      </c>
      <c r="B163" s="4" t="str">
        <f t="shared" si="8"/>
        <v>102222211400OVR</v>
      </c>
      <c r="C163" t="s">
        <v>252</v>
      </c>
      <c r="D163" t="s">
        <v>202</v>
      </c>
      <c r="E163" s="11">
        <v>20411454</v>
      </c>
      <c r="F163" t="s">
        <v>1639</v>
      </c>
      <c r="G163" t="s">
        <v>491</v>
      </c>
      <c r="H163" t="s">
        <v>244</v>
      </c>
      <c r="I163" s="1">
        <v>46054</v>
      </c>
      <c r="N163">
        <v>-22.92</v>
      </c>
      <c r="P163" t="s">
        <v>1577</v>
      </c>
    </row>
    <row r="164" spans="1:16" x14ac:dyDescent="0.25">
      <c r="A164" s="4">
        <v>102226592800</v>
      </c>
      <c r="B164" s="4" t="str">
        <f t="shared" si="8"/>
        <v>102226592800OVR</v>
      </c>
      <c r="C164" t="s">
        <v>259</v>
      </c>
      <c r="D164" t="s">
        <v>202</v>
      </c>
      <c r="E164" s="11">
        <v>20411454</v>
      </c>
      <c r="F164" t="s">
        <v>1639</v>
      </c>
      <c r="G164" t="s">
        <v>491</v>
      </c>
      <c r="H164" t="s">
        <v>244</v>
      </c>
      <c r="I164" s="1">
        <v>46054</v>
      </c>
      <c r="N164">
        <v>-22.92</v>
      </c>
      <c r="P164" t="s">
        <v>1577</v>
      </c>
    </row>
    <row r="165" spans="1:16" x14ac:dyDescent="0.25">
      <c r="A165" s="4">
        <v>102232576500</v>
      </c>
      <c r="B165" s="4" t="str">
        <f t="shared" si="8"/>
        <v>102232576500OVR</v>
      </c>
      <c r="C165" t="s">
        <v>261</v>
      </c>
      <c r="E165" s="11">
        <v>20411454</v>
      </c>
      <c r="F165" t="s">
        <v>1639</v>
      </c>
      <c r="G165" t="s">
        <v>491</v>
      </c>
      <c r="H165" t="s">
        <v>244</v>
      </c>
      <c r="I165" s="1">
        <v>46054</v>
      </c>
      <c r="N165">
        <v>-22.92</v>
      </c>
      <c r="P165" t="s">
        <v>1577</v>
      </c>
    </row>
    <row r="166" spans="1:16" x14ac:dyDescent="0.25">
      <c r="A166" s="4">
        <v>102235813800</v>
      </c>
      <c r="B166" s="4" t="str">
        <f t="shared" si="8"/>
        <v>102235813800OVR</v>
      </c>
      <c r="C166" t="s">
        <v>263</v>
      </c>
      <c r="E166" s="11">
        <v>20411454</v>
      </c>
      <c r="F166" t="s">
        <v>1639</v>
      </c>
      <c r="G166" t="s">
        <v>491</v>
      </c>
      <c r="H166" t="s">
        <v>244</v>
      </c>
      <c r="I166" s="1">
        <v>46054</v>
      </c>
      <c r="N166">
        <v>-22.92</v>
      </c>
      <c r="P166" t="s">
        <v>1577</v>
      </c>
    </row>
    <row r="167" spans="1:16" x14ac:dyDescent="0.25">
      <c r="A167" s="4">
        <v>102241978000</v>
      </c>
      <c r="B167" s="4" t="str">
        <f t="shared" si="8"/>
        <v>102241978000OVR</v>
      </c>
      <c r="C167" t="s">
        <v>273</v>
      </c>
      <c r="E167" s="11">
        <v>20411454</v>
      </c>
      <c r="F167" t="s">
        <v>1639</v>
      </c>
      <c r="G167" t="s">
        <v>491</v>
      </c>
      <c r="H167" t="s">
        <v>244</v>
      </c>
      <c r="I167" s="1">
        <v>46054</v>
      </c>
      <c r="N167">
        <v>-22.92</v>
      </c>
      <c r="P167" t="s">
        <v>1577</v>
      </c>
    </row>
    <row r="168" spans="1:16" x14ac:dyDescent="0.25">
      <c r="A168" s="4">
        <v>102242332100</v>
      </c>
      <c r="B168" s="4" t="str">
        <f t="shared" si="8"/>
        <v>102242332100OVR</v>
      </c>
      <c r="C168" t="s">
        <v>277</v>
      </c>
      <c r="E168" s="11">
        <v>20411454</v>
      </c>
      <c r="F168" t="s">
        <v>1639</v>
      </c>
      <c r="G168" t="s">
        <v>491</v>
      </c>
      <c r="H168" t="s">
        <v>244</v>
      </c>
      <c r="I168" s="1">
        <v>46054</v>
      </c>
      <c r="N168">
        <v>-22.92</v>
      </c>
      <c r="P168" t="s">
        <v>1577</v>
      </c>
    </row>
    <row r="169" spans="1:16" x14ac:dyDescent="0.25">
      <c r="A169" s="4">
        <v>102244928700</v>
      </c>
      <c r="B169" s="4" t="str">
        <f t="shared" si="8"/>
        <v>102244928700OVR</v>
      </c>
      <c r="C169" t="s">
        <v>279</v>
      </c>
      <c r="D169" t="s">
        <v>280</v>
      </c>
      <c r="E169" s="11">
        <v>20411454</v>
      </c>
      <c r="F169" t="s">
        <v>1639</v>
      </c>
      <c r="G169" t="s">
        <v>491</v>
      </c>
      <c r="H169" t="s">
        <v>244</v>
      </c>
      <c r="I169" s="1">
        <v>46054</v>
      </c>
      <c r="N169">
        <v>-22.92</v>
      </c>
      <c r="P169" t="s">
        <v>1577</v>
      </c>
    </row>
    <row r="170" spans="1:16" x14ac:dyDescent="0.25">
      <c r="A170" s="4">
        <v>102245909400</v>
      </c>
      <c r="B170" s="4" t="str">
        <f t="shared" si="8"/>
        <v>102245909400OVR</v>
      </c>
      <c r="C170" t="s">
        <v>284</v>
      </c>
      <c r="D170" t="s">
        <v>202</v>
      </c>
      <c r="E170" s="11">
        <v>20411454</v>
      </c>
      <c r="F170" t="s">
        <v>1639</v>
      </c>
      <c r="G170" t="s">
        <v>491</v>
      </c>
      <c r="H170" t="s">
        <v>244</v>
      </c>
      <c r="I170" s="1">
        <v>46054</v>
      </c>
      <c r="N170">
        <v>-22.92</v>
      </c>
      <c r="P170" t="s">
        <v>1577</v>
      </c>
    </row>
    <row r="171" spans="1:16" x14ac:dyDescent="0.25">
      <c r="A171" s="4">
        <v>102253501500</v>
      </c>
      <c r="B171" s="4" t="str">
        <f t="shared" si="8"/>
        <v>102253501500OVR</v>
      </c>
      <c r="C171" t="s">
        <v>291</v>
      </c>
      <c r="D171" t="s">
        <v>202</v>
      </c>
      <c r="E171" s="11">
        <v>20411454</v>
      </c>
      <c r="F171" t="s">
        <v>1639</v>
      </c>
      <c r="G171" t="s">
        <v>491</v>
      </c>
      <c r="H171" t="s">
        <v>244</v>
      </c>
      <c r="I171" s="1">
        <v>46054</v>
      </c>
      <c r="N171">
        <v>-22.92</v>
      </c>
      <c r="P171" t="s">
        <v>1577</v>
      </c>
    </row>
    <row r="172" spans="1:16" x14ac:dyDescent="0.25">
      <c r="A172" s="4">
        <v>102254727000</v>
      </c>
      <c r="B172" s="4" t="str">
        <f t="shared" si="8"/>
        <v>102254727000OVR</v>
      </c>
      <c r="C172" t="s">
        <v>293</v>
      </c>
      <c r="D172" t="s">
        <v>202</v>
      </c>
      <c r="E172" s="11">
        <v>20411454</v>
      </c>
      <c r="F172" t="s">
        <v>1639</v>
      </c>
      <c r="G172" t="s">
        <v>491</v>
      </c>
      <c r="H172" t="s">
        <v>244</v>
      </c>
      <c r="I172" s="1">
        <v>46054</v>
      </c>
      <c r="N172">
        <v>-22.92</v>
      </c>
      <c r="P172" t="s">
        <v>1577</v>
      </c>
    </row>
    <row r="173" spans="1:16" x14ac:dyDescent="0.25">
      <c r="A173" s="4">
        <v>102255132900</v>
      </c>
      <c r="B173" s="4" t="str">
        <f t="shared" si="8"/>
        <v>102255132900OVR</v>
      </c>
      <c r="C173" t="s">
        <v>295</v>
      </c>
      <c r="D173" t="s">
        <v>55</v>
      </c>
      <c r="E173" s="11">
        <v>20411454</v>
      </c>
      <c r="F173" t="s">
        <v>1639</v>
      </c>
      <c r="G173" t="s">
        <v>491</v>
      </c>
      <c r="H173" t="s">
        <v>244</v>
      </c>
      <c r="I173" s="1">
        <v>46054</v>
      </c>
      <c r="N173">
        <v>-22.92</v>
      </c>
      <c r="P173" t="s">
        <v>1577</v>
      </c>
    </row>
    <row r="174" spans="1:16" x14ac:dyDescent="0.25">
      <c r="A174" s="4">
        <v>102256083100</v>
      </c>
      <c r="B174" s="4" t="str">
        <f t="shared" si="8"/>
        <v>102256083100OVR</v>
      </c>
      <c r="C174" t="s">
        <v>297</v>
      </c>
      <c r="D174" t="s">
        <v>202</v>
      </c>
      <c r="E174" s="11">
        <v>20411454</v>
      </c>
      <c r="F174" t="s">
        <v>1639</v>
      </c>
      <c r="G174" t="s">
        <v>491</v>
      </c>
      <c r="H174" t="s">
        <v>244</v>
      </c>
      <c r="I174" s="1">
        <v>46054</v>
      </c>
      <c r="N174">
        <v>-22.92</v>
      </c>
      <c r="P174" t="s">
        <v>1577</v>
      </c>
    </row>
    <row r="175" spans="1:16" x14ac:dyDescent="0.25">
      <c r="A175" s="4">
        <v>102256266800</v>
      </c>
      <c r="B175" s="4" t="str">
        <f t="shared" si="8"/>
        <v>102256266800OVR</v>
      </c>
      <c r="C175" t="s">
        <v>299</v>
      </c>
      <c r="D175" t="s">
        <v>55</v>
      </c>
      <c r="E175" s="11">
        <v>20411454</v>
      </c>
      <c r="F175" t="s">
        <v>1639</v>
      </c>
      <c r="G175" t="s">
        <v>491</v>
      </c>
      <c r="H175" t="s">
        <v>244</v>
      </c>
      <c r="I175" s="1">
        <v>46054</v>
      </c>
      <c r="N175">
        <v>-22.92</v>
      </c>
      <c r="P175" t="s">
        <v>1577</v>
      </c>
    </row>
    <row r="176" spans="1:16" x14ac:dyDescent="0.25">
      <c r="A176" s="4">
        <v>102207957400</v>
      </c>
      <c r="B176" s="4" t="str">
        <f t="shared" si="8"/>
        <v>102207957400OVR</v>
      </c>
      <c r="C176" t="s">
        <v>517</v>
      </c>
      <c r="D176" t="s">
        <v>74</v>
      </c>
      <c r="E176" s="11">
        <v>20411454</v>
      </c>
      <c r="F176" t="s">
        <v>1639</v>
      </c>
      <c r="G176" t="s">
        <v>491</v>
      </c>
      <c r="H176" t="s">
        <v>250</v>
      </c>
      <c r="I176" s="1">
        <v>46023</v>
      </c>
      <c r="N176">
        <v>-15</v>
      </c>
      <c r="P176" t="s">
        <v>1577</v>
      </c>
    </row>
    <row r="177" spans="1:16" x14ac:dyDescent="0.25">
      <c r="A177" s="4">
        <v>102211743600</v>
      </c>
      <c r="B177" s="4" t="str">
        <f t="shared" si="8"/>
        <v>102211743600OVR</v>
      </c>
      <c r="C177" t="s">
        <v>523</v>
      </c>
      <c r="D177" t="s">
        <v>55</v>
      </c>
      <c r="E177" s="11">
        <v>20411454</v>
      </c>
      <c r="F177" t="s">
        <v>1639</v>
      </c>
      <c r="G177" t="s">
        <v>491</v>
      </c>
      <c r="H177" t="s">
        <v>250</v>
      </c>
      <c r="I177" s="1">
        <v>46023</v>
      </c>
      <c r="N177">
        <v>-15</v>
      </c>
      <c r="P177" t="s">
        <v>1577</v>
      </c>
    </row>
    <row r="178" spans="1:16" x14ac:dyDescent="0.25">
      <c r="A178" s="4">
        <v>102228477200</v>
      </c>
      <c r="B178" s="4" t="str">
        <f t="shared" si="8"/>
        <v>102228477200OVR</v>
      </c>
      <c r="C178" t="s">
        <v>531</v>
      </c>
      <c r="D178" t="s">
        <v>46</v>
      </c>
      <c r="E178" s="11">
        <v>20411454</v>
      </c>
      <c r="F178" t="s">
        <v>1639</v>
      </c>
      <c r="G178" t="s">
        <v>491</v>
      </c>
      <c r="H178" t="s">
        <v>250</v>
      </c>
      <c r="I178" s="1">
        <v>46023</v>
      </c>
      <c r="N178">
        <v>-13.75</v>
      </c>
      <c r="P178" t="s">
        <v>1577</v>
      </c>
    </row>
    <row r="179" spans="1:16" x14ac:dyDescent="0.25">
      <c r="A179" s="4">
        <v>102216488700</v>
      </c>
      <c r="B179" s="4" t="str">
        <f t="shared" si="8"/>
        <v>102216488700OVR</v>
      </c>
      <c r="C179" t="s">
        <v>249</v>
      </c>
      <c r="D179" t="s">
        <v>202</v>
      </c>
      <c r="E179" s="11">
        <v>20411454</v>
      </c>
      <c r="F179" t="s">
        <v>1639</v>
      </c>
      <c r="G179" t="s">
        <v>491</v>
      </c>
      <c r="H179" t="s">
        <v>526</v>
      </c>
      <c r="I179" s="1">
        <v>46054</v>
      </c>
      <c r="N179">
        <v>-13.75</v>
      </c>
      <c r="P179" t="s">
        <v>1577</v>
      </c>
    </row>
    <row r="180" spans="1:16" x14ac:dyDescent="0.25">
      <c r="A180" s="4">
        <v>102224747400</v>
      </c>
      <c r="B180" s="4" t="str">
        <f t="shared" si="8"/>
        <v>102224747400OVR</v>
      </c>
      <c r="C180" t="s">
        <v>254</v>
      </c>
      <c r="D180" t="s">
        <v>255</v>
      </c>
      <c r="E180" s="11">
        <v>20411454</v>
      </c>
      <c r="F180" t="s">
        <v>1639</v>
      </c>
      <c r="G180" t="s">
        <v>491</v>
      </c>
      <c r="H180" t="s">
        <v>526</v>
      </c>
      <c r="I180" s="1">
        <v>46054</v>
      </c>
      <c r="N180">
        <v>-13.75</v>
      </c>
      <c r="P180" t="s">
        <v>1577</v>
      </c>
    </row>
    <row r="181" spans="1:16" x14ac:dyDescent="0.25">
      <c r="A181" s="4">
        <v>102255620200</v>
      </c>
      <c r="B181" s="4" t="str">
        <f t="shared" si="8"/>
        <v>102255620200OVR</v>
      </c>
      <c r="C181" t="s">
        <v>550</v>
      </c>
      <c r="D181" t="s">
        <v>337</v>
      </c>
      <c r="E181" s="11">
        <v>20411454</v>
      </c>
      <c r="F181" t="s">
        <v>1639</v>
      </c>
      <c r="G181" t="s">
        <v>491</v>
      </c>
      <c r="H181" t="s">
        <v>197</v>
      </c>
      <c r="I181" s="1">
        <v>46023</v>
      </c>
      <c r="N181">
        <v>-2.08</v>
      </c>
      <c r="P181" t="s">
        <v>1577</v>
      </c>
    </row>
    <row r="182" spans="1:16" x14ac:dyDescent="0.25">
      <c r="A182" s="4">
        <v>102240682000</v>
      </c>
      <c r="B182" s="4" t="str">
        <f t="shared" si="8"/>
        <v>102240682000OVR</v>
      </c>
      <c r="C182" t="s">
        <v>265</v>
      </c>
      <c r="E182" s="11">
        <v>20411454</v>
      </c>
      <c r="F182" t="s">
        <v>1639</v>
      </c>
      <c r="G182" t="s">
        <v>491</v>
      </c>
      <c r="H182" t="s">
        <v>244</v>
      </c>
      <c r="I182" s="1">
        <v>45992</v>
      </c>
      <c r="N182">
        <v>-2.08</v>
      </c>
      <c r="P182" t="s">
        <v>1577</v>
      </c>
    </row>
    <row r="183" spans="1:16" x14ac:dyDescent="0.25">
      <c r="A183" s="4">
        <v>102241294500</v>
      </c>
      <c r="B183" s="4" t="str">
        <f t="shared" si="8"/>
        <v>102241294500OVR</v>
      </c>
      <c r="C183" t="s">
        <v>267</v>
      </c>
      <c r="E183" s="11">
        <v>20411454</v>
      </c>
      <c r="F183" t="s">
        <v>1639</v>
      </c>
      <c r="G183" t="s">
        <v>491</v>
      </c>
      <c r="H183" t="s">
        <v>244</v>
      </c>
      <c r="I183" s="1">
        <v>45992</v>
      </c>
      <c r="N183">
        <v>-2.08</v>
      </c>
      <c r="P183" t="s">
        <v>1577</v>
      </c>
    </row>
    <row r="184" spans="1:16" x14ac:dyDescent="0.25">
      <c r="A184" s="4">
        <v>102241376400</v>
      </c>
      <c r="B184" s="4" t="str">
        <f t="shared" si="8"/>
        <v>102241376400OVR</v>
      </c>
      <c r="C184" t="s">
        <v>269</v>
      </c>
      <c r="E184" s="11">
        <v>20411454</v>
      </c>
      <c r="F184" t="s">
        <v>1639</v>
      </c>
      <c r="G184" t="s">
        <v>491</v>
      </c>
      <c r="H184" t="s">
        <v>526</v>
      </c>
      <c r="I184" s="1">
        <v>45992</v>
      </c>
      <c r="N184">
        <v>-1.25</v>
      </c>
      <c r="P184" t="s">
        <v>1577</v>
      </c>
    </row>
    <row r="185" spans="1:16" x14ac:dyDescent="0.25">
      <c r="A185" s="4">
        <v>101121447300</v>
      </c>
      <c r="B185" s="4" t="str">
        <f t="shared" si="8"/>
        <v>101121447300OVR</v>
      </c>
      <c r="C185" t="s">
        <v>755</v>
      </c>
      <c r="D185" t="s">
        <v>202</v>
      </c>
      <c r="E185" s="11">
        <v>20411454</v>
      </c>
      <c r="F185" t="s">
        <v>1639</v>
      </c>
      <c r="G185" t="s">
        <v>49</v>
      </c>
      <c r="H185" t="s">
        <v>197</v>
      </c>
      <c r="I185" s="1">
        <v>44562</v>
      </c>
      <c r="J185" s="2">
        <v>1</v>
      </c>
      <c r="K185" s="2">
        <v>1</v>
      </c>
      <c r="M185" s="3">
        <v>1</v>
      </c>
      <c r="N185" s="2">
        <v>1.17</v>
      </c>
      <c r="O185" t="s">
        <v>715</v>
      </c>
      <c r="P185" t="s">
        <v>1577</v>
      </c>
    </row>
    <row r="186" spans="1:16" x14ac:dyDescent="0.25">
      <c r="A186" s="4">
        <v>101148728200</v>
      </c>
      <c r="B186" s="4" t="str">
        <f t="shared" si="8"/>
        <v>101148728200OVR</v>
      </c>
      <c r="C186" t="s">
        <v>759</v>
      </c>
      <c r="D186" t="s">
        <v>74</v>
      </c>
      <c r="E186" s="11">
        <v>20411454</v>
      </c>
      <c r="F186" t="s">
        <v>1639</v>
      </c>
      <c r="G186" t="s">
        <v>49</v>
      </c>
      <c r="H186" t="s">
        <v>197</v>
      </c>
      <c r="I186" s="1">
        <v>44562</v>
      </c>
      <c r="J186" s="2">
        <v>1</v>
      </c>
      <c r="K186" s="2">
        <v>1</v>
      </c>
      <c r="M186" s="3">
        <v>1</v>
      </c>
      <c r="N186" s="2">
        <v>1.17</v>
      </c>
      <c r="O186" t="s">
        <v>715</v>
      </c>
      <c r="P186" t="s">
        <v>1577</v>
      </c>
    </row>
    <row r="187" spans="1:16" x14ac:dyDescent="0.25">
      <c r="A187" s="4">
        <v>101199388300</v>
      </c>
      <c r="B187" s="4" t="str">
        <f t="shared" si="8"/>
        <v>101199388300OVR</v>
      </c>
      <c r="C187" t="s">
        <v>768</v>
      </c>
      <c r="D187" t="s">
        <v>202</v>
      </c>
      <c r="E187" s="11">
        <v>20411454</v>
      </c>
      <c r="F187" t="s">
        <v>1639</v>
      </c>
      <c r="G187" t="s">
        <v>49</v>
      </c>
      <c r="H187" t="s">
        <v>197</v>
      </c>
      <c r="I187" s="1">
        <v>45658</v>
      </c>
      <c r="J187" s="2">
        <v>1</v>
      </c>
      <c r="K187" s="2">
        <v>1</v>
      </c>
      <c r="M187" s="3">
        <v>1</v>
      </c>
      <c r="N187" s="2">
        <v>1.17</v>
      </c>
      <c r="O187" t="s">
        <v>715</v>
      </c>
      <c r="P187" t="s">
        <v>1577</v>
      </c>
    </row>
    <row r="188" spans="1:16" x14ac:dyDescent="0.25">
      <c r="A188" s="4">
        <v>101282879900</v>
      </c>
      <c r="B188" s="4" t="str">
        <f t="shared" si="8"/>
        <v>101282879900OVR</v>
      </c>
      <c r="C188" t="s">
        <v>786</v>
      </c>
      <c r="D188" t="s">
        <v>202</v>
      </c>
      <c r="E188" s="11">
        <v>20411454</v>
      </c>
      <c r="F188" t="s">
        <v>1639</v>
      </c>
      <c r="G188" t="s">
        <v>49</v>
      </c>
      <c r="H188" t="s">
        <v>197</v>
      </c>
      <c r="I188" s="1">
        <v>45292</v>
      </c>
      <c r="J188" s="2">
        <v>1</v>
      </c>
      <c r="K188" s="2">
        <v>1</v>
      </c>
      <c r="M188" s="3">
        <v>1</v>
      </c>
      <c r="N188" s="2">
        <v>1.17</v>
      </c>
      <c r="O188" t="s">
        <v>715</v>
      </c>
      <c r="P188" t="s">
        <v>1577</v>
      </c>
    </row>
    <row r="189" spans="1:16" x14ac:dyDescent="0.25">
      <c r="A189" s="4">
        <v>101338974000</v>
      </c>
      <c r="B189" s="4" t="str">
        <f t="shared" si="8"/>
        <v>101338974000OVR</v>
      </c>
      <c r="C189" t="s">
        <v>793</v>
      </c>
      <c r="D189" t="s">
        <v>287</v>
      </c>
      <c r="E189" s="11">
        <v>20411454</v>
      </c>
      <c r="F189" t="s">
        <v>1639</v>
      </c>
      <c r="G189" t="s">
        <v>49</v>
      </c>
      <c r="H189" t="s">
        <v>197</v>
      </c>
      <c r="I189" s="1">
        <v>45292</v>
      </c>
      <c r="J189" s="2">
        <v>1</v>
      </c>
      <c r="K189" s="2">
        <v>1</v>
      </c>
      <c r="M189" s="3">
        <v>1</v>
      </c>
      <c r="N189" s="2">
        <v>1.17</v>
      </c>
      <c r="O189" t="s">
        <v>715</v>
      </c>
      <c r="P189" t="s">
        <v>1577</v>
      </c>
    </row>
    <row r="190" spans="1:16" x14ac:dyDescent="0.25">
      <c r="A190" s="4">
        <v>101380282300</v>
      </c>
      <c r="B190" s="4" t="str">
        <f t="shared" si="8"/>
        <v>101380282300OVR</v>
      </c>
      <c r="C190" t="s">
        <v>798</v>
      </c>
      <c r="D190" t="s">
        <v>287</v>
      </c>
      <c r="E190" s="11">
        <v>20411454</v>
      </c>
      <c r="F190" t="s">
        <v>1639</v>
      </c>
      <c r="G190" t="s">
        <v>49</v>
      </c>
      <c r="H190" t="s">
        <v>197</v>
      </c>
      <c r="I190" s="1">
        <v>45292</v>
      </c>
      <c r="J190" s="2">
        <v>1</v>
      </c>
      <c r="K190" s="2">
        <v>1</v>
      </c>
      <c r="M190" s="3">
        <v>1</v>
      </c>
      <c r="N190" s="2">
        <v>1.17</v>
      </c>
      <c r="O190" t="s">
        <v>715</v>
      </c>
      <c r="P190" t="s">
        <v>1577</v>
      </c>
    </row>
    <row r="191" spans="1:16" x14ac:dyDescent="0.25">
      <c r="A191" s="4">
        <v>101471809800</v>
      </c>
      <c r="B191" s="4" t="str">
        <f t="shared" si="8"/>
        <v>101471809800OVR</v>
      </c>
      <c r="C191" t="s">
        <v>814</v>
      </c>
      <c r="D191" t="s">
        <v>55</v>
      </c>
      <c r="E191" s="11">
        <v>20411454</v>
      </c>
      <c r="F191" t="s">
        <v>1639</v>
      </c>
      <c r="G191" t="s">
        <v>49</v>
      </c>
      <c r="H191" t="s">
        <v>197</v>
      </c>
      <c r="I191" s="1">
        <v>44562</v>
      </c>
      <c r="J191" s="2">
        <v>1</v>
      </c>
      <c r="K191" s="2">
        <v>1</v>
      </c>
      <c r="M191" s="3">
        <v>1</v>
      </c>
      <c r="N191" s="2">
        <v>1.17</v>
      </c>
      <c r="O191" t="s">
        <v>715</v>
      </c>
      <c r="P191" t="s">
        <v>1577</v>
      </c>
    </row>
    <row r="192" spans="1:16" x14ac:dyDescent="0.25">
      <c r="A192" s="4">
        <v>101492555200</v>
      </c>
      <c r="B192" s="4" t="str">
        <f t="shared" si="8"/>
        <v>101492555200OVR</v>
      </c>
      <c r="C192" t="s">
        <v>841</v>
      </c>
      <c r="D192" t="s">
        <v>202</v>
      </c>
      <c r="E192" s="11">
        <v>20411454</v>
      </c>
      <c r="F192" t="s">
        <v>1639</v>
      </c>
      <c r="G192" t="s">
        <v>49</v>
      </c>
      <c r="H192" t="s">
        <v>197</v>
      </c>
      <c r="I192" s="1">
        <v>44501</v>
      </c>
      <c r="J192" s="2">
        <v>1</v>
      </c>
      <c r="K192" s="2">
        <v>1</v>
      </c>
      <c r="M192" s="3">
        <v>1</v>
      </c>
      <c r="N192" s="2">
        <v>1.17</v>
      </c>
      <c r="O192" t="s">
        <v>715</v>
      </c>
      <c r="P192" t="s">
        <v>1577</v>
      </c>
    </row>
    <row r="193" spans="1:16" x14ac:dyDescent="0.25">
      <c r="A193" s="4">
        <v>101644947100</v>
      </c>
      <c r="B193" s="4" t="str">
        <f t="shared" si="8"/>
        <v>101644947100OVR</v>
      </c>
      <c r="C193" t="s">
        <v>920</v>
      </c>
      <c r="D193" t="s">
        <v>202</v>
      </c>
      <c r="E193" s="11">
        <v>20411454</v>
      </c>
      <c r="F193" t="s">
        <v>1639</v>
      </c>
      <c r="G193" t="s">
        <v>49</v>
      </c>
      <c r="H193" t="s">
        <v>197</v>
      </c>
      <c r="I193" s="1">
        <v>44927</v>
      </c>
      <c r="J193" s="2">
        <v>1</v>
      </c>
      <c r="K193" s="2">
        <v>1</v>
      </c>
      <c r="M193" s="3">
        <v>1</v>
      </c>
      <c r="N193" s="2">
        <v>1.17</v>
      </c>
      <c r="O193" t="s">
        <v>715</v>
      </c>
      <c r="P193" t="s">
        <v>1577</v>
      </c>
    </row>
    <row r="194" spans="1:16" x14ac:dyDescent="0.25">
      <c r="A194" s="4">
        <v>101645485900</v>
      </c>
      <c r="B194" s="4" t="str">
        <f t="shared" si="8"/>
        <v>101645485900OVR</v>
      </c>
      <c r="C194" t="s">
        <v>922</v>
      </c>
      <c r="D194" t="s">
        <v>202</v>
      </c>
      <c r="E194" s="11">
        <v>20411454</v>
      </c>
      <c r="F194" t="s">
        <v>1639</v>
      </c>
      <c r="G194" t="s">
        <v>49</v>
      </c>
      <c r="H194" t="s">
        <v>197</v>
      </c>
      <c r="I194" s="1">
        <v>44927</v>
      </c>
      <c r="J194" s="2">
        <v>1</v>
      </c>
      <c r="K194" s="2">
        <v>1</v>
      </c>
      <c r="M194" s="3">
        <v>1</v>
      </c>
      <c r="N194" s="2">
        <v>1.17</v>
      </c>
      <c r="O194" t="s">
        <v>715</v>
      </c>
      <c r="P194" t="s">
        <v>1577</v>
      </c>
    </row>
    <row r="195" spans="1:16" x14ac:dyDescent="0.25">
      <c r="A195" s="4">
        <v>101048751100</v>
      </c>
      <c r="B195" s="4" t="str">
        <f t="shared" si="8"/>
        <v>101048751100OVR</v>
      </c>
      <c r="C195" t="s">
        <v>713</v>
      </c>
      <c r="D195" t="s">
        <v>202</v>
      </c>
      <c r="E195" s="11">
        <v>20411454</v>
      </c>
      <c r="F195" t="s">
        <v>1639</v>
      </c>
      <c r="G195" t="s">
        <v>49</v>
      </c>
      <c r="H195" t="s">
        <v>714</v>
      </c>
      <c r="I195" s="1">
        <v>43466</v>
      </c>
      <c r="J195" s="2">
        <v>1</v>
      </c>
      <c r="K195" s="2">
        <v>1</v>
      </c>
      <c r="M195" s="3">
        <v>1</v>
      </c>
      <c r="N195" s="2">
        <v>2</v>
      </c>
      <c r="O195" t="s">
        <v>715</v>
      </c>
      <c r="P195" t="s">
        <v>1577</v>
      </c>
    </row>
    <row r="196" spans="1:16" x14ac:dyDescent="0.25">
      <c r="A196" s="4">
        <v>101049150200</v>
      </c>
      <c r="B196" s="4" t="str">
        <f t="shared" si="8"/>
        <v>101049150200OVR</v>
      </c>
      <c r="C196" t="s">
        <v>716</v>
      </c>
      <c r="D196" t="s">
        <v>202</v>
      </c>
      <c r="E196" s="11">
        <v>20411454</v>
      </c>
      <c r="F196" t="s">
        <v>1639</v>
      </c>
      <c r="G196" t="s">
        <v>49</v>
      </c>
      <c r="H196" t="s">
        <v>714</v>
      </c>
      <c r="I196" s="1">
        <v>44562</v>
      </c>
      <c r="J196" s="2">
        <v>1</v>
      </c>
      <c r="K196" s="2">
        <v>1</v>
      </c>
      <c r="M196" s="3">
        <v>1</v>
      </c>
      <c r="N196" s="2">
        <v>2</v>
      </c>
      <c r="O196" t="s">
        <v>715</v>
      </c>
      <c r="P196" t="s">
        <v>1577</v>
      </c>
    </row>
    <row r="197" spans="1:16" x14ac:dyDescent="0.25">
      <c r="A197" s="4">
        <v>101049995200</v>
      </c>
      <c r="B197" s="4" t="str">
        <f t="shared" si="8"/>
        <v>101049995200OVR</v>
      </c>
      <c r="C197" t="s">
        <v>717</v>
      </c>
      <c r="D197" t="s">
        <v>202</v>
      </c>
      <c r="E197" s="11">
        <v>20411454</v>
      </c>
      <c r="F197" t="s">
        <v>1639</v>
      </c>
      <c r="G197" t="s">
        <v>49</v>
      </c>
      <c r="H197" t="s">
        <v>714</v>
      </c>
      <c r="I197" s="1">
        <v>43922</v>
      </c>
      <c r="J197" s="2">
        <v>1</v>
      </c>
      <c r="K197" s="2">
        <v>1</v>
      </c>
      <c r="M197" s="3">
        <v>1</v>
      </c>
      <c r="N197" s="2">
        <v>2</v>
      </c>
      <c r="O197" t="s">
        <v>715</v>
      </c>
      <c r="P197" t="s">
        <v>1577</v>
      </c>
    </row>
    <row r="198" spans="1:16" x14ac:dyDescent="0.25">
      <c r="A198" s="4">
        <v>101050888000</v>
      </c>
      <c r="B198" s="4" t="str">
        <f t="shared" si="8"/>
        <v>101050888000OVR</v>
      </c>
      <c r="C198" t="s">
        <v>718</v>
      </c>
      <c r="D198" t="s">
        <v>202</v>
      </c>
      <c r="E198" s="11">
        <v>20411454</v>
      </c>
      <c r="F198" t="s">
        <v>1639</v>
      </c>
      <c r="G198" t="s">
        <v>49</v>
      </c>
      <c r="H198" t="s">
        <v>714</v>
      </c>
      <c r="I198" s="1">
        <v>44562</v>
      </c>
      <c r="J198" s="2">
        <v>1</v>
      </c>
      <c r="K198" s="2">
        <v>1</v>
      </c>
      <c r="M198" s="3">
        <v>1</v>
      </c>
      <c r="N198" s="2">
        <v>2</v>
      </c>
      <c r="O198" t="s">
        <v>715</v>
      </c>
      <c r="P198" t="s">
        <v>1577</v>
      </c>
    </row>
    <row r="199" spans="1:16" x14ac:dyDescent="0.25">
      <c r="A199" s="4">
        <v>101051538100</v>
      </c>
      <c r="B199" s="4" t="str">
        <f t="shared" si="8"/>
        <v>101051538100OVR</v>
      </c>
      <c r="C199" t="s">
        <v>719</v>
      </c>
      <c r="D199" t="s">
        <v>110</v>
      </c>
      <c r="E199" s="11">
        <v>20411454</v>
      </c>
      <c r="F199" t="s">
        <v>1639</v>
      </c>
      <c r="G199" t="s">
        <v>49</v>
      </c>
      <c r="H199" t="s">
        <v>714</v>
      </c>
      <c r="I199" s="1">
        <v>45444</v>
      </c>
      <c r="J199" s="2">
        <v>1</v>
      </c>
      <c r="K199" s="2">
        <v>1</v>
      </c>
      <c r="M199" s="3">
        <v>1</v>
      </c>
      <c r="N199" s="2">
        <v>2</v>
      </c>
      <c r="O199" t="s">
        <v>715</v>
      </c>
      <c r="P199" t="s">
        <v>1577</v>
      </c>
    </row>
    <row r="200" spans="1:16" x14ac:dyDescent="0.25">
      <c r="A200" s="4">
        <v>101051689400</v>
      </c>
      <c r="B200" s="4" t="str">
        <f t="shared" si="8"/>
        <v>101051689400OVR</v>
      </c>
      <c r="C200" t="s">
        <v>720</v>
      </c>
      <c r="D200" t="s">
        <v>202</v>
      </c>
      <c r="E200" s="11">
        <v>20411454</v>
      </c>
      <c r="F200" t="s">
        <v>1639</v>
      </c>
      <c r="G200" t="s">
        <v>49</v>
      </c>
      <c r="H200" t="s">
        <v>714</v>
      </c>
      <c r="I200" s="1">
        <v>45658</v>
      </c>
      <c r="J200" s="2">
        <v>1</v>
      </c>
      <c r="K200" s="2">
        <v>1</v>
      </c>
      <c r="M200" s="3">
        <v>1</v>
      </c>
      <c r="N200" s="2">
        <v>2</v>
      </c>
      <c r="O200" t="s">
        <v>715</v>
      </c>
      <c r="P200" t="s">
        <v>1577</v>
      </c>
    </row>
    <row r="201" spans="1:16" x14ac:dyDescent="0.25">
      <c r="A201" s="4">
        <v>101052135000</v>
      </c>
      <c r="B201" s="4" t="str">
        <f t="shared" si="8"/>
        <v>101052135000OVR</v>
      </c>
      <c r="C201" t="s">
        <v>201</v>
      </c>
      <c r="D201" t="s">
        <v>202</v>
      </c>
      <c r="E201" s="11">
        <v>20411454</v>
      </c>
      <c r="F201" t="s">
        <v>1639</v>
      </c>
      <c r="G201" t="s">
        <v>49</v>
      </c>
      <c r="H201" t="s">
        <v>714</v>
      </c>
      <c r="I201" s="1">
        <v>40909</v>
      </c>
      <c r="J201" s="2">
        <v>1</v>
      </c>
      <c r="K201" s="2">
        <v>1</v>
      </c>
      <c r="M201" s="3">
        <v>1</v>
      </c>
      <c r="N201" s="2">
        <v>2</v>
      </c>
      <c r="O201" t="s">
        <v>715</v>
      </c>
      <c r="P201" t="s">
        <v>1577</v>
      </c>
    </row>
    <row r="202" spans="1:16" x14ac:dyDescent="0.25">
      <c r="A202" s="4">
        <v>101053757200</v>
      </c>
      <c r="B202" s="4" t="str">
        <f t="shared" si="8"/>
        <v>101053757200OVR</v>
      </c>
      <c r="C202" t="s">
        <v>721</v>
      </c>
      <c r="D202" t="s">
        <v>202</v>
      </c>
      <c r="E202" s="11">
        <v>20411454</v>
      </c>
      <c r="F202" t="s">
        <v>1639</v>
      </c>
      <c r="G202" t="s">
        <v>49</v>
      </c>
      <c r="H202" t="s">
        <v>714</v>
      </c>
      <c r="I202" s="1">
        <v>43862</v>
      </c>
      <c r="J202" s="2">
        <v>1</v>
      </c>
      <c r="K202" s="2">
        <v>1</v>
      </c>
      <c r="M202" s="3">
        <v>1</v>
      </c>
      <c r="N202" s="2">
        <v>2</v>
      </c>
      <c r="O202" t="s">
        <v>715</v>
      </c>
      <c r="P202" t="s">
        <v>1577</v>
      </c>
    </row>
    <row r="203" spans="1:16" x14ac:dyDescent="0.25">
      <c r="A203" s="4">
        <v>101054911000</v>
      </c>
      <c r="B203" s="4" t="str">
        <f t="shared" si="8"/>
        <v>101054911000OVR</v>
      </c>
      <c r="C203" t="s">
        <v>722</v>
      </c>
      <c r="D203" t="s">
        <v>202</v>
      </c>
      <c r="E203" s="11">
        <v>20411454</v>
      </c>
      <c r="F203" t="s">
        <v>1639</v>
      </c>
      <c r="G203" t="s">
        <v>49</v>
      </c>
      <c r="H203" t="s">
        <v>714</v>
      </c>
      <c r="I203" s="1">
        <v>43678</v>
      </c>
      <c r="J203" s="2">
        <v>1</v>
      </c>
      <c r="K203" s="2">
        <v>1</v>
      </c>
      <c r="M203" s="3">
        <v>1</v>
      </c>
      <c r="N203" s="2">
        <v>2</v>
      </c>
      <c r="O203" t="s">
        <v>715</v>
      </c>
      <c r="P203" t="s">
        <v>1577</v>
      </c>
    </row>
    <row r="204" spans="1:16" x14ac:dyDescent="0.25">
      <c r="A204" s="4">
        <v>101055639600</v>
      </c>
      <c r="B204" s="4" t="str">
        <f t="shared" si="8"/>
        <v>101055639600OVR</v>
      </c>
      <c r="C204" t="s">
        <v>723</v>
      </c>
      <c r="D204" t="s">
        <v>202</v>
      </c>
      <c r="E204" s="11">
        <v>20411454</v>
      </c>
      <c r="F204" t="s">
        <v>1639</v>
      </c>
      <c r="G204" t="s">
        <v>49</v>
      </c>
      <c r="H204" t="s">
        <v>714</v>
      </c>
      <c r="I204" s="1">
        <v>43466</v>
      </c>
      <c r="J204" s="2">
        <v>1</v>
      </c>
      <c r="K204" s="2">
        <v>1</v>
      </c>
      <c r="M204" s="3">
        <v>1</v>
      </c>
      <c r="N204" s="2">
        <v>2</v>
      </c>
      <c r="O204" t="s">
        <v>715</v>
      </c>
      <c r="P204" t="s">
        <v>1577</v>
      </c>
    </row>
    <row r="205" spans="1:16" x14ac:dyDescent="0.25">
      <c r="A205" s="4">
        <v>101057312000</v>
      </c>
      <c r="B205" s="4" t="str">
        <f t="shared" si="8"/>
        <v>101057312000OVR</v>
      </c>
      <c r="C205" t="s">
        <v>724</v>
      </c>
      <c r="D205" t="s">
        <v>202</v>
      </c>
      <c r="E205" s="11">
        <v>20411454</v>
      </c>
      <c r="F205" t="s">
        <v>1639</v>
      </c>
      <c r="G205" t="s">
        <v>49</v>
      </c>
      <c r="H205" t="s">
        <v>714</v>
      </c>
      <c r="I205" s="1">
        <v>43466</v>
      </c>
      <c r="J205" s="2">
        <v>1</v>
      </c>
      <c r="K205" s="2">
        <v>1</v>
      </c>
      <c r="M205" s="3">
        <v>1</v>
      </c>
      <c r="N205" s="2">
        <v>2</v>
      </c>
      <c r="O205" t="s">
        <v>715</v>
      </c>
      <c r="P205" t="s">
        <v>1577</v>
      </c>
    </row>
    <row r="206" spans="1:16" x14ac:dyDescent="0.25">
      <c r="A206" s="4">
        <v>101057924100</v>
      </c>
      <c r="B206" s="4" t="str">
        <f t="shared" si="8"/>
        <v>101057924100OVR</v>
      </c>
      <c r="C206" t="s">
        <v>725</v>
      </c>
      <c r="D206" t="s">
        <v>202</v>
      </c>
      <c r="E206" s="11">
        <v>20411454</v>
      </c>
      <c r="F206" t="s">
        <v>1639</v>
      </c>
      <c r="G206" t="s">
        <v>49</v>
      </c>
      <c r="H206" t="s">
        <v>714</v>
      </c>
      <c r="I206" s="1">
        <v>43466</v>
      </c>
      <c r="J206" s="2">
        <v>1</v>
      </c>
      <c r="K206" s="2">
        <v>1</v>
      </c>
      <c r="M206" s="3">
        <v>1</v>
      </c>
      <c r="N206" s="2">
        <v>2</v>
      </c>
      <c r="O206" t="s">
        <v>715</v>
      </c>
      <c r="P206" t="s">
        <v>1577</v>
      </c>
    </row>
    <row r="207" spans="1:16" x14ac:dyDescent="0.25">
      <c r="A207" s="4">
        <v>101058087000</v>
      </c>
      <c r="B207" s="4" t="str">
        <f t="shared" si="8"/>
        <v>101058087000OVR</v>
      </c>
      <c r="C207" t="s">
        <v>726</v>
      </c>
      <c r="D207" t="s">
        <v>202</v>
      </c>
      <c r="E207" s="11">
        <v>20411454</v>
      </c>
      <c r="F207" t="s">
        <v>1639</v>
      </c>
      <c r="G207" t="s">
        <v>49</v>
      </c>
      <c r="H207" t="s">
        <v>714</v>
      </c>
      <c r="I207" s="1">
        <v>44562</v>
      </c>
      <c r="J207" s="2">
        <v>1</v>
      </c>
      <c r="K207" s="2">
        <v>1</v>
      </c>
      <c r="M207" s="3">
        <v>1</v>
      </c>
      <c r="N207" s="2">
        <v>2</v>
      </c>
      <c r="O207" t="s">
        <v>715</v>
      </c>
      <c r="P207" t="s">
        <v>1577</v>
      </c>
    </row>
    <row r="208" spans="1:16" x14ac:dyDescent="0.25">
      <c r="A208" s="4">
        <v>101058793600</v>
      </c>
      <c r="B208" s="4" t="str">
        <f t="shared" si="8"/>
        <v>101058793600OVR</v>
      </c>
      <c r="C208" t="s">
        <v>727</v>
      </c>
      <c r="D208" t="s">
        <v>202</v>
      </c>
      <c r="E208" s="11">
        <v>20411454</v>
      </c>
      <c r="F208" t="s">
        <v>1639</v>
      </c>
      <c r="G208" t="s">
        <v>49</v>
      </c>
      <c r="H208" t="s">
        <v>714</v>
      </c>
      <c r="I208" s="1">
        <v>43466</v>
      </c>
      <c r="J208" s="2">
        <v>1</v>
      </c>
      <c r="K208" s="2">
        <v>1</v>
      </c>
      <c r="M208" s="3">
        <v>1</v>
      </c>
      <c r="N208" s="2">
        <v>2</v>
      </c>
      <c r="O208" t="s">
        <v>715</v>
      </c>
      <c r="P208" t="s">
        <v>1577</v>
      </c>
    </row>
    <row r="209" spans="1:16" x14ac:dyDescent="0.25">
      <c r="A209" s="4">
        <v>101060073300</v>
      </c>
      <c r="B209" s="4" t="str">
        <f t="shared" si="8"/>
        <v>101060073300OVR</v>
      </c>
      <c r="C209" t="s">
        <v>728</v>
      </c>
      <c r="D209" t="s">
        <v>202</v>
      </c>
      <c r="E209" s="11">
        <v>20411454</v>
      </c>
      <c r="F209" t="s">
        <v>1639</v>
      </c>
      <c r="G209" t="s">
        <v>49</v>
      </c>
      <c r="H209" t="s">
        <v>714</v>
      </c>
      <c r="I209" s="1">
        <v>43678</v>
      </c>
      <c r="J209" s="2">
        <v>1</v>
      </c>
      <c r="K209" s="2">
        <v>1</v>
      </c>
      <c r="M209" s="3">
        <v>1</v>
      </c>
      <c r="N209" s="2">
        <v>2</v>
      </c>
      <c r="O209" t="s">
        <v>715</v>
      </c>
      <c r="P209" t="s">
        <v>1577</v>
      </c>
    </row>
    <row r="210" spans="1:16" x14ac:dyDescent="0.25">
      <c r="A210" s="4">
        <v>101060456400</v>
      </c>
      <c r="B210" s="4" t="str">
        <f t="shared" si="8"/>
        <v>101060456400OVR</v>
      </c>
      <c r="C210" t="s">
        <v>729</v>
      </c>
      <c r="D210" t="s">
        <v>202</v>
      </c>
      <c r="E210" s="11">
        <v>20411454</v>
      </c>
      <c r="F210" t="s">
        <v>1639</v>
      </c>
      <c r="G210" t="s">
        <v>49</v>
      </c>
      <c r="H210" t="s">
        <v>714</v>
      </c>
      <c r="I210" s="1">
        <v>43466</v>
      </c>
      <c r="J210" s="2">
        <v>1</v>
      </c>
      <c r="K210" s="2">
        <v>1</v>
      </c>
      <c r="M210" s="3">
        <v>1</v>
      </c>
      <c r="N210" s="2">
        <v>2</v>
      </c>
      <c r="O210" t="s">
        <v>715</v>
      </c>
      <c r="P210" t="s">
        <v>1577</v>
      </c>
    </row>
    <row r="211" spans="1:16" x14ac:dyDescent="0.25">
      <c r="A211" s="4">
        <v>101063039500</v>
      </c>
      <c r="B211" s="4" t="str">
        <f t="shared" si="8"/>
        <v>101063039500OVR</v>
      </c>
      <c r="C211" t="s">
        <v>730</v>
      </c>
      <c r="D211" t="s">
        <v>202</v>
      </c>
      <c r="E211" s="11">
        <v>20411454</v>
      </c>
      <c r="F211" t="s">
        <v>1639</v>
      </c>
      <c r="G211" t="s">
        <v>49</v>
      </c>
      <c r="H211" t="s">
        <v>714</v>
      </c>
      <c r="I211" s="1">
        <v>45658</v>
      </c>
      <c r="J211" s="2">
        <v>1</v>
      </c>
      <c r="K211" s="2">
        <v>1</v>
      </c>
      <c r="M211" s="3">
        <v>1</v>
      </c>
      <c r="N211" s="2">
        <v>2</v>
      </c>
      <c r="O211" t="s">
        <v>715</v>
      </c>
      <c r="P211" t="s">
        <v>1577</v>
      </c>
    </row>
    <row r="212" spans="1:16" x14ac:dyDescent="0.25">
      <c r="A212" s="4">
        <v>101063380800</v>
      </c>
      <c r="B212" s="4" t="str">
        <f t="shared" si="8"/>
        <v>101063380800OVR</v>
      </c>
      <c r="C212" t="s">
        <v>731</v>
      </c>
      <c r="D212" t="s">
        <v>202</v>
      </c>
      <c r="E212" s="11">
        <v>20411454</v>
      </c>
      <c r="F212" t="s">
        <v>1639</v>
      </c>
      <c r="G212" t="s">
        <v>49</v>
      </c>
      <c r="H212" t="s">
        <v>714</v>
      </c>
      <c r="I212" s="1">
        <v>43831</v>
      </c>
      <c r="J212" s="2">
        <v>1</v>
      </c>
      <c r="K212" s="2">
        <v>1</v>
      </c>
      <c r="M212" s="3">
        <v>1</v>
      </c>
      <c r="N212" s="2">
        <v>2</v>
      </c>
      <c r="O212" t="s">
        <v>715</v>
      </c>
      <c r="P212" t="s">
        <v>1577</v>
      </c>
    </row>
    <row r="213" spans="1:16" x14ac:dyDescent="0.25">
      <c r="A213" s="4">
        <v>101064228200</v>
      </c>
      <c r="B213" s="4" t="str">
        <f t="shared" si="8"/>
        <v>101064228200OVR</v>
      </c>
      <c r="C213" t="s">
        <v>732</v>
      </c>
      <c r="D213" t="s">
        <v>202</v>
      </c>
      <c r="E213" s="11">
        <v>20411454</v>
      </c>
      <c r="F213" t="s">
        <v>1639</v>
      </c>
      <c r="G213" t="s">
        <v>49</v>
      </c>
      <c r="H213" t="s">
        <v>714</v>
      </c>
      <c r="I213" s="1">
        <v>44562</v>
      </c>
      <c r="J213" s="2">
        <v>1</v>
      </c>
      <c r="K213" s="2">
        <v>1</v>
      </c>
      <c r="M213" s="3">
        <v>1</v>
      </c>
      <c r="N213" s="2">
        <v>2</v>
      </c>
      <c r="O213" t="s">
        <v>715</v>
      </c>
      <c r="P213" t="s">
        <v>1577</v>
      </c>
    </row>
    <row r="214" spans="1:16" x14ac:dyDescent="0.25">
      <c r="A214" s="4">
        <v>101066997100</v>
      </c>
      <c r="B214" s="4" t="str">
        <f t="shared" si="8"/>
        <v>101066997100OVR</v>
      </c>
      <c r="C214" t="s">
        <v>733</v>
      </c>
      <c r="D214" t="s">
        <v>202</v>
      </c>
      <c r="E214" s="11">
        <v>20411454</v>
      </c>
      <c r="F214" t="s">
        <v>1639</v>
      </c>
      <c r="G214" t="s">
        <v>49</v>
      </c>
      <c r="H214" t="s">
        <v>714</v>
      </c>
      <c r="I214" s="1">
        <v>43891</v>
      </c>
      <c r="J214" s="2">
        <v>1</v>
      </c>
      <c r="K214" s="2">
        <v>1</v>
      </c>
      <c r="M214" s="3">
        <v>1</v>
      </c>
      <c r="N214" s="2">
        <v>2</v>
      </c>
      <c r="O214" t="s">
        <v>715</v>
      </c>
      <c r="P214" t="s">
        <v>1577</v>
      </c>
    </row>
    <row r="215" spans="1:16" x14ac:dyDescent="0.25">
      <c r="A215" s="4">
        <v>101070037600</v>
      </c>
      <c r="B215" s="4" t="str">
        <f t="shared" si="8"/>
        <v>101070037600OVR</v>
      </c>
      <c r="C215" t="s">
        <v>734</v>
      </c>
      <c r="D215" t="s">
        <v>202</v>
      </c>
      <c r="E215" s="11">
        <v>20411454</v>
      </c>
      <c r="F215" t="s">
        <v>1639</v>
      </c>
      <c r="G215" t="s">
        <v>49</v>
      </c>
      <c r="H215" t="s">
        <v>714</v>
      </c>
      <c r="I215" s="1">
        <v>41640</v>
      </c>
      <c r="J215" s="2">
        <v>1</v>
      </c>
      <c r="K215" s="2">
        <v>1</v>
      </c>
      <c r="M215" s="3">
        <v>1</v>
      </c>
      <c r="N215" s="2">
        <v>2</v>
      </c>
      <c r="O215" t="s">
        <v>715</v>
      </c>
      <c r="P215" t="s">
        <v>1577</v>
      </c>
    </row>
    <row r="216" spans="1:16" x14ac:dyDescent="0.25">
      <c r="A216" s="4">
        <v>101077326300</v>
      </c>
      <c r="B216" s="4" t="str">
        <f t="shared" si="8"/>
        <v>101077326300OVR</v>
      </c>
      <c r="C216" t="s">
        <v>737</v>
      </c>
      <c r="D216" t="s">
        <v>202</v>
      </c>
      <c r="E216" s="11">
        <v>20411454</v>
      </c>
      <c r="F216" t="s">
        <v>1639</v>
      </c>
      <c r="G216" t="s">
        <v>49</v>
      </c>
      <c r="H216" t="s">
        <v>714</v>
      </c>
      <c r="I216" s="1">
        <v>43647</v>
      </c>
      <c r="J216" s="2">
        <v>1</v>
      </c>
      <c r="K216" s="2">
        <v>1</v>
      </c>
      <c r="M216" s="3">
        <v>1</v>
      </c>
      <c r="N216" s="2">
        <v>2</v>
      </c>
      <c r="O216" t="s">
        <v>715</v>
      </c>
      <c r="P216" t="s">
        <v>1577</v>
      </c>
    </row>
    <row r="217" spans="1:16" x14ac:dyDescent="0.25">
      <c r="A217" s="4">
        <v>101078984800</v>
      </c>
      <c r="B217" s="4" t="str">
        <f t="shared" si="8"/>
        <v>101078984800OVR</v>
      </c>
      <c r="C217" t="s">
        <v>738</v>
      </c>
      <c r="D217" t="s">
        <v>202</v>
      </c>
      <c r="E217" s="11">
        <v>20411454</v>
      </c>
      <c r="F217" t="s">
        <v>1639</v>
      </c>
      <c r="G217" t="s">
        <v>49</v>
      </c>
      <c r="H217" t="s">
        <v>714</v>
      </c>
      <c r="I217" s="1">
        <v>43922</v>
      </c>
      <c r="J217" s="2">
        <v>1</v>
      </c>
      <c r="K217" s="2">
        <v>1</v>
      </c>
      <c r="M217" s="3">
        <v>1</v>
      </c>
      <c r="N217" s="2">
        <v>2</v>
      </c>
      <c r="O217" t="s">
        <v>715</v>
      </c>
      <c r="P217" t="s">
        <v>1577</v>
      </c>
    </row>
    <row r="218" spans="1:16" x14ac:dyDescent="0.25">
      <c r="A218" s="4">
        <v>101079484800</v>
      </c>
      <c r="B218" s="4" t="str">
        <f t="shared" si="8"/>
        <v>101079484800OVR</v>
      </c>
      <c r="C218" t="s">
        <v>739</v>
      </c>
      <c r="D218" t="s">
        <v>202</v>
      </c>
      <c r="E218" s="11">
        <v>20411454</v>
      </c>
      <c r="F218" t="s">
        <v>1639</v>
      </c>
      <c r="G218" t="s">
        <v>106</v>
      </c>
      <c r="H218" t="s">
        <v>714</v>
      </c>
      <c r="I218" s="1">
        <v>44044</v>
      </c>
      <c r="J218" s="2">
        <v>1</v>
      </c>
      <c r="K218" s="2">
        <v>1</v>
      </c>
      <c r="M218" s="3">
        <v>1</v>
      </c>
      <c r="N218" s="2">
        <v>2</v>
      </c>
      <c r="O218" t="s">
        <v>715</v>
      </c>
      <c r="P218" t="s">
        <v>1577</v>
      </c>
    </row>
    <row r="219" spans="1:16" x14ac:dyDescent="0.25">
      <c r="A219" s="4">
        <v>101081464500</v>
      </c>
      <c r="B219" s="4" t="str">
        <f t="shared" si="8"/>
        <v>101081464500OVR</v>
      </c>
      <c r="C219" t="s">
        <v>740</v>
      </c>
      <c r="D219" t="s">
        <v>202</v>
      </c>
      <c r="E219" s="11">
        <v>20411454</v>
      </c>
      <c r="F219" t="s">
        <v>1639</v>
      </c>
      <c r="G219" t="s">
        <v>49</v>
      </c>
      <c r="H219" t="s">
        <v>714</v>
      </c>
      <c r="I219" s="1">
        <v>40909</v>
      </c>
      <c r="J219" s="2">
        <v>1</v>
      </c>
      <c r="K219" s="2">
        <v>1</v>
      </c>
      <c r="M219" s="3">
        <v>1</v>
      </c>
      <c r="N219" s="2">
        <v>2</v>
      </c>
      <c r="O219" t="s">
        <v>715</v>
      </c>
      <c r="P219" t="s">
        <v>1577</v>
      </c>
    </row>
    <row r="220" spans="1:16" x14ac:dyDescent="0.25">
      <c r="A220" s="4">
        <v>101083195000</v>
      </c>
      <c r="B220" s="4" t="str">
        <f t="shared" si="8"/>
        <v>101083195000OVR</v>
      </c>
      <c r="C220" t="s">
        <v>220</v>
      </c>
      <c r="D220" t="s">
        <v>202</v>
      </c>
      <c r="E220" s="11">
        <v>20411454</v>
      </c>
      <c r="F220" t="s">
        <v>1639</v>
      </c>
      <c r="G220" t="s">
        <v>49</v>
      </c>
      <c r="H220" t="s">
        <v>714</v>
      </c>
      <c r="I220" s="1">
        <v>40909</v>
      </c>
      <c r="J220" s="2">
        <v>1</v>
      </c>
      <c r="K220" s="2">
        <v>1</v>
      </c>
      <c r="M220" s="3">
        <v>1</v>
      </c>
      <c r="N220" s="2">
        <v>2</v>
      </c>
      <c r="O220" t="s">
        <v>715</v>
      </c>
      <c r="P220" t="s">
        <v>1577</v>
      </c>
    </row>
    <row r="221" spans="1:16" x14ac:dyDescent="0.25">
      <c r="A221" s="4">
        <v>101088372600</v>
      </c>
      <c r="B221" s="4" t="str">
        <f t="shared" si="8"/>
        <v>101088372600OVR</v>
      </c>
      <c r="C221" t="s">
        <v>743</v>
      </c>
      <c r="D221" t="s">
        <v>202</v>
      </c>
      <c r="E221" s="11">
        <v>20411454</v>
      </c>
      <c r="F221" t="s">
        <v>1639</v>
      </c>
      <c r="G221" t="s">
        <v>49</v>
      </c>
      <c r="H221" t="s">
        <v>714</v>
      </c>
      <c r="I221" s="1">
        <v>44562</v>
      </c>
      <c r="J221" s="2">
        <v>1</v>
      </c>
      <c r="K221" s="2">
        <v>1</v>
      </c>
      <c r="M221" s="3">
        <v>1</v>
      </c>
      <c r="N221" s="2">
        <v>2</v>
      </c>
      <c r="O221" t="s">
        <v>715</v>
      </c>
      <c r="P221" t="s">
        <v>1577</v>
      </c>
    </row>
    <row r="222" spans="1:16" x14ac:dyDescent="0.25">
      <c r="A222" s="4">
        <v>101091001900</v>
      </c>
      <c r="B222" s="4" t="str">
        <f t="shared" si="8"/>
        <v>101091001900OVR</v>
      </c>
      <c r="C222" t="s">
        <v>744</v>
      </c>
      <c r="D222" t="s">
        <v>202</v>
      </c>
      <c r="E222" s="11">
        <v>20411454</v>
      </c>
      <c r="F222" t="s">
        <v>1639</v>
      </c>
      <c r="G222" t="s">
        <v>49</v>
      </c>
      <c r="H222" t="s">
        <v>714</v>
      </c>
      <c r="I222" s="1">
        <v>40909</v>
      </c>
      <c r="J222" s="2">
        <v>1</v>
      </c>
      <c r="K222" s="2">
        <v>1</v>
      </c>
      <c r="M222" s="3">
        <v>1</v>
      </c>
      <c r="N222" s="2">
        <v>2</v>
      </c>
      <c r="O222" t="s">
        <v>715</v>
      </c>
      <c r="P222" t="s">
        <v>1577</v>
      </c>
    </row>
    <row r="223" spans="1:16" x14ac:dyDescent="0.25">
      <c r="A223" s="4">
        <v>101094290600</v>
      </c>
      <c r="B223" s="4" t="str">
        <f t="shared" ref="B223:B286" si="9">CONCATENATE(A223,"OVR")</f>
        <v>101094290600OVR</v>
      </c>
      <c r="C223" t="s">
        <v>745</v>
      </c>
      <c r="D223" t="s">
        <v>202</v>
      </c>
      <c r="E223" s="11">
        <v>20411454</v>
      </c>
      <c r="F223" t="s">
        <v>1639</v>
      </c>
      <c r="G223" t="s">
        <v>49</v>
      </c>
      <c r="H223" t="s">
        <v>714</v>
      </c>
      <c r="I223" s="1">
        <v>44562</v>
      </c>
      <c r="J223" s="2">
        <v>1</v>
      </c>
      <c r="K223" s="2">
        <v>1</v>
      </c>
      <c r="M223" s="3">
        <v>1</v>
      </c>
      <c r="N223" s="2">
        <v>2</v>
      </c>
      <c r="O223" t="s">
        <v>715</v>
      </c>
      <c r="P223" t="s">
        <v>1577</v>
      </c>
    </row>
    <row r="224" spans="1:16" x14ac:dyDescent="0.25">
      <c r="A224" s="4">
        <v>101097095200</v>
      </c>
      <c r="B224" s="4" t="str">
        <f t="shared" si="9"/>
        <v>101097095200OVR</v>
      </c>
      <c r="C224" t="s">
        <v>746</v>
      </c>
      <c r="D224" t="s">
        <v>202</v>
      </c>
      <c r="E224" s="11">
        <v>20411454</v>
      </c>
      <c r="F224" t="s">
        <v>1639</v>
      </c>
      <c r="G224" t="s">
        <v>49</v>
      </c>
      <c r="H224" t="s">
        <v>714</v>
      </c>
      <c r="I224" s="1">
        <v>45658</v>
      </c>
      <c r="J224" s="2">
        <v>1</v>
      </c>
      <c r="K224" s="2">
        <v>1</v>
      </c>
      <c r="M224" s="3">
        <v>1</v>
      </c>
      <c r="N224" s="2">
        <v>2</v>
      </c>
      <c r="O224" t="s">
        <v>715</v>
      </c>
      <c r="P224" t="s">
        <v>1577</v>
      </c>
    </row>
    <row r="225" spans="1:16" x14ac:dyDescent="0.25">
      <c r="A225" s="4">
        <v>101098603800</v>
      </c>
      <c r="B225" s="4" t="str">
        <f t="shared" si="9"/>
        <v>101098603800OVR</v>
      </c>
      <c r="C225" t="s">
        <v>747</v>
      </c>
      <c r="D225" t="s">
        <v>202</v>
      </c>
      <c r="E225" s="11">
        <v>20411454</v>
      </c>
      <c r="F225" t="s">
        <v>1639</v>
      </c>
      <c r="G225" t="s">
        <v>49</v>
      </c>
      <c r="H225" t="s">
        <v>714</v>
      </c>
      <c r="I225" s="1">
        <v>44562</v>
      </c>
      <c r="J225" s="2">
        <v>1</v>
      </c>
      <c r="K225" s="2">
        <v>1</v>
      </c>
      <c r="M225" s="3">
        <v>1</v>
      </c>
      <c r="N225" s="2">
        <v>2</v>
      </c>
      <c r="O225" t="s">
        <v>715</v>
      </c>
      <c r="P225" t="s">
        <v>1577</v>
      </c>
    </row>
    <row r="226" spans="1:16" x14ac:dyDescent="0.25">
      <c r="A226" s="4">
        <v>101108661400</v>
      </c>
      <c r="B226" s="4" t="str">
        <f t="shared" si="9"/>
        <v>101108661400OVR</v>
      </c>
      <c r="C226" t="s">
        <v>748</v>
      </c>
      <c r="D226" t="s">
        <v>202</v>
      </c>
      <c r="E226" s="11">
        <v>20411454</v>
      </c>
      <c r="F226" t="s">
        <v>1639</v>
      </c>
      <c r="G226" t="s">
        <v>49</v>
      </c>
      <c r="H226" t="s">
        <v>714</v>
      </c>
      <c r="I226" s="1">
        <v>43831</v>
      </c>
      <c r="J226" s="2">
        <v>1</v>
      </c>
      <c r="K226" s="2">
        <v>1</v>
      </c>
      <c r="M226" s="3">
        <v>1</v>
      </c>
      <c r="N226" s="2">
        <v>2</v>
      </c>
      <c r="O226" t="s">
        <v>715</v>
      </c>
      <c r="P226" t="s">
        <v>1577</v>
      </c>
    </row>
    <row r="227" spans="1:16" x14ac:dyDescent="0.25">
      <c r="A227" s="4">
        <v>101109076200</v>
      </c>
      <c r="B227" s="4" t="str">
        <f t="shared" si="9"/>
        <v>101109076200OVR</v>
      </c>
      <c r="C227" t="s">
        <v>749</v>
      </c>
      <c r="D227" t="s">
        <v>202</v>
      </c>
      <c r="E227" s="11">
        <v>20411454</v>
      </c>
      <c r="F227" t="s">
        <v>1639</v>
      </c>
      <c r="G227" t="s">
        <v>49</v>
      </c>
      <c r="H227" t="s">
        <v>714</v>
      </c>
      <c r="I227" s="1">
        <v>43831</v>
      </c>
      <c r="J227" s="2">
        <v>1</v>
      </c>
      <c r="K227" s="2">
        <v>1</v>
      </c>
      <c r="M227" s="3">
        <v>1</v>
      </c>
      <c r="N227" s="2">
        <v>2</v>
      </c>
      <c r="O227" t="s">
        <v>715</v>
      </c>
      <c r="P227" t="s">
        <v>1577</v>
      </c>
    </row>
    <row r="228" spans="1:16" x14ac:dyDescent="0.25">
      <c r="A228" s="4">
        <v>101109815100</v>
      </c>
      <c r="B228" s="4" t="str">
        <f t="shared" si="9"/>
        <v>101109815100OVR</v>
      </c>
      <c r="C228" t="s">
        <v>750</v>
      </c>
      <c r="D228" t="s">
        <v>202</v>
      </c>
      <c r="E228" s="11">
        <v>20411454</v>
      </c>
      <c r="F228" t="s">
        <v>1639</v>
      </c>
      <c r="G228" t="s">
        <v>49</v>
      </c>
      <c r="H228" t="s">
        <v>714</v>
      </c>
      <c r="I228" s="1">
        <v>43831</v>
      </c>
      <c r="J228" s="2">
        <v>1</v>
      </c>
      <c r="K228" s="2">
        <v>1</v>
      </c>
      <c r="M228" s="3">
        <v>1</v>
      </c>
      <c r="N228" s="2">
        <v>2</v>
      </c>
      <c r="O228" t="s">
        <v>715</v>
      </c>
      <c r="P228" t="s">
        <v>1577</v>
      </c>
    </row>
    <row r="229" spans="1:16" x14ac:dyDescent="0.25">
      <c r="A229" s="4">
        <v>101114920100</v>
      </c>
      <c r="B229" s="4" t="str">
        <f t="shared" si="9"/>
        <v>101114920100OVR</v>
      </c>
      <c r="C229" t="s">
        <v>751</v>
      </c>
      <c r="D229" t="s">
        <v>202</v>
      </c>
      <c r="E229" s="11">
        <v>20411454</v>
      </c>
      <c r="F229" t="s">
        <v>1639</v>
      </c>
      <c r="G229" t="s">
        <v>49</v>
      </c>
      <c r="H229" t="s">
        <v>714</v>
      </c>
      <c r="I229" s="1">
        <v>44562</v>
      </c>
      <c r="J229" s="2">
        <v>1</v>
      </c>
      <c r="K229" s="2">
        <v>1</v>
      </c>
      <c r="M229" s="3">
        <v>1</v>
      </c>
      <c r="N229" s="2">
        <v>2</v>
      </c>
      <c r="O229" t="s">
        <v>715</v>
      </c>
      <c r="P229" t="s">
        <v>1577</v>
      </c>
    </row>
    <row r="230" spans="1:16" x14ac:dyDescent="0.25">
      <c r="A230" s="4">
        <v>101119229200</v>
      </c>
      <c r="B230" s="4" t="str">
        <f t="shared" si="9"/>
        <v>101119229200OVR</v>
      </c>
      <c r="C230" t="s">
        <v>752</v>
      </c>
      <c r="D230" t="s">
        <v>202</v>
      </c>
      <c r="E230" s="11">
        <v>20411454</v>
      </c>
      <c r="F230" t="s">
        <v>1639</v>
      </c>
      <c r="G230" t="s">
        <v>49</v>
      </c>
      <c r="H230" t="s">
        <v>714</v>
      </c>
      <c r="I230" s="1">
        <v>43831</v>
      </c>
      <c r="J230" s="2">
        <v>1</v>
      </c>
      <c r="K230" s="2">
        <v>1</v>
      </c>
      <c r="M230" s="3">
        <v>1</v>
      </c>
      <c r="N230" s="2">
        <v>2</v>
      </c>
      <c r="O230" t="s">
        <v>715</v>
      </c>
      <c r="P230" t="s">
        <v>1577</v>
      </c>
    </row>
    <row r="231" spans="1:16" x14ac:dyDescent="0.25">
      <c r="A231" s="4">
        <v>101119817400</v>
      </c>
      <c r="B231" s="4" t="str">
        <f t="shared" si="9"/>
        <v>101119817400OVR</v>
      </c>
      <c r="C231" t="s">
        <v>753</v>
      </c>
      <c r="D231" t="s">
        <v>202</v>
      </c>
      <c r="E231" s="11">
        <v>20411454</v>
      </c>
      <c r="F231" t="s">
        <v>1639</v>
      </c>
      <c r="G231" t="s">
        <v>49</v>
      </c>
      <c r="H231" t="s">
        <v>714</v>
      </c>
      <c r="I231" s="1">
        <v>43831</v>
      </c>
      <c r="J231" s="2">
        <v>1</v>
      </c>
      <c r="K231" s="2">
        <v>1</v>
      </c>
      <c r="M231" s="3">
        <v>1</v>
      </c>
      <c r="N231" s="2">
        <v>2</v>
      </c>
      <c r="O231" t="s">
        <v>715</v>
      </c>
      <c r="P231" t="s">
        <v>1577</v>
      </c>
    </row>
    <row r="232" spans="1:16" x14ac:dyDescent="0.25">
      <c r="A232" s="4">
        <v>101120868400</v>
      </c>
      <c r="B232" s="4" t="str">
        <f t="shared" si="9"/>
        <v>101120868400OVR</v>
      </c>
      <c r="C232" t="s">
        <v>754</v>
      </c>
      <c r="D232" t="s">
        <v>202</v>
      </c>
      <c r="E232" s="11">
        <v>20411454</v>
      </c>
      <c r="F232" t="s">
        <v>1639</v>
      </c>
      <c r="G232" t="s">
        <v>49</v>
      </c>
      <c r="H232" t="s">
        <v>714</v>
      </c>
      <c r="I232" s="1">
        <v>43831</v>
      </c>
      <c r="J232" s="2">
        <v>1</v>
      </c>
      <c r="K232" s="2">
        <v>1</v>
      </c>
      <c r="M232" s="3">
        <v>1</v>
      </c>
      <c r="N232" s="2">
        <v>2</v>
      </c>
      <c r="O232" t="s">
        <v>715</v>
      </c>
      <c r="P232" t="s">
        <v>1577</v>
      </c>
    </row>
    <row r="233" spans="1:16" x14ac:dyDescent="0.25">
      <c r="A233" s="4">
        <v>101129469000</v>
      </c>
      <c r="B233" s="4" t="str">
        <f t="shared" si="9"/>
        <v>101129469000OVR</v>
      </c>
      <c r="C233" t="s">
        <v>756</v>
      </c>
      <c r="D233" t="s">
        <v>202</v>
      </c>
      <c r="E233" s="11">
        <v>20411454</v>
      </c>
      <c r="F233" t="s">
        <v>1639</v>
      </c>
      <c r="G233" t="s">
        <v>49</v>
      </c>
      <c r="H233" t="s">
        <v>714</v>
      </c>
      <c r="I233" s="1">
        <v>43831</v>
      </c>
      <c r="J233" s="2">
        <v>1</v>
      </c>
      <c r="K233" s="2">
        <v>1</v>
      </c>
      <c r="M233" s="3">
        <v>1</v>
      </c>
      <c r="N233" s="2">
        <v>2</v>
      </c>
      <c r="O233" t="s">
        <v>715</v>
      </c>
      <c r="P233" t="s">
        <v>1577</v>
      </c>
    </row>
    <row r="234" spans="1:16" x14ac:dyDescent="0.25">
      <c r="A234" s="4">
        <v>101137592300</v>
      </c>
      <c r="B234" s="4" t="str">
        <f t="shared" si="9"/>
        <v>101137592300OVR</v>
      </c>
      <c r="C234" t="s">
        <v>757</v>
      </c>
      <c r="D234" t="s">
        <v>202</v>
      </c>
      <c r="E234" s="11">
        <v>20411454</v>
      </c>
      <c r="F234" t="s">
        <v>1639</v>
      </c>
      <c r="G234" t="s">
        <v>49</v>
      </c>
      <c r="H234" t="s">
        <v>714</v>
      </c>
      <c r="I234" s="1">
        <v>43862</v>
      </c>
      <c r="J234" s="2">
        <v>1</v>
      </c>
      <c r="K234" s="2">
        <v>1</v>
      </c>
      <c r="M234" s="3">
        <v>1</v>
      </c>
      <c r="N234" s="2">
        <v>2</v>
      </c>
      <c r="O234" t="s">
        <v>715</v>
      </c>
      <c r="P234" t="s">
        <v>1577</v>
      </c>
    </row>
    <row r="235" spans="1:16" x14ac:dyDescent="0.25">
      <c r="A235" s="4">
        <v>101138580000</v>
      </c>
      <c r="B235" s="4" t="str">
        <f t="shared" si="9"/>
        <v>101138580000OVR</v>
      </c>
      <c r="C235" t="s">
        <v>758</v>
      </c>
      <c r="D235" t="s">
        <v>202</v>
      </c>
      <c r="E235" s="11">
        <v>20411454</v>
      </c>
      <c r="F235" t="s">
        <v>1639</v>
      </c>
      <c r="G235" t="s">
        <v>49</v>
      </c>
      <c r="H235" t="s">
        <v>714</v>
      </c>
      <c r="I235" s="1">
        <v>45292</v>
      </c>
      <c r="J235" s="2">
        <v>1</v>
      </c>
      <c r="K235" s="2">
        <v>1</v>
      </c>
      <c r="M235" s="3">
        <v>1</v>
      </c>
      <c r="N235" s="2">
        <v>2</v>
      </c>
      <c r="O235" t="s">
        <v>715</v>
      </c>
      <c r="P235" t="s">
        <v>1577</v>
      </c>
    </row>
    <row r="236" spans="1:16" x14ac:dyDescent="0.25">
      <c r="A236" s="4">
        <v>101180383800</v>
      </c>
      <c r="B236" s="4" t="str">
        <f t="shared" si="9"/>
        <v>101180383800OVR</v>
      </c>
      <c r="C236" t="s">
        <v>760</v>
      </c>
      <c r="D236" t="s">
        <v>202</v>
      </c>
      <c r="E236" s="11">
        <v>20411454</v>
      </c>
      <c r="F236" t="s">
        <v>1639</v>
      </c>
      <c r="G236" t="s">
        <v>49</v>
      </c>
      <c r="H236" t="s">
        <v>714</v>
      </c>
      <c r="I236" s="1">
        <v>43922</v>
      </c>
      <c r="J236" s="2">
        <v>1</v>
      </c>
      <c r="K236" s="2">
        <v>1</v>
      </c>
      <c r="M236" s="3">
        <v>1</v>
      </c>
      <c r="N236" s="2">
        <v>2</v>
      </c>
      <c r="O236" t="s">
        <v>715</v>
      </c>
      <c r="P236" t="s">
        <v>1577</v>
      </c>
    </row>
    <row r="237" spans="1:16" x14ac:dyDescent="0.25">
      <c r="A237" s="4">
        <v>101183834800</v>
      </c>
      <c r="B237" s="4" t="str">
        <f t="shared" si="9"/>
        <v>101183834800OVR</v>
      </c>
      <c r="C237" t="s">
        <v>761</v>
      </c>
      <c r="D237" t="s">
        <v>202</v>
      </c>
      <c r="E237" s="11">
        <v>20411454</v>
      </c>
      <c r="F237" t="s">
        <v>1639</v>
      </c>
      <c r="G237" t="s">
        <v>49</v>
      </c>
      <c r="H237" t="s">
        <v>714</v>
      </c>
      <c r="I237" s="1">
        <v>45658</v>
      </c>
      <c r="J237" s="2">
        <v>1</v>
      </c>
      <c r="K237" s="2">
        <v>1</v>
      </c>
      <c r="M237" s="3">
        <v>1</v>
      </c>
      <c r="N237" s="2">
        <v>2</v>
      </c>
      <c r="O237" t="s">
        <v>715</v>
      </c>
      <c r="P237" t="s">
        <v>1577</v>
      </c>
    </row>
    <row r="238" spans="1:16" x14ac:dyDescent="0.25">
      <c r="A238" s="4">
        <v>101185004500</v>
      </c>
      <c r="B238" s="4" t="str">
        <f t="shared" si="9"/>
        <v>101185004500OVR</v>
      </c>
      <c r="C238" t="s">
        <v>762</v>
      </c>
      <c r="D238" t="s">
        <v>202</v>
      </c>
      <c r="E238" s="11">
        <v>20411454</v>
      </c>
      <c r="F238" t="s">
        <v>1639</v>
      </c>
      <c r="G238" t="s">
        <v>49</v>
      </c>
      <c r="H238" t="s">
        <v>714</v>
      </c>
      <c r="I238" s="1">
        <v>44044</v>
      </c>
      <c r="J238" s="2">
        <v>1</v>
      </c>
      <c r="K238" s="2">
        <v>1</v>
      </c>
      <c r="M238" s="3">
        <v>1</v>
      </c>
      <c r="N238" s="2">
        <v>2</v>
      </c>
      <c r="O238" t="s">
        <v>715</v>
      </c>
      <c r="P238" t="s">
        <v>1577</v>
      </c>
    </row>
    <row r="239" spans="1:16" x14ac:dyDescent="0.25">
      <c r="A239" s="4">
        <v>101189072000</v>
      </c>
      <c r="B239" s="4" t="str">
        <f t="shared" si="9"/>
        <v>101189072000OVR</v>
      </c>
      <c r="C239" t="s">
        <v>763</v>
      </c>
      <c r="D239" t="s">
        <v>202</v>
      </c>
      <c r="E239" s="11">
        <v>20411454</v>
      </c>
      <c r="F239" t="s">
        <v>1639</v>
      </c>
      <c r="G239" t="s">
        <v>49</v>
      </c>
      <c r="H239" t="s">
        <v>714</v>
      </c>
      <c r="I239" s="1">
        <v>44197</v>
      </c>
      <c r="J239" s="2">
        <v>1</v>
      </c>
      <c r="K239" s="2">
        <v>1</v>
      </c>
      <c r="M239" s="3">
        <v>1</v>
      </c>
      <c r="N239" s="2">
        <v>2</v>
      </c>
      <c r="O239" t="s">
        <v>715</v>
      </c>
      <c r="P239" t="s">
        <v>1577</v>
      </c>
    </row>
    <row r="240" spans="1:16" x14ac:dyDescent="0.25">
      <c r="A240" s="4">
        <v>101191675700</v>
      </c>
      <c r="B240" s="4" t="str">
        <f t="shared" si="9"/>
        <v>101191675700OVR</v>
      </c>
      <c r="C240" t="s">
        <v>764</v>
      </c>
      <c r="D240" t="s">
        <v>202</v>
      </c>
      <c r="E240" s="11">
        <v>20411454</v>
      </c>
      <c r="F240" t="s">
        <v>1639</v>
      </c>
      <c r="G240" t="s">
        <v>106</v>
      </c>
      <c r="H240" t="s">
        <v>714</v>
      </c>
      <c r="I240" s="1">
        <v>44197</v>
      </c>
      <c r="J240" s="2">
        <v>1</v>
      </c>
      <c r="K240" s="2">
        <v>1</v>
      </c>
      <c r="M240" s="3">
        <v>1</v>
      </c>
      <c r="N240" s="2">
        <v>2</v>
      </c>
      <c r="O240" t="s">
        <v>715</v>
      </c>
      <c r="P240" t="s">
        <v>1577</v>
      </c>
    </row>
    <row r="241" spans="1:16" x14ac:dyDescent="0.25">
      <c r="A241" s="4">
        <v>101193630100</v>
      </c>
      <c r="B241" s="4" t="str">
        <f t="shared" si="9"/>
        <v>101193630100OVR</v>
      </c>
      <c r="C241" t="s">
        <v>765</v>
      </c>
      <c r="D241" t="s">
        <v>202</v>
      </c>
      <c r="E241" s="11">
        <v>20411454</v>
      </c>
      <c r="F241" t="s">
        <v>1639</v>
      </c>
      <c r="G241" t="s">
        <v>49</v>
      </c>
      <c r="H241" t="s">
        <v>714</v>
      </c>
      <c r="I241" s="1">
        <v>44197</v>
      </c>
      <c r="J241" s="2">
        <v>1</v>
      </c>
      <c r="K241" s="2">
        <v>1</v>
      </c>
      <c r="M241" s="3">
        <v>1</v>
      </c>
      <c r="N241" s="2">
        <v>2</v>
      </c>
      <c r="O241" t="s">
        <v>715</v>
      </c>
      <c r="P241" t="s">
        <v>1577</v>
      </c>
    </row>
    <row r="242" spans="1:16" x14ac:dyDescent="0.25">
      <c r="A242" s="4">
        <v>101196246500</v>
      </c>
      <c r="B242" s="4" t="str">
        <f t="shared" si="9"/>
        <v>101196246500OVR</v>
      </c>
      <c r="C242" t="s">
        <v>766</v>
      </c>
      <c r="D242" t="s">
        <v>202</v>
      </c>
      <c r="E242" s="11">
        <v>20411454</v>
      </c>
      <c r="F242" t="s">
        <v>1639</v>
      </c>
      <c r="G242" t="s">
        <v>49</v>
      </c>
      <c r="H242" t="s">
        <v>714</v>
      </c>
      <c r="I242" s="1">
        <v>44562</v>
      </c>
      <c r="J242" s="2">
        <v>1</v>
      </c>
      <c r="K242" s="2">
        <v>1</v>
      </c>
      <c r="M242" s="3">
        <v>1</v>
      </c>
      <c r="N242" s="2">
        <v>2</v>
      </c>
      <c r="O242" t="s">
        <v>715</v>
      </c>
      <c r="P242" t="s">
        <v>1577</v>
      </c>
    </row>
    <row r="243" spans="1:16" x14ac:dyDescent="0.25">
      <c r="A243" s="4">
        <v>101196250400</v>
      </c>
      <c r="B243" s="4" t="str">
        <f t="shared" si="9"/>
        <v>101196250400OVR</v>
      </c>
      <c r="C243" t="s">
        <v>767</v>
      </c>
      <c r="D243" t="s">
        <v>202</v>
      </c>
      <c r="E243" s="11">
        <v>20411454</v>
      </c>
      <c r="F243" t="s">
        <v>1639</v>
      </c>
      <c r="G243" t="s">
        <v>49</v>
      </c>
      <c r="H243" t="s">
        <v>714</v>
      </c>
      <c r="I243" s="1">
        <v>44562</v>
      </c>
      <c r="J243" s="2">
        <v>1</v>
      </c>
      <c r="K243" s="2">
        <v>1</v>
      </c>
      <c r="M243" s="3">
        <v>1</v>
      </c>
      <c r="N243" s="2">
        <v>2</v>
      </c>
      <c r="O243" t="s">
        <v>715</v>
      </c>
      <c r="P243" t="s">
        <v>1577</v>
      </c>
    </row>
    <row r="244" spans="1:16" x14ac:dyDescent="0.25">
      <c r="A244" s="4">
        <v>101200378400</v>
      </c>
      <c r="B244" s="4" t="str">
        <f t="shared" si="9"/>
        <v>101200378400OVR</v>
      </c>
      <c r="C244" t="s">
        <v>769</v>
      </c>
      <c r="D244" t="s">
        <v>202</v>
      </c>
      <c r="E244" s="11">
        <v>20411454</v>
      </c>
      <c r="F244" t="s">
        <v>1639</v>
      </c>
      <c r="G244" t="s">
        <v>49</v>
      </c>
      <c r="H244" t="s">
        <v>714</v>
      </c>
      <c r="I244" s="1">
        <v>44197</v>
      </c>
      <c r="J244" s="2">
        <v>1</v>
      </c>
      <c r="K244" s="2">
        <v>1</v>
      </c>
      <c r="M244" s="3">
        <v>1</v>
      </c>
      <c r="N244" s="2">
        <v>2</v>
      </c>
      <c r="O244" t="s">
        <v>715</v>
      </c>
      <c r="P244" t="s">
        <v>1577</v>
      </c>
    </row>
    <row r="245" spans="1:16" x14ac:dyDescent="0.25">
      <c r="A245" s="4">
        <v>101201876300</v>
      </c>
      <c r="B245" s="4" t="str">
        <f t="shared" si="9"/>
        <v>101201876300OVR</v>
      </c>
      <c r="C245" t="s">
        <v>770</v>
      </c>
      <c r="D245" t="s">
        <v>202</v>
      </c>
      <c r="E245" s="11">
        <v>20411454</v>
      </c>
      <c r="F245" t="s">
        <v>1639</v>
      </c>
      <c r="G245" t="s">
        <v>49</v>
      </c>
      <c r="H245" t="s">
        <v>714</v>
      </c>
      <c r="I245" s="1">
        <v>44197</v>
      </c>
      <c r="J245" s="2">
        <v>1</v>
      </c>
      <c r="K245" s="2">
        <v>1</v>
      </c>
      <c r="M245" s="3">
        <v>1</v>
      </c>
      <c r="N245" s="2">
        <v>2</v>
      </c>
      <c r="O245" t="s">
        <v>715</v>
      </c>
      <c r="P245" t="s">
        <v>1577</v>
      </c>
    </row>
    <row r="246" spans="1:16" x14ac:dyDescent="0.25">
      <c r="A246" s="4">
        <v>101201921800</v>
      </c>
      <c r="B246" s="4" t="str">
        <f t="shared" si="9"/>
        <v>101201921800OVR</v>
      </c>
      <c r="C246" t="s">
        <v>771</v>
      </c>
      <c r="D246" t="s">
        <v>202</v>
      </c>
      <c r="E246" s="11">
        <v>20411454</v>
      </c>
      <c r="F246" t="s">
        <v>1639</v>
      </c>
      <c r="G246" t="s">
        <v>49</v>
      </c>
      <c r="H246" t="s">
        <v>714</v>
      </c>
      <c r="I246" s="1">
        <v>44197</v>
      </c>
      <c r="J246" s="2">
        <v>1</v>
      </c>
      <c r="K246" s="2">
        <v>1</v>
      </c>
      <c r="M246" s="3">
        <v>1</v>
      </c>
      <c r="N246" s="2">
        <v>2</v>
      </c>
      <c r="O246" t="s">
        <v>715</v>
      </c>
      <c r="P246" t="s">
        <v>1577</v>
      </c>
    </row>
    <row r="247" spans="1:16" x14ac:dyDescent="0.25">
      <c r="A247" s="4">
        <v>101202905500</v>
      </c>
      <c r="B247" s="4" t="str">
        <f t="shared" si="9"/>
        <v>101202905500OVR</v>
      </c>
      <c r="C247" t="s">
        <v>772</v>
      </c>
      <c r="D247" t="s">
        <v>202</v>
      </c>
      <c r="E247" s="11">
        <v>20411454</v>
      </c>
      <c r="F247" t="s">
        <v>1639</v>
      </c>
      <c r="G247" t="s">
        <v>49</v>
      </c>
      <c r="H247" t="s">
        <v>714</v>
      </c>
      <c r="I247" s="1">
        <v>44166</v>
      </c>
      <c r="J247" s="2">
        <v>1</v>
      </c>
      <c r="K247" s="2">
        <v>1</v>
      </c>
      <c r="M247" s="3">
        <v>1</v>
      </c>
      <c r="N247" s="2">
        <v>2</v>
      </c>
      <c r="O247" t="s">
        <v>715</v>
      </c>
      <c r="P247" t="s">
        <v>1577</v>
      </c>
    </row>
    <row r="248" spans="1:16" x14ac:dyDescent="0.25">
      <c r="A248" s="4">
        <v>101204412700</v>
      </c>
      <c r="B248" s="4" t="str">
        <f t="shared" si="9"/>
        <v>101204412700OVR</v>
      </c>
      <c r="C248" t="s">
        <v>773</v>
      </c>
      <c r="D248" t="s">
        <v>202</v>
      </c>
      <c r="E248" s="11">
        <v>20411454</v>
      </c>
      <c r="F248" t="s">
        <v>1639</v>
      </c>
      <c r="G248" t="s">
        <v>49</v>
      </c>
      <c r="H248" t="s">
        <v>714</v>
      </c>
      <c r="I248" s="1">
        <v>44197</v>
      </c>
      <c r="J248" s="2">
        <v>1</v>
      </c>
      <c r="K248" s="2">
        <v>1</v>
      </c>
      <c r="M248" s="3">
        <v>1</v>
      </c>
      <c r="N248" s="2">
        <v>2</v>
      </c>
      <c r="O248" t="s">
        <v>715</v>
      </c>
      <c r="P248" t="s">
        <v>1577</v>
      </c>
    </row>
    <row r="249" spans="1:16" x14ac:dyDescent="0.25">
      <c r="A249" s="4">
        <v>101204473000</v>
      </c>
      <c r="B249" s="4" t="str">
        <f t="shared" si="9"/>
        <v>101204473000OVR</v>
      </c>
      <c r="C249" t="s">
        <v>774</v>
      </c>
      <c r="D249" t="s">
        <v>202</v>
      </c>
      <c r="E249" s="11">
        <v>20411454</v>
      </c>
      <c r="F249" t="s">
        <v>1639</v>
      </c>
      <c r="G249" t="s">
        <v>49</v>
      </c>
      <c r="H249" t="s">
        <v>714</v>
      </c>
      <c r="I249" s="1">
        <v>44197</v>
      </c>
      <c r="J249" s="2">
        <v>1</v>
      </c>
      <c r="K249" s="2">
        <v>1</v>
      </c>
      <c r="M249" s="3">
        <v>1</v>
      </c>
      <c r="N249" s="2">
        <v>2</v>
      </c>
      <c r="O249" t="s">
        <v>715</v>
      </c>
      <c r="P249" t="s">
        <v>1577</v>
      </c>
    </row>
    <row r="250" spans="1:16" x14ac:dyDescent="0.25">
      <c r="A250" s="4">
        <v>101205114900</v>
      </c>
      <c r="B250" s="4" t="str">
        <f t="shared" si="9"/>
        <v>101205114900OVR</v>
      </c>
      <c r="C250" t="s">
        <v>775</v>
      </c>
      <c r="D250" t="s">
        <v>202</v>
      </c>
      <c r="E250" s="11">
        <v>20411454</v>
      </c>
      <c r="F250" t="s">
        <v>1639</v>
      </c>
      <c r="G250" t="s">
        <v>49</v>
      </c>
      <c r="H250" t="s">
        <v>714</v>
      </c>
      <c r="I250" s="1">
        <v>44197</v>
      </c>
      <c r="J250" s="2">
        <v>1</v>
      </c>
      <c r="K250" s="2">
        <v>1</v>
      </c>
      <c r="M250" s="3">
        <v>1</v>
      </c>
      <c r="N250" s="2">
        <v>2</v>
      </c>
      <c r="O250" t="s">
        <v>715</v>
      </c>
      <c r="P250" t="s">
        <v>1577</v>
      </c>
    </row>
    <row r="251" spans="1:16" x14ac:dyDescent="0.25">
      <c r="A251" s="4">
        <v>101205241100</v>
      </c>
      <c r="B251" s="4" t="str">
        <f t="shared" si="9"/>
        <v>101205241100OVR</v>
      </c>
      <c r="C251" t="s">
        <v>776</v>
      </c>
      <c r="D251" t="s">
        <v>202</v>
      </c>
      <c r="E251" s="11">
        <v>20411454</v>
      </c>
      <c r="F251" t="s">
        <v>1639</v>
      </c>
      <c r="G251" t="s">
        <v>49</v>
      </c>
      <c r="H251" t="s">
        <v>714</v>
      </c>
      <c r="I251" s="1">
        <v>44197</v>
      </c>
      <c r="J251" s="2">
        <v>1</v>
      </c>
      <c r="K251" s="2">
        <v>1</v>
      </c>
      <c r="M251" s="3">
        <v>1</v>
      </c>
      <c r="N251" s="2">
        <v>2</v>
      </c>
      <c r="O251" t="s">
        <v>715</v>
      </c>
      <c r="P251" t="s">
        <v>1577</v>
      </c>
    </row>
    <row r="252" spans="1:16" x14ac:dyDescent="0.25">
      <c r="A252" s="4">
        <v>101209240300</v>
      </c>
      <c r="B252" s="4" t="str">
        <f t="shared" si="9"/>
        <v>101209240300OVR</v>
      </c>
      <c r="C252" t="s">
        <v>777</v>
      </c>
      <c r="D252" t="s">
        <v>202</v>
      </c>
      <c r="E252" s="11">
        <v>20411454</v>
      </c>
      <c r="F252" t="s">
        <v>1639</v>
      </c>
      <c r="G252" t="s">
        <v>49</v>
      </c>
      <c r="H252" t="s">
        <v>714</v>
      </c>
      <c r="I252" s="1">
        <v>45658</v>
      </c>
      <c r="J252" s="2">
        <v>1</v>
      </c>
      <c r="K252" s="2">
        <v>1</v>
      </c>
      <c r="M252" s="3">
        <v>1</v>
      </c>
      <c r="N252" s="2">
        <v>2</v>
      </c>
      <c r="O252" t="s">
        <v>715</v>
      </c>
      <c r="P252" t="s">
        <v>1577</v>
      </c>
    </row>
    <row r="253" spans="1:16" x14ac:dyDescent="0.25">
      <c r="A253" s="4">
        <v>101209273900</v>
      </c>
      <c r="B253" s="4" t="str">
        <f t="shared" si="9"/>
        <v>101209273900OVR</v>
      </c>
      <c r="C253" t="s">
        <v>778</v>
      </c>
      <c r="D253" t="s">
        <v>202</v>
      </c>
      <c r="E253" s="11">
        <v>20411454</v>
      </c>
      <c r="F253" t="s">
        <v>1639</v>
      </c>
      <c r="G253" t="s">
        <v>49</v>
      </c>
      <c r="H253" t="s">
        <v>714</v>
      </c>
      <c r="I253" s="1">
        <v>44256</v>
      </c>
      <c r="J253" s="2">
        <v>1</v>
      </c>
      <c r="K253" s="2">
        <v>1</v>
      </c>
      <c r="M253" s="3">
        <v>1</v>
      </c>
      <c r="N253" s="2">
        <v>2</v>
      </c>
      <c r="O253" t="s">
        <v>715</v>
      </c>
      <c r="P253" t="s">
        <v>1577</v>
      </c>
    </row>
    <row r="254" spans="1:16" x14ac:dyDescent="0.25">
      <c r="A254" s="4">
        <v>101209504000</v>
      </c>
      <c r="B254" s="4" t="str">
        <f t="shared" si="9"/>
        <v>101209504000OVR</v>
      </c>
      <c r="C254" t="s">
        <v>779</v>
      </c>
      <c r="D254" t="s">
        <v>202</v>
      </c>
      <c r="E254" s="11">
        <v>20411454</v>
      </c>
      <c r="F254" t="s">
        <v>1639</v>
      </c>
      <c r="G254" t="s">
        <v>49</v>
      </c>
      <c r="H254" t="s">
        <v>714</v>
      </c>
      <c r="I254" s="1">
        <v>44927</v>
      </c>
      <c r="J254" s="2">
        <v>1</v>
      </c>
      <c r="K254" s="2">
        <v>1</v>
      </c>
      <c r="M254" s="3">
        <v>1</v>
      </c>
      <c r="N254" s="2">
        <v>2</v>
      </c>
      <c r="O254" t="s">
        <v>715</v>
      </c>
      <c r="P254" t="s">
        <v>1577</v>
      </c>
    </row>
    <row r="255" spans="1:16" x14ac:dyDescent="0.25">
      <c r="A255" s="4">
        <v>101209755200</v>
      </c>
      <c r="B255" s="4" t="str">
        <f t="shared" si="9"/>
        <v>101209755200OVR</v>
      </c>
      <c r="C255" t="s">
        <v>780</v>
      </c>
      <c r="D255" t="s">
        <v>202</v>
      </c>
      <c r="E255" s="11">
        <v>20411454</v>
      </c>
      <c r="F255" t="s">
        <v>1639</v>
      </c>
      <c r="G255" t="s">
        <v>49</v>
      </c>
      <c r="H255" t="s">
        <v>714</v>
      </c>
      <c r="I255" s="1">
        <v>45658</v>
      </c>
      <c r="J255" s="2">
        <v>1</v>
      </c>
      <c r="K255" s="2">
        <v>1</v>
      </c>
      <c r="M255" s="3">
        <v>1</v>
      </c>
      <c r="N255" s="2">
        <v>2</v>
      </c>
      <c r="O255" t="s">
        <v>715</v>
      </c>
      <c r="P255" t="s">
        <v>1577</v>
      </c>
    </row>
    <row r="256" spans="1:16" x14ac:dyDescent="0.25">
      <c r="A256" s="4">
        <v>101209812800</v>
      </c>
      <c r="B256" s="4" t="str">
        <f t="shared" si="9"/>
        <v>101209812800OVR</v>
      </c>
      <c r="C256" t="s">
        <v>781</v>
      </c>
      <c r="D256" t="s">
        <v>202</v>
      </c>
      <c r="E256" s="11">
        <v>20411454</v>
      </c>
      <c r="F256" t="s">
        <v>1639</v>
      </c>
      <c r="G256" t="s">
        <v>49</v>
      </c>
      <c r="H256" t="s">
        <v>714</v>
      </c>
      <c r="I256" s="1">
        <v>45658</v>
      </c>
      <c r="J256" s="2">
        <v>1</v>
      </c>
      <c r="K256" s="2">
        <v>1</v>
      </c>
      <c r="M256" s="3">
        <v>1</v>
      </c>
      <c r="N256" s="2">
        <v>2</v>
      </c>
      <c r="O256" t="s">
        <v>715</v>
      </c>
      <c r="P256" t="s">
        <v>1577</v>
      </c>
    </row>
    <row r="257" spans="1:16" x14ac:dyDescent="0.25">
      <c r="A257" s="4">
        <v>101212333500</v>
      </c>
      <c r="B257" s="4" t="str">
        <f t="shared" si="9"/>
        <v>101212333500OVR</v>
      </c>
      <c r="C257" t="s">
        <v>782</v>
      </c>
      <c r="D257" t="s">
        <v>202</v>
      </c>
      <c r="E257" s="11">
        <v>20411454</v>
      </c>
      <c r="F257" t="s">
        <v>1639</v>
      </c>
      <c r="G257" t="s">
        <v>49</v>
      </c>
      <c r="H257" t="s">
        <v>714</v>
      </c>
      <c r="I257" s="1">
        <v>44562</v>
      </c>
      <c r="J257" s="2">
        <v>1</v>
      </c>
      <c r="K257" s="2">
        <v>1</v>
      </c>
      <c r="M257" s="3">
        <v>1</v>
      </c>
      <c r="N257" s="2">
        <v>2</v>
      </c>
      <c r="O257" t="s">
        <v>715</v>
      </c>
      <c r="P257" t="s">
        <v>1577</v>
      </c>
    </row>
    <row r="258" spans="1:16" x14ac:dyDescent="0.25">
      <c r="A258" s="4">
        <v>101212543700</v>
      </c>
      <c r="B258" s="4" t="str">
        <f t="shared" si="9"/>
        <v>101212543700OVR</v>
      </c>
      <c r="C258" t="s">
        <v>783</v>
      </c>
      <c r="D258" t="s">
        <v>202</v>
      </c>
      <c r="E258" s="11">
        <v>20411454</v>
      </c>
      <c r="F258" t="s">
        <v>1639</v>
      </c>
      <c r="G258" t="s">
        <v>49</v>
      </c>
      <c r="H258" t="s">
        <v>714</v>
      </c>
      <c r="I258" s="1">
        <v>44317</v>
      </c>
      <c r="J258" s="2">
        <v>1</v>
      </c>
      <c r="K258" s="2">
        <v>1</v>
      </c>
      <c r="M258" s="3">
        <v>1</v>
      </c>
      <c r="N258" s="2">
        <v>2</v>
      </c>
      <c r="O258" t="s">
        <v>715</v>
      </c>
      <c r="P258" t="s">
        <v>1577</v>
      </c>
    </row>
    <row r="259" spans="1:16" x14ac:dyDescent="0.25">
      <c r="A259" s="4">
        <v>101260351600</v>
      </c>
      <c r="B259" s="4" t="str">
        <f t="shared" si="9"/>
        <v>101260351600OVR</v>
      </c>
      <c r="C259" t="s">
        <v>784</v>
      </c>
      <c r="D259" t="s">
        <v>55</v>
      </c>
      <c r="E259" s="11">
        <v>20411454</v>
      </c>
      <c r="F259" t="s">
        <v>1639</v>
      </c>
      <c r="G259" t="s">
        <v>49</v>
      </c>
      <c r="H259" t="s">
        <v>714</v>
      </c>
      <c r="I259" s="1">
        <v>44256</v>
      </c>
      <c r="J259" s="2">
        <v>1</v>
      </c>
      <c r="K259" s="2">
        <v>1</v>
      </c>
      <c r="M259" s="3">
        <v>1</v>
      </c>
      <c r="N259" s="2">
        <v>2</v>
      </c>
      <c r="O259" t="s">
        <v>715</v>
      </c>
      <c r="P259" t="s">
        <v>1577</v>
      </c>
    </row>
    <row r="260" spans="1:16" x14ac:dyDescent="0.25">
      <c r="A260" s="4">
        <v>101280490300</v>
      </c>
      <c r="B260" s="4" t="str">
        <f t="shared" si="9"/>
        <v>101280490300OVR</v>
      </c>
      <c r="C260" t="s">
        <v>785</v>
      </c>
      <c r="D260" t="s">
        <v>202</v>
      </c>
      <c r="E260" s="11">
        <v>20411454</v>
      </c>
      <c r="F260" t="s">
        <v>1639</v>
      </c>
      <c r="G260" t="s">
        <v>49</v>
      </c>
      <c r="H260" t="s">
        <v>714</v>
      </c>
      <c r="I260" s="1">
        <v>43466</v>
      </c>
      <c r="J260" s="2">
        <v>1</v>
      </c>
      <c r="K260" s="2">
        <v>1</v>
      </c>
      <c r="M260" s="3">
        <v>1</v>
      </c>
      <c r="N260" s="2">
        <v>2</v>
      </c>
      <c r="O260" t="s">
        <v>715</v>
      </c>
      <c r="P260" t="s">
        <v>1577</v>
      </c>
    </row>
    <row r="261" spans="1:16" x14ac:dyDescent="0.25">
      <c r="A261" s="4">
        <v>101298071600</v>
      </c>
      <c r="B261" s="4" t="str">
        <f t="shared" si="9"/>
        <v>101298071600OVR</v>
      </c>
      <c r="C261" t="s">
        <v>787</v>
      </c>
      <c r="D261" t="s">
        <v>55</v>
      </c>
      <c r="E261" s="11">
        <v>20411454</v>
      </c>
      <c r="F261" t="s">
        <v>1639</v>
      </c>
      <c r="G261" t="s">
        <v>49</v>
      </c>
      <c r="H261" t="s">
        <v>714</v>
      </c>
      <c r="I261" s="1">
        <v>45292</v>
      </c>
      <c r="J261" s="2">
        <v>1</v>
      </c>
      <c r="K261" s="2">
        <v>1</v>
      </c>
      <c r="M261" s="3">
        <v>1</v>
      </c>
      <c r="N261" s="2">
        <v>2</v>
      </c>
      <c r="O261" t="s">
        <v>715</v>
      </c>
      <c r="P261" t="s">
        <v>1577</v>
      </c>
    </row>
    <row r="262" spans="1:16" x14ac:dyDescent="0.25">
      <c r="A262" s="4">
        <v>101316867900</v>
      </c>
      <c r="B262" s="4" t="str">
        <f t="shared" si="9"/>
        <v>101316867900OVR</v>
      </c>
      <c r="C262" t="s">
        <v>790</v>
      </c>
      <c r="D262" t="s">
        <v>202</v>
      </c>
      <c r="E262" s="11">
        <v>20411454</v>
      </c>
      <c r="F262" t="s">
        <v>1639</v>
      </c>
      <c r="G262" t="s">
        <v>49</v>
      </c>
      <c r="H262" t="s">
        <v>714</v>
      </c>
      <c r="I262" s="1">
        <v>43800</v>
      </c>
      <c r="J262" s="2">
        <v>1</v>
      </c>
      <c r="K262" s="2">
        <v>1</v>
      </c>
      <c r="M262" s="3">
        <v>1</v>
      </c>
      <c r="N262" s="2">
        <v>2</v>
      </c>
      <c r="O262" t="s">
        <v>715</v>
      </c>
      <c r="P262" t="s">
        <v>1577</v>
      </c>
    </row>
    <row r="263" spans="1:16" x14ac:dyDescent="0.25">
      <c r="A263" s="4">
        <v>101337869700</v>
      </c>
      <c r="B263" s="4" t="str">
        <f t="shared" si="9"/>
        <v>101337869700OVR</v>
      </c>
      <c r="C263" t="s">
        <v>791</v>
      </c>
      <c r="D263" t="s">
        <v>202</v>
      </c>
      <c r="E263" s="11">
        <v>20411454</v>
      </c>
      <c r="F263" t="s">
        <v>1639</v>
      </c>
      <c r="G263" t="s">
        <v>49</v>
      </c>
      <c r="H263" t="s">
        <v>714</v>
      </c>
      <c r="I263" s="1">
        <v>43466</v>
      </c>
      <c r="J263" s="2">
        <v>1</v>
      </c>
      <c r="K263" s="2">
        <v>1</v>
      </c>
      <c r="M263" s="3">
        <v>1</v>
      </c>
      <c r="N263" s="2">
        <v>2</v>
      </c>
      <c r="O263" t="s">
        <v>715</v>
      </c>
      <c r="P263" t="s">
        <v>1577</v>
      </c>
    </row>
    <row r="264" spans="1:16" x14ac:dyDescent="0.25">
      <c r="A264" s="4">
        <v>101338772600</v>
      </c>
      <c r="B264" s="4" t="str">
        <f t="shared" si="9"/>
        <v>101338772600OVR</v>
      </c>
      <c r="C264" t="s">
        <v>792</v>
      </c>
      <c r="D264" t="s">
        <v>429</v>
      </c>
      <c r="E264" s="11">
        <v>20411454</v>
      </c>
      <c r="F264" t="s">
        <v>1639</v>
      </c>
      <c r="G264" t="s">
        <v>49</v>
      </c>
      <c r="H264" t="s">
        <v>714</v>
      </c>
      <c r="I264" s="1">
        <v>45536</v>
      </c>
      <c r="J264" s="2">
        <v>1</v>
      </c>
      <c r="K264" s="2">
        <v>1</v>
      </c>
      <c r="M264" s="3">
        <v>1</v>
      </c>
      <c r="N264" s="2">
        <v>2</v>
      </c>
      <c r="O264" t="s">
        <v>715</v>
      </c>
      <c r="P264" t="s">
        <v>1577</v>
      </c>
    </row>
    <row r="265" spans="1:16" x14ac:dyDescent="0.25">
      <c r="A265" s="4">
        <v>101351768100</v>
      </c>
      <c r="B265" s="4" t="str">
        <f t="shared" si="9"/>
        <v>101351768100OVR</v>
      </c>
      <c r="C265" t="s">
        <v>795</v>
      </c>
      <c r="D265" t="s">
        <v>55</v>
      </c>
      <c r="E265" s="11">
        <v>20411454</v>
      </c>
      <c r="F265" t="s">
        <v>1639</v>
      </c>
      <c r="G265" t="s">
        <v>106</v>
      </c>
      <c r="H265" t="s">
        <v>714</v>
      </c>
      <c r="I265" s="1">
        <v>43831</v>
      </c>
      <c r="J265" s="2">
        <v>1</v>
      </c>
      <c r="K265" s="2">
        <v>1</v>
      </c>
      <c r="M265" s="3">
        <v>1</v>
      </c>
      <c r="N265" s="2">
        <v>2</v>
      </c>
      <c r="O265" t="s">
        <v>715</v>
      </c>
      <c r="P265" t="s">
        <v>1577</v>
      </c>
    </row>
    <row r="266" spans="1:16" x14ac:dyDescent="0.25">
      <c r="A266" s="4">
        <v>101368023800</v>
      </c>
      <c r="B266" s="4" t="str">
        <f t="shared" si="9"/>
        <v>101368023800OVR</v>
      </c>
      <c r="C266" t="s">
        <v>796</v>
      </c>
      <c r="D266" t="s">
        <v>55</v>
      </c>
      <c r="E266" s="11">
        <v>20411454</v>
      </c>
      <c r="F266" t="s">
        <v>1639</v>
      </c>
      <c r="G266" t="s">
        <v>49</v>
      </c>
      <c r="H266" t="s">
        <v>714</v>
      </c>
      <c r="I266" s="1">
        <v>45292</v>
      </c>
      <c r="J266" s="2">
        <v>1</v>
      </c>
      <c r="K266" s="2">
        <v>1</v>
      </c>
      <c r="M266" s="3">
        <v>1</v>
      </c>
      <c r="N266" s="2">
        <v>2</v>
      </c>
      <c r="O266" t="s">
        <v>715</v>
      </c>
      <c r="P266" t="s">
        <v>1577</v>
      </c>
    </row>
    <row r="267" spans="1:16" x14ac:dyDescent="0.25">
      <c r="A267" s="4">
        <v>101375450100</v>
      </c>
      <c r="B267" s="4" t="str">
        <f t="shared" si="9"/>
        <v>101375450100OVR</v>
      </c>
      <c r="C267" t="s">
        <v>797</v>
      </c>
      <c r="D267" t="s">
        <v>55</v>
      </c>
      <c r="E267" s="11">
        <v>20411454</v>
      </c>
      <c r="F267" t="s">
        <v>1639</v>
      </c>
      <c r="G267" t="s">
        <v>49</v>
      </c>
      <c r="H267" t="s">
        <v>714</v>
      </c>
      <c r="I267" s="1">
        <v>45292</v>
      </c>
      <c r="J267" s="2">
        <v>1</v>
      </c>
      <c r="K267" s="2">
        <v>1</v>
      </c>
      <c r="M267" s="3">
        <v>1</v>
      </c>
      <c r="N267" s="2">
        <v>2</v>
      </c>
      <c r="O267" t="s">
        <v>715</v>
      </c>
      <c r="P267" t="s">
        <v>1577</v>
      </c>
    </row>
    <row r="268" spans="1:16" x14ac:dyDescent="0.25">
      <c r="A268" s="4">
        <v>101388566000</v>
      </c>
      <c r="B268" s="4" t="str">
        <f t="shared" si="9"/>
        <v>101388566000OVR</v>
      </c>
      <c r="C268" t="s">
        <v>799</v>
      </c>
      <c r="D268" t="s">
        <v>55</v>
      </c>
      <c r="E268" s="11">
        <v>20411454</v>
      </c>
      <c r="F268" t="s">
        <v>1639</v>
      </c>
      <c r="G268" t="s">
        <v>49</v>
      </c>
      <c r="H268" t="s">
        <v>714</v>
      </c>
      <c r="I268" s="1">
        <v>44136</v>
      </c>
      <c r="J268" s="2">
        <v>1</v>
      </c>
      <c r="K268" s="2">
        <v>1</v>
      </c>
      <c r="M268" s="3">
        <v>1</v>
      </c>
      <c r="N268" s="2">
        <v>2</v>
      </c>
      <c r="O268" t="s">
        <v>715</v>
      </c>
      <c r="P268" t="s">
        <v>1577</v>
      </c>
    </row>
    <row r="269" spans="1:16" x14ac:dyDescent="0.25">
      <c r="A269" s="4">
        <v>101453387000</v>
      </c>
      <c r="B269" s="4" t="str">
        <f t="shared" si="9"/>
        <v>101453387000OVR</v>
      </c>
      <c r="C269" t="s">
        <v>800</v>
      </c>
      <c r="D269" t="s">
        <v>202</v>
      </c>
      <c r="E269" s="11">
        <v>20411454</v>
      </c>
      <c r="F269" t="s">
        <v>1639</v>
      </c>
      <c r="G269" t="s">
        <v>49</v>
      </c>
      <c r="H269" t="s">
        <v>714</v>
      </c>
      <c r="I269" s="1">
        <v>44256</v>
      </c>
      <c r="J269" s="2">
        <v>1</v>
      </c>
      <c r="K269" s="2">
        <v>1</v>
      </c>
      <c r="M269" s="3">
        <v>1</v>
      </c>
      <c r="N269" s="2">
        <v>2</v>
      </c>
      <c r="O269" t="s">
        <v>715</v>
      </c>
      <c r="P269" t="s">
        <v>1577</v>
      </c>
    </row>
    <row r="270" spans="1:16" x14ac:dyDescent="0.25">
      <c r="A270" s="4">
        <v>101453389700</v>
      </c>
      <c r="B270" s="4" t="str">
        <f t="shared" si="9"/>
        <v>101453389700OVR</v>
      </c>
      <c r="C270" t="s">
        <v>801</v>
      </c>
      <c r="D270" t="s">
        <v>202</v>
      </c>
      <c r="E270" s="11">
        <v>20411454</v>
      </c>
      <c r="F270" t="s">
        <v>1639</v>
      </c>
      <c r="G270" t="s">
        <v>49</v>
      </c>
      <c r="H270" t="s">
        <v>714</v>
      </c>
      <c r="I270" s="1">
        <v>44287</v>
      </c>
      <c r="J270" s="2">
        <v>1</v>
      </c>
      <c r="K270" s="2">
        <v>1</v>
      </c>
      <c r="M270" s="3">
        <v>1</v>
      </c>
      <c r="N270" s="2">
        <v>2</v>
      </c>
      <c r="O270" t="s">
        <v>715</v>
      </c>
      <c r="P270" t="s">
        <v>1577</v>
      </c>
    </row>
    <row r="271" spans="1:16" x14ac:dyDescent="0.25">
      <c r="A271" s="4">
        <v>101458682200</v>
      </c>
      <c r="B271" s="4" t="str">
        <f t="shared" si="9"/>
        <v>101458682200OVR</v>
      </c>
      <c r="C271" t="s">
        <v>803</v>
      </c>
      <c r="D271" t="s">
        <v>202</v>
      </c>
      <c r="E271" s="11">
        <v>20411454</v>
      </c>
      <c r="F271" t="s">
        <v>1639</v>
      </c>
      <c r="G271" t="s">
        <v>49</v>
      </c>
      <c r="H271" t="s">
        <v>714</v>
      </c>
      <c r="I271" s="1">
        <v>44317</v>
      </c>
      <c r="J271" s="2">
        <v>1</v>
      </c>
      <c r="K271" s="2">
        <v>1</v>
      </c>
      <c r="M271" s="3">
        <v>1</v>
      </c>
      <c r="N271" s="2">
        <v>2</v>
      </c>
      <c r="O271" t="s">
        <v>715</v>
      </c>
      <c r="P271" t="s">
        <v>1577</v>
      </c>
    </row>
    <row r="272" spans="1:16" x14ac:dyDescent="0.25">
      <c r="A272" s="4">
        <v>101458763400</v>
      </c>
      <c r="B272" s="4" t="str">
        <f t="shared" si="9"/>
        <v>101458763400OVR</v>
      </c>
      <c r="C272" t="s">
        <v>804</v>
      </c>
      <c r="D272" t="s">
        <v>202</v>
      </c>
      <c r="E272" s="11">
        <v>20411454</v>
      </c>
      <c r="F272" t="s">
        <v>1639</v>
      </c>
      <c r="G272" t="s">
        <v>49</v>
      </c>
      <c r="H272" t="s">
        <v>714</v>
      </c>
      <c r="I272" s="1">
        <v>45658</v>
      </c>
      <c r="J272" s="2">
        <v>1</v>
      </c>
      <c r="K272" s="2">
        <v>1</v>
      </c>
      <c r="M272" s="3">
        <v>1</v>
      </c>
      <c r="N272" s="2">
        <v>2</v>
      </c>
      <c r="O272" t="s">
        <v>715</v>
      </c>
      <c r="P272" t="s">
        <v>1577</v>
      </c>
    </row>
    <row r="273" spans="1:16" x14ac:dyDescent="0.25">
      <c r="A273" s="4">
        <v>101460290100</v>
      </c>
      <c r="B273" s="4" t="str">
        <f t="shared" si="9"/>
        <v>101460290100OVR</v>
      </c>
      <c r="C273" t="s">
        <v>805</v>
      </c>
      <c r="D273" t="s">
        <v>202</v>
      </c>
      <c r="E273" s="11">
        <v>20411454</v>
      </c>
      <c r="F273" t="s">
        <v>1639</v>
      </c>
      <c r="G273" t="s">
        <v>49</v>
      </c>
      <c r="H273" t="s">
        <v>714</v>
      </c>
      <c r="I273" s="1">
        <v>44378</v>
      </c>
      <c r="J273" s="2">
        <v>1</v>
      </c>
      <c r="K273" s="2">
        <v>1</v>
      </c>
      <c r="M273" s="3">
        <v>1</v>
      </c>
      <c r="N273" s="2">
        <v>2</v>
      </c>
      <c r="O273" t="s">
        <v>715</v>
      </c>
      <c r="P273" t="s">
        <v>1577</v>
      </c>
    </row>
    <row r="274" spans="1:16" x14ac:dyDescent="0.25">
      <c r="A274" s="4">
        <v>101462077200</v>
      </c>
      <c r="B274" s="4" t="str">
        <f t="shared" si="9"/>
        <v>101462077200OVR</v>
      </c>
      <c r="C274" t="s">
        <v>806</v>
      </c>
      <c r="D274" t="s">
        <v>202</v>
      </c>
      <c r="E274" s="11">
        <v>20411454</v>
      </c>
      <c r="F274" t="s">
        <v>1639</v>
      </c>
      <c r="G274" t="s">
        <v>49</v>
      </c>
      <c r="H274" t="s">
        <v>714</v>
      </c>
      <c r="I274" s="1">
        <v>44378</v>
      </c>
      <c r="J274" s="2">
        <v>1</v>
      </c>
      <c r="K274" s="2">
        <v>1</v>
      </c>
      <c r="M274" s="3">
        <v>1</v>
      </c>
      <c r="N274" s="2">
        <v>2</v>
      </c>
      <c r="O274" t="s">
        <v>715</v>
      </c>
      <c r="P274" t="s">
        <v>1577</v>
      </c>
    </row>
    <row r="275" spans="1:16" x14ac:dyDescent="0.25">
      <c r="A275" s="4">
        <v>101470020600</v>
      </c>
      <c r="B275" s="4" t="str">
        <f t="shared" si="9"/>
        <v>101470020600OVR</v>
      </c>
      <c r="C275" t="s">
        <v>807</v>
      </c>
      <c r="D275" t="s">
        <v>202</v>
      </c>
      <c r="E275" s="11">
        <v>20411454</v>
      </c>
      <c r="F275" t="s">
        <v>1639</v>
      </c>
      <c r="G275" t="s">
        <v>49</v>
      </c>
      <c r="H275" t="s">
        <v>714</v>
      </c>
      <c r="I275" s="1">
        <v>44501</v>
      </c>
      <c r="J275" s="2">
        <v>1</v>
      </c>
      <c r="K275" s="2">
        <v>1</v>
      </c>
      <c r="M275" s="3">
        <v>1</v>
      </c>
      <c r="N275" s="2">
        <v>2</v>
      </c>
      <c r="O275" t="s">
        <v>715</v>
      </c>
      <c r="P275" t="s">
        <v>1577</v>
      </c>
    </row>
    <row r="276" spans="1:16" x14ac:dyDescent="0.25">
      <c r="A276" s="4">
        <v>101470294200</v>
      </c>
      <c r="B276" s="4" t="str">
        <f t="shared" si="9"/>
        <v>101470294200OVR</v>
      </c>
      <c r="C276" t="s">
        <v>808</v>
      </c>
      <c r="D276" t="s">
        <v>202</v>
      </c>
      <c r="E276" s="11">
        <v>20411454</v>
      </c>
      <c r="F276" t="s">
        <v>1639</v>
      </c>
      <c r="G276" t="s">
        <v>49</v>
      </c>
      <c r="H276" t="s">
        <v>714</v>
      </c>
      <c r="I276" s="1">
        <v>44501</v>
      </c>
      <c r="J276" s="2">
        <v>1</v>
      </c>
      <c r="K276" s="2">
        <v>1</v>
      </c>
      <c r="M276" s="3">
        <v>1</v>
      </c>
      <c r="N276" s="2">
        <v>2</v>
      </c>
      <c r="O276" t="s">
        <v>715</v>
      </c>
      <c r="P276" t="s">
        <v>1577</v>
      </c>
    </row>
    <row r="277" spans="1:16" x14ac:dyDescent="0.25">
      <c r="A277" s="4">
        <v>101470645900</v>
      </c>
      <c r="B277" s="4" t="str">
        <f t="shared" si="9"/>
        <v>101470645900OVR</v>
      </c>
      <c r="C277" t="s">
        <v>809</v>
      </c>
      <c r="D277" t="s">
        <v>202</v>
      </c>
      <c r="E277" s="11">
        <v>20411454</v>
      </c>
      <c r="F277" t="s">
        <v>1639</v>
      </c>
      <c r="G277" t="s">
        <v>49</v>
      </c>
      <c r="H277" t="s">
        <v>714</v>
      </c>
      <c r="I277" s="1">
        <v>44531</v>
      </c>
      <c r="J277" s="2">
        <v>1</v>
      </c>
      <c r="K277" s="2">
        <v>1</v>
      </c>
      <c r="M277" s="3">
        <v>1</v>
      </c>
      <c r="N277" s="2">
        <v>2</v>
      </c>
      <c r="O277" t="s">
        <v>715</v>
      </c>
      <c r="P277" t="s">
        <v>1577</v>
      </c>
    </row>
    <row r="278" spans="1:16" x14ac:dyDescent="0.25">
      <c r="A278" s="4">
        <v>101470696800</v>
      </c>
      <c r="B278" s="4" t="str">
        <f t="shared" si="9"/>
        <v>101470696800OVR</v>
      </c>
      <c r="C278" t="s">
        <v>810</v>
      </c>
      <c r="D278" t="s">
        <v>202</v>
      </c>
      <c r="E278" s="11">
        <v>20411454</v>
      </c>
      <c r="F278" t="s">
        <v>1639</v>
      </c>
      <c r="G278" t="s">
        <v>49</v>
      </c>
      <c r="H278" t="s">
        <v>714</v>
      </c>
      <c r="I278" s="1">
        <v>44501</v>
      </c>
      <c r="J278" s="2">
        <v>1</v>
      </c>
      <c r="K278" s="2">
        <v>1</v>
      </c>
      <c r="M278" s="3">
        <v>1</v>
      </c>
      <c r="N278" s="2">
        <v>2</v>
      </c>
      <c r="O278" t="s">
        <v>715</v>
      </c>
      <c r="P278" t="s">
        <v>1577</v>
      </c>
    </row>
    <row r="279" spans="1:16" x14ac:dyDescent="0.25">
      <c r="A279" s="4">
        <v>101471660500</v>
      </c>
      <c r="B279" s="4" t="str">
        <f t="shared" si="9"/>
        <v>101471660500OVR</v>
      </c>
      <c r="C279" t="s">
        <v>811</v>
      </c>
      <c r="D279" t="s">
        <v>202</v>
      </c>
      <c r="E279" s="11">
        <v>20411454</v>
      </c>
      <c r="F279" t="s">
        <v>1639</v>
      </c>
      <c r="G279" t="s">
        <v>49</v>
      </c>
      <c r="H279" t="s">
        <v>714</v>
      </c>
      <c r="I279" s="1">
        <v>44562</v>
      </c>
      <c r="J279" s="2">
        <v>1</v>
      </c>
      <c r="K279" s="2">
        <v>1</v>
      </c>
      <c r="M279" s="3">
        <v>1</v>
      </c>
      <c r="N279" s="2">
        <v>2</v>
      </c>
      <c r="O279" t="s">
        <v>715</v>
      </c>
      <c r="P279" t="s">
        <v>1577</v>
      </c>
    </row>
    <row r="280" spans="1:16" x14ac:dyDescent="0.25">
      <c r="A280" s="4">
        <v>101471707600</v>
      </c>
      <c r="B280" s="4" t="str">
        <f t="shared" si="9"/>
        <v>101471707600OVR</v>
      </c>
      <c r="C280" t="s">
        <v>812</v>
      </c>
      <c r="D280" t="s">
        <v>55</v>
      </c>
      <c r="E280" s="11">
        <v>20411454</v>
      </c>
      <c r="F280" t="s">
        <v>1639</v>
      </c>
      <c r="G280" t="s">
        <v>49</v>
      </c>
      <c r="H280" t="s">
        <v>714</v>
      </c>
      <c r="I280" s="1">
        <v>44562</v>
      </c>
      <c r="J280" s="2">
        <v>1</v>
      </c>
      <c r="K280" s="2">
        <v>1</v>
      </c>
      <c r="M280" s="3">
        <v>1</v>
      </c>
      <c r="N280" s="2">
        <v>2</v>
      </c>
      <c r="O280" t="s">
        <v>715</v>
      </c>
      <c r="P280" t="s">
        <v>1577</v>
      </c>
    </row>
    <row r="281" spans="1:16" x14ac:dyDescent="0.25">
      <c r="A281" s="4">
        <v>101471757300</v>
      </c>
      <c r="B281" s="4" t="str">
        <f t="shared" si="9"/>
        <v>101471757300OVR</v>
      </c>
      <c r="C281" t="s">
        <v>813</v>
      </c>
      <c r="D281" t="s">
        <v>202</v>
      </c>
      <c r="E281" s="11">
        <v>20411454</v>
      </c>
      <c r="F281" t="s">
        <v>1639</v>
      </c>
      <c r="G281" t="s">
        <v>49</v>
      </c>
      <c r="H281" t="s">
        <v>714</v>
      </c>
      <c r="I281" s="1">
        <v>44562</v>
      </c>
      <c r="J281" s="2">
        <v>1</v>
      </c>
      <c r="K281" s="2">
        <v>1</v>
      </c>
      <c r="M281" s="3">
        <v>1</v>
      </c>
      <c r="N281" s="2">
        <v>2</v>
      </c>
      <c r="O281" t="s">
        <v>715</v>
      </c>
      <c r="P281" t="s">
        <v>1577</v>
      </c>
    </row>
    <row r="282" spans="1:16" x14ac:dyDescent="0.25">
      <c r="A282" s="4">
        <v>101472308200</v>
      </c>
      <c r="B282" s="4" t="str">
        <f t="shared" si="9"/>
        <v>101472308200OVR</v>
      </c>
      <c r="C282" t="s">
        <v>815</v>
      </c>
      <c r="D282" t="s">
        <v>202</v>
      </c>
      <c r="E282" s="11">
        <v>20411454</v>
      </c>
      <c r="F282" t="s">
        <v>1639</v>
      </c>
      <c r="G282" t="s">
        <v>49</v>
      </c>
      <c r="H282" t="s">
        <v>714</v>
      </c>
      <c r="I282" s="1">
        <v>44562</v>
      </c>
      <c r="J282" s="2">
        <v>1</v>
      </c>
      <c r="K282" s="2">
        <v>1</v>
      </c>
      <c r="M282" s="3">
        <v>1</v>
      </c>
      <c r="N282" s="2">
        <v>2</v>
      </c>
      <c r="O282" t="s">
        <v>715</v>
      </c>
      <c r="P282" t="s">
        <v>1577</v>
      </c>
    </row>
    <row r="283" spans="1:16" x14ac:dyDescent="0.25">
      <c r="A283" s="4">
        <v>101472611200</v>
      </c>
      <c r="B283" s="4" t="str">
        <f t="shared" si="9"/>
        <v>101472611200OVR</v>
      </c>
      <c r="C283" t="s">
        <v>816</v>
      </c>
      <c r="D283" t="s">
        <v>202</v>
      </c>
      <c r="E283" s="11">
        <v>20411454</v>
      </c>
      <c r="F283" t="s">
        <v>1639</v>
      </c>
      <c r="G283" t="s">
        <v>49</v>
      </c>
      <c r="H283" t="s">
        <v>714</v>
      </c>
      <c r="I283" s="1">
        <v>44562</v>
      </c>
      <c r="J283" s="2">
        <v>1</v>
      </c>
      <c r="K283" s="2">
        <v>1</v>
      </c>
      <c r="M283" s="3">
        <v>1</v>
      </c>
      <c r="N283" s="2">
        <v>2</v>
      </c>
      <c r="O283" t="s">
        <v>715</v>
      </c>
      <c r="P283" t="s">
        <v>1577</v>
      </c>
    </row>
    <row r="284" spans="1:16" x14ac:dyDescent="0.25">
      <c r="A284" s="4">
        <v>101472627800</v>
      </c>
      <c r="B284" s="4" t="str">
        <f t="shared" si="9"/>
        <v>101472627800OVR</v>
      </c>
      <c r="C284" t="s">
        <v>817</v>
      </c>
      <c r="D284" t="s">
        <v>202</v>
      </c>
      <c r="E284" s="11">
        <v>20411454</v>
      </c>
      <c r="F284" t="s">
        <v>1639</v>
      </c>
      <c r="G284" t="s">
        <v>49</v>
      </c>
      <c r="H284" t="s">
        <v>714</v>
      </c>
      <c r="I284" s="1">
        <v>44562</v>
      </c>
      <c r="J284" s="2">
        <v>1</v>
      </c>
      <c r="K284" s="2">
        <v>1</v>
      </c>
      <c r="M284" s="3">
        <v>1</v>
      </c>
      <c r="N284" s="2">
        <v>2</v>
      </c>
      <c r="O284" t="s">
        <v>715</v>
      </c>
      <c r="P284" t="s">
        <v>1577</v>
      </c>
    </row>
    <row r="285" spans="1:16" x14ac:dyDescent="0.25">
      <c r="A285" s="4">
        <v>101472724500</v>
      </c>
      <c r="B285" s="4" t="str">
        <f t="shared" si="9"/>
        <v>101472724500OVR</v>
      </c>
      <c r="C285" t="s">
        <v>818</v>
      </c>
      <c r="D285" t="s">
        <v>202</v>
      </c>
      <c r="E285" s="11">
        <v>20411454</v>
      </c>
      <c r="F285" t="s">
        <v>1639</v>
      </c>
      <c r="G285" t="s">
        <v>49</v>
      </c>
      <c r="H285" t="s">
        <v>714</v>
      </c>
      <c r="I285" s="1">
        <v>44562</v>
      </c>
      <c r="J285" s="2">
        <v>1</v>
      </c>
      <c r="K285" s="2">
        <v>1</v>
      </c>
      <c r="M285" s="3">
        <v>1</v>
      </c>
      <c r="N285" s="2">
        <v>2</v>
      </c>
      <c r="O285" t="s">
        <v>715</v>
      </c>
      <c r="P285" t="s">
        <v>1577</v>
      </c>
    </row>
    <row r="286" spans="1:16" x14ac:dyDescent="0.25">
      <c r="A286" s="4">
        <v>101473096300</v>
      </c>
      <c r="B286" s="4" t="str">
        <f t="shared" si="9"/>
        <v>101473096300OVR</v>
      </c>
      <c r="C286" t="s">
        <v>819</v>
      </c>
      <c r="D286" t="s">
        <v>202</v>
      </c>
      <c r="E286" s="11">
        <v>20411454</v>
      </c>
      <c r="F286" t="s">
        <v>1639</v>
      </c>
      <c r="G286" t="s">
        <v>49</v>
      </c>
      <c r="H286" t="s">
        <v>714</v>
      </c>
      <c r="I286" s="1">
        <v>44562</v>
      </c>
      <c r="J286" s="2">
        <v>1</v>
      </c>
      <c r="K286" s="2">
        <v>1</v>
      </c>
      <c r="M286" s="3">
        <v>1</v>
      </c>
      <c r="N286" s="2">
        <v>2</v>
      </c>
      <c r="O286" t="s">
        <v>715</v>
      </c>
      <c r="P286" t="s">
        <v>1577</v>
      </c>
    </row>
    <row r="287" spans="1:16" x14ac:dyDescent="0.25">
      <c r="A287" s="4">
        <v>101473158500</v>
      </c>
      <c r="B287" s="4" t="str">
        <f t="shared" ref="B287:B350" si="10">CONCATENATE(A287,"OVR")</f>
        <v>101473158500OVR</v>
      </c>
      <c r="C287" t="s">
        <v>820</v>
      </c>
      <c r="D287" t="s">
        <v>202</v>
      </c>
      <c r="E287" s="11">
        <v>20411454</v>
      </c>
      <c r="F287" t="s">
        <v>1639</v>
      </c>
      <c r="G287" t="s">
        <v>49</v>
      </c>
      <c r="H287" t="s">
        <v>714</v>
      </c>
      <c r="I287" s="1">
        <v>44927</v>
      </c>
      <c r="J287" s="2">
        <v>1</v>
      </c>
      <c r="K287" s="2">
        <v>1</v>
      </c>
      <c r="M287" s="3">
        <v>1</v>
      </c>
      <c r="N287" s="2">
        <v>2</v>
      </c>
      <c r="O287" t="s">
        <v>715</v>
      </c>
      <c r="P287" t="s">
        <v>1577</v>
      </c>
    </row>
    <row r="288" spans="1:16" x14ac:dyDescent="0.25">
      <c r="A288" s="4">
        <v>101473461600</v>
      </c>
      <c r="B288" s="4" t="str">
        <f t="shared" si="10"/>
        <v>101473461600OVR</v>
      </c>
      <c r="C288" t="s">
        <v>821</v>
      </c>
      <c r="D288" t="s">
        <v>202</v>
      </c>
      <c r="E288" s="11">
        <v>20411454</v>
      </c>
      <c r="F288" t="s">
        <v>1639</v>
      </c>
      <c r="G288" t="s">
        <v>49</v>
      </c>
      <c r="H288" t="s">
        <v>714</v>
      </c>
      <c r="I288" s="1">
        <v>44562</v>
      </c>
      <c r="J288" s="2">
        <v>1</v>
      </c>
      <c r="K288" s="2">
        <v>1</v>
      </c>
      <c r="M288" s="3">
        <v>1</v>
      </c>
      <c r="N288" s="2">
        <v>2</v>
      </c>
      <c r="O288" t="s">
        <v>715</v>
      </c>
      <c r="P288" t="s">
        <v>1577</v>
      </c>
    </row>
    <row r="289" spans="1:16" x14ac:dyDescent="0.25">
      <c r="A289" s="4">
        <v>101473890900</v>
      </c>
      <c r="B289" s="4" t="str">
        <f t="shared" si="10"/>
        <v>101473890900OVR</v>
      </c>
      <c r="C289" t="s">
        <v>822</v>
      </c>
      <c r="D289" t="s">
        <v>202</v>
      </c>
      <c r="E289" s="11">
        <v>20411454</v>
      </c>
      <c r="F289" t="s">
        <v>1639</v>
      </c>
      <c r="G289" t="s">
        <v>49</v>
      </c>
      <c r="H289" t="s">
        <v>714</v>
      </c>
      <c r="I289" s="1">
        <v>44562</v>
      </c>
      <c r="J289" s="2">
        <v>1</v>
      </c>
      <c r="K289" s="2">
        <v>1</v>
      </c>
      <c r="M289" s="3">
        <v>1</v>
      </c>
      <c r="N289" s="2">
        <v>2</v>
      </c>
      <c r="O289" t="s">
        <v>715</v>
      </c>
      <c r="P289" t="s">
        <v>1577</v>
      </c>
    </row>
    <row r="290" spans="1:16" x14ac:dyDescent="0.25">
      <c r="A290" s="4">
        <v>101473907300</v>
      </c>
      <c r="B290" s="4" t="str">
        <f t="shared" si="10"/>
        <v>101473907300OVR</v>
      </c>
      <c r="C290" t="s">
        <v>823</v>
      </c>
      <c r="D290" t="s">
        <v>202</v>
      </c>
      <c r="E290" s="11">
        <v>20411454</v>
      </c>
      <c r="F290" t="s">
        <v>1639</v>
      </c>
      <c r="G290" t="s">
        <v>49</v>
      </c>
      <c r="H290" t="s">
        <v>714</v>
      </c>
      <c r="I290" s="1">
        <v>44562</v>
      </c>
      <c r="J290" s="2">
        <v>1</v>
      </c>
      <c r="K290" s="2">
        <v>1</v>
      </c>
      <c r="M290" s="3">
        <v>1</v>
      </c>
      <c r="N290" s="2">
        <v>2</v>
      </c>
      <c r="O290" t="s">
        <v>715</v>
      </c>
      <c r="P290" t="s">
        <v>1577</v>
      </c>
    </row>
    <row r="291" spans="1:16" x14ac:dyDescent="0.25">
      <c r="A291" s="4">
        <v>101474570000</v>
      </c>
      <c r="B291" s="4" t="str">
        <f t="shared" si="10"/>
        <v>101474570000OVR</v>
      </c>
      <c r="C291" t="s">
        <v>824</v>
      </c>
      <c r="D291" t="s">
        <v>202</v>
      </c>
      <c r="E291" s="11">
        <v>20411454</v>
      </c>
      <c r="F291" t="s">
        <v>1639</v>
      </c>
      <c r="G291" t="s">
        <v>49</v>
      </c>
      <c r="H291" t="s">
        <v>714</v>
      </c>
      <c r="I291" s="1">
        <v>44562</v>
      </c>
      <c r="J291" s="2">
        <v>1</v>
      </c>
      <c r="K291" s="2">
        <v>1</v>
      </c>
      <c r="M291" s="3">
        <v>1</v>
      </c>
      <c r="N291" s="2">
        <v>2</v>
      </c>
      <c r="O291" t="s">
        <v>715</v>
      </c>
      <c r="P291" t="s">
        <v>1577</v>
      </c>
    </row>
    <row r="292" spans="1:16" x14ac:dyDescent="0.25">
      <c r="A292" s="4">
        <v>101474765700</v>
      </c>
      <c r="B292" s="4" t="str">
        <f t="shared" si="10"/>
        <v>101474765700OVR</v>
      </c>
      <c r="C292" t="s">
        <v>825</v>
      </c>
      <c r="D292" t="s">
        <v>202</v>
      </c>
      <c r="E292" s="11">
        <v>20411454</v>
      </c>
      <c r="F292" t="s">
        <v>1639</v>
      </c>
      <c r="G292" t="s">
        <v>49</v>
      </c>
      <c r="H292" t="s">
        <v>714</v>
      </c>
      <c r="I292" s="1">
        <v>44562</v>
      </c>
      <c r="J292" s="2">
        <v>1</v>
      </c>
      <c r="K292" s="2">
        <v>1</v>
      </c>
      <c r="M292" s="3">
        <v>1</v>
      </c>
      <c r="N292" s="2">
        <v>2</v>
      </c>
      <c r="O292" t="s">
        <v>715</v>
      </c>
      <c r="P292" t="s">
        <v>1577</v>
      </c>
    </row>
    <row r="293" spans="1:16" x14ac:dyDescent="0.25">
      <c r="A293" s="4">
        <v>101475440500</v>
      </c>
      <c r="B293" s="4" t="str">
        <f t="shared" si="10"/>
        <v>101475440500OVR</v>
      </c>
      <c r="C293" t="s">
        <v>826</v>
      </c>
      <c r="D293" t="s">
        <v>202</v>
      </c>
      <c r="E293" s="11">
        <v>20411454</v>
      </c>
      <c r="F293" t="s">
        <v>1639</v>
      </c>
      <c r="G293" t="s">
        <v>49</v>
      </c>
      <c r="H293" t="s">
        <v>714</v>
      </c>
      <c r="I293" s="1">
        <v>44562</v>
      </c>
      <c r="J293" s="2">
        <v>1</v>
      </c>
      <c r="K293" s="2">
        <v>1</v>
      </c>
      <c r="M293" s="3">
        <v>1</v>
      </c>
      <c r="N293" s="2">
        <v>2</v>
      </c>
      <c r="O293" t="s">
        <v>715</v>
      </c>
      <c r="P293" t="s">
        <v>1577</v>
      </c>
    </row>
    <row r="294" spans="1:16" x14ac:dyDescent="0.25">
      <c r="A294" s="4">
        <v>101475587700</v>
      </c>
      <c r="B294" s="4" t="str">
        <f t="shared" si="10"/>
        <v>101475587700OVR</v>
      </c>
      <c r="C294" t="s">
        <v>827</v>
      </c>
      <c r="D294" t="s">
        <v>202</v>
      </c>
      <c r="E294" s="11">
        <v>20411454</v>
      </c>
      <c r="F294" t="s">
        <v>1639</v>
      </c>
      <c r="G294" t="s">
        <v>49</v>
      </c>
      <c r="H294" t="s">
        <v>714</v>
      </c>
      <c r="I294" s="1">
        <v>45658</v>
      </c>
      <c r="J294" s="2">
        <v>1</v>
      </c>
      <c r="K294" s="2">
        <v>1</v>
      </c>
      <c r="M294" s="3">
        <v>1</v>
      </c>
      <c r="N294" s="2">
        <v>2</v>
      </c>
      <c r="O294" t="s">
        <v>715</v>
      </c>
      <c r="P294" t="s">
        <v>1577</v>
      </c>
    </row>
    <row r="295" spans="1:16" x14ac:dyDescent="0.25">
      <c r="A295" s="4">
        <v>101475742300</v>
      </c>
      <c r="B295" s="4" t="str">
        <f t="shared" si="10"/>
        <v>101475742300OVR</v>
      </c>
      <c r="C295" t="s">
        <v>828</v>
      </c>
      <c r="D295" t="s">
        <v>202</v>
      </c>
      <c r="E295" s="11">
        <v>20411454</v>
      </c>
      <c r="F295" t="s">
        <v>1639</v>
      </c>
      <c r="G295" t="s">
        <v>49</v>
      </c>
      <c r="H295" t="s">
        <v>714</v>
      </c>
      <c r="I295" s="1">
        <v>44562</v>
      </c>
      <c r="J295" s="2">
        <v>1</v>
      </c>
      <c r="K295" s="2">
        <v>1</v>
      </c>
      <c r="M295" s="3">
        <v>1</v>
      </c>
      <c r="N295" s="2">
        <v>2</v>
      </c>
      <c r="O295" t="s">
        <v>715</v>
      </c>
      <c r="P295" t="s">
        <v>1577</v>
      </c>
    </row>
    <row r="296" spans="1:16" x14ac:dyDescent="0.25">
      <c r="A296" s="4">
        <v>101476005600</v>
      </c>
      <c r="B296" s="4" t="str">
        <f t="shared" si="10"/>
        <v>101476005600OVR</v>
      </c>
      <c r="C296" t="s">
        <v>829</v>
      </c>
      <c r="D296" t="s">
        <v>202</v>
      </c>
      <c r="E296" s="11">
        <v>20411454</v>
      </c>
      <c r="F296" t="s">
        <v>1639</v>
      </c>
      <c r="G296" t="s">
        <v>49</v>
      </c>
      <c r="H296" t="s">
        <v>714</v>
      </c>
      <c r="I296" s="1">
        <v>44501</v>
      </c>
      <c r="J296" s="2">
        <v>1</v>
      </c>
      <c r="K296" s="2">
        <v>1</v>
      </c>
      <c r="M296" s="3">
        <v>1</v>
      </c>
      <c r="N296" s="2">
        <v>2</v>
      </c>
      <c r="O296" t="s">
        <v>715</v>
      </c>
      <c r="P296" t="s">
        <v>1577</v>
      </c>
    </row>
    <row r="297" spans="1:16" x14ac:dyDescent="0.25">
      <c r="A297" s="4">
        <v>101476298900</v>
      </c>
      <c r="B297" s="4" t="str">
        <f t="shared" si="10"/>
        <v>101476298900OVR</v>
      </c>
      <c r="C297" t="s">
        <v>830</v>
      </c>
      <c r="D297" t="s">
        <v>202</v>
      </c>
      <c r="E297" s="11">
        <v>20411454</v>
      </c>
      <c r="F297" t="s">
        <v>1639</v>
      </c>
      <c r="G297" t="s">
        <v>49</v>
      </c>
      <c r="H297" t="s">
        <v>714</v>
      </c>
      <c r="I297" s="1">
        <v>44562</v>
      </c>
      <c r="J297" s="2">
        <v>1</v>
      </c>
      <c r="K297" s="2">
        <v>1</v>
      </c>
      <c r="M297" s="3">
        <v>1</v>
      </c>
      <c r="N297" s="2">
        <v>2</v>
      </c>
      <c r="O297" t="s">
        <v>715</v>
      </c>
      <c r="P297" t="s">
        <v>1577</v>
      </c>
    </row>
    <row r="298" spans="1:16" x14ac:dyDescent="0.25">
      <c r="A298" s="4">
        <v>101476390500</v>
      </c>
      <c r="B298" s="4" t="str">
        <f t="shared" si="10"/>
        <v>101476390500OVR</v>
      </c>
      <c r="C298" t="s">
        <v>831</v>
      </c>
      <c r="D298" t="s">
        <v>202</v>
      </c>
      <c r="E298" s="11">
        <v>20411454</v>
      </c>
      <c r="F298" t="s">
        <v>1639</v>
      </c>
      <c r="G298" t="s">
        <v>49</v>
      </c>
      <c r="H298" t="s">
        <v>714</v>
      </c>
      <c r="I298" s="1">
        <v>44562</v>
      </c>
      <c r="J298" s="2">
        <v>1</v>
      </c>
      <c r="K298" s="2">
        <v>1</v>
      </c>
      <c r="M298" s="3">
        <v>1</v>
      </c>
      <c r="N298" s="2">
        <v>2</v>
      </c>
      <c r="O298" t="s">
        <v>715</v>
      </c>
      <c r="P298" t="s">
        <v>1577</v>
      </c>
    </row>
    <row r="299" spans="1:16" x14ac:dyDescent="0.25">
      <c r="A299" s="4">
        <v>101477828300</v>
      </c>
      <c r="B299" s="4" t="str">
        <f t="shared" si="10"/>
        <v>101477828300OVR</v>
      </c>
      <c r="C299" t="s">
        <v>832</v>
      </c>
      <c r="D299" t="s">
        <v>202</v>
      </c>
      <c r="E299" s="11">
        <v>20411454</v>
      </c>
      <c r="F299" t="s">
        <v>1639</v>
      </c>
      <c r="G299" t="s">
        <v>49</v>
      </c>
      <c r="H299" t="s">
        <v>714</v>
      </c>
      <c r="I299" s="1">
        <v>44562</v>
      </c>
      <c r="J299" s="2">
        <v>1</v>
      </c>
      <c r="K299" s="2">
        <v>1</v>
      </c>
      <c r="M299" s="3">
        <v>1</v>
      </c>
      <c r="N299" s="2">
        <v>2</v>
      </c>
      <c r="O299" t="s">
        <v>715</v>
      </c>
      <c r="P299" t="s">
        <v>1577</v>
      </c>
    </row>
    <row r="300" spans="1:16" x14ac:dyDescent="0.25">
      <c r="A300" s="4">
        <v>101478649400</v>
      </c>
      <c r="B300" s="4" t="str">
        <f t="shared" si="10"/>
        <v>101478649400OVR</v>
      </c>
      <c r="C300" t="s">
        <v>833</v>
      </c>
      <c r="D300" t="s">
        <v>202</v>
      </c>
      <c r="E300" s="11">
        <v>20411454</v>
      </c>
      <c r="F300" t="s">
        <v>1639</v>
      </c>
      <c r="G300" t="s">
        <v>49</v>
      </c>
      <c r="H300" t="s">
        <v>714</v>
      </c>
      <c r="I300" s="1">
        <v>44562</v>
      </c>
      <c r="J300" s="2">
        <v>1</v>
      </c>
      <c r="K300" s="2">
        <v>1</v>
      </c>
      <c r="M300" s="3">
        <v>1</v>
      </c>
      <c r="N300" s="2">
        <v>2</v>
      </c>
      <c r="O300" t="s">
        <v>715</v>
      </c>
      <c r="P300" t="s">
        <v>1577</v>
      </c>
    </row>
    <row r="301" spans="1:16" x14ac:dyDescent="0.25">
      <c r="A301" s="4">
        <v>101481629800</v>
      </c>
      <c r="B301" s="4" t="str">
        <f t="shared" si="10"/>
        <v>101481629800OVR</v>
      </c>
      <c r="C301" t="s">
        <v>834</v>
      </c>
      <c r="D301" t="s">
        <v>202</v>
      </c>
      <c r="E301" s="11">
        <v>20411454</v>
      </c>
      <c r="F301" t="s">
        <v>1639</v>
      </c>
      <c r="G301" t="s">
        <v>49</v>
      </c>
      <c r="H301" t="s">
        <v>714</v>
      </c>
      <c r="I301" s="1">
        <v>44562</v>
      </c>
      <c r="J301" s="2">
        <v>1</v>
      </c>
      <c r="K301" s="2">
        <v>1</v>
      </c>
      <c r="M301" s="3">
        <v>1</v>
      </c>
      <c r="N301" s="2">
        <v>2</v>
      </c>
      <c r="O301" t="s">
        <v>715</v>
      </c>
      <c r="P301" t="s">
        <v>1577</v>
      </c>
    </row>
    <row r="302" spans="1:16" x14ac:dyDescent="0.25">
      <c r="A302" s="4">
        <v>101485016400</v>
      </c>
      <c r="B302" s="4" t="str">
        <f t="shared" si="10"/>
        <v>101485016400OVR</v>
      </c>
      <c r="C302" t="s">
        <v>835</v>
      </c>
      <c r="D302" t="s">
        <v>202</v>
      </c>
      <c r="E302" s="11">
        <v>20411454</v>
      </c>
      <c r="F302" t="s">
        <v>1639</v>
      </c>
      <c r="G302" t="s">
        <v>49</v>
      </c>
      <c r="H302" t="s">
        <v>714</v>
      </c>
      <c r="I302" s="1">
        <v>44562</v>
      </c>
      <c r="J302" s="2">
        <v>1</v>
      </c>
      <c r="K302" s="2">
        <v>1</v>
      </c>
      <c r="M302" s="3">
        <v>1</v>
      </c>
      <c r="N302" s="2">
        <v>2</v>
      </c>
      <c r="O302" t="s">
        <v>715</v>
      </c>
      <c r="P302" t="s">
        <v>1577</v>
      </c>
    </row>
    <row r="303" spans="1:16" x14ac:dyDescent="0.25">
      <c r="A303" s="4">
        <v>101485181900</v>
      </c>
      <c r="B303" s="4" t="str">
        <f t="shared" si="10"/>
        <v>101485181900OVR</v>
      </c>
      <c r="C303" t="s">
        <v>836</v>
      </c>
      <c r="D303" t="s">
        <v>202</v>
      </c>
      <c r="E303" s="11">
        <v>20411454</v>
      </c>
      <c r="F303" t="s">
        <v>1639</v>
      </c>
      <c r="G303" t="s">
        <v>49</v>
      </c>
      <c r="H303" t="s">
        <v>714</v>
      </c>
      <c r="I303" s="1">
        <v>44562</v>
      </c>
      <c r="J303" s="2">
        <v>1</v>
      </c>
      <c r="K303" s="2">
        <v>1</v>
      </c>
      <c r="M303" s="3">
        <v>1</v>
      </c>
      <c r="N303" s="2">
        <v>2</v>
      </c>
      <c r="O303" t="s">
        <v>715</v>
      </c>
      <c r="P303" t="s">
        <v>1577</v>
      </c>
    </row>
    <row r="304" spans="1:16" x14ac:dyDescent="0.25">
      <c r="A304" s="4">
        <v>101485351600</v>
      </c>
      <c r="B304" s="4" t="str">
        <f t="shared" si="10"/>
        <v>101485351600OVR</v>
      </c>
      <c r="C304" t="s">
        <v>837</v>
      </c>
      <c r="D304" t="s">
        <v>202</v>
      </c>
      <c r="E304" s="11">
        <v>20411454</v>
      </c>
      <c r="F304" t="s">
        <v>1639</v>
      </c>
      <c r="G304" t="s">
        <v>49</v>
      </c>
      <c r="H304" t="s">
        <v>714</v>
      </c>
      <c r="I304" s="1">
        <v>44562</v>
      </c>
      <c r="J304" s="2">
        <v>1</v>
      </c>
      <c r="K304" s="2">
        <v>1</v>
      </c>
      <c r="M304" s="3">
        <v>1</v>
      </c>
      <c r="N304" s="2">
        <v>2</v>
      </c>
      <c r="O304" t="s">
        <v>715</v>
      </c>
      <c r="P304" t="s">
        <v>1577</v>
      </c>
    </row>
    <row r="305" spans="1:16" x14ac:dyDescent="0.25">
      <c r="A305" s="4">
        <v>101486796300</v>
      </c>
      <c r="B305" s="4" t="str">
        <f t="shared" si="10"/>
        <v>101486796300OVR</v>
      </c>
      <c r="C305" t="s">
        <v>838</v>
      </c>
      <c r="D305" t="s">
        <v>202</v>
      </c>
      <c r="E305" s="11">
        <v>20411454</v>
      </c>
      <c r="F305" t="s">
        <v>1639</v>
      </c>
      <c r="G305" t="s">
        <v>49</v>
      </c>
      <c r="H305" t="s">
        <v>714</v>
      </c>
      <c r="I305" s="1">
        <v>44562</v>
      </c>
      <c r="J305" s="2">
        <v>1</v>
      </c>
      <c r="K305" s="2">
        <v>1</v>
      </c>
      <c r="M305" s="3">
        <v>1</v>
      </c>
      <c r="N305" s="2">
        <v>2</v>
      </c>
      <c r="O305" t="s">
        <v>715</v>
      </c>
      <c r="P305" t="s">
        <v>1577</v>
      </c>
    </row>
    <row r="306" spans="1:16" x14ac:dyDescent="0.25">
      <c r="A306" s="4">
        <v>101488727700</v>
      </c>
      <c r="B306" s="4" t="str">
        <f t="shared" si="10"/>
        <v>101488727700OVR</v>
      </c>
      <c r="C306" t="s">
        <v>839</v>
      </c>
      <c r="D306" t="s">
        <v>202</v>
      </c>
      <c r="E306" s="11">
        <v>20411454</v>
      </c>
      <c r="F306" t="s">
        <v>1639</v>
      </c>
      <c r="G306" t="s">
        <v>49</v>
      </c>
      <c r="H306" t="s">
        <v>714</v>
      </c>
      <c r="I306" s="1">
        <v>44562</v>
      </c>
      <c r="J306" s="2">
        <v>1</v>
      </c>
      <c r="K306" s="2">
        <v>1</v>
      </c>
      <c r="M306" s="3">
        <v>1</v>
      </c>
      <c r="N306" s="2">
        <v>2</v>
      </c>
      <c r="O306" t="s">
        <v>715</v>
      </c>
      <c r="P306" t="s">
        <v>1577</v>
      </c>
    </row>
    <row r="307" spans="1:16" x14ac:dyDescent="0.25">
      <c r="A307" s="4">
        <v>101491248600</v>
      </c>
      <c r="B307" s="4" t="str">
        <f t="shared" si="10"/>
        <v>101491248600OVR</v>
      </c>
      <c r="C307" t="s">
        <v>840</v>
      </c>
      <c r="D307" t="s">
        <v>202</v>
      </c>
      <c r="E307" s="11">
        <v>20411454</v>
      </c>
      <c r="F307" t="s">
        <v>1639</v>
      </c>
      <c r="G307" t="s">
        <v>49</v>
      </c>
      <c r="H307" t="s">
        <v>714</v>
      </c>
      <c r="I307" s="1">
        <v>44562</v>
      </c>
      <c r="J307" s="2">
        <v>1</v>
      </c>
      <c r="K307" s="2">
        <v>1</v>
      </c>
      <c r="M307" s="3">
        <v>1</v>
      </c>
      <c r="N307" s="2">
        <v>2</v>
      </c>
      <c r="O307" t="s">
        <v>715</v>
      </c>
      <c r="P307" t="s">
        <v>1577</v>
      </c>
    </row>
    <row r="308" spans="1:16" x14ac:dyDescent="0.25">
      <c r="A308" s="4">
        <v>101494501900</v>
      </c>
      <c r="B308" s="4" t="str">
        <f t="shared" si="10"/>
        <v>101494501900OVR</v>
      </c>
      <c r="C308" t="s">
        <v>842</v>
      </c>
      <c r="D308" t="s">
        <v>202</v>
      </c>
      <c r="E308" s="11">
        <v>20411454</v>
      </c>
      <c r="F308" t="s">
        <v>1639</v>
      </c>
      <c r="G308" t="s">
        <v>49</v>
      </c>
      <c r="H308" t="s">
        <v>714</v>
      </c>
      <c r="I308" s="1">
        <v>44562</v>
      </c>
      <c r="J308" s="2">
        <v>1</v>
      </c>
      <c r="K308" s="2">
        <v>1</v>
      </c>
      <c r="M308" s="3">
        <v>1</v>
      </c>
      <c r="N308" s="2">
        <v>2</v>
      </c>
      <c r="O308" t="s">
        <v>715</v>
      </c>
      <c r="P308" t="s">
        <v>1577</v>
      </c>
    </row>
    <row r="309" spans="1:16" x14ac:dyDescent="0.25">
      <c r="A309" s="4">
        <v>101495427300</v>
      </c>
      <c r="B309" s="4" t="str">
        <f t="shared" si="10"/>
        <v>101495427300OVR</v>
      </c>
      <c r="C309" t="s">
        <v>843</v>
      </c>
      <c r="D309" t="s">
        <v>202</v>
      </c>
      <c r="E309" s="11">
        <v>20411454</v>
      </c>
      <c r="F309" t="s">
        <v>1639</v>
      </c>
      <c r="G309" t="s">
        <v>49</v>
      </c>
      <c r="H309" t="s">
        <v>714</v>
      </c>
      <c r="I309" s="1">
        <v>44562</v>
      </c>
      <c r="J309" s="2">
        <v>1</v>
      </c>
      <c r="K309" s="2">
        <v>1</v>
      </c>
      <c r="M309" s="3">
        <v>1</v>
      </c>
      <c r="N309" s="2">
        <v>2</v>
      </c>
      <c r="O309" t="s">
        <v>715</v>
      </c>
      <c r="P309" t="s">
        <v>1577</v>
      </c>
    </row>
    <row r="310" spans="1:16" x14ac:dyDescent="0.25">
      <c r="A310" s="4">
        <v>101495460400</v>
      </c>
      <c r="B310" s="4" t="str">
        <f t="shared" si="10"/>
        <v>101495460400OVR</v>
      </c>
      <c r="C310" t="s">
        <v>844</v>
      </c>
      <c r="D310" t="s">
        <v>202</v>
      </c>
      <c r="E310" s="11">
        <v>20411454</v>
      </c>
      <c r="F310" t="s">
        <v>1639</v>
      </c>
      <c r="G310" t="s">
        <v>49</v>
      </c>
      <c r="H310" t="s">
        <v>714</v>
      </c>
      <c r="I310" s="1">
        <v>44562</v>
      </c>
      <c r="J310" s="2">
        <v>1</v>
      </c>
      <c r="K310" s="2">
        <v>1</v>
      </c>
      <c r="M310" s="3">
        <v>1</v>
      </c>
      <c r="N310" s="2">
        <v>2</v>
      </c>
      <c r="O310" t="s">
        <v>715</v>
      </c>
      <c r="P310" t="s">
        <v>1577</v>
      </c>
    </row>
    <row r="311" spans="1:16" x14ac:dyDescent="0.25">
      <c r="A311" s="4">
        <v>101500561700</v>
      </c>
      <c r="B311" s="4" t="str">
        <f t="shared" si="10"/>
        <v>101500561700OVR</v>
      </c>
      <c r="C311" t="s">
        <v>845</v>
      </c>
      <c r="D311" t="s">
        <v>202</v>
      </c>
      <c r="E311" s="11">
        <v>20411454</v>
      </c>
      <c r="F311" t="s">
        <v>1639</v>
      </c>
      <c r="G311" t="s">
        <v>49</v>
      </c>
      <c r="H311" t="s">
        <v>714</v>
      </c>
      <c r="I311" s="1">
        <v>44562</v>
      </c>
      <c r="J311" s="2">
        <v>1</v>
      </c>
      <c r="K311" s="2">
        <v>1</v>
      </c>
      <c r="M311" s="3">
        <v>1</v>
      </c>
      <c r="N311" s="2">
        <v>2</v>
      </c>
      <c r="O311" t="s">
        <v>715</v>
      </c>
      <c r="P311" t="s">
        <v>1577</v>
      </c>
    </row>
    <row r="312" spans="1:16" x14ac:dyDescent="0.25">
      <c r="A312" s="4">
        <v>101502394600</v>
      </c>
      <c r="B312" s="4" t="str">
        <f t="shared" si="10"/>
        <v>101502394600OVR</v>
      </c>
      <c r="C312" t="s">
        <v>846</v>
      </c>
      <c r="D312" t="s">
        <v>202</v>
      </c>
      <c r="E312" s="11">
        <v>20411454</v>
      </c>
      <c r="F312" t="s">
        <v>1639</v>
      </c>
      <c r="G312" t="s">
        <v>49</v>
      </c>
      <c r="H312" t="s">
        <v>714</v>
      </c>
      <c r="I312" s="1">
        <v>44562</v>
      </c>
      <c r="J312" s="2">
        <v>1</v>
      </c>
      <c r="K312" s="2">
        <v>1</v>
      </c>
      <c r="M312" s="3">
        <v>1</v>
      </c>
      <c r="N312" s="2">
        <v>2</v>
      </c>
      <c r="O312" t="s">
        <v>715</v>
      </c>
      <c r="P312" t="s">
        <v>1577</v>
      </c>
    </row>
    <row r="313" spans="1:16" x14ac:dyDescent="0.25">
      <c r="A313" s="4">
        <v>101502443300</v>
      </c>
      <c r="B313" s="4" t="str">
        <f t="shared" si="10"/>
        <v>101502443300OVR</v>
      </c>
      <c r="C313" t="s">
        <v>847</v>
      </c>
      <c r="D313" t="s">
        <v>202</v>
      </c>
      <c r="E313" s="11">
        <v>20411454</v>
      </c>
      <c r="F313" t="s">
        <v>1639</v>
      </c>
      <c r="G313" t="s">
        <v>49</v>
      </c>
      <c r="H313" t="s">
        <v>714</v>
      </c>
      <c r="I313" s="1">
        <v>44562</v>
      </c>
      <c r="J313" s="2">
        <v>1</v>
      </c>
      <c r="K313" s="2">
        <v>1</v>
      </c>
      <c r="M313" s="3">
        <v>1</v>
      </c>
      <c r="N313" s="2">
        <v>2</v>
      </c>
      <c r="O313" t="s">
        <v>715</v>
      </c>
      <c r="P313" t="s">
        <v>1577</v>
      </c>
    </row>
    <row r="314" spans="1:16" x14ac:dyDescent="0.25">
      <c r="A314" s="4">
        <v>101505160900</v>
      </c>
      <c r="B314" s="4" t="str">
        <f t="shared" si="10"/>
        <v>101505160900OVR</v>
      </c>
      <c r="C314" t="s">
        <v>848</v>
      </c>
      <c r="D314" t="s">
        <v>202</v>
      </c>
      <c r="E314" s="11">
        <v>20411454</v>
      </c>
      <c r="F314" t="s">
        <v>1639</v>
      </c>
      <c r="G314" t="s">
        <v>49</v>
      </c>
      <c r="H314" t="s">
        <v>714</v>
      </c>
      <c r="I314" s="1">
        <v>44562</v>
      </c>
      <c r="J314" s="2">
        <v>1</v>
      </c>
      <c r="K314" s="2">
        <v>1</v>
      </c>
      <c r="M314" s="3">
        <v>1</v>
      </c>
      <c r="N314" s="2">
        <v>2</v>
      </c>
      <c r="O314" t="s">
        <v>715</v>
      </c>
      <c r="P314" t="s">
        <v>1577</v>
      </c>
    </row>
    <row r="315" spans="1:16" x14ac:dyDescent="0.25">
      <c r="A315" s="4">
        <v>101506807700</v>
      </c>
      <c r="B315" s="4" t="str">
        <f t="shared" si="10"/>
        <v>101506807700OVR</v>
      </c>
      <c r="C315" t="s">
        <v>849</v>
      </c>
      <c r="D315" t="s">
        <v>202</v>
      </c>
      <c r="E315" s="11">
        <v>20411454</v>
      </c>
      <c r="F315" t="s">
        <v>1639</v>
      </c>
      <c r="G315" t="s">
        <v>49</v>
      </c>
      <c r="H315" t="s">
        <v>714</v>
      </c>
      <c r="I315" s="1">
        <v>44562</v>
      </c>
      <c r="J315" s="2">
        <v>1</v>
      </c>
      <c r="K315" s="2">
        <v>1</v>
      </c>
      <c r="M315" s="3">
        <v>1</v>
      </c>
      <c r="N315" s="2">
        <v>2</v>
      </c>
      <c r="O315" t="s">
        <v>715</v>
      </c>
      <c r="P315" t="s">
        <v>1577</v>
      </c>
    </row>
    <row r="316" spans="1:16" x14ac:dyDescent="0.25">
      <c r="A316" s="4">
        <v>101507907500</v>
      </c>
      <c r="B316" s="4" t="str">
        <f t="shared" si="10"/>
        <v>101507907500OVR</v>
      </c>
      <c r="C316" t="s">
        <v>850</v>
      </c>
      <c r="D316" t="s">
        <v>202</v>
      </c>
      <c r="E316" s="11">
        <v>20411454</v>
      </c>
      <c r="F316" t="s">
        <v>1639</v>
      </c>
      <c r="G316" t="s">
        <v>49</v>
      </c>
      <c r="H316" t="s">
        <v>714</v>
      </c>
      <c r="I316" s="1">
        <v>44562</v>
      </c>
      <c r="J316" s="2">
        <v>1</v>
      </c>
      <c r="K316" s="2">
        <v>1</v>
      </c>
      <c r="M316" s="3">
        <v>1</v>
      </c>
      <c r="N316" s="2">
        <v>2</v>
      </c>
      <c r="O316" t="s">
        <v>715</v>
      </c>
      <c r="P316" t="s">
        <v>1577</v>
      </c>
    </row>
    <row r="317" spans="1:16" x14ac:dyDescent="0.25">
      <c r="A317" s="4">
        <v>101508102100</v>
      </c>
      <c r="B317" s="4" t="str">
        <f t="shared" si="10"/>
        <v>101508102100OVR</v>
      </c>
      <c r="C317" t="s">
        <v>851</v>
      </c>
      <c r="D317" t="s">
        <v>202</v>
      </c>
      <c r="E317" s="11">
        <v>20411454</v>
      </c>
      <c r="F317" t="s">
        <v>1639</v>
      </c>
      <c r="G317" t="s">
        <v>49</v>
      </c>
      <c r="H317" t="s">
        <v>714</v>
      </c>
      <c r="I317" s="1">
        <v>44562</v>
      </c>
      <c r="J317" s="2">
        <v>1</v>
      </c>
      <c r="K317" s="2">
        <v>1</v>
      </c>
      <c r="M317" s="3">
        <v>1</v>
      </c>
      <c r="N317" s="2">
        <v>2</v>
      </c>
      <c r="O317" t="s">
        <v>715</v>
      </c>
      <c r="P317" t="s">
        <v>1577</v>
      </c>
    </row>
    <row r="318" spans="1:16" x14ac:dyDescent="0.25">
      <c r="A318" s="4">
        <v>101508874400</v>
      </c>
      <c r="B318" s="4" t="str">
        <f t="shared" si="10"/>
        <v>101508874400OVR</v>
      </c>
      <c r="C318" t="s">
        <v>852</v>
      </c>
      <c r="D318" t="s">
        <v>202</v>
      </c>
      <c r="E318" s="11">
        <v>20411454</v>
      </c>
      <c r="F318" t="s">
        <v>1639</v>
      </c>
      <c r="G318" t="s">
        <v>49</v>
      </c>
      <c r="H318" t="s">
        <v>714</v>
      </c>
      <c r="I318" s="1">
        <v>44562</v>
      </c>
      <c r="J318" s="2">
        <v>1</v>
      </c>
      <c r="K318" s="2">
        <v>1</v>
      </c>
      <c r="M318" s="3">
        <v>1</v>
      </c>
      <c r="N318" s="2">
        <v>2</v>
      </c>
      <c r="O318" t="s">
        <v>715</v>
      </c>
      <c r="P318" t="s">
        <v>1577</v>
      </c>
    </row>
    <row r="319" spans="1:16" x14ac:dyDescent="0.25">
      <c r="A319" s="4">
        <v>101515257200</v>
      </c>
      <c r="B319" s="4" t="str">
        <f t="shared" si="10"/>
        <v>101515257200OVR</v>
      </c>
      <c r="C319" t="s">
        <v>853</v>
      </c>
      <c r="D319" t="s">
        <v>202</v>
      </c>
      <c r="E319" s="11">
        <v>20411454</v>
      </c>
      <c r="F319" t="s">
        <v>1639</v>
      </c>
      <c r="G319" t="s">
        <v>49</v>
      </c>
      <c r="H319" t="s">
        <v>714</v>
      </c>
      <c r="I319" s="1">
        <v>44593</v>
      </c>
      <c r="J319" s="2">
        <v>1</v>
      </c>
      <c r="K319" s="2">
        <v>1</v>
      </c>
      <c r="M319" s="3">
        <v>1</v>
      </c>
      <c r="N319" s="2">
        <v>2</v>
      </c>
      <c r="O319" t="s">
        <v>715</v>
      </c>
      <c r="P319" t="s">
        <v>1577</v>
      </c>
    </row>
    <row r="320" spans="1:16" x14ac:dyDescent="0.25">
      <c r="A320" s="4">
        <v>101516771800</v>
      </c>
      <c r="B320" s="4" t="str">
        <f t="shared" si="10"/>
        <v>101516771800OVR</v>
      </c>
      <c r="C320" t="s">
        <v>854</v>
      </c>
      <c r="D320" t="s">
        <v>202</v>
      </c>
      <c r="E320" s="11">
        <v>20411454</v>
      </c>
      <c r="F320" t="s">
        <v>1639</v>
      </c>
      <c r="G320" t="s">
        <v>49</v>
      </c>
      <c r="H320" t="s">
        <v>714</v>
      </c>
      <c r="I320" s="1">
        <v>44562</v>
      </c>
      <c r="J320" s="2">
        <v>1</v>
      </c>
      <c r="K320" s="2">
        <v>1</v>
      </c>
      <c r="M320" s="3">
        <v>1</v>
      </c>
      <c r="N320" s="2">
        <v>2</v>
      </c>
      <c r="O320" t="s">
        <v>715</v>
      </c>
      <c r="P320" t="s">
        <v>1577</v>
      </c>
    </row>
    <row r="321" spans="1:16" x14ac:dyDescent="0.25">
      <c r="A321" s="4">
        <v>101516783700</v>
      </c>
      <c r="B321" s="4" t="str">
        <f t="shared" si="10"/>
        <v>101516783700OVR</v>
      </c>
      <c r="C321" t="s">
        <v>855</v>
      </c>
      <c r="D321" t="s">
        <v>202</v>
      </c>
      <c r="E321" s="11">
        <v>20411454</v>
      </c>
      <c r="F321" t="s">
        <v>1639</v>
      </c>
      <c r="G321" t="s">
        <v>49</v>
      </c>
      <c r="H321" t="s">
        <v>714</v>
      </c>
      <c r="I321" s="1">
        <v>44562</v>
      </c>
      <c r="J321" s="2">
        <v>1</v>
      </c>
      <c r="K321" s="2">
        <v>1</v>
      </c>
      <c r="M321" s="3">
        <v>1</v>
      </c>
      <c r="N321" s="2">
        <v>2</v>
      </c>
      <c r="O321" t="s">
        <v>715</v>
      </c>
      <c r="P321" t="s">
        <v>1577</v>
      </c>
    </row>
    <row r="322" spans="1:16" x14ac:dyDescent="0.25">
      <c r="A322" s="4">
        <v>101519777300</v>
      </c>
      <c r="B322" s="4" t="str">
        <f t="shared" si="10"/>
        <v>101519777300OVR</v>
      </c>
      <c r="C322" t="s">
        <v>856</v>
      </c>
      <c r="D322" t="s">
        <v>202</v>
      </c>
      <c r="E322" s="11">
        <v>20411454</v>
      </c>
      <c r="F322" t="s">
        <v>1639</v>
      </c>
      <c r="G322" t="s">
        <v>49</v>
      </c>
      <c r="H322" t="s">
        <v>714</v>
      </c>
      <c r="I322" s="1">
        <v>45017</v>
      </c>
      <c r="J322" s="2">
        <v>1</v>
      </c>
      <c r="K322" s="2">
        <v>1</v>
      </c>
      <c r="M322" s="3">
        <v>1</v>
      </c>
      <c r="N322" s="2">
        <v>2</v>
      </c>
      <c r="O322" t="s">
        <v>715</v>
      </c>
      <c r="P322" t="s">
        <v>1577</v>
      </c>
    </row>
    <row r="323" spans="1:16" x14ac:dyDescent="0.25">
      <c r="A323" s="4">
        <v>101520044500</v>
      </c>
      <c r="B323" s="4" t="str">
        <f t="shared" si="10"/>
        <v>101520044500OVR</v>
      </c>
      <c r="C323" t="s">
        <v>857</v>
      </c>
      <c r="D323" t="s">
        <v>202</v>
      </c>
      <c r="E323" s="11">
        <v>20411454</v>
      </c>
      <c r="F323" t="s">
        <v>1639</v>
      </c>
      <c r="G323" t="s">
        <v>49</v>
      </c>
      <c r="H323" t="s">
        <v>714</v>
      </c>
      <c r="I323" s="1">
        <v>44593</v>
      </c>
      <c r="J323" s="2">
        <v>1</v>
      </c>
      <c r="K323" s="2">
        <v>1</v>
      </c>
      <c r="M323" s="3">
        <v>1</v>
      </c>
      <c r="N323" s="2">
        <v>2</v>
      </c>
      <c r="O323" t="s">
        <v>715</v>
      </c>
      <c r="P323" t="s">
        <v>1577</v>
      </c>
    </row>
    <row r="324" spans="1:16" x14ac:dyDescent="0.25">
      <c r="A324" s="4">
        <v>101520916200</v>
      </c>
      <c r="B324" s="4" t="str">
        <f t="shared" si="10"/>
        <v>101520916200OVR</v>
      </c>
      <c r="C324" t="s">
        <v>858</v>
      </c>
      <c r="D324" t="s">
        <v>202</v>
      </c>
      <c r="E324" s="11">
        <v>20411454</v>
      </c>
      <c r="F324" t="s">
        <v>1639</v>
      </c>
      <c r="G324" t="s">
        <v>49</v>
      </c>
      <c r="H324" t="s">
        <v>714</v>
      </c>
      <c r="I324" s="1">
        <v>44593</v>
      </c>
      <c r="J324" s="2">
        <v>1</v>
      </c>
      <c r="K324" s="2">
        <v>1</v>
      </c>
      <c r="M324" s="3">
        <v>1</v>
      </c>
      <c r="N324" s="2">
        <v>2</v>
      </c>
      <c r="O324" t="s">
        <v>715</v>
      </c>
      <c r="P324" t="s">
        <v>1577</v>
      </c>
    </row>
    <row r="325" spans="1:16" x14ac:dyDescent="0.25">
      <c r="A325" s="4">
        <v>101525528100</v>
      </c>
      <c r="B325" s="4" t="str">
        <f t="shared" si="10"/>
        <v>101525528100OVR</v>
      </c>
      <c r="C325" t="s">
        <v>859</v>
      </c>
      <c r="D325" t="s">
        <v>202</v>
      </c>
      <c r="E325" s="11">
        <v>20411454</v>
      </c>
      <c r="F325" t="s">
        <v>1639</v>
      </c>
      <c r="G325" t="s">
        <v>49</v>
      </c>
      <c r="H325" t="s">
        <v>714</v>
      </c>
      <c r="I325" s="1">
        <v>44621</v>
      </c>
      <c r="J325" s="2">
        <v>1</v>
      </c>
      <c r="K325" s="2">
        <v>1</v>
      </c>
      <c r="M325" s="3">
        <v>1</v>
      </c>
      <c r="N325" s="2">
        <v>2</v>
      </c>
      <c r="O325" t="s">
        <v>715</v>
      </c>
      <c r="P325" t="s">
        <v>1577</v>
      </c>
    </row>
    <row r="326" spans="1:16" x14ac:dyDescent="0.25">
      <c r="A326" s="4">
        <v>101526780400</v>
      </c>
      <c r="B326" s="4" t="str">
        <f t="shared" si="10"/>
        <v>101526780400OVR</v>
      </c>
      <c r="C326" t="s">
        <v>860</v>
      </c>
      <c r="D326" t="s">
        <v>202</v>
      </c>
      <c r="E326" s="11">
        <v>20411454</v>
      </c>
      <c r="F326" t="s">
        <v>1639</v>
      </c>
      <c r="G326" t="s">
        <v>49</v>
      </c>
      <c r="H326" t="s">
        <v>714</v>
      </c>
      <c r="I326" s="1">
        <v>44682</v>
      </c>
      <c r="J326" s="2">
        <v>1</v>
      </c>
      <c r="K326" s="2">
        <v>1</v>
      </c>
      <c r="M326" s="3">
        <v>1</v>
      </c>
      <c r="N326" s="2">
        <v>2</v>
      </c>
      <c r="O326" t="s">
        <v>715</v>
      </c>
      <c r="P326" t="s">
        <v>1577</v>
      </c>
    </row>
    <row r="327" spans="1:16" x14ac:dyDescent="0.25">
      <c r="A327" s="4">
        <v>101529182400</v>
      </c>
      <c r="B327" s="4" t="str">
        <f t="shared" si="10"/>
        <v>101529182400OVR</v>
      </c>
      <c r="C327" t="s">
        <v>861</v>
      </c>
      <c r="D327" t="s">
        <v>202</v>
      </c>
      <c r="E327" s="11">
        <v>20411454</v>
      </c>
      <c r="F327" t="s">
        <v>1639</v>
      </c>
      <c r="G327" t="s">
        <v>49</v>
      </c>
      <c r="H327" t="s">
        <v>714</v>
      </c>
      <c r="I327" s="1">
        <v>44621</v>
      </c>
      <c r="J327" s="2">
        <v>1</v>
      </c>
      <c r="K327" s="2">
        <v>1</v>
      </c>
      <c r="M327" s="3">
        <v>1</v>
      </c>
      <c r="N327" s="2">
        <v>2</v>
      </c>
      <c r="O327" t="s">
        <v>715</v>
      </c>
      <c r="P327" t="s">
        <v>1577</v>
      </c>
    </row>
    <row r="328" spans="1:16" x14ac:dyDescent="0.25">
      <c r="A328" s="4">
        <v>101531379400</v>
      </c>
      <c r="B328" s="4" t="str">
        <f t="shared" si="10"/>
        <v>101531379400OVR</v>
      </c>
      <c r="C328" t="s">
        <v>862</v>
      </c>
      <c r="D328" t="s">
        <v>202</v>
      </c>
      <c r="E328" s="11">
        <v>20411454</v>
      </c>
      <c r="F328" t="s">
        <v>1639</v>
      </c>
      <c r="G328" t="s">
        <v>49</v>
      </c>
      <c r="H328" t="s">
        <v>714</v>
      </c>
      <c r="I328" s="1">
        <v>44682</v>
      </c>
      <c r="J328" s="2">
        <v>1</v>
      </c>
      <c r="K328" s="2">
        <v>1</v>
      </c>
      <c r="M328" s="3">
        <v>1</v>
      </c>
      <c r="N328" s="2">
        <v>2</v>
      </c>
      <c r="O328" t="s">
        <v>715</v>
      </c>
      <c r="P328" t="s">
        <v>1577</v>
      </c>
    </row>
    <row r="329" spans="1:16" x14ac:dyDescent="0.25">
      <c r="A329" s="4">
        <v>101533325800</v>
      </c>
      <c r="B329" s="4" t="str">
        <f t="shared" si="10"/>
        <v>101533325800OVR</v>
      </c>
      <c r="C329" t="s">
        <v>863</v>
      </c>
      <c r="D329" t="s">
        <v>202</v>
      </c>
      <c r="E329" s="11">
        <v>20411454</v>
      </c>
      <c r="F329" t="s">
        <v>1639</v>
      </c>
      <c r="G329" t="s">
        <v>49</v>
      </c>
      <c r="H329" t="s">
        <v>714</v>
      </c>
      <c r="I329" s="1">
        <v>44652</v>
      </c>
      <c r="J329" s="2">
        <v>1</v>
      </c>
      <c r="K329" s="2">
        <v>1</v>
      </c>
      <c r="M329" s="3">
        <v>1</v>
      </c>
      <c r="N329" s="2">
        <v>2</v>
      </c>
      <c r="O329" t="s">
        <v>715</v>
      </c>
      <c r="P329" t="s">
        <v>1577</v>
      </c>
    </row>
    <row r="330" spans="1:16" x14ac:dyDescent="0.25">
      <c r="A330" s="4">
        <v>101534378900</v>
      </c>
      <c r="B330" s="4" t="str">
        <f t="shared" si="10"/>
        <v>101534378900OVR</v>
      </c>
      <c r="C330" t="s">
        <v>864</v>
      </c>
      <c r="D330" t="s">
        <v>202</v>
      </c>
      <c r="E330" s="11">
        <v>20411454</v>
      </c>
      <c r="F330" t="s">
        <v>1639</v>
      </c>
      <c r="G330" t="s">
        <v>49</v>
      </c>
      <c r="H330" t="s">
        <v>714</v>
      </c>
      <c r="I330" s="1">
        <v>44652</v>
      </c>
      <c r="J330" s="2">
        <v>1</v>
      </c>
      <c r="K330" s="2">
        <v>1</v>
      </c>
      <c r="M330" s="3">
        <v>1</v>
      </c>
      <c r="N330" s="2">
        <v>2</v>
      </c>
      <c r="O330" t="s">
        <v>715</v>
      </c>
      <c r="P330" t="s">
        <v>1577</v>
      </c>
    </row>
    <row r="331" spans="1:16" x14ac:dyDescent="0.25">
      <c r="A331" s="4">
        <v>101535235200</v>
      </c>
      <c r="B331" s="4" t="str">
        <f t="shared" si="10"/>
        <v>101535235200OVR</v>
      </c>
      <c r="C331" t="s">
        <v>865</v>
      </c>
      <c r="D331" t="s">
        <v>202</v>
      </c>
      <c r="E331" s="11">
        <v>20411454</v>
      </c>
      <c r="F331" t="s">
        <v>1639</v>
      </c>
      <c r="G331" t="s">
        <v>49</v>
      </c>
      <c r="H331" t="s">
        <v>714</v>
      </c>
      <c r="I331" s="1">
        <v>44652</v>
      </c>
      <c r="J331" s="2">
        <v>1</v>
      </c>
      <c r="K331" s="2">
        <v>1</v>
      </c>
      <c r="M331" s="3">
        <v>1</v>
      </c>
      <c r="N331" s="2">
        <v>2</v>
      </c>
      <c r="O331" t="s">
        <v>715</v>
      </c>
      <c r="P331" t="s">
        <v>1577</v>
      </c>
    </row>
    <row r="332" spans="1:16" x14ac:dyDescent="0.25">
      <c r="A332" s="4">
        <v>101537242400</v>
      </c>
      <c r="B332" s="4" t="str">
        <f t="shared" si="10"/>
        <v>101537242400OVR</v>
      </c>
      <c r="C332" t="s">
        <v>866</v>
      </c>
      <c r="D332" t="s">
        <v>202</v>
      </c>
      <c r="E332" s="11">
        <v>20411454</v>
      </c>
      <c r="F332" t="s">
        <v>1639</v>
      </c>
      <c r="G332" t="s">
        <v>49</v>
      </c>
      <c r="H332" t="s">
        <v>714</v>
      </c>
      <c r="I332" s="1">
        <v>44743</v>
      </c>
      <c r="J332" s="2">
        <v>1</v>
      </c>
      <c r="K332" s="2">
        <v>1</v>
      </c>
      <c r="M332" s="3">
        <v>1</v>
      </c>
      <c r="N332" s="2">
        <v>2</v>
      </c>
      <c r="O332" t="s">
        <v>715</v>
      </c>
      <c r="P332" t="s">
        <v>1577</v>
      </c>
    </row>
    <row r="333" spans="1:16" x14ac:dyDescent="0.25">
      <c r="A333" s="4">
        <v>101545262100</v>
      </c>
      <c r="B333" s="4" t="str">
        <f t="shared" si="10"/>
        <v>101545262100OVR</v>
      </c>
      <c r="C333" t="s">
        <v>868</v>
      </c>
      <c r="D333" t="s">
        <v>202</v>
      </c>
      <c r="E333" s="11">
        <v>20411454</v>
      </c>
      <c r="F333" t="s">
        <v>1639</v>
      </c>
      <c r="G333" t="s">
        <v>49</v>
      </c>
      <c r="H333" t="s">
        <v>714</v>
      </c>
      <c r="I333" s="1">
        <v>44805</v>
      </c>
      <c r="J333" s="2">
        <v>1</v>
      </c>
      <c r="K333" s="2">
        <v>1</v>
      </c>
      <c r="M333" s="3">
        <v>1</v>
      </c>
      <c r="N333" s="2">
        <v>2</v>
      </c>
      <c r="O333" t="s">
        <v>715</v>
      </c>
      <c r="P333" t="s">
        <v>1577</v>
      </c>
    </row>
    <row r="334" spans="1:16" x14ac:dyDescent="0.25">
      <c r="A334" s="4">
        <v>101545532600</v>
      </c>
      <c r="B334" s="4" t="str">
        <f t="shared" si="10"/>
        <v>101545532600OVR</v>
      </c>
      <c r="C334" t="s">
        <v>869</v>
      </c>
      <c r="D334" t="s">
        <v>202</v>
      </c>
      <c r="E334" s="11">
        <v>20411454</v>
      </c>
      <c r="F334" t="s">
        <v>1639</v>
      </c>
      <c r="G334" t="s">
        <v>49</v>
      </c>
      <c r="H334" t="s">
        <v>714</v>
      </c>
      <c r="I334" s="1">
        <v>44743</v>
      </c>
      <c r="J334" s="2">
        <v>1</v>
      </c>
      <c r="K334" s="2">
        <v>1</v>
      </c>
      <c r="M334" s="3">
        <v>1</v>
      </c>
      <c r="N334" s="2">
        <v>2</v>
      </c>
      <c r="O334" t="s">
        <v>715</v>
      </c>
      <c r="P334" t="s">
        <v>1577</v>
      </c>
    </row>
    <row r="335" spans="1:16" x14ac:dyDescent="0.25">
      <c r="A335" s="4">
        <v>101546683100</v>
      </c>
      <c r="B335" s="4" t="str">
        <f t="shared" si="10"/>
        <v>101546683100OVR</v>
      </c>
      <c r="C335" t="s">
        <v>870</v>
      </c>
      <c r="D335" t="s">
        <v>202</v>
      </c>
      <c r="E335" s="11">
        <v>20411454</v>
      </c>
      <c r="F335" t="s">
        <v>1639</v>
      </c>
      <c r="G335" t="s">
        <v>49</v>
      </c>
      <c r="H335" t="s">
        <v>714</v>
      </c>
      <c r="I335" s="1">
        <v>44774</v>
      </c>
      <c r="J335" s="2">
        <v>1</v>
      </c>
      <c r="K335" s="2">
        <v>1</v>
      </c>
      <c r="M335" s="3">
        <v>1</v>
      </c>
      <c r="N335" s="2">
        <v>2</v>
      </c>
      <c r="O335" t="s">
        <v>715</v>
      </c>
      <c r="P335" t="s">
        <v>1577</v>
      </c>
    </row>
    <row r="336" spans="1:16" x14ac:dyDescent="0.25">
      <c r="A336" s="4">
        <v>101547081000</v>
      </c>
      <c r="B336" s="4" t="str">
        <f t="shared" si="10"/>
        <v>101547081000OVR</v>
      </c>
      <c r="C336" t="s">
        <v>871</v>
      </c>
      <c r="D336" t="s">
        <v>202</v>
      </c>
      <c r="E336" s="11">
        <v>20411454</v>
      </c>
      <c r="F336" t="s">
        <v>1639</v>
      </c>
      <c r="G336" t="s">
        <v>49</v>
      </c>
      <c r="H336" t="s">
        <v>714</v>
      </c>
      <c r="I336" s="1">
        <v>44805</v>
      </c>
      <c r="J336" s="2">
        <v>1</v>
      </c>
      <c r="K336" s="2">
        <v>1</v>
      </c>
      <c r="M336" s="3">
        <v>1</v>
      </c>
      <c r="N336" s="2">
        <v>2</v>
      </c>
      <c r="O336" t="s">
        <v>715</v>
      </c>
      <c r="P336" t="s">
        <v>1577</v>
      </c>
    </row>
    <row r="337" spans="1:16" x14ac:dyDescent="0.25">
      <c r="A337" s="4">
        <v>101548751600</v>
      </c>
      <c r="B337" s="4" t="str">
        <f t="shared" si="10"/>
        <v>101548751600OVR</v>
      </c>
      <c r="C337" t="s">
        <v>872</v>
      </c>
      <c r="D337" t="s">
        <v>202</v>
      </c>
      <c r="E337" s="11">
        <v>20411454</v>
      </c>
      <c r="F337" t="s">
        <v>1639</v>
      </c>
      <c r="G337" t="s">
        <v>49</v>
      </c>
      <c r="H337" t="s">
        <v>714</v>
      </c>
      <c r="I337" s="1">
        <v>44743</v>
      </c>
      <c r="J337" s="2">
        <v>1</v>
      </c>
      <c r="K337" s="2">
        <v>1</v>
      </c>
      <c r="M337" s="3">
        <v>1</v>
      </c>
      <c r="N337" s="2">
        <v>2</v>
      </c>
      <c r="O337" t="s">
        <v>715</v>
      </c>
      <c r="P337" t="s">
        <v>1577</v>
      </c>
    </row>
    <row r="338" spans="1:16" x14ac:dyDescent="0.25">
      <c r="A338" s="4">
        <v>101548955100</v>
      </c>
      <c r="B338" s="4" t="str">
        <f t="shared" si="10"/>
        <v>101548955100OVR</v>
      </c>
      <c r="C338" t="s">
        <v>873</v>
      </c>
      <c r="D338" t="s">
        <v>202</v>
      </c>
      <c r="E338" s="11">
        <v>20411454</v>
      </c>
      <c r="F338" t="s">
        <v>1639</v>
      </c>
      <c r="G338" t="s">
        <v>49</v>
      </c>
      <c r="H338" t="s">
        <v>714</v>
      </c>
      <c r="I338" s="1">
        <v>44805</v>
      </c>
      <c r="J338" s="2">
        <v>1</v>
      </c>
      <c r="K338" s="2">
        <v>1</v>
      </c>
      <c r="M338" s="3">
        <v>1</v>
      </c>
      <c r="N338" s="2">
        <v>2</v>
      </c>
      <c r="O338" t="s">
        <v>715</v>
      </c>
      <c r="P338" t="s">
        <v>1577</v>
      </c>
    </row>
    <row r="339" spans="1:16" x14ac:dyDescent="0.25">
      <c r="A339" s="4">
        <v>101549408600</v>
      </c>
      <c r="B339" s="4" t="str">
        <f t="shared" si="10"/>
        <v>101549408600OVR</v>
      </c>
      <c r="C339" t="s">
        <v>874</v>
      </c>
      <c r="D339" t="s">
        <v>202</v>
      </c>
      <c r="E339" s="11">
        <v>20411454</v>
      </c>
      <c r="F339" t="s">
        <v>1639</v>
      </c>
      <c r="G339" t="s">
        <v>49</v>
      </c>
      <c r="H339" t="s">
        <v>714</v>
      </c>
      <c r="I339" s="1">
        <v>44805</v>
      </c>
      <c r="J339" s="2">
        <v>1</v>
      </c>
      <c r="K339" s="2">
        <v>1</v>
      </c>
      <c r="M339" s="3">
        <v>1</v>
      </c>
      <c r="N339" s="2">
        <v>2</v>
      </c>
      <c r="O339" t="s">
        <v>715</v>
      </c>
      <c r="P339" t="s">
        <v>1577</v>
      </c>
    </row>
    <row r="340" spans="1:16" x14ac:dyDescent="0.25">
      <c r="A340" s="4">
        <v>101549506900</v>
      </c>
      <c r="B340" s="4" t="str">
        <f t="shared" si="10"/>
        <v>101549506900OVR</v>
      </c>
      <c r="C340" t="s">
        <v>875</v>
      </c>
      <c r="D340" t="s">
        <v>202</v>
      </c>
      <c r="E340" s="11">
        <v>20411454</v>
      </c>
      <c r="F340" t="s">
        <v>1639</v>
      </c>
      <c r="G340" t="s">
        <v>49</v>
      </c>
      <c r="H340" t="s">
        <v>714</v>
      </c>
      <c r="I340" s="1">
        <v>44805</v>
      </c>
      <c r="J340" s="2">
        <v>1</v>
      </c>
      <c r="K340" s="2">
        <v>1</v>
      </c>
      <c r="M340" s="3">
        <v>1</v>
      </c>
      <c r="N340" s="2">
        <v>2</v>
      </c>
      <c r="O340" t="s">
        <v>715</v>
      </c>
      <c r="P340" t="s">
        <v>1577</v>
      </c>
    </row>
    <row r="341" spans="1:16" x14ac:dyDescent="0.25">
      <c r="A341" s="4">
        <v>101550164600</v>
      </c>
      <c r="B341" s="4" t="str">
        <f t="shared" si="10"/>
        <v>101550164600OVR</v>
      </c>
      <c r="C341" t="s">
        <v>876</v>
      </c>
      <c r="D341" t="s">
        <v>202</v>
      </c>
      <c r="E341" s="11">
        <v>20411454</v>
      </c>
      <c r="F341" t="s">
        <v>1639</v>
      </c>
      <c r="G341" t="s">
        <v>49</v>
      </c>
      <c r="H341" t="s">
        <v>714</v>
      </c>
      <c r="I341" s="1">
        <v>44835</v>
      </c>
      <c r="J341" s="2">
        <v>1</v>
      </c>
      <c r="K341" s="2">
        <v>1</v>
      </c>
      <c r="M341" s="3">
        <v>1</v>
      </c>
      <c r="N341" s="2">
        <v>2</v>
      </c>
      <c r="O341" t="s">
        <v>715</v>
      </c>
      <c r="P341" t="s">
        <v>1577</v>
      </c>
    </row>
    <row r="342" spans="1:16" x14ac:dyDescent="0.25">
      <c r="A342" s="4">
        <v>101550521000</v>
      </c>
      <c r="B342" s="4" t="str">
        <f t="shared" si="10"/>
        <v>101550521000OVR</v>
      </c>
      <c r="C342" t="s">
        <v>877</v>
      </c>
      <c r="D342" t="s">
        <v>202</v>
      </c>
      <c r="E342" s="11">
        <v>20411454</v>
      </c>
      <c r="F342" t="s">
        <v>1639</v>
      </c>
      <c r="G342" t="s">
        <v>49</v>
      </c>
      <c r="H342" t="s">
        <v>714</v>
      </c>
      <c r="I342" s="1">
        <v>44774</v>
      </c>
      <c r="J342" s="2">
        <v>1</v>
      </c>
      <c r="K342" s="2">
        <v>1</v>
      </c>
      <c r="M342" s="3">
        <v>1</v>
      </c>
      <c r="N342" s="2">
        <v>2</v>
      </c>
      <c r="O342" t="s">
        <v>715</v>
      </c>
      <c r="P342" t="s">
        <v>1577</v>
      </c>
    </row>
    <row r="343" spans="1:16" x14ac:dyDescent="0.25">
      <c r="A343" s="4">
        <v>101550554800</v>
      </c>
      <c r="B343" s="4" t="str">
        <f t="shared" si="10"/>
        <v>101550554800OVR</v>
      </c>
      <c r="C343" t="s">
        <v>878</v>
      </c>
      <c r="D343" t="s">
        <v>202</v>
      </c>
      <c r="E343" s="11">
        <v>20411454</v>
      </c>
      <c r="F343" t="s">
        <v>1639</v>
      </c>
      <c r="G343" t="s">
        <v>49</v>
      </c>
      <c r="H343" t="s">
        <v>714</v>
      </c>
      <c r="I343" s="1">
        <v>44774</v>
      </c>
      <c r="J343" s="2">
        <v>1</v>
      </c>
      <c r="K343" s="2">
        <v>1</v>
      </c>
      <c r="M343" s="3">
        <v>1</v>
      </c>
      <c r="N343" s="2">
        <v>2</v>
      </c>
      <c r="O343" t="s">
        <v>715</v>
      </c>
      <c r="P343" t="s">
        <v>1577</v>
      </c>
    </row>
    <row r="344" spans="1:16" x14ac:dyDescent="0.25">
      <c r="A344" s="4">
        <v>101551336000</v>
      </c>
      <c r="B344" s="4" t="str">
        <f t="shared" si="10"/>
        <v>101551336000OVR</v>
      </c>
      <c r="C344" t="s">
        <v>879</v>
      </c>
      <c r="D344" t="s">
        <v>202</v>
      </c>
      <c r="E344" s="11">
        <v>20411454</v>
      </c>
      <c r="F344" t="s">
        <v>1639</v>
      </c>
      <c r="G344" t="s">
        <v>49</v>
      </c>
      <c r="H344" t="s">
        <v>714</v>
      </c>
      <c r="I344" s="1">
        <v>44835</v>
      </c>
      <c r="J344" s="2">
        <v>1</v>
      </c>
      <c r="K344" s="2">
        <v>1</v>
      </c>
      <c r="M344" s="3">
        <v>1</v>
      </c>
      <c r="N344" s="2">
        <v>2</v>
      </c>
      <c r="O344" t="s">
        <v>715</v>
      </c>
      <c r="P344" t="s">
        <v>1577</v>
      </c>
    </row>
    <row r="345" spans="1:16" x14ac:dyDescent="0.25">
      <c r="A345" s="4">
        <v>101554033600</v>
      </c>
      <c r="B345" s="4" t="str">
        <f t="shared" si="10"/>
        <v>101554033600OVR</v>
      </c>
      <c r="C345" t="s">
        <v>880</v>
      </c>
      <c r="D345" t="s">
        <v>202</v>
      </c>
      <c r="E345" s="11">
        <v>20411454</v>
      </c>
      <c r="F345" t="s">
        <v>1639</v>
      </c>
      <c r="G345" t="s">
        <v>49</v>
      </c>
      <c r="H345" t="s">
        <v>714</v>
      </c>
      <c r="I345" s="1">
        <v>44866</v>
      </c>
      <c r="J345" s="2">
        <v>1</v>
      </c>
      <c r="K345" s="2">
        <v>1</v>
      </c>
      <c r="M345" s="3">
        <v>1</v>
      </c>
      <c r="N345" s="2">
        <v>2</v>
      </c>
      <c r="O345" t="s">
        <v>715</v>
      </c>
      <c r="P345" t="s">
        <v>1577</v>
      </c>
    </row>
    <row r="346" spans="1:16" x14ac:dyDescent="0.25">
      <c r="A346" s="4">
        <v>101554327200</v>
      </c>
      <c r="B346" s="4" t="str">
        <f t="shared" si="10"/>
        <v>101554327200OVR</v>
      </c>
      <c r="C346" t="s">
        <v>881</v>
      </c>
      <c r="D346" t="s">
        <v>202</v>
      </c>
      <c r="E346" s="11">
        <v>20411454</v>
      </c>
      <c r="F346" t="s">
        <v>1639</v>
      </c>
      <c r="G346" t="s">
        <v>49</v>
      </c>
      <c r="H346" t="s">
        <v>714</v>
      </c>
      <c r="I346" s="1">
        <v>44866</v>
      </c>
      <c r="J346" s="2">
        <v>1</v>
      </c>
      <c r="K346" s="2">
        <v>1</v>
      </c>
      <c r="M346" s="3">
        <v>1</v>
      </c>
      <c r="N346" s="2">
        <v>2</v>
      </c>
      <c r="O346" t="s">
        <v>715</v>
      </c>
      <c r="P346" t="s">
        <v>1577</v>
      </c>
    </row>
    <row r="347" spans="1:16" x14ac:dyDescent="0.25">
      <c r="A347" s="4">
        <v>101554359200</v>
      </c>
      <c r="B347" s="4" t="str">
        <f t="shared" si="10"/>
        <v>101554359200OVR</v>
      </c>
      <c r="C347" t="s">
        <v>882</v>
      </c>
      <c r="D347" t="s">
        <v>202</v>
      </c>
      <c r="E347" s="11">
        <v>20411454</v>
      </c>
      <c r="F347" t="s">
        <v>1639</v>
      </c>
      <c r="G347" t="s">
        <v>49</v>
      </c>
      <c r="H347" t="s">
        <v>714</v>
      </c>
      <c r="I347" s="1">
        <v>45658</v>
      </c>
      <c r="J347" s="2">
        <v>1</v>
      </c>
      <c r="K347" s="2">
        <v>1</v>
      </c>
      <c r="M347" s="3">
        <v>1</v>
      </c>
      <c r="N347" s="2">
        <v>2</v>
      </c>
      <c r="O347" t="s">
        <v>715</v>
      </c>
      <c r="P347" t="s">
        <v>1577</v>
      </c>
    </row>
    <row r="348" spans="1:16" x14ac:dyDescent="0.25">
      <c r="A348" s="4">
        <v>101555784700</v>
      </c>
      <c r="B348" s="4" t="str">
        <f t="shared" si="10"/>
        <v>101555784700OVR</v>
      </c>
      <c r="C348" t="s">
        <v>883</v>
      </c>
      <c r="D348" t="s">
        <v>202</v>
      </c>
      <c r="E348" s="11">
        <v>20411454</v>
      </c>
      <c r="F348" t="s">
        <v>1639</v>
      </c>
      <c r="G348" t="s">
        <v>49</v>
      </c>
      <c r="H348" t="s">
        <v>714</v>
      </c>
      <c r="I348" s="1">
        <v>44866</v>
      </c>
      <c r="J348" s="2">
        <v>1</v>
      </c>
      <c r="K348" s="2">
        <v>1</v>
      </c>
      <c r="M348" s="3">
        <v>1</v>
      </c>
      <c r="N348" s="2">
        <v>2</v>
      </c>
      <c r="O348" t="s">
        <v>715</v>
      </c>
      <c r="P348" t="s">
        <v>1577</v>
      </c>
    </row>
    <row r="349" spans="1:16" x14ac:dyDescent="0.25">
      <c r="A349" s="4">
        <v>101558094400</v>
      </c>
      <c r="B349" s="4" t="str">
        <f t="shared" si="10"/>
        <v>101558094400OVR</v>
      </c>
      <c r="C349" t="s">
        <v>884</v>
      </c>
      <c r="D349" t="s">
        <v>202</v>
      </c>
      <c r="E349" s="11">
        <v>20411454</v>
      </c>
      <c r="F349" t="s">
        <v>1639</v>
      </c>
      <c r="G349" t="s">
        <v>49</v>
      </c>
      <c r="H349" t="s">
        <v>714</v>
      </c>
      <c r="I349" s="1">
        <v>44835</v>
      </c>
      <c r="J349" s="2">
        <v>1</v>
      </c>
      <c r="K349" s="2">
        <v>1</v>
      </c>
      <c r="M349" s="3">
        <v>1</v>
      </c>
      <c r="N349" s="2">
        <v>2</v>
      </c>
      <c r="O349" t="s">
        <v>715</v>
      </c>
      <c r="P349" t="s">
        <v>1577</v>
      </c>
    </row>
    <row r="350" spans="1:16" x14ac:dyDescent="0.25">
      <c r="A350" s="4">
        <v>101558299900</v>
      </c>
      <c r="B350" s="4" t="str">
        <f t="shared" si="10"/>
        <v>101558299900OVR</v>
      </c>
      <c r="C350" t="s">
        <v>885</v>
      </c>
      <c r="D350" t="s">
        <v>202</v>
      </c>
      <c r="E350" s="11">
        <v>20411454</v>
      </c>
      <c r="F350" t="s">
        <v>1639</v>
      </c>
      <c r="G350" t="s">
        <v>49</v>
      </c>
      <c r="H350" t="s">
        <v>714</v>
      </c>
      <c r="I350" s="1">
        <v>44835</v>
      </c>
      <c r="J350" s="2">
        <v>1</v>
      </c>
      <c r="K350" s="2">
        <v>1</v>
      </c>
      <c r="M350" s="3">
        <v>1</v>
      </c>
      <c r="N350" s="2">
        <v>2</v>
      </c>
      <c r="O350" t="s">
        <v>715</v>
      </c>
      <c r="P350" t="s">
        <v>1577</v>
      </c>
    </row>
    <row r="351" spans="1:16" x14ac:dyDescent="0.25">
      <c r="A351" s="4">
        <v>101559233900</v>
      </c>
      <c r="B351" s="4" t="str">
        <f t="shared" ref="B351:B414" si="11">CONCATENATE(A351,"OVR")</f>
        <v>101559233900OVR</v>
      </c>
      <c r="C351" t="s">
        <v>886</v>
      </c>
      <c r="D351" t="s">
        <v>202</v>
      </c>
      <c r="E351" s="11">
        <v>20411454</v>
      </c>
      <c r="F351" t="s">
        <v>1639</v>
      </c>
      <c r="G351" t="s">
        <v>49</v>
      </c>
      <c r="H351" t="s">
        <v>714</v>
      </c>
      <c r="I351" s="1">
        <v>44896</v>
      </c>
      <c r="J351" s="2">
        <v>1</v>
      </c>
      <c r="K351" s="2">
        <v>1</v>
      </c>
      <c r="M351" s="3">
        <v>1</v>
      </c>
      <c r="N351" s="2">
        <v>2</v>
      </c>
      <c r="O351" t="s">
        <v>715</v>
      </c>
      <c r="P351" t="s">
        <v>1577</v>
      </c>
    </row>
    <row r="352" spans="1:16" x14ac:dyDescent="0.25">
      <c r="A352" s="4">
        <v>101559848400</v>
      </c>
      <c r="B352" s="4" t="str">
        <f t="shared" si="11"/>
        <v>101559848400OVR</v>
      </c>
      <c r="C352" t="s">
        <v>887</v>
      </c>
      <c r="D352" t="s">
        <v>202</v>
      </c>
      <c r="E352" s="11">
        <v>20411454</v>
      </c>
      <c r="F352" t="s">
        <v>1639</v>
      </c>
      <c r="G352" t="s">
        <v>49</v>
      </c>
      <c r="H352" t="s">
        <v>714</v>
      </c>
      <c r="I352" s="1">
        <v>44835</v>
      </c>
      <c r="J352" s="2">
        <v>1</v>
      </c>
      <c r="K352" s="2">
        <v>1</v>
      </c>
      <c r="M352" s="3">
        <v>1</v>
      </c>
      <c r="N352" s="2">
        <v>2</v>
      </c>
      <c r="O352" t="s">
        <v>715</v>
      </c>
      <c r="P352" t="s">
        <v>1577</v>
      </c>
    </row>
    <row r="353" spans="1:16" x14ac:dyDescent="0.25">
      <c r="A353" s="4">
        <v>101559849800</v>
      </c>
      <c r="B353" s="4" t="str">
        <f t="shared" si="11"/>
        <v>101559849800OVR</v>
      </c>
      <c r="C353" t="s">
        <v>888</v>
      </c>
      <c r="D353" t="s">
        <v>202</v>
      </c>
      <c r="E353" s="11">
        <v>20411454</v>
      </c>
      <c r="F353" t="s">
        <v>1639</v>
      </c>
      <c r="G353" t="s">
        <v>49</v>
      </c>
      <c r="H353" t="s">
        <v>714</v>
      </c>
      <c r="I353" s="1">
        <v>44835</v>
      </c>
      <c r="J353" s="2">
        <v>1</v>
      </c>
      <c r="K353" s="2">
        <v>1</v>
      </c>
      <c r="M353" s="3">
        <v>1</v>
      </c>
      <c r="N353" s="2">
        <v>2</v>
      </c>
      <c r="O353" t="s">
        <v>715</v>
      </c>
      <c r="P353" t="s">
        <v>1577</v>
      </c>
    </row>
    <row r="354" spans="1:16" x14ac:dyDescent="0.25">
      <c r="A354" s="4">
        <v>101562440600</v>
      </c>
      <c r="B354" s="4" t="str">
        <f t="shared" si="11"/>
        <v>101562440600OVR</v>
      </c>
      <c r="C354" t="s">
        <v>889</v>
      </c>
      <c r="D354" t="s">
        <v>202</v>
      </c>
      <c r="E354" s="11">
        <v>20411454</v>
      </c>
      <c r="F354" t="s">
        <v>1639</v>
      </c>
      <c r="G354" t="s">
        <v>49</v>
      </c>
      <c r="H354" t="s">
        <v>714</v>
      </c>
      <c r="I354" s="1">
        <v>44927</v>
      </c>
      <c r="J354" s="2">
        <v>1</v>
      </c>
      <c r="K354" s="2">
        <v>1</v>
      </c>
      <c r="M354" s="3">
        <v>1</v>
      </c>
      <c r="N354" s="2">
        <v>2</v>
      </c>
      <c r="O354" t="s">
        <v>715</v>
      </c>
      <c r="P354" t="s">
        <v>1577</v>
      </c>
    </row>
    <row r="355" spans="1:16" x14ac:dyDescent="0.25">
      <c r="A355" s="4">
        <v>101562443500</v>
      </c>
      <c r="B355" s="4" t="str">
        <f t="shared" si="11"/>
        <v>101562443500OVR</v>
      </c>
      <c r="C355" t="s">
        <v>890</v>
      </c>
      <c r="D355" t="s">
        <v>202</v>
      </c>
      <c r="E355" s="11">
        <v>20411454</v>
      </c>
      <c r="F355" t="s">
        <v>1639</v>
      </c>
      <c r="G355" t="s">
        <v>49</v>
      </c>
      <c r="H355" t="s">
        <v>714</v>
      </c>
      <c r="I355" s="1">
        <v>45017</v>
      </c>
      <c r="J355" s="2">
        <v>1</v>
      </c>
      <c r="K355" s="2">
        <v>1</v>
      </c>
      <c r="M355" s="3">
        <v>1</v>
      </c>
      <c r="N355" s="2">
        <v>2</v>
      </c>
      <c r="O355" t="s">
        <v>715</v>
      </c>
      <c r="P355" t="s">
        <v>1577</v>
      </c>
    </row>
    <row r="356" spans="1:16" x14ac:dyDescent="0.25">
      <c r="A356" s="4">
        <v>101562671800</v>
      </c>
      <c r="B356" s="4" t="str">
        <f t="shared" si="11"/>
        <v>101562671800OVR</v>
      </c>
      <c r="C356" t="s">
        <v>891</v>
      </c>
      <c r="D356" t="s">
        <v>202</v>
      </c>
      <c r="E356" s="11">
        <v>20411454</v>
      </c>
      <c r="F356" t="s">
        <v>1639</v>
      </c>
      <c r="G356" t="s">
        <v>49</v>
      </c>
      <c r="H356" t="s">
        <v>714</v>
      </c>
      <c r="I356" s="1">
        <v>44927</v>
      </c>
      <c r="J356" s="2">
        <v>1</v>
      </c>
      <c r="K356" s="2">
        <v>1</v>
      </c>
      <c r="M356" s="3">
        <v>1</v>
      </c>
      <c r="N356" s="2">
        <v>2</v>
      </c>
      <c r="O356" t="s">
        <v>715</v>
      </c>
      <c r="P356" t="s">
        <v>1577</v>
      </c>
    </row>
    <row r="357" spans="1:16" x14ac:dyDescent="0.25">
      <c r="A357" s="4">
        <v>101564021500</v>
      </c>
      <c r="B357" s="4" t="str">
        <f t="shared" si="11"/>
        <v>101564021500OVR</v>
      </c>
      <c r="C357" t="s">
        <v>892</v>
      </c>
      <c r="D357" t="s">
        <v>202</v>
      </c>
      <c r="E357" s="11">
        <v>20411454</v>
      </c>
      <c r="F357" t="s">
        <v>1639</v>
      </c>
      <c r="G357" t="s">
        <v>49</v>
      </c>
      <c r="H357" t="s">
        <v>714</v>
      </c>
      <c r="I357" s="1">
        <v>44927</v>
      </c>
      <c r="J357" s="2">
        <v>1</v>
      </c>
      <c r="K357" s="2">
        <v>1</v>
      </c>
      <c r="M357" s="3">
        <v>1</v>
      </c>
      <c r="N357" s="2">
        <v>2</v>
      </c>
      <c r="O357" t="s">
        <v>715</v>
      </c>
      <c r="P357" t="s">
        <v>1577</v>
      </c>
    </row>
    <row r="358" spans="1:16" x14ac:dyDescent="0.25">
      <c r="A358" s="4">
        <v>101564541800</v>
      </c>
      <c r="B358" s="4" t="str">
        <f t="shared" si="11"/>
        <v>101564541800OVR</v>
      </c>
      <c r="C358" t="s">
        <v>893</v>
      </c>
      <c r="D358" t="s">
        <v>202</v>
      </c>
      <c r="E358" s="11">
        <v>20411454</v>
      </c>
      <c r="F358" t="s">
        <v>1639</v>
      </c>
      <c r="G358" t="s">
        <v>49</v>
      </c>
      <c r="H358" t="s">
        <v>714</v>
      </c>
      <c r="I358" s="1">
        <v>44927</v>
      </c>
      <c r="J358" s="2">
        <v>1</v>
      </c>
      <c r="K358" s="2">
        <v>1</v>
      </c>
      <c r="M358" s="3">
        <v>1</v>
      </c>
      <c r="N358" s="2">
        <v>2</v>
      </c>
      <c r="O358" t="s">
        <v>715</v>
      </c>
      <c r="P358" t="s">
        <v>1577</v>
      </c>
    </row>
    <row r="359" spans="1:16" x14ac:dyDescent="0.25">
      <c r="A359" s="4">
        <v>101564908700</v>
      </c>
      <c r="B359" s="4" t="str">
        <f t="shared" si="11"/>
        <v>101564908700OVR</v>
      </c>
      <c r="C359" t="s">
        <v>894</v>
      </c>
      <c r="D359" t="s">
        <v>202</v>
      </c>
      <c r="E359" s="11">
        <v>20411454</v>
      </c>
      <c r="F359" t="s">
        <v>1639</v>
      </c>
      <c r="G359" t="s">
        <v>49</v>
      </c>
      <c r="H359" t="s">
        <v>714</v>
      </c>
      <c r="I359" s="1">
        <v>44927</v>
      </c>
      <c r="J359" s="2">
        <v>1</v>
      </c>
      <c r="K359" s="2">
        <v>1</v>
      </c>
      <c r="M359" s="3">
        <v>1</v>
      </c>
      <c r="N359" s="2">
        <v>2</v>
      </c>
      <c r="O359" t="s">
        <v>715</v>
      </c>
      <c r="P359" t="s">
        <v>1577</v>
      </c>
    </row>
    <row r="360" spans="1:16" x14ac:dyDescent="0.25">
      <c r="A360" s="4">
        <v>101565188200</v>
      </c>
      <c r="B360" s="4" t="str">
        <f t="shared" si="11"/>
        <v>101565188200OVR</v>
      </c>
      <c r="C360" t="s">
        <v>895</v>
      </c>
      <c r="D360" t="s">
        <v>202</v>
      </c>
      <c r="E360" s="11">
        <v>20411454</v>
      </c>
      <c r="F360" t="s">
        <v>1639</v>
      </c>
      <c r="G360" t="s">
        <v>49</v>
      </c>
      <c r="H360" t="s">
        <v>714</v>
      </c>
      <c r="I360" s="1">
        <v>44927</v>
      </c>
      <c r="J360" s="2">
        <v>1</v>
      </c>
      <c r="K360" s="2">
        <v>1</v>
      </c>
      <c r="M360" s="3">
        <v>1</v>
      </c>
      <c r="N360" s="2">
        <v>2</v>
      </c>
      <c r="O360" t="s">
        <v>715</v>
      </c>
      <c r="P360" t="s">
        <v>1577</v>
      </c>
    </row>
    <row r="361" spans="1:16" x14ac:dyDescent="0.25">
      <c r="A361" s="4">
        <v>101565291100</v>
      </c>
      <c r="B361" s="4" t="str">
        <f t="shared" si="11"/>
        <v>101565291100OVR</v>
      </c>
      <c r="C361" t="s">
        <v>896</v>
      </c>
      <c r="D361" t="s">
        <v>202</v>
      </c>
      <c r="E361" s="11">
        <v>20411454</v>
      </c>
      <c r="F361" t="s">
        <v>1639</v>
      </c>
      <c r="G361" t="s">
        <v>49</v>
      </c>
      <c r="H361" t="s">
        <v>714</v>
      </c>
      <c r="I361" s="1">
        <v>44927</v>
      </c>
      <c r="J361" s="2">
        <v>1</v>
      </c>
      <c r="K361" s="2">
        <v>1</v>
      </c>
      <c r="M361" s="3">
        <v>1</v>
      </c>
      <c r="N361" s="2">
        <v>2</v>
      </c>
      <c r="O361" t="s">
        <v>715</v>
      </c>
      <c r="P361" t="s">
        <v>1577</v>
      </c>
    </row>
    <row r="362" spans="1:16" x14ac:dyDescent="0.25">
      <c r="A362" s="4">
        <v>101565317500</v>
      </c>
      <c r="B362" s="4" t="str">
        <f t="shared" si="11"/>
        <v>101565317500OVR</v>
      </c>
      <c r="C362" t="s">
        <v>897</v>
      </c>
      <c r="D362" t="s">
        <v>202</v>
      </c>
      <c r="E362" s="11">
        <v>20411454</v>
      </c>
      <c r="F362" t="s">
        <v>1639</v>
      </c>
      <c r="G362" t="s">
        <v>49</v>
      </c>
      <c r="H362" t="s">
        <v>714</v>
      </c>
      <c r="I362" s="1">
        <v>44927</v>
      </c>
      <c r="J362" s="2">
        <v>1</v>
      </c>
      <c r="K362" s="2">
        <v>1</v>
      </c>
      <c r="M362" s="3">
        <v>1</v>
      </c>
      <c r="N362" s="2">
        <v>2</v>
      </c>
      <c r="O362" t="s">
        <v>715</v>
      </c>
      <c r="P362" t="s">
        <v>1577</v>
      </c>
    </row>
    <row r="363" spans="1:16" x14ac:dyDescent="0.25">
      <c r="A363" s="4">
        <v>101565368600</v>
      </c>
      <c r="B363" s="4" t="str">
        <f t="shared" si="11"/>
        <v>101565368600OVR</v>
      </c>
      <c r="C363" t="s">
        <v>898</v>
      </c>
      <c r="D363" t="s">
        <v>202</v>
      </c>
      <c r="E363" s="11">
        <v>20411454</v>
      </c>
      <c r="F363" t="s">
        <v>1639</v>
      </c>
      <c r="G363" t="s">
        <v>49</v>
      </c>
      <c r="H363" t="s">
        <v>714</v>
      </c>
      <c r="I363" s="1">
        <v>44927</v>
      </c>
      <c r="J363" s="2">
        <v>1</v>
      </c>
      <c r="K363" s="2">
        <v>1</v>
      </c>
      <c r="M363" s="3">
        <v>1</v>
      </c>
      <c r="N363" s="2">
        <v>2</v>
      </c>
      <c r="O363" t="s">
        <v>715</v>
      </c>
      <c r="P363" t="s">
        <v>1577</v>
      </c>
    </row>
    <row r="364" spans="1:16" x14ac:dyDescent="0.25">
      <c r="A364" s="4">
        <v>101565683600</v>
      </c>
      <c r="B364" s="4" t="str">
        <f t="shared" si="11"/>
        <v>101565683600OVR</v>
      </c>
      <c r="C364" t="s">
        <v>899</v>
      </c>
      <c r="D364" t="s">
        <v>202</v>
      </c>
      <c r="E364" s="11">
        <v>20411454</v>
      </c>
      <c r="F364" t="s">
        <v>1639</v>
      </c>
      <c r="G364" t="s">
        <v>49</v>
      </c>
      <c r="H364" t="s">
        <v>714</v>
      </c>
      <c r="I364" s="1">
        <v>45658</v>
      </c>
      <c r="J364" s="2">
        <v>1</v>
      </c>
      <c r="K364" s="2">
        <v>1</v>
      </c>
      <c r="M364" s="3">
        <v>1</v>
      </c>
      <c r="N364" s="2">
        <v>2</v>
      </c>
      <c r="O364" t="s">
        <v>715</v>
      </c>
      <c r="P364" t="s">
        <v>1577</v>
      </c>
    </row>
    <row r="365" spans="1:16" x14ac:dyDescent="0.25">
      <c r="A365" s="4">
        <v>101566325300</v>
      </c>
      <c r="B365" s="4" t="str">
        <f t="shared" si="11"/>
        <v>101566325300OVR</v>
      </c>
      <c r="C365" t="s">
        <v>900</v>
      </c>
      <c r="D365" t="s">
        <v>202</v>
      </c>
      <c r="E365" s="11">
        <v>20411454</v>
      </c>
      <c r="F365" t="s">
        <v>1639</v>
      </c>
      <c r="G365" t="s">
        <v>49</v>
      </c>
      <c r="H365" t="s">
        <v>714</v>
      </c>
      <c r="I365" s="1">
        <v>44927</v>
      </c>
      <c r="J365" s="2">
        <v>1</v>
      </c>
      <c r="K365" s="2">
        <v>1</v>
      </c>
      <c r="M365" s="3">
        <v>1</v>
      </c>
      <c r="N365" s="2">
        <v>2</v>
      </c>
      <c r="O365" t="s">
        <v>715</v>
      </c>
      <c r="P365" t="s">
        <v>1577</v>
      </c>
    </row>
    <row r="366" spans="1:16" x14ac:dyDescent="0.25">
      <c r="A366" s="4">
        <v>101568867100</v>
      </c>
      <c r="B366" s="4" t="str">
        <f t="shared" si="11"/>
        <v>101568867100OVR</v>
      </c>
      <c r="C366" t="s">
        <v>901</v>
      </c>
      <c r="D366" t="s">
        <v>202</v>
      </c>
      <c r="E366" s="11">
        <v>20411454</v>
      </c>
      <c r="F366" t="s">
        <v>1639</v>
      </c>
      <c r="G366" t="s">
        <v>49</v>
      </c>
      <c r="H366" t="s">
        <v>714</v>
      </c>
      <c r="I366" s="1">
        <v>44927</v>
      </c>
      <c r="J366" s="2">
        <v>1</v>
      </c>
      <c r="K366" s="2">
        <v>1</v>
      </c>
      <c r="M366" s="3">
        <v>1</v>
      </c>
      <c r="N366" s="2">
        <v>2</v>
      </c>
      <c r="O366" t="s">
        <v>715</v>
      </c>
      <c r="P366" t="s">
        <v>1577</v>
      </c>
    </row>
    <row r="367" spans="1:16" x14ac:dyDescent="0.25">
      <c r="A367" s="4">
        <v>101581399800</v>
      </c>
      <c r="B367" s="4" t="str">
        <f t="shared" si="11"/>
        <v>101581399800OVR</v>
      </c>
      <c r="C367" t="s">
        <v>902</v>
      </c>
      <c r="D367" t="s">
        <v>202</v>
      </c>
      <c r="E367" s="11">
        <v>20411454</v>
      </c>
      <c r="F367" t="s">
        <v>1639</v>
      </c>
      <c r="G367" t="s">
        <v>49</v>
      </c>
      <c r="H367" t="s">
        <v>714</v>
      </c>
      <c r="I367" s="1">
        <v>44927</v>
      </c>
      <c r="J367" s="2">
        <v>1</v>
      </c>
      <c r="K367" s="2">
        <v>1</v>
      </c>
      <c r="M367" s="3">
        <v>1</v>
      </c>
      <c r="N367" s="2">
        <v>2</v>
      </c>
      <c r="O367" t="s">
        <v>715</v>
      </c>
      <c r="P367" t="s">
        <v>1577</v>
      </c>
    </row>
    <row r="368" spans="1:16" x14ac:dyDescent="0.25">
      <c r="A368" s="4">
        <v>101583947600</v>
      </c>
      <c r="B368" s="4" t="str">
        <f t="shared" si="11"/>
        <v>101583947600OVR</v>
      </c>
      <c r="C368" t="s">
        <v>903</v>
      </c>
      <c r="D368" t="s">
        <v>202</v>
      </c>
      <c r="E368" s="11">
        <v>20411454</v>
      </c>
      <c r="F368" t="s">
        <v>1639</v>
      </c>
      <c r="G368" t="s">
        <v>49</v>
      </c>
      <c r="H368" t="s">
        <v>714</v>
      </c>
      <c r="I368" s="1">
        <v>44958</v>
      </c>
      <c r="J368" s="2">
        <v>1</v>
      </c>
      <c r="K368" s="2">
        <v>1</v>
      </c>
      <c r="M368" s="3">
        <v>1</v>
      </c>
      <c r="N368" s="2">
        <v>2</v>
      </c>
      <c r="O368" t="s">
        <v>715</v>
      </c>
      <c r="P368" t="s">
        <v>1577</v>
      </c>
    </row>
    <row r="369" spans="1:16" x14ac:dyDescent="0.25">
      <c r="A369" s="4">
        <v>101585746700</v>
      </c>
      <c r="B369" s="4" t="str">
        <f t="shared" si="11"/>
        <v>101585746700OVR</v>
      </c>
      <c r="C369" t="s">
        <v>904</v>
      </c>
      <c r="D369" t="s">
        <v>202</v>
      </c>
      <c r="E369" s="11">
        <v>20411454</v>
      </c>
      <c r="F369" t="s">
        <v>1639</v>
      </c>
      <c r="G369" t="s">
        <v>49</v>
      </c>
      <c r="H369" t="s">
        <v>714</v>
      </c>
      <c r="I369" s="1">
        <v>44927</v>
      </c>
      <c r="J369" s="2">
        <v>1</v>
      </c>
      <c r="K369" s="2">
        <v>1</v>
      </c>
      <c r="M369" s="3">
        <v>1</v>
      </c>
      <c r="N369" s="2">
        <v>2</v>
      </c>
      <c r="O369" t="s">
        <v>715</v>
      </c>
      <c r="P369" t="s">
        <v>1577</v>
      </c>
    </row>
    <row r="370" spans="1:16" x14ac:dyDescent="0.25">
      <c r="A370" s="4">
        <v>101585747400</v>
      </c>
      <c r="B370" s="4" t="str">
        <f t="shared" si="11"/>
        <v>101585747400OVR</v>
      </c>
      <c r="C370" t="s">
        <v>905</v>
      </c>
      <c r="D370" t="s">
        <v>202</v>
      </c>
      <c r="E370" s="11">
        <v>20411454</v>
      </c>
      <c r="F370" t="s">
        <v>1639</v>
      </c>
      <c r="G370" t="s">
        <v>49</v>
      </c>
      <c r="H370" t="s">
        <v>714</v>
      </c>
      <c r="I370" s="1">
        <v>44927</v>
      </c>
      <c r="J370" s="2">
        <v>1</v>
      </c>
      <c r="K370" s="2">
        <v>1</v>
      </c>
      <c r="M370" s="3">
        <v>1</v>
      </c>
      <c r="N370" s="2">
        <v>2</v>
      </c>
      <c r="O370" t="s">
        <v>715</v>
      </c>
      <c r="P370" t="s">
        <v>1577</v>
      </c>
    </row>
    <row r="371" spans="1:16" x14ac:dyDescent="0.25">
      <c r="A371" s="4">
        <v>101585766600</v>
      </c>
      <c r="B371" s="4" t="str">
        <f t="shared" si="11"/>
        <v>101585766600OVR</v>
      </c>
      <c r="C371" t="s">
        <v>906</v>
      </c>
      <c r="D371" t="s">
        <v>202</v>
      </c>
      <c r="E371" s="11">
        <v>20411454</v>
      </c>
      <c r="F371" t="s">
        <v>1639</v>
      </c>
      <c r="G371" t="s">
        <v>49</v>
      </c>
      <c r="H371" t="s">
        <v>714</v>
      </c>
      <c r="I371" s="1">
        <v>44927</v>
      </c>
      <c r="J371" s="2">
        <v>1</v>
      </c>
      <c r="K371" s="2">
        <v>1</v>
      </c>
      <c r="M371" s="3">
        <v>1</v>
      </c>
      <c r="N371" s="2">
        <v>2</v>
      </c>
      <c r="O371" t="s">
        <v>715</v>
      </c>
      <c r="P371" t="s">
        <v>1577</v>
      </c>
    </row>
    <row r="372" spans="1:16" x14ac:dyDescent="0.25">
      <c r="A372" s="4">
        <v>101600159500</v>
      </c>
      <c r="B372" s="4" t="str">
        <f t="shared" si="11"/>
        <v>101600159500OVR</v>
      </c>
      <c r="C372" t="s">
        <v>907</v>
      </c>
      <c r="D372" t="s">
        <v>202</v>
      </c>
      <c r="E372" s="11">
        <v>20411454</v>
      </c>
      <c r="F372" t="s">
        <v>1639</v>
      </c>
      <c r="G372" t="s">
        <v>49</v>
      </c>
      <c r="H372" t="s">
        <v>714</v>
      </c>
      <c r="I372" s="1">
        <v>44927</v>
      </c>
      <c r="J372" s="2">
        <v>1</v>
      </c>
      <c r="K372" s="2">
        <v>1</v>
      </c>
      <c r="M372" s="3">
        <v>1</v>
      </c>
      <c r="N372" s="2">
        <v>2</v>
      </c>
      <c r="O372" t="s">
        <v>715</v>
      </c>
      <c r="P372" t="s">
        <v>1577</v>
      </c>
    </row>
    <row r="373" spans="1:16" x14ac:dyDescent="0.25">
      <c r="A373" s="4">
        <v>101603418900</v>
      </c>
      <c r="B373" s="4" t="str">
        <f t="shared" si="11"/>
        <v>101603418900OVR</v>
      </c>
      <c r="C373" t="s">
        <v>908</v>
      </c>
      <c r="D373" t="s">
        <v>202</v>
      </c>
      <c r="E373" s="11">
        <v>20411454</v>
      </c>
      <c r="F373" t="s">
        <v>1639</v>
      </c>
      <c r="G373" t="s">
        <v>49</v>
      </c>
      <c r="H373" t="s">
        <v>714</v>
      </c>
      <c r="I373" s="1">
        <v>44927</v>
      </c>
      <c r="J373" s="2">
        <v>1</v>
      </c>
      <c r="K373" s="2">
        <v>1</v>
      </c>
      <c r="M373" s="3">
        <v>1</v>
      </c>
      <c r="N373" s="2">
        <v>2</v>
      </c>
      <c r="O373" t="s">
        <v>715</v>
      </c>
      <c r="P373" t="s">
        <v>1577</v>
      </c>
    </row>
    <row r="374" spans="1:16" x14ac:dyDescent="0.25">
      <c r="A374" s="4">
        <v>101616349500</v>
      </c>
      <c r="B374" s="4" t="str">
        <f t="shared" si="11"/>
        <v>101616349500OVR</v>
      </c>
      <c r="C374" t="s">
        <v>909</v>
      </c>
      <c r="D374" t="s">
        <v>202</v>
      </c>
      <c r="E374" s="11">
        <v>20411454</v>
      </c>
      <c r="F374" t="s">
        <v>1639</v>
      </c>
      <c r="G374" t="s">
        <v>49</v>
      </c>
      <c r="H374" t="s">
        <v>714</v>
      </c>
      <c r="I374" s="1">
        <v>44927</v>
      </c>
      <c r="J374" s="2">
        <v>1</v>
      </c>
      <c r="K374" s="2">
        <v>1</v>
      </c>
      <c r="M374" s="3">
        <v>1</v>
      </c>
      <c r="N374" s="2">
        <v>2</v>
      </c>
      <c r="O374" t="s">
        <v>715</v>
      </c>
      <c r="P374" t="s">
        <v>1577</v>
      </c>
    </row>
    <row r="375" spans="1:16" x14ac:dyDescent="0.25">
      <c r="A375" s="4">
        <v>101617531200</v>
      </c>
      <c r="B375" s="4" t="str">
        <f t="shared" si="11"/>
        <v>101617531200OVR</v>
      </c>
      <c r="C375" t="s">
        <v>910</v>
      </c>
      <c r="D375" t="s">
        <v>202</v>
      </c>
      <c r="E375" s="11">
        <v>20411454</v>
      </c>
      <c r="F375" t="s">
        <v>1639</v>
      </c>
      <c r="G375" t="s">
        <v>49</v>
      </c>
      <c r="H375" t="s">
        <v>714</v>
      </c>
      <c r="I375" s="1">
        <v>44927</v>
      </c>
      <c r="J375" s="2">
        <v>1</v>
      </c>
      <c r="K375" s="2">
        <v>1</v>
      </c>
      <c r="M375" s="3">
        <v>1</v>
      </c>
      <c r="N375" s="2">
        <v>2</v>
      </c>
      <c r="O375" t="s">
        <v>715</v>
      </c>
      <c r="P375" t="s">
        <v>1577</v>
      </c>
    </row>
    <row r="376" spans="1:16" x14ac:dyDescent="0.25">
      <c r="A376" s="4">
        <v>101617582800</v>
      </c>
      <c r="B376" s="4" t="str">
        <f t="shared" si="11"/>
        <v>101617582800OVR</v>
      </c>
      <c r="C376" t="s">
        <v>911</v>
      </c>
      <c r="D376" t="s">
        <v>202</v>
      </c>
      <c r="E376" s="11">
        <v>20411454</v>
      </c>
      <c r="F376" t="s">
        <v>1639</v>
      </c>
      <c r="G376" t="s">
        <v>49</v>
      </c>
      <c r="H376" t="s">
        <v>714</v>
      </c>
      <c r="I376" s="1">
        <v>44927</v>
      </c>
      <c r="J376" s="2">
        <v>1</v>
      </c>
      <c r="K376" s="2">
        <v>1</v>
      </c>
      <c r="M376" s="3">
        <v>1</v>
      </c>
      <c r="N376" s="2">
        <v>2</v>
      </c>
      <c r="O376" t="s">
        <v>715</v>
      </c>
      <c r="P376" t="s">
        <v>1577</v>
      </c>
    </row>
    <row r="377" spans="1:16" x14ac:dyDescent="0.25">
      <c r="A377" s="4">
        <v>101619192600</v>
      </c>
      <c r="B377" s="4" t="str">
        <f t="shared" si="11"/>
        <v>101619192600OVR</v>
      </c>
      <c r="C377" t="s">
        <v>912</v>
      </c>
      <c r="D377" t="s">
        <v>202</v>
      </c>
      <c r="E377" s="11">
        <v>20411454</v>
      </c>
      <c r="F377" t="s">
        <v>1639</v>
      </c>
      <c r="G377" t="s">
        <v>49</v>
      </c>
      <c r="H377" t="s">
        <v>714</v>
      </c>
      <c r="I377" s="1">
        <v>44927</v>
      </c>
      <c r="J377" s="2">
        <v>1</v>
      </c>
      <c r="K377" s="2">
        <v>1</v>
      </c>
      <c r="M377" s="3">
        <v>1</v>
      </c>
      <c r="N377" s="2">
        <v>2</v>
      </c>
      <c r="O377" t="s">
        <v>715</v>
      </c>
      <c r="P377" t="s">
        <v>1577</v>
      </c>
    </row>
    <row r="378" spans="1:16" x14ac:dyDescent="0.25">
      <c r="A378" s="4">
        <v>101625894300</v>
      </c>
      <c r="B378" s="4" t="str">
        <f t="shared" si="11"/>
        <v>101625894300OVR</v>
      </c>
      <c r="C378" t="s">
        <v>913</v>
      </c>
      <c r="D378" t="s">
        <v>202</v>
      </c>
      <c r="E378" s="11">
        <v>20411454</v>
      </c>
      <c r="F378" t="s">
        <v>1639</v>
      </c>
      <c r="G378" t="s">
        <v>106</v>
      </c>
      <c r="H378" t="s">
        <v>714</v>
      </c>
      <c r="I378" s="1">
        <v>44927</v>
      </c>
      <c r="J378" s="2">
        <v>1</v>
      </c>
      <c r="K378" s="2">
        <v>1</v>
      </c>
      <c r="M378" s="3">
        <v>1</v>
      </c>
      <c r="N378" s="2">
        <v>2</v>
      </c>
      <c r="O378" t="s">
        <v>715</v>
      </c>
      <c r="P378" t="s">
        <v>1577</v>
      </c>
    </row>
    <row r="379" spans="1:16" x14ac:dyDescent="0.25">
      <c r="A379" s="4">
        <v>101626027800</v>
      </c>
      <c r="B379" s="4" t="str">
        <f t="shared" si="11"/>
        <v>101626027800OVR</v>
      </c>
      <c r="C379" t="s">
        <v>914</v>
      </c>
      <c r="D379" t="s">
        <v>202</v>
      </c>
      <c r="E379" s="11">
        <v>20411454</v>
      </c>
      <c r="F379" t="s">
        <v>1639</v>
      </c>
      <c r="G379" t="s">
        <v>49</v>
      </c>
      <c r="H379" t="s">
        <v>714</v>
      </c>
      <c r="I379" s="1">
        <v>44986</v>
      </c>
      <c r="J379" s="2">
        <v>1</v>
      </c>
      <c r="K379" s="2">
        <v>1</v>
      </c>
      <c r="M379" s="3">
        <v>1</v>
      </c>
      <c r="N379" s="2">
        <v>2</v>
      </c>
      <c r="O379" t="s">
        <v>715</v>
      </c>
      <c r="P379" t="s">
        <v>1577</v>
      </c>
    </row>
    <row r="380" spans="1:16" x14ac:dyDescent="0.25">
      <c r="A380" s="4">
        <v>101626129100</v>
      </c>
      <c r="B380" s="4" t="str">
        <f t="shared" si="11"/>
        <v>101626129100OVR</v>
      </c>
      <c r="C380" t="s">
        <v>915</v>
      </c>
      <c r="D380" t="s">
        <v>202</v>
      </c>
      <c r="E380" s="11">
        <v>20411454</v>
      </c>
      <c r="F380" t="s">
        <v>1639</v>
      </c>
      <c r="G380" t="s">
        <v>49</v>
      </c>
      <c r="H380" t="s">
        <v>714</v>
      </c>
      <c r="I380" s="1">
        <v>44927</v>
      </c>
      <c r="J380" s="2">
        <v>1</v>
      </c>
      <c r="K380" s="2">
        <v>1</v>
      </c>
      <c r="M380" s="3">
        <v>1</v>
      </c>
      <c r="N380" s="2">
        <v>2</v>
      </c>
      <c r="O380" t="s">
        <v>715</v>
      </c>
      <c r="P380" t="s">
        <v>1577</v>
      </c>
    </row>
    <row r="381" spans="1:16" x14ac:dyDescent="0.25">
      <c r="A381" s="4">
        <v>101626483300</v>
      </c>
      <c r="B381" s="4" t="str">
        <f t="shared" si="11"/>
        <v>101626483300OVR</v>
      </c>
      <c r="C381" t="s">
        <v>916</v>
      </c>
      <c r="D381" t="s">
        <v>202</v>
      </c>
      <c r="E381" s="11">
        <v>20411454</v>
      </c>
      <c r="F381" t="s">
        <v>1639</v>
      </c>
      <c r="G381" t="s">
        <v>49</v>
      </c>
      <c r="H381" t="s">
        <v>714</v>
      </c>
      <c r="I381" s="1">
        <v>44927</v>
      </c>
      <c r="J381" s="2">
        <v>1</v>
      </c>
      <c r="K381" s="2">
        <v>1</v>
      </c>
      <c r="M381" s="3">
        <v>1</v>
      </c>
      <c r="N381" s="2">
        <v>2</v>
      </c>
      <c r="O381" t="s">
        <v>715</v>
      </c>
      <c r="P381" t="s">
        <v>1577</v>
      </c>
    </row>
    <row r="382" spans="1:16" x14ac:dyDescent="0.25">
      <c r="A382" s="4">
        <v>101626512800</v>
      </c>
      <c r="B382" s="4" t="str">
        <f t="shared" si="11"/>
        <v>101626512800OVR</v>
      </c>
      <c r="C382" t="s">
        <v>917</v>
      </c>
      <c r="D382" t="s">
        <v>202</v>
      </c>
      <c r="E382" s="11">
        <v>20411454</v>
      </c>
      <c r="F382" t="s">
        <v>1639</v>
      </c>
      <c r="G382" t="s">
        <v>49</v>
      </c>
      <c r="H382" t="s">
        <v>714</v>
      </c>
      <c r="I382" s="1">
        <v>44927</v>
      </c>
      <c r="J382" s="2">
        <v>1</v>
      </c>
      <c r="K382" s="2">
        <v>1</v>
      </c>
      <c r="M382" s="3">
        <v>1</v>
      </c>
      <c r="N382" s="2">
        <v>2</v>
      </c>
      <c r="O382" t="s">
        <v>715</v>
      </c>
      <c r="P382" t="s">
        <v>1577</v>
      </c>
    </row>
    <row r="383" spans="1:16" x14ac:dyDescent="0.25">
      <c r="A383" s="4">
        <v>101628755300</v>
      </c>
      <c r="B383" s="4" t="str">
        <f t="shared" si="11"/>
        <v>101628755300OVR</v>
      </c>
      <c r="C383" t="s">
        <v>918</v>
      </c>
      <c r="D383" t="s">
        <v>202</v>
      </c>
      <c r="E383" s="11">
        <v>20411454</v>
      </c>
      <c r="F383" t="s">
        <v>1639</v>
      </c>
      <c r="G383" t="s">
        <v>49</v>
      </c>
      <c r="H383" t="s">
        <v>714</v>
      </c>
      <c r="I383" s="1">
        <v>44927</v>
      </c>
      <c r="J383" s="2">
        <v>1</v>
      </c>
      <c r="K383" s="2">
        <v>1</v>
      </c>
      <c r="M383" s="3">
        <v>1</v>
      </c>
      <c r="N383" s="2">
        <v>2</v>
      </c>
      <c r="O383" t="s">
        <v>715</v>
      </c>
      <c r="P383" t="s">
        <v>1577</v>
      </c>
    </row>
    <row r="384" spans="1:16" x14ac:dyDescent="0.25">
      <c r="A384" s="4">
        <v>101628951400</v>
      </c>
      <c r="B384" s="4" t="str">
        <f t="shared" si="11"/>
        <v>101628951400OVR</v>
      </c>
      <c r="C384" t="s">
        <v>919</v>
      </c>
      <c r="D384" t="s">
        <v>202</v>
      </c>
      <c r="E384" s="11">
        <v>20411454</v>
      </c>
      <c r="F384" t="s">
        <v>1639</v>
      </c>
      <c r="G384" t="s">
        <v>49</v>
      </c>
      <c r="H384" t="s">
        <v>714</v>
      </c>
      <c r="I384" s="1">
        <v>44927</v>
      </c>
      <c r="J384" s="2">
        <v>1</v>
      </c>
      <c r="K384" s="2">
        <v>1</v>
      </c>
      <c r="M384" s="3">
        <v>1</v>
      </c>
      <c r="N384" s="2">
        <v>2</v>
      </c>
      <c r="O384" t="s">
        <v>715</v>
      </c>
      <c r="P384" t="s">
        <v>1577</v>
      </c>
    </row>
    <row r="385" spans="1:16" x14ac:dyDescent="0.25">
      <c r="A385" s="4">
        <v>101645477500</v>
      </c>
      <c r="B385" s="4" t="str">
        <f t="shared" si="11"/>
        <v>101645477500OVR</v>
      </c>
      <c r="C385" t="s">
        <v>921</v>
      </c>
      <c r="D385" t="s">
        <v>202</v>
      </c>
      <c r="E385" s="11">
        <v>20411454</v>
      </c>
      <c r="F385" t="s">
        <v>1639</v>
      </c>
      <c r="G385" t="s">
        <v>49</v>
      </c>
      <c r="H385" t="s">
        <v>714</v>
      </c>
      <c r="I385" s="1">
        <v>44927</v>
      </c>
      <c r="J385" s="2">
        <v>1</v>
      </c>
      <c r="K385" s="2">
        <v>1</v>
      </c>
      <c r="M385" s="3">
        <v>1</v>
      </c>
      <c r="N385" s="2">
        <v>2</v>
      </c>
      <c r="O385" t="s">
        <v>715</v>
      </c>
      <c r="P385" t="s">
        <v>1577</v>
      </c>
    </row>
    <row r="386" spans="1:16" x14ac:dyDescent="0.25">
      <c r="A386" s="4">
        <v>101645612000</v>
      </c>
      <c r="B386" s="4" t="str">
        <f t="shared" si="11"/>
        <v>101645612000OVR</v>
      </c>
      <c r="C386" t="s">
        <v>923</v>
      </c>
      <c r="D386" t="s">
        <v>202</v>
      </c>
      <c r="E386" s="11">
        <v>20411454</v>
      </c>
      <c r="F386" t="s">
        <v>1639</v>
      </c>
      <c r="G386" t="s">
        <v>49</v>
      </c>
      <c r="H386" t="s">
        <v>714</v>
      </c>
      <c r="I386" s="1">
        <v>45658</v>
      </c>
      <c r="J386" s="2">
        <v>1</v>
      </c>
      <c r="K386" s="2">
        <v>1</v>
      </c>
      <c r="M386" s="3">
        <v>1</v>
      </c>
      <c r="N386" s="2">
        <v>2</v>
      </c>
      <c r="O386" t="s">
        <v>715</v>
      </c>
      <c r="P386" t="s">
        <v>1577</v>
      </c>
    </row>
    <row r="387" spans="1:16" x14ac:dyDescent="0.25">
      <c r="A387" s="4">
        <v>101654020400</v>
      </c>
      <c r="B387" s="4" t="str">
        <f t="shared" si="11"/>
        <v>101654020400OVR</v>
      </c>
      <c r="C387" t="s">
        <v>924</v>
      </c>
      <c r="D387" t="s">
        <v>202</v>
      </c>
      <c r="E387" s="11">
        <v>20411454</v>
      </c>
      <c r="F387" t="s">
        <v>1639</v>
      </c>
      <c r="G387" t="s">
        <v>106</v>
      </c>
      <c r="H387" t="s">
        <v>714</v>
      </c>
      <c r="I387" s="1">
        <v>44927</v>
      </c>
      <c r="J387" s="2">
        <v>1</v>
      </c>
      <c r="K387" s="2">
        <v>1</v>
      </c>
      <c r="M387" s="3">
        <v>1</v>
      </c>
      <c r="N387" s="2">
        <v>2</v>
      </c>
      <c r="O387" t="s">
        <v>715</v>
      </c>
      <c r="P387" t="s">
        <v>1577</v>
      </c>
    </row>
    <row r="388" spans="1:16" x14ac:dyDescent="0.25">
      <c r="A388" s="4">
        <v>101685445600</v>
      </c>
      <c r="B388" s="4" t="str">
        <f t="shared" si="11"/>
        <v>101685445600OVR</v>
      </c>
      <c r="C388" t="s">
        <v>925</v>
      </c>
      <c r="D388" t="s">
        <v>202</v>
      </c>
      <c r="E388" s="11">
        <v>20411454</v>
      </c>
      <c r="F388" t="s">
        <v>1639</v>
      </c>
      <c r="G388" t="s">
        <v>49</v>
      </c>
      <c r="H388" t="s">
        <v>714</v>
      </c>
      <c r="I388" s="1">
        <v>44958</v>
      </c>
      <c r="J388" s="2">
        <v>1</v>
      </c>
      <c r="K388" s="2">
        <v>1</v>
      </c>
      <c r="M388" s="3">
        <v>1</v>
      </c>
      <c r="N388" s="2">
        <v>2</v>
      </c>
      <c r="O388" t="s">
        <v>715</v>
      </c>
      <c r="P388" t="s">
        <v>1577</v>
      </c>
    </row>
    <row r="389" spans="1:16" x14ac:dyDescent="0.25">
      <c r="A389" s="4">
        <v>101685446200</v>
      </c>
      <c r="B389" s="4" t="str">
        <f t="shared" si="11"/>
        <v>101685446200OVR</v>
      </c>
      <c r="C389" t="s">
        <v>926</v>
      </c>
      <c r="D389" t="s">
        <v>202</v>
      </c>
      <c r="E389" s="11">
        <v>20411454</v>
      </c>
      <c r="F389" t="s">
        <v>1639</v>
      </c>
      <c r="G389" t="s">
        <v>49</v>
      </c>
      <c r="H389" t="s">
        <v>714</v>
      </c>
      <c r="I389" s="1">
        <v>44986</v>
      </c>
      <c r="J389" s="2">
        <v>1</v>
      </c>
      <c r="K389" s="2">
        <v>1</v>
      </c>
      <c r="M389" s="3">
        <v>1</v>
      </c>
      <c r="N389" s="2">
        <v>2</v>
      </c>
      <c r="O389" t="s">
        <v>715</v>
      </c>
      <c r="P389" t="s">
        <v>1577</v>
      </c>
    </row>
    <row r="390" spans="1:16" x14ac:dyDescent="0.25">
      <c r="A390" s="4">
        <v>101685455300</v>
      </c>
      <c r="B390" s="4" t="str">
        <f t="shared" si="11"/>
        <v>101685455300OVR</v>
      </c>
      <c r="C390" t="s">
        <v>927</v>
      </c>
      <c r="D390" t="s">
        <v>202</v>
      </c>
      <c r="E390" s="11">
        <v>20411454</v>
      </c>
      <c r="F390" t="s">
        <v>1639</v>
      </c>
      <c r="G390" t="s">
        <v>49</v>
      </c>
      <c r="H390" t="s">
        <v>714</v>
      </c>
      <c r="I390" s="1">
        <v>44958</v>
      </c>
      <c r="J390" s="2">
        <v>1</v>
      </c>
      <c r="K390" s="2">
        <v>1</v>
      </c>
      <c r="M390" s="3">
        <v>1</v>
      </c>
      <c r="N390" s="2">
        <v>2</v>
      </c>
      <c r="O390" t="s">
        <v>715</v>
      </c>
      <c r="P390" t="s">
        <v>1577</v>
      </c>
    </row>
    <row r="391" spans="1:16" x14ac:dyDescent="0.25">
      <c r="A391" s="4">
        <v>101686775500</v>
      </c>
      <c r="B391" s="4" t="str">
        <f t="shared" si="11"/>
        <v>101686775500OVR</v>
      </c>
      <c r="C391" t="s">
        <v>928</v>
      </c>
      <c r="D391" t="s">
        <v>202</v>
      </c>
      <c r="E391" s="11">
        <v>20411454</v>
      </c>
      <c r="F391" t="s">
        <v>1639</v>
      </c>
      <c r="G391" t="s">
        <v>49</v>
      </c>
      <c r="H391" t="s">
        <v>714</v>
      </c>
      <c r="I391" s="1">
        <v>44958</v>
      </c>
      <c r="J391" s="2">
        <v>1</v>
      </c>
      <c r="K391" s="2">
        <v>1</v>
      </c>
      <c r="M391" s="3">
        <v>1</v>
      </c>
      <c r="N391" s="2">
        <v>2</v>
      </c>
      <c r="O391" t="s">
        <v>715</v>
      </c>
      <c r="P391" t="s">
        <v>1577</v>
      </c>
    </row>
    <row r="392" spans="1:16" x14ac:dyDescent="0.25">
      <c r="A392" s="4">
        <v>101689246200</v>
      </c>
      <c r="B392" s="4" t="str">
        <f t="shared" si="11"/>
        <v>101689246200OVR</v>
      </c>
      <c r="C392" t="s">
        <v>929</v>
      </c>
      <c r="D392" t="s">
        <v>202</v>
      </c>
      <c r="E392" s="11">
        <v>20411454</v>
      </c>
      <c r="F392" t="s">
        <v>1639</v>
      </c>
      <c r="G392" t="s">
        <v>49</v>
      </c>
      <c r="H392" t="s">
        <v>714</v>
      </c>
      <c r="I392" s="1">
        <v>44958</v>
      </c>
      <c r="J392" s="2">
        <v>1</v>
      </c>
      <c r="K392" s="2">
        <v>1</v>
      </c>
      <c r="M392" s="3">
        <v>1</v>
      </c>
      <c r="N392" s="2">
        <v>2</v>
      </c>
      <c r="O392" t="s">
        <v>715</v>
      </c>
      <c r="P392" t="s">
        <v>1577</v>
      </c>
    </row>
    <row r="393" spans="1:16" x14ac:dyDescent="0.25">
      <c r="A393" s="4">
        <v>101689670100</v>
      </c>
      <c r="B393" s="4" t="str">
        <f t="shared" si="11"/>
        <v>101689670100OVR</v>
      </c>
      <c r="C393" t="s">
        <v>930</v>
      </c>
      <c r="D393" t="s">
        <v>202</v>
      </c>
      <c r="E393" s="11">
        <v>20411454</v>
      </c>
      <c r="F393" t="s">
        <v>1639</v>
      </c>
      <c r="G393" t="s">
        <v>49</v>
      </c>
      <c r="H393" t="s">
        <v>714</v>
      </c>
      <c r="I393" s="1">
        <v>44958</v>
      </c>
      <c r="J393" s="2">
        <v>1</v>
      </c>
      <c r="K393" s="2">
        <v>1</v>
      </c>
      <c r="M393" s="3">
        <v>1</v>
      </c>
      <c r="N393" s="2">
        <v>2</v>
      </c>
      <c r="O393" t="s">
        <v>715</v>
      </c>
      <c r="P393" t="s">
        <v>1577</v>
      </c>
    </row>
    <row r="394" spans="1:16" x14ac:dyDescent="0.25">
      <c r="A394" s="4">
        <v>101692296700</v>
      </c>
      <c r="B394" s="4" t="str">
        <f t="shared" si="11"/>
        <v>101692296700OVR</v>
      </c>
      <c r="C394" t="s">
        <v>931</v>
      </c>
      <c r="D394" t="s">
        <v>202</v>
      </c>
      <c r="E394" s="11">
        <v>20411454</v>
      </c>
      <c r="F394" t="s">
        <v>1639</v>
      </c>
      <c r="G394" t="s">
        <v>49</v>
      </c>
      <c r="H394" t="s">
        <v>714</v>
      </c>
      <c r="I394" s="1">
        <v>44958</v>
      </c>
      <c r="J394" s="2">
        <v>1</v>
      </c>
      <c r="K394" s="2">
        <v>1</v>
      </c>
      <c r="M394" s="3">
        <v>1</v>
      </c>
      <c r="N394" s="2">
        <v>2</v>
      </c>
      <c r="O394" t="s">
        <v>715</v>
      </c>
      <c r="P394" t="s">
        <v>1577</v>
      </c>
    </row>
    <row r="395" spans="1:16" x14ac:dyDescent="0.25">
      <c r="A395" s="4">
        <v>101693064700</v>
      </c>
      <c r="B395" s="4" t="str">
        <f t="shared" si="11"/>
        <v>101693064700OVR</v>
      </c>
      <c r="C395" t="s">
        <v>932</v>
      </c>
      <c r="D395" t="s">
        <v>202</v>
      </c>
      <c r="E395" s="11">
        <v>20411454</v>
      </c>
      <c r="F395" t="s">
        <v>1639</v>
      </c>
      <c r="G395" t="s">
        <v>49</v>
      </c>
      <c r="H395" t="s">
        <v>714</v>
      </c>
      <c r="I395" s="1">
        <v>44986</v>
      </c>
      <c r="J395" s="2">
        <v>1</v>
      </c>
      <c r="K395" s="2">
        <v>1</v>
      </c>
      <c r="M395" s="3">
        <v>1</v>
      </c>
      <c r="N395" s="2">
        <v>2</v>
      </c>
      <c r="O395" t="s">
        <v>715</v>
      </c>
      <c r="P395" t="s">
        <v>1577</v>
      </c>
    </row>
    <row r="396" spans="1:16" x14ac:dyDescent="0.25">
      <c r="A396" s="4">
        <v>101694605000</v>
      </c>
      <c r="B396" s="4" t="str">
        <f t="shared" si="11"/>
        <v>101694605000OVR</v>
      </c>
      <c r="C396" t="s">
        <v>933</v>
      </c>
      <c r="D396" t="s">
        <v>202</v>
      </c>
      <c r="E396" s="11">
        <v>20411454</v>
      </c>
      <c r="F396" t="s">
        <v>1639</v>
      </c>
      <c r="G396" t="s">
        <v>49</v>
      </c>
      <c r="H396" t="s">
        <v>714</v>
      </c>
      <c r="I396" s="1">
        <v>45047</v>
      </c>
      <c r="J396" s="2">
        <v>1</v>
      </c>
      <c r="K396" s="2">
        <v>1</v>
      </c>
      <c r="M396" s="3">
        <v>1</v>
      </c>
      <c r="N396" s="2">
        <v>2</v>
      </c>
      <c r="O396" t="s">
        <v>715</v>
      </c>
      <c r="P396" t="s">
        <v>1577</v>
      </c>
    </row>
    <row r="397" spans="1:16" x14ac:dyDescent="0.25">
      <c r="A397" s="4">
        <v>101696813600</v>
      </c>
      <c r="B397" s="4" t="str">
        <f t="shared" si="11"/>
        <v>101696813600OVR</v>
      </c>
      <c r="C397" t="s">
        <v>934</v>
      </c>
      <c r="D397" t="s">
        <v>202</v>
      </c>
      <c r="E397" s="11">
        <v>20411454</v>
      </c>
      <c r="F397" t="s">
        <v>1639</v>
      </c>
      <c r="G397" t="s">
        <v>49</v>
      </c>
      <c r="H397" t="s">
        <v>714</v>
      </c>
      <c r="I397" s="1">
        <v>44986</v>
      </c>
      <c r="J397" s="2">
        <v>1</v>
      </c>
      <c r="K397" s="2">
        <v>1</v>
      </c>
      <c r="M397" s="3">
        <v>1</v>
      </c>
      <c r="N397" s="2">
        <v>2</v>
      </c>
      <c r="O397" t="s">
        <v>715</v>
      </c>
      <c r="P397" t="s">
        <v>1577</v>
      </c>
    </row>
    <row r="398" spans="1:16" x14ac:dyDescent="0.25">
      <c r="A398" s="4">
        <v>101696815200</v>
      </c>
      <c r="B398" s="4" t="str">
        <f t="shared" si="11"/>
        <v>101696815200OVR</v>
      </c>
      <c r="C398" t="s">
        <v>935</v>
      </c>
      <c r="D398" t="s">
        <v>202</v>
      </c>
      <c r="E398" s="11">
        <v>20411454</v>
      </c>
      <c r="F398" t="s">
        <v>1639</v>
      </c>
      <c r="G398" t="s">
        <v>49</v>
      </c>
      <c r="H398" t="s">
        <v>714</v>
      </c>
      <c r="I398" s="1">
        <v>45658</v>
      </c>
      <c r="J398" s="2">
        <v>1</v>
      </c>
      <c r="K398" s="2">
        <v>1</v>
      </c>
      <c r="M398" s="3">
        <v>1</v>
      </c>
      <c r="N398" s="2">
        <v>2</v>
      </c>
      <c r="O398" t="s">
        <v>715</v>
      </c>
      <c r="P398" t="s">
        <v>1577</v>
      </c>
    </row>
    <row r="399" spans="1:16" x14ac:dyDescent="0.25">
      <c r="A399" s="4">
        <v>101697166100</v>
      </c>
      <c r="B399" s="4" t="str">
        <f t="shared" si="11"/>
        <v>101697166100OVR</v>
      </c>
      <c r="C399" t="s">
        <v>936</v>
      </c>
      <c r="D399" t="s">
        <v>202</v>
      </c>
      <c r="E399" s="11">
        <v>20411454</v>
      </c>
      <c r="F399" t="s">
        <v>1639</v>
      </c>
      <c r="G399" t="s">
        <v>49</v>
      </c>
      <c r="H399" t="s">
        <v>714</v>
      </c>
      <c r="I399" s="1">
        <v>44986</v>
      </c>
      <c r="J399" s="2">
        <v>1</v>
      </c>
      <c r="K399" s="2">
        <v>1</v>
      </c>
      <c r="M399" s="3">
        <v>1</v>
      </c>
      <c r="N399" s="2">
        <v>2</v>
      </c>
      <c r="O399" t="s">
        <v>715</v>
      </c>
      <c r="P399" t="s">
        <v>1577</v>
      </c>
    </row>
    <row r="400" spans="1:16" x14ac:dyDescent="0.25">
      <c r="A400" s="4">
        <v>101698190600</v>
      </c>
      <c r="B400" s="4" t="str">
        <f t="shared" si="11"/>
        <v>101698190600OVR</v>
      </c>
      <c r="C400" t="s">
        <v>937</v>
      </c>
      <c r="D400" t="s">
        <v>202</v>
      </c>
      <c r="E400" s="11">
        <v>20411454</v>
      </c>
      <c r="F400" t="s">
        <v>1639</v>
      </c>
      <c r="G400" t="s">
        <v>49</v>
      </c>
      <c r="H400" t="s">
        <v>714</v>
      </c>
      <c r="I400" s="1">
        <v>44986</v>
      </c>
      <c r="J400" s="2">
        <v>1</v>
      </c>
      <c r="K400" s="2">
        <v>1</v>
      </c>
      <c r="M400" s="3">
        <v>1</v>
      </c>
      <c r="N400" s="2">
        <v>2</v>
      </c>
      <c r="O400" t="s">
        <v>715</v>
      </c>
      <c r="P400" t="s">
        <v>1577</v>
      </c>
    </row>
    <row r="401" spans="1:16" x14ac:dyDescent="0.25">
      <c r="A401" s="4">
        <v>101699610400</v>
      </c>
      <c r="B401" s="4" t="str">
        <f t="shared" si="11"/>
        <v>101699610400OVR</v>
      </c>
      <c r="C401" t="s">
        <v>938</v>
      </c>
      <c r="D401" t="s">
        <v>202</v>
      </c>
      <c r="E401" s="11">
        <v>20411454</v>
      </c>
      <c r="F401" t="s">
        <v>1639</v>
      </c>
      <c r="G401" t="s">
        <v>49</v>
      </c>
      <c r="H401" t="s">
        <v>714</v>
      </c>
      <c r="I401" s="1">
        <v>44986</v>
      </c>
      <c r="J401" s="2">
        <v>1</v>
      </c>
      <c r="K401" s="2">
        <v>1</v>
      </c>
      <c r="M401" s="3">
        <v>1</v>
      </c>
      <c r="N401" s="2">
        <v>2</v>
      </c>
      <c r="O401" t="s">
        <v>715</v>
      </c>
      <c r="P401" t="s">
        <v>1577</v>
      </c>
    </row>
    <row r="402" spans="1:16" x14ac:dyDescent="0.25">
      <c r="A402" s="4">
        <v>101702068200</v>
      </c>
      <c r="B402" s="4" t="str">
        <f t="shared" si="11"/>
        <v>101702068200OVR</v>
      </c>
      <c r="C402" t="s">
        <v>939</v>
      </c>
      <c r="D402" t="s">
        <v>202</v>
      </c>
      <c r="E402" s="11">
        <v>20411454</v>
      </c>
      <c r="F402" t="s">
        <v>1639</v>
      </c>
      <c r="G402" t="s">
        <v>49</v>
      </c>
      <c r="H402" t="s">
        <v>714</v>
      </c>
      <c r="I402" s="1">
        <v>44986</v>
      </c>
      <c r="J402" s="2">
        <v>1</v>
      </c>
      <c r="K402" s="2">
        <v>1</v>
      </c>
      <c r="M402" s="3">
        <v>1</v>
      </c>
      <c r="N402" s="2">
        <v>2</v>
      </c>
      <c r="O402" t="s">
        <v>715</v>
      </c>
      <c r="P402" t="s">
        <v>1577</v>
      </c>
    </row>
    <row r="403" spans="1:16" x14ac:dyDescent="0.25">
      <c r="A403" s="4">
        <v>101705440500</v>
      </c>
      <c r="B403" s="4" t="str">
        <f t="shared" si="11"/>
        <v>101705440500OVR</v>
      </c>
      <c r="C403" t="s">
        <v>940</v>
      </c>
      <c r="D403" t="s">
        <v>202</v>
      </c>
      <c r="E403" s="11">
        <v>20411454</v>
      </c>
      <c r="F403" t="s">
        <v>1639</v>
      </c>
      <c r="G403" t="s">
        <v>49</v>
      </c>
      <c r="H403" t="s">
        <v>714</v>
      </c>
      <c r="I403" s="1">
        <v>45017</v>
      </c>
      <c r="J403" s="2">
        <v>1</v>
      </c>
      <c r="K403" s="2">
        <v>1</v>
      </c>
      <c r="M403" s="3">
        <v>1</v>
      </c>
      <c r="N403" s="2">
        <v>2</v>
      </c>
      <c r="O403" t="s">
        <v>715</v>
      </c>
      <c r="P403" t="s">
        <v>1577</v>
      </c>
    </row>
    <row r="404" spans="1:16" x14ac:dyDescent="0.25">
      <c r="A404" s="4">
        <v>101707075800</v>
      </c>
      <c r="B404" s="4" t="str">
        <f t="shared" si="11"/>
        <v>101707075800OVR</v>
      </c>
      <c r="C404" t="s">
        <v>941</v>
      </c>
      <c r="D404" t="s">
        <v>202</v>
      </c>
      <c r="E404" s="11">
        <v>20411454</v>
      </c>
      <c r="F404" t="s">
        <v>1639</v>
      </c>
      <c r="G404" t="s">
        <v>49</v>
      </c>
      <c r="H404" t="s">
        <v>714</v>
      </c>
      <c r="I404" s="1">
        <v>45047</v>
      </c>
      <c r="J404" s="2">
        <v>1</v>
      </c>
      <c r="K404" s="2">
        <v>1</v>
      </c>
      <c r="M404" s="3">
        <v>1</v>
      </c>
      <c r="N404" s="2">
        <v>2</v>
      </c>
      <c r="O404" t="s">
        <v>715</v>
      </c>
      <c r="P404" t="s">
        <v>1577</v>
      </c>
    </row>
    <row r="405" spans="1:16" x14ac:dyDescent="0.25">
      <c r="A405" s="4">
        <v>101707211600</v>
      </c>
      <c r="B405" s="4" t="str">
        <f t="shared" si="11"/>
        <v>101707211600OVR</v>
      </c>
      <c r="C405" t="s">
        <v>942</v>
      </c>
      <c r="D405" t="s">
        <v>202</v>
      </c>
      <c r="E405" s="11">
        <v>20411454</v>
      </c>
      <c r="F405" t="s">
        <v>1639</v>
      </c>
      <c r="G405" t="s">
        <v>49</v>
      </c>
      <c r="H405" t="s">
        <v>714</v>
      </c>
      <c r="I405" s="1">
        <v>45017</v>
      </c>
      <c r="J405" s="2">
        <v>1</v>
      </c>
      <c r="K405" s="2">
        <v>1</v>
      </c>
      <c r="M405" s="3">
        <v>1</v>
      </c>
      <c r="N405" s="2">
        <v>2</v>
      </c>
      <c r="O405" t="s">
        <v>715</v>
      </c>
      <c r="P405" t="s">
        <v>1577</v>
      </c>
    </row>
    <row r="406" spans="1:16" x14ac:dyDescent="0.25">
      <c r="A406" s="4">
        <v>101708065000</v>
      </c>
      <c r="B406" s="4" t="str">
        <f t="shared" si="11"/>
        <v>101708065000OVR</v>
      </c>
      <c r="C406" t="s">
        <v>943</v>
      </c>
      <c r="D406" t="s">
        <v>202</v>
      </c>
      <c r="E406" s="11">
        <v>20411454</v>
      </c>
      <c r="F406" t="s">
        <v>1639</v>
      </c>
      <c r="G406" t="s">
        <v>49</v>
      </c>
      <c r="H406" t="s">
        <v>714</v>
      </c>
      <c r="I406" s="1">
        <v>45078</v>
      </c>
      <c r="J406" s="2">
        <v>1</v>
      </c>
      <c r="K406" s="2">
        <v>1</v>
      </c>
      <c r="M406" s="3">
        <v>1</v>
      </c>
      <c r="N406" s="2">
        <v>2</v>
      </c>
      <c r="O406" t="s">
        <v>715</v>
      </c>
      <c r="P406" t="s">
        <v>1577</v>
      </c>
    </row>
    <row r="407" spans="1:16" x14ac:dyDescent="0.25">
      <c r="A407" s="4">
        <v>101708071100</v>
      </c>
      <c r="B407" s="4" t="str">
        <f t="shared" si="11"/>
        <v>101708071100OVR</v>
      </c>
      <c r="C407" t="s">
        <v>944</v>
      </c>
      <c r="D407" t="s">
        <v>202</v>
      </c>
      <c r="E407" s="11">
        <v>20411454</v>
      </c>
      <c r="F407" t="s">
        <v>1639</v>
      </c>
      <c r="G407" t="s">
        <v>49</v>
      </c>
      <c r="H407" t="s">
        <v>714</v>
      </c>
      <c r="I407" s="1">
        <v>45078</v>
      </c>
      <c r="J407" s="2">
        <v>1</v>
      </c>
      <c r="K407" s="2">
        <v>1</v>
      </c>
      <c r="M407" s="3">
        <v>1</v>
      </c>
      <c r="N407" s="2">
        <v>2</v>
      </c>
      <c r="O407" t="s">
        <v>715</v>
      </c>
      <c r="P407" t="s">
        <v>1577</v>
      </c>
    </row>
    <row r="408" spans="1:16" x14ac:dyDescent="0.25">
      <c r="A408" s="4">
        <v>101708503500</v>
      </c>
      <c r="B408" s="4" t="str">
        <f t="shared" si="11"/>
        <v>101708503500OVR</v>
      </c>
      <c r="C408" t="s">
        <v>945</v>
      </c>
      <c r="D408" t="s">
        <v>202</v>
      </c>
      <c r="E408" s="11">
        <v>20411454</v>
      </c>
      <c r="F408" t="s">
        <v>1639</v>
      </c>
      <c r="G408" t="s">
        <v>49</v>
      </c>
      <c r="H408" t="s">
        <v>714</v>
      </c>
      <c r="I408" s="1">
        <v>45017</v>
      </c>
      <c r="J408" s="2">
        <v>1</v>
      </c>
      <c r="K408" s="2">
        <v>1</v>
      </c>
      <c r="M408" s="3">
        <v>1</v>
      </c>
      <c r="N408" s="2">
        <v>2</v>
      </c>
      <c r="O408" t="s">
        <v>715</v>
      </c>
      <c r="P408" t="s">
        <v>1577</v>
      </c>
    </row>
    <row r="409" spans="1:16" x14ac:dyDescent="0.25">
      <c r="A409" s="4">
        <v>101709439700</v>
      </c>
      <c r="B409" s="4" t="str">
        <f t="shared" si="11"/>
        <v>101709439700OVR</v>
      </c>
      <c r="C409" t="s">
        <v>946</v>
      </c>
      <c r="D409" t="s">
        <v>202</v>
      </c>
      <c r="E409" s="11">
        <v>20411454</v>
      </c>
      <c r="F409" t="s">
        <v>1639</v>
      </c>
      <c r="G409" t="s">
        <v>49</v>
      </c>
      <c r="H409" t="s">
        <v>714</v>
      </c>
      <c r="I409" s="1">
        <v>45017</v>
      </c>
      <c r="J409" s="2">
        <v>1</v>
      </c>
      <c r="K409" s="2">
        <v>1</v>
      </c>
      <c r="M409" s="3">
        <v>1</v>
      </c>
      <c r="N409" s="2">
        <v>2</v>
      </c>
      <c r="O409" t="s">
        <v>715</v>
      </c>
      <c r="P409" t="s">
        <v>1577</v>
      </c>
    </row>
    <row r="410" spans="1:16" x14ac:dyDescent="0.25">
      <c r="A410" s="4">
        <v>101720743300</v>
      </c>
      <c r="B410" s="4" t="str">
        <f t="shared" si="11"/>
        <v>101720743300OVR</v>
      </c>
      <c r="C410" t="s">
        <v>947</v>
      </c>
      <c r="D410" t="s">
        <v>202</v>
      </c>
      <c r="E410" s="11">
        <v>20411454</v>
      </c>
      <c r="F410" t="s">
        <v>1639</v>
      </c>
      <c r="G410" t="s">
        <v>49</v>
      </c>
      <c r="H410" t="s">
        <v>714</v>
      </c>
      <c r="I410" s="1">
        <v>45047</v>
      </c>
      <c r="J410" s="2">
        <v>1</v>
      </c>
      <c r="K410" s="2">
        <v>1</v>
      </c>
      <c r="M410" s="3">
        <v>1</v>
      </c>
      <c r="N410" s="2">
        <v>2</v>
      </c>
      <c r="O410" t="s">
        <v>715</v>
      </c>
      <c r="P410" t="s">
        <v>1577</v>
      </c>
    </row>
    <row r="411" spans="1:16" x14ac:dyDescent="0.25">
      <c r="A411" s="4">
        <v>101785684000</v>
      </c>
      <c r="B411" s="4" t="str">
        <f t="shared" si="11"/>
        <v>101785684000OVR</v>
      </c>
      <c r="C411" t="s">
        <v>948</v>
      </c>
      <c r="D411" t="s">
        <v>500</v>
      </c>
      <c r="E411" s="11">
        <v>20411454</v>
      </c>
      <c r="F411" t="s">
        <v>1639</v>
      </c>
      <c r="G411" t="s">
        <v>49</v>
      </c>
      <c r="H411" t="s">
        <v>714</v>
      </c>
      <c r="I411" s="1">
        <v>45292</v>
      </c>
      <c r="J411" s="2">
        <v>1</v>
      </c>
      <c r="K411" s="2">
        <v>1</v>
      </c>
      <c r="M411" s="3">
        <v>1</v>
      </c>
      <c r="N411" s="2">
        <v>2</v>
      </c>
      <c r="O411" t="s">
        <v>715</v>
      </c>
      <c r="P411" t="s">
        <v>1577</v>
      </c>
    </row>
    <row r="412" spans="1:16" x14ac:dyDescent="0.25">
      <c r="A412" s="4">
        <v>101857276600</v>
      </c>
      <c r="B412" s="4" t="str">
        <f t="shared" si="11"/>
        <v>101857276600OVR</v>
      </c>
      <c r="C412" t="s">
        <v>949</v>
      </c>
      <c r="D412" t="s">
        <v>84</v>
      </c>
      <c r="E412" s="11">
        <v>20411454</v>
      </c>
      <c r="F412" t="s">
        <v>1639</v>
      </c>
      <c r="G412" t="s">
        <v>49</v>
      </c>
      <c r="H412" t="s">
        <v>714</v>
      </c>
      <c r="I412" s="1">
        <v>45292</v>
      </c>
      <c r="J412" s="2">
        <v>1</v>
      </c>
      <c r="K412" s="2">
        <v>1</v>
      </c>
      <c r="M412" s="3">
        <v>1</v>
      </c>
      <c r="N412" s="2">
        <v>2</v>
      </c>
      <c r="O412" t="s">
        <v>715</v>
      </c>
      <c r="P412" t="s">
        <v>1577</v>
      </c>
    </row>
    <row r="413" spans="1:16" x14ac:dyDescent="0.25">
      <c r="A413" s="4">
        <v>101857371800</v>
      </c>
      <c r="B413" s="4" t="str">
        <f t="shared" si="11"/>
        <v>101857371800OVR</v>
      </c>
      <c r="C413" t="s">
        <v>950</v>
      </c>
      <c r="D413" t="s">
        <v>429</v>
      </c>
      <c r="E413" s="11">
        <v>20411454</v>
      </c>
      <c r="F413" t="s">
        <v>1639</v>
      </c>
      <c r="G413" t="s">
        <v>49</v>
      </c>
      <c r="H413" t="s">
        <v>714</v>
      </c>
      <c r="I413" s="1">
        <v>45292</v>
      </c>
      <c r="J413" s="2">
        <v>1</v>
      </c>
      <c r="K413" s="2">
        <v>1</v>
      </c>
      <c r="M413" s="3">
        <v>1</v>
      </c>
      <c r="N413" s="2">
        <v>2</v>
      </c>
      <c r="O413" t="s">
        <v>715</v>
      </c>
      <c r="P413" t="s">
        <v>1577</v>
      </c>
    </row>
    <row r="414" spans="1:16" x14ac:dyDescent="0.25">
      <c r="A414" s="4">
        <v>101953198300</v>
      </c>
      <c r="B414" s="4" t="str">
        <f t="shared" si="11"/>
        <v>101953198300OVR</v>
      </c>
      <c r="C414" t="s">
        <v>952</v>
      </c>
      <c r="D414" t="s">
        <v>202</v>
      </c>
      <c r="E414" s="11">
        <v>20411454</v>
      </c>
      <c r="F414" t="s">
        <v>1639</v>
      </c>
      <c r="G414" t="s">
        <v>49</v>
      </c>
      <c r="H414" t="s">
        <v>714</v>
      </c>
      <c r="I414" s="1">
        <v>45627</v>
      </c>
      <c r="J414" s="2">
        <v>1</v>
      </c>
      <c r="K414" s="2">
        <v>1</v>
      </c>
      <c r="M414" s="3">
        <v>1</v>
      </c>
      <c r="N414" s="2">
        <v>2</v>
      </c>
      <c r="O414" t="s">
        <v>715</v>
      </c>
      <c r="P414" t="s">
        <v>1577</v>
      </c>
    </row>
    <row r="415" spans="1:16" x14ac:dyDescent="0.25">
      <c r="A415" s="4">
        <v>102006468500</v>
      </c>
      <c r="B415" s="4" t="str">
        <f t="shared" ref="B415:B478" si="12">CONCATENATE(A415,"OVR")</f>
        <v>102006468500OVR</v>
      </c>
      <c r="C415" t="s">
        <v>954</v>
      </c>
      <c r="D415" t="s">
        <v>287</v>
      </c>
      <c r="E415" s="11">
        <v>20411454</v>
      </c>
      <c r="F415" t="s">
        <v>1639</v>
      </c>
      <c r="G415" t="s">
        <v>49</v>
      </c>
      <c r="H415" t="s">
        <v>714</v>
      </c>
      <c r="I415" s="1">
        <v>45444</v>
      </c>
      <c r="J415" s="2">
        <v>1</v>
      </c>
      <c r="K415" s="2">
        <v>1</v>
      </c>
      <c r="M415" s="3">
        <v>1</v>
      </c>
      <c r="N415" s="2">
        <v>2</v>
      </c>
      <c r="O415" t="s">
        <v>715</v>
      </c>
      <c r="P415" t="s">
        <v>1577</v>
      </c>
    </row>
    <row r="416" spans="1:16" x14ac:dyDescent="0.25">
      <c r="A416" s="4">
        <v>102006527900</v>
      </c>
      <c r="B416" s="4" t="str">
        <f t="shared" si="12"/>
        <v>102006527900OVR</v>
      </c>
      <c r="C416" t="s">
        <v>955</v>
      </c>
      <c r="D416" t="s">
        <v>287</v>
      </c>
      <c r="E416" s="11">
        <v>20411454</v>
      </c>
      <c r="F416" t="s">
        <v>1639</v>
      </c>
      <c r="G416" t="s">
        <v>49</v>
      </c>
      <c r="H416" t="s">
        <v>714</v>
      </c>
      <c r="I416" s="1">
        <v>45444</v>
      </c>
      <c r="J416" s="2">
        <v>1</v>
      </c>
      <c r="K416" s="2">
        <v>1</v>
      </c>
      <c r="M416" s="3">
        <v>1</v>
      </c>
      <c r="N416" s="2">
        <v>2</v>
      </c>
      <c r="O416" t="s">
        <v>715</v>
      </c>
      <c r="P416" t="s">
        <v>1577</v>
      </c>
    </row>
    <row r="417" spans="1:16" x14ac:dyDescent="0.25">
      <c r="A417" s="4">
        <v>102007511900</v>
      </c>
      <c r="B417" s="4" t="str">
        <f t="shared" si="12"/>
        <v>102007511900OVR</v>
      </c>
      <c r="C417" t="s">
        <v>956</v>
      </c>
      <c r="D417" t="s">
        <v>110</v>
      </c>
      <c r="E417" s="11">
        <v>20411454</v>
      </c>
      <c r="F417" t="s">
        <v>1639</v>
      </c>
      <c r="G417" t="s">
        <v>49</v>
      </c>
      <c r="H417" t="s">
        <v>714</v>
      </c>
      <c r="I417" s="1">
        <v>45505</v>
      </c>
      <c r="J417" s="2">
        <v>1</v>
      </c>
      <c r="K417" s="2">
        <v>1</v>
      </c>
      <c r="M417" s="3">
        <v>1</v>
      </c>
      <c r="N417" s="2">
        <v>2</v>
      </c>
      <c r="O417" t="s">
        <v>715</v>
      </c>
      <c r="P417" t="s">
        <v>1577</v>
      </c>
    </row>
    <row r="418" spans="1:16" x14ac:dyDescent="0.25">
      <c r="A418" s="4">
        <v>102008188300</v>
      </c>
      <c r="B418" s="4" t="str">
        <f t="shared" si="12"/>
        <v>102008188300OVR</v>
      </c>
      <c r="C418" t="s">
        <v>957</v>
      </c>
      <c r="D418" t="s">
        <v>74</v>
      </c>
      <c r="E418" s="11">
        <v>20411454</v>
      </c>
      <c r="F418" t="s">
        <v>1639</v>
      </c>
      <c r="G418" t="s">
        <v>49</v>
      </c>
      <c r="H418" t="s">
        <v>714</v>
      </c>
      <c r="I418" s="1">
        <v>45444</v>
      </c>
      <c r="J418" s="2">
        <v>1</v>
      </c>
      <c r="K418" s="2">
        <v>1</v>
      </c>
      <c r="M418" s="3">
        <v>1</v>
      </c>
      <c r="N418" s="2">
        <v>2</v>
      </c>
      <c r="O418" t="s">
        <v>715</v>
      </c>
      <c r="P418" t="s">
        <v>1577</v>
      </c>
    </row>
    <row r="419" spans="1:16" x14ac:dyDescent="0.25">
      <c r="A419" s="4">
        <v>102009524100</v>
      </c>
      <c r="B419" s="4" t="str">
        <f t="shared" si="12"/>
        <v>102009524100OVR</v>
      </c>
      <c r="C419" t="s">
        <v>958</v>
      </c>
      <c r="D419" t="s">
        <v>202</v>
      </c>
      <c r="E419" s="11">
        <v>20411454</v>
      </c>
      <c r="F419" t="s">
        <v>1639</v>
      </c>
      <c r="G419" t="s">
        <v>49</v>
      </c>
      <c r="H419" t="s">
        <v>714</v>
      </c>
      <c r="I419" s="1">
        <v>45444</v>
      </c>
      <c r="J419" s="2">
        <v>1</v>
      </c>
      <c r="K419" s="2">
        <v>1</v>
      </c>
      <c r="M419" s="3">
        <v>1</v>
      </c>
      <c r="N419" s="2">
        <v>2</v>
      </c>
      <c r="O419" t="s">
        <v>715</v>
      </c>
      <c r="P419" t="s">
        <v>1577</v>
      </c>
    </row>
    <row r="420" spans="1:16" x14ac:dyDescent="0.25">
      <c r="A420" s="4">
        <v>102009546700</v>
      </c>
      <c r="B420" s="4" t="str">
        <f t="shared" si="12"/>
        <v>102009546700OVR</v>
      </c>
      <c r="C420" t="s">
        <v>959</v>
      </c>
      <c r="D420" t="s">
        <v>202</v>
      </c>
      <c r="E420" s="11">
        <v>20411454</v>
      </c>
      <c r="F420" t="s">
        <v>1639</v>
      </c>
      <c r="G420" t="s">
        <v>49</v>
      </c>
      <c r="H420" t="s">
        <v>714</v>
      </c>
      <c r="I420" s="1">
        <v>45444</v>
      </c>
      <c r="J420" s="2">
        <v>1</v>
      </c>
      <c r="K420" s="2">
        <v>1</v>
      </c>
      <c r="M420" s="3">
        <v>1</v>
      </c>
      <c r="N420" s="2">
        <v>2</v>
      </c>
      <c r="O420" t="s">
        <v>715</v>
      </c>
      <c r="P420" t="s">
        <v>1577</v>
      </c>
    </row>
    <row r="421" spans="1:16" x14ac:dyDescent="0.25">
      <c r="A421" s="4">
        <v>102010075000</v>
      </c>
      <c r="B421" s="4" t="str">
        <f t="shared" si="12"/>
        <v>102010075000OVR</v>
      </c>
      <c r="C421" t="s">
        <v>960</v>
      </c>
      <c r="D421" t="s">
        <v>202</v>
      </c>
      <c r="E421" s="11">
        <v>20411454</v>
      </c>
      <c r="F421" t="s">
        <v>1639</v>
      </c>
      <c r="G421" t="s">
        <v>49</v>
      </c>
      <c r="H421" t="s">
        <v>714</v>
      </c>
      <c r="I421" s="1">
        <v>45474</v>
      </c>
      <c r="J421" s="2">
        <v>1</v>
      </c>
      <c r="K421" s="2">
        <v>1</v>
      </c>
      <c r="M421" s="3">
        <v>1</v>
      </c>
      <c r="N421" s="2">
        <v>2</v>
      </c>
      <c r="O421" t="s">
        <v>715</v>
      </c>
      <c r="P421" t="s">
        <v>1577</v>
      </c>
    </row>
    <row r="422" spans="1:16" x14ac:dyDescent="0.25">
      <c r="A422" s="4">
        <v>102012252800</v>
      </c>
      <c r="B422" s="4" t="str">
        <f t="shared" si="12"/>
        <v>102012252800OVR</v>
      </c>
      <c r="C422" t="s">
        <v>961</v>
      </c>
      <c r="D422" t="s">
        <v>451</v>
      </c>
      <c r="E422" s="11">
        <v>20411454</v>
      </c>
      <c r="F422" t="s">
        <v>1639</v>
      </c>
      <c r="G422" t="s">
        <v>49</v>
      </c>
      <c r="H422" t="s">
        <v>714</v>
      </c>
      <c r="I422" s="1">
        <v>45505</v>
      </c>
      <c r="J422" s="2">
        <v>1</v>
      </c>
      <c r="K422" s="2">
        <v>1</v>
      </c>
      <c r="M422" s="3">
        <v>1</v>
      </c>
      <c r="N422" s="2">
        <v>2</v>
      </c>
      <c r="O422" t="s">
        <v>715</v>
      </c>
      <c r="P422" t="s">
        <v>1577</v>
      </c>
    </row>
    <row r="423" spans="1:16" x14ac:dyDescent="0.25">
      <c r="A423" s="4">
        <v>102013256200</v>
      </c>
      <c r="B423" s="4" t="str">
        <f t="shared" si="12"/>
        <v>102013256200OVR</v>
      </c>
      <c r="C423" t="s">
        <v>962</v>
      </c>
      <c r="D423" t="s">
        <v>202</v>
      </c>
      <c r="E423" s="11">
        <v>20411454</v>
      </c>
      <c r="F423" t="s">
        <v>1639</v>
      </c>
      <c r="G423" t="s">
        <v>49</v>
      </c>
      <c r="H423" t="s">
        <v>714</v>
      </c>
      <c r="I423" s="1">
        <v>45505</v>
      </c>
      <c r="J423" s="2">
        <v>1</v>
      </c>
      <c r="K423" s="2">
        <v>1</v>
      </c>
      <c r="M423" s="3">
        <v>1</v>
      </c>
      <c r="N423" s="2">
        <v>2</v>
      </c>
      <c r="O423" t="s">
        <v>715</v>
      </c>
      <c r="P423" t="s">
        <v>1577</v>
      </c>
    </row>
    <row r="424" spans="1:16" x14ac:dyDescent="0.25">
      <c r="A424" s="4">
        <v>102014399100</v>
      </c>
      <c r="B424" s="4" t="str">
        <f t="shared" si="12"/>
        <v>102014399100OVR</v>
      </c>
      <c r="C424" t="s">
        <v>963</v>
      </c>
      <c r="D424" t="s">
        <v>202</v>
      </c>
      <c r="E424" s="11">
        <v>20411454</v>
      </c>
      <c r="F424" t="s">
        <v>1639</v>
      </c>
      <c r="G424" t="s">
        <v>49</v>
      </c>
      <c r="H424" t="s">
        <v>714</v>
      </c>
      <c r="I424" s="1">
        <v>45505</v>
      </c>
      <c r="J424" s="2">
        <v>1</v>
      </c>
      <c r="K424" s="2">
        <v>1</v>
      </c>
      <c r="M424" s="3">
        <v>1</v>
      </c>
      <c r="N424" s="2">
        <v>2</v>
      </c>
      <c r="O424" t="s">
        <v>715</v>
      </c>
      <c r="P424" t="s">
        <v>1577</v>
      </c>
    </row>
    <row r="425" spans="1:16" x14ac:dyDescent="0.25">
      <c r="A425" s="4">
        <v>102014897000</v>
      </c>
      <c r="B425" s="4" t="str">
        <f t="shared" si="12"/>
        <v>102014897000OVR</v>
      </c>
      <c r="C425" t="s">
        <v>964</v>
      </c>
      <c r="D425" t="s">
        <v>202</v>
      </c>
      <c r="E425" s="11">
        <v>20411454</v>
      </c>
      <c r="F425" t="s">
        <v>1639</v>
      </c>
      <c r="G425" t="s">
        <v>49</v>
      </c>
      <c r="H425" t="s">
        <v>714</v>
      </c>
      <c r="I425" s="1">
        <v>45474</v>
      </c>
      <c r="J425" s="2">
        <v>1</v>
      </c>
      <c r="K425" s="2">
        <v>1</v>
      </c>
      <c r="M425" s="3">
        <v>1</v>
      </c>
      <c r="N425" s="2">
        <v>2</v>
      </c>
      <c r="O425" t="s">
        <v>715</v>
      </c>
      <c r="P425" t="s">
        <v>1577</v>
      </c>
    </row>
    <row r="426" spans="1:16" x14ac:dyDescent="0.25">
      <c r="A426" s="4">
        <v>102015648800</v>
      </c>
      <c r="B426" s="4" t="str">
        <f t="shared" si="12"/>
        <v>102015648800OVR</v>
      </c>
      <c r="C426" t="s">
        <v>966</v>
      </c>
      <c r="D426" t="s">
        <v>202</v>
      </c>
      <c r="E426" s="11">
        <v>20411454</v>
      </c>
      <c r="F426" t="s">
        <v>1639</v>
      </c>
      <c r="G426" t="s">
        <v>49</v>
      </c>
      <c r="H426" t="s">
        <v>714</v>
      </c>
      <c r="I426" s="1">
        <v>45474</v>
      </c>
      <c r="J426" s="2">
        <v>1</v>
      </c>
      <c r="K426" s="2">
        <v>1</v>
      </c>
      <c r="M426" s="3">
        <v>1</v>
      </c>
      <c r="N426" s="2">
        <v>2</v>
      </c>
      <c r="O426" t="s">
        <v>715</v>
      </c>
      <c r="P426" t="s">
        <v>1577</v>
      </c>
    </row>
    <row r="427" spans="1:16" x14ac:dyDescent="0.25">
      <c r="A427" s="4">
        <v>102015762800</v>
      </c>
      <c r="B427" s="4" t="str">
        <f t="shared" si="12"/>
        <v>102015762800OVR</v>
      </c>
      <c r="C427" t="s">
        <v>967</v>
      </c>
      <c r="D427" t="s">
        <v>202</v>
      </c>
      <c r="E427" s="11">
        <v>20411454</v>
      </c>
      <c r="F427" t="s">
        <v>1639</v>
      </c>
      <c r="G427" t="s">
        <v>49</v>
      </c>
      <c r="H427" t="s">
        <v>714</v>
      </c>
      <c r="I427" s="1">
        <v>45474</v>
      </c>
      <c r="J427" s="2">
        <v>1</v>
      </c>
      <c r="K427" s="2">
        <v>1</v>
      </c>
      <c r="M427" s="3">
        <v>1</v>
      </c>
      <c r="N427" s="2">
        <v>2</v>
      </c>
      <c r="O427" t="s">
        <v>715</v>
      </c>
      <c r="P427" t="s">
        <v>1577</v>
      </c>
    </row>
    <row r="428" spans="1:16" x14ac:dyDescent="0.25">
      <c r="A428" s="4">
        <v>102017009100</v>
      </c>
      <c r="B428" s="4" t="str">
        <f t="shared" si="12"/>
        <v>102017009100OVR</v>
      </c>
      <c r="C428" t="s">
        <v>968</v>
      </c>
      <c r="D428" t="s">
        <v>202</v>
      </c>
      <c r="E428" s="11">
        <v>20411454</v>
      </c>
      <c r="F428" t="s">
        <v>1639</v>
      </c>
      <c r="G428" t="s">
        <v>49</v>
      </c>
      <c r="H428" t="s">
        <v>714</v>
      </c>
      <c r="I428" s="1">
        <v>45474</v>
      </c>
      <c r="J428" s="2">
        <v>1</v>
      </c>
      <c r="K428" s="2">
        <v>1</v>
      </c>
      <c r="M428" s="3">
        <v>1</v>
      </c>
      <c r="N428" s="2">
        <v>2</v>
      </c>
      <c r="O428" t="s">
        <v>715</v>
      </c>
      <c r="P428" t="s">
        <v>1577</v>
      </c>
    </row>
    <row r="429" spans="1:16" x14ac:dyDescent="0.25">
      <c r="A429" s="4">
        <v>102017011000</v>
      </c>
      <c r="B429" s="4" t="str">
        <f t="shared" si="12"/>
        <v>102017011000OVR</v>
      </c>
      <c r="C429" t="s">
        <v>969</v>
      </c>
      <c r="D429" t="s">
        <v>202</v>
      </c>
      <c r="E429" s="11">
        <v>20411454</v>
      </c>
      <c r="F429" t="s">
        <v>1639</v>
      </c>
      <c r="G429" t="s">
        <v>106</v>
      </c>
      <c r="H429" t="s">
        <v>714</v>
      </c>
      <c r="I429" s="1">
        <v>45658</v>
      </c>
      <c r="J429" s="2">
        <v>1</v>
      </c>
      <c r="K429" s="2">
        <v>1</v>
      </c>
      <c r="M429" s="3">
        <v>1</v>
      </c>
      <c r="N429" s="2">
        <v>2</v>
      </c>
      <c r="O429" t="s">
        <v>715</v>
      </c>
      <c r="P429" t="s">
        <v>1577</v>
      </c>
    </row>
    <row r="430" spans="1:16" x14ac:dyDescent="0.25">
      <c r="A430" s="4">
        <v>102017011100</v>
      </c>
      <c r="B430" s="4" t="str">
        <f t="shared" si="12"/>
        <v>102017011100OVR</v>
      </c>
      <c r="C430" t="s">
        <v>970</v>
      </c>
      <c r="D430" t="s">
        <v>202</v>
      </c>
      <c r="E430" s="11">
        <v>20411454</v>
      </c>
      <c r="F430" t="s">
        <v>1639</v>
      </c>
      <c r="G430" t="s">
        <v>49</v>
      </c>
      <c r="H430" t="s">
        <v>714</v>
      </c>
      <c r="I430" s="1">
        <v>45474</v>
      </c>
      <c r="J430" s="2">
        <v>1</v>
      </c>
      <c r="K430" s="2">
        <v>1</v>
      </c>
      <c r="M430" s="3">
        <v>1</v>
      </c>
      <c r="N430" s="2">
        <v>2</v>
      </c>
      <c r="O430" t="s">
        <v>715</v>
      </c>
      <c r="P430" t="s">
        <v>1577</v>
      </c>
    </row>
    <row r="431" spans="1:16" x14ac:dyDescent="0.25">
      <c r="A431" s="4">
        <v>102017118900</v>
      </c>
      <c r="B431" s="4" t="str">
        <f t="shared" si="12"/>
        <v>102017118900OVR</v>
      </c>
      <c r="C431" t="s">
        <v>971</v>
      </c>
      <c r="D431" t="s">
        <v>55</v>
      </c>
      <c r="E431" s="11">
        <v>20411454</v>
      </c>
      <c r="F431" t="s">
        <v>1639</v>
      </c>
      <c r="G431" t="s">
        <v>49</v>
      </c>
      <c r="H431" t="s">
        <v>714</v>
      </c>
      <c r="I431" s="1">
        <v>45474</v>
      </c>
      <c r="J431" s="2">
        <v>1</v>
      </c>
      <c r="K431" s="2">
        <v>1</v>
      </c>
      <c r="M431" s="3">
        <v>1</v>
      </c>
      <c r="N431" s="2">
        <v>2</v>
      </c>
      <c r="O431" t="s">
        <v>715</v>
      </c>
      <c r="P431" t="s">
        <v>1577</v>
      </c>
    </row>
    <row r="432" spans="1:16" x14ac:dyDescent="0.25">
      <c r="A432" s="4">
        <v>102018981300</v>
      </c>
      <c r="B432" s="4" t="str">
        <f t="shared" si="12"/>
        <v>102018981300OVR</v>
      </c>
      <c r="C432" t="s">
        <v>972</v>
      </c>
      <c r="D432" t="s">
        <v>202</v>
      </c>
      <c r="E432" s="11">
        <v>20411454</v>
      </c>
      <c r="F432" t="s">
        <v>1639</v>
      </c>
      <c r="G432" t="s">
        <v>49</v>
      </c>
      <c r="H432" t="s">
        <v>714</v>
      </c>
      <c r="I432" s="1">
        <v>45505</v>
      </c>
      <c r="J432" s="2">
        <v>1</v>
      </c>
      <c r="K432" s="2">
        <v>1</v>
      </c>
      <c r="M432" s="3">
        <v>1</v>
      </c>
      <c r="N432" s="2">
        <v>2</v>
      </c>
      <c r="O432" t="s">
        <v>715</v>
      </c>
      <c r="P432" t="s">
        <v>1577</v>
      </c>
    </row>
    <row r="433" spans="1:16" x14ac:dyDescent="0.25">
      <c r="A433" s="4">
        <v>102021150000</v>
      </c>
      <c r="B433" s="4" t="str">
        <f t="shared" si="12"/>
        <v>102021150000OVR</v>
      </c>
      <c r="C433" t="s">
        <v>973</v>
      </c>
      <c r="D433" t="s">
        <v>202</v>
      </c>
      <c r="E433" s="11">
        <v>20411454</v>
      </c>
      <c r="F433" t="s">
        <v>1639</v>
      </c>
      <c r="G433" t="s">
        <v>49</v>
      </c>
      <c r="H433" t="s">
        <v>714</v>
      </c>
      <c r="I433" s="1">
        <v>45536</v>
      </c>
      <c r="J433" s="2">
        <v>1</v>
      </c>
      <c r="K433" s="2">
        <v>1</v>
      </c>
      <c r="M433" s="3">
        <v>1</v>
      </c>
      <c r="N433" s="2">
        <v>2</v>
      </c>
      <c r="O433" t="s">
        <v>715</v>
      </c>
      <c r="P433" t="s">
        <v>1577</v>
      </c>
    </row>
    <row r="434" spans="1:16" x14ac:dyDescent="0.25">
      <c r="A434" s="4">
        <v>102021599000</v>
      </c>
      <c r="B434" s="4" t="str">
        <f t="shared" si="12"/>
        <v>102021599000OVR</v>
      </c>
      <c r="C434" t="s">
        <v>974</v>
      </c>
      <c r="D434" t="s">
        <v>202</v>
      </c>
      <c r="E434" s="11">
        <v>20411454</v>
      </c>
      <c r="F434" t="s">
        <v>1639</v>
      </c>
      <c r="G434" t="s">
        <v>49</v>
      </c>
      <c r="H434" t="s">
        <v>714</v>
      </c>
      <c r="I434" s="1">
        <v>45505</v>
      </c>
      <c r="J434" s="2">
        <v>1</v>
      </c>
      <c r="K434" s="2">
        <v>1</v>
      </c>
      <c r="M434" s="3">
        <v>1</v>
      </c>
      <c r="N434" s="2">
        <v>2</v>
      </c>
      <c r="O434" t="s">
        <v>715</v>
      </c>
      <c r="P434" t="s">
        <v>1577</v>
      </c>
    </row>
    <row r="435" spans="1:16" x14ac:dyDescent="0.25">
      <c r="A435" s="4">
        <v>102021703600</v>
      </c>
      <c r="B435" s="4" t="str">
        <f t="shared" si="12"/>
        <v>102021703600OVR</v>
      </c>
      <c r="C435" t="s">
        <v>975</v>
      </c>
      <c r="D435" t="s">
        <v>202</v>
      </c>
      <c r="E435" s="11">
        <v>20411454</v>
      </c>
      <c r="F435" t="s">
        <v>1639</v>
      </c>
      <c r="G435" t="s">
        <v>49</v>
      </c>
      <c r="H435" t="s">
        <v>714</v>
      </c>
      <c r="I435" s="1">
        <v>45536</v>
      </c>
      <c r="J435" s="2">
        <v>1</v>
      </c>
      <c r="K435" s="2">
        <v>1</v>
      </c>
      <c r="M435" s="3">
        <v>1</v>
      </c>
      <c r="N435" s="2">
        <v>2</v>
      </c>
      <c r="O435" t="s">
        <v>715</v>
      </c>
      <c r="P435" t="s">
        <v>1577</v>
      </c>
    </row>
    <row r="436" spans="1:16" x14ac:dyDescent="0.25">
      <c r="A436" s="4">
        <v>102022258700</v>
      </c>
      <c r="B436" s="4" t="str">
        <f t="shared" si="12"/>
        <v>102022258700OVR</v>
      </c>
      <c r="C436" t="s">
        <v>976</v>
      </c>
      <c r="D436" t="s">
        <v>202</v>
      </c>
      <c r="E436" s="11">
        <v>20411454</v>
      </c>
      <c r="F436" t="s">
        <v>1639</v>
      </c>
      <c r="G436" t="s">
        <v>49</v>
      </c>
      <c r="H436" t="s">
        <v>714</v>
      </c>
      <c r="I436" s="1">
        <v>45474</v>
      </c>
      <c r="J436" s="2">
        <v>1</v>
      </c>
      <c r="K436" s="2">
        <v>1</v>
      </c>
      <c r="M436" s="3">
        <v>1</v>
      </c>
      <c r="N436" s="2">
        <v>2</v>
      </c>
      <c r="O436" t="s">
        <v>715</v>
      </c>
      <c r="P436" t="s">
        <v>1577</v>
      </c>
    </row>
    <row r="437" spans="1:16" x14ac:dyDescent="0.25">
      <c r="A437" s="4">
        <v>102022261800</v>
      </c>
      <c r="B437" s="4" t="str">
        <f t="shared" si="12"/>
        <v>102022261800OVR</v>
      </c>
      <c r="C437" t="s">
        <v>977</v>
      </c>
      <c r="D437" t="s">
        <v>202</v>
      </c>
      <c r="E437" s="11">
        <v>20411454</v>
      </c>
      <c r="F437" t="s">
        <v>1639</v>
      </c>
      <c r="G437" t="s">
        <v>49</v>
      </c>
      <c r="H437" t="s">
        <v>714</v>
      </c>
      <c r="I437" s="1">
        <v>45474</v>
      </c>
      <c r="J437" s="2">
        <v>1</v>
      </c>
      <c r="K437" s="2">
        <v>1</v>
      </c>
      <c r="M437" s="3">
        <v>1</v>
      </c>
      <c r="N437" s="2">
        <v>2</v>
      </c>
      <c r="O437" t="s">
        <v>715</v>
      </c>
      <c r="P437" t="s">
        <v>1577</v>
      </c>
    </row>
    <row r="438" spans="1:16" x14ac:dyDescent="0.25">
      <c r="A438" s="4">
        <v>102022904500</v>
      </c>
      <c r="B438" s="4" t="str">
        <f t="shared" si="12"/>
        <v>102022904500OVR</v>
      </c>
      <c r="C438" t="s">
        <v>978</v>
      </c>
      <c r="D438" t="s">
        <v>202</v>
      </c>
      <c r="E438" s="11">
        <v>20411454</v>
      </c>
      <c r="F438" t="s">
        <v>1639</v>
      </c>
      <c r="G438" t="s">
        <v>49</v>
      </c>
      <c r="H438" t="s">
        <v>714</v>
      </c>
      <c r="I438" s="1">
        <v>45505</v>
      </c>
      <c r="J438" s="2">
        <v>1</v>
      </c>
      <c r="K438" s="2">
        <v>1</v>
      </c>
      <c r="M438" s="3">
        <v>1</v>
      </c>
      <c r="N438" s="2">
        <v>2</v>
      </c>
      <c r="O438" t="s">
        <v>715</v>
      </c>
      <c r="P438" t="s">
        <v>1577</v>
      </c>
    </row>
    <row r="439" spans="1:16" x14ac:dyDescent="0.25">
      <c r="A439" s="4">
        <v>102025517700</v>
      </c>
      <c r="B439" s="4" t="str">
        <f t="shared" si="12"/>
        <v>102025517700OVR</v>
      </c>
      <c r="C439" t="s">
        <v>980</v>
      </c>
      <c r="D439" t="s">
        <v>429</v>
      </c>
      <c r="E439" s="11">
        <v>20411454</v>
      </c>
      <c r="F439" t="s">
        <v>1639</v>
      </c>
      <c r="G439" t="s">
        <v>49</v>
      </c>
      <c r="H439" t="s">
        <v>714</v>
      </c>
      <c r="I439" s="1">
        <v>45474</v>
      </c>
      <c r="J439" s="2">
        <v>1</v>
      </c>
      <c r="K439" s="2">
        <v>1</v>
      </c>
      <c r="M439" s="3">
        <v>1</v>
      </c>
      <c r="N439" s="2">
        <v>2</v>
      </c>
      <c r="O439" t="s">
        <v>715</v>
      </c>
      <c r="P439" t="s">
        <v>1577</v>
      </c>
    </row>
    <row r="440" spans="1:16" x14ac:dyDescent="0.25">
      <c r="A440" s="4">
        <v>102025592500</v>
      </c>
      <c r="B440" s="4" t="str">
        <f t="shared" si="12"/>
        <v>102025592500OVR</v>
      </c>
      <c r="C440" t="s">
        <v>981</v>
      </c>
      <c r="D440" t="s">
        <v>97</v>
      </c>
      <c r="E440" s="11">
        <v>20411454</v>
      </c>
      <c r="F440" t="s">
        <v>1639</v>
      </c>
      <c r="G440" t="s">
        <v>49</v>
      </c>
      <c r="H440" t="s">
        <v>714</v>
      </c>
      <c r="I440" s="1">
        <v>45505</v>
      </c>
      <c r="J440" s="2">
        <v>1</v>
      </c>
      <c r="K440" s="2">
        <v>1</v>
      </c>
      <c r="M440" s="3">
        <v>1</v>
      </c>
      <c r="N440" s="2">
        <v>2</v>
      </c>
      <c r="O440" t="s">
        <v>715</v>
      </c>
      <c r="P440" t="s">
        <v>1577</v>
      </c>
    </row>
    <row r="441" spans="1:16" x14ac:dyDescent="0.25">
      <c r="A441" s="4">
        <v>102026454000</v>
      </c>
      <c r="B441" s="4" t="str">
        <f t="shared" si="12"/>
        <v>102026454000OVR</v>
      </c>
      <c r="C441" t="s">
        <v>982</v>
      </c>
      <c r="D441" t="s">
        <v>983</v>
      </c>
      <c r="E441" s="11">
        <v>20411454</v>
      </c>
      <c r="F441" t="s">
        <v>1639</v>
      </c>
      <c r="G441" t="s">
        <v>49</v>
      </c>
      <c r="H441" t="s">
        <v>714</v>
      </c>
      <c r="I441" s="1">
        <v>45474</v>
      </c>
      <c r="J441" s="2">
        <v>1</v>
      </c>
      <c r="K441" s="2">
        <v>1</v>
      </c>
      <c r="M441" s="3">
        <v>1</v>
      </c>
      <c r="N441" s="2">
        <v>2</v>
      </c>
      <c r="O441" t="s">
        <v>715</v>
      </c>
      <c r="P441" t="s">
        <v>1577</v>
      </c>
    </row>
    <row r="442" spans="1:16" x14ac:dyDescent="0.25">
      <c r="A442" s="4">
        <v>102027923000</v>
      </c>
      <c r="B442" s="4" t="str">
        <f t="shared" si="12"/>
        <v>102027923000OVR</v>
      </c>
      <c r="C442" t="s">
        <v>984</v>
      </c>
      <c r="D442" t="s">
        <v>55</v>
      </c>
      <c r="E442" s="11">
        <v>20411454</v>
      </c>
      <c r="F442" t="s">
        <v>1639</v>
      </c>
      <c r="G442" t="s">
        <v>49</v>
      </c>
      <c r="H442" t="s">
        <v>714</v>
      </c>
      <c r="I442" s="1">
        <v>45474</v>
      </c>
      <c r="J442" s="2">
        <v>1</v>
      </c>
      <c r="K442" s="2">
        <v>1</v>
      </c>
      <c r="M442" s="3">
        <v>1</v>
      </c>
      <c r="N442" s="2">
        <v>2</v>
      </c>
      <c r="O442" t="s">
        <v>715</v>
      </c>
      <c r="P442" t="s">
        <v>1577</v>
      </c>
    </row>
    <row r="443" spans="1:16" x14ac:dyDescent="0.25">
      <c r="A443" s="4">
        <v>102028483000</v>
      </c>
      <c r="B443" s="4" t="str">
        <f t="shared" si="12"/>
        <v>102028483000OVR</v>
      </c>
      <c r="C443" t="s">
        <v>985</v>
      </c>
      <c r="D443" t="s">
        <v>202</v>
      </c>
      <c r="E443" s="11">
        <v>20411454</v>
      </c>
      <c r="F443" t="s">
        <v>1639</v>
      </c>
      <c r="G443" t="s">
        <v>49</v>
      </c>
      <c r="H443" t="s">
        <v>714</v>
      </c>
      <c r="I443" s="1">
        <v>45505</v>
      </c>
      <c r="J443" s="2">
        <v>1</v>
      </c>
      <c r="K443" s="2">
        <v>1</v>
      </c>
      <c r="M443" s="3">
        <v>1</v>
      </c>
      <c r="N443" s="2">
        <v>2</v>
      </c>
      <c r="O443" t="s">
        <v>715</v>
      </c>
      <c r="P443" t="s">
        <v>1577</v>
      </c>
    </row>
    <row r="444" spans="1:16" x14ac:dyDescent="0.25">
      <c r="A444" s="4">
        <v>102029053100</v>
      </c>
      <c r="B444" s="4" t="str">
        <f t="shared" si="12"/>
        <v>102029053100OVR</v>
      </c>
      <c r="C444" t="s">
        <v>986</v>
      </c>
      <c r="D444" t="s">
        <v>202</v>
      </c>
      <c r="E444" s="11">
        <v>20411454</v>
      </c>
      <c r="F444" t="s">
        <v>1639</v>
      </c>
      <c r="G444" t="s">
        <v>49</v>
      </c>
      <c r="H444" t="s">
        <v>714</v>
      </c>
      <c r="I444" s="1">
        <v>45566</v>
      </c>
      <c r="J444" s="2">
        <v>1</v>
      </c>
      <c r="K444" s="2">
        <v>1</v>
      </c>
      <c r="M444" s="3">
        <v>1</v>
      </c>
      <c r="N444" s="2">
        <v>2</v>
      </c>
      <c r="O444" t="s">
        <v>715</v>
      </c>
      <c r="P444" t="s">
        <v>1577</v>
      </c>
    </row>
    <row r="445" spans="1:16" x14ac:dyDescent="0.25">
      <c r="A445" s="4">
        <v>102029646800</v>
      </c>
      <c r="B445" s="4" t="str">
        <f t="shared" si="12"/>
        <v>102029646800OVR</v>
      </c>
      <c r="C445" t="s">
        <v>987</v>
      </c>
      <c r="D445" t="s">
        <v>55</v>
      </c>
      <c r="E445" s="11">
        <v>20411454</v>
      </c>
      <c r="F445" t="s">
        <v>1639</v>
      </c>
      <c r="G445" t="s">
        <v>49</v>
      </c>
      <c r="H445" t="s">
        <v>714</v>
      </c>
      <c r="I445" s="1">
        <v>45566</v>
      </c>
      <c r="J445" s="2">
        <v>1</v>
      </c>
      <c r="K445" s="2">
        <v>1</v>
      </c>
      <c r="M445" s="3">
        <v>1</v>
      </c>
      <c r="N445" s="2">
        <v>2</v>
      </c>
      <c r="O445" t="s">
        <v>715</v>
      </c>
      <c r="P445" t="s">
        <v>1577</v>
      </c>
    </row>
    <row r="446" spans="1:16" x14ac:dyDescent="0.25">
      <c r="A446" s="4">
        <v>102030348000</v>
      </c>
      <c r="B446" s="4" t="str">
        <f t="shared" si="12"/>
        <v>102030348000OVR</v>
      </c>
      <c r="C446" t="s">
        <v>988</v>
      </c>
      <c r="D446" t="s">
        <v>202</v>
      </c>
      <c r="E446" s="11">
        <v>20411454</v>
      </c>
      <c r="F446" t="s">
        <v>1639</v>
      </c>
      <c r="G446" t="s">
        <v>49</v>
      </c>
      <c r="H446" t="s">
        <v>714</v>
      </c>
      <c r="I446" s="1">
        <v>45505</v>
      </c>
      <c r="J446" s="2">
        <v>1</v>
      </c>
      <c r="K446" s="2">
        <v>1</v>
      </c>
      <c r="M446" s="3">
        <v>1</v>
      </c>
      <c r="N446" s="2">
        <v>2</v>
      </c>
      <c r="O446" t="s">
        <v>715</v>
      </c>
      <c r="P446" t="s">
        <v>1577</v>
      </c>
    </row>
    <row r="447" spans="1:16" x14ac:dyDescent="0.25">
      <c r="A447" s="4">
        <v>102030760700</v>
      </c>
      <c r="B447" s="4" t="str">
        <f t="shared" si="12"/>
        <v>102030760700OVR</v>
      </c>
      <c r="C447" t="s">
        <v>989</v>
      </c>
      <c r="D447" t="s">
        <v>55</v>
      </c>
      <c r="E447" s="11">
        <v>20411454</v>
      </c>
      <c r="F447" t="s">
        <v>1639</v>
      </c>
      <c r="G447" t="s">
        <v>49</v>
      </c>
      <c r="H447" t="s">
        <v>714</v>
      </c>
      <c r="I447" s="1">
        <v>45505</v>
      </c>
      <c r="J447" s="2">
        <v>1</v>
      </c>
      <c r="K447" s="2">
        <v>1</v>
      </c>
      <c r="M447" s="3">
        <v>1</v>
      </c>
      <c r="N447" s="2">
        <v>2</v>
      </c>
      <c r="O447" t="s">
        <v>715</v>
      </c>
      <c r="P447" t="s">
        <v>1577</v>
      </c>
    </row>
    <row r="448" spans="1:16" x14ac:dyDescent="0.25">
      <c r="A448" s="4">
        <v>102030823900</v>
      </c>
      <c r="B448" s="4" t="str">
        <f t="shared" si="12"/>
        <v>102030823900OVR</v>
      </c>
      <c r="C448" t="s">
        <v>990</v>
      </c>
      <c r="D448" t="s">
        <v>55</v>
      </c>
      <c r="E448" s="11">
        <v>20411454</v>
      </c>
      <c r="F448" t="s">
        <v>1639</v>
      </c>
      <c r="G448" t="s">
        <v>49</v>
      </c>
      <c r="H448" t="s">
        <v>714</v>
      </c>
      <c r="I448" s="1">
        <v>45505</v>
      </c>
      <c r="J448" s="2">
        <v>1</v>
      </c>
      <c r="K448" s="2">
        <v>1</v>
      </c>
      <c r="M448" s="3">
        <v>1</v>
      </c>
      <c r="N448" s="2">
        <v>2</v>
      </c>
      <c r="O448" t="s">
        <v>715</v>
      </c>
      <c r="P448" t="s">
        <v>1577</v>
      </c>
    </row>
    <row r="449" spans="1:16" x14ac:dyDescent="0.25">
      <c r="A449" s="4">
        <v>102030825500</v>
      </c>
      <c r="B449" s="4" t="str">
        <f t="shared" si="12"/>
        <v>102030825500OVR</v>
      </c>
      <c r="C449" t="s">
        <v>991</v>
      </c>
      <c r="D449" t="s">
        <v>55</v>
      </c>
      <c r="E449" s="11">
        <v>20411454</v>
      </c>
      <c r="F449" t="s">
        <v>1639</v>
      </c>
      <c r="G449" t="s">
        <v>49</v>
      </c>
      <c r="H449" t="s">
        <v>714</v>
      </c>
      <c r="I449" s="1">
        <v>45505</v>
      </c>
      <c r="J449" s="2">
        <v>1</v>
      </c>
      <c r="K449" s="2">
        <v>1</v>
      </c>
      <c r="M449" s="3">
        <v>1</v>
      </c>
      <c r="N449" s="2">
        <v>2</v>
      </c>
      <c r="O449" t="s">
        <v>715</v>
      </c>
      <c r="P449" t="s">
        <v>1577</v>
      </c>
    </row>
    <row r="450" spans="1:16" x14ac:dyDescent="0.25">
      <c r="A450" s="4">
        <v>102031351800</v>
      </c>
      <c r="B450" s="4" t="str">
        <f t="shared" si="12"/>
        <v>102031351800OVR</v>
      </c>
      <c r="C450" t="s">
        <v>992</v>
      </c>
      <c r="D450" t="s">
        <v>202</v>
      </c>
      <c r="E450" s="11">
        <v>20411454</v>
      </c>
      <c r="F450" t="s">
        <v>1639</v>
      </c>
      <c r="G450" t="s">
        <v>49</v>
      </c>
      <c r="H450" t="s">
        <v>714</v>
      </c>
      <c r="I450" s="1">
        <v>45505</v>
      </c>
      <c r="J450" s="2">
        <v>1</v>
      </c>
      <c r="K450" s="2">
        <v>1</v>
      </c>
      <c r="M450" s="3">
        <v>1</v>
      </c>
      <c r="N450" s="2">
        <v>2</v>
      </c>
      <c r="O450" t="s">
        <v>715</v>
      </c>
      <c r="P450" t="s">
        <v>1577</v>
      </c>
    </row>
    <row r="451" spans="1:16" x14ac:dyDescent="0.25">
      <c r="A451" s="4">
        <v>102033862400</v>
      </c>
      <c r="B451" s="4" t="str">
        <f t="shared" si="12"/>
        <v>102033862400OVR</v>
      </c>
      <c r="C451" t="s">
        <v>994</v>
      </c>
      <c r="D451" t="s">
        <v>202</v>
      </c>
      <c r="E451" s="11">
        <v>20411454</v>
      </c>
      <c r="F451" t="s">
        <v>1639</v>
      </c>
      <c r="G451" t="s">
        <v>49</v>
      </c>
      <c r="H451" t="s">
        <v>714</v>
      </c>
      <c r="I451" s="1">
        <v>45505</v>
      </c>
      <c r="J451" s="2">
        <v>1</v>
      </c>
      <c r="K451" s="2">
        <v>1</v>
      </c>
      <c r="M451" s="3">
        <v>1</v>
      </c>
      <c r="N451" s="2">
        <v>2</v>
      </c>
      <c r="O451" t="s">
        <v>715</v>
      </c>
      <c r="P451" t="s">
        <v>1577</v>
      </c>
    </row>
    <row r="452" spans="1:16" x14ac:dyDescent="0.25">
      <c r="A452" s="4">
        <v>102034658300</v>
      </c>
      <c r="B452" s="4" t="str">
        <f t="shared" si="12"/>
        <v>102034658300OVR</v>
      </c>
      <c r="C452" t="s">
        <v>995</v>
      </c>
      <c r="D452" t="s">
        <v>202</v>
      </c>
      <c r="E452" s="11">
        <v>20411454</v>
      </c>
      <c r="F452" t="s">
        <v>1639</v>
      </c>
      <c r="G452" t="s">
        <v>49</v>
      </c>
      <c r="H452" t="s">
        <v>714</v>
      </c>
      <c r="I452" s="1">
        <v>45536</v>
      </c>
      <c r="J452" s="2">
        <v>1</v>
      </c>
      <c r="K452" s="2">
        <v>1</v>
      </c>
      <c r="M452" s="3">
        <v>1</v>
      </c>
      <c r="N452" s="2">
        <v>2</v>
      </c>
      <c r="O452" t="s">
        <v>715</v>
      </c>
      <c r="P452" t="s">
        <v>1577</v>
      </c>
    </row>
    <row r="453" spans="1:16" x14ac:dyDescent="0.25">
      <c r="A453" s="4">
        <v>102035247000</v>
      </c>
      <c r="B453" s="4" t="str">
        <f t="shared" si="12"/>
        <v>102035247000OVR</v>
      </c>
      <c r="C453" t="s">
        <v>996</v>
      </c>
      <c r="D453" t="s">
        <v>202</v>
      </c>
      <c r="E453" s="11">
        <v>20411454</v>
      </c>
      <c r="F453" t="s">
        <v>1639</v>
      </c>
      <c r="G453" t="s">
        <v>49</v>
      </c>
      <c r="H453" t="s">
        <v>714</v>
      </c>
      <c r="I453" s="1">
        <v>45536</v>
      </c>
      <c r="J453" s="2">
        <v>1</v>
      </c>
      <c r="K453" s="2">
        <v>1</v>
      </c>
      <c r="M453" s="3">
        <v>1</v>
      </c>
      <c r="N453" s="2">
        <v>2</v>
      </c>
      <c r="O453" t="s">
        <v>715</v>
      </c>
      <c r="P453" t="s">
        <v>1577</v>
      </c>
    </row>
    <row r="454" spans="1:16" x14ac:dyDescent="0.25">
      <c r="A454" s="4">
        <v>102035273900</v>
      </c>
      <c r="B454" s="4" t="str">
        <f t="shared" si="12"/>
        <v>102035273900OVR</v>
      </c>
      <c r="C454" t="s">
        <v>997</v>
      </c>
      <c r="D454" t="s">
        <v>55</v>
      </c>
      <c r="E454" s="11">
        <v>20411454</v>
      </c>
      <c r="F454" t="s">
        <v>1639</v>
      </c>
      <c r="G454" t="s">
        <v>49</v>
      </c>
      <c r="H454" t="s">
        <v>714</v>
      </c>
      <c r="I454" s="1">
        <v>45566</v>
      </c>
      <c r="J454" s="2">
        <v>1</v>
      </c>
      <c r="K454" s="2">
        <v>1</v>
      </c>
      <c r="M454" s="3">
        <v>1</v>
      </c>
      <c r="N454" s="2">
        <v>2</v>
      </c>
      <c r="O454" t="s">
        <v>715</v>
      </c>
      <c r="P454" t="s">
        <v>1577</v>
      </c>
    </row>
    <row r="455" spans="1:16" x14ac:dyDescent="0.25">
      <c r="A455" s="4">
        <v>102035359600</v>
      </c>
      <c r="B455" s="4" t="str">
        <f t="shared" si="12"/>
        <v>102035359600OVR</v>
      </c>
      <c r="C455" t="s">
        <v>998</v>
      </c>
      <c r="D455" t="s">
        <v>55</v>
      </c>
      <c r="E455" s="11">
        <v>20411454</v>
      </c>
      <c r="F455" t="s">
        <v>1639</v>
      </c>
      <c r="G455" t="s">
        <v>49</v>
      </c>
      <c r="H455" t="s">
        <v>714</v>
      </c>
      <c r="I455" s="1">
        <v>45505</v>
      </c>
      <c r="J455" s="2">
        <v>1</v>
      </c>
      <c r="K455" s="2">
        <v>1</v>
      </c>
      <c r="M455" s="3">
        <v>1</v>
      </c>
      <c r="N455" s="2">
        <v>2</v>
      </c>
      <c r="O455" t="s">
        <v>715</v>
      </c>
      <c r="P455" t="s">
        <v>1577</v>
      </c>
    </row>
    <row r="456" spans="1:16" x14ac:dyDescent="0.25">
      <c r="A456" s="4">
        <v>102035806200</v>
      </c>
      <c r="B456" s="4" t="str">
        <f t="shared" si="12"/>
        <v>102035806200OVR</v>
      </c>
      <c r="C456" t="s">
        <v>999</v>
      </c>
      <c r="D456" t="s">
        <v>1000</v>
      </c>
      <c r="E456" s="11">
        <v>20411454</v>
      </c>
      <c r="F456" t="s">
        <v>1639</v>
      </c>
      <c r="G456" t="s">
        <v>49</v>
      </c>
      <c r="H456" t="s">
        <v>714</v>
      </c>
      <c r="I456" s="1">
        <v>45566</v>
      </c>
      <c r="J456" s="2">
        <v>1</v>
      </c>
      <c r="K456" s="2">
        <v>1</v>
      </c>
      <c r="M456" s="3">
        <v>1</v>
      </c>
      <c r="N456" s="2">
        <v>2</v>
      </c>
      <c r="O456" t="s">
        <v>715</v>
      </c>
      <c r="P456" t="s">
        <v>1577</v>
      </c>
    </row>
    <row r="457" spans="1:16" x14ac:dyDescent="0.25">
      <c r="A457" s="4">
        <v>102035849400</v>
      </c>
      <c r="B457" s="4" t="str">
        <f t="shared" si="12"/>
        <v>102035849400OVR</v>
      </c>
      <c r="C457" t="s">
        <v>1001</v>
      </c>
      <c r="D457" t="s">
        <v>55</v>
      </c>
      <c r="E457" s="11">
        <v>20411454</v>
      </c>
      <c r="F457" t="s">
        <v>1639</v>
      </c>
      <c r="G457" t="s">
        <v>49</v>
      </c>
      <c r="H457" t="s">
        <v>714</v>
      </c>
      <c r="I457" s="1">
        <v>45505</v>
      </c>
      <c r="J457" s="2">
        <v>1</v>
      </c>
      <c r="K457" s="2">
        <v>1</v>
      </c>
      <c r="M457" s="3">
        <v>1</v>
      </c>
      <c r="N457" s="2">
        <v>2</v>
      </c>
      <c r="O457" t="s">
        <v>715</v>
      </c>
      <c r="P457" t="s">
        <v>1577</v>
      </c>
    </row>
    <row r="458" spans="1:16" x14ac:dyDescent="0.25">
      <c r="A458" s="4">
        <v>102035916500</v>
      </c>
      <c r="B458" s="4" t="str">
        <f t="shared" si="12"/>
        <v>102035916500OVR</v>
      </c>
      <c r="C458" t="s">
        <v>1002</v>
      </c>
      <c r="D458" t="s">
        <v>202</v>
      </c>
      <c r="E458" s="11">
        <v>20411454</v>
      </c>
      <c r="F458" t="s">
        <v>1639</v>
      </c>
      <c r="G458" t="s">
        <v>49</v>
      </c>
      <c r="H458" t="s">
        <v>714</v>
      </c>
      <c r="I458" s="1">
        <v>45505</v>
      </c>
      <c r="J458" s="2">
        <v>1</v>
      </c>
      <c r="K458" s="2">
        <v>1</v>
      </c>
      <c r="M458" s="3">
        <v>1</v>
      </c>
      <c r="N458" s="2">
        <v>2</v>
      </c>
      <c r="O458" t="s">
        <v>715</v>
      </c>
      <c r="P458" t="s">
        <v>1577</v>
      </c>
    </row>
    <row r="459" spans="1:16" x14ac:dyDescent="0.25">
      <c r="A459" s="4">
        <v>102036450000</v>
      </c>
      <c r="B459" s="4" t="str">
        <f t="shared" si="12"/>
        <v>102036450000OVR</v>
      </c>
      <c r="C459" t="s">
        <v>1005</v>
      </c>
      <c r="D459" t="s">
        <v>202</v>
      </c>
      <c r="E459" s="11">
        <v>20411454</v>
      </c>
      <c r="F459" t="s">
        <v>1639</v>
      </c>
      <c r="G459" t="s">
        <v>49</v>
      </c>
      <c r="H459" t="s">
        <v>714</v>
      </c>
      <c r="I459" s="1">
        <v>45505</v>
      </c>
      <c r="J459" s="2">
        <v>1</v>
      </c>
      <c r="K459" s="2">
        <v>1</v>
      </c>
      <c r="M459" s="3">
        <v>1</v>
      </c>
      <c r="N459" s="2">
        <v>2</v>
      </c>
      <c r="O459" t="s">
        <v>715</v>
      </c>
      <c r="P459" t="s">
        <v>1577</v>
      </c>
    </row>
    <row r="460" spans="1:16" x14ac:dyDescent="0.25">
      <c r="A460" s="4">
        <v>102036471300</v>
      </c>
      <c r="B460" s="4" t="str">
        <f t="shared" si="12"/>
        <v>102036471300OVR</v>
      </c>
      <c r="C460" t="s">
        <v>1006</v>
      </c>
      <c r="D460" t="s">
        <v>202</v>
      </c>
      <c r="E460" s="11">
        <v>20411454</v>
      </c>
      <c r="F460" t="s">
        <v>1639</v>
      </c>
      <c r="G460" t="s">
        <v>49</v>
      </c>
      <c r="H460" t="s">
        <v>714</v>
      </c>
      <c r="I460" s="1">
        <v>45505</v>
      </c>
      <c r="J460" s="2">
        <v>1</v>
      </c>
      <c r="K460" s="2">
        <v>1</v>
      </c>
      <c r="M460" s="3">
        <v>1</v>
      </c>
      <c r="N460" s="2">
        <v>2</v>
      </c>
      <c r="O460" t="s">
        <v>715</v>
      </c>
      <c r="P460" t="s">
        <v>1577</v>
      </c>
    </row>
    <row r="461" spans="1:16" x14ac:dyDescent="0.25">
      <c r="A461" s="4">
        <v>102037067200</v>
      </c>
      <c r="B461" s="4" t="str">
        <f t="shared" si="12"/>
        <v>102037067200OVR</v>
      </c>
      <c r="C461" t="s">
        <v>1007</v>
      </c>
      <c r="D461" t="s">
        <v>55</v>
      </c>
      <c r="E461" s="11">
        <v>20411454</v>
      </c>
      <c r="F461" t="s">
        <v>1639</v>
      </c>
      <c r="G461" t="s">
        <v>49</v>
      </c>
      <c r="H461" t="s">
        <v>714</v>
      </c>
      <c r="I461" s="1">
        <v>45566</v>
      </c>
      <c r="J461" s="2">
        <v>1</v>
      </c>
      <c r="K461" s="2">
        <v>1</v>
      </c>
      <c r="M461" s="3">
        <v>1</v>
      </c>
      <c r="N461" s="2">
        <v>2</v>
      </c>
      <c r="O461" t="s">
        <v>715</v>
      </c>
      <c r="P461" t="s">
        <v>1577</v>
      </c>
    </row>
    <row r="462" spans="1:16" x14ac:dyDescent="0.25">
      <c r="A462" s="4">
        <v>102037178300</v>
      </c>
      <c r="B462" s="4" t="str">
        <f t="shared" si="12"/>
        <v>102037178300OVR</v>
      </c>
      <c r="C462" t="s">
        <v>1008</v>
      </c>
      <c r="D462" t="s">
        <v>202</v>
      </c>
      <c r="E462" s="11">
        <v>20411454</v>
      </c>
      <c r="F462" t="s">
        <v>1639</v>
      </c>
      <c r="G462" t="s">
        <v>49</v>
      </c>
      <c r="H462" t="s">
        <v>714</v>
      </c>
      <c r="I462" s="1">
        <v>45505</v>
      </c>
      <c r="J462" s="2">
        <v>1</v>
      </c>
      <c r="K462" s="2">
        <v>1</v>
      </c>
      <c r="M462" s="3">
        <v>1</v>
      </c>
      <c r="N462" s="2">
        <v>2</v>
      </c>
      <c r="O462" t="s">
        <v>715</v>
      </c>
      <c r="P462" t="s">
        <v>1577</v>
      </c>
    </row>
    <row r="463" spans="1:16" x14ac:dyDescent="0.25">
      <c r="A463" s="4">
        <v>102037208500</v>
      </c>
      <c r="B463" s="4" t="str">
        <f t="shared" si="12"/>
        <v>102037208500OVR</v>
      </c>
      <c r="C463" t="s">
        <v>1009</v>
      </c>
      <c r="D463" t="s">
        <v>74</v>
      </c>
      <c r="E463" s="11">
        <v>20411454</v>
      </c>
      <c r="F463" t="s">
        <v>1639</v>
      </c>
      <c r="G463" t="s">
        <v>49</v>
      </c>
      <c r="H463" t="s">
        <v>714</v>
      </c>
      <c r="I463" s="1">
        <v>45566</v>
      </c>
      <c r="J463" s="2">
        <v>1</v>
      </c>
      <c r="K463" s="2">
        <v>1</v>
      </c>
      <c r="M463" s="3">
        <v>1</v>
      </c>
      <c r="N463" s="2">
        <v>2</v>
      </c>
      <c r="O463" t="s">
        <v>715</v>
      </c>
      <c r="P463" t="s">
        <v>1577</v>
      </c>
    </row>
    <row r="464" spans="1:16" x14ac:dyDescent="0.25">
      <c r="A464" s="4">
        <v>102037260600</v>
      </c>
      <c r="B464" s="4" t="str">
        <f t="shared" si="12"/>
        <v>102037260600OVR</v>
      </c>
      <c r="C464" t="s">
        <v>1010</v>
      </c>
      <c r="D464" t="s">
        <v>55</v>
      </c>
      <c r="E464" s="11">
        <v>20411454</v>
      </c>
      <c r="F464" t="s">
        <v>1639</v>
      </c>
      <c r="G464" t="s">
        <v>49</v>
      </c>
      <c r="H464" t="s">
        <v>714</v>
      </c>
      <c r="I464" s="1">
        <v>45505</v>
      </c>
      <c r="J464" s="2">
        <v>1</v>
      </c>
      <c r="K464" s="2">
        <v>1</v>
      </c>
      <c r="M464" s="3">
        <v>1</v>
      </c>
      <c r="N464" s="2">
        <v>2</v>
      </c>
      <c r="O464" t="s">
        <v>715</v>
      </c>
      <c r="P464" t="s">
        <v>1577</v>
      </c>
    </row>
    <row r="465" spans="1:16" x14ac:dyDescent="0.25">
      <c r="A465" s="4">
        <v>102037642800</v>
      </c>
      <c r="B465" s="4" t="str">
        <f t="shared" si="12"/>
        <v>102037642800OVR</v>
      </c>
      <c r="C465" t="s">
        <v>1011</v>
      </c>
      <c r="D465" t="s">
        <v>202</v>
      </c>
      <c r="E465" s="11">
        <v>20411454</v>
      </c>
      <c r="F465" t="s">
        <v>1639</v>
      </c>
      <c r="G465" t="s">
        <v>49</v>
      </c>
      <c r="H465" t="s">
        <v>714</v>
      </c>
      <c r="I465" s="1">
        <v>45505</v>
      </c>
      <c r="J465" s="2">
        <v>1</v>
      </c>
      <c r="K465" s="2">
        <v>1</v>
      </c>
      <c r="M465" s="3">
        <v>1</v>
      </c>
      <c r="N465" s="2">
        <v>2</v>
      </c>
      <c r="O465" t="s">
        <v>715</v>
      </c>
      <c r="P465" t="s">
        <v>1577</v>
      </c>
    </row>
    <row r="466" spans="1:16" x14ac:dyDescent="0.25">
      <c r="A466" s="4">
        <v>102038194700</v>
      </c>
      <c r="B466" s="4" t="str">
        <f t="shared" si="12"/>
        <v>102038194700OVR</v>
      </c>
      <c r="C466" t="s">
        <v>1012</v>
      </c>
      <c r="D466" t="s">
        <v>74</v>
      </c>
      <c r="E466" s="11">
        <v>20411454</v>
      </c>
      <c r="F466" t="s">
        <v>1639</v>
      </c>
      <c r="G466" t="s">
        <v>49</v>
      </c>
      <c r="H466" t="s">
        <v>714</v>
      </c>
      <c r="I466" s="1">
        <v>45505</v>
      </c>
      <c r="J466" s="2">
        <v>1</v>
      </c>
      <c r="K466" s="2">
        <v>1</v>
      </c>
      <c r="M466" s="3">
        <v>1</v>
      </c>
      <c r="N466" s="2">
        <v>2</v>
      </c>
      <c r="O466" t="s">
        <v>715</v>
      </c>
      <c r="P466" t="s">
        <v>1577</v>
      </c>
    </row>
    <row r="467" spans="1:16" x14ac:dyDescent="0.25">
      <c r="A467" s="4">
        <v>102040124800</v>
      </c>
      <c r="B467" s="4" t="str">
        <f t="shared" si="12"/>
        <v>102040124800OVR</v>
      </c>
      <c r="C467" t="s">
        <v>1013</v>
      </c>
      <c r="D467" t="s">
        <v>97</v>
      </c>
      <c r="E467" s="11">
        <v>20411454</v>
      </c>
      <c r="F467" t="s">
        <v>1639</v>
      </c>
      <c r="G467" t="s">
        <v>49</v>
      </c>
      <c r="H467" t="s">
        <v>714</v>
      </c>
      <c r="I467" s="1">
        <v>45536</v>
      </c>
      <c r="J467" s="2">
        <v>1</v>
      </c>
      <c r="K467" s="2">
        <v>1</v>
      </c>
      <c r="M467" s="3">
        <v>1</v>
      </c>
      <c r="N467" s="2">
        <v>2</v>
      </c>
      <c r="O467" t="s">
        <v>715</v>
      </c>
      <c r="P467" t="s">
        <v>1577</v>
      </c>
    </row>
    <row r="468" spans="1:16" x14ac:dyDescent="0.25">
      <c r="A468" s="4">
        <v>102040827300</v>
      </c>
      <c r="B468" s="4" t="str">
        <f t="shared" si="12"/>
        <v>102040827300OVR</v>
      </c>
      <c r="C468" t="s">
        <v>1014</v>
      </c>
      <c r="D468" t="s">
        <v>55</v>
      </c>
      <c r="E468" s="11">
        <v>20411454</v>
      </c>
      <c r="F468" t="s">
        <v>1639</v>
      </c>
      <c r="G468" t="s">
        <v>49</v>
      </c>
      <c r="H468" t="s">
        <v>714</v>
      </c>
      <c r="I468" s="1">
        <v>45566</v>
      </c>
      <c r="J468" s="2">
        <v>1</v>
      </c>
      <c r="K468" s="2">
        <v>1</v>
      </c>
      <c r="M468" s="3">
        <v>1</v>
      </c>
      <c r="N468" s="2">
        <v>2</v>
      </c>
      <c r="O468" t="s">
        <v>715</v>
      </c>
      <c r="P468" t="s">
        <v>1577</v>
      </c>
    </row>
    <row r="469" spans="1:16" x14ac:dyDescent="0.25">
      <c r="A469" s="4">
        <v>102041647300</v>
      </c>
      <c r="B469" s="4" t="str">
        <f t="shared" si="12"/>
        <v>102041647300OVR</v>
      </c>
      <c r="C469" t="s">
        <v>1015</v>
      </c>
      <c r="D469" t="s">
        <v>110</v>
      </c>
      <c r="E469" s="11">
        <v>20411454</v>
      </c>
      <c r="F469" t="s">
        <v>1639</v>
      </c>
      <c r="G469" t="s">
        <v>49</v>
      </c>
      <c r="H469" t="s">
        <v>714</v>
      </c>
      <c r="I469" s="1">
        <v>45505</v>
      </c>
      <c r="J469" s="2">
        <v>1</v>
      </c>
      <c r="K469" s="2">
        <v>1</v>
      </c>
      <c r="M469" s="3">
        <v>1</v>
      </c>
      <c r="N469" s="2">
        <v>2</v>
      </c>
      <c r="O469" t="s">
        <v>715</v>
      </c>
      <c r="P469" t="s">
        <v>1577</v>
      </c>
    </row>
    <row r="470" spans="1:16" x14ac:dyDescent="0.25">
      <c r="A470" s="4">
        <v>102042487000</v>
      </c>
      <c r="B470" s="4" t="str">
        <f t="shared" si="12"/>
        <v>102042487000OVR</v>
      </c>
      <c r="C470" t="s">
        <v>1016</v>
      </c>
      <c r="D470" t="s">
        <v>202</v>
      </c>
      <c r="E470" s="11">
        <v>20411454</v>
      </c>
      <c r="F470" t="s">
        <v>1639</v>
      </c>
      <c r="G470" t="s">
        <v>49</v>
      </c>
      <c r="H470" t="s">
        <v>714</v>
      </c>
      <c r="I470" s="1">
        <v>45536</v>
      </c>
      <c r="J470" s="2">
        <v>1</v>
      </c>
      <c r="K470" s="2">
        <v>1</v>
      </c>
      <c r="M470" s="3">
        <v>1</v>
      </c>
      <c r="N470" s="2">
        <v>2</v>
      </c>
      <c r="O470" t="s">
        <v>715</v>
      </c>
      <c r="P470" t="s">
        <v>1577</v>
      </c>
    </row>
    <row r="471" spans="1:16" x14ac:dyDescent="0.25">
      <c r="A471" s="4">
        <v>102043771500</v>
      </c>
      <c r="B471" s="4" t="str">
        <f t="shared" si="12"/>
        <v>102043771500OVR</v>
      </c>
      <c r="C471" t="s">
        <v>1018</v>
      </c>
      <c r="D471" t="s">
        <v>55</v>
      </c>
      <c r="E471" s="11">
        <v>20411454</v>
      </c>
      <c r="F471" t="s">
        <v>1639</v>
      </c>
      <c r="G471" t="s">
        <v>49</v>
      </c>
      <c r="H471" t="s">
        <v>714</v>
      </c>
      <c r="I471" s="1">
        <v>45566</v>
      </c>
      <c r="J471" s="2">
        <v>1</v>
      </c>
      <c r="K471" s="2">
        <v>1</v>
      </c>
      <c r="M471" s="3">
        <v>1</v>
      </c>
      <c r="N471" s="2">
        <v>2</v>
      </c>
      <c r="O471" t="s">
        <v>715</v>
      </c>
      <c r="P471" t="s">
        <v>1577</v>
      </c>
    </row>
    <row r="472" spans="1:16" x14ac:dyDescent="0.25">
      <c r="A472" s="4">
        <v>102043872000</v>
      </c>
      <c r="B472" s="4" t="str">
        <f t="shared" si="12"/>
        <v>102043872000OVR</v>
      </c>
      <c r="C472" t="s">
        <v>1019</v>
      </c>
      <c r="D472" t="s">
        <v>202</v>
      </c>
      <c r="E472" s="11">
        <v>20411454</v>
      </c>
      <c r="F472" t="s">
        <v>1639</v>
      </c>
      <c r="G472" t="s">
        <v>49</v>
      </c>
      <c r="H472" t="s">
        <v>714</v>
      </c>
      <c r="I472" s="1">
        <v>45536</v>
      </c>
      <c r="J472" s="2">
        <v>1</v>
      </c>
      <c r="K472" s="2">
        <v>1</v>
      </c>
      <c r="M472" s="3">
        <v>1</v>
      </c>
      <c r="N472" s="2">
        <v>2</v>
      </c>
      <c r="O472" t="s">
        <v>715</v>
      </c>
      <c r="P472" t="s">
        <v>1577</v>
      </c>
    </row>
    <row r="473" spans="1:16" x14ac:dyDescent="0.25">
      <c r="A473" s="4">
        <v>102044679100</v>
      </c>
      <c r="B473" s="4" t="str">
        <f t="shared" si="12"/>
        <v>102044679100OVR</v>
      </c>
      <c r="C473" t="s">
        <v>1020</v>
      </c>
      <c r="D473" t="s">
        <v>202</v>
      </c>
      <c r="E473" s="11">
        <v>20411454</v>
      </c>
      <c r="F473" t="s">
        <v>1639</v>
      </c>
      <c r="G473" t="s">
        <v>49</v>
      </c>
      <c r="H473" t="s">
        <v>714</v>
      </c>
      <c r="I473" s="1">
        <v>45566</v>
      </c>
      <c r="J473" s="2">
        <v>1</v>
      </c>
      <c r="K473" s="2">
        <v>1</v>
      </c>
      <c r="M473" s="3">
        <v>1</v>
      </c>
      <c r="N473" s="2">
        <v>2</v>
      </c>
      <c r="O473" t="s">
        <v>715</v>
      </c>
      <c r="P473" t="s">
        <v>1577</v>
      </c>
    </row>
    <row r="474" spans="1:16" x14ac:dyDescent="0.25">
      <c r="A474" s="4">
        <v>102044729900</v>
      </c>
      <c r="B474" s="4" t="str">
        <f t="shared" si="12"/>
        <v>102044729900OVR</v>
      </c>
      <c r="C474" t="s">
        <v>1021</v>
      </c>
      <c r="D474" t="s">
        <v>55</v>
      </c>
      <c r="E474" s="11">
        <v>20411454</v>
      </c>
      <c r="F474" t="s">
        <v>1639</v>
      </c>
      <c r="G474" t="s">
        <v>49</v>
      </c>
      <c r="H474" t="s">
        <v>714</v>
      </c>
      <c r="I474" s="1">
        <v>45566</v>
      </c>
      <c r="J474" s="2">
        <v>1</v>
      </c>
      <c r="K474" s="2">
        <v>1</v>
      </c>
      <c r="M474" s="3">
        <v>1</v>
      </c>
      <c r="N474" s="2">
        <v>2</v>
      </c>
      <c r="O474" t="s">
        <v>715</v>
      </c>
      <c r="P474" t="s">
        <v>1577</v>
      </c>
    </row>
    <row r="475" spans="1:16" x14ac:dyDescent="0.25">
      <c r="A475" s="4">
        <v>102046259200</v>
      </c>
      <c r="B475" s="4" t="str">
        <f t="shared" si="12"/>
        <v>102046259200OVR</v>
      </c>
      <c r="C475" t="s">
        <v>1022</v>
      </c>
      <c r="D475" t="s">
        <v>202</v>
      </c>
      <c r="E475" s="11">
        <v>20411454</v>
      </c>
      <c r="F475" t="s">
        <v>1639</v>
      </c>
      <c r="G475" t="s">
        <v>49</v>
      </c>
      <c r="H475" t="s">
        <v>714</v>
      </c>
      <c r="I475" s="1">
        <v>45597</v>
      </c>
      <c r="J475" s="2">
        <v>1</v>
      </c>
      <c r="K475" s="2">
        <v>1</v>
      </c>
      <c r="M475" s="3">
        <v>1</v>
      </c>
      <c r="N475" s="2">
        <v>2</v>
      </c>
      <c r="O475" t="s">
        <v>715</v>
      </c>
      <c r="P475" t="s">
        <v>1577</v>
      </c>
    </row>
    <row r="476" spans="1:16" x14ac:dyDescent="0.25">
      <c r="A476" s="4">
        <v>102046287500</v>
      </c>
      <c r="B476" s="4" t="str">
        <f t="shared" si="12"/>
        <v>102046287500OVR</v>
      </c>
      <c r="C476" t="s">
        <v>1023</v>
      </c>
      <c r="D476" t="s">
        <v>202</v>
      </c>
      <c r="E476" s="11">
        <v>20411454</v>
      </c>
      <c r="F476" t="s">
        <v>1639</v>
      </c>
      <c r="G476" t="s">
        <v>49</v>
      </c>
      <c r="H476" t="s">
        <v>714</v>
      </c>
      <c r="I476" s="1">
        <v>45536</v>
      </c>
      <c r="J476" s="2">
        <v>1</v>
      </c>
      <c r="K476" s="2">
        <v>1</v>
      </c>
      <c r="M476" s="3">
        <v>1</v>
      </c>
      <c r="N476" s="2">
        <v>2</v>
      </c>
      <c r="O476" t="s">
        <v>715</v>
      </c>
      <c r="P476" t="s">
        <v>1577</v>
      </c>
    </row>
    <row r="477" spans="1:16" x14ac:dyDescent="0.25">
      <c r="A477" s="4">
        <v>102046673700</v>
      </c>
      <c r="B477" s="4" t="str">
        <f t="shared" si="12"/>
        <v>102046673700OVR</v>
      </c>
      <c r="C477" t="s">
        <v>1024</v>
      </c>
      <c r="D477" t="s">
        <v>202</v>
      </c>
      <c r="E477" s="11">
        <v>20411454</v>
      </c>
      <c r="F477" t="s">
        <v>1639</v>
      </c>
      <c r="G477" t="s">
        <v>49</v>
      </c>
      <c r="H477" t="s">
        <v>714</v>
      </c>
      <c r="I477" s="1">
        <v>45536</v>
      </c>
      <c r="J477" s="2">
        <v>1</v>
      </c>
      <c r="K477" s="2">
        <v>1</v>
      </c>
      <c r="M477" s="3">
        <v>1</v>
      </c>
      <c r="N477" s="2">
        <v>2</v>
      </c>
      <c r="O477" t="s">
        <v>715</v>
      </c>
      <c r="P477" t="s">
        <v>1577</v>
      </c>
    </row>
    <row r="478" spans="1:16" x14ac:dyDescent="0.25">
      <c r="A478" s="4">
        <v>102048671500</v>
      </c>
      <c r="B478" s="4" t="str">
        <f t="shared" si="12"/>
        <v>102048671500OVR</v>
      </c>
      <c r="C478" t="s">
        <v>1025</v>
      </c>
      <c r="D478" t="s">
        <v>202</v>
      </c>
      <c r="E478" s="11">
        <v>20411454</v>
      </c>
      <c r="F478" t="s">
        <v>1639</v>
      </c>
      <c r="G478" t="s">
        <v>49</v>
      </c>
      <c r="H478" t="s">
        <v>714</v>
      </c>
      <c r="I478" s="1">
        <v>45566</v>
      </c>
      <c r="J478" s="2">
        <v>1</v>
      </c>
      <c r="K478" s="2">
        <v>1</v>
      </c>
      <c r="M478" s="3">
        <v>1</v>
      </c>
      <c r="N478" s="2">
        <v>2</v>
      </c>
      <c r="O478" t="s">
        <v>715</v>
      </c>
      <c r="P478" t="s">
        <v>1577</v>
      </c>
    </row>
    <row r="479" spans="1:16" x14ac:dyDescent="0.25">
      <c r="A479" s="4">
        <v>102048695700</v>
      </c>
      <c r="B479" s="4" t="str">
        <f t="shared" ref="B479:B542" si="13">CONCATENATE(A479,"OVR")</f>
        <v>102048695700OVR</v>
      </c>
      <c r="C479" t="s">
        <v>1026</v>
      </c>
      <c r="D479" t="s">
        <v>202</v>
      </c>
      <c r="E479" s="11">
        <v>20411454</v>
      </c>
      <c r="F479" t="s">
        <v>1639</v>
      </c>
      <c r="G479" t="s">
        <v>49</v>
      </c>
      <c r="H479" t="s">
        <v>714</v>
      </c>
      <c r="I479" s="1">
        <v>45536</v>
      </c>
      <c r="J479" s="2">
        <v>1</v>
      </c>
      <c r="K479" s="2">
        <v>1</v>
      </c>
      <c r="M479" s="3">
        <v>1</v>
      </c>
      <c r="N479" s="2">
        <v>2</v>
      </c>
      <c r="O479" t="s">
        <v>715</v>
      </c>
      <c r="P479" t="s">
        <v>1577</v>
      </c>
    </row>
    <row r="480" spans="1:16" x14ac:dyDescent="0.25">
      <c r="A480" s="4">
        <v>102049165000</v>
      </c>
      <c r="B480" s="4" t="str">
        <f t="shared" si="13"/>
        <v>102049165000OVR</v>
      </c>
      <c r="C480" t="s">
        <v>1027</v>
      </c>
      <c r="D480" t="s">
        <v>55</v>
      </c>
      <c r="E480" s="11">
        <v>20411454</v>
      </c>
      <c r="F480" t="s">
        <v>1639</v>
      </c>
      <c r="G480" t="s">
        <v>49</v>
      </c>
      <c r="H480" t="s">
        <v>714</v>
      </c>
      <c r="I480" s="1">
        <v>45566</v>
      </c>
      <c r="J480" s="2">
        <v>1</v>
      </c>
      <c r="K480" s="2">
        <v>1</v>
      </c>
      <c r="M480" s="3">
        <v>1</v>
      </c>
      <c r="N480" s="2">
        <v>2</v>
      </c>
      <c r="O480" t="s">
        <v>715</v>
      </c>
      <c r="P480" t="s">
        <v>1577</v>
      </c>
    </row>
    <row r="481" spans="1:16" x14ac:dyDescent="0.25">
      <c r="A481" s="4">
        <v>102049245100</v>
      </c>
      <c r="B481" s="4" t="str">
        <f t="shared" si="13"/>
        <v>102049245100OVR</v>
      </c>
      <c r="C481" t="s">
        <v>1028</v>
      </c>
      <c r="D481" t="s">
        <v>1029</v>
      </c>
      <c r="E481" s="11">
        <v>20411454</v>
      </c>
      <c r="F481" t="s">
        <v>1639</v>
      </c>
      <c r="G481" t="s">
        <v>49</v>
      </c>
      <c r="H481" t="s">
        <v>714</v>
      </c>
      <c r="I481" s="1">
        <v>45597</v>
      </c>
      <c r="J481" s="2">
        <v>1</v>
      </c>
      <c r="K481" s="2">
        <v>1</v>
      </c>
      <c r="M481" s="3">
        <v>1</v>
      </c>
      <c r="N481" s="2">
        <v>2</v>
      </c>
      <c r="O481" t="s">
        <v>715</v>
      </c>
      <c r="P481" t="s">
        <v>1577</v>
      </c>
    </row>
    <row r="482" spans="1:16" x14ac:dyDescent="0.25">
      <c r="A482" s="4">
        <v>102049267000</v>
      </c>
      <c r="B482" s="4" t="str">
        <f t="shared" si="13"/>
        <v>102049267000OVR</v>
      </c>
      <c r="C482" t="s">
        <v>1030</v>
      </c>
      <c r="D482" t="s">
        <v>202</v>
      </c>
      <c r="E482" s="11">
        <v>20411454</v>
      </c>
      <c r="F482" t="s">
        <v>1639</v>
      </c>
      <c r="G482" t="s">
        <v>49</v>
      </c>
      <c r="H482" t="s">
        <v>714</v>
      </c>
      <c r="I482" s="1">
        <v>45536</v>
      </c>
      <c r="J482" s="2">
        <v>1</v>
      </c>
      <c r="K482" s="2">
        <v>1</v>
      </c>
      <c r="M482" s="3">
        <v>1</v>
      </c>
      <c r="N482" s="2">
        <v>2</v>
      </c>
      <c r="O482" t="s">
        <v>715</v>
      </c>
      <c r="P482" t="s">
        <v>1577</v>
      </c>
    </row>
    <row r="483" spans="1:16" x14ac:dyDescent="0.25">
      <c r="A483" s="4">
        <v>102049634300</v>
      </c>
      <c r="B483" s="4" t="str">
        <f t="shared" si="13"/>
        <v>102049634300OVR</v>
      </c>
      <c r="C483" t="s">
        <v>1031</v>
      </c>
      <c r="D483" t="s">
        <v>202</v>
      </c>
      <c r="E483" s="11">
        <v>20411454</v>
      </c>
      <c r="F483" t="s">
        <v>1639</v>
      </c>
      <c r="G483" t="s">
        <v>49</v>
      </c>
      <c r="H483" t="s">
        <v>714</v>
      </c>
      <c r="I483" s="1">
        <v>45597</v>
      </c>
      <c r="J483" s="2">
        <v>1</v>
      </c>
      <c r="K483" s="2">
        <v>1</v>
      </c>
      <c r="M483" s="3">
        <v>1</v>
      </c>
      <c r="N483" s="2">
        <v>2</v>
      </c>
      <c r="O483" t="s">
        <v>715</v>
      </c>
      <c r="P483" t="s">
        <v>1577</v>
      </c>
    </row>
    <row r="484" spans="1:16" x14ac:dyDescent="0.25">
      <c r="A484" s="4">
        <v>102049702100</v>
      </c>
      <c r="B484" s="4" t="str">
        <f t="shared" si="13"/>
        <v>102049702100OVR</v>
      </c>
      <c r="C484" t="s">
        <v>1033</v>
      </c>
      <c r="D484" t="s">
        <v>1034</v>
      </c>
      <c r="E484" s="11">
        <v>20411454</v>
      </c>
      <c r="F484" t="s">
        <v>1639</v>
      </c>
      <c r="G484" t="s">
        <v>49</v>
      </c>
      <c r="H484" t="s">
        <v>714</v>
      </c>
      <c r="I484" s="1">
        <v>45536</v>
      </c>
      <c r="J484" s="2">
        <v>1</v>
      </c>
      <c r="K484" s="2">
        <v>1</v>
      </c>
      <c r="M484" s="3">
        <v>1</v>
      </c>
      <c r="N484" s="2">
        <v>2</v>
      </c>
      <c r="O484" t="s">
        <v>715</v>
      </c>
      <c r="P484" t="s">
        <v>1577</v>
      </c>
    </row>
    <row r="485" spans="1:16" x14ac:dyDescent="0.25">
      <c r="A485" s="4">
        <v>102049732200</v>
      </c>
      <c r="B485" s="4" t="str">
        <f t="shared" si="13"/>
        <v>102049732200OVR</v>
      </c>
      <c r="C485" t="s">
        <v>1035</v>
      </c>
      <c r="D485" t="s">
        <v>55</v>
      </c>
      <c r="E485" s="11">
        <v>20411454</v>
      </c>
      <c r="F485" t="s">
        <v>1639</v>
      </c>
      <c r="G485" t="s">
        <v>49</v>
      </c>
      <c r="H485" t="s">
        <v>714</v>
      </c>
      <c r="I485" s="1">
        <v>45597</v>
      </c>
      <c r="J485" s="2">
        <v>1</v>
      </c>
      <c r="K485" s="2">
        <v>1</v>
      </c>
      <c r="M485" s="3">
        <v>1</v>
      </c>
      <c r="N485" s="2">
        <v>2</v>
      </c>
      <c r="O485" t="s">
        <v>715</v>
      </c>
      <c r="P485" t="s">
        <v>1577</v>
      </c>
    </row>
    <row r="486" spans="1:16" x14ac:dyDescent="0.25">
      <c r="A486" s="4">
        <v>102050057000</v>
      </c>
      <c r="B486" s="4" t="str">
        <f t="shared" si="13"/>
        <v>102050057000OVR</v>
      </c>
      <c r="C486" t="s">
        <v>1036</v>
      </c>
      <c r="D486" t="s">
        <v>202</v>
      </c>
      <c r="E486" s="11">
        <v>20411454</v>
      </c>
      <c r="F486" t="s">
        <v>1639</v>
      </c>
      <c r="G486" t="s">
        <v>49</v>
      </c>
      <c r="H486" t="s">
        <v>714</v>
      </c>
      <c r="I486" s="1">
        <v>45566</v>
      </c>
      <c r="J486" s="2">
        <v>1</v>
      </c>
      <c r="K486" s="2">
        <v>1</v>
      </c>
      <c r="M486" s="3">
        <v>1</v>
      </c>
      <c r="N486" s="2">
        <v>2</v>
      </c>
      <c r="O486" t="s">
        <v>715</v>
      </c>
      <c r="P486" t="s">
        <v>1577</v>
      </c>
    </row>
    <row r="487" spans="1:16" x14ac:dyDescent="0.25">
      <c r="A487" s="4">
        <v>102050057700</v>
      </c>
      <c r="B487" s="4" t="str">
        <f t="shared" si="13"/>
        <v>102050057700OVR</v>
      </c>
      <c r="C487" t="s">
        <v>1037</v>
      </c>
      <c r="D487" t="s">
        <v>202</v>
      </c>
      <c r="E487" s="11">
        <v>20411454</v>
      </c>
      <c r="F487" t="s">
        <v>1639</v>
      </c>
      <c r="G487" t="s">
        <v>49</v>
      </c>
      <c r="H487" t="s">
        <v>714</v>
      </c>
      <c r="I487" s="1">
        <v>45566</v>
      </c>
      <c r="J487" s="2">
        <v>1</v>
      </c>
      <c r="K487" s="2">
        <v>1</v>
      </c>
      <c r="M487" s="3">
        <v>1</v>
      </c>
      <c r="N487" s="2">
        <v>2</v>
      </c>
      <c r="O487" t="s">
        <v>715</v>
      </c>
      <c r="P487" t="s">
        <v>1577</v>
      </c>
    </row>
    <row r="488" spans="1:16" x14ac:dyDescent="0.25">
      <c r="A488" s="4">
        <v>102050179700</v>
      </c>
      <c r="B488" s="4" t="str">
        <f t="shared" si="13"/>
        <v>102050179700OVR</v>
      </c>
      <c r="C488" t="s">
        <v>1038</v>
      </c>
      <c r="D488" t="s">
        <v>287</v>
      </c>
      <c r="E488" s="11">
        <v>20411454</v>
      </c>
      <c r="F488" t="s">
        <v>1639</v>
      </c>
      <c r="G488" t="s">
        <v>49</v>
      </c>
      <c r="H488" t="s">
        <v>714</v>
      </c>
      <c r="I488" s="1">
        <v>45536</v>
      </c>
      <c r="J488" s="2">
        <v>1</v>
      </c>
      <c r="K488" s="2">
        <v>1</v>
      </c>
      <c r="M488" s="3">
        <v>1</v>
      </c>
      <c r="N488" s="2">
        <v>2</v>
      </c>
      <c r="O488" t="s">
        <v>715</v>
      </c>
      <c r="P488" t="s">
        <v>1577</v>
      </c>
    </row>
    <row r="489" spans="1:16" x14ac:dyDescent="0.25">
      <c r="A489" s="4">
        <v>102050715300</v>
      </c>
      <c r="B489" s="4" t="str">
        <f t="shared" si="13"/>
        <v>102050715300OVR</v>
      </c>
      <c r="C489" t="s">
        <v>1039</v>
      </c>
      <c r="D489" t="s">
        <v>55</v>
      </c>
      <c r="E489" s="11">
        <v>20411454</v>
      </c>
      <c r="F489" t="s">
        <v>1639</v>
      </c>
      <c r="G489" t="s">
        <v>49</v>
      </c>
      <c r="H489" t="s">
        <v>714</v>
      </c>
      <c r="I489" s="1">
        <v>45566</v>
      </c>
      <c r="J489" s="2">
        <v>1</v>
      </c>
      <c r="K489" s="2">
        <v>1</v>
      </c>
      <c r="M489" s="3">
        <v>1</v>
      </c>
      <c r="N489" s="2">
        <v>2</v>
      </c>
      <c r="O489" t="s">
        <v>715</v>
      </c>
      <c r="P489" t="s">
        <v>1577</v>
      </c>
    </row>
    <row r="490" spans="1:16" x14ac:dyDescent="0.25">
      <c r="A490" s="4">
        <v>102051406100</v>
      </c>
      <c r="B490" s="4" t="str">
        <f t="shared" si="13"/>
        <v>102051406100OVR</v>
      </c>
      <c r="C490" t="s">
        <v>1040</v>
      </c>
      <c r="D490" t="s">
        <v>202</v>
      </c>
      <c r="E490" s="11">
        <v>20411454</v>
      </c>
      <c r="F490" t="s">
        <v>1639</v>
      </c>
      <c r="G490" t="s">
        <v>49</v>
      </c>
      <c r="H490" t="s">
        <v>714</v>
      </c>
      <c r="I490" s="1">
        <v>45536</v>
      </c>
      <c r="J490" s="2">
        <v>1</v>
      </c>
      <c r="K490" s="2">
        <v>1</v>
      </c>
      <c r="M490" s="3">
        <v>1</v>
      </c>
      <c r="N490" s="2">
        <v>2</v>
      </c>
      <c r="O490" t="s">
        <v>715</v>
      </c>
      <c r="P490" t="s">
        <v>1577</v>
      </c>
    </row>
    <row r="491" spans="1:16" x14ac:dyDescent="0.25">
      <c r="A491" s="4">
        <v>102051423100</v>
      </c>
      <c r="B491" s="4" t="str">
        <f t="shared" si="13"/>
        <v>102051423100OVR</v>
      </c>
      <c r="C491" t="s">
        <v>1041</v>
      </c>
      <c r="D491" t="s">
        <v>461</v>
      </c>
      <c r="E491" s="11">
        <v>20411454</v>
      </c>
      <c r="F491" t="s">
        <v>1639</v>
      </c>
      <c r="G491" t="s">
        <v>49</v>
      </c>
      <c r="H491" t="s">
        <v>714</v>
      </c>
      <c r="I491" s="1">
        <v>45536</v>
      </c>
      <c r="J491" s="2">
        <v>1</v>
      </c>
      <c r="K491" s="2">
        <v>1</v>
      </c>
      <c r="M491" s="3">
        <v>1</v>
      </c>
      <c r="N491" s="2">
        <v>2</v>
      </c>
      <c r="O491" t="s">
        <v>715</v>
      </c>
      <c r="P491" t="s">
        <v>1577</v>
      </c>
    </row>
    <row r="492" spans="1:16" x14ac:dyDescent="0.25">
      <c r="A492" s="4">
        <v>102051462300</v>
      </c>
      <c r="B492" s="4" t="str">
        <f t="shared" si="13"/>
        <v>102051462300OVR</v>
      </c>
      <c r="C492" t="s">
        <v>1042</v>
      </c>
      <c r="D492" t="s">
        <v>202</v>
      </c>
      <c r="E492" s="11">
        <v>20411454</v>
      </c>
      <c r="F492" t="s">
        <v>1639</v>
      </c>
      <c r="G492" t="s">
        <v>49</v>
      </c>
      <c r="H492" t="s">
        <v>714</v>
      </c>
      <c r="I492" s="1">
        <v>45536</v>
      </c>
      <c r="J492" s="2">
        <v>1</v>
      </c>
      <c r="K492" s="2">
        <v>1</v>
      </c>
      <c r="M492" s="3">
        <v>1</v>
      </c>
      <c r="N492" s="2">
        <v>2</v>
      </c>
      <c r="O492" t="s">
        <v>715</v>
      </c>
      <c r="P492" t="s">
        <v>1577</v>
      </c>
    </row>
    <row r="493" spans="1:16" x14ac:dyDescent="0.25">
      <c r="A493" s="4">
        <v>102051937300</v>
      </c>
      <c r="B493" s="4" t="str">
        <f t="shared" si="13"/>
        <v>102051937300OVR</v>
      </c>
      <c r="C493" t="s">
        <v>1043</v>
      </c>
      <c r="D493" t="s">
        <v>97</v>
      </c>
      <c r="E493" s="11">
        <v>20411454</v>
      </c>
      <c r="F493" t="s">
        <v>1639</v>
      </c>
      <c r="G493" t="s">
        <v>49</v>
      </c>
      <c r="H493" t="s">
        <v>714</v>
      </c>
      <c r="I493" s="1">
        <v>45536</v>
      </c>
      <c r="J493" s="2">
        <v>1</v>
      </c>
      <c r="K493" s="2">
        <v>1</v>
      </c>
      <c r="M493" s="3">
        <v>1</v>
      </c>
      <c r="N493" s="2">
        <v>2</v>
      </c>
      <c r="O493" t="s">
        <v>715</v>
      </c>
      <c r="P493" t="s">
        <v>1577</v>
      </c>
    </row>
    <row r="494" spans="1:16" x14ac:dyDescent="0.25">
      <c r="A494" s="4">
        <v>102052502800</v>
      </c>
      <c r="B494" s="4" t="str">
        <f t="shared" si="13"/>
        <v>102052502800OVR</v>
      </c>
      <c r="C494" t="s">
        <v>1044</v>
      </c>
      <c r="D494" t="s">
        <v>55</v>
      </c>
      <c r="E494" s="11">
        <v>20411454</v>
      </c>
      <c r="F494" t="s">
        <v>1639</v>
      </c>
      <c r="G494" t="s">
        <v>49</v>
      </c>
      <c r="H494" t="s">
        <v>714</v>
      </c>
      <c r="I494" s="1">
        <v>45536</v>
      </c>
      <c r="J494" s="2">
        <v>1</v>
      </c>
      <c r="K494" s="2">
        <v>1</v>
      </c>
      <c r="M494" s="3">
        <v>1</v>
      </c>
      <c r="N494" s="2">
        <v>2</v>
      </c>
      <c r="O494" t="s">
        <v>715</v>
      </c>
      <c r="P494" t="s">
        <v>1577</v>
      </c>
    </row>
    <row r="495" spans="1:16" x14ac:dyDescent="0.25">
      <c r="A495" s="4">
        <v>102053217100</v>
      </c>
      <c r="B495" s="4" t="str">
        <f t="shared" si="13"/>
        <v>102053217100OVR</v>
      </c>
      <c r="C495" t="s">
        <v>1046</v>
      </c>
      <c r="D495" t="s">
        <v>55</v>
      </c>
      <c r="E495" s="11">
        <v>20411454</v>
      </c>
      <c r="F495" t="s">
        <v>1639</v>
      </c>
      <c r="G495" t="s">
        <v>49</v>
      </c>
      <c r="H495" t="s">
        <v>714</v>
      </c>
      <c r="I495" s="1">
        <v>45536</v>
      </c>
      <c r="J495" s="2">
        <v>1</v>
      </c>
      <c r="K495" s="2">
        <v>1</v>
      </c>
      <c r="M495" s="3">
        <v>1</v>
      </c>
      <c r="N495" s="2">
        <v>2</v>
      </c>
      <c r="O495" t="s">
        <v>715</v>
      </c>
      <c r="P495" t="s">
        <v>1577</v>
      </c>
    </row>
    <row r="496" spans="1:16" x14ac:dyDescent="0.25">
      <c r="A496" s="4">
        <v>102053241100</v>
      </c>
      <c r="B496" s="4" t="str">
        <f t="shared" si="13"/>
        <v>102053241100OVR</v>
      </c>
      <c r="C496" t="s">
        <v>1047</v>
      </c>
      <c r="D496" t="s">
        <v>55</v>
      </c>
      <c r="E496" s="11">
        <v>20411454</v>
      </c>
      <c r="F496" t="s">
        <v>1639</v>
      </c>
      <c r="G496" t="s">
        <v>49</v>
      </c>
      <c r="H496" t="s">
        <v>714</v>
      </c>
      <c r="I496" s="1">
        <v>45536</v>
      </c>
      <c r="J496" s="2">
        <v>1</v>
      </c>
      <c r="K496" s="2">
        <v>1</v>
      </c>
      <c r="M496" s="3">
        <v>1</v>
      </c>
      <c r="N496" s="2">
        <v>2</v>
      </c>
      <c r="O496" t="s">
        <v>715</v>
      </c>
      <c r="P496" t="s">
        <v>1577</v>
      </c>
    </row>
    <row r="497" spans="1:16" x14ac:dyDescent="0.25">
      <c r="A497" s="4">
        <v>102053814300</v>
      </c>
      <c r="B497" s="4" t="str">
        <f t="shared" si="13"/>
        <v>102053814300OVR</v>
      </c>
      <c r="C497" t="s">
        <v>1048</v>
      </c>
      <c r="D497" t="s">
        <v>55</v>
      </c>
      <c r="E497" s="11">
        <v>20411454</v>
      </c>
      <c r="F497" t="s">
        <v>1639</v>
      </c>
      <c r="G497" t="s">
        <v>49</v>
      </c>
      <c r="H497" t="s">
        <v>714</v>
      </c>
      <c r="I497" s="1">
        <v>45536</v>
      </c>
      <c r="J497" s="2">
        <v>1</v>
      </c>
      <c r="K497" s="2">
        <v>1</v>
      </c>
      <c r="M497" s="3">
        <v>1</v>
      </c>
      <c r="N497" s="2">
        <v>2</v>
      </c>
      <c r="O497" t="s">
        <v>715</v>
      </c>
      <c r="P497" t="s">
        <v>1577</v>
      </c>
    </row>
    <row r="498" spans="1:16" x14ac:dyDescent="0.25">
      <c r="A498" s="4">
        <v>102054994500</v>
      </c>
      <c r="B498" s="4" t="str">
        <f t="shared" si="13"/>
        <v>102054994500OVR</v>
      </c>
      <c r="C498" t="s">
        <v>1049</v>
      </c>
      <c r="D498" t="s">
        <v>1000</v>
      </c>
      <c r="E498" s="11">
        <v>20411454</v>
      </c>
      <c r="F498" t="s">
        <v>1639</v>
      </c>
      <c r="G498" t="s">
        <v>49</v>
      </c>
      <c r="H498" t="s">
        <v>714</v>
      </c>
      <c r="I498" s="1">
        <v>45566</v>
      </c>
      <c r="J498" s="2">
        <v>1</v>
      </c>
      <c r="K498" s="2">
        <v>1</v>
      </c>
      <c r="M498" s="3">
        <v>1</v>
      </c>
      <c r="N498" s="2">
        <v>2</v>
      </c>
      <c r="O498" t="s">
        <v>715</v>
      </c>
      <c r="P498" t="s">
        <v>1577</v>
      </c>
    </row>
    <row r="499" spans="1:16" x14ac:dyDescent="0.25">
      <c r="A499" s="4">
        <v>102054999900</v>
      </c>
      <c r="B499" s="4" t="str">
        <f t="shared" si="13"/>
        <v>102054999900OVR</v>
      </c>
      <c r="C499" t="s">
        <v>1050</v>
      </c>
      <c r="D499" t="s">
        <v>202</v>
      </c>
      <c r="E499" s="11">
        <v>20411454</v>
      </c>
      <c r="F499" t="s">
        <v>1639</v>
      </c>
      <c r="G499" t="s">
        <v>49</v>
      </c>
      <c r="H499" t="s">
        <v>714</v>
      </c>
      <c r="I499" s="1">
        <v>45566</v>
      </c>
      <c r="J499" s="2">
        <v>1</v>
      </c>
      <c r="K499" s="2">
        <v>1</v>
      </c>
      <c r="M499" s="3">
        <v>1</v>
      </c>
      <c r="N499" s="2">
        <v>2</v>
      </c>
      <c r="O499" t="s">
        <v>715</v>
      </c>
      <c r="P499" t="s">
        <v>1577</v>
      </c>
    </row>
    <row r="500" spans="1:16" x14ac:dyDescent="0.25">
      <c r="A500" s="4">
        <v>102055396200</v>
      </c>
      <c r="B500" s="4" t="str">
        <f t="shared" si="13"/>
        <v>102055396200OVR</v>
      </c>
      <c r="C500" t="s">
        <v>1051</v>
      </c>
      <c r="D500" t="s">
        <v>55</v>
      </c>
      <c r="E500" s="11">
        <v>20411454</v>
      </c>
      <c r="F500" t="s">
        <v>1639</v>
      </c>
      <c r="G500" t="s">
        <v>49</v>
      </c>
      <c r="H500" t="s">
        <v>714</v>
      </c>
      <c r="I500" s="1">
        <v>45566</v>
      </c>
      <c r="J500" s="2">
        <v>1</v>
      </c>
      <c r="K500" s="2">
        <v>1</v>
      </c>
      <c r="M500" s="3">
        <v>1</v>
      </c>
      <c r="N500" s="2">
        <v>2</v>
      </c>
      <c r="O500" t="s">
        <v>715</v>
      </c>
      <c r="P500" t="s">
        <v>1577</v>
      </c>
    </row>
    <row r="501" spans="1:16" x14ac:dyDescent="0.25">
      <c r="A501" s="4">
        <v>102055440700</v>
      </c>
      <c r="B501" s="4" t="str">
        <f t="shared" si="13"/>
        <v>102055440700OVR</v>
      </c>
      <c r="C501" t="s">
        <v>1052</v>
      </c>
      <c r="D501" t="s">
        <v>1029</v>
      </c>
      <c r="E501" s="11">
        <v>20411454</v>
      </c>
      <c r="F501" t="s">
        <v>1639</v>
      </c>
      <c r="G501" t="s">
        <v>49</v>
      </c>
      <c r="H501" t="s">
        <v>714</v>
      </c>
      <c r="I501" s="1">
        <v>45597</v>
      </c>
      <c r="J501" s="2">
        <v>1</v>
      </c>
      <c r="K501" s="2">
        <v>1</v>
      </c>
      <c r="M501" s="3">
        <v>1</v>
      </c>
      <c r="N501" s="2">
        <v>2</v>
      </c>
      <c r="O501" t="s">
        <v>715</v>
      </c>
      <c r="P501" t="s">
        <v>1577</v>
      </c>
    </row>
    <row r="502" spans="1:16" x14ac:dyDescent="0.25">
      <c r="A502" s="4">
        <v>102056819400</v>
      </c>
      <c r="B502" s="4" t="str">
        <f t="shared" si="13"/>
        <v>102056819400OVR</v>
      </c>
      <c r="C502" t="s">
        <v>1053</v>
      </c>
      <c r="D502" t="s">
        <v>84</v>
      </c>
      <c r="E502" s="11">
        <v>20411454</v>
      </c>
      <c r="F502" t="s">
        <v>1639</v>
      </c>
      <c r="G502" t="s">
        <v>49</v>
      </c>
      <c r="H502" t="s">
        <v>714</v>
      </c>
      <c r="I502" s="1">
        <v>45566</v>
      </c>
      <c r="J502" s="2">
        <v>1</v>
      </c>
      <c r="K502" s="2">
        <v>1</v>
      </c>
      <c r="M502" s="3">
        <v>1</v>
      </c>
      <c r="N502" s="2">
        <v>2</v>
      </c>
      <c r="O502" t="s">
        <v>715</v>
      </c>
      <c r="P502" t="s">
        <v>1577</v>
      </c>
    </row>
    <row r="503" spans="1:16" x14ac:dyDescent="0.25">
      <c r="A503" s="4">
        <v>102056835200</v>
      </c>
      <c r="B503" s="4" t="str">
        <f t="shared" si="13"/>
        <v>102056835200OVR</v>
      </c>
      <c r="C503" t="s">
        <v>1054</v>
      </c>
      <c r="D503" t="s">
        <v>202</v>
      </c>
      <c r="E503" s="11">
        <v>20411454</v>
      </c>
      <c r="F503" t="s">
        <v>1639</v>
      </c>
      <c r="G503" t="s">
        <v>49</v>
      </c>
      <c r="H503" t="s">
        <v>714</v>
      </c>
      <c r="I503" s="1">
        <v>45566</v>
      </c>
      <c r="J503" s="2">
        <v>1</v>
      </c>
      <c r="K503" s="2">
        <v>1</v>
      </c>
      <c r="M503" s="3">
        <v>1</v>
      </c>
      <c r="N503" s="2">
        <v>2</v>
      </c>
      <c r="O503" t="s">
        <v>715</v>
      </c>
      <c r="P503" t="s">
        <v>1577</v>
      </c>
    </row>
    <row r="504" spans="1:16" x14ac:dyDescent="0.25">
      <c r="A504" s="4">
        <v>102058154400</v>
      </c>
      <c r="B504" s="4" t="str">
        <f t="shared" si="13"/>
        <v>102058154400OVR</v>
      </c>
      <c r="C504" t="s">
        <v>1055</v>
      </c>
      <c r="D504" t="s">
        <v>55</v>
      </c>
      <c r="E504" s="11">
        <v>20411454</v>
      </c>
      <c r="F504" t="s">
        <v>1639</v>
      </c>
      <c r="G504" t="s">
        <v>49</v>
      </c>
      <c r="H504" t="s">
        <v>714</v>
      </c>
      <c r="I504" s="1">
        <v>45597</v>
      </c>
      <c r="J504" s="2">
        <v>1</v>
      </c>
      <c r="K504" s="2">
        <v>1</v>
      </c>
      <c r="M504" s="3">
        <v>1</v>
      </c>
      <c r="N504" s="2">
        <v>2</v>
      </c>
      <c r="O504" t="s">
        <v>715</v>
      </c>
      <c r="P504" t="s">
        <v>1577</v>
      </c>
    </row>
    <row r="505" spans="1:16" x14ac:dyDescent="0.25">
      <c r="A505" s="4">
        <v>102058162400</v>
      </c>
      <c r="B505" s="4" t="str">
        <f t="shared" si="13"/>
        <v>102058162400OVR</v>
      </c>
      <c r="C505" t="s">
        <v>1056</v>
      </c>
      <c r="D505" t="s">
        <v>202</v>
      </c>
      <c r="E505" s="11">
        <v>20411454</v>
      </c>
      <c r="F505" t="s">
        <v>1639</v>
      </c>
      <c r="G505" t="s">
        <v>49</v>
      </c>
      <c r="H505" t="s">
        <v>714</v>
      </c>
      <c r="I505" s="1">
        <v>45566</v>
      </c>
      <c r="J505" s="2">
        <v>1</v>
      </c>
      <c r="K505" s="2">
        <v>1</v>
      </c>
      <c r="M505" s="3">
        <v>1</v>
      </c>
      <c r="N505" s="2">
        <v>2</v>
      </c>
      <c r="O505" t="s">
        <v>715</v>
      </c>
      <c r="P505" t="s">
        <v>1577</v>
      </c>
    </row>
    <row r="506" spans="1:16" x14ac:dyDescent="0.25">
      <c r="A506" s="4">
        <v>102058656500</v>
      </c>
      <c r="B506" s="4" t="str">
        <f t="shared" si="13"/>
        <v>102058656500OVR</v>
      </c>
      <c r="C506" t="s">
        <v>1057</v>
      </c>
      <c r="D506" t="s">
        <v>55</v>
      </c>
      <c r="E506" s="11">
        <v>20411454</v>
      </c>
      <c r="F506" t="s">
        <v>1639</v>
      </c>
      <c r="G506" t="s">
        <v>49</v>
      </c>
      <c r="H506" t="s">
        <v>714</v>
      </c>
      <c r="I506" s="1">
        <v>45597</v>
      </c>
      <c r="J506" s="2">
        <v>1</v>
      </c>
      <c r="K506" s="2">
        <v>1</v>
      </c>
      <c r="M506" s="3">
        <v>1</v>
      </c>
      <c r="N506" s="2">
        <v>2</v>
      </c>
      <c r="O506" t="s">
        <v>715</v>
      </c>
      <c r="P506" t="s">
        <v>1577</v>
      </c>
    </row>
    <row r="507" spans="1:16" x14ac:dyDescent="0.25">
      <c r="A507" s="4">
        <v>102059200300</v>
      </c>
      <c r="B507" s="4" t="str">
        <f t="shared" si="13"/>
        <v>102059200300OVR</v>
      </c>
      <c r="C507" t="s">
        <v>1058</v>
      </c>
      <c r="D507" t="s">
        <v>55</v>
      </c>
      <c r="E507" s="11">
        <v>20411454</v>
      </c>
      <c r="F507" t="s">
        <v>1639</v>
      </c>
      <c r="G507" t="s">
        <v>49</v>
      </c>
      <c r="H507" t="s">
        <v>714</v>
      </c>
      <c r="I507" s="1">
        <v>45566</v>
      </c>
      <c r="J507" s="2">
        <v>1</v>
      </c>
      <c r="K507" s="2">
        <v>1</v>
      </c>
      <c r="M507" s="3">
        <v>1</v>
      </c>
      <c r="N507" s="2">
        <v>2</v>
      </c>
      <c r="O507" t="s">
        <v>715</v>
      </c>
      <c r="P507" t="s">
        <v>1577</v>
      </c>
    </row>
    <row r="508" spans="1:16" x14ac:dyDescent="0.25">
      <c r="A508" s="4">
        <v>102059218000</v>
      </c>
      <c r="B508" s="4" t="str">
        <f t="shared" si="13"/>
        <v>102059218000OVR</v>
      </c>
      <c r="C508" t="s">
        <v>1059</v>
      </c>
      <c r="D508" t="s">
        <v>202</v>
      </c>
      <c r="E508" s="11">
        <v>20411454</v>
      </c>
      <c r="F508" t="s">
        <v>1639</v>
      </c>
      <c r="G508" t="s">
        <v>49</v>
      </c>
      <c r="H508" t="s">
        <v>714</v>
      </c>
      <c r="I508" s="1">
        <v>45566</v>
      </c>
      <c r="J508" s="2">
        <v>1</v>
      </c>
      <c r="K508" s="2">
        <v>1</v>
      </c>
      <c r="M508" s="3">
        <v>1</v>
      </c>
      <c r="N508" s="2">
        <v>2</v>
      </c>
      <c r="O508" t="s">
        <v>715</v>
      </c>
      <c r="P508" t="s">
        <v>1577</v>
      </c>
    </row>
    <row r="509" spans="1:16" x14ac:dyDescent="0.25">
      <c r="A509" s="4">
        <v>102059559800</v>
      </c>
      <c r="B509" s="4" t="str">
        <f t="shared" si="13"/>
        <v>102059559800OVR</v>
      </c>
      <c r="C509" t="s">
        <v>1060</v>
      </c>
      <c r="D509" t="s">
        <v>202</v>
      </c>
      <c r="E509" s="11">
        <v>20411454</v>
      </c>
      <c r="F509" t="s">
        <v>1639</v>
      </c>
      <c r="G509" t="s">
        <v>49</v>
      </c>
      <c r="H509" t="s">
        <v>714</v>
      </c>
      <c r="I509" s="1">
        <v>45566</v>
      </c>
      <c r="J509" s="2">
        <v>1</v>
      </c>
      <c r="K509" s="2">
        <v>1</v>
      </c>
      <c r="M509" s="3">
        <v>1</v>
      </c>
      <c r="N509" s="2">
        <v>2</v>
      </c>
      <c r="O509" t="s">
        <v>715</v>
      </c>
      <c r="P509" t="s">
        <v>1577</v>
      </c>
    </row>
    <row r="510" spans="1:16" x14ac:dyDescent="0.25">
      <c r="A510" s="4">
        <v>102059560100</v>
      </c>
      <c r="B510" s="4" t="str">
        <f t="shared" si="13"/>
        <v>102059560100OVR</v>
      </c>
      <c r="C510" t="s">
        <v>1061</v>
      </c>
      <c r="D510" t="s">
        <v>1062</v>
      </c>
      <c r="E510" s="11">
        <v>20411454</v>
      </c>
      <c r="F510" t="s">
        <v>1639</v>
      </c>
      <c r="G510" t="s">
        <v>49</v>
      </c>
      <c r="H510" t="s">
        <v>714</v>
      </c>
      <c r="I510" s="1">
        <v>45566</v>
      </c>
      <c r="J510" s="2">
        <v>1</v>
      </c>
      <c r="K510" s="2">
        <v>1</v>
      </c>
      <c r="M510" s="3">
        <v>1</v>
      </c>
      <c r="N510" s="2">
        <v>2</v>
      </c>
      <c r="O510" t="s">
        <v>715</v>
      </c>
      <c r="P510" t="s">
        <v>1577</v>
      </c>
    </row>
    <row r="511" spans="1:16" x14ac:dyDescent="0.25">
      <c r="A511" s="4">
        <v>102061419300</v>
      </c>
      <c r="B511" s="4" t="str">
        <f t="shared" si="13"/>
        <v>102061419300OVR</v>
      </c>
      <c r="C511" t="s">
        <v>1065</v>
      </c>
      <c r="D511" t="s">
        <v>202</v>
      </c>
      <c r="E511" s="11">
        <v>20411454</v>
      </c>
      <c r="F511" t="s">
        <v>1639</v>
      </c>
      <c r="G511" t="s">
        <v>49</v>
      </c>
      <c r="H511" t="s">
        <v>714</v>
      </c>
      <c r="I511" s="1">
        <v>45566</v>
      </c>
      <c r="J511" s="2">
        <v>1</v>
      </c>
      <c r="K511" s="2">
        <v>1</v>
      </c>
      <c r="M511" s="3">
        <v>1</v>
      </c>
      <c r="N511" s="2">
        <v>2</v>
      </c>
      <c r="O511" t="s">
        <v>715</v>
      </c>
      <c r="P511" t="s">
        <v>1577</v>
      </c>
    </row>
    <row r="512" spans="1:16" x14ac:dyDescent="0.25">
      <c r="A512" s="4">
        <v>102061556500</v>
      </c>
      <c r="B512" s="4" t="str">
        <f t="shared" si="13"/>
        <v>102061556500OVR</v>
      </c>
      <c r="C512" t="s">
        <v>1066</v>
      </c>
      <c r="D512" t="s">
        <v>55</v>
      </c>
      <c r="E512" s="11">
        <v>20411454</v>
      </c>
      <c r="F512" t="s">
        <v>1639</v>
      </c>
      <c r="G512" t="s">
        <v>49</v>
      </c>
      <c r="H512" t="s">
        <v>714</v>
      </c>
      <c r="I512" s="1">
        <v>45566</v>
      </c>
      <c r="J512" s="2">
        <v>1</v>
      </c>
      <c r="K512" s="2">
        <v>1</v>
      </c>
      <c r="M512" s="3">
        <v>1</v>
      </c>
      <c r="N512" s="2">
        <v>2</v>
      </c>
      <c r="O512" t="s">
        <v>715</v>
      </c>
      <c r="P512" t="s">
        <v>1577</v>
      </c>
    </row>
    <row r="513" spans="1:16" x14ac:dyDescent="0.25">
      <c r="A513" s="4">
        <v>102061588300</v>
      </c>
      <c r="B513" s="4" t="str">
        <f t="shared" si="13"/>
        <v>102061588300OVR</v>
      </c>
      <c r="C513" t="s">
        <v>1067</v>
      </c>
      <c r="D513" t="s">
        <v>202</v>
      </c>
      <c r="E513" s="11">
        <v>20411454</v>
      </c>
      <c r="F513" t="s">
        <v>1639</v>
      </c>
      <c r="G513" t="s">
        <v>49</v>
      </c>
      <c r="H513" t="s">
        <v>714</v>
      </c>
      <c r="I513" s="1">
        <v>45566</v>
      </c>
      <c r="J513" s="2">
        <v>1</v>
      </c>
      <c r="K513" s="2">
        <v>1</v>
      </c>
      <c r="M513" s="3">
        <v>1</v>
      </c>
      <c r="N513" s="2">
        <v>2</v>
      </c>
      <c r="O513" t="s">
        <v>715</v>
      </c>
      <c r="P513" t="s">
        <v>1577</v>
      </c>
    </row>
    <row r="514" spans="1:16" x14ac:dyDescent="0.25">
      <c r="A514" s="4">
        <v>102061850500</v>
      </c>
      <c r="B514" s="4" t="str">
        <f t="shared" si="13"/>
        <v>102061850500OVR</v>
      </c>
      <c r="C514" t="s">
        <v>1068</v>
      </c>
      <c r="D514" t="s">
        <v>55</v>
      </c>
      <c r="E514" s="11">
        <v>20411454</v>
      </c>
      <c r="F514" t="s">
        <v>1639</v>
      </c>
      <c r="G514" t="s">
        <v>49</v>
      </c>
      <c r="H514" t="s">
        <v>714</v>
      </c>
      <c r="I514" s="1">
        <v>45566</v>
      </c>
      <c r="J514" s="2">
        <v>1</v>
      </c>
      <c r="K514" s="2">
        <v>1</v>
      </c>
      <c r="M514" s="3">
        <v>1</v>
      </c>
      <c r="N514" s="2">
        <v>2</v>
      </c>
      <c r="O514" t="s">
        <v>715</v>
      </c>
      <c r="P514" t="s">
        <v>1577</v>
      </c>
    </row>
    <row r="515" spans="1:16" x14ac:dyDescent="0.25">
      <c r="A515" s="4">
        <v>102062449500</v>
      </c>
      <c r="B515" s="4" t="str">
        <f t="shared" si="13"/>
        <v>102062449500OVR</v>
      </c>
      <c r="C515" t="s">
        <v>1069</v>
      </c>
      <c r="D515" t="s">
        <v>55</v>
      </c>
      <c r="E515" s="11">
        <v>20411454</v>
      </c>
      <c r="F515" t="s">
        <v>1639</v>
      </c>
      <c r="G515" t="s">
        <v>49</v>
      </c>
      <c r="H515" t="s">
        <v>714</v>
      </c>
      <c r="I515" s="1">
        <v>45627</v>
      </c>
      <c r="J515" s="2">
        <v>1</v>
      </c>
      <c r="K515" s="2">
        <v>1</v>
      </c>
      <c r="M515" s="3">
        <v>1</v>
      </c>
      <c r="N515" s="2">
        <v>2</v>
      </c>
      <c r="O515" t="s">
        <v>715</v>
      </c>
      <c r="P515" t="s">
        <v>1577</v>
      </c>
    </row>
    <row r="516" spans="1:16" x14ac:dyDescent="0.25">
      <c r="A516" s="4">
        <v>102063468900</v>
      </c>
      <c r="B516" s="4" t="str">
        <f t="shared" si="13"/>
        <v>102063468900OVR</v>
      </c>
      <c r="C516" t="s">
        <v>1070</v>
      </c>
      <c r="D516" t="s">
        <v>55</v>
      </c>
      <c r="E516" s="11">
        <v>20411454</v>
      </c>
      <c r="F516" t="s">
        <v>1639</v>
      </c>
      <c r="G516" t="s">
        <v>49</v>
      </c>
      <c r="H516" t="s">
        <v>714</v>
      </c>
      <c r="I516" s="1">
        <v>45566</v>
      </c>
      <c r="J516" s="2">
        <v>1</v>
      </c>
      <c r="K516" s="2">
        <v>1</v>
      </c>
      <c r="M516" s="3">
        <v>1</v>
      </c>
      <c r="N516" s="2">
        <v>2</v>
      </c>
      <c r="O516" t="s">
        <v>715</v>
      </c>
      <c r="P516" t="s">
        <v>1577</v>
      </c>
    </row>
    <row r="517" spans="1:16" x14ac:dyDescent="0.25">
      <c r="A517" s="4">
        <v>102064231900</v>
      </c>
      <c r="B517" s="4" t="str">
        <f t="shared" si="13"/>
        <v>102064231900OVR</v>
      </c>
      <c r="C517" t="s">
        <v>1073</v>
      </c>
      <c r="D517" t="s">
        <v>202</v>
      </c>
      <c r="E517" s="11">
        <v>20411454</v>
      </c>
      <c r="F517" t="s">
        <v>1639</v>
      </c>
      <c r="G517" t="s">
        <v>49</v>
      </c>
      <c r="H517" t="s">
        <v>714</v>
      </c>
      <c r="I517" s="1">
        <v>45566</v>
      </c>
      <c r="J517" s="2">
        <v>1</v>
      </c>
      <c r="K517" s="2">
        <v>1</v>
      </c>
      <c r="M517" s="3">
        <v>1</v>
      </c>
      <c r="N517" s="2">
        <v>2</v>
      </c>
      <c r="O517" t="s">
        <v>715</v>
      </c>
      <c r="P517" t="s">
        <v>1577</v>
      </c>
    </row>
    <row r="518" spans="1:16" x14ac:dyDescent="0.25">
      <c r="A518" s="4">
        <v>102064758600</v>
      </c>
      <c r="B518" s="4" t="str">
        <f t="shared" si="13"/>
        <v>102064758600OVR</v>
      </c>
      <c r="C518" t="s">
        <v>1074</v>
      </c>
      <c r="D518" t="s">
        <v>202</v>
      </c>
      <c r="E518" s="11">
        <v>20411454</v>
      </c>
      <c r="F518" t="s">
        <v>1639</v>
      </c>
      <c r="G518" t="s">
        <v>49</v>
      </c>
      <c r="H518" t="s">
        <v>714</v>
      </c>
      <c r="I518" s="1">
        <v>45566</v>
      </c>
      <c r="J518" s="2">
        <v>1</v>
      </c>
      <c r="K518" s="2">
        <v>1</v>
      </c>
      <c r="M518" s="3">
        <v>1</v>
      </c>
      <c r="N518" s="2">
        <v>2</v>
      </c>
      <c r="O518" t="s">
        <v>715</v>
      </c>
      <c r="P518" t="s">
        <v>1577</v>
      </c>
    </row>
    <row r="519" spans="1:16" x14ac:dyDescent="0.25">
      <c r="A519" s="4">
        <v>102064852300</v>
      </c>
      <c r="B519" s="4" t="str">
        <f t="shared" si="13"/>
        <v>102064852300OVR</v>
      </c>
      <c r="C519" t="s">
        <v>1076</v>
      </c>
      <c r="D519" t="s">
        <v>55</v>
      </c>
      <c r="E519" s="11">
        <v>20411454</v>
      </c>
      <c r="F519" t="s">
        <v>1639</v>
      </c>
      <c r="G519" t="s">
        <v>49</v>
      </c>
      <c r="H519" t="s">
        <v>714</v>
      </c>
      <c r="I519" s="1">
        <v>45566</v>
      </c>
      <c r="J519" s="2">
        <v>1</v>
      </c>
      <c r="K519" s="2">
        <v>1</v>
      </c>
      <c r="M519" s="3">
        <v>1</v>
      </c>
      <c r="N519" s="2">
        <v>2</v>
      </c>
      <c r="O519" t="s">
        <v>715</v>
      </c>
      <c r="P519" t="s">
        <v>1577</v>
      </c>
    </row>
    <row r="520" spans="1:16" x14ac:dyDescent="0.25">
      <c r="A520" s="4">
        <v>102065623700</v>
      </c>
      <c r="B520" s="4" t="str">
        <f t="shared" si="13"/>
        <v>102065623700OVR</v>
      </c>
      <c r="C520" t="s">
        <v>1077</v>
      </c>
      <c r="D520" t="s">
        <v>202</v>
      </c>
      <c r="E520" s="11">
        <v>20411454</v>
      </c>
      <c r="F520" t="s">
        <v>1639</v>
      </c>
      <c r="G520" t="s">
        <v>49</v>
      </c>
      <c r="H520" t="s">
        <v>714</v>
      </c>
      <c r="I520" s="1">
        <v>45597</v>
      </c>
      <c r="J520" s="2">
        <v>1</v>
      </c>
      <c r="K520" s="2">
        <v>1</v>
      </c>
      <c r="M520" s="3">
        <v>1</v>
      </c>
      <c r="N520" s="2">
        <v>2</v>
      </c>
      <c r="O520" t="s">
        <v>715</v>
      </c>
      <c r="P520" t="s">
        <v>1577</v>
      </c>
    </row>
    <row r="521" spans="1:16" x14ac:dyDescent="0.25">
      <c r="A521" s="4">
        <v>102065624200</v>
      </c>
      <c r="B521" s="4" t="str">
        <f t="shared" si="13"/>
        <v>102065624200OVR</v>
      </c>
      <c r="C521" t="s">
        <v>1078</v>
      </c>
      <c r="D521" t="s">
        <v>202</v>
      </c>
      <c r="E521" s="11">
        <v>20411454</v>
      </c>
      <c r="F521" t="s">
        <v>1639</v>
      </c>
      <c r="G521" t="s">
        <v>49</v>
      </c>
      <c r="H521" t="s">
        <v>714</v>
      </c>
      <c r="I521" s="1">
        <v>45597</v>
      </c>
      <c r="J521" s="2">
        <v>1</v>
      </c>
      <c r="K521" s="2">
        <v>1</v>
      </c>
      <c r="M521" s="3">
        <v>1</v>
      </c>
      <c r="N521" s="2">
        <v>2</v>
      </c>
      <c r="O521" t="s">
        <v>715</v>
      </c>
      <c r="P521" t="s">
        <v>1577</v>
      </c>
    </row>
    <row r="522" spans="1:16" x14ac:dyDescent="0.25">
      <c r="A522" s="4">
        <v>102066402500</v>
      </c>
      <c r="B522" s="4" t="str">
        <f t="shared" si="13"/>
        <v>102066402500OVR</v>
      </c>
      <c r="C522" t="s">
        <v>1079</v>
      </c>
      <c r="D522" t="s">
        <v>55</v>
      </c>
      <c r="E522" s="11">
        <v>20411454</v>
      </c>
      <c r="F522" t="s">
        <v>1639</v>
      </c>
      <c r="G522" t="s">
        <v>49</v>
      </c>
      <c r="H522" t="s">
        <v>714</v>
      </c>
      <c r="I522" s="1">
        <v>45597</v>
      </c>
      <c r="J522" s="2">
        <v>1</v>
      </c>
      <c r="K522" s="2">
        <v>1</v>
      </c>
      <c r="M522" s="3">
        <v>1</v>
      </c>
      <c r="N522" s="2">
        <v>2</v>
      </c>
      <c r="O522" t="s">
        <v>715</v>
      </c>
      <c r="P522" t="s">
        <v>1577</v>
      </c>
    </row>
    <row r="523" spans="1:16" x14ac:dyDescent="0.25">
      <c r="A523" s="4">
        <v>102066699300</v>
      </c>
      <c r="B523" s="4" t="str">
        <f t="shared" si="13"/>
        <v>102066699300OVR</v>
      </c>
      <c r="C523" t="s">
        <v>1080</v>
      </c>
      <c r="E523" s="11">
        <v>20411454</v>
      </c>
      <c r="F523" t="s">
        <v>1639</v>
      </c>
      <c r="G523" t="s">
        <v>49</v>
      </c>
      <c r="H523" t="s">
        <v>714</v>
      </c>
      <c r="I523" s="1">
        <v>45597</v>
      </c>
      <c r="J523" s="2">
        <v>1</v>
      </c>
      <c r="K523" s="2">
        <v>1</v>
      </c>
      <c r="M523" s="3">
        <v>1</v>
      </c>
      <c r="N523" s="2">
        <v>2</v>
      </c>
      <c r="O523" t="s">
        <v>715</v>
      </c>
      <c r="P523" t="s">
        <v>1577</v>
      </c>
    </row>
    <row r="524" spans="1:16" x14ac:dyDescent="0.25">
      <c r="A524" s="4">
        <v>102068178600</v>
      </c>
      <c r="B524" s="4" t="str">
        <f t="shared" si="13"/>
        <v>102068178600OVR</v>
      </c>
      <c r="C524" t="s">
        <v>1081</v>
      </c>
      <c r="D524" t="s">
        <v>202</v>
      </c>
      <c r="E524" s="11">
        <v>20411454</v>
      </c>
      <c r="F524" t="s">
        <v>1639</v>
      </c>
      <c r="G524" t="s">
        <v>49</v>
      </c>
      <c r="H524" t="s">
        <v>714</v>
      </c>
      <c r="I524" s="1">
        <v>45597</v>
      </c>
      <c r="J524" s="2">
        <v>1</v>
      </c>
      <c r="K524" s="2">
        <v>1</v>
      </c>
      <c r="M524" s="3">
        <v>1</v>
      </c>
      <c r="N524" s="2">
        <v>2</v>
      </c>
      <c r="O524" t="s">
        <v>715</v>
      </c>
      <c r="P524" t="s">
        <v>1577</v>
      </c>
    </row>
    <row r="525" spans="1:16" x14ac:dyDescent="0.25">
      <c r="A525" s="4">
        <v>102068196700</v>
      </c>
      <c r="B525" s="4" t="str">
        <f t="shared" si="13"/>
        <v>102068196700OVR</v>
      </c>
      <c r="C525" t="s">
        <v>1082</v>
      </c>
      <c r="D525" t="s">
        <v>55</v>
      </c>
      <c r="E525" s="11">
        <v>20411454</v>
      </c>
      <c r="F525" t="s">
        <v>1639</v>
      </c>
      <c r="G525" t="s">
        <v>49</v>
      </c>
      <c r="H525" t="s">
        <v>714</v>
      </c>
      <c r="I525" s="1">
        <v>45597</v>
      </c>
      <c r="J525" s="2">
        <v>1</v>
      </c>
      <c r="K525" s="2">
        <v>1</v>
      </c>
      <c r="M525" s="3">
        <v>1</v>
      </c>
      <c r="N525" s="2">
        <v>2</v>
      </c>
      <c r="O525" t="s">
        <v>715</v>
      </c>
      <c r="P525" t="s">
        <v>1577</v>
      </c>
    </row>
    <row r="526" spans="1:16" x14ac:dyDescent="0.25">
      <c r="A526" s="4">
        <v>102069037500</v>
      </c>
      <c r="B526" s="4" t="str">
        <f t="shared" si="13"/>
        <v>102069037500OVR</v>
      </c>
      <c r="C526" t="s">
        <v>1083</v>
      </c>
      <c r="D526" t="s">
        <v>202</v>
      </c>
      <c r="E526" s="11">
        <v>20411454</v>
      </c>
      <c r="F526" t="s">
        <v>1639</v>
      </c>
      <c r="G526" t="s">
        <v>49</v>
      </c>
      <c r="H526" t="s">
        <v>714</v>
      </c>
      <c r="I526" s="1">
        <v>45627</v>
      </c>
      <c r="J526" s="2">
        <v>1</v>
      </c>
      <c r="K526" s="2">
        <v>1</v>
      </c>
      <c r="M526" s="3">
        <v>1</v>
      </c>
      <c r="N526" s="2">
        <v>2</v>
      </c>
      <c r="O526" t="s">
        <v>715</v>
      </c>
      <c r="P526" t="s">
        <v>1577</v>
      </c>
    </row>
    <row r="527" spans="1:16" x14ac:dyDescent="0.25">
      <c r="A527" s="4">
        <v>102069393600</v>
      </c>
      <c r="B527" s="4" t="str">
        <f t="shared" si="13"/>
        <v>102069393600OVR</v>
      </c>
      <c r="C527" t="s">
        <v>1084</v>
      </c>
      <c r="D527" t="s">
        <v>84</v>
      </c>
      <c r="E527" s="11">
        <v>20411454</v>
      </c>
      <c r="F527" t="s">
        <v>1639</v>
      </c>
      <c r="G527" t="s">
        <v>49</v>
      </c>
      <c r="H527" t="s">
        <v>714</v>
      </c>
      <c r="I527" s="1">
        <v>45627</v>
      </c>
      <c r="J527" s="2">
        <v>1</v>
      </c>
      <c r="K527" s="2">
        <v>1</v>
      </c>
      <c r="M527" s="3">
        <v>1</v>
      </c>
      <c r="N527" s="2">
        <v>2</v>
      </c>
      <c r="O527" t="s">
        <v>715</v>
      </c>
      <c r="P527" t="s">
        <v>1577</v>
      </c>
    </row>
    <row r="528" spans="1:16" x14ac:dyDescent="0.25">
      <c r="A528" s="4">
        <v>102071177500</v>
      </c>
      <c r="B528" s="4" t="str">
        <f t="shared" si="13"/>
        <v>102071177500OVR</v>
      </c>
      <c r="C528" t="s">
        <v>1087</v>
      </c>
      <c r="D528" t="s">
        <v>202</v>
      </c>
      <c r="E528" s="11">
        <v>20411454</v>
      </c>
      <c r="F528" t="s">
        <v>1639</v>
      </c>
      <c r="G528" t="s">
        <v>49</v>
      </c>
      <c r="H528" t="s">
        <v>714</v>
      </c>
      <c r="I528" s="1">
        <v>45597</v>
      </c>
      <c r="J528" s="2">
        <v>1</v>
      </c>
      <c r="K528" s="2">
        <v>1</v>
      </c>
      <c r="M528" s="3">
        <v>1</v>
      </c>
      <c r="N528" s="2">
        <v>2</v>
      </c>
      <c r="O528" t="s">
        <v>715</v>
      </c>
      <c r="P528" t="s">
        <v>1577</v>
      </c>
    </row>
    <row r="529" spans="1:16" x14ac:dyDescent="0.25">
      <c r="A529" s="4">
        <v>102072923100</v>
      </c>
      <c r="B529" s="4" t="str">
        <f t="shared" si="13"/>
        <v>102072923100OVR</v>
      </c>
      <c r="C529" t="s">
        <v>1088</v>
      </c>
      <c r="D529" t="s">
        <v>202</v>
      </c>
      <c r="E529" s="11">
        <v>20411454</v>
      </c>
      <c r="F529" t="s">
        <v>1639</v>
      </c>
      <c r="G529" t="s">
        <v>49</v>
      </c>
      <c r="H529" t="s">
        <v>714</v>
      </c>
      <c r="I529" s="1">
        <v>45627</v>
      </c>
      <c r="J529" s="2">
        <v>1</v>
      </c>
      <c r="K529" s="2">
        <v>1</v>
      </c>
      <c r="M529" s="3">
        <v>1</v>
      </c>
      <c r="N529" s="2">
        <v>2</v>
      </c>
      <c r="O529" t="s">
        <v>715</v>
      </c>
      <c r="P529" t="s">
        <v>1577</v>
      </c>
    </row>
    <row r="530" spans="1:16" x14ac:dyDescent="0.25">
      <c r="A530" s="4">
        <v>102078192100</v>
      </c>
      <c r="B530" s="4" t="str">
        <f t="shared" si="13"/>
        <v>102078192100OVR</v>
      </c>
      <c r="C530" t="s">
        <v>1090</v>
      </c>
      <c r="D530" t="s">
        <v>103</v>
      </c>
      <c r="E530" s="11">
        <v>20411454</v>
      </c>
      <c r="F530" t="s">
        <v>1639</v>
      </c>
      <c r="G530" t="s">
        <v>49</v>
      </c>
      <c r="H530" t="s">
        <v>714</v>
      </c>
      <c r="I530" s="1">
        <v>45597</v>
      </c>
      <c r="J530" s="2">
        <v>1</v>
      </c>
      <c r="K530" s="2">
        <v>1</v>
      </c>
      <c r="M530" s="3">
        <v>1</v>
      </c>
      <c r="N530" s="2">
        <v>2</v>
      </c>
      <c r="O530" t="s">
        <v>715</v>
      </c>
      <c r="P530" t="s">
        <v>1577</v>
      </c>
    </row>
    <row r="531" spans="1:16" x14ac:dyDescent="0.25">
      <c r="A531" s="4">
        <v>102078822400</v>
      </c>
      <c r="B531" s="4" t="str">
        <f t="shared" si="13"/>
        <v>102078822400OVR</v>
      </c>
      <c r="C531" t="s">
        <v>1091</v>
      </c>
      <c r="D531" t="s">
        <v>461</v>
      </c>
      <c r="E531" s="11">
        <v>20411454</v>
      </c>
      <c r="F531" t="s">
        <v>1639</v>
      </c>
      <c r="G531" t="s">
        <v>49</v>
      </c>
      <c r="H531" t="s">
        <v>714</v>
      </c>
      <c r="I531" s="1">
        <v>45627</v>
      </c>
      <c r="J531" s="2">
        <v>1</v>
      </c>
      <c r="K531" s="2">
        <v>1</v>
      </c>
      <c r="M531" s="3">
        <v>1</v>
      </c>
      <c r="N531" s="2">
        <v>2</v>
      </c>
      <c r="O531" t="s">
        <v>715</v>
      </c>
      <c r="P531" t="s">
        <v>1577</v>
      </c>
    </row>
    <row r="532" spans="1:16" x14ac:dyDescent="0.25">
      <c r="A532" s="4">
        <v>102079442100</v>
      </c>
      <c r="B532" s="4" t="str">
        <f t="shared" si="13"/>
        <v>102079442100OVR</v>
      </c>
      <c r="C532" t="s">
        <v>1092</v>
      </c>
      <c r="D532" t="s">
        <v>1029</v>
      </c>
      <c r="E532" s="11">
        <v>20411454</v>
      </c>
      <c r="F532" t="s">
        <v>1639</v>
      </c>
      <c r="G532" t="s">
        <v>49</v>
      </c>
      <c r="H532" t="s">
        <v>714</v>
      </c>
      <c r="I532" s="1">
        <v>45597</v>
      </c>
      <c r="J532" s="2">
        <v>1</v>
      </c>
      <c r="K532" s="2">
        <v>1</v>
      </c>
      <c r="M532" s="3">
        <v>1</v>
      </c>
      <c r="N532" s="2">
        <v>2</v>
      </c>
      <c r="O532" t="s">
        <v>715</v>
      </c>
      <c r="P532" t="s">
        <v>1577</v>
      </c>
    </row>
    <row r="533" spans="1:16" x14ac:dyDescent="0.25">
      <c r="A533" s="4">
        <v>102081559700</v>
      </c>
      <c r="B533" s="4" t="str">
        <f t="shared" si="13"/>
        <v>102081559700OVR</v>
      </c>
      <c r="C533" t="s">
        <v>1094</v>
      </c>
      <c r="D533" t="s">
        <v>202</v>
      </c>
      <c r="E533" s="11">
        <v>20411454</v>
      </c>
      <c r="F533" t="s">
        <v>1639</v>
      </c>
      <c r="G533" t="s">
        <v>49</v>
      </c>
      <c r="H533" t="s">
        <v>714</v>
      </c>
      <c r="I533" s="1">
        <v>45627</v>
      </c>
      <c r="J533" s="2">
        <v>1</v>
      </c>
      <c r="K533" s="2">
        <v>1</v>
      </c>
      <c r="M533" s="3">
        <v>1</v>
      </c>
      <c r="N533" s="2">
        <v>2</v>
      </c>
      <c r="O533" t="s">
        <v>715</v>
      </c>
      <c r="P533" t="s">
        <v>1577</v>
      </c>
    </row>
    <row r="534" spans="1:16" x14ac:dyDescent="0.25">
      <c r="A534" s="4">
        <v>102082370200</v>
      </c>
      <c r="B534" s="4" t="str">
        <f t="shared" si="13"/>
        <v>102082370200OVR</v>
      </c>
      <c r="C534" t="s">
        <v>1095</v>
      </c>
      <c r="D534" t="s">
        <v>55</v>
      </c>
      <c r="E534" s="11">
        <v>20411454</v>
      </c>
      <c r="F534" t="s">
        <v>1639</v>
      </c>
      <c r="G534" t="s">
        <v>49</v>
      </c>
      <c r="H534" t="s">
        <v>714</v>
      </c>
      <c r="I534" s="1">
        <v>45597</v>
      </c>
      <c r="J534" s="2">
        <v>1</v>
      </c>
      <c r="K534" s="2">
        <v>1</v>
      </c>
      <c r="M534" s="3">
        <v>1</v>
      </c>
      <c r="N534" s="2">
        <v>2</v>
      </c>
      <c r="O534" t="s">
        <v>715</v>
      </c>
      <c r="P534" t="s">
        <v>1577</v>
      </c>
    </row>
    <row r="535" spans="1:16" x14ac:dyDescent="0.25">
      <c r="A535" s="4">
        <v>102084927600</v>
      </c>
      <c r="B535" s="4" t="str">
        <f t="shared" si="13"/>
        <v>102084927600OVR</v>
      </c>
      <c r="C535" t="s">
        <v>1096</v>
      </c>
      <c r="D535" t="s">
        <v>55</v>
      </c>
      <c r="E535" s="11">
        <v>20411454</v>
      </c>
      <c r="F535" t="s">
        <v>1639</v>
      </c>
      <c r="G535" t="s">
        <v>49</v>
      </c>
      <c r="H535" t="s">
        <v>714</v>
      </c>
      <c r="I535" s="1">
        <v>45627</v>
      </c>
      <c r="J535" s="2">
        <v>1</v>
      </c>
      <c r="K535" s="2">
        <v>1</v>
      </c>
      <c r="M535" s="3">
        <v>1</v>
      </c>
      <c r="N535" s="2">
        <v>2</v>
      </c>
      <c r="O535" t="s">
        <v>715</v>
      </c>
      <c r="P535" t="s">
        <v>1577</v>
      </c>
    </row>
    <row r="536" spans="1:16" x14ac:dyDescent="0.25">
      <c r="A536" s="4">
        <v>102085672600</v>
      </c>
      <c r="B536" s="4" t="str">
        <f t="shared" si="13"/>
        <v>102085672600OVR</v>
      </c>
      <c r="C536" t="s">
        <v>1097</v>
      </c>
      <c r="D536" t="s">
        <v>103</v>
      </c>
      <c r="E536" s="11">
        <v>20411454</v>
      </c>
      <c r="F536" t="s">
        <v>1639</v>
      </c>
      <c r="G536" t="s">
        <v>49</v>
      </c>
      <c r="H536" t="s">
        <v>714</v>
      </c>
      <c r="I536" s="1">
        <v>45627</v>
      </c>
      <c r="J536" s="2">
        <v>1</v>
      </c>
      <c r="K536" s="2">
        <v>1</v>
      </c>
      <c r="M536" s="3">
        <v>1</v>
      </c>
      <c r="N536" s="2">
        <v>2</v>
      </c>
      <c r="O536" t="s">
        <v>715</v>
      </c>
      <c r="P536" t="s">
        <v>1577</v>
      </c>
    </row>
    <row r="537" spans="1:16" x14ac:dyDescent="0.25">
      <c r="A537" s="4">
        <v>102086309300</v>
      </c>
      <c r="B537" s="4" t="str">
        <f t="shared" si="13"/>
        <v>102086309300OVR</v>
      </c>
      <c r="C537" t="s">
        <v>1098</v>
      </c>
      <c r="D537" t="s">
        <v>55</v>
      </c>
      <c r="E537" s="11">
        <v>20411454</v>
      </c>
      <c r="F537" t="s">
        <v>1639</v>
      </c>
      <c r="G537" t="s">
        <v>49</v>
      </c>
      <c r="H537" t="s">
        <v>714</v>
      </c>
      <c r="I537" s="1">
        <v>45627</v>
      </c>
      <c r="J537" s="2">
        <v>1</v>
      </c>
      <c r="K537" s="2">
        <v>1</v>
      </c>
      <c r="M537" s="3">
        <v>1</v>
      </c>
      <c r="N537" s="2">
        <v>2</v>
      </c>
      <c r="O537" t="s">
        <v>715</v>
      </c>
      <c r="P537" t="s">
        <v>1577</v>
      </c>
    </row>
    <row r="538" spans="1:16" x14ac:dyDescent="0.25">
      <c r="A538" s="4">
        <v>102088844600</v>
      </c>
      <c r="B538" s="4" t="str">
        <f t="shared" si="13"/>
        <v>102088844600OVR</v>
      </c>
      <c r="C538" t="s">
        <v>1099</v>
      </c>
      <c r="D538" t="s">
        <v>55</v>
      </c>
      <c r="E538" s="11">
        <v>20411454</v>
      </c>
      <c r="F538" t="s">
        <v>1639</v>
      </c>
      <c r="G538" t="s">
        <v>49</v>
      </c>
      <c r="H538" t="s">
        <v>714</v>
      </c>
      <c r="I538" s="1">
        <v>45627</v>
      </c>
      <c r="J538" s="2">
        <v>1</v>
      </c>
      <c r="K538" s="2">
        <v>1</v>
      </c>
      <c r="M538" s="3">
        <v>1</v>
      </c>
      <c r="N538" s="2">
        <v>2</v>
      </c>
      <c r="O538" t="s">
        <v>715</v>
      </c>
      <c r="P538" t="s">
        <v>1577</v>
      </c>
    </row>
    <row r="539" spans="1:16" x14ac:dyDescent="0.25">
      <c r="A539" s="4">
        <v>102092114400</v>
      </c>
      <c r="B539" s="4" t="str">
        <f t="shared" si="13"/>
        <v>102092114400OVR</v>
      </c>
      <c r="C539" t="s">
        <v>1100</v>
      </c>
      <c r="D539" t="s">
        <v>55</v>
      </c>
      <c r="E539" s="11">
        <v>20411454</v>
      </c>
      <c r="F539" t="s">
        <v>1639</v>
      </c>
      <c r="G539" t="s">
        <v>49</v>
      </c>
      <c r="H539" t="s">
        <v>714</v>
      </c>
      <c r="I539" s="1">
        <v>45627</v>
      </c>
      <c r="J539" s="2">
        <v>1</v>
      </c>
      <c r="K539" s="2">
        <v>1</v>
      </c>
      <c r="M539" s="3">
        <v>1</v>
      </c>
      <c r="N539" s="2">
        <v>2</v>
      </c>
      <c r="O539" t="s">
        <v>715</v>
      </c>
      <c r="P539" t="s">
        <v>1577</v>
      </c>
    </row>
    <row r="540" spans="1:16" x14ac:dyDescent="0.25">
      <c r="A540" s="4">
        <v>102097467700</v>
      </c>
      <c r="B540" s="4" t="str">
        <f t="shared" si="13"/>
        <v>102097467700OVR</v>
      </c>
      <c r="C540" t="s">
        <v>1101</v>
      </c>
      <c r="D540" t="s">
        <v>97</v>
      </c>
      <c r="E540" s="11">
        <v>20411454</v>
      </c>
      <c r="F540" t="s">
        <v>1639</v>
      </c>
      <c r="G540" t="s">
        <v>49</v>
      </c>
      <c r="H540" t="s">
        <v>714</v>
      </c>
      <c r="I540" s="1">
        <v>45627</v>
      </c>
      <c r="J540" s="2">
        <v>1</v>
      </c>
      <c r="K540" s="2">
        <v>1</v>
      </c>
      <c r="M540" s="3">
        <v>1</v>
      </c>
      <c r="N540" s="2">
        <v>2</v>
      </c>
      <c r="O540" t="s">
        <v>715</v>
      </c>
      <c r="P540" t="s">
        <v>1577</v>
      </c>
    </row>
    <row r="541" spans="1:16" x14ac:dyDescent="0.25">
      <c r="A541" s="4">
        <v>102098890500</v>
      </c>
      <c r="B541" s="4" t="str">
        <f t="shared" si="13"/>
        <v>102098890500OVR</v>
      </c>
      <c r="C541" t="s">
        <v>1102</v>
      </c>
      <c r="D541" t="s">
        <v>202</v>
      </c>
      <c r="E541" s="11">
        <v>20411454</v>
      </c>
      <c r="F541" t="s">
        <v>1639</v>
      </c>
      <c r="G541" t="s">
        <v>49</v>
      </c>
      <c r="H541" t="s">
        <v>714</v>
      </c>
      <c r="I541" s="1">
        <v>45627</v>
      </c>
      <c r="J541" s="2">
        <v>1</v>
      </c>
      <c r="K541" s="2">
        <v>1</v>
      </c>
      <c r="M541" s="3">
        <v>1</v>
      </c>
      <c r="N541" s="2">
        <v>2</v>
      </c>
      <c r="O541" t="s">
        <v>715</v>
      </c>
      <c r="P541" t="s">
        <v>1577</v>
      </c>
    </row>
    <row r="542" spans="1:16" x14ac:dyDescent="0.25">
      <c r="A542" s="4">
        <v>102104604100</v>
      </c>
      <c r="B542" s="4" t="str">
        <f t="shared" si="13"/>
        <v>102104604100OVR</v>
      </c>
      <c r="C542" t="s">
        <v>1103</v>
      </c>
      <c r="D542" t="s">
        <v>461</v>
      </c>
      <c r="E542" s="11">
        <v>20411454</v>
      </c>
      <c r="F542" t="s">
        <v>1639</v>
      </c>
      <c r="G542" t="s">
        <v>49</v>
      </c>
      <c r="H542" t="s">
        <v>714</v>
      </c>
      <c r="I542" s="1">
        <v>45627</v>
      </c>
      <c r="J542" s="2">
        <v>1</v>
      </c>
      <c r="K542" s="2">
        <v>1</v>
      </c>
      <c r="M542" s="3">
        <v>1</v>
      </c>
      <c r="N542" s="2">
        <v>2</v>
      </c>
      <c r="O542" t="s">
        <v>715</v>
      </c>
      <c r="P542" t="s">
        <v>1577</v>
      </c>
    </row>
    <row r="543" spans="1:16" x14ac:dyDescent="0.25">
      <c r="A543" s="4">
        <v>102105540600</v>
      </c>
      <c r="B543" s="4" t="str">
        <f t="shared" ref="B543:B606" si="14">CONCATENATE(A543,"OVR")</f>
        <v>102105540600OVR</v>
      </c>
      <c r="C543" t="s">
        <v>1104</v>
      </c>
      <c r="D543" t="s">
        <v>55</v>
      </c>
      <c r="E543" s="11">
        <v>20411454</v>
      </c>
      <c r="F543" t="s">
        <v>1639</v>
      </c>
      <c r="G543" t="s">
        <v>49</v>
      </c>
      <c r="H543" t="s">
        <v>714</v>
      </c>
      <c r="I543" s="1">
        <v>45627</v>
      </c>
      <c r="J543" s="2">
        <v>1</v>
      </c>
      <c r="K543" s="2">
        <v>1</v>
      </c>
      <c r="M543" s="3">
        <v>1</v>
      </c>
      <c r="N543" s="2">
        <v>2</v>
      </c>
      <c r="O543" t="s">
        <v>715</v>
      </c>
      <c r="P543" t="s">
        <v>1577</v>
      </c>
    </row>
    <row r="544" spans="1:16" x14ac:dyDescent="0.25">
      <c r="A544" s="4">
        <v>102105930700</v>
      </c>
      <c r="B544" s="4" t="str">
        <f t="shared" si="14"/>
        <v>102105930700OVR</v>
      </c>
      <c r="C544" t="s">
        <v>1105</v>
      </c>
      <c r="D544" t="s">
        <v>55</v>
      </c>
      <c r="E544" s="11">
        <v>20411454</v>
      </c>
      <c r="F544" t="s">
        <v>1639</v>
      </c>
      <c r="G544" t="s">
        <v>49</v>
      </c>
      <c r="H544" t="s">
        <v>714</v>
      </c>
      <c r="I544" s="1">
        <v>45627</v>
      </c>
      <c r="J544" s="2">
        <v>1</v>
      </c>
      <c r="K544" s="2">
        <v>1</v>
      </c>
      <c r="M544" s="3">
        <v>1</v>
      </c>
      <c r="N544" s="2">
        <v>2</v>
      </c>
      <c r="O544" t="s">
        <v>715</v>
      </c>
      <c r="P544" t="s">
        <v>1577</v>
      </c>
    </row>
    <row r="545" spans="1:16" x14ac:dyDescent="0.25">
      <c r="A545" s="4">
        <v>102109694200</v>
      </c>
      <c r="B545" s="4" t="str">
        <f t="shared" si="14"/>
        <v>102109694200OVR</v>
      </c>
      <c r="C545" t="s">
        <v>1106</v>
      </c>
      <c r="D545" t="s">
        <v>55</v>
      </c>
      <c r="E545" s="11">
        <v>20411454</v>
      </c>
      <c r="F545" t="s">
        <v>1639</v>
      </c>
      <c r="G545" t="s">
        <v>49</v>
      </c>
      <c r="H545" t="s">
        <v>714</v>
      </c>
      <c r="I545" s="1">
        <v>45627</v>
      </c>
      <c r="J545" s="2">
        <v>1</v>
      </c>
      <c r="K545" s="2">
        <v>1</v>
      </c>
      <c r="M545" s="3">
        <v>1</v>
      </c>
      <c r="N545" s="2">
        <v>2</v>
      </c>
      <c r="O545" t="s">
        <v>715</v>
      </c>
      <c r="P545" t="s">
        <v>1577</v>
      </c>
    </row>
    <row r="546" spans="1:16" x14ac:dyDescent="0.25">
      <c r="A546" s="4">
        <v>102123717600</v>
      </c>
      <c r="B546" s="4" t="str">
        <f t="shared" si="14"/>
        <v>102123717600OVR</v>
      </c>
      <c r="C546" t="s">
        <v>1107</v>
      </c>
      <c r="D546" t="s">
        <v>55</v>
      </c>
      <c r="E546" s="11">
        <v>20411454</v>
      </c>
      <c r="F546" t="s">
        <v>1639</v>
      </c>
      <c r="G546" t="s">
        <v>49</v>
      </c>
      <c r="H546" t="s">
        <v>714</v>
      </c>
      <c r="I546" s="1">
        <v>45627</v>
      </c>
      <c r="J546" s="2">
        <v>1</v>
      </c>
      <c r="K546" s="2">
        <v>1</v>
      </c>
      <c r="M546" s="3">
        <v>1</v>
      </c>
      <c r="N546" s="2">
        <v>2</v>
      </c>
      <c r="O546" t="s">
        <v>715</v>
      </c>
      <c r="P546" t="s">
        <v>1577</v>
      </c>
    </row>
    <row r="547" spans="1:16" x14ac:dyDescent="0.25">
      <c r="A547" s="4">
        <v>102131626700</v>
      </c>
      <c r="B547" s="4" t="str">
        <f t="shared" si="14"/>
        <v>102131626700OVR</v>
      </c>
      <c r="C547" t="s">
        <v>1108</v>
      </c>
      <c r="D547" t="s">
        <v>133</v>
      </c>
      <c r="E547" s="11">
        <v>20411454</v>
      </c>
      <c r="F547" t="s">
        <v>1639</v>
      </c>
      <c r="G547" t="s">
        <v>49</v>
      </c>
      <c r="H547" t="s">
        <v>714</v>
      </c>
      <c r="I547" s="1">
        <v>45627</v>
      </c>
      <c r="J547" s="2">
        <v>1</v>
      </c>
      <c r="K547" s="2">
        <v>1</v>
      </c>
      <c r="M547" s="3">
        <v>1</v>
      </c>
      <c r="N547" s="2">
        <v>2</v>
      </c>
      <c r="O547" t="s">
        <v>715</v>
      </c>
      <c r="P547" t="s">
        <v>1577</v>
      </c>
    </row>
    <row r="548" spans="1:16" x14ac:dyDescent="0.25">
      <c r="A548" s="4">
        <v>102035997700</v>
      </c>
      <c r="B548" s="4" t="str">
        <f t="shared" si="14"/>
        <v>102035997700OVR</v>
      </c>
      <c r="C548" t="s">
        <v>1003</v>
      </c>
      <c r="D548" t="s">
        <v>202</v>
      </c>
      <c r="E548" s="11">
        <v>20411454</v>
      </c>
      <c r="F548" t="s">
        <v>1639</v>
      </c>
      <c r="G548" t="s">
        <v>49</v>
      </c>
      <c r="H548" t="s">
        <v>1004</v>
      </c>
      <c r="I548" s="1">
        <v>45474</v>
      </c>
      <c r="J548" s="2">
        <v>1</v>
      </c>
      <c r="K548" s="2">
        <v>1</v>
      </c>
      <c r="M548" s="3">
        <v>1</v>
      </c>
      <c r="N548" s="2">
        <v>2</v>
      </c>
      <c r="O548" t="s">
        <v>715</v>
      </c>
      <c r="P548" t="s">
        <v>1577</v>
      </c>
    </row>
    <row r="549" spans="1:16" x14ac:dyDescent="0.25">
      <c r="A549" s="4">
        <v>102074570600</v>
      </c>
      <c r="B549" s="4" t="str">
        <f t="shared" si="14"/>
        <v>102074570600OVR</v>
      </c>
      <c r="C549" t="s">
        <v>1089</v>
      </c>
      <c r="D549" t="s">
        <v>133</v>
      </c>
      <c r="E549" s="11">
        <v>20411454</v>
      </c>
      <c r="F549" t="s">
        <v>1639</v>
      </c>
      <c r="G549" t="s">
        <v>49</v>
      </c>
      <c r="H549" t="s">
        <v>1004</v>
      </c>
      <c r="I549" s="1">
        <v>45597</v>
      </c>
      <c r="J549" s="2">
        <v>1</v>
      </c>
      <c r="K549" s="2">
        <v>1</v>
      </c>
      <c r="M549" s="3">
        <v>1</v>
      </c>
      <c r="N549" s="2">
        <v>2</v>
      </c>
      <c r="O549" t="s">
        <v>715</v>
      </c>
      <c r="P549" t="s">
        <v>1577</v>
      </c>
    </row>
    <row r="550" spans="1:16" x14ac:dyDescent="0.25">
      <c r="A550" s="4">
        <v>101301145800</v>
      </c>
      <c r="B550" s="4" t="str">
        <f t="shared" si="14"/>
        <v>101301145800OVR</v>
      </c>
      <c r="C550" t="s">
        <v>788</v>
      </c>
      <c r="D550" t="s">
        <v>202</v>
      </c>
      <c r="E550" s="11">
        <v>20411454</v>
      </c>
      <c r="F550" t="s">
        <v>1639</v>
      </c>
      <c r="G550" t="s">
        <v>49</v>
      </c>
      <c r="H550" t="s">
        <v>789</v>
      </c>
      <c r="I550" s="1">
        <v>45566</v>
      </c>
      <c r="J550" s="2">
        <v>1</v>
      </c>
      <c r="K550" s="2">
        <v>1</v>
      </c>
      <c r="M550" s="3">
        <v>1</v>
      </c>
      <c r="N550" s="2">
        <v>2</v>
      </c>
      <c r="O550" t="s">
        <v>715</v>
      </c>
      <c r="P550" t="s">
        <v>1577</v>
      </c>
    </row>
    <row r="551" spans="1:16" x14ac:dyDescent="0.25">
      <c r="A551" s="4">
        <v>101458074100</v>
      </c>
      <c r="B551" s="4" t="str">
        <f t="shared" si="14"/>
        <v>101458074100OVR</v>
      </c>
      <c r="C551" t="s">
        <v>802</v>
      </c>
      <c r="D551" t="s">
        <v>84</v>
      </c>
      <c r="E551" s="11">
        <v>20411454</v>
      </c>
      <c r="F551" t="s">
        <v>1639</v>
      </c>
      <c r="G551" t="s">
        <v>49</v>
      </c>
      <c r="H551" t="s">
        <v>789</v>
      </c>
      <c r="I551" s="1">
        <v>45597</v>
      </c>
      <c r="J551" s="2">
        <v>1</v>
      </c>
      <c r="K551" s="2">
        <v>1</v>
      </c>
      <c r="M551" s="3">
        <v>1</v>
      </c>
      <c r="N551" s="2">
        <v>2</v>
      </c>
      <c r="O551" t="s">
        <v>715</v>
      </c>
      <c r="P551" t="s">
        <v>1577</v>
      </c>
    </row>
    <row r="552" spans="1:16" x14ac:dyDescent="0.25">
      <c r="A552" s="4">
        <v>101545020000</v>
      </c>
      <c r="B552" s="4" t="str">
        <f t="shared" si="14"/>
        <v>101545020000OVR</v>
      </c>
      <c r="C552" t="s">
        <v>867</v>
      </c>
      <c r="D552" t="s">
        <v>74</v>
      </c>
      <c r="E552" s="11">
        <v>20411454</v>
      </c>
      <c r="F552" t="s">
        <v>1639</v>
      </c>
      <c r="G552" t="s">
        <v>49</v>
      </c>
      <c r="H552" t="s">
        <v>789</v>
      </c>
      <c r="I552" s="1">
        <v>45536</v>
      </c>
      <c r="J552" s="2">
        <v>1</v>
      </c>
      <c r="K552" s="2">
        <v>1</v>
      </c>
      <c r="M552" s="3">
        <v>1</v>
      </c>
      <c r="N552" s="2">
        <v>2</v>
      </c>
      <c r="O552" t="s">
        <v>715</v>
      </c>
      <c r="P552" t="s">
        <v>1577</v>
      </c>
    </row>
    <row r="553" spans="1:16" x14ac:dyDescent="0.25">
      <c r="A553" s="4">
        <v>101872588800</v>
      </c>
      <c r="B553" s="4" t="str">
        <f t="shared" si="14"/>
        <v>101872588800OVR</v>
      </c>
      <c r="C553" t="s">
        <v>951</v>
      </c>
      <c r="D553" t="s">
        <v>202</v>
      </c>
      <c r="E553" s="11">
        <v>20411454</v>
      </c>
      <c r="F553" t="s">
        <v>1639</v>
      </c>
      <c r="G553" t="s">
        <v>49</v>
      </c>
      <c r="H553" t="s">
        <v>789</v>
      </c>
      <c r="I553" s="1">
        <v>45474</v>
      </c>
      <c r="J553" s="2">
        <v>1</v>
      </c>
      <c r="K553" s="2">
        <v>1</v>
      </c>
      <c r="M553" s="3">
        <v>1</v>
      </c>
      <c r="N553" s="2">
        <v>2</v>
      </c>
      <c r="O553" t="s">
        <v>715</v>
      </c>
      <c r="P553" t="s">
        <v>1577</v>
      </c>
    </row>
    <row r="554" spans="1:16" x14ac:dyDescent="0.25">
      <c r="A554" s="4">
        <v>101987999900</v>
      </c>
      <c r="B554" s="4" t="str">
        <f t="shared" si="14"/>
        <v>101987999900OVR</v>
      </c>
      <c r="C554" t="s">
        <v>953</v>
      </c>
      <c r="D554" t="s">
        <v>287</v>
      </c>
      <c r="E554" s="11">
        <v>20411454</v>
      </c>
      <c r="F554" t="s">
        <v>1639</v>
      </c>
      <c r="G554" t="s">
        <v>49</v>
      </c>
      <c r="H554" t="s">
        <v>789</v>
      </c>
      <c r="I554" s="1">
        <v>45536</v>
      </c>
      <c r="J554" s="2">
        <v>1</v>
      </c>
      <c r="K554" s="2">
        <v>1</v>
      </c>
      <c r="M554" s="3">
        <v>1</v>
      </c>
      <c r="N554" s="2">
        <v>2</v>
      </c>
      <c r="O554" t="s">
        <v>715</v>
      </c>
      <c r="P554" t="s">
        <v>1577</v>
      </c>
    </row>
    <row r="555" spans="1:16" x14ac:dyDescent="0.25">
      <c r="A555" s="4">
        <v>102022919300</v>
      </c>
      <c r="B555" s="4" t="str">
        <f t="shared" si="14"/>
        <v>102022919300OVR</v>
      </c>
      <c r="C555" t="s">
        <v>979</v>
      </c>
      <c r="D555" t="s">
        <v>202</v>
      </c>
      <c r="E555" s="11">
        <v>20411454</v>
      </c>
      <c r="F555" t="s">
        <v>1639</v>
      </c>
      <c r="G555" t="s">
        <v>49</v>
      </c>
      <c r="H555" t="s">
        <v>789</v>
      </c>
      <c r="I555" s="1">
        <v>45474</v>
      </c>
      <c r="J555" s="2">
        <v>1</v>
      </c>
      <c r="K555" s="2">
        <v>1</v>
      </c>
      <c r="M555" s="3">
        <v>1</v>
      </c>
      <c r="N555" s="2">
        <v>2</v>
      </c>
      <c r="O555" t="s">
        <v>715</v>
      </c>
      <c r="P555" t="s">
        <v>1577</v>
      </c>
    </row>
    <row r="556" spans="1:16" x14ac:dyDescent="0.25">
      <c r="A556" s="4">
        <v>102033829400</v>
      </c>
      <c r="B556" s="4" t="str">
        <f t="shared" si="14"/>
        <v>102033829400OVR</v>
      </c>
      <c r="C556" t="s">
        <v>993</v>
      </c>
      <c r="D556" t="s">
        <v>84</v>
      </c>
      <c r="E556" s="11">
        <v>20411454</v>
      </c>
      <c r="F556" t="s">
        <v>1639</v>
      </c>
      <c r="G556" t="s">
        <v>49</v>
      </c>
      <c r="H556" t="s">
        <v>789</v>
      </c>
      <c r="I556" s="1">
        <v>45505</v>
      </c>
      <c r="J556" s="2">
        <v>1</v>
      </c>
      <c r="K556" s="2">
        <v>1</v>
      </c>
      <c r="M556" s="3">
        <v>1</v>
      </c>
      <c r="N556" s="2">
        <v>2</v>
      </c>
      <c r="O556" t="s">
        <v>715</v>
      </c>
      <c r="P556" t="s">
        <v>1577</v>
      </c>
    </row>
    <row r="557" spans="1:16" x14ac:dyDescent="0.25">
      <c r="A557" s="4">
        <v>102042978300</v>
      </c>
      <c r="B557" s="4" t="str">
        <f t="shared" si="14"/>
        <v>102042978300OVR</v>
      </c>
      <c r="C557" t="s">
        <v>1017</v>
      </c>
      <c r="D557" t="s">
        <v>55</v>
      </c>
      <c r="E557" s="11">
        <v>20411454</v>
      </c>
      <c r="F557" t="s">
        <v>1639</v>
      </c>
      <c r="G557" t="s">
        <v>49</v>
      </c>
      <c r="H557" t="s">
        <v>789</v>
      </c>
      <c r="I557" s="1">
        <v>45536</v>
      </c>
      <c r="J557" s="2">
        <v>1</v>
      </c>
      <c r="K557" s="2">
        <v>1</v>
      </c>
      <c r="M557" s="3">
        <v>1</v>
      </c>
      <c r="N557" s="2">
        <v>2</v>
      </c>
      <c r="O557" t="s">
        <v>715</v>
      </c>
      <c r="P557" t="s">
        <v>1577</v>
      </c>
    </row>
    <row r="558" spans="1:16" x14ac:dyDescent="0.25">
      <c r="A558" s="4">
        <v>102049657500</v>
      </c>
      <c r="B558" s="4" t="str">
        <f t="shared" si="14"/>
        <v>102049657500OVR</v>
      </c>
      <c r="C558" t="s">
        <v>1032</v>
      </c>
      <c r="D558" t="s">
        <v>55</v>
      </c>
      <c r="E558" s="11">
        <v>20411454</v>
      </c>
      <c r="F558" t="s">
        <v>1639</v>
      </c>
      <c r="G558" t="s">
        <v>49</v>
      </c>
      <c r="H558" t="s">
        <v>789</v>
      </c>
      <c r="I558" s="1">
        <v>45536</v>
      </c>
      <c r="J558" s="2">
        <v>1</v>
      </c>
      <c r="K558" s="2">
        <v>1</v>
      </c>
      <c r="M558" s="3">
        <v>1</v>
      </c>
      <c r="N558" s="2">
        <v>2</v>
      </c>
      <c r="O558" t="s">
        <v>715</v>
      </c>
      <c r="P558" t="s">
        <v>1577</v>
      </c>
    </row>
    <row r="559" spans="1:16" x14ac:dyDescent="0.25">
      <c r="A559" s="4">
        <v>102053113700</v>
      </c>
      <c r="B559" s="4" t="str">
        <f t="shared" si="14"/>
        <v>102053113700OVR</v>
      </c>
      <c r="C559" t="s">
        <v>1045</v>
      </c>
      <c r="D559" t="s">
        <v>55</v>
      </c>
      <c r="E559" s="11">
        <v>20411454</v>
      </c>
      <c r="F559" t="s">
        <v>1639</v>
      </c>
      <c r="G559" t="s">
        <v>49</v>
      </c>
      <c r="H559" t="s">
        <v>789</v>
      </c>
      <c r="I559" s="1">
        <v>45536</v>
      </c>
      <c r="J559" s="2">
        <v>1</v>
      </c>
      <c r="K559" s="2">
        <v>1</v>
      </c>
      <c r="M559" s="3">
        <v>1</v>
      </c>
      <c r="N559" s="2">
        <v>2</v>
      </c>
      <c r="O559" t="s">
        <v>715</v>
      </c>
      <c r="P559" t="s">
        <v>1577</v>
      </c>
    </row>
    <row r="560" spans="1:16" x14ac:dyDescent="0.25">
      <c r="A560" s="4">
        <v>102059613800</v>
      </c>
      <c r="B560" s="4" t="str">
        <f t="shared" si="14"/>
        <v>102059613800OVR</v>
      </c>
      <c r="C560" t="s">
        <v>1063</v>
      </c>
      <c r="D560" t="s">
        <v>202</v>
      </c>
      <c r="E560" s="11">
        <v>20411454</v>
      </c>
      <c r="F560" t="s">
        <v>1639</v>
      </c>
      <c r="G560" t="s">
        <v>49</v>
      </c>
      <c r="H560" t="s">
        <v>789</v>
      </c>
      <c r="I560" s="1">
        <v>45566</v>
      </c>
      <c r="J560" s="2">
        <v>1</v>
      </c>
      <c r="K560" s="2">
        <v>1</v>
      </c>
      <c r="M560" s="3">
        <v>1</v>
      </c>
      <c r="N560" s="2">
        <v>2</v>
      </c>
      <c r="O560" t="s">
        <v>715</v>
      </c>
      <c r="P560" t="s">
        <v>1577</v>
      </c>
    </row>
    <row r="561" spans="1:16" x14ac:dyDescent="0.25">
      <c r="A561" s="4">
        <v>102059621800</v>
      </c>
      <c r="B561" s="4" t="str">
        <f t="shared" si="14"/>
        <v>102059621800OVR</v>
      </c>
      <c r="C561" t="s">
        <v>1064</v>
      </c>
      <c r="D561" t="s">
        <v>202</v>
      </c>
      <c r="E561" s="11">
        <v>20411454</v>
      </c>
      <c r="F561" t="s">
        <v>1639</v>
      </c>
      <c r="G561" t="s">
        <v>49</v>
      </c>
      <c r="H561" t="s">
        <v>789</v>
      </c>
      <c r="I561" s="1">
        <v>45566</v>
      </c>
      <c r="J561" s="2">
        <v>1</v>
      </c>
      <c r="K561" s="2">
        <v>1</v>
      </c>
      <c r="M561" s="3">
        <v>1</v>
      </c>
      <c r="N561" s="2">
        <v>2</v>
      </c>
      <c r="O561" t="s">
        <v>715</v>
      </c>
      <c r="P561" t="s">
        <v>1577</v>
      </c>
    </row>
    <row r="562" spans="1:16" x14ac:dyDescent="0.25">
      <c r="A562" s="4">
        <v>102063802200</v>
      </c>
      <c r="B562" s="4" t="str">
        <f t="shared" si="14"/>
        <v>102063802200OVR</v>
      </c>
      <c r="C562" t="s">
        <v>1071</v>
      </c>
      <c r="D562" t="s">
        <v>451</v>
      </c>
      <c r="E562" s="11">
        <v>20411454</v>
      </c>
      <c r="F562" t="s">
        <v>1639</v>
      </c>
      <c r="G562" t="s">
        <v>49</v>
      </c>
      <c r="H562" t="s">
        <v>789</v>
      </c>
      <c r="I562" s="1">
        <v>45566</v>
      </c>
      <c r="J562" s="2">
        <v>1</v>
      </c>
      <c r="K562" s="2">
        <v>1</v>
      </c>
      <c r="M562" s="3">
        <v>1</v>
      </c>
      <c r="N562" s="2">
        <v>2</v>
      </c>
      <c r="O562" t="s">
        <v>715</v>
      </c>
      <c r="P562" t="s">
        <v>1577</v>
      </c>
    </row>
    <row r="563" spans="1:16" x14ac:dyDescent="0.25">
      <c r="A563" s="4">
        <v>102063811100</v>
      </c>
      <c r="B563" s="4" t="str">
        <f t="shared" si="14"/>
        <v>102063811100OVR</v>
      </c>
      <c r="C563" t="s">
        <v>1072</v>
      </c>
      <c r="D563" t="s">
        <v>451</v>
      </c>
      <c r="E563" s="11">
        <v>20411454</v>
      </c>
      <c r="F563" t="s">
        <v>1639</v>
      </c>
      <c r="G563" t="s">
        <v>49</v>
      </c>
      <c r="H563" t="s">
        <v>789</v>
      </c>
      <c r="I563" s="1">
        <v>45566</v>
      </c>
      <c r="J563" s="2">
        <v>1</v>
      </c>
      <c r="K563" s="2">
        <v>1</v>
      </c>
      <c r="M563" s="3">
        <v>1</v>
      </c>
      <c r="N563" s="2">
        <v>2</v>
      </c>
      <c r="O563" t="s">
        <v>715</v>
      </c>
      <c r="P563" t="s">
        <v>1577</v>
      </c>
    </row>
    <row r="564" spans="1:16" x14ac:dyDescent="0.25">
      <c r="A564" s="4">
        <v>102064780500</v>
      </c>
      <c r="B564" s="4" t="str">
        <f t="shared" si="14"/>
        <v>102064780500OVR</v>
      </c>
      <c r="C564" t="s">
        <v>1075</v>
      </c>
      <c r="D564" t="s">
        <v>55</v>
      </c>
      <c r="E564" s="11">
        <v>20411454</v>
      </c>
      <c r="F564" t="s">
        <v>1639</v>
      </c>
      <c r="G564" t="s">
        <v>49</v>
      </c>
      <c r="H564" t="s">
        <v>789</v>
      </c>
      <c r="I564" s="1">
        <v>45566</v>
      </c>
      <c r="J564" s="2">
        <v>1</v>
      </c>
      <c r="K564" s="2">
        <v>1</v>
      </c>
      <c r="M564" s="3">
        <v>1</v>
      </c>
      <c r="N564" s="2">
        <v>2</v>
      </c>
      <c r="O564" t="s">
        <v>715</v>
      </c>
      <c r="P564" t="s">
        <v>1577</v>
      </c>
    </row>
    <row r="565" spans="1:16" x14ac:dyDescent="0.25">
      <c r="A565" s="4">
        <v>102070306300</v>
      </c>
      <c r="B565" s="4" t="str">
        <f t="shared" si="14"/>
        <v>102070306300OVR</v>
      </c>
      <c r="C565" t="s">
        <v>1086</v>
      </c>
      <c r="D565" t="s">
        <v>461</v>
      </c>
      <c r="E565" s="11">
        <v>20411454</v>
      </c>
      <c r="F565" t="s">
        <v>1639</v>
      </c>
      <c r="G565" t="s">
        <v>49</v>
      </c>
      <c r="H565" t="s">
        <v>789</v>
      </c>
      <c r="I565" s="1">
        <v>45597</v>
      </c>
      <c r="J565" s="2">
        <v>1</v>
      </c>
      <c r="K565" s="2">
        <v>1</v>
      </c>
      <c r="M565" s="3">
        <v>1</v>
      </c>
      <c r="N565" s="2">
        <v>2</v>
      </c>
      <c r="O565" t="s">
        <v>715</v>
      </c>
      <c r="P565" t="s">
        <v>1577</v>
      </c>
    </row>
    <row r="566" spans="1:16" x14ac:dyDescent="0.25">
      <c r="A566" s="4">
        <v>102079872100</v>
      </c>
      <c r="B566" s="4" t="str">
        <f t="shared" si="14"/>
        <v>102079872100OVR</v>
      </c>
      <c r="C566" t="s">
        <v>1093</v>
      </c>
      <c r="D566" t="s">
        <v>202</v>
      </c>
      <c r="E566" s="11">
        <v>20411454</v>
      </c>
      <c r="F566" t="s">
        <v>1639</v>
      </c>
      <c r="G566" t="s">
        <v>49</v>
      </c>
      <c r="H566" t="s">
        <v>789</v>
      </c>
      <c r="I566" s="1">
        <v>45597</v>
      </c>
      <c r="J566" s="2">
        <v>1</v>
      </c>
      <c r="K566" s="2">
        <v>1</v>
      </c>
      <c r="M566" s="3">
        <v>1</v>
      </c>
      <c r="N566" s="2">
        <v>2</v>
      </c>
      <c r="O566" t="s">
        <v>715</v>
      </c>
      <c r="P566" t="s">
        <v>1577</v>
      </c>
    </row>
    <row r="567" spans="1:16" x14ac:dyDescent="0.25">
      <c r="A567" s="4">
        <v>101074500500</v>
      </c>
      <c r="B567" s="4" t="str">
        <f t="shared" si="14"/>
        <v>101074500500OVR</v>
      </c>
      <c r="C567" t="s">
        <v>735</v>
      </c>
      <c r="D567" t="s">
        <v>202</v>
      </c>
      <c r="E567" s="11">
        <v>20411454</v>
      </c>
      <c r="F567" t="s">
        <v>1639</v>
      </c>
      <c r="G567" t="s">
        <v>49</v>
      </c>
      <c r="H567" t="s">
        <v>197</v>
      </c>
      <c r="I567" s="1">
        <v>43466</v>
      </c>
      <c r="J567" s="2">
        <v>2</v>
      </c>
      <c r="K567" s="2">
        <v>2</v>
      </c>
      <c r="M567" s="3">
        <v>1</v>
      </c>
      <c r="N567" s="2">
        <v>2.34</v>
      </c>
      <c r="O567" t="s">
        <v>715</v>
      </c>
      <c r="P567" t="s">
        <v>1577</v>
      </c>
    </row>
    <row r="568" spans="1:16" x14ac:dyDescent="0.25">
      <c r="A568" s="4">
        <v>101084258700</v>
      </c>
      <c r="B568" s="4" t="str">
        <f t="shared" si="14"/>
        <v>101084258700OVR</v>
      </c>
      <c r="C568" t="s">
        <v>741</v>
      </c>
      <c r="D568" t="s">
        <v>202</v>
      </c>
      <c r="E568" s="11">
        <v>20411454</v>
      </c>
      <c r="F568" t="s">
        <v>1639</v>
      </c>
      <c r="G568" t="s">
        <v>49</v>
      </c>
      <c r="H568" t="s">
        <v>197</v>
      </c>
      <c r="I568" s="1">
        <v>43466</v>
      </c>
      <c r="J568" s="2">
        <v>2</v>
      </c>
      <c r="K568" s="2">
        <v>2</v>
      </c>
      <c r="M568" s="3">
        <v>1</v>
      </c>
      <c r="N568" s="2">
        <v>2.34</v>
      </c>
      <c r="O568" t="s">
        <v>715</v>
      </c>
      <c r="P568" t="s">
        <v>1577</v>
      </c>
    </row>
    <row r="569" spans="1:16" x14ac:dyDescent="0.25">
      <c r="A569" s="4">
        <v>101351683200</v>
      </c>
      <c r="B569" s="4" t="str">
        <f t="shared" si="14"/>
        <v>101351683200OVR</v>
      </c>
      <c r="C569" t="s">
        <v>794</v>
      </c>
      <c r="D569" t="s">
        <v>55</v>
      </c>
      <c r="E569" s="11">
        <v>20411454</v>
      </c>
      <c r="F569" t="s">
        <v>1639</v>
      </c>
      <c r="G569" t="s">
        <v>49</v>
      </c>
      <c r="H569" t="s">
        <v>197</v>
      </c>
      <c r="I569" s="1">
        <v>39814</v>
      </c>
      <c r="J569" s="2">
        <v>2</v>
      </c>
      <c r="K569" s="2">
        <v>2</v>
      </c>
      <c r="M569" s="3">
        <v>1</v>
      </c>
      <c r="N569" s="2">
        <v>2.34</v>
      </c>
      <c r="O569" t="s">
        <v>715</v>
      </c>
      <c r="P569" t="s">
        <v>1577</v>
      </c>
    </row>
    <row r="570" spans="1:16" x14ac:dyDescent="0.25">
      <c r="A570" s="4">
        <v>101075270300</v>
      </c>
      <c r="B570" s="4" t="str">
        <f t="shared" si="14"/>
        <v>101075270300OVR</v>
      </c>
      <c r="C570" t="s">
        <v>736</v>
      </c>
      <c r="D570" t="s">
        <v>202</v>
      </c>
      <c r="E570" s="11">
        <v>20411454</v>
      </c>
      <c r="F570" t="s">
        <v>1639</v>
      </c>
      <c r="G570" t="s">
        <v>49</v>
      </c>
      <c r="H570" t="s">
        <v>714</v>
      </c>
      <c r="I570" s="1">
        <v>43466</v>
      </c>
      <c r="J570" s="2">
        <v>5</v>
      </c>
      <c r="K570" s="2">
        <v>5</v>
      </c>
      <c r="M570" s="3">
        <v>1</v>
      </c>
      <c r="N570" s="2">
        <v>10</v>
      </c>
      <c r="O570" t="s">
        <v>715</v>
      </c>
      <c r="P570" t="s">
        <v>1577</v>
      </c>
    </row>
    <row r="571" spans="1:16" x14ac:dyDescent="0.25">
      <c r="A571" s="4">
        <v>101084619500</v>
      </c>
      <c r="B571" s="4" t="str">
        <f t="shared" si="14"/>
        <v>101084619500OVR</v>
      </c>
      <c r="C571" t="s">
        <v>742</v>
      </c>
      <c r="D571" t="s">
        <v>202</v>
      </c>
      <c r="E571" s="11">
        <v>20411454</v>
      </c>
      <c r="F571" t="s">
        <v>1639</v>
      </c>
      <c r="G571" t="s">
        <v>49</v>
      </c>
      <c r="H571" t="s">
        <v>714</v>
      </c>
      <c r="I571" s="1">
        <v>43466</v>
      </c>
      <c r="J571" s="2">
        <v>5</v>
      </c>
      <c r="K571" s="2">
        <v>5</v>
      </c>
      <c r="M571" s="3">
        <v>1</v>
      </c>
      <c r="N571" s="2">
        <v>10</v>
      </c>
      <c r="O571" t="s">
        <v>715</v>
      </c>
      <c r="P571" t="s">
        <v>1577</v>
      </c>
    </row>
    <row r="572" spans="1:16" x14ac:dyDescent="0.25">
      <c r="A572" s="4">
        <v>102216488700</v>
      </c>
      <c r="B572" s="4" t="str">
        <f t="shared" si="14"/>
        <v>102216488700OVR</v>
      </c>
      <c r="C572" t="s">
        <v>249</v>
      </c>
      <c r="D572" t="s">
        <v>202</v>
      </c>
      <c r="E572" s="11">
        <v>20411454</v>
      </c>
      <c r="F572" t="s">
        <v>1639</v>
      </c>
      <c r="G572" t="s">
        <v>49</v>
      </c>
      <c r="H572" t="s">
        <v>250</v>
      </c>
      <c r="I572" s="1">
        <v>46054</v>
      </c>
      <c r="J572" s="2">
        <v>0</v>
      </c>
      <c r="K572" s="2">
        <v>15</v>
      </c>
      <c r="L572">
        <v>1</v>
      </c>
      <c r="M572" s="3">
        <v>1</v>
      </c>
      <c r="N572" s="2">
        <v>15</v>
      </c>
      <c r="P572" t="s">
        <v>1577</v>
      </c>
    </row>
    <row r="573" spans="1:16" x14ac:dyDescent="0.25">
      <c r="A573" s="4">
        <v>102224747400</v>
      </c>
      <c r="B573" s="4" t="str">
        <f t="shared" si="14"/>
        <v>102224747400OVR</v>
      </c>
      <c r="C573" t="s">
        <v>254</v>
      </c>
      <c r="D573" t="s">
        <v>255</v>
      </c>
      <c r="E573" s="11">
        <v>20411454</v>
      </c>
      <c r="F573" t="s">
        <v>1639</v>
      </c>
      <c r="G573" t="s">
        <v>49</v>
      </c>
      <c r="H573" t="s">
        <v>250</v>
      </c>
      <c r="I573" s="1">
        <v>46054</v>
      </c>
      <c r="J573" s="2">
        <v>0</v>
      </c>
      <c r="K573" s="2">
        <v>15</v>
      </c>
      <c r="L573">
        <v>1</v>
      </c>
      <c r="M573" s="3">
        <v>1</v>
      </c>
      <c r="N573" s="2">
        <v>15</v>
      </c>
      <c r="P573" t="s">
        <v>1577</v>
      </c>
    </row>
    <row r="574" spans="1:16" x14ac:dyDescent="0.25">
      <c r="A574" s="4">
        <v>102241376400</v>
      </c>
      <c r="B574" s="4" t="str">
        <f t="shared" si="14"/>
        <v>102241376400OVR</v>
      </c>
      <c r="C574" t="s">
        <v>269</v>
      </c>
      <c r="E574" s="11">
        <v>20411454</v>
      </c>
      <c r="F574" t="s">
        <v>1639</v>
      </c>
      <c r="G574" t="s">
        <v>49</v>
      </c>
      <c r="H574" t="s">
        <v>250</v>
      </c>
      <c r="I574" s="1">
        <v>45992</v>
      </c>
      <c r="J574" s="2">
        <v>0</v>
      </c>
      <c r="K574" s="2">
        <v>15</v>
      </c>
      <c r="L574">
        <v>1</v>
      </c>
      <c r="M574" s="3">
        <v>1</v>
      </c>
      <c r="N574" s="2">
        <v>15</v>
      </c>
      <c r="P574" t="s">
        <v>1577</v>
      </c>
    </row>
    <row r="575" spans="1:16" x14ac:dyDescent="0.25">
      <c r="A575" s="4">
        <v>102257274900</v>
      </c>
      <c r="B575" s="4" t="str">
        <f t="shared" si="14"/>
        <v>102257274900OVR</v>
      </c>
      <c r="C575" t="s">
        <v>305</v>
      </c>
      <c r="D575" t="s">
        <v>202</v>
      </c>
      <c r="E575" s="11">
        <v>20411454</v>
      </c>
      <c r="F575" t="s">
        <v>1639</v>
      </c>
      <c r="G575" t="s">
        <v>49</v>
      </c>
      <c r="H575" t="s">
        <v>244</v>
      </c>
      <c r="I575" s="1">
        <v>46082</v>
      </c>
      <c r="J575" s="2">
        <v>0</v>
      </c>
      <c r="K575" s="2">
        <v>20.83</v>
      </c>
      <c r="L575">
        <v>1</v>
      </c>
      <c r="M575" s="3">
        <v>1</v>
      </c>
      <c r="N575" s="2">
        <v>20.83</v>
      </c>
      <c r="O575" t="s">
        <v>308</v>
      </c>
      <c r="P575" t="s">
        <v>1577</v>
      </c>
    </row>
    <row r="576" spans="1:16" x14ac:dyDescent="0.25">
      <c r="A576" s="4">
        <v>102257499500</v>
      </c>
      <c r="B576" s="4" t="str">
        <f t="shared" si="14"/>
        <v>102257499500OVR</v>
      </c>
      <c r="C576" t="s">
        <v>312</v>
      </c>
      <c r="D576" t="s">
        <v>202</v>
      </c>
      <c r="E576" s="11">
        <v>20411454</v>
      </c>
      <c r="F576" t="s">
        <v>1639</v>
      </c>
      <c r="G576" t="s">
        <v>49</v>
      </c>
      <c r="H576" t="s">
        <v>244</v>
      </c>
      <c r="I576" s="1">
        <v>46082</v>
      </c>
      <c r="J576" s="2">
        <v>0</v>
      </c>
      <c r="K576" s="2">
        <v>20.83</v>
      </c>
      <c r="L576">
        <v>1</v>
      </c>
      <c r="M576" s="3">
        <v>1</v>
      </c>
      <c r="N576" s="2">
        <v>20.83</v>
      </c>
      <c r="O576" t="s">
        <v>308</v>
      </c>
      <c r="P576" t="s">
        <v>1577</v>
      </c>
    </row>
    <row r="577" spans="1:16" x14ac:dyDescent="0.25">
      <c r="A577" s="4">
        <v>102088624600</v>
      </c>
      <c r="B577" s="4" t="str">
        <f t="shared" si="14"/>
        <v>102088624600OVR</v>
      </c>
      <c r="C577" t="s">
        <v>241</v>
      </c>
      <c r="D577" t="s">
        <v>103</v>
      </c>
      <c r="E577" s="11">
        <v>20411454</v>
      </c>
      <c r="F577" t="s">
        <v>1639</v>
      </c>
      <c r="G577" t="s">
        <v>49</v>
      </c>
      <c r="H577" t="s">
        <v>244</v>
      </c>
      <c r="I577" s="1">
        <v>46054</v>
      </c>
      <c r="J577" s="2">
        <v>0</v>
      </c>
      <c r="K577" s="2">
        <v>22.92</v>
      </c>
      <c r="L577">
        <v>1</v>
      </c>
      <c r="M577" s="3">
        <v>1</v>
      </c>
      <c r="N577" s="2">
        <v>22.92</v>
      </c>
      <c r="O577" t="s">
        <v>245</v>
      </c>
      <c r="P577" t="s">
        <v>1577</v>
      </c>
    </row>
    <row r="578" spans="1:16" x14ac:dyDescent="0.25">
      <c r="A578" s="4">
        <v>102257034100</v>
      </c>
      <c r="B578" s="4" t="str">
        <f t="shared" si="14"/>
        <v>102257034100OVR</v>
      </c>
      <c r="C578" t="s">
        <v>303</v>
      </c>
      <c r="D578" t="s">
        <v>103</v>
      </c>
      <c r="E578" s="11">
        <v>20411454</v>
      </c>
      <c r="F578" t="s">
        <v>1639</v>
      </c>
      <c r="G578" t="s">
        <v>49</v>
      </c>
      <c r="H578" t="s">
        <v>244</v>
      </c>
      <c r="I578" s="1">
        <v>46054</v>
      </c>
      <c r="J578" s="2">
        <v>0</v>
      </c>
      <c r="K578" s="2">
        <v>22.92</v>
      </c>
      <c r="L578">
        <v>1</v>
      </c>
      <c r="M578" s="3">
        <v>1</v>
      </c>
      <c r="N578" s="2">
        <v>22.92</v>
      </c>
      <c r="O578" t="s">
        <v>245</v>
      </c>
      <c r="P578" t="s">
        <v>1577</v>
      </c>
    </row>
    <row r="579" spans="1:16" x14ac:dyDescent="0.25">
      <c r="A579" s="4">
        <v>102257432800</v>
      </c>
      <c r="B579" s="4" t="str">
        <f t="shared" si="14"/>
        <v>102257432800OVR</v>
      </c>
      <c r="C579" t="s">
        <v>310</v>
      </c>
      <c r="D579" t="s">
        <v>202</v>
      </c>
      <c r="E579" s="11">
        <v>20411454</v>
      </c>
      <c r="F579" t="s">
        <v>1639</v>
      </c>
      <c r="G579" t="s">
        <v>49</v>
      </c>
      <c r="H579" t="s">
        <v>244</v>
      </c>
      <c r="I579" s="1">
        <v>46054</v>
      </c>
      <c r="J579" s="2">
        <v>0</v>
      </c>
      <c r="K579" s="2">
        <v>22.92</v>
      </c>
      <c r="L579">
        <v>1</v>
      </c>
      <c r="M579" s="3">
        <v>1</v>
      </c>
      <c r="N579" s="2">
        <v>22.92</v>
      </c>
      <c r="O579" t="s">
        <v>245</v>
      </c>
      <c r="P579" t="s">
        <v>1577</v>
      </c>
    </row>
    <row r="580" spans="1:16" x14ac:dyDescent="0.25">
      <c r="A580" s="4">
        <v>102257592400</v>
      </c>
      <c r="B580" s="4" t="str">
        <f t="shared" si="14"/>
        <v>102257592400OVR</v>
      </c>
      <c r="C580" t="s">
        <v>314</v>
      </c>
      <c r="D580" t="s">
        <v>202</v>
      </c>
      <c r="E580" s="11">
        <v>20411454</v>
      </c>
      <c r="F580" t="s">
        <v>1639</v>
      </c>
      <c r="G580" t="s">
        <v>49</v>
      </c>
      <c r="H580" t="s">
        <v>244</v>
      </c>
      <c r="I580" s="1">
        <v>46054</v>
      </c>
      <c r="J580" s="2">
        <v>0</v>
      </c>
      <c r="K580" s="2">
        <v>22.92</v>
      </c>
      <c r="L580">
        <v>1</v>
      </c>
      <c r="M580" s="3">
        <v>1</v>
      </c>
      <c r="N580" s="2">
        <v>22.92</v>
      </c>
      <c r="O580" t="s">
        <v>245</v>
      </c>
      <c r="P580" t="s">
        <v>1577</v>
      </c>
    </row>
    <row r="581" spans="1:16" x14ac:dyDescent="0.25">
      <c r="A581" s="4">
        <v>101040206500</v>
      </c>
      <c r="B581" s="4" t="str">
        <f t="shared" si="14"/>
        <v>101040206500OVR</v>
      </c>
      <c r="C581" t="s">
        <v>196</v>
      </c>
      <c r="D581" t="s">
        <v>55</v>
      </c>
      <c r="E581" s="11">
        <v>20411454</v>
      </c>
      <c r="F581" t="s">
        <v>1639</v>
      </c>
      <c r="G581" t="s">
        <v>49</v>
      </c>
      <c r="H581" t="s">
        <v>197</v>
      </c>
      <c r="I581" s="1">
        <v>46023</v>
      </c>
      <c r="J581" s="2">
        <v>0</v>
      </c>
      <c r="K581" s="2">
        <v>25</v>
      </c>
      <c r="L581">
        <v>1</v>
      </c>
      <c r="M581" s="3">
        <v>1</v>
      </c>
      <c r="N581" s="2">
        <v>25</v>
      </c>
      <c r="P581" t="s">
        <v>1577</v>
      </c>
    </row>
    <row r="582" spans="1:16" x14ac:dyDescent="0.25">
      <c r="A582" s="4">
        <v>101040415500</v>
      </c>
      <c r="B582" s="4" t="str">
        <f t="shared" si="14"/>
        <v>101040415500OVR</v>
      </c>
      <c r="C582" t="s">
        <v>199</v>
      </c>
      <c r="D582" t="s">
        <v>55</v>
      </c>
      <c r="E582" s="11">
        <v>20411454</v>
      </c>
      <c r="F582" t="s">
        <v>1639</v>
      </c>
      <c r="G582" t="s">
        <v>49</v>
      </c>
      <c r="H582" t="s">
        <v>197</v>
      </c>
      <c r="I582" s="1">
        <v>46023</v>
      </c>
      <c r="J582" s="2">
        <v>0</v>
      </c>
      <c r="K582" s="2">
        <v>25</v>
      </c>
      <c r="L582">
        <v>1</v>
      </c>
      <c r="M582" s="3">
        <v>1</v>
      </c>
      <c r="N582" s="2">
        <v>25</v>
      </c>
      <c r="P582" t="s">
        <v>1577</v>
      </c>
    </row>
    <row r="583" spans="1:16" x14ac:dyDescent="0.25">
      <c r="A583" s="4" t="s">
        <v>1307</v>
      </c>
      <c r="B583" s="4" t="str">
        <f t="shared" si="14"/>
        <v>101052135000AOVR</v>
      </c>
      <c r="C583" t="s">
        <v>201</v>
      </c>
      <c r="D583" t="s">
        <v>202</v>
      </c>
      <c r="E583" s="11">
        <v>20411454</v>
      </c>
      <c r="F583" t="s">
        <v>1639</v>
      </c>
      <c r="G583" t="s">
        <v>106</v>
      </c>
      <c r="H583" t="s">
        <v>197</v>
      </c>
      <c r="I583" s="1">
        <v>46023</v>
      </c>
      <c r="J583" s="2">
        <v>0</v>
      </c>
      <c r="K583" s="2">
        <v>25</v>
      </c>
      <c r="L583">
        <v>1</v>
      </c>
      <c r="M583" s="3">
        <v>1</v>
      </c>
      <c r="N583" s="2">
        <v>25</v>
      </c>
      <c r="P583" t="s">
        <v>1577</v>
      </c>
    </row>
    <row r="584" spans="1:16" x14ac:dyDescent="0.25">
      <c r="A584" s="4">
        <v>101052495000</v>
      </c>
      <c r="B584" s="4" t="str">
        <f t="shared" si="14"/>
        <v>101052495000OVR</v>
      </c>
      <c r="C584" t="s">
        <v>206</v>
      </c>
      <c r="D584" t="s">
        <v>202</v>
      </c>
      <c r="E584" s="11">
        <v>20411454</v>
      </c>
      <c r="F584" t="s">
        <v>1639</v>
      </c>
      <c r="G584" t="s">
        <v>49</v>
      </c>
      <c r="H584" t="s">
        <v>197</v>
      </c>
      <c r="I584" s="1">
        <v>46023</v>
      </c>
      <c r="J584" s="2">
        <v>0</v>
      </c>
      <c r="K584" s="2">
        <v>25</v>
      </c>
      <c r="L584">
        <v>1</v>
      </c>
      <c r="M584" s="3">
        <v>1</v>
      </c>
      <c r="N584" s="2">
        <v>25</v>
      </c>
      <c r="P584" t="s">
        <v>1577</v>
      </c>
    </row>
    <row r="585" spans="1:16" x14ac:dyDescent="0.25">
      <c r="A585" s="4">
        <v>101059707300</v>
      </c>
      <c r="B585" s="4" t="str">
        <f t="shared" si="14"/>
        <v>101059707300OVR</v>
      </c>
      <c r="C585" t="s">
        <v>210</v>
      </c>
      <c r="D585" t="s">
        <v>202</v>
      </c>
      <c r="E585" s="11">
        <v>20411454</v>
      </c>
      <c r="F585" t="s">
        <v>1639</v>
      </c>
      <c r="G585" t="s">
        <v>49</v>
      </c>
      <c r="H585" t="s">
        <v>197</v>
      </c>
      <c r="I585" s="1">
        <v>46023</v>
      </c>
      <c r="J585" s="2">
        <v>0</v>
      </c>
      <c r="K585" s="2">
        <v>25</v>
      </c>
      <c r="L585">
        <v>1</v>
      </c>
      <c r="M585" s="3">
        <v>1</v>
      </c>
      <c r="N585" s="2">
        <v>25</v>
      </c>
      <c r="P585" t="s">
        <v>1577</v>
      </c>
    </row>
    <row r="586" spans="1:16" x14ac:dyDescent="0.25">
      <c r="A586" s="4">
        <v>101061204400</v>
      </c>
      <c r="B586" s="4" t="str">
        <f t="shared" si="14"/>
        <v>101061204400OVR</v>
      </c>
      <c r="C586" t="s">
        <v>214</v>
      </c>
      <c r="D586" t="s">
        <v>202</v>
      </c>
      <c r="E586" s="11">
        <v>20411454</v>
      </c>
      <c r="F586" t="s">
        <v>1639</v>
      </c>
      <c r="G586" t="s">
        <v>49</v>
      </c>
      <c r="H586" t="s">
        <v>197</v>
      </c>
      <c r="I586" s="1">
        <v>46023</v>
      </c>
      <c r="J586" s="2">
        <v>0</v>
      </c>
      <c r="K586" s="2">
        <v>25</v>
      </c>
      <c r="L586">
        <v>1</v>
      </c>
      <c r="M586" s="3">
        <v>1</v>
      </c>
      <c r="N586" s="2">
        <v>25</v>
      </c>
      <c r="P586" t="s">
        <v>1577</v>
      </c>
    </row>
    <row r="587" spans="1:16" x14ac:dyDescent="0.25">
      <c r="A587" s="4">
        <v>101074629800</v>
      </c>
      <c r="B587" s="4" t="str">
        <f t="shared" si="14"/>
        <v>101074629800OVR</v>
      </c>
      <c r="C587" t="s">
        <v>216</v>
      </c>
      <c r="D587" t="s">
        <v>202</v>
      </c>
      <c r="E587" s="11">
        <v>20411454</v>
      </c>
      <c r="F587" t="s">
        <v>1639</v>
      </c>
      <c r="G587" t="s">
        <v>49</v>
      </c>
      <c r="H587" t="s">
        <v>197</v>
      </c>
      <c r="I587" s="1">
        <v>46023</v>
      </c>
      <c r="J587" s="2">
        <v>0</v>
      </c>
      <c r="K587" s="2">
        <v>25</v>
      </c>
      <c r="L587">
        <v>1</v>
      </c>
      <c r="M587" s="3">
        <v>1</v>
      </c>
      <c r="N587" s="2">
        <v>25</v>
      </c>
      <c r="P587" t="s">
        <v>1577</v>
      </c>
    </row>
    <row r="588" spans="1:16" x14ac:dyDescent="0.25">
      <c r="A588" s="4">
        <v>101079424500</v>
      </c>
      <c r="B588" s="4" t="str">
        <f t="shared" si="14"/>
        <v>101079424500OVR</v>
      </c>
      <c r="C588" t="s">
        <v>218</v>
      </c>
      <c r="D588" t="s">
        <v>202</v>
      </c>
      <c r="E588" s="11">
        <v>20411454</v>
      </c>
      <c r="F588" t="s">
        <v>1639</v>
      </c>
      <c r="G588" t="s">
        <v>49</v>
      </c>
      <c r="H588" t="s">
        <v>197</v>
      </c>
      <c r="I588" s="1">
        <v>46023</v>
      </c>
      <c r="J588" s="2">
        <v>0</v>
      </c>
      <c r="K588" s="2">
        <v>25</v>
      </c>
      <c r="L588">
        <v>1</v>
      </c>
      <c r="M588" s="3">
        <v>1</v>
      </c>
      <c r="N588" s="2">
        <v>25</v>
      </c>
      <c r="P588" t="s">
        <v>1577</v>
      </c>
    </row>
    <row r="589" spans="1:16" x14ac:dyDescent="0.25">
      <c r="A589" s="4" t="s">
        <v>1308</v>
      </c>
      <c r="B589" s="4" t="str">
        <f t="shared" si="14"/>
        <v>101083195000AOVR</v>
      </c>
      <c r="C589" t="s">
        <v>220</v>
      </c>
      <c r="D589" t="s">
        <v>202</v>
      </c>
      <c r="E589" s="11">
        <v>20411454</v>
      </c>
      <c r="F589" t="s">
        <v>1639</v>
      </c>
      <c r="G589" t="s">
        <v>106</v>
      </c>
      <c r="H589" t="s">
        <v>197</v>
      </c>
      <c r="I589" s="1">
        <v>46023</v>
      </c>
      <c r="J589" s="2">
        <v>0</v>
      </c>
      <c r="K589" s="2">
        <v>25</v>
      </c>
      <c r="L589">
        <v>1</v>
      </c>
      <c r="M589" s="3">
        <v>1</v>
      </c>
      <c r="N589" s="2">
        <v>25</v>
      </c>
      <c r="P589" t="s">
        <v>1577</v>
      </c>
    </row>
    <row r="590" spans="1:16" x14ac:dyDescent="0.25">
      <c r="A590" s="4">
        <v>101099652800</v>
      </c>
      <c r="B590" s="4" t="str">
        <f t="shared" si="14"/>
        <v>101099652800OVR</v>
      </c>
      <c r="C590" t="s">
        <v>222</v>
      </c>
      <c r="D590" t="s">
        <v>202</v>
      </c>
      <c r="E590" s="11">
        <v>20411454</v>
      </c>
      <c r="F590" t="s">
        <v>1639</v>
      </c>
      <c r="G590" t="s">
        <v>49</v>
      </c>
      <c r="H590" t="s">
        <v>197</v>
      </c>
      <c r="I590" s="1">
        <v>46023</v>
      </c>
      <c r="J590" s="2">
        <v>0</v>
      </c>
      <c r="K590" s="2">
        <v>25</v>
      </c>
      <c r="L590">
        <v>1</v>
      </c>
      <c r="M590" s="3">
        <v>1</v>
      </c>
      <c r="N590" s="2">
        <v>25</v>
      </c>
      <c r="P590" t="s">
        <v>1577</v>
      </c>
    </row>
    <row r="591" spans="1:16" x14ac:dyDescent="0.25">
      <c r="A591" s="4">
        <v>101109436500</v>
      </c>
      <c r="B591" s="4" t="str">
        <f t="shared" si="14"/>
        <v>101109436500OVR</v>
      </c>
      <c r="C591" t="s">
        <v>224</v>
      </c>
      <c r="D591" t="s">
        <v>202</v>
      </c>
      <c r="E591" s="11">
        <v>20411454</v>
      </c>
      <c r="F591" t="s">
        <v>1639</v>
      </c>
      <c r="G591" t="s">
        <v>49</v>
      </c>
      <c r="H591" t="s">
        <v>197</v>
      </c>
      <c r="I591" s="1">
        <v>46023</v>
      </c>
      <c r="J591" s="2">
        <v>0</v>
      </c>
      <c r="K591" s="2">
        <v>25</v>
      </c>
      <c r="L591">
        <v>1</v>
      </c>
      <c r="M591" s="3">
        <v>1</v>
      </c>
      <c r="N591" s="2">
        <v>25</v>
      </c>
      <c r="P591" t="s">
        <v>1577</v>
      </c>
    </row>
    <row r="592" spans="1:16" x14ac:dyDescent="0.25">
      <c r="A592" s="4">
        <v>101181584700</v>
      </c>
      <c r="B592" s="4" t="str">
        <f t="shared" si="14"/>
        <v>101181584700OVR</v>
      </c>
      <c r="C592" t="s">
        <v>226</v>
      </c>
      <c r="D592" t="s">
        <v>202</v>
      </c>
      <c r="E592" s="11">
        <v>20411454</v>
      </c>
      <c r="F592" t="s">
        <v>1639</v>
      </c>
      <c r="G592" t="s">
        <v>49</v>
      </c>
      <c r="H592" t="s">
        <v>197</v>
      </c>
      <c r="I592" s="1">
        <v>46023</v>
      </c>
      <c r="J592" s="2">
        <v>0</v>
      </c>
      <c r="K592" s="2">
        <v>25</v>
      </c>
      <c r="L592">
        <v>1</v>
      </c>
      <c r="M592" s="3">
        <v>1</v>
      </c>
      <c r="N592" s="2">
        <v>25</v>
      </c>
      <c r="P592" t="s">
        <v>1577</v>
      </c>
    </row>
    <row r="593" spans="1:16" x14ac:dyDescent="0.25">
      <c r="A593" s="4">
        <v>101298337900</v>
      </c>
      <c r="B593" s="4" t="str">
        <f t="shared" si="14"/>
        <v>101298337900OVR</v>
      </c>
      <c r="C593" t="s">
        <v>228</v>
      </c>
      <c r="D593" t="s">
        <v>84</v>
      </c>
      <c r="E593" s="11">
        <v>20411454</v>
      </c>
      <c r="F593" t="s">
        <v>1639</v>
      </c>
      <c r="G593" t="s">
        <v>49</v>
      </c>
      <c r="H593" t="s">
        <v>197</v>
      </c>
      <c r="I593" s="1">
        <v>46023</v>
      </c>
      <c r="J593" s="2">
        <v>0</v>
      </c>
      <c r="K593" s="2">
        <v>25</v>
      </c>
      <c r="L593">
        <v>1</v>
      </c>
      <c r="M593" s="3">
        <v>1</v>
      </c>
      <c r="N593" s="2">
        <v>25</v>
      </c>
      <c r="P593" t="s">
        <v>1577</v>
      </c>
    </row>
    <row r="594" spans="1:16" x14ac:dyDescent="0.25">
      <c r="A594" s="4">
        <v>101324402000</v>
      </c>
      <c r="B594" s="4" t="str">
        <f t="shared" si="14"/>
        <v>101324402000OVR</v>
      </c>
      <c r="C594" t="s">
        <v>232</v>
      </c>
      <c r="D594" t="s">
        <v>233</v>
      </c>
      <c r="E594" s="11">
        <v>20411454</v>
      </c>
      <c r="F594" t="s">
        <v>1639</v>
      </c>
      <c r="G594" t="s">
        <v>49</v>
      </c>
      <c r="H594" t="s">
        <v>197</v>
      </c>
      <c r="I594" s="1">
        <v>46023</v>
      </c>
      <c r="J594" s="2">
        <v>0</v>
      </c>
      <c r="K594" s="2">
        <v>25</v>
      </c>
      <c r="L594">
        <v>1</v>
      </c>
      <c r="M594" s="3">
        <v>1</v>
      </c>
      <c r="N594" s="2">
        <v>25</v>
      </c>
      <c r="P594" t="s">
        <v>1577</v>
      </c>
    </row>
    <row r="595" spans="1:16" x14ac:dyDescent="0.25">
      <c r="A595" s="4">
        <v>101496289100</v>
      </c>
      <c r="B595" s="4" t="str">
        <f t="shared" si="14"/>
        <v>101496289100OVR</v>
      </c>
      <c r="C595" t="s">
        <v>235</v>
      </c>
      <c r="D595" t="s">
        <v>202</v>
      </c>
      <c r="E595" s="11">
        <v>20411454</v>
      </c>
      <c r="F595" t="s">
        <v>1639</v>
      </c>
      <c r="G595" t="s">
        <v>49</v>
      </c>
      <c r="H595" t="s">
        <v>197</v>
      </c>
      <c r="I595" s="1">
        <v>46023</v>
      </c>
      <c r="J595" s="2">
        <v>0</v>
      </c>
      <c r="K595" s="2">
        <v>25</v>
      </c>
      <c r="L595">
        <v>1</v>
      </c>
      <c r="M595" s="3">
        <v>1</v>
      </c>
      <c r="N595" s="2">
        <v>25</v>
      </c>
      <c r="P595" t="s">
        <v>1577</v>
      </c>
    </row>
    <row r="596" spans="1:16" x14ac:dyDescent="0.25">
      <c r="A596" s="4">
        <v>101942229700</v>
      </c>
      <c r="B596" s="4" t="str">
        <f t="shared" si="14"/>
        <v>101942229700OVR</v>
      </c>
      <c r="C596" t="s">
        <v>237</v>
      </c>
      <c r="D596" t="s">
        <v>55</v>
      </c>
      <c r="E596" s="11">
        <v>20411454</v>
      </c>
      <c r="F596" t="s">
        <v>1639</v>
      </c>
      <c r="G596" t="s">
        <v>49</v>
      </c>
      <c r="H596" t="s">
        <v>197</v>
      </c>
      <c r="I596" s="1">
        <v>46023</v>
      </c>
      <c r="J596" s="2">
        <v>0</v>
      </c>
      <c r="K596" s="2">
        <v>25</v>
      </c>
      <c r="L596">
        <v>1</v>
      </c>
      <c r="M596" s="3">
        <v>1</v>
      </c>
      <c r="N596" s="2">
        <v>25</v>
      </c>
      <c r="P596" t="s">
        <v>1577</v>
      </c>
    </row>
    <row r="597" spans="1:16" x14ac:dyDescent="0.25">
      <c r="A597" s="4">
        <v>102215997500</v>
      </c>
      <c r="B597" s="4" t="str">
        <f t="shared" si="14"/>
        <v>102215997500OVR</v>
      </c>
      <c r="C597" t="s">
        <v>247</v>
      </c>
      <c r="D597" t="s">
        <v>55</v>
      </c>
      <c r="E597" s="11">
        <v>20411454</v>
      </c>
      <c r="F597" t="s">
        <v>1639</v>
      </c>
      <c r="G597" t="s">
        <v>49</v>
      </c>
      <c r="H597" t="s">
        <v>197</v>
      </c>
      <c r="I597" s="1">
        <v>46054</v>
      </c>
      <c r="J597" s="2">
        <v>0</v>
      </c>
      <c r="K597" s="2">
        <v>25</v>
      </c>
      <c r="L597">
        <v>1</v>
      </c>
      <c r="M597" s="3">
        <v>1</v>
      </c>
      <c r="N597" s="2">
        <v>25</v>
      </c>
      <c r="P597" t="s">
        <v>1577</v>
      </c>
    </row>
    <row r="598" spans="1:16" x14ac:dyDescent="0.25">
      <c r="A598" s="4">
        <v>102222211400</v>
      </c>
      <c r="B598" s="4" t="str">
        <f t="shared" si="14"/>
        <v>102222211400OVR</v>
      </c>
      <c r="C598" t="s">
        <v>252</v>
      </c>
      <c r="D598" t="s">
        <v>202</v>
      </c>
      <c r="E598" s="11">
        <v>20411454</v>
      </c>
      <c r="F598" t="s">
        <v>1639</v>
      </c>
      <c r="G598" t="s">
        <v>49</v>
      </c>
      <c r="H598" t="s">
        <v>197</v>
      </c>
      <c r="I598" s="1">
        <v>46054</v>
      </c>
      <c r="J598" s="2">
        <v>0</v>
      </c>
      <c r="K598" s="2">
        <v>25</v>
      </c>
      <c r="L598">
        <v>1</v>
      </c>
      <c r="M598" s="3">
        <v>1</v>
      </c>
      <c r="N598" s="2">
        <v>25</v>
      </c>
      <c r="P598" t="s">
        <v>1577</v>
      </c>
    </row>
    <row r="599" spans="1:16" x14ac:dyDescent="0.25">
      <c r="A599" s="4">
        <v>102226592800</v>
      </c>
      <c r="B599" s="4" t="str">
        <f t="shared" si="14"/>
        <v>102226592800OVR</v>
      </c>
      <c r="C599" t="s">
        <v>259</v>
      </c>
      <c r="D599" t="s">
        <v>202</v>
      </c>
      <c r="E599" s="11">
        <v>20411454</v>
      </c>
      <c r="F599" t="s">
        <v>1639</v>
      </c>
      <c r="G599" t="s">
        <v>49</v>
      </c>
      <c r="H599" t="s">
        <v>197</v>
      </c>
      <c r="I599" s="1">
        <v>46054</v>
      </c>
      <c r="J599" s="2">
        <v>0</v>
      </c>
      <c r="K599" s="2">
        <v>25</v>
      </c>
      <c r="L599">
        <v>1</v>
      </c>
      <c r="M599" s="3">
        <v>1</v>
      </c>
      <c r="N599" s="2">
        <v>25</v>
      </c>
      <c r="P599" t="s">
        <v>1577</v>
      </c>
    </row>
    <row r="600" spans="1:16" x14ac:dyDescent="0.25">
      <c r="A600" s="4">
        <v>102232576500</v>
      </c>
      <c r="B600" s="4" t="str">
        <f t="shared" si="14"/>
        <v>102232576500OVR</v>
      </c>
      <c r="C600" t="s">
        <v>261</v>
      </c>
      <c r="E600" s="11">
        <v>20411454</v>
      </c>
      <c r="F600" t="s">
        <v>1639</v>
      </c>
      <c r="G600" t="s">
        <v>49</v>
      </c>
      <c r="H600" t="s">
        <v>197</v>
      </c>
      <c r="I600" s="1">
        <v>46054</v>
      </c>
      <c r="J600" s="2">
        <v>0</v>
      </c>
      <c r="K600" s="2">
        <v>25</v>
      </c>
      <c r="L600">
        <v>1</v>
      </c>
      <c r="M600" s="3">
        <v>1</v>
      </c>
      <c r="N600" s="2">
        <v>25</v>
      </c>
      <c r="P600" t="s">
        <v>1577</v>
      </c>
    </row>
    <row r="601" spans="1:16" x14ac:dyDescent="0.25">
      <c r="A601" s="4">
        <v>102235813800</v>
      </c>
      <c r="B601" s="4" t="str">
        <f t="shared" si="14"/>
        <v>102235813800OVR</v>
      </c>
      <c r="C601" t="s">
        <v>263</v>
      </c>
      <c r="E601" s="11">
        <v>20411454</v>
      </c>
      <c r="F601" t="s">
        <v>1639</v>
      </c>
      <c r="G601" t="s">
        <v>49</v>
      </c>
      <c r="H601" t="s">
        <v>197</v>
      </c>
      <c r="I601" s="1">
        <v>46054</v>
      </c>
      <c r="J601" s="2">
        <v>0</v>
      </c>
      <c r="K601" s="2">
        <v>25</v>
      </c>
      <c r="L601">
        <v>1</v>
      </c>
      <c r="M601" s="3">
        <v>1</v>
      </c>
      <c r="N601" s="2">
        <v>25</v>
      </c>
      <c r="P601" t="s">
        <v>1577</v>
      </c>
    </row>
    <row r="602" spans="1:16" x14ac:dyDescent="0.25">
      <c r="A602" s="4">
        <v>102240682000</v>
      </c>
      <c r="B602" s="4" t="str">
        <f t="shared" si="14"/>
        <v>102240682000OVR</v>
      </c>
      <c r="C602" t="s">
        <v>265</v>
      </c>
      <c r="E602" s="11">
        <v>20411454</v>
      </c>
      <c r="F602" t="s">
        <v>1639</v>
      </c>
      <c r="G602" t="s">
        <v>49</v>
      </c>
      <c r="H602" t="s">
        <v>197</v>
      </c>
      <c r="I602" s="1">
        <v>45992</v>
      </c>
      <c r="J602" s="2">
        <v>0</v>
      </c>
      <c r="K602" s="2">
        <v>25</v>
      </c>
      <c r="L602">
        <v>1</v>
      </c>
      <c r="M602" s="3">
        <v>1</v>
      </c>
      <c r="N602" s="2">
        <v>25</v>
      </c>
      <c r="P602" t="s">
        <v>1577</v>
      </c>
    </row>
    <row r="603" spans="1:16" x14ac:dyDescent="0.25">
      <c r="A603" s="4">
        <v>102241294500</v>
      </c>
      <c r="B603" s="4" t="str">
        <f t="shared" si="14"/>
        <v>102241294500OVR</v>
      </c>
      <c r="C603" t="s">
        <v>267</v>
      </c>
      <c r="E603" s="11">
        <v>20411454</v>
      </c>
      <c r="F603" t="s">
        <v>1639</v>
      </c>
      <c r="G603" t="s">
        <v>49</v>
      </c>
      <c r="H603" t="s">
        <v>197</v>
      </c>
      <c r="I603" s="1">
        <v>45992</v>
      </c>
      <c r="J603" s="2">
        <v>0</v>
      </c>
      <c r="K603" s="2">
        <v>25</v>
      </c>
      <c r="L603">
        <v>1</v>
      </c>
      <c r="M603" s="3">
        <v>1</v>
      </c>
      <c r="N603" s="2">
        <v>25</v>
      </c>
      <c r="P603" t="s">
        <v>1577</v>
      </c>
    </row>
    <row r="604" spans="1:16" x14ac:dyDescent="0.25">
      <c r="A604" s="4">
        <v>102241978000</v>
      </c>
      <c r="B604" s="4" t="str">
        <f t="shared" si="14"/>
        <v>102241978000OVR</v>
      </c>
      <c r="C604" t="s">
        <v>273</v>
      </c>
      <c r="E604" s="11">
        <v>20411454</v>
      </c>
      <c r="F604" t="s">
        <v>1639</v>
      </c>
      <c r="G604" t="s">
        <v>49</v>
      </c>
      <c r="H604" t="s">
        <v>197</v>
      </c>
      <c r="I604" s="1">
        <v>46054</v>
      </c>
      <c r="J604" s="2">
        <v>0</v>
      </c>
      <c r="K604" s="2">
        <v>25</v>
      </c>
      <c r="L604">
        <v>1</v>
      </c>
      <c r="M604" s="3">
        <v>1</v>
      </c>
      <c r="N604" s="2">
        <v>25</v>
      </c>
      <c r="P604" t="s">
        <v>1577</v>
      </c>
    </row>
    <row r="605" spans="1:16" x14ac:dyDescent="0.25">
      <c r="A605" s="4">
        <v>102242332100</v>
      </c>
      <c r="B605" s="4" t="str">
        <f t="shared" si="14"/>
        <v>102242332100OVR</v>
      </c>
      <c r="C605" t="s">
        <v>277</v>
      </c>
      <c r="E605" s="11">
        <v>20411454</v>
      </c>
      <c r="F605" t="s">
        <v>1639</v>
      </c>
      <c r="G605" t="s">
        <v>49</v>
      </c>
      <c r="H605" t="s">
        <v>197</v>
      </c>
      <c r="I605" s="1">
        <v>46054</v>
      </c>
      <c r="J605" s="2">
        <v>0</v>
      </c>
      <c r="K605" s="2">
        <v>25</v>
      </c>
      <c r="L605">
        <v>1</v>
      </c>
      <c r="M605" s="3">
        <v>1</v>
      </c>
      <c r="N605" s="2">
        <v>25</v>
      </c>
      <c r="P605" t="s">
        <v>1577</v>
      </c>
    </row>
    <row r="606" spans="1:16" x14ac:dyDescent="0.25">
      <c r="A606" s="4">
        <v>102244928700</v>
      </c>
      <c r="B606" s="4" t="str">
        <f t="shared" si="14"/>
        <v>102244928700OVR</v>
      </c>
      <c r="C606" t="s">
        <v>279</v>
      </c>
      <c r="D606" t="s">
        <v>280</v>
      </c>
      <c r="E606" s="11">
        <v>20411454</v>
      </c>
      <c r="F606" t="s">
        <v>1639</v>
      </c>
      <c r="G606" t="s">
        <v>49</v>
      </c>
      <c r="H606" t="s">
        <v>197</v>
      </c>
      <c r="I606" s="1">
        <v>46054</v>
      </c>
      <c r="J606" s="2">
        <v>0</v>
      </c>
      <c r="K606" s="2">
        <v>25</v>
      </c>
      <c r="L606">
        <v>1</v>
      </c>
      <c r="M606" s="3">
        <v>1</v>
      </c>
      <c r="N606" s="2">
        <v>25</v>
      </c>
      <c r="P606" t="s">
        <v>1577</v>
      </c>
    </row>
    <row r="607" spans="1:16" x14ac:dyDescent="0.25">
      <c r="A607" s="4">
        <v>102245909400</v>
      </c>
      <c r="B607" s="4" t="str">
        <f t="shared" ref="B607:B670" si="15">CONCATENATE(A607,"OVR")</f>
        <v>102245909400OVR</v>
      </c>
      <c r="C607" t="s">
        <v>284</v>
      </c>
      <c r="D607" t="s">
        <v>202</v>
      </c>
      <c r="E607" s="11">
        <v>20411454</v>
      </c>
      <c r="F607" t="s">
        <v>1639</v>
      </c>
      <c r="G607" t="s">
        <v>49</v>
      </c>
      <c r="H607" t="s">
        <v>197</v>
      </c>
      <c r="I607" s="1">
        <v>46054</v>
      </c>
      <c r="J607" s="2">
        <v>0</v>
      </c>
      <c r="K607" s="2">
        <v>25</v>
      </c>
      <c r="L607">
        <v>1</v>
      </c>
      <c r="M607" s="3">
        <v>1</v>
      </c>
      <c r="N607" s="2">
        <v>25</v>
      </c>
      <c r="P607" t="s">
        <v>1577</v>
      </c>
    </row>
    <row r="608" spans="1:16" x14ac:dyDescent="0.25">
      <c r="A608" s="4">
        <v>102248629500</v>
      </c>
      <c r="B608" s="4" t="str">
        <f t="shared" si="15"/>
        <v>102248629500OVR</v>
      </c>
      <c r="C608" t="s">
        <v>286</v>
      </c>
      <c r="D608" t="s">
        <v>287</v>
      </c>
      <c r="E608" s="11">
        <v>20411454</v>
      </c>
      <c r="F608" t="s">
        <v>1639</v>
      </c>
      <c r="G608" t="s">
        <v>49</v>
      </c>
      <c r="H608" t="s">
        <v>197</v>
      </c>
      <c r="I608" s="1">
        <v>46023</v>
      </c>
      <c r="J608" s="2">
        <v>0</v>
      </c>
      <c r="K608" s="2">
        <v>25</v>
      </c>
      <c r="L608">
        <v>1</v>
      </c>
      <c r="M608" s="3">
        <v>1</v>
      </c>
      <c r="N608" s="2">
        <v>25</v>
      </c>
      <c r="P608" t="s">
        <v>1577</v>
      </c>
    </row>
    <row r="609" spans="1:16" x14ac:dyDescent="0.25">
      <c r="A609" s="4">
        <v>102253501500</v>
      </c>
      <c r="B609" s="4" t="str">
        <f t="shared" si="15"/>
        <v>102253501500OVR</v>
      </c>
      <c r="C609" t="s">
        <v>291</v>
      </c>
      <c r="D609" t="s">
        <v>202</v>
      </c>
      <c r="E609" s="11">
        <v>20411454</v>
      </c>
      <c r="F609" t="s">
        <v>1639</v>
      </c>
      <c r="G609" t="s">
        <v>49</v>
      </c>
      <c r="H609" t="s">
        <v>197</v>
      </c>
      <c r="I609" s="1">
        <v>46054</v>
      </c>
      <c r="J609" s="2">
        <v>0</v>
      </c>
      <c r="K609" s="2">
        <v>25</v>
      </c>
      <c r="L609">
        <v>1</v>
      </c>
      <c r="M609" s="3">
        <v>1</v>
      </c>
      <c r="N609" s="2">
        <v>25</v>
      </c>
      <c r="P609" t="s">
        <v>1577</v>
      </c>
    </row>
    <row r="610" spans="1:16" x14ac:dyDescent="0.25">
      <c r="A610" s="4">
        <v>102254727000</v>
      </c>
      <c r="B610" s="4" t="str">
        <f t="shared" si="15"/>
        <v>102254727000OVR</v>
      </c>
      <c r="C610" t="s">
        <v>293</v>
      </c>
      <c r="D610" t="s">
        <v>202</v>
      </c>
      <c r="E610" s="11">
        <v>20411454</v>
      </c>
      <c r="F610" t="s">
        <v>1639</v>
      </c>
      <c r="G610" t="s">
        <v>49</v>
      </c>
      <c r="H610" t="s">
        <v>197</v>
      </c>
      <c r="I610" s="1">
        <v>46054</v>
      </c>
      <c r="J610" s="2">
        <v>0</v>
      </c>
      <c r="K610" s="2">
        <v>25</v>
      </c>
      <c r="L610">
        <v>1</v>
      </c>
      <c r="M610" s="3">
        <v>1</v>
      </c>
      <c r="N610" s="2">
        <v>25</v>
      </c>
      <c r="P610" t="s">
        <v>1577</v>
      </c>
    </row>
    <row r="611" spans="1:16" x14ac:dyDescent="0.25">
      <c r="A611" s="4">
        <v>102255132900</v>
      </c>
      <c r="B611" s="4" t="str">
        <f t="shared" si="15"/>
        <v>102255132900OVR</v>
      </c>
      <c r="C611" t="s">
        <v>295</v>
      </c>
      <c r="D611" t="s">
        <v>55</v>
      </c>
      <c r="E611" s="11">
        <v>20411454</v>
      </c>
      <c r="F611" t="s">
        <v>1639</v>
      </c>
      <c r="G611" t="s">
        <v>49</v>
      </c>
      <c r="H611" t="s">
        <v>197</v>
      </c>
      <c r="I611" s="1">
        <v>46054</v>
      </c>
      <c r="J611" s="2">
        <v>0</v>
      </c>
      <c r="K611" s="2">
        <v>25</v>
      </c>
      <c r="L611">
        <v>1</v>
      </c>
      <c r="M611" s="3">
        <v>1</v>
      </c>
      <c r="N611" s="2">
        <v>25</v>
      </c>
      <c r="P611" t="s">
        <v>1577</v>
      </c>
    </row>
    <row r="612" spans="1:16" x14ac:dyDescent="0.25">
      <c r="A612" s="4">
        <v>102256083100</v>
      </c>
      <c r="B612" s="4" t="str">
        <f t="shared" si="15"/>
        <v>102256083100OVR</v>
      </c>
      <c r="C612" t="s">
        <v>297</v>
      </c>
      <c r="D612" t="s">
        <v>202</v>
      </c>
      <c r="E612" s="11">
        <v>20411454</v>
      </c>
      <c r="F612" t="s">
        <v>1639</v>
      </c>
      <c r="G612" t="s">
        <v>49</v>
      </c>
      <c r="H612" t="s">
        <v>197</v>
      </c>
      <c r="I612" s="1">
        <v>46054</v>
      </c>
      <c r="J612" s="2">
        <v>0</v>
      </c>
      <c r="K612" s="2">
        <v>25</v>
      </c>
      <c r="L612">
        <v>1</v>
      </c>
      <c r="M612" s="3">
        <v>1</v>
      </c>
      <c r="N612" s="2">
        <v>25</v>
      </c>
      <c r="P612" t="s">
        <v>1577</v>
      </c>
    </row>
    <row r="613" spans="1:16" x14ac:dyDescent="0.25">
      <c r="A613" s="4">
        <v>102256266800</v>
      </c>
      <c r="B613" s="4" t="str">
        <f t="shared" si="15"/>
        <v>102256266800OVR</v>
      </c>
      <c r="C613" t="s">
        <v>299</v>
      </c>
      <c r="D613" t="s">
        <v>55</v>
      </c>
      <c r="E613" s="11">
        <v>20411454</v>
      </c>
      <c r="F613" t="s">
        <v>1639</v>
      </c>
      <c r="G613" t="s">
        <v>49</v>
      </c>
      <c r="H613" t="s">
        <v>197</v>
      </c>
      <c r="I613" s="1">
        <v>46054</v>
      </c>
      <c r="J613" s="2">
        <v>0</v>
      </c>
      <c r="K613" s="2">
        <v>25</v>
      </c>
      <c r="L613">
        <v>1</v>
      </c>
      <c r="M613" s="3">
        <v>1</v>
      </c>
      <c r="N613" s="2">
        <v>25</v>
      </c>
      <c r="P613" t="s">
        <v>1577</v>
      </c>
    </row>
    <row r="614" spans="1:16" x14ac:dyDescent="0.25">
      <c r="A614" s="4" t="s">
        <v>1483</v>
      </c>
      <c r="B614" s="4" t="str">
        <f t="shared" si="15"/>
        <v>614W13756OVR</v>
      </c>
      <c r="C614" t="s">
        <v>1124</v>
      </c>
      <c r="E614" s="11">
        <v>20411454</v>
      </c>
      <c r="F614" t="s">
        <v>1639</v>
      </c>
      <c r="G614" t="s">
        <v>106</v>
      </c>
      <c r="H614" t="s">
        <v>1125</v>
      </c>
      <c r="I614" s="1">
        <v>45566</v>
      </c>
      <c r="J614" s="2">
        <v>1</v>
      </c>
      <c r="K614" s="2">
        <v>1</v>
      </c>
      <c r="M614" s="3">
        <v>1</v>
      </c>
      <c r="N614" s="2">
        <v>7</v>
      </c>
      <c r="O614" t="s">
        <v>1121</v>
      </c>
      <c r="P614" t="s">
        <v>1579</v>
      </c>
    </row>
    <row r="615" spans="1:16" x14ac:dyDescent="0.25">
      <c r="A615" s="4" t="s">
        <v>1486</v>
      </c>
      <c r="B615" s="4" t="str">
        <f t="shared" si="15"/>
        <v>948W21216OVR</v>
      </c>
      <c r="C615" t="s">
        <v>450</v>
      </c>
      <c r="E615" s="11">
        <v>20411454</v>
      </c>
      <c r="F615" t="s">
        <v>1639</v>
      </c>
      <c r="G615" t="s">
        <v>49</v>
      </c>
      <c r="H615" t="s">
        <v>1125</v>
      </c>
      <c r="I615" s="1">
        <v>45536</v>
      </c>
      <c r="J615" s="2">
        <v>1</v>
      </c>
      <c r="K615" s="2">
        <v>1</v>
      </c>
      <c r="M615" s="3">
        <v>1</v>
      </c>
      <c r="N615" s="2">
        <v>7</v>
      </c>
      <c r="O615" t="s">
        <v>1121</v>
      </c>
      <c r="P615" t="s">
        <v>1579</v>
      </c>
    </row>
    <row r="616" spans="1:16" x14ac:dyDescent="0.25">
      <c r="A616" s="4" t="s">
        <v>1480</v>
      </c>
      <c r="B616" s="4" t="str">
        <f t="shared" si="15"/>
        <v>140W10931OVR</v>
      </c>
      <c r="C616" t="s">
        <v>1119</v>
      </c>
      <c r="D616" t="s">
        <v>429</v>
      </c>
      <c r="E616" s="11">
        <v>20411454</v>
      </c>
      <c r="F616" t="s">
        <v>1639</v>
      </c>
      <c r="G616" t="s">
        <v>49</v>
      </c>
      <c r="H616" t="s">
        <v>1120</v>
      </c>
      <c r="I616" s="1">
        <v>45717</v>
      </c>
      <c r="J616" s="2">
        <v>1</v>
      </c>
      <c r="K616" s="2">
        <v>1</v>
      </c>
      <c r="M616" s="3">
        <v>1</v>
      </c>
      <c r="N616" s="2">
        <v>7</v>
      </c>
      <c r="O616" t="s">
        <v>1121</v>
      </c>
      <c r="P616" t="s">
        <v>1579</v>
      </c>
    </row>
    <row r="617" spans="1:16" x14ac:dyDescent="0.25">
      <c r="A617" s="4" t="s">
        <v>1481</v>
      </c>
      <c r="B617" s="4" t="str">
        <f t="shared" si="15"/>
        <v>283W17578OVR</v>
      </c>
      <c r="C617" t="s">
        <v>1122</v>
      </c>
      <c r="D617" t="s">
        <v>429</v>
      </c>
      <c r="E617" s="11">
        <v>20411454</v>
      </c>
      <c r="F617" t="s">
        <v>1639</v>
      </c>
      <c r="G617" t="s">
        <v>49</v>
      </c>
      <c r="H617" t="s">
        <v>1120</v>
      </c>
      <c r="I617" s="1">
        <v>45658</v>
      </c>
      <c r="J617" s="2">
        <v>1</v>
      </c>
      <c r="K617" s="2">
        <v>1</v>
      </c>
      <c r="M617" s="3">
        <v>1</v>
      </c>
      <c r="N617" s="2">
        <v>7</v>
      </c>
      <c r="O617" t="s">
        <v>1121</v>
      </c>
      <c r="P617" t="s">
        <v>1579</v>
      </c>
    </row>
    <row r="618" spans="1:16" x14ac:dyDescent="0.25">
      <c r="A618" s="4" t="s">
        <v>1482</v>
      </c>
      <c r="B618" s="4" t="str">
        <f t="shared" si="15"/>
        <v>352W10665OVR</v>
      </c>
      <c r="C618" t="s">
        <v>1123</v>
      </c>
      <c r="D618" t="s">
        <v>429</v>
      </c>
      <c r="E618" s="11">
        <v>20411454</v>
      </c>
      <c r="F618" t="s">
        <v>1639</v>
      </c>
      <c r="G618" t="s">
        <v>49</v>
      </c>
      <c r="H618" t="s">
        <v>1120</v>
      </c>
      <c r="I618" s="1">
        <v>45809</v>
      </c>
      <c r="J618" s="2">
        <v>1</v>
      </c>
      <c r="K618" s="2">
        <v>1</v>
      </c>
      <c r="M618" s="3">
        <v>1</v>
      </c>
      <c r="N618" s="2">
        <v>7</v>
      </c>
      <c r="O618" t="s">
        <v>1121</v>
      </c>
      <c r="P618" t="s">
        <v>1579</v>
      </c>
    </row>
    <row r="619" spans="1:16" x14ac:dyDescent="0.25">
      <c r="A619" s="4" t="s">
        <v>1484</v>
      </c>
      <c r="B619" s="4" t="str">
        <f t="shared" si="15"/>
        <v>829W21544OVR</v>
      </c>
      <c r="C619" t="s">
        <v>1126</v>
      </c>
      <c r="E619" s="11">
        <v>20411454</v>
      </c>
      <c r="F619" t="s">
        <v>1639</v>
      </c>
      <c r="G619" t="s">
        <v>49</v>
      </c>
      <c r="H619" t="s">
        <v>1125</v>
      </c>
      <c r="I619" s="1">
        <v>45597</v>
      </c>
      <c r="J619" s="2">
        <v>2</v>
      </c>
      <c r="K619" s="2">
        <v>2</v>
      </c>
      <c r="M619" s="3">
        <v>1</v>
      </c>
      <c r="N619" s="2">
        <v>14</v>
      </c>
      <c r="O619" t="s">
        <v>1121</v>
      </c>
      <c r="P619" t="s">
        <v>1579</v>
      </c>
    </row>
    <row r="620" spans="1:16" x14ac:dyDescent="0.25">
      <c r="A620" s="4" t="s">
        <v>1623</v>
      </c>
      <c r="B620" s="4" t="str">
        <f t="shared" si="15"/>
        <v>21R4U1R71OVR</v>
      </c>
      <c r="C620" t="s">
        <v>67</v>
      </c>
      <c r="D620" t="s">
        <v>55</v>
      </c>
      <c r="E620" s="11">
        <v>20411454</v>
      </c>
      <c r="F620" t="s">
        <v>1639</v>
      </c>
      <c r="G620" t="s">
        <v>491</v>
      </c>
      <c r="H620" t="s">
        <v>324</v>
      </c>
      <c r="I620" s="1">
        <v>46023</v>
      </c>
      <c r="N620">
        <v>-100</v>
      </c>
      <c r="P620" t="s">
        <v>1580</v>
      </c>
    </row>
    <row r="621" spans="1:16" x14ac:dyDescent="0.25">
      <c r="A621" s="4" t="s">
        <v>1624</v>
      </c>
      <c r="B621" s="4" t="str">
        <f t="shared" si="15"/>
        <v>47A7U3H98OVR</v>
      </c>
      <c r="C621" t="s">
        <v>555</v>
      </c>
      <c r="D621" t="s">
        <v>55</v>
      </c>
      <c r="E621" s="11">
        <v>20411454</v>
      </c>
      <c r="F621" t="s">
        <v>1639</v>
      </c>
      <c r="G621" t="s">
        <v>491</v>
      </c>
      <c r="H621" t="s">
        <v>324</v>
      </c>
      <c r="I621" s="1">
        <v>46023</v>
      </c>
      <c r="N621">
        <v>-100</v>
      </c>
      <c r="P621" t="s">
        <v>1580</v>
      </c>
    </row>
    <row r="622" spans="1:16" x14ac:dyDescent="0.25">
      <c r="A622" s="4" t="s">
        <v>1316</v>
      </c>
      <c r="B622" s="4" t="str">
        <f t="shared" si="15"/>
        <v>28F5R9H65OVR</v>
      </c>
      <c r="C622" t="s">
        <v>339</v>
      </c>
      <c r="D622" t="s">
        <v>74</v>
      </c>
      <c r="E622" s="11">
        <v>20411454</v>
      </c>
      <c r="F622" t="s">
        <v>1639</v>
      </c>
      <c r="G622" t="s">
        <v>49</v>
      </c>
      <c r="H622" t="s">
        <v>340</v>
      </c>
      <c r="I622" s="1">
        <v>46023</v>
      </c>
      <c r="J622" s="2">
        <v>0</v>
      </c>
      <c r="K622" s="2">
        <v>50</v>
      </c>
      <c r="L622">
        <v>1</v>
      </c>
      <c r="M622" s="3">
        <v>1</v>
      </c>
      <c r="N622" s="2">
        <v>50</v>
      </c>
      <c r="P622" t="s">
        <v>1580</v>
      </c>
    </row>
    <row r="623" spans="1:16" x14ac:dyDescent="0.25">
      <c r="A623" s="4">
        <v>36545567</v>
      </c>
      <c r="B623" s="4" t="str">
        <f t="shared" si="15"/>
        <v>36545567OVR</v>
      </c>
      <c r="C623" t="s">
        <v>353</v>
      </c>
      <c r="D623" t="s">
        <v>287</v>
      </c>
      <c r="E623" s="11">
        <v>20411454</v>
      </c>
      <c r="F623" t="s">
        <v>1639</v>
      </c>
      <c r="G623" t="s">
        <v>49</v>
      </c>
      <c r="H623" t="s">
        <v>340</v>
      </c>
      <c r="I623" s="1">
        <v>46023</v>
      </c>
      <c r="J623" s="2">
        <v>0</v>
      </c>
      <c r="K623" s="2">
        <v>50</v>
      </c>
      <c r="L623">
        <v>1</v>
      </c>
      <c r="M623" s="3">
        <v>1</v>
      </c>
      <c r="N623" s="2">
        <v>50</v>
      </c>
      <c r="P623" t="s">
        <v>1580</v>
      </c>
    </row>
    <row r="624" spans="1:16" x14ac:dyDescent="0.25">
      <c r="A624" s="4">
        <v>36864714</v>
      </c>
      <c r="B624" s="4" t="str">
        <f t="shared" si="15"/>
        <v>36864714OVR</v>
      </c>
      <c r="C624" t="s">
        <v>355</v>
      </c>
      <c r="D624" t="s">
        <v>97</v>
      </c>
      <c r="E624" s="11">
        <v>20411454</v>
      </c>
      <c r="F624" t="s">
        <v>1639</v>
      </c>
      <c r="G624" t="s">
        <v>49</v>
      </c>
      <c r="H624" t="s">
        <v>340</v>
      </c>
      <c r="I624" s="1">
        <v>46023</v>
      </c>
      <c r="J624" s="2">
        <v>0</v>
      </c>
      <c r="K624" s="2">
        <v>50</v>
      </c>
      <c r="L624">
        <v>1</v>
      </c>
      <c r="M624" s="3">
        <v>1</v>
      </c>
      <c r="N624" s="2">
        <v>50</v>
      </c>
      <c r="P624" t="s">
        <v>1580</v>
      </c>
    </row>
    <row r="625" spans="1:16" x14ac:dyDescent="0.25">
      <c r="A625" s="4">
        <v>37233819</v>
      </c>
      <c r="B625" s="4" t="str">
        <f t="shared" si="15"/>
        <v>37233819OVR</v>
      </c>
      <c r="C625" t="s">
        <v>359</v>
      </c>
      <c r="D625" t="s">
        <v>74</v>
      </c>
      <c r="E625" s="11">
        <v>20411454</v>
      </c>
      <c r="F625" t="s">
        <v>1639</v>
      </c>
      <c r="G625" t="s">
        <v>49</v>
      </c>
      <c r="H625" t="s">
        <v>340</v>
      </c>
      <c r="I625" s="1">
        <v>46023</v>
      </c>
      <c r="J625" s="2">
        <v>0</v>
      </c>
      <c r="K625" s="2">
        <v>50</v>
      </c>
      <c r="L625">
        <v>1</v>
      </c>
      <c r="M625" s="3">
        <v>1</v>
      </c>
      <c r="N625" s="2">
        <v>50</v>
      </c>
      <c r="P625" t="s">
        <v>1580</v>
      </c>
    </row>
    <row r="626" spans="1:16" x14ac:dyDescent="0.25">
      <c r="A626" s="4" t="s">
        <v>1337</v>
      </c>
      <c r="B626" s="4" t="str">
        <f t="shared" si="15"/>
        <v>71L1A1F62OVR</v>
      </c>
      <c r="C626" t="s">
        <v>400</v>
      </c>
      <c r="D626" t="s">
        <v>97</v>
      </c>
      <c r="E626" s="11">
        <v>20411454</v>
      </c>
      <c r="F626" t="s">
        <v>1639</v>
      </c>
      <c r="G626" t="s">
        <v>49</v>
      </c>
      <c r="H626" t="s">
        <v>340</v>
      </c>
      <c r="I626" s="1">
        <v>46023</v>
      </c>
      <c r="J626" s="2">
        <v>0</v>
      </c>
      <c r="K626" s="2">
        <v>50</v>
      </c>
      <c r="L626">
        <v>1</v>
      </c>
      <c r="M626" s="3">
        <v>1</v>
      </c>
      <c r="N626" s="2">
        <v>50</v>
      </c>
      <c r="P626" t="s">
        <v>1580</v>
      </c>
    </row>
    <row r="627" spans="1:16" x14ac:dyDescent="0.25">
      <c r="A627" s="4" t="s">
        <v>1309</v>
      </c>
      <c r="B627" s="4" t="str">
        <f t="shared" si="15"/>
        <v>15U8H2A84OVR</v>
      </c>
      <c r="C627" t="s">
        <v>321</v>
      </c>
      <c r="D627" t="s">
        <v>97</v>
      </c>
      <c r="E627" s="11">
        <v>20411454</v>
      </c>
      <c r="F627" t="s">
        <v>1639</v>
      </c>
      <c r="G627" t="s">
        <v>49</v>
      </c>
      <c r="H627" t="s">
        <v>324</v>
      </c>
      <c r="I627" s="1">
        <v>46023</v>
      </c>
      <c r="J627" s="2">
        <v>0</v>
      </c>
      <c r="K627" s="2">
        <v>100</v>
      </c>
      <c r="L627">
        <v>1</v>
      </c>
      <c r="M627" s="3">
        <v>1</v>
      </c>
      <c r="N627" s="2">
        <v>100</v>
      </c>
      <c r="P627" t="s">
        <v>1580</v>
      </c>
    </row>
    <row r="628" spans="1:16" x14ac:dyDescent="0.25">
      <c r="A628" s="4" t="s">
        <v>1310</v>
      </c>
      <c r="B628" s="4" t="str">
        <f t="shared" si="15"/>
        <v>17H1X6X21OVR</v>
      </c>
      <c r="C628" t="s">
        <v>326</v>
      </c>
      <c r="D628" t="s">
        <v>55</v>
      </c>
      <c r="E628" s="11">
        <v>20411454</v>
      </c>
      <c r="F628" t="s">
        <v>1639</v>
      </c>
      <c r="G628" t="s">
        <v>49</v>
      </c>
      <c r="H628" t="s">
        <v>324</v>
      </c>
      <c r="I628" s="1">
        <v>46023</v>
      </c>
      <c r="J628" s="2">
        <v>0</v>
      </c>
      <c r="K628" s="2">
        <v>100</v>
      </c>
      <c r="L628">
        <v>1</v>
      </c>
      <c r="M628" s="3">
        <v>1</v>
      </c>
      <c r="N628" s="2">
        <v>100</v>
      </c>
      <c r="P628" t="s">
        <v>1580</v>
      </c>
    </row>
    <row r="629" spans="1:16" x14ac:dyDescent="0.25">
      <c r="A629" s="4" t="s">
        <v>1311</v>
      </c>
      <c r="B629" s="4" t="str">
        <f t="shared" si="15"/>
        <v>17U1L5R79OVR</v>
      </c>
      <c r="C629" t="s">
        <v>328</v>
      </c>
      <c r="D629" t="s">
        <v>74</v>
      </c>
      <c r="E629" s="11">
        <v>20411454</v>
      </c>
      <c r="F629" t="s">
        <v>1639</v>
      </c>
      <c r="G629" t="s">
        <v>49</v>
      </c>
      <c r="H629" t="s">
        <v>324</v>
      </c>
      <c r="I629" s="1">
        <v>46023</v>
      </c>
      <c r="J629" s="2">
        <v>0</v>
      </c>
      <c r="K629" s="2">
        <v>100</v>
      </c>
      <c r="L629">
        <v>1</v>
      </c>
      <c r="M629" s="3">
        <v>1</v>
      </c>
      <c r="N629" s="2">
        <v>100</v>
      </c>
      <c r="P629" t="s">
        <v>1580</v>
      </c>
    </row>
    <row r="630" spans="1:16" x14ac:dyDescent="0.25">
      <c r="A630" s="4" t="s">
        <v>1312</v>
      </c>
      <c r="B630" s="4" t="str">
        <f t="shared" si="15"/>
        <v>22R7F8L19OVR</v>
      </c>
      <c r="C630" t="s">
        <v>330</v>
      </c>
      <c r="D630" t="s">
        <v>55</v>
      </c>
      <c r="E630" s="11">
        <v>20411454</v>
      </c>
      <c r="F630" t="s">
        <v>1639</v>
      </c>
      <c r="G630" t="s">
        <v>49</v>
      </c>
      <c r="H630" t="s">
        <v>324</v>
      </c>
      <c r="I630" s="1">
        <v>46023</v>
      </c>
      <c r="J630" s="2">
        <v>0</v>
      </c>
      <c r="K630" s="2">
        <v>100</v>
      </c>
      <c r="L630">
        <v>1</v>
      </c>
      <c r="M630" s="3">
        <v>1</v>
      </c>
      <c r="N630" s="2">
        <v>100</v>
      </c>
      <c r="P630" t="s">
        <v>1580</v>
      </c>
    </row>
    <row r="631" spans="1:16" x14ac:dyDescent="0.25">
      <c r="A631" s="4" t="s">
        <v>1313</v>
      </c>
      <c r="B631" s="4" t="str">
        <f t="shared" si="15"/>
        <v>24A5A1U96OVR</v>
      </c>
      <c r="C631" t="s">
        <v>332</v>
      </c>
      <c r="D631" t="s">
        <v>133</v>
      </c>
      <c r="E631" s="11">
        <v>20411454</v>
      </c>
      <c r="F631" t="s">
        <v>1639</v>
      </c>
      <c r="G631" t="s">
        <v>49</v>
      </c>
      <c r="H631" t="s">
        <v>324</v>
      </c>
      <c r="I631" s="1">
        <v>46023</v>
      </c>
      <c r="J631" s="2">
        <v>0</v>
      </c>
      <c r="K631" s="2">
        <v>100</v>
      </c>
      <c r="L631">
        <v>1</v>
      </c>
      <c r="M631" s="3">
        <v>1</v>
      </c>
      <c r="N631" s="2">
        <v>100</v>
      </c>
      <c r="P631" t="s">
        <v>1580</v>
      </c>
    </row>
    <row r="632" spans="1:16" x14ac:dyDescent="0.25">
      <c r="A632" s="4" t="s">
        <v>1314</v>
      </c>
      <c r="B632" s="4" t="str">
        <f t="shared" si="15"/>
        <v>25R6A4R22OVR</v>
      </c>
      <c r="C632" t="s">
        <v>334</v>
      </c>
      <c r="D632" t="s">
        <v>55</v>
      </c>
      <c r="E632" s="11">
        <v>20411454</v>
      </c>
      <c r="F632" t="s">
        <v>1639</v>
      </c>
      <c r="G632" t="s">
        <v>49</v>
      </c>
      <c r="H632" t="s">
        <v>324</v>
      </c>
      <c r="I632" s="1">
        <v>46054</v>
      </c>
      <c r="J632" s="2">
        <v>0</v>
      </c>
      <c r="K632" s="2">
        <v>100</v>
      </c>
      <c r="L632">
        <v>1</v>
      </c>
      <c r="M632" s="3">
        <v>1</v>
      </c>
      <c r="N632" s="2">
        <v>100</v>
      </c>
      <c r="P632" t="s">
        <v>1580</v>
      </c>
    </row>
    <row r="633" spans="1:16" x14ac:dyDescent="0.25">
      <c r="A633" s="4" t="s">
        <v>1315</v>
      </c>
      <c r="B633" s="4" t="str">
        <f t="shared" si="15"/>
        <v>25X4U8H45OVR</v>
      </c>
      <c r="C633" t="s">
        <v>336</v>
      </c>
      <c r="D633" t="s">
        <v>337</v>
      </c>
      <c r="E633" s="11">
        <v>20411454</v>
      </c>
      <c r="F633" t="s">
        <v>1639</v>
      </c>
      <c r="G633" t="s">
        <v>49</v>
      </c>
      <c r="H633" t="s">
        <v>324</v>
      </c>
      <c r="I633" s="1">
        <v>46023</v>
      </c>
      <c r="J633" s="2">
        <v>0</v>
      </c>
      <c r="K633" s="2">
        <v>100</v>
      </c>
      <c r="L633">
        <v>1</v>
      </c>
      <c r="M633" s="3">
        <v>1</v>
      </c>
      <c r="N633" s="2">
        <v>100</v>
      </c>
      <c r="P633" t="s">
        <v>1580</v>
      </c>
    </row>
    <row r="634" spans="1:16" x14ac:dyDescent="0.25">
      <c r="A634" s="4" t="s">
        <v>1317</v>
      </c>
      <c r="B634" s="4" t="str">
        <f t="shared" si="15"/>
        <v>31F5X8A86OVR</v>
      </c>
      <c r="C634" t="s">
        <v>342</v>
      </c>
      <c r="D634" t="s">
        <v>74</v>
      </c>
      <c r="E634" s="11">
        <v>20411454</v>
      </c>
      <c r="F634" t="s">
        <v>1639</v>
      </c>
      <c r="G634" t="s">
        <v>49</v>
      </c>
      <c r="H634" t="s">
        <v>324</v>
      </c>
      <c r="I634" s="1">
        <v>46023</v>
      </c>
      <c r="J634" s="2">
        <v>0</v>
      </c>
      <c r="K634" s="2">
        <v>100</v>
      </c>
      <c r="L634">
        <v>1</v>
      </c>
      <c r="M634" s="3">
        <v>1</v>
      </c>
      <c r="N634" s="2">
        <v>100</v>
      </c>
      <c r="P634" t="s">
        <v>1580</v>
      </c>
    </row>
    <row r="635" spans="1:16" x14ac:dyDescent="0.25">
      <c r="A635" s="4" t="s">
        <v>1318</v>
      </c>
      <c r="B635" s="4" t="str">
        <f t="shared" si="15"/>
        <v>33U1R6F31OVR</v>
      </c>
      <c r="C635" t="s">
        <v>344</v>
      </c>
      <c r="D635" t="s">
        <v>345</v>
      </c>
      <c r="E635" s="11">
        <v>20411454</v>
      </c>
      <c r="F635" t="s">
        <v>1639</v>
      </c>
      <c r="G635" t="s">
        <v>49</v>
      </c>
      <c r="H635" t="s">
        <v>324</v>
      </c>
      <c r="I635" s="1">
        <v>46023</v>
      </c>
      <c r="J635" s="2">
        <v>0</v>
      </c>
      <c r="K635" s="2">
        <v>100</v>
      </c>
      <c r="L635">
        <v>1</v>
      </c>
      <c r="M635" s="3">
        <v>1</v>
      </c>
      <c r="N635" s="2">
        <v>100</v>
      </c>
      <c r="P635" t="s">
        <v>1580</v>
      </c>
    </row>
    <row r="636" spans="1:16" x14ac:dyDescent="0.25">
      <c r="A636" s="4" t="s">
        <v>1319</v>
      </c>
      <c r="B636" s="4" t="str">
        <f t="shared" si="15"/>
        <v>33U4H8R88OVR</v>
      </c>
      <c r="C636" t="s">
        <v>349</v>
      </c>
      <c r="D636" t="s">
        <v>133</v>
      </c>
      <c r="E636" s="11">
        <v>20411454</v>
      </c>
      <c r="F636" t="s">
        <v>1639</v>
      </c>
      <c r="G636" t="s">
        <v>49</v>
      </c>
      <c r="H636" t="s">
        <v>324</v>
      </c>
      <c r="I636" s="1">
        <v>46023</v>
      </c>
      <c r="J636" s="2">
        <v>0</v>
      </c>
      <c r="K636" s="2">
        <v>100</v>
      </c>
      <c r="L636">
        <v>1</v>
      </c>
      <c r="M636" s="3">
        <v>1</v>
      </c>
      <c r="N636" s="2">
        <v>100</v>
      </c>
      <c r="P636" t="s">
        <v>1580</v>
      </c>
    </row>
    <row r="637" spans="1:16" x14ac:dyDescent="0.25">
      <c r="A637" s="4" t="s">
        <v>1320</v>
      </c>
      <c r="B637" s="4" t="str">
        <f t="shared" si="15"/>
        <v>35U1H7U87OVR</v>
      </c>
      <c r="C637" t="s">
        <v>351</v>
      </c>
      <c r="D637" t="s">
        <v>97</v>
      </c>
      <c r="E637" s="11">
        <v>20411454</v>
      </c>
      <c r="F637" t="s">
        <v>1639</v>
      </c>
      <c r="G637" t="s">
        <v>49</v>
      </c>
      <c r="H637" t="s">
        <v>324</v>
      </c>
      <c r="I637" s="1">
        <v>46023</v>
      </c>
      <c r="J637" s="2">
        <v>0</v>
      </c>
      <c r="K637" s="2">
        <v>100</v>
      </c>
      <c r="L637">
        <v>1</v>
      </c>
      <c r="M637" s="3">
        <v>1</v>
      </c>
      <c r="N637" s="2">
        <v>100</v>
      </c>
      <c r="P637" t="s">
        <v>1580</v>
      </c>
    </row>
    <row r="638" spans="1:16" x14ac:dyDescent="0.25">
      <c r="A638" s="4" t="s">
        <v>1321</v>
      </c>
      <c r="B638" s="4" t="str">
        <f t="shared" si="15"/>
        <v>38L5L5R55OVR</v>
      </c>
      <c r="C638" t="s">
        <v>361</v>
      </c>
      <c r="D638" t="s">
        <v>55</v>
      </c>
      <c r="E638" s="11">
        <v>20411454</v>
      </c>
      <c r="F638" t="s">
        <v>1639</v>
      </c>
      <c r="G638" t="s">
        <v>49</v>
      </c>
      <c r="H638" t="s">
        <v>324</v>
      </c>
      <c r="I638" s="1">
        <v>46023</v>
      </c>
      <c r="J638" s="2">
        <v>0</v>
      </c>
      <c r="K638" s="2">
        <v>100</v>
      </c>
      <c r="L638">
        <v>1</v>
      </c>
      <c r="M638" s="3">
        <v>1</v>
      </c>
      <c r="N638" s="2">
        <v>100</v>
      </c>
      <c r="P638" t="s">
        <v>1580</v>
      </c>
    </row>
    <row r="639" spans="1:16" x14ac:dyDescent="0.25">
      <c r="A639" s="4" t="s">
        <v>1322</v>
      </c>
      <c r="B639" s="4" t="str">
        <f t="shared" si="15"/>
        <v>41A5A8R78OVR</v>
      </c>
      <c r="C639" t="s">
        <v>363</v>
      </c>
      <c r="D639" t="s">
        <v>55</v>
      </c>
      <c r="E639" s="11">
        <v>20411454</v>
      </c>
      <c r="F639" t="s">
        <v>1639</v>
      </c>
      <c r="G639" t="s">
        <v>49</v>
      </c>
      <c r="H639" t="s">
        <v>324</v>
      </c>
      <c r="I639" s="1">
        <v>46023</v>
      </c>
      <c r="J639" s="2">
        <v>0</v>
      </c>
      <c r="K639" s="2">
        <v>100</v>
      </c>
      <c r="L639">
        <v>1</v>
      </c>
      <c r="M639" s="3">
        <v>1</v>
      </c>
      <c r="N639" s="2">
        <v>100</v>
      </c>
      <c r="P639" t="s">
        <v>1580</v>
      </c>
    </row>
    <row r="640" spans="1:16" x14ac:dyDescent="0.25">
      <c r="A640" s="4" t="s">
        <v>1323</v>
      </c>
      <c r="B640" s="4" t="str">
        <f t="shared" si="15"/>
        <v>41H9L7U75OVR</v>
      </c>
      <c r="C640" t="s">
        <v>367</v>
      </c>
      <c r="D640" t="s">
        <v>337</v>
      </c>
      <c r="E640" s="11">
        <v>20411454</v>
      </c>
      <c r="F640" t="s">
        <v>1639</v>
      </c>
      <c r="G640" t="s">
        <v>49</v>
      </c>
      <c r="H640" t="s">
        <v>324</v>
      </c>
      <c r="I640" s="1">
        <v>46023</v>
      </c>
      <c r="J640" s="2">
        <v>0</v>
      </c>
      <c r="K640" s="2">
        <v>100</v>
      </c>
      <c r="L640">
        <v>1</v>
      </c>
      <c r="M640" s="3">
        <v>1</v>
      </c>
      <c r="N640" s="2">
        <v>100</v>
      </c>
      <c r="P640" t="s">
        <v>1580</v>
      </c>
    </row>
    <row r="641" spans="1:16" x14ac:dyDescent="0.25">
      <c r="A641" s="4" t="s">
        <v>1325</v>
      </c>
      <c r="B641" s="4" t="str">
        <f t="shared" si="15"/>
        <v>53U6R8H53OVR</v>
      </c>
      <c r="C641" t="s">
        <v>371</v>
      </c>
      <c r="D641" t="s">
        <v>133</v>
      </c>
      <c r="E641" s="11">
        <v>20411454</v>
      </c>
      <c r="F641" t="s">
        <v>1639</v>
      </c>
      <c r="G641" t="s">
        <v>49</v>
      </c>
      <c r="H641" t="s">
        <v>324</v>
      </c>
      <c r="I641" s="1">
        <v>46023</v>
      </c>
      <c r="J641" s="2">
        <v>0</v>
      </c>
      <c r="K641" s="2">
        <v>100</v>
      </c>
      <c r="L641">
        <v>1</v>
      </c>
      <c r="M641" s="3">
        <v>1</v>
      </c>
      <c r="N641" s="2">
        <v>100</v>
      </c>
      <c r="P641" t="s">
        <v>1580</v>
      </c>
    </row>
    <row r="642" spans="1:16" x14ac:dyDescent="0.25">
      <c r="A642" s="4" t="s">
        <v>1326</v>
      </c>
      <c r="B642" s="4" t="str">
        <f t="shared" si="15"/>
        <v>53X4F3H97OVR</v>
      </c>
      <c r="C642" t="s">
        <v>373</v>
      </c>
      <c r="D642" t="s">
        <v>202</v>
      </c>
      <c r="E642" s="11">
        <v>20411454</v>
      </c>
      <c r="F642" t="s">
        <v>1639</v>
      </c>
      <c r="G642" t="s">
        <v>49</v>
      </c>
      <c r="H642" t="s">
        <v>324</v>
      </c>
      <c r="I642" s="1">
        <v>46023</v>
      </c>
      <c r="J642" s="2">
        <v>0</v>
      </c>
      <c r="K642" s="2">
        <v>100</v>
      </c>
      <c r="L642">
        <v>1</v>
      </c>
      <c r="M642" s="3">
        <v>1</v>
      </c>
      <c r="N642" s="2">
        <v>100</v>
      </c>
      <c r="P642" t="s">
        <v>1580</v>
      </c>
    </row>
    <row r="643" spans="1:16" x14ac:dyDescent="0.25">
      <c r="A643" s="4" t="s">
        <v>1327</v>
      </c>
      <c r="B643" s="4" t="str">
        <f t="shared" si="15"/>
        <v>54R1L1X82OVR</v>
      </c>
      <c r="C643" t="s">
        <v>377</v>
      </c>
      <c r="D643" t="s">
        <v>74</v>
      </c>
      <c r="E643" s="11">
        <v>20411454</v>
      </c>
      <c r="F643" t="s">
        <v>1639</v>
      </c>
      <c r="G643" t="s">
        <v>49</v>
      </c>
      <c r="H643" t="s">
        <v>324</v>
      </c>
      <c r="I643" s="1">
        <v>46023</v>
      </c>
      <c r="J643" s="2">
        <v>0</v>
      </c>
      <c r="K643" s="2">
        <v>100</v>
      </c>
      <c r="L643">
        <v>1</v>
      </c>
      <c r="M643" s="3">
        <v>1</v>
      </c>
      <c r="N643" s="2">
        <v>100</v>
      </c>
      <c r="P643" t="s">
        <v>1580</v>
      </c>
    </row>
    <row r="644" spans="1:16" x14ac:dyDescent="0.25">
      <c r="A644" s="4" t="s">
        <v>1328</v>
      </c>
      <c r="B644" s="4" t="str">
        <f t="shared" si="15"/>
        <v>54X2U5F22OVR</v>
      </c>
      <c r="C644" t="s">
        <v>379</v>
      </c>
      <c r="D644" t="s">
        <v>97</v>
      </c>
      <c r="E644" s="11">
        <v>20411454</v>
      </c>
      <c r="F644" t="s">
        <v>1639</v>
      </c>
      <c r="G644" t="s">
        <v>49</v>
      </c>
      <c r="H644" t="s">
        <v>324</v>
      </c>
      <c r="I644" s="1">
        <v>46023</v>
      </c>
      <c r="J644" s="2">
        <v>0</v>
      </c>
      <c r="K644" s="2">
        <v>100</v>
      </c>
      <c r="L644">
        <v>1</v>
      </c>
      <c r="M644" s="3">
        <v>1</v>
      </c>
      <c r="N644" s="2">
        <v>100</v>
      </c>
      <c r="P644" t="s">
        <v>1580</v>
      </c>
    </row>
    <row r="645" spans="1:16" x14ac:dyDescent="0.25">
      <c r="A645" s="4" t="s">
        <v>1329</v>
      </c>
      <c r="B645" s="4" t="str">
        <f t="shared" si="15"/>
        <v>55R2X7L49OVR</v>
      </c>
      <c r="C645" t="s">
        <v>381</v>
      </c>
      <c r="D645" t="s">
        <v>202</v>
      </c>
      <c r="E645" s="11">
        <v>20411454</v>
      </c>
      <c r="F645" t="s">
        <v>1639</v>
      </c>
      <c r="G645" t="s">
        <v>49</v>
      </c>
      <c r="H645" t="s">
        <v>324</v>
      </c>
      <c r="I645" s="1">
        <v>46023</v>
      </c>
      <c r="J645" s="2">
        <v>0</v>
      </c>
      <c r="K645" s="2">
        <v>100</v>
      </c>
      <c r="L645">
        <v>1</v>
      </c>
      <c r="M645" s="3">
        <v>1</v>
      </c>
      <c r="N645" s="2">
        <v>100</v>
      </c>
      <c r="P645" t="s">
        <v>1580</v>
      </c>
    </row>
    <row r="646" spans="1:16" x14ac:dyDescent="0.25">
      <c r="A646" s="4" t="s">
        <v>1330</v>
      </c>
      <c r="B646" s="4" t="str">
        <f t="shared" si="15"/>
        <v>56H4X5A78OVR</v>
      </c>
      <c r="C646" t="s">
        <v>185</v>
      </c>
      <c r="D646" t="s">
        <v>55</v>
      </c>
      <c r="E646" s="11">
        <v>20411454</v>
      </c>
      <c r="F646" t="s">
        <v>1639</v>
      </c>
      <c r="G646" t="s">
        <v>49</v>
      </c>
      <c r="H646" t="s">
        <v>324</v>
      </c>
      <c r="I646" s="1">
        <v>46023</v>
      </c>
      <c r="J646" s="2">
        <v>0</v>
      </c>
      <c r="K646" s="2">
        <v>100</v>
      </c>
      <c r="L646">
        <v>1</v>
      </c>
      <c r="M646" s="3">
        <v>1</v>
      </c>
      <c r="N646" s="2">
        <v>100</v>
      </c>
      <c r="P646" t="s">
        <v>1580</v>
      </c>
    </row>
    <row r="647" spans="1:16" x14ac:dyDescent="0.25">
      <c r="A647" s="4" t="s">
        <v>1331</v>
      </c>
      <c r="B647" s="4" t="str">
        <f t="shared" si="15"/>
        <v>58R5A1U71OVR</v>
      </c>
      <c r="C647" t="s">
        <v>384</v>
      </c>
      <c r="D647" t="s">
        <v>55</v>
      </c>
      <c r="E647" s="11">
        <v>20411454</v>
      </c>
      <c r="F647" t="s">
        <v>1639</v>
      </c>
      <c r="G647" t="s">
        <v>49</v>
      </c>
      <c r="H647" t="s">
        <v>324</v>
      </c>
      <c r="I647" s="1">
        <v>46023</v>
      </c>
      <c r="J647" s="2">
        <v>0</v>
      </c>
      <c r="K647" s="2">
        <v>100</v>
      </c>
      <c r="L647">
        <v>1</v>
      </c>
      <c r="M647" s="3">
        <v>1</v>
      </c>
      <c r="N647" s="2">
        <v>100</v>
      </c>
      <c r="P647" t="s">
        <v>1580</v>
      </c>
    </row>
    <row r="648" spans="1:16" x14ac:dyDescent="0.25">
      <c r="A648" s="4" t="s">
        <v>1332</v>
      </c>
      <c r="B648" s="4" t="str">
        <f t="shared" si="15"/>
        <v>58X3L4X23OVR</v>
      </c>
      <c r="C648" t="s">
        <v>388</v>
      </c>
      <c r="D648" t="s">
        <v>55</v>
      </c>
      <c r="E648" s="11">
        <v>20411454</v>
      </c>
      <c r="F648" t="s">
        <v>1639</v>
      </c>
      <c r="G648" t="s">
        <v>49</v>
      </c>
      <c r="H648" t="s">
        <v>324</v>
      </c>
      <c r="I648" s="1">
        <v>46023</v>
      </c>
      <c r="J648" s="2">
        <v>0</v>
      </c>
      <c r="K648" s="2">
        <v>100</v>
      </c>
      <c r="L648">
        <v>1</v>
      </c>
      <c r="M648" s="3">
        <v>1</v>
      </c>
      <c r="N648" s="2">
        <v>100</v>
      </c>
      <c r="P648" t="s">
        <v>1580</v>
      </c>
    </row>
    <row r="649" spans="1:16" x14ac:dyDescent="0.25">
      <c r="A649" s="4" t="s">
        <v>1334</v>
      </c>
      <c r="B649" s="4" t="str">
        <f t="shared" si="15"/>
        <v>64A7F1H37OVR</v>
      </c>
      <c r="C649" t="s">
        <v>394</v>
      </c>
      <c r="D649" t="s">
        <v>55</v>
      </c>
      <c r="E649" s="11">
        <v>20411454</v>
      </c>
      <c r="F649" t="s">
        <v>1639</v>
      </c>
      <c r="G649" t="s">
        <v>49</v>
      </c>
      <c r="H649" t="s">
        <v>324</v>
      </c>
      <c r="I649" s="1">
        <v>46082</v>
      </c>
      <c r="J649" s="2">
        <v>0</v>
      </c>
      <c r="K649" s="2">
        <v>100</v>
      </c>
      <c r="L649">
        <v>1</v>
      </c>
      <c r="M649" s="3">
        <v>1</v>
      </c>
      <c r="N649" s="2">
        <v>100</v>
      </c>
      <c r="P649" t="s">
        <v>1580</v>
      </c>
    </row>
    <row r="650" spans="1:16" x14ac:dyDescent="0.25">
      <c r="A650" s="4" t="s">
        <v>1335</v>
      </c>
      <c r="B650" s="4" t="str">
        <f t="shared" si="15"/>
        <v>66R4A7H95OVR</v>
      </c>
      <c r="C650" t="s">
        <v>396</v>
      </c>
      <c r="D650" t="s">
        <v>133</v>
      </c>
      <c r="E650" s="11">
        <v>20411454</v>
      </c>
      <c r="F650" t="s">
        <v>1639</v>
      </c>
      <c r="G650" t="s">
        <v>49</v>
      </c>
      <c r="H650" t="s">
        <v>324</v>
      </c>
      <c r="I650" s="1">
        <v>46023</v>
      </c>
      <c r="J650" s="2">
        <v>0</v>
      </c>
      <c r="K650" s="2">
        <v>100</v>
      </c>
      <c r="L650">
        <v>1</v>
      </c>
      <c r="M650" s="3">
        <v>1</v>
      </c>
      <c r="N650" s="2">
        <v>100</v>
      </c>
      <c r="P650" t="s">
        <v>1580</v>
      </c>
    </row>
    <row r="651" spans="1:16" x14ac:dyDescent="0.25">
      <c r="A651" s="4" t="s">
        <v>1336</v>
      </c>
      <c r="B651" s="4" t="str">
        <f t="shared" si="15"/>
        <v>69H7U6A93OVR</v>
      </c>
      <c r="C651" t="s">
        <v>398</v>
      </c>
      <c r="D651" t="s">
        <v>133</v>
      </c>
      <c r="E651" s="11">
        <v>20411454</v>
      </c>
      <c r="F651" t="s">
        <v>1639</v>
      </c>
      <c r="G651" t="s">
        <v>49</v>
      </c>
      <c r="H651" t="s">
        <v>324</v>
      </c>
      <c r="I651" s="1">
        <v>46054</v>
      </c>
      <c r="J651" s="2">
        <v>0</v>
      </c>
      <c r="K651" s="2">
        <v>100</v>
      </c>
      <c r="L651">
        <v>1</v>
      </c>
      <c r="M651" s="3">
        <v>1</v>
      </c>
      <c r="N651" s="2">
        <v>100</v>
      </c>
      <c r="P651" t="s">
        <v>1580</v>
      </c>
    </row>
    <row r="652" spans="1:16" x14ac:dyDescent="0.25">
      <c r="A652" s="4" t="s">
        <v>1338</v>
      </c>
      <c r="B652" s="4" t="str">
        <f t="shared" si="15"/>
        <v>71X8U5A35OVR</v>
      </c>
      <c r="C652" t="s">
        <v>402</v>
      </c>
      <c r="D652" t="s">
        <v>55</v>
      </c>
      <c r="E652" s="11">
        <v>20411454</v>
      </c>
      <c r="F652" t="s">
        <v>1639</v>
      </c>
      <c r="G652" t="s">
        <v>49</v>
      </c>
      <c r="H652" t="s">
        <v>324</v>
      </c>
      <c r="I652" s="1">
        <v>46023</v>
      </c>
      <c r="J652" s="2">
        <v>0</v>
      </c>
      <c r="K652" s="2">
        <v>100</v>
      </c>
      <c r="L652">
        <v>1</v>
      </c>
      <c r="M652" s="3">
        <v>1</v>
      </c>
      <c r="N652" s="2">
        <v>100</v>
      </c>
      <c r="P652" t="s">
        <v>1580</v>
      </c>
    </row>
    <row r="653" spans="1:16" x14ac:dyDescent="0.25">
      <c r="A653" s="4" t="s">
        <v>1339</v>
      </c>
      <c r="B653" s="4" t="str">
        <f t="shared" si="15"/>
        <v>75X8A6F48OVR</v>
      </c>
      <c r="C653" t="s">
        <v>406</v>
      </c>
      <c r="D653" t="s">
        <v>55</v>
      </c>
      <c r="E653" s="11">
        <v>20411454</v>
      </c>
      <c r="F653" t="s">
        <v>1639</v>
      </c>
      <c r="G653" t="s">
        <v>49</v>
      </c>
      <c r="H653" t="s">
        <v>324</v>
      </c>
      <c r="I653" s="1">
        <v>46023</v>
      </c>
      <c r="J653" s="2">
        <v>0</v>
      </c>
      <c r="K653" s="2">
        <v>100</v>
      </c>
      <c r="L653">
        <v>1</v>
      </c>
      <c r="M653" s="3">
        <v>1</v>
      </c>
      <c r="N653" s="2">
        <v>100</v>
      </c>
      <c r="P653" t="s">
        <v>1580</v>
      </c>
    </row>
    <row r="654" spans="1:16" x14ac:dyDescent="0.25">
      <c r="A654" s="4" t="s">
        <v>1625</v>
      </c>
      <c r="B654" s="4" t="str">
        <f t="shared" si="15"/>
        <v>00018023648KOVR</v>
      </c>
      <c r="C654" t="s">
        <v>334</v>
      </c>
      <c r="D654" t="s">
        <v>55</v>
      </c>
      <c r="E654" s="11">
        <v>20411454</v>
      </c>
      <c r="F654" t="s">
        <v>1639</v>
      </c>
      <c r="G654" t="s">
        <v>491</v>
      </c>
      <c r="H654" t="s">
        <v>50</v>
      </c>
      <c r="I654" s="1">
        <v>46023</v>
      </c>
      <c r="N654">
        <v>-161</v>
      </c>
      <c r="P654" t="s">
        <v>1581</v>
      </c>
    </row>
    <row r="655" spans="1:16" x14ac:dyDescent="0.25">
      <c r="A655" s="4" t="s">
        <v>1626</v>
      </c>
      <c r="B655" s="4" t="str">
        <f t="shared" si="15"/>
        <v>00019862313KOVR</v>
      </c>
      <c r="C655" t="s">
        <v>497</v>
      </c>
      <c r="D655" t="s">
        <v>97</v>
      </c>
      <c r="E655" s="11">
        <v>20411454</v>
      </c>
      <c r="F655" t="s">
        <v>1639</v>
      </c>
      <c r="G655" t="s">
        <v>491</v>
      </c>
      <c r="H655" t="s">
        <v>50</v>
      </c>
      <c r="I655" s="1">
        <v>46023</v>
      </c>
      <c r="N655">
        <v>-161</v>
      </c>
      <c r="P655" t="s">
        <v>1581</v>
      </c>
    </row>
    <row r="656" spans="1:16" x14ac:dyDescent="0.25">
      <c r="A656" s="4" t="s">
        <v>1627</v>
      </c>
      <c r="B656" s="4" t="str">
        <f t="shared" si="15"/>
        <v>00022646964KOVR</v>
      </c>
      <c r="C656" t="s">
        <v>502</v>
      </c>
      <c r="D656" t="s">
        <v>84</v>
      </c>
      <c r="E656" s="11">
        <v>20411454</v>
      </c>
      <c r="F656" t="s">
        <v>1639</v>
      </c>
      <c r="G656" t="s">
        <v>491</v>
      </c>
      <c r="H656" t="s">
        <v>50</v>
      </c>
      <c r="I656" s="1">
        <v>46023</v>
      </c>
      <c r="N656">
        <v>-161</v>
      </c>
      <c r="P656" t="s">
        <v>1581</v>
      </c>
    </row>
    <row r="657" spans="1:16" x14ac:dyDescent="0.25">
      <c r="A657" s="4" t="s">
        <v>1628</v>
      </c>
      <c r="B657" s="4" t="str">
        <f t="shared" si="15"/>
        <v>00023621536KOVR</v>
      </c>
      <c r="C657" t="s">
        <v>505</v>
      </c>
      <c r="D657" t="s">
        <v>470</v>
      </c>
      <c r="E657" s="11">
        <v>20411454</v>
      </c>
      <c r="F657" t="s">
        <v>1639</v>
      </c>
      <c r="G657" t="s">
        <v>491</v>
      </c>
      <c r="H657" t="s">
        <v>50</v>
      </c>
      <c r="I657" s="1">
        <v>46023</v>
      </c>
      <c r="N657">
        <v>-161</v>
      </c>
      <c r="P657" t="s">
        <v>1581</v>
      </c>
    </row>
    <row r="658" spans="1:16" x14ac:dyDescent="0.25">
      <c r="A658" s="4" t="s">
        <v>1629</v>
      </c>
      <c r="B658" s="4" t="str">
        <f t="shared" si="15"/>
        <v>00024112192KOVR</v>
      </c>
      <c r="C658" t="s">
        <v>438</v>
      </c>
      <c r="D658" t="s">
        <v>55</v>
      </c>
      <c r="E658" s="11">
        <v>20411454</v>
      </c>
      <c r="F658" t="s">
        <v>1639</v>
      </c>
      <c r="G658" t="s">
        <v>491</v>
      </c>
      <c r="H658" t="s">
        <v>50</v>
      </c>
      <c r="I658" s="1">
        <v>46023</v>
      </c>
      <c r="N658">
        <v>-161</v>
      </c>
      <c r="P658" t="s">
        <v>1581</v>
      </c>
    </row>
    <row r="659" spans="1:16" x14ac:dyDescent="0.25">
      <c r="A659" s="4" t="s">
        <v>1630</v>
      </c>
      <c r="B659" s="4" t="str">
        <f t="shared" si="15"/>
        <v>00024582757KOVR</v>
      </c>
      <c r="C659" t="s">
        <v>508</v>
      </c>
      <c r="D659" t="s">
        <v>84</v>
      </c>
      <c r="E659" s="11">
        <v>20411454</v>
      </c>
      <c r="F659" t="s">
        <v>1639</v>
      </c>
      <c r="G659" t="s">
        <v>491</v>
      </c>
      <c r="H659" t="s">
        <v>50</v>
      </c>
      <c r="I659" s="1">
        <v>46023</v>
      </c>
      <c r="N659">
        <v>-161</v>
      </c>
      <c r="P659" t="s">
        <v>1581</v>
      </c>
    </row>
    <row r="660" spans="1:16" x14ac:dyDescent="0.25">
      <c r="A660" s="4" t="s">
        <v>1631</v>
      </c>
      <c r="B660" s="4" t="str">
        <f t="shared" si="15"/>
        <v>00025104052KOVR</v>
      </c>
      <c r="C660" t="s">
        <v>510</v>
      </c>
      <c r="D660" t="s">
        <v>55</v>
      </c>
      <c r="E660" s="11">
        <v>20411454</v>
      </c>
      <c r="F660" t="s">
        <v>1639</v>
      </c>
      <c r="G660" t="s">
        <v>491</v>
      </c>
      <c r="H660" t="s">
        <v>50</v>
      </c>
      <c r="I660" s="1">
        <v>46023</v>
      </c>
      <c r="N660">
        <v>-161</v>
      </c>
      <c r="P660" t="s">
        <v>1581</v>
      </c>
    </row>
    <row r="661" spans="1:16" x14ac:dyDescent="0.25">
      <c r="A661" s="4" t="s">
        <v>1279</v>
      </c>
      <c r="B661" s="4" t="str">
        <f t="shared" si="15"/>
        <v>00025199148KOVR</v>
      </c>
      <c r="C661" t="s">
        <v>109</v>
      </c>
      <c r="D661" t="s">
        <v>110</v>
      </c>
      <c r="E661" s="11">
        <v>20411454</v>
      </c>
      <c r="F661" t="s">
        <v>1639</v>
      </c>
      <c r="G661" t="s">
        <v>491</v>
      </c>
      <c r="H661" t="s">
        <v>50</v>
      </c>
      <c r="I661" s="1">
        <v>46023</v>
      </c>
      <c r="N661">
        <v>-161</v>
      </c>
      <c r="P661" t="s">
        <v>1581</v>
      </c>
    </row>
    <row r="662" spans="1:16" x14ac:dyDescent="0.25">
      <c r="A662" s="4" t="s">
        <v>1632</v>
      </c>
      <c r="B662" s="4" t="str">
        <f t="shared" si="15"/>
        <v>00025552127KOVR</v>
      </c>
      <c r="C662" t="s">
        <v>513</v>
      </c>
      <c r="D662" t="s">
        <v>97</v>
      </c>
      <c r="E662" s="11">
        <v>20411454</v>
      </c>
      <c r="F662" t="s">
        <v>1639</v>
      </c>
      <c r="G662" t="s">
        <v>491</v>
      </c>
      <c r="H662" t="s">
        <v>50</v>
      </c>
      <c r="I662" s="1">
        <v>46023</v>
      </c>
      <c r="N662">
        <v>-161</v>
      </c>
      <c r="P662" t="s">
        <v>1581</v>
      </c>
    </row>
    <row r="663" spans="1:16" x14ac:dyDescent="0.25">
      <c r="A663" s="4" t="s">
        <v>1633</v>
      </c>
      <c r="B663" s="4" t="str">
        <f t="shared" si="15"/>
        <v>00025697687KOVR</v>
      </c>
      <c r="C663" t="s">
        <v>515</v>
      </c>
      <c r="D663" t="s">
        <v>84</v>
      </c>
      <c r="E663" s="11">
        <v>20411454</v>
      </c>
      <c r="F663" t="s">
        <v>1639</v>
      </c>
      <c r="G663" t="s">
        <v>491</v>
      </c>
      <c r="H663" t="s">
        <v>50</v>
      </c>
      <c r="I663" s="1">
        <v>46023</v>
      </c>
      <c r="N663">
        <v>-161</v>
      </c>
      <c r="P663" t="s">
        <v>1581</v>
      </c>
    </row>
    <row r="664" spans="1:16" x14ac:dyDescent="0.25">
      <c r="A664" s="4" t="s">
        <v>1634</v>
      </c>
      <c r="B664" s="4" t="str">
        <f t="shared" si="15"/>
        <v>00019292757KOVR</v>
      </c>
      <c r="C664" t="s">
        <v>493</v>
      </c>
      <c r="D664" t="s">
        <v>55</v>
      </c>
      <c r="E664" s="11">
        <v>20411454</v>
      </c>
      <c r="F664" t="s">
        <v>1639</v>
      </c>
      <c r="G664" t="s">
        <v>491</v>
      </c>
      <c r="H664" t="s">
        <v>77</v>
      </c>
      <c r="I664" s="1">
        <v>46023</v>
      </c>
      <c r="N664">
        <v>-99.36</v>
      </c>
      <c r="P664" t="s">
        <v>1581</v>
      </c>
    </row>
    <row r="665" spans="1:16" x14ac:dyDescent="0.25">
      <c r="A665" s="4" t="s">
        <v>1635</v>
      </c>
      <c r="B665" s="4" t="str">
        <f t="shared" si="15"/>
        <v>00019321108KOVR</v>
      </c>
      <c r="C665" t="s">
        <v>495</v>
      </c>
      <c r="D665" t="s">
        <v>55</v>
      </c>
      <c r="E665" s="11">
        <v>20411454</v>
      </c>
      <c r="F665" t="s">
        <v>1639</v>
      </c>
      <c r="G665" t="s">
        <v>491</v>
      </c>
      <c r="H665" t="s">
        <v>77</v>
      </c>
      <c r="I665" s="1">
        <v>46023</v>
      </c>
      <c r="N665">
        <v>-99.36</v>
      </c>
      <c r="P665" t="s">
        <v>1581</v>
      </c>
    </row>
    <row r="666" spans="1:16" x14ac:dyDescent="0.25">
      <c r="A666" s="4" t="s">
        <v>1636</v>
      </c>
      <c r="B666" s="4" t="str">
        <f t="shared" si="15"/>
        <v>00020628364KOVR</v>
      </c>
      <c r="C666" t="s">
        <v>499</v>
      </c>
      <c r="D666" t="s">
        <v>500</v>
      </c>
      <c r="E666" s="11">
        <v>20411454</v>
      </c>
      <c r="F666" t="s">
        <v>1639</v>
      </c>
      <c r="G666" t="s">
        <v>491</v>
      </c>
      <c r="H666" t="s">
        <v>77</v>
      </c>
      <c r="I666" s="1">
        <v>46023</v>
      </c>
      <c r="N666">
        <v>-99.36</v>
      </c>
      <c r="P666" t="s">
        <v>1581</v>
      </c>
    </row>
    <row r="667" spans="1:16" x14ac:dyDescent="0.25">
      <c r="A667" s="4" t="s">
        <v>1273</v>
      </c>
      <c r="B667" s="4" t="str">
        <f t="shared" si="15"/>
        <v>00022770126KOVR</v>
      </c>
      <c r="C667" t="s">
        <v>83</v>
      </c>
      <c r="D667" t="s">
        <v>84</v>
      </c>
      <c r="E667" s="11">
        <v>20411454</v>
      </c>
      <c r="F667" t="s">
        <v>1639</v>
      </c>
      <c r="G667" t="s">
        <v>491</v>
      </c>
      <c r="H667" t="s">
        <v>77</v>
      </c>
      <c r="I667" s="1">
        <v>46023</v>
      </c>
      <c r="N667">
        <v>-99.36</v>
      </c>
      <c r="P667" t="s">
        <v>1581</v>
      </c>
    </row>
    <row r="668" spans="1:16" x14ac:dyDescent="0.25">
      <c r="A668" s="4" t="s">
        <v>1637</v>
      </c>
      <c r="B668" s="4" t="str">
        <f t="shared" si="15"/>
        <v>00023224834KOVR</v>
      </c>
      <c r="C668" t="s">
        <v>705</v>
      </c>
      <c r="D668" t="s">
        <v>429</v>
      </c>
      <c r="E668" s="11">
        <v>20411454</v>
      </c>
      <c r="F668" t="s">
        <v>1639</v>
      </c>
      <c r="G668" t="s">
        <v>106</v>
      </c>
      <c r="H668" t="s">
        <v>50</v>
      </c>
      <c r="I668" s="1">
        <v>45748</v>
      </c>
      <c r="J668" s="2">
        <v>0</v>
      </c>
      <c r="K668" s="2">
        <v>0</v>
      </c>
      <c r="M668" s="3">
        <v>1</v>
      </c>
      <c r="N668" s="2">
        <v>-87.5</v>
      </c>
      <c r="O668" t="s">
        <v>706</v>
      </c>
      <c r="P668" t="s">
        <v>1581</v>
      </c>
    </row>
    <row r="669" spans="1:16" x14ac:dyDescent="0.25">
      <c r="A669" s="4" t="s">
        <v>1638</v>
      </c>
      <c r="B669" s="4" t="str">
        <f t="shared" si="15"/>
        <v>00023268932KOVR</v>
      </c>
      <c r="C669" t="s">
        <v>707</v>
      </c>
      <c r="D669" t="s">
        <v>429</v>
      </c>
      <c r="E669" s="11">
        <v>20411454</v>
      </c>
      <c r="F669" t="s">
        <v>1639</v>
      </c>
      <c r="G669" t="s">
        <v>106</v>
      </c>
      <c r="H669" t="s">
        <v>50</v>
      </c>
      <c r="I669" s="1">
        <v>45778</v>
      </c>
      <c r="J669" s="2">
        <v>0</v>
      </c>
      <c r="K669" s="2">
        <v>0</v>
      </c>
      <c r="M669" s="3">
        <v>1</v>
      </c>
      <c r="N669" s="2">
        <v>-73.5</v>
      </c>
      <c r="O669" t="s">
        <v>706</v>
      </c>
      <c r="P669" t="s">
        <v>1581</v>
      </c>
    </row>
    <row r="670" spans="1:16" x14ac:dyDescent="0.25">
      <c r="A670" s="4" t="s">
        <v>1459</v>
      </c>
      <c r="B670" s="4" t="str">
        <f t="shared" si="15"/>
        <v>00022366455KOVR</v>
      </c>
      <c r="C670" t="s">
        <v>685</v>
      </c>
      <c r="D670" t="s">
        <v>429</v>
      </c>
      <c r="E670" s="11">
        <v>20411454</v>
      </c>
      <c r="F670" t="s">
        <v>1639</v>
      </c>
      <c r="G670" t="s">
        <v>49</v>
      </c>
      <c r="H670" t="s">
        <v>50</v>
      </c>
      <c r="I670" s="1">
        <v>45597</v>
      </c>
      <c r="J670" s="2">
        <v>1</v>
      </c>
      <c r="K670" s="2">
        <v>1</v>
      </c>
      <c r="M670" s="3">
        <v>1</v>
      </c>
      <c r="N670" s="2">
        <v>4</v>
      </c>
      <c r="O670" t="s">
        <v>567</v>
      </c>
      <c r="P670" t="s">
        <v>1581</v>
      </c>
    </row>
    <row r="671" spans="1:16" x14ac:dyDescent="0.25">
      <c r="A671" s="4" t="s">
        <v>1385</v>
      </c>
      <c r="B671" s="4" t="str">
        <f t="shared" ref="B671:B734" si="16">CONCATENATE(A671,"OVR")</f>
        <v>00021892187KOVR</v>
      </c>
      <c r="C671" t="s">
        <v>610</v>
      </c>
      <c r="D671" t="s">
        <v>429</v>
      </c>
      <c r="E671" s="11">
        <v>20411454</v>
      </c>
      <c r="F671" t="s">
        <v>1639</v>
      </c>
      <c r="G671" t="s">
        <v>49</v>
      </c>
      <c r="H671" t="s">
        <v>611</v>
      </c>
      <c r="I671" s="1">
        <v>45474</v>
      </c>
      <c r="J671" s="2">
        <v>1</v>
      </c>
      <c r="K671" s="2">
        <v>1</v>
      </c>
      <c r="M671" s="3">
        <v>1</v>
      </c>
      <c r="N671" s="2">
        <v>7</v>
      </c>
      <c r="O671" t="s">
        <v>567</v>
      </c>
      <c r="P671" t="s">
        <v>1581</v>
      </c>
    </row>
    <row r="672" spans="1:16" x14ac:dyDescent="0.25">
      <c r="A672" s="4" t="s">
        <v>1389</v>
      </c>
      <c r="B672" s="4" t="str">
        <f t="shared" si="16"/>
        <v>00021908647KOVR</v>
      </c>
      <c r="C672" t="s">
        <v>615</v>
      </c>
      <c r="D672" t="s">
        <v>429</v>
      </c>
      <c r="E672" s="11">
        <v>20411454</v>
      </c>
      <c r="F672" t="s">
        <v>1639</v>
      </c>
      <c r="G672" t="s">
        <v>49</v>
      </c>
      <c r="H672" t="s">
        <v>611</v>
      </c>
      <c r="I672" s="1">
        <v>45505</v>
      </c>
      <c r="J672" s="2">
        <v>1</v>
      </c>
      <c r="K672" s="2">
        <v>1</v>
      </c>
      <c r="M672" s="3">
        <v>1</v>
      </c>
      <c r="N672" s="2">
        <v>7</v>
      </c>
      <c r="O672" t="s">
        <v>567</v>
      </c>
      <c r="P672" t="s">
        <v>1581</v>
      </c>
    </row>
    <row r="673" spans="1:20" x14ac:dyDescent="0.25">
      <c r="A673" s="4" t="s">
        <v>1348</v>
      </c>
      <c r="B673" s="4" t="str">
        <f t="shared" si="16"/>
        <v>00000076874FOVR</v>
      </c>
      <c r="C673" t="s">
        <v>565</v>
      </c>
      <c r="D673" t="s">
        <v>429</v>
      </c>
      <c r="E673" s="11">
        <v>20411454</v>
      </c>
      <c r="F673" t="s">
        <v>1639</v>
      </c>
      <c r="G673" t="s">
        <v>49</v>
      </c>
      <c r="H673" t="s">
        <v>50</v>
      </c>
      <c r="I673" s="1">
        <v>45597</v>
      </c>
      <c r="J673" s="2">
        <v>1</v>
      </c>
      <c r="K673" s="2">
        <v>1</v>
      </c>
      <c r="M673" s="3">
        <v>1</v>
      </c>
      <c r="N673" s="2">
        <v>9</v>
      </c>
      <c r="O673" t="s">
        <v>567</v>
      </c>
      <c r="P673" t="s">
        <v>1581</v>
      </c>
    </row>
    <row r="674" spans="1:20" x14ac:dyDescent="0.25">
      <c r="A674" s="4" t="s">
        <v>1350</v>
      </c>
      <c r="B674" s="4" t="str">
        <f t="shared" si="16"/>
        <v>00010066661KOVR</v>
      </c>
      <c r="C674" t="s">
        <v>569</v>
      </c>
      <c r="D674" t="s">
        <v>429</v>
      </c>
      <c r="E674" s="11">
        <v>20411454</v>
      </c>
      <c r="F674" t="s">
        <v>1639</v>
      </c>
      <c r="G674" t="s">
        <v>106</v>
      </c>
      <c r="H674" t="s">
        <v>50</v>
      </c>
      <c r="I674" s="1">
        <v>45505</v>
      </c>
      <c r="J674" s="2">
        <v>1</v>
      </c>
      <c r="K674" s="2">
        <v>1</v>
      </c>
      <c r="M674" s="3">
        <v>1</v>
      </c>
      <c r="N674" s="2">
        <v>9</v>
      </c>
      <c r="O674" t="s">
        <v>567</v>
      </c>
      <c r="P674" t="s">
        <v>1581</v>
      </c>
    </row>
    <row r="675" spans="1:20" x14ac:dyDescent="0.25">
      <c r="A675" s="4" t="s">
        <v>1351</v>
      </c>
      <c r="B675" s="4" t="str">
        <f t="shared" si="16"/>
        <v>00011182221KOVR</v>
      </c>
      <c r="C675" t="s">
        <v>570</v>
      </c>
      <c r="D675" t="s">
        <v>429</v>
      </c>
      <c r="E675" s="11">
        <v>20411454</v>
      </c>
      <c r="F675" t="s">
        <v>1639</v>
      </c>
      <c r="G675" t="s">
        <v>106</v>
      </c>
      <c r="H675" t="s">
        <v>50</v>
      </c>
      <c r="I675" s="1">
        <v>45566</v>
      </c>
      <c r="J675" s="2">
        <v>1</v>
      </c>
      <c r="K675" s="2">
        <v>1</v>
      </c>
      <c r="M675" s="3">
        <v>1</v>
      </c>
      <c r="N675" s="2">
        <v>9</v>
      </c>
      <c r="O675" t="s">
        <v>567</v>
      </c>
      <c r="P675" t="s">
        <v>1581</v>
      </c>
    </row>
    <row r="676" spans="1:20" x14ac:dyDescent="0.25">
      <c r="A676" s="4" t="s">
        <v>1352</v>
      </c>
      <c r="B676" s="4" t="str">
        <f t="shared" si="16"/>
        <v>00011519472KOVR</v>
      </c>
      <c r="C676" t="s">
        <v>571</v>
      </c>
      <c r="D676" t="s">
        <v>429</v>
      </c>
      <c r="E676" s="11">
        <v>20411454</v>
      </c>
      <c r="F676" t="s">
        <v>1639</v>
      </c>
      <c r="G676" t="s">
        <v>49</v>
      </c>
      <c r="H676" t="s">
        <v>50</v>
      </c>
      <c r="I676" s="1">
        <v>45597</v>
      </c>
      <c r="J676" s="2">
        <v>1</v>
      </c>
      <c r="K676" s="2">
        <v>1</v>
      </c>
      <c r="M676" s="3">
        <v>1</v>
      </c>
      <c r="N676" s="2">
        <v>9</v>
      </c>
      <c r="O676" t="s">
        <v>567</v>
      </c>
      <c r="P676" t="s">
        <v>1581</v>
      </c>
    </row>
    <row r="677" spans="1:20" x14ac:dyDescent="0.25">
      <c r="A677" s="4" t="s">
        <v>1353</v>
      </c>
      <c r="B677" s="4" t="str">
        <f t="shared" si="16"/>
        <v>00013131759KOVR</v>
      </c>
      <c r="C677" t="s">
        <v>572</v>
      </c>
      <c r="D677" t="s">
        <v>429</v>
      </c>
      <c r="E677" s="11">
        <v>20411454</v>
      </c>
      <c r="F677" t="s">
        <v>1639</v>
      </c>
      <c r="G677" t="s">
        <v>106</v>
      </c>
      <c r="H677" t="s">
        <v>50</v>
      </c>
      <c r="I677" s="1">
        <v>45505</v>
      </c>
      <c r="J677" s="2">
        <v>1</v>
      </c>
      <c r="K677" s="2">
        <v>1</v>
      </c>
      <c r="M677" s="3">
        <v>1</v>
      </c>
      <c r="N677" s="2">
        <v>9</v>
      </c>
      <c r="O677" t="s">
        <v>567</v>
      </c>
      <c r="P677" t="s">
        <v>1581</v>
      </c>
    </row>
    <row r="678" spans="1:20" x14ac:dyDescent="0.25">
      <c r="A678" s="4" t="s">
        <v>1354</v>
      </c>
      <c r="B678" s="4" t="str">
        <f t="shared" si="16"/>
        <v>00016845150KOVR</v>
      </c>
      <c r="C678" t="s">
        <v>573</v>
      </c>
      <c r="D678" t="s">
        <v>429</v>
      </c>
      <c r="E678" s="11">
        <v>20411454</v>
      </c>
      <c r="F678" t="s">
        <v>1639</v>
      </c>
      <c r="G678" t="s">
        <v>106</v>
      </c>
      <c r="H678" t="s">
        <v>50</v>
      </c>
      <c r="I678" s="1">
        <v>45536</v>
      </c>
      <c r="J678" s="2">
        <v>1</v>
      </c>
      <c r="K678" s="2">
        <v>1</v>
      </c>
      <c r="M678" s="3">
        <v>1</v>
      </c>
      <c r="N678" s="2">
        <v>9</v>
      </c>
      <c r="O678" t="s">
        <v>567</v>
      </c>
      <c r="P678" t="s">
        <v>1581</v>
      </c>
    </row>
    <row r="679" spans="1:20" x14ac:dyDescent="0.25">
      <c r="A679" s="4" t="s">
        <v>1356</v>
      </c>
      <c r="B679" s="4" t="str">
        <f t="shared" si="16"/>
        <v>00018671925KOVR</v>
      </c>
      <c r="C679" t="s">
        <v>575</v>
      </c>
      <c r="D679" t="s">
        <v>429</v>
      </c>
      <c r="E679" s="11">
        <v>20411454</v>
      </c>
      <c r="F679" t="s">
        <v>1639</v>
      </c>
      <c r="G679" t="s">
        <v>49</v>
      </c>
      <c r="H679" t="s">
        <v>50</v>
      </c>
      <c r="I679" s="1">
        <v>45597</v>
      </c>
      <c r="J679" s="2">
        <v>1</v>
      </c>
      <c r="K679" s="2">
        <v>1</v>
      </c>
      <c r="M679" s="3">
        <v>1</v>
      </c>
      <c r="N679" s="2">
        <v>9</v>
      </c>
      <c r="O679" t="s">
        <v>567</v>
      </c>
      <c r="P679" t="s">
        <v>1581</v>
      </c>
    </row>
    <row r="680" spans="1:20" x14ac:dyDescent="0.25">
      <c r="A680" s="4" t="s">
        <v>1358</v>
      </c>
      <c r="B680" s="4" t="str">
        <f t="shared" si="16"/>
        <v>00020195670KOVR</v>
      </c>
      <c r="C680" t="s">
        <v>579</v>
      </c>
      <c r="D680" t="s">
        <v>429</v>
      </c>
      <c r="E680" s="11">
        <v>20411454</v>
      </c>
      <c r="F680" t="s">
        <v>1639</v>
      </c>
      <c r="G680" t="s">
        <v>49</v>
      </c>
      <c r="H680" t="s">
        <v>50</v>
      </c>
      <c r="I680" s="1">
        <v>45566</v>
      </c>
      <c r="J680" s="2">
        <v>1</v>
      </c>
      <c r="K680" s="2">
        <v>1</v>
      </c>
      <c r="M680" s="3">
        <v>1</v>
      </c>
      <c r="N680" s="2">
        <v>9</v>
      </c>
      <c r="O680" t="s">
        <v>567</v>
      </c>
      <c r="P680" t="s">
        <v>1581</v>
      </c>
    </row>
    <row r="681" spans="1:20" x14ac:dyDescent="0.25">
      <c r="A681" s="4" t="s">
        <v>1360</v>
      </c>
      <c r="B681" s="4" t="str">
        <f t="shared" si="16"/>
        <v>00021641743KOVR</v>
      </c>
      <c r="C681" t="s">
        <v>581</v>
      </c>
      <c r="D681" t="s">
        <v>429</v>
      </c>
      <c r="E681" s="11">
        <v>20411454</v>
      </c>
      <c r="F681" t="s">
        <v>1639</v>
      </c>
      <c r="G681" t="s">
        <v>106</v>
      </c>
      <c r="H681" t="s">
        <v>50</v>
      </c>
      <c r="I681" s="1">
        <v>45444</v>
      </c>
      <c r="J681" s="2">
        <v>1</v>
      </c>
      <c r="K681" s="2">
        <v>1</v>
      </c>
      <c r="M681" s="3">
        <v>1</v>
      </c>
      <c r="N681" s="2">
        <v>9</v>
      </c>
      <c r="O681" t="s">
        <v>567</v>
      </c>
      <c r="P681" t="s">
        <v>1581</v>
      </c>
    </row>
    <row r="682" spans="1:20" x14ac:dyDescent="0.25">
      <c r="A682" s="4" t="s">
        <v>1361</v>
      </c>
      <c r="B682" s="4" t="str">
        <f t="shared" si="16"/>
        <v>00021686716KOVR</v>
      </c>
      <c r="C682" t="s">
        <v>582</v>
      </c>
      <c r="D682" t="s">
        <v>429</v>
      </c>
      <c r="E682" s="11">
        <v>20411454</v>
      </c>
      <c r="F682" t="s">
        <v>1639</v>
      </c>
      <c r="G682" t="s">
        <v>106</v>
      </c>
      <c r="H682" t="s">
        <v>50</v>
      </c>
      <c r="I682" s="1">
        <v>45444</v>
      </c>
      <c r="J682" s="2">
        <v>1</v>
      </c>
      <c r="K682" s="2">
        <v>1</v>
      </c>
      <c r="M682" s="3">
        <v>1</v>
      </c>
      <c r="N682" s="2">
        <v>9</v>
      </c>
      <c r="O682" t="s">
        <v>567</v>
      </c>
      <c r="P682" t="s">
        <v>1581</v>
      </c>
    </row>
    <row r="683" spans="1:20" x14ac:dyDescent="0.25">
      <c r="A683" s="4" t="s">
        <v>1362</v>
      </c>
      <c r="B683" s="4" t="str">
        <f t="shared" si="16"/>
        <v>00021754102KOVR</v>
      </c>
      <c r="C683" t="s">
        <v>583</v>
      </c>
      <c r="D683" t="s">
        <v>429</v>
      </c>
      <c r="E683" s="11">
        <v>20411454</v>
      </c>
      <c r="F683" t="s">
        <v>1639</v>
      </c>
      <c r="G683" t="s">
        <v>106</v>
      </c>
      <c r="H683" t="s">
        <v>50</v>
      </c>
      <c r="I683" s="1">
        <v>45474</v>
      </c>
      <c r="J683" s="2">
        <v>1</v>
      </c>
      <c r="K683" s="2">
        <v>1</v>
      </c>
      <c r="M683" s="3">
        <v>1</v>
      </c>
      <c r="N683" s="2">
        <v>9</v>
      </c>
      <c r="O683" t="s">
        <v>567</v>
      </c>
      <c r="P683" t="s">
        <v>1581</v>
      </c>
    </row>
    <row r="684" spans="1:20" x14ac:dyDescent="0.25">
      <c r="A684" s="4" t="s">
        <v>1363</v>
      </c>
      <c r="B684" s="4" t="str">
        <f t="shared" si="16"/>
        <v>00021776882KOVR</v>
      </c>
      <c r="C684" t="s">
        <v>584</v>
      </c>
      <c r="D684" t="s">
        <v>429</v>
      </c>
      <c r="E684" s="11">
        <v>20411454</v>
      </c>
      <c r="F684" t="s">
        <v>1639</v>
      </c>
      <c r="G684" t="s">
        <v>106</v>
      </c>
      <c r="H684" t="s">
        <v>50</v>
      </c>
      <c r="I684" s="1">
        <v>45505</v>
      </c>
      <c r="J684" s="2">
        <v>1</v>
      </c>
      <c r="K684" s="2">
        <v>1</v>
      </c>
      <c r="M684" s="3">
        <v>1</v>
      </c>
      <c r="N684" s="2">
        <v>9</v>
      </c>
      <c r="O684" t="s">
        <v>567</v>
      </c>
      <c r="P684" t="s">
        <v>1581</v>
      </c>
    </row>
    <row r="685" spans="1:20" x14ac:dyDescent="0.25">
      <c r="A685" s="4" t="s">
        <v>1364</v>
      </c>
      <c r="B685" s="4" t="str">
        <f t="shared" si="16"/>
        <v>00021778915KOVR</v>
      </c>
      <c r="C685" t="s">
        <v>585</v>
      </c>
      <c r="D685" t="s">
        <v>429</v>
      </c>
      <c r="E685" s="11">
        <v>20411454</v>
      </c>
      <c r="F685" t="s">
        <v>1639</v>
      </c>
      <c r="G685" t="s">
        <v>106</v>
      </c>
      <c r="H685" t="s">
        <v>50</v>
      </c>
      <c r="I685" s="1">
        <v>45444</v>
      </c>
      <c r="J685" s="2">
        <v>1</v>
      </c>
      <c r="K685" s="2">
        <v>1</v>
      </c>
      <c r="M685" s="3">
        <v>1</v>
      </c>
      <c r="N685" s="2">
        <v>9</v>
      </c>
      <c r="O685" t="s">
        <v>567</v>
      </c>
      <c r="P685" t="s">
        <v>1581</v>
      </c>
    </row>
    <row r="686" spans="1:20" x14ac:dyDescent="0.25">
      <c r="A686" s="4" t="s">
        <v>1365</v>
      </c>
      <c r="B686" s="4" t="str">
        <f t="shared" si="16"/>
        <v>00021783471KOVR</v>
      </c>
      <c r="C686" t="s">
        <v>586</v>
      </c>
      <c r="D686" t="s">
        <v>429</v>
      </c>
      <c r="E686" s="11">
        <v>20411454</v>
      </c>
      <c r="F686" t="s">
        <v>1639</v>
      </c>
      <c r="G686" t="s">
        <v>106</v>
      </c>
      <c r="H686" t="s">
        <v>50</v>
      </c>
      <c r="I686" s="1">
        <v>45474</v>
      </c>
      <c r="J686" s="2">
        <v>1</v>
      </c>
      <c r="K686" s="2">
        <v>1</v>
      </c>
      <c r="M686" s="3">
        <v>1</v>
      </c>
      <c r="N686" s="2">
        <v>9</v>
      </c>
      <c r="O686" t="s">
        <v>567</v>
      </c>
      <c r="P686" t="s">
        <v>1581</v>
      </c>
    </row>
    <row r="687" spans="1:20" s="6" customFormat="1" x14ac:dyDescent="0.25">
      <c r="A687" s="4" t="s">
        <v>1366</v>
      </c>
      <c r="B687" s="4" t="str">
        <f t="shared" si="16"/>
        <v>00021784141KOVR</v>
      </c>
      <c r="C687" t="s">
        <v>588</v>
      </c>
      <c r="D687" t="s">
        <v>429</v>
      </c>
      <c r="E687" s="11">
        <v>20411454</v>
      </c>
      <c r="F687" t="s">
        <v>1639</v>
      </c>
      <c r="G687" t="s">
        <v>106</v>
      </c>
      <c r="H687" t="s">
        <v>50</v>
      </c>
      <c r="I687" s="1">
        <v>45444</v>
      </c>
      <c r="J687" s="2">
        <v>1</v>
      </c>
      <c r="K687" s="2">
        <v>1</v>
      </c>
      <c r="L687"/>
      <c r="M687" s="3">
        <v>1</v>
      </c>
      <c r="N687" s="2">
        <v>9</v>
      </c>
      <c r="O687" t="s">
        <v>567</v>
      </c>
      <c r="P687" t="s">
        <v>1581</v>
      </c>
      <c r="Q687"/>
      <c r="R687"/>
      <c r="S687"/>
      <c r="T687"/>
    </row>
    <row r="688" spans="1:20" s="6" customFormat="1" x14ac:dyDescent="0.25">
      <c r="A688" s="4" t="s">
        <v>1367</v>
      </c>
      <c r="B688" s="4" t="str">
        <f t="shared" si="16"/>
        <v>00021792778KOVR</v>
      </c>
      <c r="C688" t="s">
        <v>589</v>
      </c>
      <c r="D688" t="s">
        <v>429</v>
      </c>
      <c r="E688" s="11">
        <v>20411454</v>
      </c>
      <c r="F688" t="s">
        <v>1639</v>
      </c>
      <c r="G688" t="s">
        <v>106</v>
      </c>
      <c r="H688" t="s">
        <v>50</v>
      </c>
      <c r="I688" s="1">
        <v>45505</v>
      </c>
      <c r="J688" s="2">
        <v>1</v>
      </c>
      <c r="K688" s="2">
        <v>1</v>
      </c>
      <c r="L688"/>
      <c r="M688" s="3">
        <v>1</v>
      </c>
      <c r="N688" s="2">
        <v>9</v>
      </c>
      <c r="O688" t="s">
        <v>567</v>
      </c>
      <c r="P688" t="s">
        <v>1581</v>
      </c>
      <c r="Q688"/>
      <c r="R688"/>
      <c r="S688"/>
      <c r="T688"/>
    </row>
    <row r="689" spans="1:20" s="6" customFormat="1" x14ac:dyDescent="0.25">
      <c r="A689" s="4" t="s">
        <v>1368</v>
      </c>
      <c r="B689" s="4" t="str">
        <f t="shared" si="16"/>
        <v>00021801538KOVR</v>
      </c>
      <c r="C689" t="s">
        <v>590</v>
      </c>
      <c r="D689" t="s">
        <v>429</v>
      </c>
      <c r="E689" s="11">
        <v>20411454</v>
      </c>
      <c r="F689" t="s">
        <v>1639</v>
      </c>
      <c r="G689" t="s">
        <v>106</v>
      </c>
      <c r="H689" t="s">
        <v>50</v>
      </c>
      <c r="I689" s="1">
        <v>45444</v>
      </c>
      <c r="J689" s="2">
        <v>1</v>
      </c>
      <c r="K689" s="2">
        <v>1</v>
      </c>
      <c r="L689"/>
      <c r="M689" s="3">
        <v>1</v>
      </c>
      <c r="N689" s="2">
        <v>9</v>
      </c>
      <c r="O689" t="s">
        <v>567</v>
      </c>
      <c r="P689" t="s">
        <v>1581</v>
      </c>
      <c r="Q689"/>
      <c r="R689"/>
      <c r="S689"/>
      <c r="T689"/>
    </row>
    <row r="690" spans="1:20" s="6" customFormat="1" x14ac:dyDescent="0.25">
      <c r="A690" s="4" t="s">
        <v>1369</v>
      </c>
      <c r="B690" s="4" t="str">
        <f t="shared" si="16"/>
        <v>00021812164KOVR</v>
      </c>
      <c r="C690" t="s">
        <v>591</v>
      </c>
      <c r="D690" t="s">
        <v>429</v>
      </c>
      <c r="E690" s="11">
        <v>20411454</v>
      </c>
      <c r="F690" t="s">
        <v>1639</v>
      </c>
      <c r="G690" t="s">
        <v>49</v>
      </c>
      <c r="H690" t="s">
        <v>50</v>
      </c>
      <c r="I690" s="1">
        <v>45444</v>
      </c>
      <c r="J690" s="2">
        <v>1</v>
      </c>
      <c r="K690" s="2">
        <v>1</v>
      </c>
      <c r="L690"/>
      <c r="M690" s="3">
        <v>1</v>
      </c>
      <c r="N690" s="2">
        <v>9</v>
      </c>
      <c r="O690" t="s">
        <v>578</v>
      </c>
      <c r="P690" t="s">
        <v>1581</v>
      </c>
      <c r="Q690"/>
      <c r="R690"/>
      <c r="S690"/>
      <c r="T690"/>
    </row>
    <row r="691" spans="1:20" s="6" customFormat="1" x14ac:dyDescent="0.25">
      <c r="A691" s="4" t="s">
        <v>1370</v>
      </c>
      <c r="B691" s="4" t="str">
        <f t="shared" si="16"/>
        <v>00021819613KOVR</v>
      </c>
      <c r="C691" t="s">
        <v>593</v>
      </c>
      <c r="D691" t="s">
        <v>429</v>
      </c>
      <c r="E691" s="11">
        <v>20411454</v>
      </c>
      <c r="F691" t="s">
        <v>1639</v>
      </c>
      <c r="G691" t="s">
        <v>49</v>
      </c>
      <c r="H691" t="s">
        <v>50</v>
      </c>
      <c r="I691" s="1">
        <v>45444</v>
      </c>
      <c r="J691" s="2">
        <v>1</v>
      </c>
      <c r="K691" s="2">
        <v>1</v>
      </c>
      <c r="L691"/>
      <c r="M691" s="3">
        <v>1</v>
      </c>
      <c r="N691" s="2">
        <v>9</v>
      </c>
      <c r="O691" t="s">
        <v>578</v>
      </c>
      <c r="P691" t="s">
        <v>1581</v>
      </c>
      <c r="Q691"/>
      <c r="R691"/>
      <c r="S691"/>
      <c r="T691"/>
    </row>
    <row r="692" spans="1:20" s="6" customFormat="1" x14ac:dyDescent="0.25">
      <c r="A692" s="4" t="s">
        <v>1371</v>
      </c>
      <c r="B692" s="4" t="str">
        <f t="shared" si="16"/>
        <v>00021836561KOVR</v>
      </c>
      <c r="C692" t="s">
        <v>594</v>
      </c>
      <c r="D692" t="s">
        <v>429</v>
      </c>
      <c r="E692" s="11">
        <v>20411454</v>
      </c>
      <c r="F692" t="s">
        <v>1639</v>
      </c>
      <c r="G692" t="s">
        <v>49</v>
      </c>
      <c r="H692" t="s">
        <v>50</v>
      </c>
      <c r="I692" s="1">
        <v>45474</v>
      </c>
      <c r="J692" s="2">
        <v>1</v>
      </c>
      <c r="K692" s="2">
        <v>1</v>
      </c>
      <c r="L692"/>
      <c r="M692" s="3">
        <v>1</v>
      </c>
      <c r="N692" s="2">
        <v>9</v>
      </c>
      <c r="O692" t="s">
        <v>578</v>
      </c>
      <c r="P692" t="s">
        <v>1581</v>
      </c>
      <c r="Q692"/>
      <c r="R692"/>
      <c r="S692"/>
      <c r="T692"/>
    </row>
    <row r="693" spans="1:20" s="6" customFormat="1" x14ac:dyDescent="0.25">
      <c r="A693" s="4" t="s">
        <v>1372</v>
      </c>
      <c r="B693" s="4" t="str">
        <f t="shared" si="16"/>
        <v>00021836597KOVR</v>
      </c>
      <c r="C693" t="s">
        <v>595</v>
      </c>
      <c r="D693" t="s">
        <v>429</v>
      </c>
      <c r="E693" s="11">
        <v>20411454</v>
      </c>
      <c r="F693" t="s">
        <v>1639</v>
      </c>
      <c r="G693" t="s">
        <v>49</v>
      </c>
      <c r="H693" t="s">
        <v>50</v>
      </c>
      <c r="I693" s="1">
        <v>45474</v>
      </c>
      <c r="J693" s="2">
        <v>1</v>
      </c>
      <c r="K693" s="2">
        <v>1</v>
      </c>
      <c r="L693"/>
      <c r="M693" s="3">
        <v>1</v>
      </c>
      <c r="N693" s="2">
        <v>9</v>
      </c>
      <c r="O693" t="s">
        <v>578</v>
      </c>
      <c r="P693" t="s">
        <v>1581</v>
      </c>
      <c r="Q693"/>
      <c r="R693"/>
      <c r="S693"/>
      <c r="T693"/>
    </row>
    <row r="694" spans="1:20" s="6" customFormat="1" x14ac:dyDescent="0.25">
      <c r="A694" s="4" t="s">
        <v>1373</v>
      </c>
      <c r="B694" s="4" t="str">
        <f t="shared" si="16"/>
        <v>00021852153KOVR</v>
      </c>
      <c r="C694" t="s">
        <v>596</v>
      </c>
      <c r="D694" t="s">
        <v>429</v>
      </c>
      <c r="E694" s="11">
        <v>20411454</v>
      </c>
      <c r="F694" t="s">
        <v>1639</v>
      </c>
      <c r="G694" t="s">
        <v>49</v>
      </c>
      <c r="H694" t="s">
        <v>50</v>
      </c>
      <c r="I694" s="1">
        <v>45474</v>
      </c>
      <c r="J694" s="2">
        <v>1</v>
      </c>
      <c r="K694" s="2">
        <v>1</v>
      </c>
      <c r="L694"/>
      <c r="M694" s="3">
        <v>1</v>
      </c>
      <c r="N694" s="2">
        <v>9</v>
      </c>
      <c r="O694" t="s">
        <v>578</v>
      </c>
      <c r="P694" t="s">
        <v>1581</v>
      </c>
      <c r="Q694"/>
      <c r="R694"/>
      <c r="S694"/>
      <c r="T694"/>
    </row>
    <row r="695" spans="1:20" s="6" customFormat="1" x14ac:dyDescent="0.25">
      <c r="A695" s="4" t="s">
        <v>1374</v>
      </c>
      <c r="B695" s="4" t="str">
        <f t="shared" si="16"/>
        <v>00021853327KOVR</v>
      </c>
      <c r="C695" t="s">
        <v>598</v>
      </c>
      <c r="D695" t="s">
        <v>429</v>
      </c>
      <c r="E695" s="11">
        <v>20411454</v>
      </c>
      <c r="F695" t="s">
        <v>1639</v>
      </c>
      <c r="G695" t="s">
        <v>49</v>
      </c>
      <c r="H695" t="s">
        <v>50</v>
      </c>
      <c r="I695" s="1">
        <v>45474</v>
      </c>
      <c r="J695" s="2">
        <v>1</v>
      </c>
      <c r="K695" s="2">
        <v>1</v>
      </c>
      <c r="L695"/>
      <c r="M695" s="3">
        <v>1</v>
      </c>
      <c r="N695" s="2">
        <v>9</v>
      </c>
      <c r="O695" t="s">
        <v>578</v>
      </c>
      <c r="P695" t="s">
        <v>1581</v>
      </c>
      <c r="Q695"/>
      <c r="R695"/>
      <c r="S695"/>
      <c r="T695"/>
    </row>
    <row r="696" spans="1:20" s="6" customFormat="1" x14ac:dyDescent="0.25">
      <c r="A696" s="4" t="s">
        <v>1375</v>
      </c>
      <c r="B696" s="4" t="str">
        <f t="shared" si="16"/>
        <v>00021853815KOVR</v>
      </c>
      <c r="C696" t="s">
        <v>599</v>
      </c>
      <c r="D696" t="s">
        <v>429</v>
      </c>
      <c r="E696" s="11">
        <v>20411454</v>
      </c>
      <c r="F696" t="s">
        <v>1639</v>
      </c>
      <c r="G696" t="s">
        <v>49</v>
      </c>
      <c r="H696" t="s">
        <v>50</v>
      </c>
      <c r="I696" s="1">
        <v>45474</v>
      </c>
      <c r="J696" s="2">
        <v>1</v>
      </c>
      <c r="K696" s="2">
        <v>1</v>
      </c>
      <c r="L696"/>
      <c r="M696" s="3">
        <v>1</v>
      </c>
      <c r="N696" s="2">
        <v>9</v>
      </c>
      <c r="O696" t="s">
        <v>578</v>
      </c>
      <c r="P696" t="s">
        <v>1581</v>
      </c>
      <c r="Q696"/>
      <c r="R696"/>
      <c r="S696"/>
      <c r="T696"/>
    </row>
    <row r="697" spans="1:20" s="6" customFormat="1" x14ac:dyDescent="0.25">
      <c r="A697" s="4" t="s">
        <v>1376</v>
      </c>
      <c r="B697" s="4" t="str">
        <f t="shared" si="16"/>
        <v>00021859258KOVR</v>
      </c>
      <c r="C697" t="s">
        <v>600</v>
      </c>
      <c r="D697" t="s">
        <v>429</v>
      </c>
      <c r="E697" s="11">
        <v>20411454</v>
      </c>
      <c r="F697" t="s">
        <v>1639</v>
      </c>
      <c r="G697" t="s">
        <v>49</v>
      </c>
      <c r="H697" t="s">
        <v>50</v>
      </c>
      <c r="I697" s="1">
        <v>45474</v>
      </c>
      <c r="J697" s="2">
        <v>1</v>
      </c>
      <c r="K697" s="2">
        <v>1</v>
      </c>
      <c r="L697"/>
      <c r="M697" s="3">
        <v>1</v>
      </c>
      <c r="N697" s="2">
        <v>9</v>
      </c>
      <c r="O697" t="s">
        <v>578</v>
      </c>
      <c r="P697" t="s">
        <v>1581</v>
      </c>
      <c r="Q697"/>
      <c r="R697"/>
      <c r="S697"/>
      <c r="T697"/>
    </row>
    <row r="698" spans="1:20" s="6" customFormat="1" x14ac:dyDescent="0.25">
      <c r="A698" s="4" t="s">
        <v>1377</v>
      </c>
      <c r="B698" s="4" t="str">
        <f t="shared" si="16"/>
        <v>00021865984KOVR</v>
      </c>
      <c r="C698" t="s">
        <v>602</v>
      </c>
      <c r="D698"/>
      <c r="E698" s="11">
        <v>20411454</v>
      </c>
      <c r="F698" t="s">
        <v>1639</v>
      </c>
      <c r="G698" t="s">
        <v>106</v>
      </c>
      <c r="H698" t="s">
        <v>50</v>
      </c>
      <c r="I698" s="1">
        <v>45474</v>
      </c>
      <c r="J698" s="2">
        <v>1</v>
      </c>
      <c r="K698" s="2">
        <v>1</v>
      </c>
      <c r="L698"/>
      <c r="M698" s="3">
        <v>1</v>
      </c>
      <c r="N698" s="2">
        <v>9</v>
      </c>
      <c r="O698" t="s">
        <v>578</v>
      </c>
      <c r="P698" t="s">
        <v>1581</v>
      </c>
      <c r="Q698"/>
      <c r="R698"/>
      <c r="S698"/>
      <c r="T698"/>
    </row>
    <row r="699" spans="1:20" s="6" customFormat="1" x14ac:dyDescent="0.25">
      <c r="A699" s="4" t="s">
        <v>1378</v>
      </c>
      <c r="B699" s="4" t="str">
        <f t="shared" si="16"/>
        <v>00021876313KOVR</v>
      </c>
      <c r="C699" t="s">
        <v>603</v>
      </c>
      <c r="D699" t="s">
        <v>429</v>
      </c>
      <c r="E699" s="11">
        <v>20411454</v>
      </c>
      <c r="F699" t="s">
        <v>1639</v>
      </c>
      <c r="G699" t="s">
        <v>106</v>
      </c>
      <c r="H699" t="s">
        <v>50</v>
      </c>
      <c r="I699" s="1">
        <v>45474</v>
      </c>
      <c r="J699" s="2">
        <v>1</v>
      </c>
      <c r="K699" s="2">
        <v>1</v>
      </c>
      <c r="L699"/>
      <c r="M699" s="3">
        <v>1</v>
      </c>
      <c r="N699" s="2">
        <v>9</v>
      </c>
      <c r="O699" t="s">
        <v>567</v>
      </c>
      <c r="P699" t="s">
        <v>1581</v>
      </c>
      <c r="Q699"/>
      <c r="R699"/>
      <c r="S699"/>
      <c r="T699"/>
    </row>
    <row r="700" spans="1:20" s="6" customFormat="1" x14ac:dyDescent="0.25">
      <c r="A700" s="4" t="s">
        <v>1379</v>
      </c>
      <c r="B700" s="4" t="str">
        <f t="shared" si="16"/>
        <v>00021876763KOVR</v>
      </c>
      <c r="C700" t="s">
        <v>604</v>
      </c>
      <c r="D700" t="s">
        <v>429</v>
      </c>
      <c r="E700" s="11">
        <v>20411454</v>
      </c>
      <c r="F700" t="s">
        <v>1639</v>
      </c>
      <c r="G700" t="s">
        <v>106</v>
      </c>
      <c r="H700" t="s">
        <v>50</v>
      </c>
      <c r="I700" s="1">
        <v>45505</v>
      </c>
      <c r="J700" s="2">
        <v>1</v>
      </c>
      <c r="K700" s="2">
        <v>1</v>
      </c>
      <c r="L700"/>
      <c r="M700" s="3">
        <v>1</v>
      </c>
      <c r="N700" s="2">
        <v>9</v>
      </c>
      <c r="O700" t="s">
        <v>567</v>
      </c>
      <c r="P700" t="s">
        <v>1581</v>
      </c>
      <c r="Q700"/>
      <c r="R700"/>
      <c r="S700"/>
      <c r="T700"/>
    </row>
    <row r="701" spans="1:20" s="6" customFormat="1" x14ac:dyDescent="0.25">
      <c r="A701" s="4" t="s">
        <v>1380</v>
      </c>
      <c r="B701" s="4" t="str">
        <f t="shared" si="16"/>
        <v>00021878864KOVR</v>
      </c>
      <c r="C701" t="s">
        <v>605</v>
      </c>
      <c r="D701" t="s">
        <v>429</v>
      </c>
      <c r="E701" s="11">
        <v>20411454</v>
      </c>
      <c r="F701" t="s">
        <v>1639</v>
      </c>
      <c r="G701" t="s">
        <v>106</v>
      </c>
      <c r="H701" t="s">
        <v>50</v>
      </c>
      <c r="I701" s="1">
        <v>45474</v>
      </c>
      <c r="J701" s="2">
        <v>1</v>
      </c>
      <c r="K701" s="2">
        <v>1</v>
      </c>
      <c r="L701"/>
      <c r="M701" s="3">
        <v>1</v>
      </c>
      <c r="N701" s="2">
        <v>9</v>
      </c>
      <c r="O701" t="s">
        <v>567</v>
      </c>
      <c r="P701" t="s">
        <v>1581</v>
      </c>
      <c r="Q701"/>
      <c r="R701"/>
      <c r="S701"/>
      <c r="T701"/>
    </row>
    <row r="702" spans="1:20" s="6" customFormat="1" x14ac:dyDescent="0.25">
      <c r="A702" s="4" t="s">
        <v>1381</v>
      </c>
      <c r="B702" s="4" t="str">
        <f t="shared" si="16"/>
        <v>00021881964KOVR</v>
      </c>
      <c r="C702" t="s">
        <v>606</v>
      </c>
      <c r="D702" t="s">
        <v>429</v>
      </c>
      <c r="E702" s="11">
        <v>20411454</v>
      </c>
      <c r="F702" t="s">
        <v>1639</v>
      </c>
      <c r="G702" t="s">
        <v>106</v>
      </c>
      <c r="H702" t="s">
        <v>50</v>
      </c>
      <c r="I702" s="1">
        <v>45505</v>
      </c>
      <c r="J702" s="2">
        <v>1</v>
      </c>
      <c r="K702" s="2">
        <v>1</v>
      </c>
      <c r="L702"/>
      <c r="M702" s="3">
        <v>1</v>
      </c>
      <c r="N702" s="2">
        <v>9</v>
      </c>
      <c r="O702" t="s">
        <v>567</v>
      </c>
      <c r="P702" t="s">
        <v>1581</v>
      </c>
      <c r="Q702"/>
      <c r="R702"/>
      <c r="S702"/>
      <c r="T702"/>
    </row>
    <row r="703" spans="1:20" s="6" customFormat="1" x14ac:dyDescent="0.25">
      <c r="A703" s="4" t="s">
        <v>1382</v>
      </c>
      <c r="B703" s="4" t="str">
        <f t="shared" si="16"/>
        <v>00021882434KOVR</v>
      </c>
      <c r="C703" t="s">
        <v>607</v>
      </c>
      <c r="D703" t="s">
        <v>429</v>
      </c>
      <c r="E703" s="11">
        <v>20411454</v>
      </c>
      <c r="F703" t="s">
        <v>1639</v>
      </c>
      <c r="G703" t="s">
        <v>49</v>
      </c>
      <c r="H703" t="s">
        <v>50</v>
      </c>
      <c r="I703" s="1">
        <v>45474</v>
      </c>
      <c r="J703" s="2">
        <v>1</v>
      </c>
      <c r="K703" s="2">
        <v>1</v>
      </c>
      <c r="L703"/>
      <c r="M703" s="3">
        <v>1</v>
      </c>
      <c r="N703" s="2">
        <v>9</v>
      </c>
      <c r="O703" t="s">
        <v>578</v>
      </c>
      <c r="P703" t="s">
        <v>1581</v>
      </c>
      <c r="Q703"/>
      <c r="R703"/>
      <c r="S703"/>
      <c r="T703"/>
    </row>
    <row r="704" spans="1:20" s="6" customFormat="1" x14ac:dyDescent="0.25">
      <c r="A704" s="4" t="s">
        <v>1383</v>
      </c>
      <c r="B704" s="4" t="str">
        <f t="shared" si="16"/>
        <v>00021883797KOVR</v>
      </c>
      <c r="C704" t="s">
        <v>608</v>
      </c>
      <c r="D704" t="s">
        <v>429</v>
      </c>
      <c r="E704" s="11">
        <v>20411454</v>
      </c>
      <c r="F704" t="s">
        <v>1639</v>
      </c>
      <c r="G704" t="s">
        <v>106</v>
      </c>
      <c r="H704" t="s">
        <v>50</v>
      </c>
      <c r="I704" s="1">
        <v>45474</v>
      </c>
      <c r="J704" s="2">
        <v>1</v>
      </c>
      <c r="K704" s="2">
        <v>1</v>
      </c>
      <c r="L704"/>
      <c r="M704" s="3">
        <v>1</v>
      </c>
      <c r="N704" s="2">
        <v>9</v>
      </c>
      <c r="O704" t="s">
        <v>567</v>
      </c>
      <c r="P704" t="s">
        <v>1581</v>
      </c>
      <c r="Q704"/>
      <c r="R704"/>
      <c r="S704"/>
      <c r="T704"/>
    </row>
    <row r="705" spans="1:20" s="6" customFormat="1" x14ac:dyDescent="0.25">
      <c r="A705" s="4" t="s">
        <v>1384</v>
      </c>
      <c r="B705" s="4" t="str">
        <f t="shared" si="16"/>
        <v>00021884516KOVR</v>
      </c>
      <c r="C705" t="s">
        <v>609</v>
      </c>
      <c r="D705" t="s">
        <v>429</v>
      </c>
      <c r="E705" s="11">
        <v>20411454</v>
      </c>
      <c r="F705" t="s">
        <v>1639</v>
      </c>
      <c r="G705" t="s">
        <v>49</v>
      </c>
      <c r="H705" t="s">
        <v>50</v>
      </c>
      <c r="I705" s="1">
        <v>45474</v>
      </c>
      <c r="J705" s="2">
        <v>1</v>
      </c>
      <c r="K705" s="2">
        <v>1</v>
      </c>
      <c r="L705"/>
      <c r="M705" s="3">
        <v>1</v>
      </c>
      <c r="N705" s="2">
        <v>9</v>
      </c>
      <c r="O705" t="s">
        <v>578</v>
      </c>
      <c r="P705" t="s">
        <v>1581</v>
      </c>
      <c r="Q705"/>
      <c r="R705"/>
      <c r="S705"/>
      <c r="T705"/>
    </row>
    <row r="706" spans="1:20" s="6" customFormat="1" x14ac:dyDescent="0.25">
      <c r="A706" s="4" t="s">
        <v>1386</v>
      </c>
      <c r="B706" s="4" t="str">
        <f t="shared" si="16"/>
        <v>00021895596KOVR</v>
      </c>
      <c r="C706" t="s">
        <v>612</v>
      </c>
      <c r="D706" t="s">
        <v>429</v>
      </c>
      <c r="E706" s="11">
        <v>20411454</v>
      </c>
      <c r="F706" t="s">
        <v>1639</v>
      </c>
      <c r="G706" t="s">
        <v>106</v>
      </c>
      <c r="H706" t="s">
        <v>50</v>
      </c>
      <c r="I706" s="1">
        <v>45474</v>
      </c>
      <c r="J706" s="2">
        <v>1</v>
      </c>
      <c r="K706" s="2">
        <v>1</v>
      </c>
      <c r="L706"/>
      <c r="M706" s="3">
        <v>1</v>
      </c>
      <c r="N706" s="2">
        <v>9</v>
      </c>
      <c r="O706" t="s">
        <v>567</v>
      </c>
      <c r="P706" t="s">
        <v>1581</v>
      </c>
      <c r="Q706"/>
      <c r="R706"/>
      <c r="S706"/>
      <c r="T706"/>
    </row>
    <row r="707" spans="1:20" s="6" customFormat="1" x14ac:dyDescent="0.25">
      <c r="A707" s="4" t="s">
        <v>1387</v>
      </c>
      <c r="B707" s="4" t="str">
        <f t="shared" si="16"/>
        <v>00021895977KOVR</v>
      </c>
      <c r="C707" t="s">
        <v>613</v>
      </c>
      <c r="D707" t="s">
        <v>429</v>
      </c>
      <c r="E707" s="11">
        <v>20411454</v>
      </c>
      <c r="F707" t="s">
        <v>1639</v>
      </c>
      <c r="G707" t="s">
        <v>49</v>
      </c>
      <c r="H707" t="s">
        <v>50</v>
      </c>
      <c r="I707" s="1">
        <v>45505</v>
      </c>
      <c r="J707" s="2">
        <v>1</v>
      </c>
      <c r="K707" s="2">
        <v>1</v>
      </c>
      <c r="L707"/>
      <c r="M707" s="3">
        <v>1</v>
      </c>
      <c r="N707" s="2">
        <v>9</v>
      </c>
      <c r="O707" t="s">
        <v>578</v>
      </c>
      <c r="P707" t="s">
        <v>1581</v>
      </c>
      <c r="Q707"/>
      <c r="R707"/>
      <c r="S707"/>
      <c r="T707"/>
    </row>
    <row r="708" spans="1:20" s="6" customFormat="1" x14ac:dyDescent="0.25">
      <c r="A708" s="4" t="s">
        <v>1388</v>
      </c>
      <c r="B708" s="4" t="str">
        <f t="shared" si="16"/>
        <v>00021906634KOVR</v>
      </c>
      <c r="C708" t="s">
        <v>614</v>
      </c>
      <c r="D708" t="s">
        <v>429</v>
      </c>
      <c r="E708" s="11">
        <v>20411454</v>
      </c>
      <c r="F708" t="s">
        <v>1639</v>
      </c>
      <c r="G708" t="s">
        <v>106</v>
      </c>
      <c r="H708" t="s">
        <v>50</v>
      </c>
      <c r="I708" s="1">
        <v>45536</v>
      </c>
      <c r="J708" s="2">
        <v>1</v>
      </c>
      <c r="K708" s="2">
        <v>1</v>
      </c>
      <c r="L708"/>
      <c r="M708" s="3">
        <v>1</v>
      </c>
      <c r="N708" s="2">
        <v>9</v>
      </c>
      <c r="O708" t="s">
        <v>567</v>
      </c>
      <c r="P708" t="s">
        <v>1581</v>
      </c>
      <c r="Q708"/>
      <c r="R708"/>
      <c r="S708"/>
      <c r="T708"/>
    </row>
    <row r="709" spans="1:20" s="6" customFormat="1" x14ac:dyDescent="0.25">
      <c r="A709" s="4" t="s">
        <v>1390</v>
      </c>
      <c r="B709" s="4" t="str">
        <f t="shared" si="16"/>
        <v>00021915889KOVR</v>
      </c>
      <c r="C709" t="s">
        <v>616</v>
      </c>
      <c r="D709" t="s">
        <v>429</v>
      </c>
      <c r="E709" s="11">
        <v>20411454</v>
      </c>
      <c r="F709" t="s">
        <v>1639</v>
      </c>
      <c r="G709" t="s">
        <v>106</v>
      </c>
      <c r="H709" t="s">
        <v>50</v>
      </c>
      <c r="I709" s="1">
        <v>45536</v>
      </c>
      <c r="J709" s="2">
        <v>1</v>
      </c>
      <c r="K709" s="2">
        <v>1</v>
      </c>
      <c r="L709"/>
      <c r="M709" s="3">
        <v>1</v>
      </c>
      <c r="N709" s="2">
        <v>9</v>
      </c>
      <c r="O709" t="s">
        <v>567</v>
      </c>
      <c r="P709" t="s">
        <v>1581</v>
      </c>
      <c r="Q709"/>
      <c r="R709"/>
      <c r="S709"/>
      <c r="T709"/>
    </row>
    <row r="710" spans="1:20" s="6" customFormat="1" x14ac:dyDescent="0.25">
      <c r="A710" s="4" t="s">
        <v>1391</v>
      </c>
      <c r="B710" s="4" t="str">
        <f t="shared" si="16"/>
        <v>00021917176KOVR</v>
      </c>
      <c r="C710" t="s">
        <v>617</v>
      </c>
      <c r="D710" t="s">
        <v>429</v>
      </c>
      <c r="E710" s="11">
        <v>20411454</v>
      </c>
      <c r="F710" t="s">
        <v>1639</v>
      </c>
      <c r="G710" t="s">
        <v>49</v>
      </c>
      <c r="H710" t="s">
        <v>50</v>
      </c>
      <c r="I710" s="1">
        <v>45505</v>
      </c>
      <c r="J710" s="2">
        <v>1</v>
      </c>
      <c r="K710" s="2">
        <v>1</v>
      </c>
      <c r="L710"/>
      <c r="M710" s="3">
        <v>1</v>
      </c>
      <c r="N710" s="2">
        <v>9</v>
      </c>
      <c r="O710" t="s">
        <v>578</v>
      </c>
      <c r="P710" t="s">
        <v>1581</v>
      </c>
      <c r="Q710"/>
      <c r="R710"/>
      <c r="S710"/>
      <c r="T710"/>
    </row>
    <row r="711" spans="1:20" s="6" customFormat="1" x14ac:dyDescent="0.25">
      <c r="A711" s="4" t="s">
        <v>1392</v>
      </c>
      <c r="B711" s="4" t="str">
        <f t="shared" si="16"/>
        <v>00021918216KOVR</v>
      </c>
      <c r="C711" t="s">
        <v>618</v>
      </c>
      <c r="D711" t="s">
        <v>429</v>
      </c>
      <c r="E711" s="11">
        <v>20411454</v>
      </c>
      <c r="F711" t="s">
        <v>1639</v>
      </c>
      <c r="G711" t="s">
        <v>106</v>
      </c>
      <c r="H711" t="s">
        <v>50</v>
      </c>
      <c r="I711" s="1">
        <v>45505</v>
      </c>
      <c r="J711" s="2">
        <v>1</v>
      </c>
      <c r="K711" s="2">
        <v>1</v>
      </c>
      <c r="L711"/>
      <c r="M711" s="3">
        <v>1</v>
      </c>
      <c r="N711" s="2">
        <v>9</v>
      </c>
      <c r="O711" t="s">
        <v>567</v>
      </c>
      <c r="P711" t="s">
        <v>1581</v>
      </c>
      <c r="Q711"/>
      <c r="R711"/>
      <c r="S711"/>
      <c r="T711"/>
    </row>
    <row r="712" spans="1:20" s="6" customFormat="1" x14ac:dyDescent="0.25">
      <c r="A712" s="4" t="s">
        <v>1393</v>
      </c>
      <c r="B712" s="4" t="str">
        <f t="shared" si="16"/>
        <v>00021920643KOVR</v>
      </c>
      <c r="C712" t="s">
        <v>619</v>
      </c>
      <c r="D712" t="s">
        <v>429</v>
      </c>
      <c r="E712" s="11">
        <v>20411454</v>
      </c>
      <c r="F712" t="s">
        <v>1639</v>
      </c>
      <c r="G712" t="s">
        <v>106</v>
      </c>
      <c r="H712" t="s">
        <v>50</v>
      </c>
      <c r="I712" s="1">
        <v>45505</v>
      </c>
      <c r="J712" s="2">
        <v>1</v>
      </c>
      <c r="K712" s="2">
        <v>1</v>
      </c>
      <c r="L712"/>
      <c r="M712" s="3">
        <v>1</v>
      </c>
      <c r="N712" s="2">
        <v>9</v>
      </c>
      <c r="O712" t="s">
        <v>567</v>
      </c>
      <c r="P712" t="s">
        <v>1581</v>
      </c>
      <c r="Q712"/>
      <c r="R712"/>
      <c r="S712"/>
      <c r="T712"/>
    </row>
    <row r="713" spans="1:20" s="6" customFormat="1" x14ac:dyDescent="0.25">
      <c r="A713" s="4" t="s">
        <v>1394</v>
      </c>
      <c r="B713" s="4" t="str">
        <f t="shared" si="16"/>
        <v>00021921861KOVR</v>
      </c>
      <c r="C713" t="s">
        <v>620</v>
      </c>
      <c r="D713" t="s">
        <v>429</v>
      </c>
      <c r="E713" s="11">
        <v>20411454</v>
      </c>
      <c r="F713" t="s">
        <v>1639</v>
      </c>
      <c r="G713" t="s">
        <v>106</v>
      </c>
      <c r="H713" t="s">
        <v>50</v>
      </c>
      <c r="I713" s="1">
        <v>45505</v>
      </c>
      <c r="J713" s="2">
        <v>1</v>
      </c>
      <c r="K713" s="2">
        <v>1</v>
      </c>
      <c r="L713"/>
      <c r="M713" s="3">
        <v>1</v>
      </c>
      <c r="N713" s="2">
        <v>9</v>
      </c>
      <c r="O713" t="s">
        <v>567</v>
      </c>
      <c r="P713" t="s">
        <v>1581</v>
      </c>
      <c r="Q713"/>
      <c r="R713"/>
      <c r="S713"/>
      <c r="T713"/>
    </row>
    <row r="714" spans="1:20" s="6" customFormat="1" x14ac:dyDescent="0.25">
      <c r="A714" s="4" t="s">
        <v>1395</v>
      </c>
      <c r="B714" s="4" t="str">
        <f t="shared" si="16"/>
        <v>00021926659KOVR</v>
      </c>
      <c r="C714" t="s">
        <v>621</v>
      </c>
      <c r="D714" t="s">
        <v>429</v>
      </c>
      <c r="E714" s="11">
        <v>20411454</v>
      </c>
      <c r="F714" t="s">
        <v>1639</v>
      </c>
      <c r="G714" t="s">
        <v>106</v>
      </c>
      <c r="H714" t="s">
        <v>50</v>
      </c>
      <c r="I714" s="1">
        <v>45505</v>
      </c>
      <c r="J714" s="2">
        <v>1</v>
      </c>
      <c r="K714" s="2">
        <v>1</v>
      </c>
      <c r="L714"/>
      <c r="M714" s="3">
        <v>1</v>
      </c>
      <c r="N714" s="2">
        <v>9</v>
      </c>
      <c r="O714" t="s">
        <v>567</v>
      </c>
      <c r="P714" t="s">
        <v>1581</v>
      </c>
      <c r="Q714"/>
      <c r="R714"/>
      <c r="S714"/>
      <c r="T714"/>
    </row>
    <row r="715" spans="1:20" s="6" customFormat="1" x14ac:dyDescent="0.25">
      <c r="A715" s="4" t="s">
        <v>1396</v>
      </c>
      <c r="B715" s="4" t="str">
        <f t="shared" si="16"/>
        <v>00021937596KOVR</v>
      </c>
      <c r="C715" t="s">
        <v>622</v>
      </c>
      <c r="D715" t="s">
        <v>429</v>
      </c>
      <c r="E715" s="11">
        <v>20411454</v>
      </c>
      <c r="F715" t="s">
        <v>1639</v>
      </c>
      <c r="G715" t="s">
        <v>49</v>
      </c>
      <c r="H715" t="s">
        <v>50</v>
      </c>
      <c r="I715" s="1">
        <v>45505</v>
      </c>
      <c r="J715" s="2">
        <v>1</v>
      </c>
      <c r="K715" s="2">
        <v>1</v>
      </c>
      <c r="L715"/>
      <c r="M715" s="3">
        <v>1</v>
      </c>
      <c r="N715" s="2">
        <v>9</v>
      </c>
      <c r="O715" t="s">
        <v>567</v>
      </c>
      <c r="P715" t="s">
        <v>1581</v>
      </c>
      <c r="Q715"/>
      <c r="R715"/>
      <c r="S715"/>
      <c r="T715"/>
    </row>
    <row r="716" spans="1:20" s="6" customFormat="1" x14ac:dyDescent="0.25">
      <c r="A716" s="4" t="s">
        <v>1397</v>
      </c>
      <c r="B716" s="4" t="str">
        <f t="shared" si="16"/>
        <v>00021938736KOVR</v>
      </c>
      <c r="C716" t="s">
        <v>623</v>
      </c>
      <c r="D716" t="s">
        <v>429</v>
      </c>
      <c r="E716" s="11">
        <v>20411454</v>
      </c>
      <c r="F716" t="s">
        <v>1639</v>
      </c>
      <c r="G716" t="s">
        <v>106</v>
      </c>
      <c r="H716" t="s">
        <v>50</v>
      </c>
      <c r="I716" s="1">
        <v>45505</v>
      </c>
      <c r="J716" s="2">
        <v>1</v>
      </c>
      <c r="K716" s="2">
        <v>1</v>
      </c>
      <c r="L716"/>
      <c r="M716" s="3">
        <v>1</v>
      </c>
      <c r="N716" s="2">
        <v>9</v>
      </c>
      <c r="O716" t="s">
        <v>567</v>
      </c>
      <c r="P716" t="s">
        <v>1581</v>
      </c>
      <c r="Q716"/>
      <c r="R716"/>
      <c r="S716"/>
      <c r="T716"/>
    </row>
    <row r="717" spans="1:20" s="6" customFormat="1" x14ac:dyDescent="0.25">
      <c r="A717" s="4" t="s">
        <v>1398</v>
      </c>
      <c r="B717" s="4" t="str">
        <f t="shared" si="16"/>
        <v>00021938762KOVR</v>
      </c>
      <c r="C717" t="s">
        <v>624</v>
      </c>
      <c r="D717" t="s">
        <v>429</v>
      </c>
      <c r="E717" s="11">
        <v>20411454</v>
      </c>
      <c r="F717" t="s">
        <v>1639</v>
      </c>
      <c r="G717" t="s">
        <v>49</v>
      </c>
      <c r="H717" t="s">
        <v>50</v>
      </c>
      <c r="I717" s="1">
        <v>45536</v>
      </c>
      <c r="J717" s="2">
        <v>1</v>
      </c>
      <c r="K717" s="2">
        <v>1</v>
      </c>
      <c r="L717"/>
      <c r="M717" s="3">
        <v>1</v>
      </c>
      <c r="N717" s="2">
        <v>9</v>
      </c>
      <c r="O717" t="s">
        <v>567</v>
      </c>
      <c r="P717" t="s">
        <v>1581</v>
      </c>
      <c r="Q717"/>
      <c r="R717"/>
      <c r="S717"/>
      <c r="T717"/>
    </row>
    <row r="718" spans="1:20" s="6" customFormat="1" x14ac:dyDescent="0.25">
      <c r="A718" s="4" t="s">
        <v>1399</v>
      </c>
      <c r="B718" s="4" t="str">
        <f t="shared" si="16"/>
        <v>00021942365KOVR</v>
      </c>
      <c r="C718" t="s">
        <v>625</v>
      </c>
      <c r="D718" t="s">
        <v>429</v>
      </c>
      <c r="E718" s="11">
        <v>20411454</v>
      </c>
      <c r="F718" t="s">
        <v>1639</v>
      </c>
      <c r="G718" t="s">
        <v>106</v>
      </c>
      <c r="H718" t="s">
        <v>50</v>
      </c>
      <c r="I718" s="1">
        <v>45505</v>
      </c>
      <c r="J718" s="2">
        <v>1</v>
      </c>
      <c r="K718" s="2">
        <v>1</v>
      </c>
      <c r="L718"/>
      <c r="M718" s="3">
        <v>1</v>
      </c>
      <c r="N718" s="2">
        <v>9</v>
      </c>
      <c r="O718" t="s">
        <v>567</v>
      </c>
      <c r="P718" t="s">
        <v>1581</v>
      </c>
      <c r="Q718"/>
      <c r="R718"/>
      <c r="S718"/>
      <c r="T718"/>
    </row>
    <row r="719" spans="1:20" s="6" customFormat="1" x14ac:dyDescent="0.25">
      <c r="A719" s="4" t="s">
        <v>1400</v>
      </c>
      <c r="B719" s="4" t="str">
        <f t="shared" si="16"/>
        <v>00021948322KOVR</v>
      </c>
      <c r="C719" t="s">
        <v>626</v>
      </c>
      <c r="D719" t="s">
        <v>429</v>
      </c>
      <c r="E719" s="11">
        <v>20411454</v>
      </c>
      <c r="F719" t="s">
        <v>1639</v>
      </c>
      <c r="G719" t="s">
        <v>49</v>
      </c>
      <c r="H719" t="s">
        <v>50</v>
      </c>
      <c r="I719" s="1">
        <v>45566</v>
      </c>
      <c r="J719" s="2">
        <v>1</v>
      </c>
      <c r="K719" s="2">
        <v>1</v>
      </c>
      <c r="L719"/>
      <c r="M719" s="3">
        <v>1</v>
      </c>
      <c r="N719" s="2">
        <v>9</v>
      </c>
      <c r="O719" t="s">
        <v>567</v>
      </c>
      <c r="P719" t="s">
        <v>1581</v>
      </c>
      <c r="Q719"/>
      <c r="R719"/>
      <c r="S719"/>
      <c r="T719"/>
    </row>
    <row r="720" spans="1:20" s="6" customFormat="1" x14ac:dyDescent="0.25">
      <c r="A720" s="4" t="s">
        <v>1401</v>
      </c>
      <c r="B720" s="4" t="str">
        <f t="shared" si="16"/>
        <v>00021951591KOVR</v>
      </c>
      <c r="C720" t="s">
        <v>627</v>
      </c>
      <c r="D720" t="s">
        <v>429</v>
      </c>
      <c r="E720" s="11">
        <v>20411454</v>
      </c>
      <c r="F720" t="s">
        <v>1639</v>
      </c>
      <c r="G720" t="s">
        <v>106</v>
      </c>
      <c r="H720" t="s">
        <v>50</v>
      </c>
      <c r="I720" s="1">
        <v>45536</v>
      </c>
      <c r="J720" s="2">
        <v>1</v>
      </c>
      <c r="K720" s="2">
        <v>1</v>
      </c>
      <c r="L720"/>
      <c r="M720" s="3">
        <v>1</v>
      </c>
      <c r="N720" s="2">
        <v>9</v>
      </c>
      <c r="O720" t="s">
        <v>567</v>
      </c>
      <c r="P720" t="s">
        <v>1581</v>
      </c>
      <c r="Q720"/>
      <c r="R720"/>
      <c r="S720"/>
      <c r="T720"/>
    </row>
    <row r="721" spans="1:20" s="6" customFormat="1" x14ac:dyDescent="0.25">
      <c r="A721" s="4" t="s">
        <v>1402</v>
      </c>
      <c r="B721" s="4" t="str">
        <f t="shared" si="16"/>
        <v>00021961080KOVR</v>
      </c>
      <c r="C721" t="s">
        <v>628</v>
      </c>
      <c r="D721" t="s">
        <v>429</v>
      </c>
      <c r="E721" s="11">
        <v>20411454</v>
      </c>
      <c r="F721" t="s">
        <v>1639</v>
      </c>
      <c r="G721" t="s">
        <v>106</v>
      </c>
      <c r="H721" t="s">
        <v>50</v>
      </c>
      <c r="I721" s="1">
        <v>45505</v>
      </c>
      <c r="J721" s="2">
        <v>1</v>
      </c>
      <c r="K721" s="2">
        <v>1</v>
      </c>
      <c r="L721"/>
      <c r="M721" s="3">
        <v>1</v>
      </c>
      <c r="N721" s="2">
        <v>9</v>
      </c>
      <c r="O721" t="s">
        <v>567</v>
      </c>
      <c r="P721" t="s">
        <v>1581</v>
      </c>
      <c r="Q721"/>
      <c r="R721"/>
      <c r="S721"/>
      <c r="T721"/>
    </row>
    <row r="722" spans="1:20" s="6" customFormat="1" x14ac:dyDescent="0.25">
      <c r="A722" s="4" t="s">
        <v>1403</v>
      </c>
      <c r="B722" s="4" t="str">
        <f t="shared" si="16"/>
        <v>00021969632KOVR</v>
      </c>
      <c r="C722" t="s">
        <v>629</v>
      </c>
      <c r="D722" t="s">
        <v>429</v>
      </c>
      <c r="E722" s="11">
        <v>20411454</v>
      </c>
      <c r="F722" t="s">
        <v>1639</v>
      </c>
      <c r="G722" t="s">
        <v>106</v>
      </c>
      <c r="H722" t="s">
        <v>50</v>
      </c>
      <c r="I722" s="1">
        <v>45566</v>
      </c>
      <c r="J722" s="2">
        <v>1</v>
      </c>
      <c r="K722" s="2">
        <v>1</v>
      </c>
      <c r="L722"/>
      <c r="M722" s="3">
        <v>1</v>
      </c>
      <c r="N722" s="2">
        <v>9</v>
      </c>
      <c r="O722" t="s">
        <v>567</v>
      </c>
      <c r="P722" t="s">
        <v>1581</v>
      </c>
      <c r="Q722"/>
      <c r="R722"/>
      <c r="S722"/>
      <c r="T722"/>
    </row>
    <row r="723" spans="1:20" s="6" customFormat="1" x14ac:dyDescent="0.25">
      <c r="A723" s="4" t="s">
        <v>1404</v>
      </c>
      <c r="B723" s="4" t="str">
        <f t="shared" si="16"/>
        <v>00021970944KOVR</v>
      </c>
      <c r="C723" t="s">
        <v>630</v>
      </c>
      <c r="D723" t="s">
        <v>429</v>
      </c>
      <c r="E723" s="11">
        <v>20411454</v>
      </c>
      <c r="F723" t="s">
        <v>1639</v>
      </c>
      <c r="G723" t="s">
        <v>106</v>
      </c>
      <c r="H723" t="s">
        <v>50</v>
      </c>
      <c r="I723" s="1">
        <v>45566</v>
      </c>
      <c r="J723" s="2">
        <v>1</v>
      </c>
      <c r="K723" s="2">
        <v>1</v>
      </c>
      <c r="L723"/>
      <c r="M723" s="3">
        <v>1</v>
      </c>
      <c r="N723" s="2">
        <v>9</v>
      </c>
      <c r="O723" t="s">
        <v>567</v>
      </c>
      <c r="P723" t="s">
        <v>1581</v>
      </c>
      <c r="Q723"/>
      <c r="R723"/>
      <c r="S723"/>
      <c r="T723"/>
    </row>
    <row r="724" spans="1:20" s="6" customFormat="1" x14ac:dyDescent="0.25">
      <c r="A724" s="4" t="s">
        <v>1405</v>
      </c>
      <c r="B724" s="4" t="str">
        <f t="shared" si="16"/>
        <v>00021973818KOVR</v>
      </c>
      <c r="C724" t="s">
        <v>631</v>
      </c>
      <c r="D724" t="s">
        <v>429</v>
      </c>
      <c r="E724" s="11">
        <v>20411454</v>
      </c>
      <c r="F724" t="s">
        <v>1639</v>
      </c>
      <c r="G724" t="s">
        <v>106</v>
      </c>
      <c r="H724" t="s">
        <v>50</v>
      </c>
      <c r="I724" s="1">
        <v>45566</v>
      </c>
      <c r="J724" s="2">
        <v>1</v>
      </c>
      <c r="K724" s="2">
        <v>1</v>
      </c>
      <c r="L724"/>
      <c r="M724" s="3">
        <v>1</v>
      </c>
      <c r="N724" s="2">
        <v>9</v>
      </c>
      <c r="O724" t="s">
        <v>567</v>
      </c>
      <c r="P724" t="s">
        <v>1581</v>
      </c>
      <c r="Q724"/>
      <c r="R724"/>
      <c r="S724"/>
      <c r="T724"/>
    </row>
    <row r="725" spans="1:20" s="6" customFormat="1" x14ac:dyDescent="0.25">
      <c r="A725" s="4" t="s">
        <v>1406</v>
      </c>
      <c r="B725" s="4" t="str">
        <f t="shared" si="16"/>
        <v>00021973839KOVR</v>
      </c>
      <c r="C725" t="s">
        <v>632</v>
      </c>
      <c r="D725" t="s">
        <v>429</v>
      </c>
      <c r="E725" s="11">
        <v>20411454</v>
      </c>
      <c r="F725" t="s">
        <v>1639</v>
      </c>
      <c r="G725" t="s">
        <v>49</v>
      </c>
      <c r="H725" t="s">
        <v>50</v>
      </c>
      <c r="I725" s="1">
        <v>45536</v>
      </c>
      <c r="J725" s="2">
        <v>1</v>
      </c>
      <c r="K725" s="2">
        <v>1</v>
      </c>
      <c r="L725"/>
      <c r="M725" s="3">
        <v>1</v>
      </c>
      <c r="N725" s="2">
        <v>9</v>
      </c>
      <c r="O725" t="s">
        <v>578</v>
      </c>
      <c r="P725" t="s">
        <v>1581</v>
      </c>
      <c r="Q725"/>
      <c r="R725"/>
      <c r="S725"/>
      <c r="T725"/>
    </row>
    <row r="726" spans="1:20" s="6" customFormat="1" x14ac:dyDescent="0.25">
      <c r="A726" s="4" t="s">
        <v>1407</v>
      </c>
      <c r="B726" s="4" t="str">
        <f t="shared" si="16"/>
        <v>00021976197KOVR</v>
      </c>
      <c r="C726" t="s">
        <v>633</v>
      </c>
      <c r="D726" t="s">
        <v>429</v>
      </c>
      <c r="E726" s="11">
        <v>20411454</v>
      </c>
      <c r="F726" t="s">
        <v>1639</v>
      </c>
      <c r="G726" t="s">
        <v>106</v>
      </c>
      <c r="H726" t="s">
        <v>50</v>
      </c>
      <c r="I726" s="1">
        <v>45536</v>
      </c>
      <c r="J726" s="2">
        <v>1</v>
      </c>
      <c r="K726" s="2">
        <v>1</v>
      </c>
      <c r="L726"/>
      <c r="M726" s="3">
        <v>1</v>
      </c>
      <c r="N726" s="2">
        <v>9</v>
      </c>
      <c r="O726" t="s">
        <v>567</v>
      </c>
      <c r="P726" t="s">
        <v>1581</v>
      </c>
      <c r="Q726"/>
      <c r="R726"/>
      <c r="S726"/>
      <c r="T726"/>
    </row>
    <row r="727" spans="1:20" s="6" customFormat="1" x14ac:dyDescent="0.25">
      <c r="A727" s="4" t="s">
        <v>1408</v>
      </c>
      <c r="B727" s="4" t="str">
        <f t="shared" si="16"/>
        <v>00021996169KOVR</v>
      </c>
      <c r="C727" t="s">
        <v>634</v>
      </c>
      <c r="D727" t="s">
        <v>429</v>
      </c>
      <c r="E727" s="11">
        <v>20411454</v>
      </c>
      <c r="F727" t="s">
        <v>1639</v>
      </c>
      <c r="G727" t="s">
        <v>106</v>
      </c>
      <c r="H727" t="s">
        <v>50</v>
      </c>
      <c r="I727" s="1">
        <v>45536</v>
      </c>
      <c r="J727" s="2">
        <v>1</v>
      </c>
      <c r="K727" s="2">
        <v>1</v>
      </c>
      <c r="L727"/>
      <c r="M727" s="3">
        <v>1</v>
      </c>
      <c r="N727" s="2">
        <v>9</v>
      </c>
      <c r="O727" t="s">
        <v>567</v>
      </c>
      <c r="P727" t="s">
        <v>1581</v>
      </c>
      <c r="Q727"/>
      <c r="R727"/>
      <c r="S727"/>
      <c r="T727"/>
    </row>
    <row r="728" spans="1:20" s="6" customFormat="1" x14ac:dyDescent="0.25">
      <c r="A728" s="4" t="s">
        <v>1409</v>
      </c>
      <c r="B728" s="4" t="str">
        <f t="shared" si="16"/>
        <v>00021999707KOVR</v>
      </c>
      <c r="C728" t="s">
        <v>635</v>
      </c>
      <c r="D728" t="s">
        <v>429</v>
      </c>
      <c r="E728" s="11">
        <v>20411454</v>
      </c>
      <c r="F728" t="s">
        <v>1639</v>
      </c>
      <c r="G728" t="s">
        <v>106</v>
      </c>
      <c r="H728" t="s">
        <v>50</v>
      </c>
      <c r="I728" s="1">
        <v>45597</v>
      </c>
      <c r="J728" s="2">
        <v>1</v>
      </c>
      <c r="K728" s="2">
        <v>1</v>
      </c>
      <c r="L728"/>
      <c r="M728" s="3">
        <v>1</v>
      </c>
      <c r="N728" s="2">
        <v>9</v>
      </c>
      <c r="O728" t="s">
        <v>567</v>
      </c>
      <c r="P728" t="s">
        <v>1581</v>
      </c>
      <c r="Q728"/>
      <c r="R728"/>
      <c r="S728"/>
      <c r="T728"/>
    </row>
    <row r="729" spans="1:20" s="6" customFormat="1" x14ac:dyDescent="0.25">
      <c r="A729" s="4" t="s">
        <v>1410</v>
      </c>
      <c r="B729" s="4" t="str">
        <f t="shared" si="16"/>
        <v>00022004915KOVR</v>
      </c>
      <c r="C729" t="s">
        <v>636</v>
      </c>
      <c r="D729" t="s">
        <v>429</v>
      </c>
      <c r="E729" s="11">
        <v>20411454</v>
      </c>
      <c r="F729" t="s">
        <v>1639</v>
      </c>
      <c r="G729" t="s">
        <v>49</v>
      </c>
      <c r="H729" t="s">
        <v>50</v>
      </c>
      <c r="I729" s="1">
        <v>45536</v>
      </c>
      <c r="J729" s="2">
        <v>1</v>
      </c>
      <c r="K729" s="2">
        <v>1</v>
      </c>
      <c r="L729"/>
      <c r="M729" s="3">
        <v>1</v>
      </c>
      <c r="N729" s="2">
        <v>9</v>
      </c>
      <c r="O729" t="s">
        <v>578</v>
      </c>
      <c r="P729" t="s">
        <v>1581</v>
      </c>
      <c r="Q729"/>
      <c r="R729"/>
      <c r="S729"/>
      <c r="T729"/>
    </row>
    <row r="730" spans="1:20" s="6" customFormat="1" x14ac:dyDescent="0.25">
      <c r="A730" s="4" t="s">
        <v>1411</v>
      </c>
      <c r="B730" s="4" t="str">
        <f t="shared" si="16"/>
        <v>00022011876KOVR</v>
      </c>
      <c r="C730" t="s">
        <v>637</v>
      </c>
      <c r="D730" t="s">
        <v>429</v>
      </c>
      <c r="E730" s="11">
        <v>20411454</v>
      </c>
      <c r="F730" t="s">
        <v>1639</v>
      </c>
      <c r="G730" t="s">
        <v>106</v>
      </c>
      <c r="H730" t="s">
        <v>50</v>
      </c>
      <c r="I730" s="1">
        <v>45536</v>
      </c>
      <c r="J730" s="2">
        <v>1</v>
      </c>
      <c r="K730" s="2">
        <v>1</v>
      </c>
      <c r="L730"/>
      <c r="M730" s="3">
        <v>1</v>
      </c>
      <c r="N730" s="2">
        <v>9</v>
      </c>
      <c r="O730" t="s">
        <v>567</v>
      </c>
      <c r="P730" t="s">
        <v>1581</v>
      </c>
      <c r="Q730"/>
      <c r="R730"/>
      <c r="S730"/>
      <c r="T730"/>
    </row>
    <row r="731" spans="1:20" s="6" customFormat="1" x14ac:dyDescent="0.25">
      <c r="A731" s="4" t="s">
        <v>1412</v>
      </c>
      <c r="B731" s="4" t="str">
        <f t="shared" si="16"/>
        <v>00022014220KOVR</v>
      </c>
      <c r="C731" t="s">
        <v>638</v>
      </c>
      <c r="D731" t="s">
        <v>429</v>
      </c>
      <c r="E731" s="11">
        <v>20411454</v>
      </c>
      <c r="F731" t="s">
        <v>1639</v>
      </c>
      <c r="G731" t="s">
        <v>106</v>
      </c>
      <c r="H731" t="s">
        <v>50</v>
      </c>
      <c r="I731" s="1">
        <v>45536</v>
      </c>
      <c r="J731" s="2">
        <v>1</v>
      </c>
      <c r="K731" s="2">
        <v>1</v>
      </c>
      <c r="L731"/>
      <c r="M731" s="3">
        <v>1</v>
      </c>
      <c r="N731" s="2">
        <v>9</v>
      </c>
      <c r="O731" t="s">
        <v>567</v>
      </c>
      <c r="P731" t="s">
        <v>1581</v>
      </c>
      <c r="Q731"/>
      <c r="R731"/>
      <c r="S731"/>
      <c r="T731"/>
    </row>
    <row r="732" spans="1:20" s="6" customFormat="1" x14ac:dyDescent="0.25">
      <c r="A732" s="4" t="s">
        <v>1413</v>
      </c>
      <c r="B732" s="4" t="str">
        <f t="shared" si="16"/>
        <v>00022021737KOVR</v>
      </c>
      <c r="C732" t="s">
        <v>639</v>
      </c>
      <c r="D732" t="s">
        <v>429</v>
      </c>
      <c r="E732" s="11">
        <v>20411454</v>
      </c>
      <c r="F732" t="s">
        <v>1639</v>
      </c>
      <c r="G732" t="s">
        <v>106</v>
      </c>
      <c r="H732" t="s">
        <v>50</v>
      </c>
      <c r="I732" s="1">
        <v>45566</v>
      </c>
      <c r="J732" s="2">
        <v>1</v>
      </c>
      <c r="K732" s="2">
        <v>1</v>
      </c>
      <c r="L732"/>
      <c r="M732" s="3">
        <v>1</v>
      </c>
      <c r="N732" s="2">
        <v>9</v>
      </c>
      <c r="O732" t="s">
        <v>567</v>
      </c>
      <c r="P732" t="s">
        <v>1581</v>
      </c>
      <c r="Q732"/>
      <c r="R732"/>
      <c r="S732"/>
      <c r="T732"/>
    </row>
    <row r="733" spans="1:20" s="6" customFormat="1" x14ac:dyDescent="0.25">
      <c r="A733" s="4" t="s">
        <v>1414</v>
      </c>
      <c r="B733" s="4" t="str">
        <f t="shared" si="16"/>
        <v>00022023339KOVR</v>
      </c>
      <c r="C733" t="s">
        <v>640</v>
      </c>
      <c r="D733" t="s">
        <v>429</v>
      </c>
      <c r="E733" s="11">
        <v>20411454</v>
      </c>
      <c r="F733" t="s">
        <v>1639</v>
      </c>
      <c r="G733" t="s">
        <v>106</v>
      </c>
      <c r="H733" t="s">
        <v>50</v>
      </c>
      <c r="I733" s="1">
        <v>45536</v>
      </c>
      <c r="J733" s="2">
        <v>1</v>
      </c>
      <c r="K733" s="2">
        <v>1</v>
      </c>
      <c r="L733"/>
      <c r="M733" s="3">
        <v>1</v>
      </c>
      <c r="N733" s="2">
        <v>9</v>
      </c>
      <c r="O733" t="s">
        <v>567</v>
      </c>
      <c r="P733" t="s">
        <v>1581</v>
      </c>
      <c r="Q733"/>
      <c r="R733"/>
      <c r="S733"/>
      <c r="T733"/>
    </row>
    <row r="734" spans="1:20" s="6" customFormat="1" x14ac:dyDescent="0.25">
      <c r="A734" s="4" t="s">
        <v>1415</v>
      </c>
      <c r="B734" s="4" t="str">
        <f t="shared" si="16"/>
        <v>00022025150KOVR</v>
      </c>
      <c r="C734" t="s">
        <v>641</v>
      </c>
      <c r="D734" t="s">
        <v>429</v>
      </c>
      <c r="E734" s="11">
        <v>20411454</v>
      </c>
      <c r="F734" t="s">
        <v>1639</v>
      </c>
      <c r="G734" t="s">
        <v>49</v>
      </c>
      <c r="H734" t="s">
        <v>50</v>
      </c>
      <c r="I734" s="1">
        <v>45566</v>
      </c>
      <c r="J734" s="2">
        <v>1</v>
      </c>
      <c r="K734" s="2">
        <v>1</v>
      </c>
      <c r="L734"/>
      <c r="M734" s="3">
        <v>1</v>
      </c>
      <c r="N734" s="2">
        <v>9</v>
      </c>
      <c r="O734" t="s">
        <v>578</v>
      </c>
      <c r="P734" t="s">
        <v>1581</v>
      </c>
      <c r="Q734"/>
      <c r="R734"/>
      <c r="S734"/>
      <c r="T734"/>
    </row>
    <row r="735" spans="1:20" s="6" customFormat="1" x14ac:dyDescent="0.25">
      <c r="A735" s="4" t="s">
        <v>1416</v>
      </c>
      <c r="B735" s="4" t="str">
        <f t="shared" ref="B735:B798" si="17">CONCATENATE(A735,"OVR")</f>
        <v>00022026537KOVR</v>
      </c>
      <c r="C735" t="s">
        <v>642</v>
      </c>
      <c r="D735" t="s">
        <v>429</v>
      </c>
      <c r="E735" s="11">
        <v>20411454</v>
      </c>
      <c r="F735" t="s">
        <v>1639</v>
      </c>
      <c r="G735" t="s">
        <v>106</v>
      </c>
      <c r="H735" t="s">
        <v>50</v>
      </c>
      <c r="I735" s="1">
        <v>45536</v>
      </c>
      <c r="J735" s="2">
        <v>1</v>
      </c>
      <c r="K735" s="2">
        <v>1</v>
      </c>
      <c r="L735"/>
      <c r="M735" s="3">
        <v>1</v>
      </c>
      <c r="N735" s="2">
        <v>9</v>
      </c>
      <c r="O735" t="s">
        <v>567</v>
      </c>
      <c r="P735" t="s">
        <v>1581</v>
      </c>
      <c r="Q735"/>
      <c r="R735"/>
      <c r="S735"/>
      <c r="T735"/>
    </row>
    <row r="736" spans="1:20" s="6" customFormat="1" x14ac:dyDescent="0.25">
      <c r="A736" s="4" t="s">
        <v>1417</v>
      </c>
      <c r="B736" s="4" t="str">
        <f t="shared" si="17"/>
        <v>00022031158KOVR</v>
      </c>
      <c r="C736" t="s">
        <v>643</v>
      </c>
      <c r="D736" t="s">
        <v>429</v>
      </c>
      <c r="E736" s="11">
        <v>20411454</v>
      </c>
      <c r="F736" t="s">
        <v>1639</v>
      </c>
      <c r="G736" t="s">
        <v>49</v>
      </c>
      <c r="H736" t="s">
        <v>50</v>
      </c>
      <c r="I736" s="1">
        <v>45566</v>
      </c>
      <c r="J736" s="2">
        <v>1</v>
      </c>
      <c r="K736" s="2">
        <v>1</v>
      </c>
      <c r="L736"/>
      <c r="M736" s="3">
        <v>1</v>
      </c>
      <c r="N736" s="2">
        <v>9</v>
      </c>
      <c r="O736" t="s">
        <v>578</v>
      </c>
      <c r="P736" t="s">
        <v>1581</v>
      </c>
      <c r="Q736"/>
      <c r="R736"/>
      <c r="S736"/>
      <c r="T736"/>
    </row>
    <row r="737" spans="1:20" s="6" customFormat="1" x14ac:dyDescent="0.25">
      <c r="A737" s="4" t="s">
        <v>1418</v>
      </c>
      <c r="B737" s="4" t="str">
        <f t="shared" si="17"/>
        <v>00022032935KOVR</v>
      </c>
      <c r="C737" t="s">
        <v>644</v>
      </c>
      <c r="D737" t="s">
        <v>429</v>
      </c>
      <c r="E737" s="11">
        <v>20411454</v>
      </c>
      <c r="F737" t="s">
        <v>1639</v>
      </c>
      <c r="G737" t="s">
        <v>49</v>
      </c>
      <c r="H737" t="s">
        <v>50</v>
      </c>
      <c r="I737" s="1">
        <v>45566</v>
      </c>
      <c r="J737" s="2">
        <v>1</v>
      </c>
      <c r="K737" s="2">
        <v>1</v>
      </c>
      <c r="L737"/>
      <c r="M737" s="3">
        <v>1</v>
      </c>
      <c r="N737" s="2">
        <v>9</v>
      </c>
      <c r="O737" t="s">
        <v>578</v>
      </c>
      <c r="P737" t="s">
        <v>1581</v>
      </c>
      <c r="Q737"/>
      <c r="R737"/>
      <c r="S737"/>
      <c r="T737"/>
    </row>
    <row r="738" spans="1:20" s="6" customFormat="1" x14ac:dyDescent="0.25">
      <c r="A738" s="4" t="s">
        <v>1419</v>
      </c>
      <c r="B738" s="4" t="str">
        <f t="shared" si="17"/>
        <v>00022033067KOVR</v>
      </c>
      <c r="C738" t="s">
        <v>645</v>
      </c>
      <c r="D738" t="s">
        <v>429</v>
      </c>
      <c r="E738" s="11">
        <v>20411454</v>
      </c>
      <c r="F738" t="s">
        <v>1639</v>
      </c>
      <c r="G738" t="s">
        <v>106</v>
      </c>
      <c r="H738" t="s">
        <v>50</v>
      </c>
      <c r="I738" s="1">
        <v>45566</v>
      </c>
      <c r="J738" s="2">
        <v>1</v>
      </c>
      <c r="K738" s="2">
        <v>1</v>
      </c>
      <c r="L738"/>
      <c r="M738" s="3">
        <v>1</v>
      </c>
      <c r="N738" s="2">
        <v>9</v>
      </c>
      <c r="O738" t="s">
        <v>567</v>
      </c>
      <c r="P738" t="s">
        <v>1581</v>
      </c>
      <c r="Q738"/>
      <c r="R738"/>
      <c r="S738"/>
      <c r="T738"/>
    </row>
    <row r="739" spans="1:20" s="6" customFormat="1" x14ac:dyDescent="0.25">
      <c r="A739" s="4" t="s">
        <v>1420</v>
      </c>
      <c r="B739" s="4" t="str">
        <f t="shared" si="17"/>
        <v>00022033172KOVR</v>
      </c>
      <c r="C739" t="s">
        <v>646</v>
      </c>
      <c r="D739" t="s">
        <v>429</v>
      </c>
      <c r="E739" s="11">
        <v>20411454</v>
      </c>
      <c r="F739" t="s">
        <v>1639</v>
      </c>
      <c r="G739" t="s">
        <v>106</v>
      </c>
      <c r="H739" t="s">
        <v>50</v>
      </c>
      <c r="I739" s="1">
        <v>45566</v>
      </c>
      <c r="J739" s="2">
        <v>1</v>
      </c>
      <c r="K739" s="2">
        <v>1</v>
      </c>
      <c r="L739"/>
      <c r="M739" s="3">
        <v>1</v>
      </c>
      <c r="N739" s="2">
        <v>9</v>
      </c>
      <c r="O739" t="s">
        <v>567</v>
      </c>
      <c r="P739" t="s">
        <v>1581</v>
      </c>
      <c r="Q739"/>
      <c r="R739"/>
      <c r="S739"/>
      <c r="T739"/>
    </row>
    <row r="740" spans="1:20" s="6" customFormat="1" x14ac:dyDescent="0.25">
      <c r="A740" s="4" t="s">
        <v>1421</v>
      </c>
      <c r="B740" s="4" t="str">
        <f t="shared" si="17"/>
        <v>00022035242KOVR</v>
      </c>
      <c r="C740" t="s">
        <v>647</v>
      </c>
      <c r="D740" t="s">
        <v>429</v>
      </c>
      <c r="E740" s="11">
        <v>20411454</v>
      </c>
      <c r="F740" t="s">
        <v>1639</v>
      </c>
      <c r="G740" t="s">
        <v>49</v>
      </c>
      <c r="H740" t="s">
        <v>50</v>
      </c>
      <c r="I740" s="1">
        <v>45566</v>
      </c>
      <c r="J740" s="2">
        <v>1</v>
      </c>
      <c r="K740" s="2">
        <v>1</v>
      </c>
      <c r="L740"/>
      <c r="M740" s="3">
        <v>1</v>
      </c>
      <c r="N740" s="2">
        <v>9</v>
      </c>
      <c r="O740" t="s">
        <v>578</v>
      </c>
      <c r="P740" t="s">
        <v>1581</v>
      </c>
      <c r="Q740"/>
      <c r="R740"/>
      <c r="S740"/>
      <c r="T740"/>
    </row>
    <row r="741" spans="1:20" s="6" customFormat="1" x14ac:dyDescent="0.25">
      <c r="A741" s="4" t="s">
        <v>1422</v>
      </c>
      <c r="B741" s="4" t="str">
        <f t="shared" si="17"/>
        <v>00022040894KOVR</v>
      </c>
      <c r="C741" t="s">
        <v>648</v>
      </c>
      <c r="D741" t="s">
        <v>429</v>
      </c>
      <c r="E741" s="11">
        <v>20411454</v>
      </c>
      <c r="F741" t="s">
        <v>1639</v>
      </c>
      <c r="G741" t="s">
        <v>49</v>
      </c>
      <c r="H741" t="s">
        <v>50</v>
      </c>
      <c r="I741" s="1">
        <v>45566</v>
      </c>
      <c r="J741" s="2">
        <v>1</v>
      </c>
      <c r="K741" s="2">
        <v>1</v>
      </c>
      <c r="L741"/>
      <c r="M741" s="3">
        <v>1</v>
      </c>
      <c r="N741" s="2">
        <v>9</v>
      </c>
      <c r="O741" t="s">
        <v>578</v>
      </c>
      <c r="P741" t="s">
        <v>1581</v>
      </c>
      <c r="Q741"/>
      <c r="R741"/>
      <c r="S741"/>
      <c r="T741"/>
    </row>
    <row r="742" spans="1:20" s="6" customFormat="1" x14ac:dyDescent="0.25">
      <c r="A742" s="4" t="s">
        <v>1423</v>
      </c>
      <c r="B742" s="4" t="str">
        <f t="shared" si="17"/>
        <v>00022049020KOVR</v>
      </c>
      <c r="C742" t="s">
        <v>649</v>
      </c>
      <c r="D742" t="s">
        <v>429</v>
      </c>
      <c r="E742" s="11">
        <v>20411454</v>
      </c>
      <c r="F742" t="s">
        <v>1639</v>
      </c>
      <c r="G742" t="s">
        <v>49</v>
      </c>
      <c r="H742" t="s">
        <v>50</v>
      </c>
      <c r="I742" s="1">
        <v>45627</v>
      </c>
      <c r="J742" s="2">
        <v>1</v>
      </c>
      <c r="K742" s="2">
        <v>1</v>
      </c>
      <c r="L742"/>
      <c r="M742" s="3">
        <v>1</v>
      </c>
      <c r="N742" s="2">
        <v>9</v>
      </c>
      <c r="O742" t="s">
        <v>567</v>
      </c>
      <c r="P742" t="s">
        <v>1581</v>
      </c>
      <c r="Q742"/>
      <c r="R742"/>
      <c r="S742"/>
      <c r="T742"/>
    </row>
    <row r="743" spans="1:20" s="6" customFormat="1" x14ac:dyDescent="0.25">
      <c r="A743" s="4" t="s">
        <v>1424</v>
      </c>
      <c r="B743" s="4" t="str">
        <f t="shared" si="17"/>
        <v>00022052067KOVR</v>
      </c>
      <c r="C743" t="s">
        <v>650</v>
      </c>
      <c r="D743" t="s">
        <v>429</v>
      </c>
      <c r="E743" s="11">
        <v>20411454</v>
      </c>
      <c r="F743" t="s">
        <v>1639</v>
      </c>
      <c r="G743" t="s">
        <v>49</v>
      </c>
      <c r="H743" t="s">
        <v>50</v>
      </c>
      <c r="I743" s="1">
        <v>45566</v>
      </c>
      <c r="J743" s="2">
        <v>1</v>
      </c>
      <c r="K743" s="2">
        <v>1</v>
      </c>
      <c r="L743"/>
      <c r="M743" s="3">
        <v>1</v>
      </c>
      <c r="N743" s="2">
        <v>9</v>
      </c>
      <c r="O743" t="s">
        <v>578</v>
      </c>
      <c r="P743" t="s">
        <v>1581</v>
      </c>
      <c r="Q743"/>
      <c r="R743"/>
      <c r="S743"/>
      <c r="T743"/>
    </row>
    <row r="744" spans="1:20" s="6" customFormat="1" x14ac:dyDescent="0.25">
      <c r="A744" s="4" t="s">
        <v>1425</v>
      </c>
      <c r="B744" s="4" t="str">
        <f t="shared" si="17"/>
        <v>00022063091KOVR</v>
      </c>
      <c r="C744" t="s">
        <v>651</v>
      </c>
      <c r="D744" t="s">
        <v>429</v>
      </c>
      <c r="E744" s="11">
        <v>20411454</v>
      </c>
      <c r="F744" t="s">
        <v>1639</v>
      </c>
      <c r="G744" t="s">
        <v>49</v>
      </c>
      <c r="H744" t="s">
        <v>50</v>
      </c>
      <c r="I744" s="1">
        <v>45566</v>
      </c>
      <c r="J744" s="2">
        <v>1</v>
      </c>
      <c r="K744" s="2">
        <v>1</v>
      </c>
      <c r="L744"/>
      <c r="M744" s="3">
        <v>1</v>
      </c>
      <c r="N744" s="2">
        <v>9</v>
      </c>
      <c r="O744" t="s">
        <v>567</v>
      </c>
      <c r="P744" t="s">
        <v>1581</v>
      </c>
      <c r="Q744"/>
      <c r="R744"/>
      <c r="S744"/>
      <c r="T744"/>
    </row>
    <row r="745" spans="1:20" s="6" customFormat="1" x14ac:dyDescent="0.25">
      <c r="A745" s="4" t="s">
        <v>1426</v>
      </c>
      <c r="B745" s="4" t="str">
        <f t="shared" si="17"/>
        <v>00022063543KOVR</v>
      </c>
      <c r="C745" t="s">
        <v>652</v>
      </c>
      <c r="D745" t="s">
        <v>429</v>
      </c>
      <c r="E745" s="11">
        <v>20411454</v>
      </c>
      <c r="F745" t="s">
        <v>1639</v>
      </c>
      <c r="G745" t="s">
        <v>49</v>
      </c>
      <c r="H745" t="s">
        <v>50</v>
      </c>
      <c r="I745" s="1">
        <v>45566</v>
      </c>
      <c r="J745" s="2">
        <v>1</v>
      </c>
      <c r="K745" s="2">
        <v>1</v>
      </c>
      <c r="L745"/>
      <c r="M745" s="3">
        <v>1</v>
      </c>
      <c r="N745" s="2">
        <v>9</v>
      </c>
      <c r="O745" t="s">
        <v>567</v>
      </c>
      <c r="P745" t="s">
        <v>1581</v>
      </c>
      <c r="Q745"/>
      <c r="R745"/>
      <c r="S745"/>
      <c r="T745"/>
    </row>
    <row r="746" spans="1:20" s="6" customFormat="1" x14ac:dyDescent="0.25">
      <c r="A746" s="4" t="s">
        <v>1427</v>
      </c>
      <c r="B746" s="4" t="str">
        <f t="shared" si="17"/>
        <v>00022070044KOVR</v>
      </c>
      <c r="C746" t="s">
        <v>653</v>
      </c>
      <c r="D746" t="s">
        <v>429</v>
      </c>
      <c r="E746" s="11">
        <v>20411454</v>
      </c>
      <c r="F746" t="s">
        <v>1639</v>
      </c>
      <c r="G746" t="s">
        <v>49</v>
      </c>
      <c r="H746" t="s">
        <v>50</v>
      </c>
      <c r="I746" s="1">
        <v>45597</v>
      </c>
      <c r="J746" s="2">
        <v>1</v>
      </c>
      <c r="K746" s="2">
        <v>1</v>
      </c>
      <c r="L746"/>
      <c r="M746" s="3">
        <v>1</v>
      </c>
      <c r="N746" s="2">
        <v>9</v>
      </c>
      <c r="O746" t="s">
        <v>567</v>
      </c>
      <c r="P746" t="s">
        <v>1581</v>
      </c>
      <c r="Q746"/>
      <c r="R746"/>
      <c r="S746"/>
      <c r="T746"/>
    </row>
    <row r="747" spans="1:20" s="6" customFormat="1" x14ac:dyDescent="0.25">
      <c r="A747" s="4" t="s">
        <v>1428</v>
      </c>
      <c r="B747" s="4" t="str">
        <f t="shared" si="17"/>
        <v>00022074715KOVR</v>
      </c>
      <c r="C747" t="s">
        <v>654</v>
      </c>
      <c r="D747" t="s">
        <v>429</v>
      </c>
      <c r="E747" s="11">
        <v>20411454</v>
      </c>
      <c r="F747" t="s">
        <v>1639</v>
      </c>
      <c r="G747" t="s">
        <v>49</v>
      </c>
      <c r="H747" t="s">
        <v>50</v>
      </c>
      <c r="I747" s="1">
        <v>45627</v>
      </c>
      <c r="J747" s="2">
        <v>1</v>
      </c>
      <c r="K747" s="2">
        <v>1</v>
      </c>
      <c r="L747"/>
      <c r="M747" s="3">
        <v>1</v>
      </c>
      <c r="N747" s="2">
        <v>9</v>
      </c>
      <c r="O747" t="s">
        <v>567</v>
      </c>
      <c r="P747" t="s">
        <v>1581</v>
      </c>
      <c r="Q747"/>
      <c r="R747"/>
      <c r="S747"/>
      <c r="T747"/>
    </row>
    <row r="748" spans="1:20" s="6" customFormat="1" x14ac:dyDescent="0.25">
      <c r="A748" s="4" t="s">
        <v>1429</v>
      </c>
      <c r="B748" s="4" t="str">
        <f t="shared" si="17"/>
        <v>00022077041KOVR</v>
      </c>
      <c r="C748" t="s">
        <v>655</v>
      </c>
      <c r="D748" t="s">
        <v>429</v>
      </c>
      <c r="E748" s="11">
        <v>20411454</v>
      </c>
      <c r="F748" t="s">
        <v>1639</v>
      </c>
      <c r="G748" t="s">
        <v>49</v>
      </c>
      <c r="H748" t="s">
        <v>50</v>
      </c>
      <c r="I748" s="1">
        <v>45566</v>
      </c>
      <c r="J748" s="2">
        <v>1</v>
      </c>
      <c r="K748" s="2">
        <v>1</v>
      </c>
      <c r="L748"/>
      <c r="M748" s="3">
        <v>1</v>
      </c>
      <c r="N748" s="2">
        <v>9</v>
      </c>
      <c r="O748" t="s">
        <v>567</v>
      </c>
      <c r="P748" t="s">
        <v>1581</v>
      </c>
      <c r="Q748"/>
      <c r="R748"/>
      <c r="S748"/>
      <c r="T748"/>
    </row>
    <row r="749" spans="1:20" s="6" customFormat="1" x14ac:dyDescent="0.25">
      <c r="A749" s="4" t="s">
        <v>1430</v>
      </c>
      <c r="B749" s="4" t="str">
        <f t="shared" si="17"/>
        <v>00022077277KOVR</v>
      </c>
      <c r="C749" t="s">
        <v>656</v>
      </c>
      <c r="D749" t="s">
        <v>429</v>
      </c>
      <c r="E749" s="11">
        <v>20411454</v>
      </c>
      <c r="F749" t="s">
        <v>1639</v>
      </c>
      <c r="G749" t="s">
        <v>49</v>
      </c>
      <c r="H749" t="s">
        <v>50</v>
      </c>
      <c r="I749" s="1">
        <v>45566</v>
      </c>
      <c r="J749" s="2">
        <v>1</v>
      </c>
      <c r="K749" s="2">
        <v>1</v>
      </c>
      <c r="L749"/>
      <c r="M749" s="3">
        <v>1</v>
      </c>
      <c r="N749" s="2">
        <v>9</v>
      </c>
      <c r="O749" t="s">
        <v>567</v>
      </c>
      <c r="P749" t="s">
        <v>1581</v>
      </c>
      <c r="Q749"/>
      <c r="R749"/>
      <c r="S749"/>
      <c r="T749"/>
    </row>
    <row r="750" spans="1:20" s="6" customFormat="1" x14ac:dyDescent="0.25">
      <c r="A750" s="4" t="s">
        <v>1431</v>
      </c>
      <c r="B750" s="4" t="str">
        <f t="shared" si="17"/>
        <v>00022078841KOVR</v>
      </c>
      <c r="C750" t="s">
        <v>657</v>
      </c>
      <c r="D750" t="s">
        <v>429</v>
      </c>
      <c r="E750" s="11">
        <v>20411454</v>
      </c>
      <c r="F750" t="s">
        <v>1639</v>
      </c>
      <c r="G750" t="s">
        <v>49</v>
      </c>
      <c r="H750" t="s">
        <v>50</v>
      </c>
      <c r="I750" s="1">
        <v>45627</v>
      </c>
      <c r="J750" s="2">
        <v>1</v>
      </c>
      <c r="K750" s="2">
        <v>1</v>
      </c>
      <c r="L750"/>
      <c r="M750" s="3">
        <v>1</v>
      </c>
      <c r="N750" s="2">
        <v>9</v>
      </c>
      <c r="O750" t="s">
        <v>567</v>
      </c>
      <c r="P750" t="s">
        <v>1581</v>
      </c>
      <c r="Q750"/>
      <c r="R750"/>
      <c r="S750"/>
      <c r="T750"/>
    </row>
    <row r="751" spans="1:20" s="6" customFormat="1" x14ac:dyDescent="0.25">
      <c r="A751" s="4" t="s">
        <v>1432</v>
      </c>
      <c r="B751" s="4" t="str">
        <f t="shared" si="17"/>
        <v>00022082807KOVR</v>
      </c>
      <c r="C751" t="s">
        <v>658</v>
      </c>
      <c r="D751" t="s">
        <v>429</v>
      </c>
      <c r="E751" s="11">
        <v>20411454</v>
      </c>
      <c r="F751" t="s">
        <v>1639</v>
      </c>
      <c r="G751" t="s">
        <v>49</v>
      </c>
      <c r="H751" t="s">
        <v>50</v>
      </c>
      <c r="I751" s="1">
        <v>45566</v>
      </c>
      <c r="J751" s="2">
        <v>1</v>
      </c>
      <c r="K751" s="2">
        <v>1</v>
      </c>
      <c r="L751"/>
      <c r="M751" s="3">
        <v>1</v>
      </c>
      <c r="N751" s="2">
        <v>9</v>
      </c>
      <c r="O751" t="s">
        <v>567</v>
      </c>
      <c r="P751" t="s">
        <v>1581</v>
      </c>
      <c r="Q751"/>
      <c r="R751"/>
      <c r="S751"/>
      <c r="T751"/>
    </row>
    <row r="752" spans="1:20" s="6" customFormat="1" x14ac:dyDescent="0.25">
      <c r="A752" s="4" t="s">
        <v>1433</v>
      </c>
      <c r="B752" s="4" t="str">
        <f t="shared" si="17"/>
        <v>00022083688KOVR</v>
      </c>
      <c r="C752" t="s">
        <v>659</v>
      </c>
      <c r="D752" t="s">
        <v>429</v>
      </c>
      <c r="E752" s="11">
        <v>20411454</v>
      </c>
      <c r="F752" t="s">
        <v>1639</v>
      </c>
      <c r="G752" t="s">
        <v>49</v>
      </c>
      <c r="H752" t="s">
        <v>50</v>
      </c>
      <c r="I752" s="1">
        <v>45566</v>
      </c>
      <c r="J752" s="2">
        <v>1</v>
      </c>
      <c r="K752" s="2">
        <v>1</v>
      </c>
      <c r="L752"/>
      <c r="M752" s="3">
        <v>1</v>
      </c>
      <c r="N752" s="2">
        <v>9</v>
      </c>
      <c r="O752" t="s">
        <v>567</v>
      </c>
      <c r="P752" t="s">
        <v>1581</v>
      </c>
      <c r="Q752"/>
      <c r="R752"/>
      <c r="S752"/>
      <c r="T752"/>
    </row>
    <row r="753" spans="1:20" s="6" customFormat="1" x14ac:dyDescent="0.25">
      <c r="A753" s="4" t="s">
        <v>1434</v>
      </c>
      <c r="B753" s="4" t="str">
        <f t="shared" si="17"/>
        <v>00022084599KOVR</v>
      </c>
      <c r="C753" t="s">
        <v>660</v>
      </c>
      <c r="D753" t="s">
        <v>429</v>
      </c>
      <c r="E753" s="11">
        <v>20411454</v>
      </c>
      <c r="F753" t="s">
        <v>1639</v>
      </c>
      <c r="G753" t="s">
        <v>49</v>
      </c>
      <c r="H753" t="s">
        <v>50</v>
      </c>
      <c r="I753" s="1">
        <v>45566</v>
      </c>
      <c r="J753" s="2">
        <v>1</v>
      </c>
      <c r="K753" s="2">
        <v>1</v>
      </c>
      <c r="L753"/>
      <c r="M753" s="3">
        <v>1</v>
      </c>
      <c r="N753" s="2">
        <v>9</v>
      </c>
      <c r="O753" t="s">
        <v>567</v>
      </c>
      <c r="P753" t="s">
        <v>1581</v>
      </c>
      <c r="Q753"/>
      <c r="R753"/>
      <c r="S753"/>
      <c r="T753"/>
    </row>
    <row r="754" spans="1:20" s="6" customFormat="1" x14ac:dyDescent="0.25">
      <c r="A754" s="4" t="s">
        <v>1435</v>
      </c>
      <c r="B754" s="4" t="str">
        <f t="shared" si="17"/>
        <v>00022085271KOVR</v>
      </c>
      <c r="C754" t="s">
        <v>661</v>
      </c>
      <c r="D754" t="s">
        <v>429</v>
      </c>
      <c r="E754" s="11">
        <v>20411454</v>
      </c>
      <c r="F754" t="s">
        <v>1639</v>
      </c>
      <c r="G754" t="s">
        <v>49</v>
      </c>
      <c r="H754" t="s">
        <v>50</v>
      </c>
      <c r="I754" s="1">
        <v>45597</v>
      </c>
      <c r="J754" s="2">
        <v>1</v>
      </c>
      <c r="K754" s="2">
        <v>1</v>
      </c>
      <c r="L754"/>
      <c r="M754" s="3">
        <v>1</v>
      </c>
      <c r="N754" s="2">
        <v>9</v>
      </c>
      <c r="O754" t="s">
        <v>567</v>
      </c>
      <c r="P754" t="s">
        <v>1581</v>
      </c>
      <c r="Q754"/>
      <c r="R754"/>
      <c r="S754"/>
      <c r="T754"/>
    </row>
    <row r="755" spans="1:20" s="6" customFormat="1" x14ac:dyDescent="0.25">
      <c r="A755" s="4" t="s">
        <v>1436</v>
      </c>
      <c r="B755" s="4" t="str">
        <f t="shared" si="17"/>
        <v>00022085971KOVR</v>
      </c>
      <c r="C755" t="s">
        <v>662</v>
      </c>
      <c r="D755" t="s">
        <v>429</v>
      </c>
      <c r="E755" s="11">
        <v>20411454</v>
      </c>
      <c r="F755" t="s">
        <v>1639</v>
      </c>
      <c r="G755" t="s">
        <v>49</v>
      </c>
      <c r="H755" t="s">
        <v>50</v>
      </c>
      <c r="I755" s="1">
        <v>45566</v>
      </c>
      <c r="J755" s="2">
        <v>1</v>
      </c>
      <c r="K755" s="2">
        <v>1</v>
      </c>
      <c r="L755"/>
      <c r="M755" s="3">
        <v>1</v>
      </c>
      <c r="N755" s="2">
        <v>9</v>
      </c>
      <c r="O755" t="s">
        <v>567</v>
      </c>
      <c r="P755" t="s">
        <v>1581</v>
      </c>
      <c r="Q755"/>
      <c r="R755"/>
      <c r="S755"/>
      <c r="T755"/>
    </row>
    <row r="756" spans="1:20" s="6" customFormat="1" x14ac:dyDescent="0.25">
      <c r="A756" s="4" t="s">
        <v>1437</v>
      </c>
      <c r="B756" s="4" t="str">
        <f t="shared" si="17"/>
        <v>00022087983KOVR</v>
      </c>
      <c r="C756" t="s">
        <v>663</v>
      </c>
      <c r="D756" t="s">
        <v>429</v>
      </c>
      <c r="E756" s="11">
        <v>20411454</v>
      </c>
      <c r="F756" t="s">
        <v>1639</v>
      </c>
      <c r="G756" t="s">
        <v>49</v>
      </c>
      <c r="H756" t="s">
        <v>50</v>
      </c>
      <c r="I756" s="1">
        <v>45566</v>
      </c>
      <c r="J756" s="2">
        <v>1</v>
      </c>
      <c r="K756" s="2">
        <v>1</v>
      </c>
      <c r="L756"/>
      <c r="M756" s="3">
        <v>1</v>
      </c>
      <c r="N756" s="2">
        <v>9</v>
      </c>
      <c r="O756" t="s">
        <v>567</v>
      </c>
      <c r="P756" t="s">
        <v>1581</v>
      </c>
      <c r="Q756"/>
      <c r="R756"/>
      <c r="S756"/>
      <c r="T756"/>
    </row>
    <row r="757" spans="1:20" s="6" customFormat="1" x14ac:dyDescent="0.25">
      <c r="A757" s="4" t="s">
        <v>1438</v>
      </c>
      <c r="B757" s="4" t="str">
        <f t="shared" si="17"/>
        <v>00022088151KOVR</v>
      </c>
      <c r="C757" t="s">
        <v>664</v>
      </c>
      <c r="D757" t="s">
        <v>429</v>
      </c>
      <c r="E757" s="11">
        <v>20411454</v>
      </c>
      <c r="F757" t="s">
        <v>1639</v>
      </c>
      <c r="G757" t="s">
        <v>49</v>
      </c>
      <c r="H757" t="s">
        <v>50</v>
      </c>
      <c r="I757" s="1">
        <v>45566</v>
      </c>
      <c r="J757" s="2">
        <v>1</v>
      </c>
      <c r="K757" s="2">
        <v>1</v>
      </c>
      <c r="L757"/>
      <c r="M757" s="3">
        <v>1</v>
      </c>
      <c r="N757" s="2">
        <v>9</v>
      </c>
      <c r="O757" t="s">
        <v>567</v>
      </c>
      <c r="P757" t="s">
        <v>1581</v>
      </c>
      <c r="Q757"/>
      <c r="R757"/>
      <c r="S757"/>
      <c r="T757"/>
    </row>
    <row r="758" spans="1:20" s="6" customFormat="1" x14ac:dyDescent="0.25">
      <c r="A758" s="4" t="s">
        <v>1439</v>
      </c>
      <c r="B758" s="4" t="str">
        <f t="shared" si="17"/>
        <v>00022092926KOVR</v>
      </c>
      <c r="C758" t="s">
        <v>665</v>
      </c>
      <c r="D758" t="s">
        <v>429</v>
      </c>
      <c r="E758" s="11">
        <v>20411454</v>
      </c>
      <c r="F758" t="s">
        <v>1639</v>
      </c>
      <c r="G758" t="s">
        <v>49</v>
      </c>
      <c r="H758" t="s">
        <v>50</v>
      </c>
      <c r="I758" s="1">
        <v>45566</v>
      </c>
      <c r="J758" s="2">
        <v>1</v>
      </c>
      <c r="K758" s="2">
        <v>1</v>
      </c>
      <c r="L758"/>
      <c r="M758" s="3">
        <v>1</v>
      </c>
      <c r="N758" s="2">
        <v>9</v>
      </c>
      <c r="O758" t="s">
        <v>567</v>
      </c>
      <c r="P758" t="s">
        <v>1581</v>
      </c>
      <c r="Q758"/>
      <c r="R758"/>
      <c r="S758"/>
      <c r="T758"/>
    </row>
    <row r="759" spans="1:20" s="6" customFormat="1" x14ac:dyDescent="0.25">
      <c r="A759" s="4" t="s">
        <v>1440</v>
      </c>
      <c r="B759" s="4" t="str">
        <f t="shared" si="17"/>
        <v>00022094729KOVR</v>
      </c>
      <c r="C759" t="s">
        <v>666</v>
      </c>
      <c r="D759" t="s">
        <v>429</v>
      </c>
      <c r="E759" s="11">
        <v>20411454</v>
      </c>
      <c r="F759" t="s">
        <v>1639</v>
      </c>
      <c r="G759" t="s">
        <v>49</v>
      </c>
      <c r="H759" t="s">
        <v>50</v>
      </c>
      <c r="I759" s="1">
        <v>45597</v>
      </c>
      <c r="J759" s="2">
        <v>1</v>
      </c>
      <c r="K759" s="2">
        <v>1</v>
      </c>
      <c r="L759"/>
      <c r="M759" s="3">
        <v>1</v>
      </c>
      <c r="N759" s="2">
        <v>9</v>
      </c>
      <c r="O759" t="s">
        <v>578</v>
      </c>
      <c r="P759" t="s">
        <v>1581</v>
      </c>
      <c r="Q759"/>
      <c r="R759"/>
      <c r="S759"/>
      <c r="T759"/>
    </row>
    <row r="760" spans="1:20" s="6" customFormat="1" x14ac:dyDescent="0.25">
      <c r="A760" s="4" t="s">
        <v>1441</v>
      </c>
      <c r="B760" s="4" t="str">
        <f t="shared" si="17"/>
        <v>00022094985KOVR</v>
      </c>
      <c r="C760" t="s">
        <v>667</v>
      </c>
      <c r="D760" t="s">
        <v>429</v>
      </c>
      <c r="E760" s="11">
        <v>20411454</v>
      </c>
      <c r="F760" t="s">
        <v>1639</v>
      </c>
      <c r="G760" t="s">
        <v>49</v>
      </c>
      <c r="H760" t="s">
        <v>50</v>
      </c>
      <c r="I760" s="1">
        <v>45597</v>
      </c>
      <c r="J760" s="2">
        <v>1</v>
      </c>
      <c r="K760" s="2">
        <v>1</v>
      </c>
      <c r="L760"/>
      <c r="M760" s="3">
        <v>1</v>
      </c>
      <c r="N760" s="2">
        <v>9</v>
      </c>
      <c r="O760" t="s">
        <v>578</v>
      </c>
      <c r="P760" t="s">
        <v>1581</v>
      </c>
      <c r="Q760"/>
      <c r="R760"/>
      <c r="S760"/>
      <c r="T760"/>
    </row>
    <row r="761" spans="1:20" s="6" customFormat="1" x14ac:dyDescent="0.25">
      <c r="A761" s="4" t="s">
        <v>1442</v>
      </c>
      <c r="B761" s="4" t="str">
        <f t="shared" si="17"/>
        <v>00022094990KOVR</v>
      </c>
      <c r="C761" t="s">
        <v>668</v>
      </c>
      <c r="D761" t="s">
        <v>429</v>
      </c>
      <c r="E761" s="11">
        <v>20411454</v>
      </c>
      <c r="F761" t="s">
        <v>1639</v>
      </c>
      <c r="G761" t="s">
        <v>49</v>
      </c>
      <c r="H761" t="s">
        <v>50</v>
      </c>
      <c r="I761" s="1">
        <v>45566</v>
      </c>
      <c r="J761" s="2">
        <v>1</v>
      </c>
      <c r="K761" s="2">
        <v>1</v>
      </c>
      <c r="L761"/>
      <c r="M761" s="3">
        <v>1</v>
      </c>
      <c r="N761" s="2">
        <v>9</v>
      </c>
      <c r="O761" t="s">
        <v>567</v>
      </c>
      <c r="P761" t="s">
        <v>1581</v>
      </c>
      <c r="Q761"/>
      <c r="R761"/>
      <c r="S761"/>
      <c r="T761"/>
    </row>
    <row r="762" spans="1:20" s="6" customFormat="1" x14ac:dyDescent="0.25">
      <c r="A762" s="4" t="s">
        <v>1443</v>
      </c>
      <c r="B762" s="4" t="str">
        <f t="shared" si="17"/>
        <v>00022095955KOVR</v>
      </c>
      <c r="C762" t="s">
        <v>669</v>
      </c>
      <c r="D762" t="s">
        <v>429</v>
      </c>
      <c r="E762" s="11">
        <v>20411454</v>
      </c>
      <c r="F762" t="s">
        <v>1639</v>
      </c>
      <c r="G762" t="s">
        <v>49</v>
      </c>
      <c r="H762" t="s">
        <v>50</v>
      </c>
      <c r="I762" s="1">
        <v>45597</v>
      </c>
      <c r="J762" s="2">
        <v>1</v>
      </c>
      <c r="K762" s="2">
        <v>1</v>
      </c>
      <c r="L762"/>
      <c r="M762" s="3">
        <v>1</v>
      </c>
      <c r="N762" s="2">
        <v>9</v>
      </c>
      <c r="O762" t="s">
        <v>578</v>
      </c>
      <c r="P762" t="s">
        <v>1581</v>
      </c>
      <c r="Q762"/>
      <c r="R762"/>
      <c r="S762"/>
      <c r="T762"/>
    </row>
    <row r="763" spans="1:20" s="6" customFormat="1" x14ac:dyDescent="0.25">
      <c r="A763" s="4" t="s">
        <v>1444</v>
      </c>
      <c r="B763" s="4" t="str">
        <f t="shared" si="17"/>
        <v>00022096948KOVR</v>
      </c>
      <c r="C763" t="s">
        <v>670</v>
      </c>
      <c r="D763" t="s">
        <v>429</v>
      </c>
      <c r="E763" s="11">
        <v>20411454</v>
      </c>
      <c r="F763" t="s">
        <v>1639</v>
      </c>
      <c r="G763" t="s">
        <v>49</v>
      </c>
      <c r="H763" t="s">
        <v>50</v>
      </c>
      <c r="I763" s="1">
        <v>45597</v>
      </c>
      <c r="J763" s="2">
        <v>1</v>
      </c>
      <c r="K763" s="2">
        <v>1</v>
      </c>
      <c r="L763"/>
      <c r="M763" s="3">
        <v>1</v>
      </c>
      <c r="N763" s="2">
        <v>9</v>
      </c>
      <c r="O763" t="s">
        <v>578</v>
      </c>
      <c r="P763" t="s">
        <v>1581</v>
      </c>
      <c r="Q763"/>
      <c r="R763"/>
      <c r="S763"/>
      <c r="T763"/>
    </row>
    <row r="764" spans="1:20" s="6" customFormat="1" x14ac:dyDescent="0.25">
      <c r="A764" s="4" t="s">
        <v>1445</v>
      </c>
      <c r="B764" s="4" t="str">
        <f t="shared" si="17"/>
        <v>00022097947KOVR</v>
      </c>
      <c r="C764" t="s">
        <v>671</v>
      </c>
      <c r="D764" t="s">
        <v>429</v>
      </c>
      <c r="E764" s="11">
        <v>20411454</v>
      </c>
      <c r="F764" t="s">
        <v>1639</v>
      </c>
      <c r="G764" t="s">
        <v>49</v>
      </c>
      <c r="H764" t="s">
        <v>50</v>
      </c>
      <c r="I764" s="1">
        <v>45597</v>
      </c>
      <c r="J764" s="2">
        <v>1</v>
      </c>
      <c r="K764" s="2">
        <v>1</v>
      </c>
      <c r="L764"/>
      <c r="M764" s="3">
        <v>1</v>
      </c>
      <c r="N764" s="2">
        <v>9</v>
      </c>
      <c r="O764" t="s">
        <v>578</v>
      </c>
      <c r="P764" t="s">
        <v>1581</v>
      </c>
      <c r="Q764"/>
      <c r="R764"/>
      <c r="S764"/>
      <c r="T764"/>
    </row>
    <row r="765" spans="1:20" s="6" customFormat="1" x14ac:dyDescent="0.25">
      <c r="A765" s="4" t="s">
        <v>1446</v>
      </c>
      <c r="B765" s="4" t="str">
        <f t="shared" si="17"/>
        <v>00022106958KOVR</v>
      </c>
      <c r="C765" t="s">
        <v>672</v>
      </c>
      <c r="D765" t="s">
        <v>429</v>
      </c>
      <c r="E765" s="11">
        <v>20411454</v>
      </c>
      <c r="F765" t="s">
        <v>1639</v>
      </c>
      <c r="G765" t="s">
        <v>49</v>
      </c>
      <c r="H765" t="s">
        <v>50</v>
      </c>
      <c r="I765" s="1">
        <v>45627</v>
      </c>
      <c r="J765" s="2">
        <v>1</v>
      </c>
      <c r="K765" s="2">
        <v>1</v>
      </c>
      <c r="L765"/>
      <c r="M765" s="3">
        <v>1</v>
      </c>
      <c r="N765" s="2">
        <v>9</v>
      </c>
      <c r="O765" t="s">
        <v>567</v>
      </c>
      <c r="P765" t="s">
        <v>1581</v>
      </c>
      <c r="Q765"/>
      <c r="R765"/>
      <c r="S765"/>
      <c r="T765"/>
    </row>
    <row r="766" spans="1:20" s="6" customFormat="1" x14ac:dyDescent="0.25">
      <c r="A766" s="4" t="s">
        <v>1447</v>
      </c>
      <c r="B766" s="4" t="str">
        <f t="shared" si="17"/>
        <v>00022107554KOVR</v>
      </c>
      <c r="C766" t="s">
        <v>673</v>
      </c>
      <c r="D766" t="s">
        <v>429</v>
      </c>
      <c r="E766" s="11">
        <v>20411454</v>
      </c>
      <c r="F766" t="s">
        <v>1639</v>
      </c>
      <c r="G766" t="s">
        <v>49</v>
      </c>
      <c r="H766" t="s">
        <v>50</v>
      </c>
      <c r="I766" s="1">
        <v>45566</v>
      </c>
      <c r="J766" s="2">
        <v>1</v>
      </c>
      <c r="K766" s="2">
        <v>1</v>
      </c>
      <c r="L766"/>
      <c r="M766" s="3">
        <v>1</v>
      </c>
      <c r="N766" s="2">
        <v>9</v>
      </c>
      <c r="O766" t="s">
        <v>567</v>
      </c>
      <c r="P766" t="s">
        <v>1581</v>
      </c>
      <c r="Q766"/>
      <c r="R766"/>
      <c r="S766"/>
      <c r="T766"/>
    </row>
    <row r="767" spans="1:20" s="6" customFormat="1" x14ac:dyDescent="0.25">
      <c r="A767" s="4" t="s">
        <v>1448</v>
      </c>
      <c r="B767" s="4" t="str">
        <f t="shared" si="17"/>
        <v>00022112017KOVR</v>
      </c>
      <c r="C767" t="s">
        <v>674</v>
      </c>
      <c r="D767" t="s">
        <v>429</v>
      </c>
      <c r="E767" s="11">
        <v>20411454</v>
      </c>
      <c r="F767" t="s">
        <v>1639</v>
      </c>
      <c r="G767" t="s">
        <v>49</v>
      </c>
      <c r="H767" t="s">
        <v>50</v>
      </c>
      <c r="I767" s="1">
        <v>45597</v>
      </c>
      <c r="J767" s="2">
        <v>1</v>
      </c>
      <c r="K767" s="2">
        <v>1</v>
      </c>
      <c r="L767"/>
      <c r="M767" s="3">
        <v>1</v>
      </c>
      <c r="N767" s="2">
        <v>9</v>
      </c>
      <c r="O767" t="s">
        <v>567</v>
      </c>
      <c r="P767" t="s">
        <v>1581</v>
      </c>
      <c r="Q767"/>
      <c r="R767"/>
      <c r="S767"/>
      <c r="T767"/>
    </row>
    <row r="768" spans="1:20" s="6" customFormat="1" x14ac:dyDescent="0.25">
      <c r="A768" s="4" t="s">
        <v>1449</v>
      </c>
      <c r="B768" s="4" t="str">
        <f t="shared" si="17"/>
        <v>00022137026KOVR</v>
      </c>
      <c r="C768" t="s">
        <v>675</v>
      </c>
      <c r="D768" t="s">
        <v>429</v>
      </c>
      <c r="E768" s="11">
        <v>20411454</v>
      </c>
      <c r="F768" t="s">
        <v>1639</v>
      </c>
      <c r="G768" t="s">
        <v>49</v>
      </c>
      <c r="H768" t="s">
        <v>50</v>
      </c>
      <c r="I768" s="1">
        <v>45597</v>
      </c>
      <c r="J768" s="2">
        <v>1</v>
      </c>
      <c r="K768" s="2">
        <v>1</v>
      </c>
      <c r="L768"/>
      <c r="M768" s="3">
        <v>1</v>
      </c>
      <c r="N768" s="2">
        <v>9</v>
      </c>
      <c r="O768" t="s">
        <v>567</v>
      </c>
      <c r="P768" t="s">
        <v>1581</v>
      </c>
      <c r="Q768"/>
      <c r="R768"/>
      <c r="S768"/>
      <c r="T768"/>
    </row>
    <row r="769" spans="1:20" s="6" customFormat="1" x14ac:dyDescent="0.25">
      <c r="A769" s="4" t="s">
        <v>1450</v>
      </c>
      <c r="B769" s="4" t="str">
        <f t="shared" si="17"/>
        <v>00022148995KOVR</v>
      </c>
      <c r="C769" t="s">
        <v>676</v>
      </c>
      <c r="D769" t="s">
        <v>429</v>
      </c>
      <c r="E769" s="11">
        <v>20411454</v>
      </c>
      <c r="F769" t="s">
        <v>1639</v>
      </c>
      <c r="G769" t="s">
        <v>49</v>
      </c>
      <c r="H769" t="s">
        <v>50</v>
      </c>
      <c r="I769" s="1">
        <v>45597</v>
      </c>
      <c r="J769" s="2">
        <v>1</v>
      </c>
      <c r="K769" s="2">
        <v>1</v>
      </c>
      <c r="L769"/>
      <c r="M769" s="3">
        <v>1</v>
      </c>
      <c r="N769" s="2">
        <v>9</v>
      </c>
      <c r="O769" t="s">
        <v>567</v>
      </c>
      <c r="P769" t="s">
        <v>1581</v>
      </c>
      <c r="Q769"/>
      <c r="R769"/>
      <c r="S769"/>
      <c r="T769"/>
    </row>
    <row r="770" spans="1:20" s="6" customFormat="1" x14ac:dyDescent="0.25">
      <c r="A770" s="4" t="s">
        <v>1451</v>
      </c>
      <c r="B770" s="4" t="str">
        <f t="shared" si="17"/>
        <v>00022193283KOVR</v>
      </c>
      <c r="C770" t="s">
        <v>677</v>
      </c>
      <c r="D770" t="s">
        <v>429</v>
      </c>
      <c r="E770" s="11">
        <v>20411454</v>
      </c>
      <c r="F770" t="s">
        <v>1639</v>
      </c>
      <c r="G770" t="s">
        <v>49</v>
      </c>
      <c r="H770" t="s">
        <v>50</v>
      </c>
      <c r="I770" s="1">
        <v>45627</v>
      </c>
      <c r="J770" s="2">
        <v>1</v>
      </c>
      <c r="K770" s="2">
        <v>1</v>
      </c>
      <c r="L770"/>
      <c r="M770" s="3">
        <v>1</v>
      </c>
      <c r="N770" s="2">
        <v>9</v>
      </c>
      <c r="O770" t="s">
        <v>567</v>
      </c>
      <c r="P770" t="s">
        <v>1581</v>
      </c>
      <c r="Q770"/>
      <c r="R770"/>
      <c r="S770"/>
      <c r="T770"/>
    </row>
    <row r="771" spans="1:20" s="6" customFormat="1" x14ac:dyDescent="0.25">
      <c r="A771" s="4" t="s">
        <v>1452</v>
      </c>
      <c r="B771" s="4" t="str">
        <f t="shared" si="17"/>
        <v>00022198910KOVR</v>
      </c>
      <c r="C771" t="s">
        <v>678</v>
      </c>
      <c r="D771" t="s">
        <v>429</v>
      </c>
      <c r="E771" s="11">
        <v>20411454</v>
      </c>
      <c r="F771" t="s">
        <v>1639</v>
      </c>
      <c r="G771" t="s">
        <v>49</v>
      </c>
      <c r="H771" t="s">
        <v>50</v>
      </c>
      <c r="I771" s="1">
        <v>45597</v>
      </c>
      <c r="J771" s="2">
        <v>1</v>
      </c>
      <c r="K771" s="2">
        <v>1</v>
      </c>
      <c r="L771"/>
      <c r="M771" s="3">
        <v>1</v>
      </c>
      <c r="N771" s="2">
        <v>9</v>
      </c>
      <c r="O771" t="s">
        <v>567</v>
      </c>
      <c r="P771" t="s">
        <v>1581</v>
      </c>
      <c r="Q771"/>
      <c r="R771"/>
      <c r="S771"/>
      <c r="T771"/>
    </row>
    <row r="772" spans="1:20" s="6" customFormat="1" x14ac:dyDescent="0.25">
      <c r="A772" s="4" t="s">
        <v>1453</v>
      </c>
      <c r="B772" s="4" t="str">
        <f t="shared" si="17"/>
        <v>00022203514KOVR</v>
      </c>
      <c r="C772" t="s">
        <v>679</v>
      </c>
      <c r="D772" t="s">
        <v>429</v>
      </c>
      <c r="E772" s="11">
        <v>20411454</v>
      </c>
      <c r="F772" t="s">
        <v>1639</v>
      </c>
      <c r="G772" t="s">
        <v>49</v>
      </c>
      <c r="H772" t="s">
        <v>50</v>
      </c>
      <c r="I772" s="1">
        <v>45597</v>
      </c>
      <c r="J772" s="2">
        <v>1</v>
      </c>
      <c r="K772" s="2">
        <v>1</v>
      </c>
      <c r="L772"/>
      <c r="M772" s="3">
        <v>1</v>
      </c>
      <c r="N772" s="2">
        <v>9</v>
      </c>
      <c r="O772" t="s">
        <v>567</v>
      </c>
      <c r="P772" t="s">
        <v>1581</v>
      </c>
      <c r="Q772"/>
      <c r="R772"/>
      <c r="S772"/>
      <c r="T772"/>
    </row>
    <row r="773" spans="1:20" s="6" customFormat="1" x14ac:dyDescent="0.25">
      <c r="A773" s="4" t="s">
        <v>1454</v>
      </c>
      <c r="B773" s="4" t="str">
        <f t="shared" si="17"/>
        <v>00022217599KOVR</v>
      </c>
      <c r="C773" t="s">
        <v>680</v>
      </c>
      <c r="D773" t="s">
        <v>429</v>
      </c>
      <c r="E773" s="11">
        <v>20411454</v>
      </c>
      <c r="F773" t="s">
        <v>1639</v>
      </c>
      <c r="G773" t="s">
        <v>49</v>
      </c>
      <c r="H773" t="s">
        <v>50</v>
      </c>
      <c r="I773" s="1">
        <v>45566</v>
      </c>
      <c r="J773" s="2">
        <v>1</v>
      </c>
      <c r="K773" s="2">
        <v>1</v>
      </c>
      <c r="L773"/>
      <c r="M773" s="3">
        <v>1</v>
      </c>
      <c r="N773" s="2">
        <v>9</v>
      </c>
      <c r="O773" t="s">
        <v>567</v>
      </c>
      <c r="P773" t="s">
        <v>1581</v>
      </c>
      <c r="Q773"/>
      <c r="R773"/>
      <c r="S773"/>
      <c r="T773"/>
    </row>
    <row r="774" spans="1:20" s="6" customFormat="1" x14ac:dyDescent="0.25">
      <c r="A774" s="4" t="s">
        <v>1455</v>
      </c>
      <c r="B774" s="4" t="str">
        <f t="shared" si="17"/>
        <v>00022235665KOVR</v>
      </c>
      <c r="C774" t="s">
        <v>681</v>
      </c>
      <c r="D774" t="s">
        <v>429</v>
      </c>
      <c r="E774" s="11">
        <v>20411454</v>
      </c>
      <c r="F774" t="s">
        <v>1639</v>
      </c>
      <c r="G774" t="s">
        <v>49</v>
      </c>
      <c r="H774" t="s">
        <v>50</v>
      </c>
      <c r="I774" s="1">
        <v>45627</v>
      </c>
      <c r="J774" s="2">
        <v>1</v>
      </c>
      <c r="K774" s="2">
        <v>1</v>
      </c>
      <c r="L774"/>
      <c r="M774" s="3">
        <v>1</v>
      </c>
      <c r="N774" s="2">
        <v>9</v>
      </c>
      <c r="O774" t="s">
        <v>567</v>
      </c>
      <c r="P774" t="s">
        <v>1581</v>
      </c>
      <c r="Q774"/>
      <c r="R774"/>
      <c r="S774"/>
      <c r="T774"/>
    </row>
    <row r="775" spans="1:20" s="6" customFormat="1" x14ac:dyDescent="0.25">
      <c r="A775" s="4" t="s">
        <v>1456</v>
      </c>
      <c r="B775" s="4" t="str">
        <f t="shared" si="17"/>
        <v>00022241122KOVR</v>
      </c>
      <c r="C775" t="s">
        <v>682</v>
      </c>
      <c r="D775" t="s">
        <v>429</v>
      </c>
      <c r="E775" s="11">
        <v>20411454</v>
      </c>
      <c r="F775" t="s">
        <v>1639</v>
      </c>
      <c r="G775" t="s">
        <v>49</v>
      </c>
      <c r="H775" t="s">
        <v>50</v>
      </c>
      <c r="I775" s="1">
        <v>45597</v>
      </c>
      <c r="J775" s="2">
        <v>1</v>
      </c>
      <c r="K775" s="2">
        <v>1</v>
      </c>
      <c r="L775"/>
      <c r="M775" s="3">
        <v>1</v>
      </c>
      <c r="N775" s="2">
        <v>9</v>
      </c>
      <c r="O775" t="s">
        <v>567</v>
      </c>
      <c r="P775" t="s">
        <v>1581</v>
      </c>
      <c r="Q775"/>
      <c r="R775"/>
      <c r="S775"/>
      <c r="T775"/>
    </row>
    <row r="776" spans="1:20" s="6" customFormat="1" x14ac:dyDescent="0.25">
      <c r="A776" s="4" t="s">
        <v>1457</v>
      </c>
      <c r="B776" s="4" t="str">
        <f t="shared" si="17"/>
        <v>00022256745KOVR</v>
      </c>
      <c r="C776" t="s">
        <v>683</v>
      </c>
      <c r="D776" t="s">
        <v>429</v>
      </c>
      <c r="E776" s="11">
        <v>20411454</v>
      </c>
      <c r="F776" t="s">
        <v>1639</v>
      </c>
      <c r="G776" t="s">
        <v>49</v>
      </c>
      <c r="H776" t="s">
        <v>50</v>
      </c>
      <c r="I776" s="1">
        <v>45597</v>
      </c>
      <c r="J776" s="2">
        <v>1</v>
      </c>
      <c r="K776" s="2">
        <v>1</v>
      </c>
      <c r="L776"/>
      <c r="M776" s="3">
        <v>1</v>
      </c>
      <c r="N776" s="2">
        <v>9</v>
      </c>
      <c r="O776" t="s">
        <v>567</v>
      </c>
      <c r="P776" t="s">
        <v>1581</v>
      </c>
      <c r="Q776"/>
      <c r="R776"/>
      <c r="S776"/>
      <c r="T776"/>
    </row>
    <row r="777" spans="1:20" s="6" customFormat="1" x14ac:dyDescent="0.25">
      <c r="A777" s="4" t="s">
        <v>1458</v>
      </c>
      <c r="B777" s="4" t="str">
        <f t="shared" si="17"/>
        <v>00022351069KOVR</v>
      </c>
      <c r="C777" t="s">
        <v>684</v>
      </c>
      <c r="D777" t="s">
        <v>429</v>
      </c>
      <c r="E777" s="11">
        <v>20411454</v>
      </c>
      <c r="F777" t="s">
        <v>1639</v>
      </c>
      <c r="G777" t="s">
        <v>49</v>
      </c>
      <c r="H777" t="s">
        <v>50</v>
      </c>
      <c r="I777" s="1">
        <v>45597</v>
      </c>
      <c r="J777" s="2">
        <v>1</v>
      </c>
      <c r="K777" s="2">
        <v>1</v>
      </c>
      <c r="L777"/>
      <c r="M777" s="3">
        <v>1</v>
      </c>
      <c r="N777" s="2">
        <v>9</v>
      </c>
      <c r="O777" t="s">
        <v>567</v>
      </c>
      <c r="P777" t="s">
        <v>1581</v>
      </c>
      <c r="Q777"/>
      <c r="R777"/>
      <c r="S777"/>
      <c r="T777"/>
    </row>
    <row r="778" spans="1:20" s="6" customFormat="1" x14ac:dyDescent="0.25">
      <c r="A778" s="4" t="s">
        <v>1460</v>
      </c>
      <c r="B778" s="4" t="str">
        <f t="shared" si="17"/>
        <v>00022386017KOVR</v>
      </c>
      <c r="C778" t="s">
        <v>686</v>
      </c>
      <c r="D778" t="s">
        <v>429</v>
      </c>
      <c r="E778" s="11">
        <v>20411454</v>
      </c>
      <c r="F778" t="s">
        <v>1639</v>
      </c>
      <c r="G778" t="s">
        <v>49</v>
      </c>
      <c r="H778" t="s">
        <v>50</v>
      </c>
      <c r="I778" s="1">
        <v>45597</v>
      </c>
      <c r="J778" s="2">
        <v>1</v>
      </c>
      <c r="K778" s="2">
        <v>1</v>
      </c>
      <c r="L778"/>
      <c r="M778" s="3">
        <v>1</v>
      </c>
      <c r="N778" s="2">
        <v>9</v>
      </c>
      <c r="O778" t="s">
        <v>567</v>
      </c>
      <c r="P778" t="s">
        <v>1581</v>
      </c>
      <c r="Q778"/>
      <c r="R778"/>
      <c r="S778"/>
      <c r="T778"/>
    </row>
    <row r="779" spans="1:20" s="6" customFormat="1" x14ac:dyDescent="0.25">
      <c r="A779" s="4" t="s">
        <v>1461</v>
      </c>
      <c r="B779" s="4" t="str">
        <f t="shared" si="17"/>
        <v>00022406995KOVR</v>
      </c>
      <c r="C779" t="s">
        <v>687</v>
      </c>
      <c r="D779" t="s">
        <v>429</v>
      </c>
      <c r="E779" s="11">
        <v>20411454</v>
      </c>
      <c r="F779" t="s">
        <v>1639</v>
      </c>
      <c r="G779" t="s">
        <v>49</v>
      </c>
      <c r="H779" t="s">
        <v>50</v>
      </c>
      <c r="I779" s="1">
        <v>45627</v>
      </c>
      <c r="J779" s="2">
        <v>1</v>
      </c>
      <c r="K779" s="2">
        <v>1</v>
      </c>
      <c r="L779"/>
      <c r="M779" s="3">
        <v>1</v>
      </c>
      <c r="N779" s="2">
        <v>9</v>
      </c>
      <c r="O779" t="s">
        <v>567</v>
      </c>
      <c r="P779" t="s">
        <v>1581</v>
      </c>
      <c r="Q779"/>
      <c r="R779"/>
      <c r="S779"/>
      <c r="T779"/>
    </row>
    <row r="780" spans="1:20" s="6" customFormat="1" x14ac:dyDescent="0.25">
      <c r="A780" s="4" t="s">
        <v>1462</v>
      </c>
      <c r="B780" s="4" t="str">
        <f t="shared" si="17"/>
        <v>00022413863KOVR</v>
      </c>
      <c r="C780" t="s">
        <v>688</v>
      </c>
      <c r="D780" t="s">
        <v>429</v>
      </c>
      <c r="E780" s="11">
        <v>20411454</v>
      </c>
      <c r="F780" t="s">
        <v>1639</v>
      </c>
      <c r="G780" t="s">
        <v>49</v>
      </c>
      <c r="H780" t="s">
        <v>50</v>
      </c>
      <c r="I780" s="1">
        <v>45627</v>
      </c>
      <c r="J780" s="2">
        <v>1</v>
      </c>
      <c r="K780" s="2">
        <v>1</v>
      </c>
      <c r="L780"/>
      <c r="M780" s="3">
        <v>1</v>
      </c>
      <c r="N780" s="2">
        <v>9</v>
      </c>
      <c r="O780" t="s">
        <v>567</v>
      </c>
      <c r="P780" t="s">
        <v>1581</v>
      </c>
      <c r="Q780"/>
      <c r="R780"/>
      <c r="S780"/>
      <c r="T780"/>
    </row>
    <row r="781" spans="1:20" s="6" customFormat="1" x14ac:dyDescent="0.25">
      <c r="A781" s="4" t="s">
        <v>1463</v>
      </c>
      <c r="B781" s="4" t="str">
        <f t="shared" si="17"/>
        <v>00022462923KOVR</v>
      </c>
      <c r="C781" t="s">
        <v>689</v>
      </c>
      <c r="D781" t="s">
        <v>429</v>
      </c>
      <c r="E781" s="11">
        <v>20411454</v>
      </c>
      <c r="F781" t="s">
        <v>1639</v>
      </c>
      <c r="G781" t="s">
        <v>49</v>
      </c>
      <c r="H781" t="s">
        <v>50</v>
      </c>
      <c r="I781" s="1">
        <v>45627</v>
      </c>
      <c r="J781" s="2">
        <v>1</v>
      </c>
      <c r="K781" s="2">
        <v>1</v>
      </c>
      <c r="L781"/>
      <c r="M781" s="3">
        <v>1</v>
      </c>
      <c r="N781" s="2">
        <v>9</v>
      </c>
      <c r="O781" t="s">
        <v>567</v>
      </c>
      <c r="P781" t="s">
        <v>1581</v>
      </c>
      <c r="Q781"/>
      <c r="R781"/>
      <c r="S781"/>
      <c r="T781"/>
    </row>
    <row r="782" spans="1:20" s="6" customFormat="1" x14ac:dyDescent="0.25">
      <c r="A782" s="4" t="s">
        <v>1464</v>
      </c>
      <c r="B782" s="4" t="str">
        <f t="shared" si="17"/>
        <v>00022466880KOVR</v>
      </c>
      <c r="C782" t="s">
        <v>690</v>
      </c>
      <c r="D782" t="s">
        <v>429</v>
      </c>
      <c r="E782" s="11">
        <v>20411454</v>
      </c>
      <c r="F782" t="s">
        <v>1639</v>
      </c>
      <c r="G782" t="s">
        <v>49</v>
      </c>
      <c r="H782" t="s">
        <v>50</v>
      </c>
      <c r="I782" s="1">
        <v>45627</v>
      </c>
      <c r="J782" s="2">
        <v>1</v>
      </c>
      <c r="K782" s="2">
        <v>1</v>
      </c>
      <c r="L782"/>
      <c r="M782" s="3">
        <v>1</v>
      </c>
      <c r="N782" s="2">
        <v>9</v>
      </c>
      <c r="O782" t="s">
        <v>567</v>
      </c>
      <c r="P782" t="s">
        <v>1581</v>
      </c>
      <c r="Q782"/>
      <c r="R782"/>
      <c r="S782"/>
      <c r="T782"/>
    </row>
    <row r="783" spans="1:20" s="6" customFormat="1" x14ac:dyDescent="0.25">
      <c r="A783" s="4" t="s">
        <v>1465</v>
      </c>
      <c r="B783" s="4" t="str">
        <f t="shared" si="17"/>
        <v>00022498051KOVR</v>
      </c>
      <c r="C783" t="s">
        <v>691</v>
      </c>
      <c r="D783" t="s">
        <v>429</v>
      </c>
      <c r="E783" s="11">
        <v>20411454</v>
      </c>
      <c r="F783" t="s">
        <v>1639</v>
      </c>
      <c r="G783" t="s">
        <v>49</v>
      </c>
      <c r="H783" t="s">
        <v>50</v>
      </c>
      <c r="I783" s="1">
        <v>45627</v>
      </c>
      <c r="J783" s="2">
        <v>1</v>
      </c>
      <c r="K783" s="2">
        <v>1</v>
      </c>
      <c r="L783"/>
      <c r="M783" s="3">
        <v>1</v>
      </c>
      <c r="N783" s="2">
        <v>9</v>
      </c>
      <c r="O783" t="s">
        <v>567</v>
      </c>
      <c r="P783" t="s">
        <v>1581</v>
      </c>
      <c r="Q783"/>
      <c r="R783"/>
      <c r="S783"/>
      <c r="T783"/>
    </row>
    <row r="784" spans="1:20" s="6" customFormat="1" x14ac:dyDescent="0.25">
      <c r="A784" s="4" t="s">
        <v>1466</v>
      </c>
      <c r="B784" s="4" t="str">
        <f t="shared" si="17"/>
        <v>00022517390KOVR</v>
      </c>
      <c r="C784" t="s">
        <v>692</v>
      </c>
      <c r="D784" t="s">
        <v>429</v>
      </c>
      <c r="E784" s="11">
        <v>20411454</v>
      </c>
      <c r="F784" t="s">
        <v>1639</v>
      </c>
      <c r="G784" t="s">
        <v>49</v>
      </c>
      <c r="H784" t="s">
        <v>50</v>
      </c>
      <c r="I784" s="1">
        <v>45627</v>
      </c>
      <c r="J784" s="2">
        <v>1</v>
      </c>
      <c r="K784" s="2">
        <v>1</v>
      </c>
      <c r="L784"/>
      <c r="M784" s="3">
        <v>1</v>
      </c>
      <c r="N784" s="2">
        <v>9</v>
      </c>
      <c r="O784" t="s">
        <v>567</v>
      </c>
      <c r="P784" t="s">
        <v>1581</v>
      </c>
      <c r="Q784"/>
      <c r="R784"/>
      <c r="S784"/>
      <c r="T784"/>
    </row>
    <row r="785" spans="1:20" s="6" customFormat="1" x14ac:dyDescent="0.25">
      <c r="A785" s="4" t="s">
        <v>1467</v>
      </c>
      <c r="B785" s="4" t="str">
        <f t="shared" si="17"/>
        <v>00022524693KOVR</v>
      </c>
      <c r="C785" t="s">
        <v>693</v>
      </c>
      <c r="D785" t="s">
        <v>429</v>
      </c>
      <c r="E785" s="11">
        <v>20411454</v>
      </c>
      <c r="F785" t="s">
        <v>1639</v>
      </c>
      <c r="G785" t="s">
        <v>49</v>
      </c>
      <c r="H785" t="s">
        <v>50</v>
      </c>
      <c r="I785" s="1">
        <v>45627</v>
      </c>
      <c r="J785" s="2">
        <v>1</v>
      </c>
      <c r="K785" s="2">
        <v>1</v>
      </c>
      <c r="L785"/>
      <c r="M785" s="3">
        <v>1</v>
      </c>
      <c r="N785" s="2">
        <v>9</v>
      </c>
      <c r="O785" t="s">
        <v>567</v>
      </c>
      <c r="P785" t="s">
        <v>1581</v>
      </c>
      <c r="Q785"/>
      <c r="R785"/>
      <c r="S785"/>
      <c r="T785"/>
    </row>
    <row r="786" spans="1:20" s="6" customFormat="1" x14ac:dyDescent="0.25">
      <c r="A786" s="4" t="s">
        <v>1468</v>
      </c>
      <c r="B786" s="4" t="str">
        <f t="shared" si="17"/>
        <v>00022571242KOVR</v>
      </c>
      <c r="C786" t="s">
        <v>694</v>
      </c>
      <c r="D786" t="s">
        <v>429</v>
      </c>
      <c r="E786" s="11">
        <v>20411454</v>
      </c>
      <c r="F786" t="s">
        <v>1639</v>
      </c>
      <c r="G786" t="s">
        <v>49</v>
      </c>
      <c r="H786" t="s">
        <v>50</v>
      </c>
      <c r="I786" s="1">
        <v>45627</v>
      </c>
      <c r="J786" s="2">
        <v>1</v>
      </c>
      <c r="K786" s="2">
        <v>1</v>
      </c>
      <c r="L786"/>
      <c r="M786" s="3">
        <v>1</v>
      </c>
      <c r="N786" s="2">
        <v>9</v>
      </c>
      <c r="O786" t="s">
        <v>567</v>
      </c>
      <c r="P786" t="s">
        <v>1581</v>
      </c>
      <c r="Q786"/>
      <c r="R786"/>
      <c r="S786"/>
      <c r="T786"/>
    </row>
    <row r="787" spans="1:20" s="6" customFormat="1" x14ac:dyDescent="0.25">
      <c r="A787" s="4" t="s">
        <v>1469</v>
      </c>
      <c r="B787" s="4" t="str">
        <f t="shared" si="17"/>
        <v>00022602838KOVR</v>
      </c>
      <c r="C787" t="s">
        <v>695</v>
      </c>
      <c r="D787" t="s">
        <v>429</v>
      </c>
      <c r="E787" s="11">
        <v>20411454</v>
      </c>
      <c r="F787" t="s">
        <v>1639</v>
      </c>
      <c r="G787" t="s">
        <v>49</v>
      </c>
      <c r="H787" t="s">
        <v>50</v>
      </c>
      <c r="I787" s="1">
        <v>45627</v>
      </c>
      <c r="J787" s="2">
        <v>1</v>
      </c>
      <c r="K787" s="2">
        <v>1</v>
      </c>
      <c r="L787"/>
      <c r="M787" s="3">
        <v>1</v>
      </c>
      <c r="N787" s="2">
        <v>9</v>
      </c>
      <c r="O787" t="s">
        <v>567</v>
      </c>
      <c r="P787" t="s">
        <v>1581</v>
      </c>
      <c r="Q787"/>
      <c r="R787"/>
      <c r="S787"/>
      <c r="T787"/>
    </row>
    <row r="788" spans="1:20" s="6" customFormat="1" x14ac:dyDescent="0.25">
      <c r="A788" s="4" t="s">
        <v>1470</v>
      </c>
      <c r="B788" s="4" t="str">
        <f t="shared" si="17"/>
        <v>00022627896KOVR</v>
      </c>
      <c r="C788" t="s">
        <v>696</v>
      </c>
      <c r="D788" t="s">
        <v>429</v>
      </c>
      <c r="E788" s="11">
        <v>20411454</v>
      </c>
      <c r="F788" t="s">
        <v>1639</v>
      </c>
      <c r="G788" t="s">
        <v>49</v>
      </c>
      <c r="H788" t="s">
        <v>50</v>
      </c>
      <c r="I788" s="1">
        <v>45627</v>
      </c>
      <c r="J788" s="2">
        <v>1</v>
      </c>
      <c r="K788" s="2">
        <v>1</v>
      </c>
      <c r="L788"/>
      <c r="M788" s="3">
        <v>1</v>
      </c>
      <c r="N788" s="2">
        <v>9</v>
      </c>
      <c r="O788" t="s">
        <v>567</v>
      </c>
      <c r="P788" t="s">
        <v>1581</v>
      </c>
      <c r="Q788"/>
      <c r="R788"/>
      <c r="S788"/>
      <c r="T788"/>
    </row>
    <row r="789" spans="1:20" s="6" customFormat="1" x14ac:dyDescent="0.25">
      <c r="A789" s="4" t="s">
        <v>1471</v>
      </c>
      <c r="B789" s="4" t="str">
        <f t="shared" si="17"/>
        <v>00022643625KOVR</v>
      </c>
      <c r="C789" t="s">
        <v>697</v>
      </c>
      <c r="D789" t="s">
        <v>429</v>
      </c>
      <c r="E789" s="11">
        <v>20411454</v>
      </c>
      <c r="F789" t="s">
        <v>1639</v>
      </c>
      <c r="G789" t="s">
        <v>49</v>
      </c>
      <c r="H789" t="s">
        <v>50</v>
      </c>
      <c r="I789" s="1">
        <v>45627</v>
      </c>
      <c r="J789" s="2">
        <v>1</v>
      </c>
      <c r="K789" s="2">
        <v>1</v>
      </c>
      <c r="L789"/>
      <c r="M789" s="3">
        <v>1</v>
      </c>
      <c r="N789" s="2">
        <v>9</v>
      </c>
      <c r="O789" t="s">
        <v>567</v>
      </c>
      <c r="P789" t="s">
        <v>1581</v>
      </c>
      <c r="Q789"/>
      <c r="R789"/>
      <c r="S789"/>
      <c r="T789"/>
    </row>
    <row r="790" spans="1:20" s="6" customFormat="1" x14ac:dyDescent="0.25">
      <c r="A790" s="4" t="s">
        <v>1472</v>
      </c>
      <c r="B790" s="4" t="str">
        <f t="shared" si="17"/>
        <v>00022646876KOVR</v>
      </c>
      <c r="C790" t="s">
        <v>698</v>
      </c>
      <c r="D790" t="s">
        <v>429</v>
      </c>
      <c r="E790" s="11">
        <v>20411454</v>
      </c>
      <c r="F790" t="s">
        <v>1639</v>
      </c>
      <c r="G790" t="s">
        <v>49</v>
      </c>
      <c r="H790" t="s">
        <v>50</v>
      </c>
      <c r="I790" s="1">
        <v>45627</v>
      </c>
      <c r="J790" s="2">
        <v>1</v>
      </c>
      <c r="K790" s="2">
        <v>1</v>
      </c>
      <c r="L790"/>
      <c r="M790" s="3">
        <v>1</v>
      </c>
      <c r="N790" s="2">
        <v>9</v>
      </c>
      <c r="O790" t="s">
        <v>567</v>
      </c>
      <c r="P790" t="s">
        <v>1581</v>
      </c>
      <c r="Q790"/>
      <c r="R790"/>
      <c r="S790"/>
      <c r="T790"/>
    </row>
    <row r="791" spans="1:20" s="6" customFormat="1" x14ac:dyDescent="0.25">
      <c r="A791" s="4" t="s">
        <v>1473</v>
      </c>
      <c r="B791" s="4" t="str">
        <f t="shared" si="17"/>
        <v>00022659909KOVR</v>
      </c>
      <c r="C791" t="s">
        <v>699</v>
      </c>
      <c r="D791" t="s">
        <v>429</v>
      </c>
      <c r="E791" s="11">
        <v>20411454</v>
      </c>
      <c r="F791" t="s">
        <v>1639</v>
      </c>
      <c r="G791" t="s">
        <v>49</v>
      </c>
      <c r="H791" t="s">
        <v>50</v>
      </c>
      <c r="I791" s="1">
        <v>45627</v>
      </c>
      <c r="J791" s="2">
        <v>1</v>
      </c>
      <c r="K791" s="2">
        <v>1</v>
      </c>
      <c r="L791"/>
      <c r="M791" s="3">
        <v>1</v>
      </c>
      <c r="N791" s="2">
        <v>9</v>
      </c>
      <c r="O791" t="s">
        <v>567</v>
      </c>
      <c r="P791" t="s">
        <v>1581</v>
      </c>
      <c r="Q791"/>
      <c r="R791"/>
      <c r="S791"/>
      <c r="T791"/>
    </row>
    <row r="792" spans="1:20" s="6" customFormat="1" x14ac:dyDescent="0.25">
      <c r="A792" s="4" t="s">
        <v>1474</v>
      </c>
      <c r="B792" s="4" t="str">
        <f t="shared" si="17"/>
        <v>00022671607KOVR</v>
      </c>
      <c r="C792" t="s">
        <v>700</v>
      </c>
      <c r="D792" t="s">
        <v>429</v>
      </c>
      <c r="E792" s="11">
        <v>20411454</v>
      </c>
      <c r="F792" t="s">
        <v>1639</v>
      </c>
      <c r="G792" t="s">
        <v>49</v>
      </c>
      <c r="H792" t="s">
        <v>50</v>
      </c>
      <c r="I792" s="1">
        <v>45627</v>
      </c>
      <c r="J792" s="2">
        <v>1</v>
      </c>
      <c r="K792" s="2">
        <v>1</v>
      </c>
      <c r="L792"/>
      <c r="M792" s="3">
        <v>1</v>
      </c>
      <c r="N792" s="2">
        <v>9</v>
      </c>
      <c r="O792" t="s">
        <v>567</v>
      </c>
      <c r="P792" t="s">
        <v>1581</v>
      </c>
      <c r="Q792"/>
      <c r="R792"/>
      <c r="S792"/>
      <c r="T792"/>
    </row>
    <row r="793" spans="1:20" s="6" customFormat="1" x14ac:dyDescent="0.25">
      <c r="A793" s="4" t="s">
        <v>1475</v>
      </c>
      <c r="B793" s="4" t="str">
        <f t="shared" si="17"/>
        <v>00022674415KOVR</v>
      </c>
      <c r="C793" t="s">
        <v>701</v>
      </c>
      <c r="D793" t="s">
        <v>429</v>
      </c>
      <c r="E793" s="11">
        <v>20411454</v>
      </c>
      <c r="F793" t="s">
        <v>1639</v>
      </c>
      <c r="G793" t="s">
        <v>49</v>
      </c>
      <c r="H793" t="s">
        <v>50</v>
      </c>
      <c r="I793" s="1">
        <v>45627</v>
      </c>
      <c r="J793" s="2">
        <v>1</v>
      </c>
      <c r="K793" s="2">
        <v>1</v>
      </c>
      <c r="L793"/>
      <c r="M793" s="3">
        <v>1</v>
      </c>
      <c r="N793" s="2">
        <v>9</v>
      </c>
      <c r="O793" t="s">
        <v>567</v>
      </c>
      <c r="P793" t="s">
        <v>1581</v>
      </c>
      <c r="Q793"/>
      <c r="R793"/>
      <c r="S793"/>
      <c r="T793"/>
    </row>
    <row r="794" spans="1:20" s="6" customFormat="1" x14ac:dyDescent="0.25">
      <c r="A794" s="4" t="s">
        <v>1476</v>
      </c>
      <c r="B794" s="4" t="str">
        <f t="shared" si="17"/>
        <v>00022688863KOVR</v>
      </c>
      <c r="C794" t="s">
        <v>702</v>
      </c>
      <c r="D794" t="s">
        <v>429</v>
      </c>
      <c r="E794" s="11">
        <v>20411454</v>
      </c>
      <c r="F794" t="s">
        <v>1639</v>
      </c>
      <c r="G794" t="s">
        <v>106</v>
      </c>
      <c r="H794" t="s">
        <v>50</v>
      </c>
      <c r="I794" s="1">
        <v>45627</v>
      </c>
      <c r="J794" s="2">
        <v>1</v>
      </c>
      <c r="K794" s="2">
        <v>1</v>
      </c>
      <c r="L794"/>
      <c r="M794" s="3">
        <v>1</v>
      </c>
      <c r="N794" s="2">
        <v>9</v>
      </c>
      <c r="O794" t="s">
        <v>567</v>
      </c>
      <c r="P794" t="s">
        <v>1581</v>
      </c>
      <c r="Q794"/>
      <c r="R794"/>
      <c r="S794"/>
      <c r="T794"/>
    </row>
    <row r="795" spans="1:20" s="6" customFormat="1" x14ac:dyDescent="0.25">
      <c r="A795" s="4" t="s">
        <v>1477</v>
      </c>
      <c r="B795" s="4" t="str">
        <f t="shared" si="17"/>
        <v>00022698535KOVR</v>
      </c>
      <c r="C795" t="s">
        <v>703</v>
      </c>
      <c r="D795" t="s">
        <v>429</v>
      </c>
      <c r="E795" s="11">
        <v>20411454</v>
      </c>
      <c r="F795" t="s">
        <v>1639</v>
      </c>
      <c r="G795" t="s">
        <v>49</v>
      </c>
      <c r="H795" t="s">
        <v>50</v>
      </c>
      <c r="I795" s="1">
        <v>45627</v>
      </c>
      <c r="J795" s="2">
        <v>1</v>
      </c>
      <c r="K795" s="2">
        <v>1</v>
      </c>
      <c r="L795"/>
      <c r="M795" s="3">
        <v>1</v>
      </c>
      <c r="N795" s="2">
        <v>9</v>
      </c>
      <c r="O795" t="s">
        <v>567</v>
      </c>
      <c r="P795" t="s">
        <v>1581</v>
      </c>
      <c r="Q795"/>
      <c r="R795"/>
      <c r="S795"/>
      <c r="T795"/>
    </row>
    <row r="796" spans="1:20" s="6" customFormat="1" x14ac:dyDescent="0.25">
      <c r="A796" s="4" t="s">
        <v>1478</v>
      </c>
      <c r="B796" s="4" t="str">
        <f t="shared" si="17"/>
        <v>00022763707KOVR</v>
      </c>
      <c r="C796" t="s">
        <v>704</v>
      </c>
      <c r="D796" t="s">
        <v>429</v>
      </c>
      <c r="E796" s="11">
        <v>20411454</v>
      </c>
      <c r="F796" t="s">
        <v>1639</v>
      </c>
      <c r="G796" t="s">
        <v>49</v>
      </c>
      <c r="H796" t="s">
        <v>50</v>
      </c>
      <c r="I796" s="1">
        <v>45627</v>
      </c>
      <c r="J796" s="2">
        <v>1</v>
      </c>
      <c r="K796" s="2">
        <v>1</v>
      </c>
      <c r="L796"/>
      <c r="M796" s="3">
        <v>1</v>
      </c>
      <c r="N796" s="2">
        <v>9</v>
      </c>
      <c r="O796" t="s">
        <v>567</v>
      </c>
      <c r="P796" t="s">
        <v>1581</v>
      </c>
      <c r="Q796"/>
      <c r="R796"/>
      <c r="S796"/>
      <c r="T796"/>
    </row>
    <row r="797" spans="1:20" s="6" customFormat="1" x14ac:dyDescent="0.25">
      <c r="A797" s="4" t="s">
        <v>1349</v>
      </c>
      <c r="B797" s="4" t="str">
        <f t="shared" si="17"/>
        <v>00001672119KOVR</v>
      </c>
      <c r="C797" t="s">
        <v>568</v>
      </c>
      <c r="D797" t="s">
        <v>429</v>
      </c>
      <c r="E797" s="11">
        <v>20411454</v>
      </c>
      <c r="F797" t="s">
        <v>1639</v>
      </c>
      <c r="G797" t="s">
        <v>106</v>
      </c>
      <c r="H797" t="s">
        <v>77</v>
      </c>
      <c r="I797" s="1">
        <v>45536</v>
      </c>
      <c r="J797" s="2">
        <v>1</v>
      </c>
      <c r="K797" s="2">
        <v>1</v>
      </c>
      <c r="L797"/>
      <c r="M797" s="3">
        <v>1</v>
      </c>
      <c r="N797" s="2">
        <v>9</v>
      </c>
      <c r="O797" t="s">
        <v>567</v>
      </c>
      <c r="P797" t="s">
        <v>1581</v>
      </c>
      <c r="Q797"/>
      <c r="R797"/>
      <c r="S797"/>
      <c r="T797"/>
    </row>
    <row r="798" spans="1:20" s="6" customFormat="1" x14ac:dyDescent="0.25">
      <c r="A798" s="4" t="s">
        <v>1355</v>
      </c>
      <c r="B798" s="4" t="str">
        <f t="shared" si="17"/>
        <v>00017505325KOVR</v>
      </c>
      <c r="C798" t="s">
        <v>574</v>
      </c>
      <c r="D798" t="s">
        <v>429</v>
      </c>
      <c r="E798" s="11">
        <v>20411454</v>
      </c>
      <c r="F798" t="s">
        <v>1639</v>
      </c>
      <c r="G798" t="s">
        <v>106</v>
      </c>
      <c r="H798" t="s">
        <v>77</v>
      </c>
      <c r="I798" s="1">
        <v>45474</v>
      </c>
      <c r="J798" s="2">
        <v>1</v>
      </c>
      <c r="K798" s="2">
        <v>1</v>
      </c>
      <c r="L798"/>
      <c r="M798" s="3">
        <v>1</v>
      </c>
      <c r="N798" s="2">
        <v>9</v>
      </c>
      <c r="O798" t="s">
        <v>567</v>
      </c>
      <c r="P798" t="s">
        <v>1581</v>
      </c>
      <c r="Q798"/>
      <c r="R798"/>
      <c r="S798"/>
      <c r="T798"/>
    </row>
    <row r="799" spans="1:20" s="6" customFormat="1" x14ac:dyDescent="0.25">
      <c r="A799" s="4" t="s">
        <v>1357</v>
      </c>
      <c r="B799" s="4" t="str">
        <f t="shared" ref="B799:B862" si="18">CONCATENATE(A799,"OVR")</f>
        <v>00020054580KOVR</v>
      </c>
      <c r="C799" t="s">
        <v>576</v>
      </c>
      <c r="D799" t="s">
        <v>429</v>
      </c>
      <c r="E799" s="11">
        <v>20411454</v>
      </c>
      <c r="F799" t="s">
        <v>1639</v>
      </c>
      <c r="G799" t="s">
        <v>49</v>
      </c>
      <c r="H799" t="s">
        <v>77</v>
      </c>
      <c r="I799" s="1">
        <v>45505</v>
      </c>
      <c r="J799" s="2">
        <v>1</v>
      </c>
      <c r="K799" s="2">
        <v>1</v>
      </c>
      <c r="L799"/>
      <c r="M799" s="3">
        <v>1</v>
      </c>
      <c r="N799" s="2">
        <v>9</v>
      </c>
      <c r="O799" t="s">
        <v>578</v>
      </c>
      <c r="P799" t="s">
        <v>1581</v>
      </c>
      <c r="Q799"/>
      <c r="R799"/>
      <c r="S799"/>
      <c r="T799"/>
    </row>
    <row r="800" spans="1:20" s="6" customFormat="1" x14ac:dyDescent="0.25">
      <c r="A800" s="4" t="s">
        <v>1359</v>
      </c>
      <c r="B800" s="4" t="str">
        <f t="shared" si="18"/>
        <v>00020751148KOVR</v>
      </c>
      <c r="C800" t="s">
        <v>580</v>
      </c>
      <c r="D800" t="s">
        <v>429</v>
      </c>
      <c r="E800" s="11">
        <v>20411454</v>
      </c>
      <c r="F800" t="s">
        <v>1639</v>
      </c>
      <c r="G800" t="s">
        <v>106</v>
      </c>
      <c r="H800" t="s">
        <v>77</v>
      </c>
      <c r="I800" s="1">
        <v>45536</v>
      </c>
      <c r="J800" s="2">
        <v>1</v>
      </c>
      <c r="K800" s="2">
        <v>1</v>
      </c>
      <c r="L800"/>
      <c r="M800" s="3">
        <v>1</v>
      </c>
      <c r="N800" s="2">
        <v>9</v>
      </c>
      <c r="O800" t="s">
        <v>567</v>
      </c>
      <c r="P800" t="s">
        <v>1581</v>
      </c>
      <c r="Q800"/>
      <c r="R800"/>
      <c r="S800"/>
      <c r="T800"/>
    </row>
    <row r="801" spans="1:20" s="6" customFormat="1" x14ac:dyDescent="0.25">
      <c r="A801" s="4" t="s">
        <v>1271</v>
      </c>
      <c r="B801" s="4" t="str">
        <f t="shared" si="18"/>
        <v>00020151511KOVR</v>
      </c>
      <c r="C801" t="s">
        <v>73</v>
      </c>
      <c r="D801" t="s">
        <v>74</v>
      </c>
      <c r="E801" s="11">
        <v>20411454</v>
      </c>
      <c r="F801" t="s">
        <v>1639</v>
      </c>
      <c r="G801" t="s">
        <v>49</v>
      </c>
      <c r="H801" t="s">
        <v>77</v>
      </c>
      <c r="I801" s="1">
        <v>46054</v>
      </c>
      <c r="J801" s="2">
        <v>0</v>
      </c>
      <c r="K801" s="2">
        <v>108</v>
      </c>
      <c r="L801">
        <v>1</v>
      </c>
      <c r="M801" s="3">
        <v>1</v>
      </c>
      <c r="N801" s="2">
        <v>108</v>
      </c>
      <c r="O801"/>
      <c r="P801" t="s">
        <v>1581</v>
      </c>
      <c r="Q801"/>
      <c r="R801"/>
      <c r="S801"/>
      <c r="T801"/>
    </row>
    <row r="802" spans="1:20" s="6" customFormat="1" x14ac:dyDescent="0.25">
      <c r="A802" s="4" t="s">
        <v>1272</v>
      </c>
      <c r="B802" s="4" t="str">
        <f t="shared" si="18"/>
        <v>00022005823KOVR</v>
      </c>
      <c r="C802" t="s">
        <v>79</v>
      </c>
      <c r="D802" t="s">
        <v>46</v>
      </c>
      <c r="E802" s="11">
        <v>20411454</v>
      </c>
      <c r="F802" t="s">
        <v>1639</v>
      </c>
      <c r="G802" t="s">
        <v>49</v>
      </c>
      <c r="H802" t="s">
        <v>77</v>
      </c>
      <c r="I802" s="1">
        <v>46054</v>
      </c>
      <c r="J802" s="2">
        <v>0</v>
      </c>
      <c r="K802" s="2">
        <v>108</v>
      </c>
      <c r="L802">
        <v>1</v>
      </c>
      <c r="M802" s="3">
        <v>1</v>
      </c>
      <c r="N802" s="2">
        <v>108</v>
      </c>
      <c r="O802"/>
      <c r="P802" t="s">
        <v>1581</v>
      </c>
      <c r="Q802"/>
      <c r="R802"/>
      <c r="S802"/>
      <c r="T802"/>
    </row>
    <row r="803" spans="1:20" s="6" customFormat="1" x14ac:dyDescent="0.25">
      <c r="A803" s="4" t="s">
        <v>1273</v>
      </c>
      <c r="B803" s="4" t="str">
        <f t="shared" si="18"/>
        <v>00022770126KOVR</v>
      </c>
      <c r="C803" t="s">
        <v>83</v>
      </c>
      <c r="D803" t="s">
        <v>84</v>
      </c>
      <c r="E803" s="11">
        <v>20411454</v>
      </c>
      <c r="F803" t="s">
        <v>1639</v>
      </c>
      <c r="G803" t="s">
        <v>49</v>
      </c>
      <c r="H803" t="s">
        <v>77</v>
      </c>
      <c r="I803" s="1">
        <v>46054</v>
      </c>
      <c r="J803" s="2">
        <v>0</v>
      </c>
      <c r="K803" s="2">
        <v>108</v>
      </c>
      <c r="L803">
        <v>1</v>
      </c>
      <c r="M803" s="3">
        <v>1</v>
      </c>
      <c r="N803" s="2">
        <v>108</v>
      </c>
      <c r="O803"/>
      <c r="P803" t="s">
        <v>1581</v>
      </c>
      <c r="Q803"/>
      <c r="R803"/>
      <c r="S803"/>
      <c r="T803"/>
    </row>
    <row r="804" spans="1:20" s="6" customFormat="1" x14ac:dyDescent="0.25">
      <c r="A804" s="4" t="s">
        <v>1274</v>
      </c>
      <c r="B804" s="4" t="str">
        <f t="shared" si="18"/>
        <v>00023314572KOVR</v>
      </c>
      <c r="C804" t="s">
        <v>88</v>
      </c>
      <c r="D804" t="s">
        <v>55</v>
      </c>
      <c r="E804" s="11">
        <v>20411454</v>
      </c>
      <c r="F804" t="s">
        <v>1639</v>
      </c>
      <c r="G804" t="s">
        <v>49</v>
      </c>
      <c r="H804" t="s">
        <v>77</v>
      </c>
      <c r="I804" s="1">
        <v>46054</v>
      </c>
      <c r="J804" s="2">
        <v>0</v>
      </c>
      <c r="K804" s="2">
        <v>108</v>
      </c>
      <c r="L804">
        <v>1</v>
      </c>
      <c r="M804" s="3">
        <v>1</v>
      </c>
      <c r="N804" s="2">
        <v>108</v>
      </c>
      <c r="O804"/>
      <c r="P804" t="s">
        <v>1581</v>
      </c>
      <c r="Q804"/>
      <c r="R804"/>
      <c r="S804"/>
      <c r="T804"/>
    </row>
    <row r="805" spans="1:20" s="6" customFormat="1" x14ac:dyDescent="0.25">
      <c r="A805" s="4" t="s">
        <v>1275</v>
      </c>
      <c r="B805" s="4" t="str">
        <f t="shared" si="18"/>
        <v>00023407746KOVR</v>
      </c>
      <c r="C805" t="s">
        <v>92</v>
      </c>
      <c r="D805" t="s">
        <v>84</v>
      </c>
      <c r="E805" s="11">
        <v>20411454</v>
      </c>
      <c r="F805" t="s">
        <v>1639</v>
      </c>
      <c r="G805" t="s">
        <v>49</v>
      </c>
      <c r="H805" t="s">
        <v>77</v>
      </c>
      <c r="I805" s="1">
        <v>46054</v>
      </c>
      <c r="J805" s="2">
        <v>0</v>
      </c>
      <c r="K805" s="2">
        <v>108</v>
      </c>
      <c r="L805">
        <v>1</v>
      </c>
      <c r="M805" s="3">
        <v>1</v>
      </c>
      <c r="N805" s="2">
        <v>108</v>
      </c>
      <c r="O805"/>
      <c r="P805" t="s">
        <v>1581</v>
      </c>
      <c r="Q805"/>
      <c r="R805"/>
      <c r="S805"/>
      <c r="T805"/>
    </row>
    <row r="806" spans="1:20" s="6" customFormat="1" x14ac:dyDescent="0.25">
      <c r="A806" s="4" t="s">
        <v>1279</v>
      </c>
      <c r="B806" s="4" t="str">
        <f t="shared" si="18"/>
        <v>00025199148KOVR</v>
      </c>
      <c r="C806" t="s">
        <v>109</v>
      </c>
      <c r="D806" t="s">
        <v>110</v>
      </c>
      <c r="E806" s="11">
        <v>20411454</v>
      </c>
      <c r="F806" t="s">
        <v>1639</v>
      </c>
      <c r="G806" t="s">
        <v>49</v>
      </c>
      <c r="H806" t="s">
        <v>77</v>
      </c>
      <c r="I806" s="1">
        <v>46054</v>
      </c>
      <c r="J806" s="2">
        <v>0</v>
      </c>
      <c r="K806" s="2">
        <v>108</v>
      </c>
      <c r="L806">
        <v>1</v>
      </c>
      <c r="M806" s="3">
        <v>1</v>
      </c>
      <c r="N806" s="2">
        <v>108</v>
      </c>
      <c r="O806"/>
      <c r="P806" t="s">
        <v>1581</v>
      </c>
      <c r="Q806"/>
      <c r="R806"/>
      <c r="S806"/>
      <c r="T806"/>
    </row>
    <row r="807" spans="1:20" s="6" customFormat="1" x14ac:dyDescent="0.25">
      <c r="A807" s="4" t="s">
        <v>1278</v>
      </c>
      <c r="B807" s="4" t="str">
        <f t="shared" si="18"/>
        <v>00024955998KOVR</v>
      </c>
      <c r="C807" t="s">
        <v>102</v>
      </c>
      <c r="D807" t="s">
        <v>103</v>
      </c>
      <c r="E807" s="11">
        <v>20411454</v>
      </c>
      <c r="F807" t="s">
        <v>1639</v>
      </c>
      <c r="G807" t="s">
        <v>106</v>
      </c>
      <c r="H807" t="s">
        <v>50</v>
      </c>
      <c r="I807" s="1">
        <v>46023</v>
      </c>
      <c r="J807" s="2">
        <v>0</v>
      </c>
      <c r="K807" s="2">
        <v>161</v>
      </c>
      <c r="L807">
        <v>1</v>
      </c>
      <c r="M807" s="3">
        <v>1</v>
      </c>
      <c r="N807" s="2">
        <v>161</v>
      </c>
      <c r="O807" t="s">
        <v>107</v>
      </c>
      <c r="P807" t="s">
        <v>1581</v>
      </c>
      <c r="Q807"/>
      <c r="R807"/>
      <c r="S807"/>
      <c r="T807"/>
    </row>
    <row r="808" spans="1:20" s="6" customFormat="1" x14ac:dyDescent="0.25">
      <c r="A808" s="4" t="s">
        <v>1264</v>
      </c>
      <c r="B808" s="4" t="str">
        <f t="shared" si="18"/>
        <v>00000963879DOVR</v>
      </c>
      <c r="C808" t="s">
        <v>45</v>
      </c>
      <c r="D808" t="s">
        <v>46</v>
      </c>
      <c r="E808" s="11">
        <v>20411454</v>
      </c>
      <c r="F808" t="s">
        <v>1639</v>
      </c>
      <c r="G808" t="s">
        <v>49</v>
      </c>
      <c r="H808" t="s">
        <v>50</v>
      </c>
      <c r="I808" s="1">
        <v>46054</v>
      </c>
      <c r="J808" s="2">
        <v>0</v>
      </c>
      <c r="K808" s="2">
        <v>175</v>
      </c>
      <c r="L808">
        <v>1</v>
      </c>
      <c r="M808" s="3">
        <v>1</v>
      </c>
      <c r="N808" s="2">
        <v>175</v>
      </c>
      <c r="O808"/>
      <c r="P808" t="s">
        <v>1581</v>
      </c>
      <c r="Q808"/>
      <c r="R808"/>
      <c r="S808"/>
      <c r="T808"/>
    </row>
    <row r="809" spans="1:20" s="6" customFormat="1" x14ac:dyDescent="0.25">
      <c r="A809" s="4" t="s">
        <v>1265</v>
      </c>
      <c r="B809" s="4" t="str">
        <f t="shared" si="18"/>
        <v>00008459655KOVR</v>
      </c>
      <c r="C809" t="s">
        <v>54</v>
      </c>
      <c r="D809" t="s">
        <v>55</v>
      </c>
      <c r="E809" s="11">
        <v>20411454</v>
      </c>
      <c r="F809" t="s">
        <v>1639</v>
      </c>
      <c r="G809" t="s">
        <v>49</v>
      </c>
      <c r="H809" t="s">
        <v>50</v>
      </c>
      <c r="I809" s="1">
        <v>46054</v>
      </c>
      <c r="J809" s="2">
        <v>0</v>
      </c>
      <c r="K809" s="2">
        <v>175</v>
      </c>
      <c r="L809">
        <v>1</v>
      </c>
      <c r="M809" s="3">
        <v>1</v>
      </c>
      <c r="N809" s="2">
        <v>175</v>
      </c>
      <c r="O809"/>
      <c r="P809" t="s">
        <v>1581</v>
      </c>
      <c r="Q809"/>
      <c r="R809"/>
      <c r="S809"/>
      <c r="T809"/>
    </row>
    <row r="810" spans="1:20" s="6" customFormat="1" x14ac:dyDescent="0.25">
      <c r="A810" s="4" t="s">
        <v>1266</v>
      </c>
      <c r="B810" s="4" t="str">
        <f t="shared" si="18"/>
        <v>00009171141KOVR</v>
      </c>
      <c r="C810" t="s">
        <v>59</v>
      </c>
      <c r="D810" t="s">
        <v>55</v>
      </c>
      <c r="E810" s="11">
        <v>20411454</v>
      </c>
      <c r="F810" t="s">
        <v>1639</v>
      </c>
      <c r="G810" t="s">
        <v>49</v>
      </c>
      <c r="H810" t="s">
        <v>50</v>
      </c>
      <c r="I810" s="1">
        <v>46054</v>
      </c>
      <c r="J810" s="2">
        <v>0</v>
      </c>
      <c r="K810" s="2">
        <v>175</v>
      </c>
      <c r="L810">
        <v>1</v>
      </c>
      <c r="M810" s="3">
        <v>1</v>
      </c>
      <c r="N810" s="2">
        <v>175</v>
      </c>
      <c r="O810"/>
      <c r="P810" t="s">
        <v>1581</v>
      </c>
      <c r="Q810"/>
      <c r="R810"/>
      <c r="S810"/>
      <c r="T810"/>
    </row>
    <row r="811" spans="1:20" s="6" customFormat="1" x14ac:dyDescent="0.25">
      <c r="A811" s="4" t="s">
        <v>1267</v>
      </c>
      <c r="B811" s="4" t="str">
        <f t="shared" si="18"/>
        <v>00009430398KOVR</v>
      </c>
      <c r="C811" t="s">
        <v>63</v>
      </c>
      <c r="D811" t="s">
        <v>55</v>
      </c>
      <c r="E811" s="11">
        <v>20411454</v>
      </c>
      <c r="F811" t="s">
        <v>1639</v>
      </c>
      <c r="G811" t="s">
        <v>49</v>
      </c>
      <c r="H811" t="s">
        <v>50</v>
      </c>
      <c r="I811" s="1">
        <v>46054</v>
      </c>
      <c r="J811" s="2">
        <v>0</v>
      </c>
      <c r="K811" s="2">
        <v>175</v>
      </c>
      <c r="L811">
        <v>1</v>
      </c>
      <c r="M811" s="3">
        <v>1</v>
      </c>
      <c r="N811" s="2">
        <v>175</v>
      </c>
      <c r="O811"/>
      <c r="P811" t="s">
        <v>1581</v>
      </c>
      <c r="Q811"/>
      <c r="R811"/>
      <c r="S811"/>
      <c r="T811"/>
    </row>
    <row r="812" spans="1:20" x14ac:dyDescent="0.25">
      <c r="A812" s="4" t="s">
        <v>1268</v>
      </c>
      <c r="B812" s="4" t="str">
        <f t="shared" si="18"/>
        <v>00013363129KOVR</v>
      </c>
      <c r="C812" t="s">
        <v>65</v>
      </c>
      <c r="D812" t="s">
        <v>55</v>
      </c>
      <c r="E812" s="11">
        <v>20411454</v>
      </c>
      <c r="F812" t="s">
        <v>1639</v>
      </c>
      <c r="G812" t="s">
        <v>49</v>
      </c>
      <c r="H812" t="s">
        <v>50</v>
      </c>
      <c r="I812" s="1">
        <v>46054</v>
      </c>
      <c r="J812" s="2">
        <v>0</v>
      </c>
      <c r="K812" s="2">
        <v>175</v>
      </c>
      <c r="L812">
        <v>1</v>
      </c>
      <c r="M812" s="3">
        <v>1</v>
      </c>
      <c r="N812" s="2">
        <v>175</v>
      </c>
      <c r="P812" t="s">
        <v>1581</v>
      </c>
    </row>
    <row r="813" spans="1:20" x14ac:dyDescent="0.25">
      <c r="A813" s="4" t="s">
        <v>1269</v>
      </c>
      <c r="B813" s="4" t="str">
        <f t="shared" si="18"/>
        <v>00013636650KOVR</v>
      </c>
      <c r="C813" t="s">
        <v>67</v>
      </c>
      <c r="D813" t="s">
        <v>55</v>
      </c>
      <c r="E813" s="11">
        <v>20411454</v>
      </c>
      <c r="F813" t="s">
        <v>1639</v>
      </c>
      <c r="G813" t="s">
        <v>49</v>
      </c>
      <c r="H813" t="s">
        <v>50</v>
      </c>
      <c r="I813" s="1">
        <v>46054</v>
      </c>
      <c r="J813" s="2">
        <v>0</v>
      </c>
      <c r="K813" s="2">
        <v>175</v>
      </c>
      <c r="L813">
        <v>1</v>
      </c>
      <c r="M813" s="3">
        <v>1</v>
      </c>
      <c r="N813" s="2">
        <v>175</v>
      </c>
      <c r="P813" t="s">
        <v>1581</v>
      </c>
    </row>
    <row r="814" spans="1:20" x14ac:dyDescent="0.25">
      <c r="A814" s="4" t="s">
        <v>1270</v>
      </c>
      <c r="B814" s="4" t="str">
        <f t="shared" si="18"/>
        <v>00013752362KOVR</v>
      </c>
      <c r="C814" t="s">
        <v>71</v>
      </c>
      <c r="D814" t="s">
        <v>55</v>
      </c>
      <c r="E814" s="11">
        <v>20411454</v>
      </c>
      <c r="F814" t="s">
        <v>1639</v>
      </c>
      <c r="G814" t="s">
        <v>49</v>
      </c>
      <c r="H814" t="s">
        <v>50</v>
      </c>
      <c r="I814" s="1">
        <v>46054</v>
      </c>
      <c r="J814" s="2">
        <v>0</v>
      </c>
      <c r="K814" s="2">
        <v>175</v>
      </c>
      <c r="L814">
        <v>1</v>
      </c>
      <c r="M814" s="3">
        <v>1</v>
      </c>
      <c r="N814" s="2">
        <v>175</v>
      </c>
      <c r="P814" t="s">
        <v>1581</v>
      </c>
    </row>
    <row r="815" spans="1:20" x14ac:dyDescent="0.25">
      <c r="A815" s="4" t="s">
        <v>1276</v>
      </c>
      <c r="B815" s="4" t="str">
        <f t="shared" si="18"/>
        <v>00024302321KOVR</v>
      </c>
      <c r="C815" t="s">
        <v>96</v>
      </c>
      <c r="D815" t="s">
        <v>97</v>
      </c>
      <c r="E815" s="11">
        <v>20411454</v>
      </c>
      <c r="F815" t="s">
        <v>1639</v>
      </c>
      <c r="G815" t="s">
        <v>49</v>
      </c>
      <c r="H815" t="s">
        <v>50</v>
      </c>
      <c r="I815" s="1">
        <v>45962</v>
      </c>
      <c r="J815" s="2">
        <v>0</v>
      </c>
      <c r="K815" s="2">
        <v>175</v>
      </c>
      <c r="L815">
        <v>1</v>
      </c>
      <c r="M815" s="3">
        <v>1</v>
      </c>
      <c r="N815" s="2">
        <v>175</v>
      </c>
      <c r="P815" t="s">
        <v>1581</v>
      </c>
    </row>
    <row r="816" spans="1:20" x14ac:dyDescent="0.25">
      <c r="A816" s="4" t="s">
        <v>1277</v>
      </c>
      <c r="B816" s="4" t="str">
        <f t="shared" si="18"/>
        <v>00024590403KOVR</v>
      </c>
      <c r="C816" t="s">
        <v>99</v>
      </c>
      <c r="D816" t="s">
        <v>84</v>
      </c>
      <c r="E816" s="11">
        <v>20411454</v>
      </c>
      <c r="F816" t="s">
        <v>1639</v>
      </c>
      <c r="G816" t="s">
        <v>49</v>
      </c>
      <c r="H816" t="s">
        <v>50</v>
      </c>
      <c r="I816" s="1">
        <v>46023</v>
      </c>
      <c r="J816" s="2">
        <v>0</v>
      </c>
      <c r="K816" s="2">
        <v>175</v>
      </c>
      <c r="L816">
        <v>1</v>
      </c>
      <c r="M816" s="3">
        <v>1</v>
      </c>
      <c r="N816" s="2">
        <v>175</v>
      </c>
      <c r="P816" t="s">
        <v>1581</v>
      </c>
    </row>
    <row r="817" spans="1:16" x14ac:dyDescent="0.25">
      <c r="A817" s="4" t="s">
        <v>1280</v>
      </c>
      <c r="B817" s="4" t="str">
        <f t="shared" si="18"/>
        <v>00025927756KOVR</v>
      </c>
      <c r="C817" t="s">
        <v>114</v>
      </c>
      <c r="D817" t="s">
        <v>74</v>
      </c>
      <c r="E817" s="11">
        <v>20411454</v>
      </c>
      <c r="F817" t="s">
        <v>1639</v>
      </c>
      <c r="G817" t="s">
        <v>49</v>
      </c>
      <c r="H817" t="s">
        <v>50</v>
      </c>
      <c r="I817" s="1">
        <v>46054</v>
      </c>
      <c r="J817" s="2">
        <v>0</v>
      </c>
      <c r="K817" s="2">
        <v>175</v>
      </c>
      <c r="L817">
        <v>1</v>
      </c>
      <c r="M817" s="3">
        <v>1</v>
      </c>
      <c r="N817" s="2">
        <v>175</v>
      </c>
      <c r="P817" t="s">
        <v>1581</v>
      </c>
    </row>
    <row r="818" spans="1:16" x14ac:dyDescent="0.25">
      <c r="A818" s="4" t="s">
        <v>1281</v>
      </c>
      <c r="B818" s="4" t="str">
        <f t="shared" si="18"/>
        <v>00025944136KOVR</v>
      </c>
      <c r="C818" t="s">
        <v>118</v>
      </c>
      <c r="D818" t="s">
        <v>55</v>
      </c>
      <c r="E818" s="11">
        <v>20411454</v>
      </c>
      <c r="F818" t="s">
        <v>1639</v>
      </c>
      <c r="G818" t="s">
        <v>49</v>
      </c>
      <c r="H818" t="s">
        <v>50</v>
      </c>
      <c r="I818" s="1">
        <v>46054</v>
      </c>
      <c r="J818" s="2">
        <v>0</v>
      </c>
      <c r="K818" s="2">
        <v>175</v>
      </c>
      <c r="L818">
        <v>1</v>
      </c>
      <c r="M818" s="3">
        <v>1</v>
      </c>
      <c r="N818" s="2">
        <v>175</v>
      </c>
      <c r="P818" t="s">
        <v>1581</v>
      </c>
    </row>
    <row r="819" spans="1:16" x14ac:dyDescent="0.25">
      <c r="A819" s="4" t="s">
        <v>1282</v>
      </c>
      <c r="B819" s="4" t="str">
        <f t="shared" si="18"/>
        <v>00025946847KOVR</v>
      </c>
      <c r="C819" t="s">
        <v>120</v>
      </c>
      <c r="D819" t="s">
        <v>55</v>
      </c>
      <c r="E819" s="11">
        <v>20411454</v>
      </c>
      <c r="F819" t="s">
        <v>1639</v>
      </c>
      <c r="G819" t="s">
        <v>49</v>
      </c>
      <c r="H819" t="s">
        <v>50</v>
      </c>
      <c r="I819" s="1">
        <v>46054</v>
      </c>
      <c r="J819" s="2">
        <v>0</v>
      </c>
      <c r="K819" s="2">
        <v>175</v>
      </c>
      <c r="L819">
        <v>1</v>
      </c>
      <c r="M819" s="3">
        <v>1</v>
      </c>
      <c r="N819" s="2">
        <v>175</v>
      </c>
      <c r="P819" t="s">
        <v>1581</v>
      </c>
    </row>
    <row r="820" spans="1:16" x14ac:dyDescent="0.25">
      <c r="A820" s="4" t="s">
        <v>1283</v>
      </c>
      <c r="B820" s="4" t="str">
        <f t="shared" si="18"/>
        <v>00025950232KOVR</v>
      </c>
      <c r="C820" t="s">
        <v>122</v>
      </c>
      <c r="D820" t="s">
        <v>55</v>
      </c>
      <c r="E820" s="11">
        <v>20411454</v>
      </c>
      <c r="F820" t="s">
        <v>1639</v>
      </c>
      <c r="G820" t="s">
        <v>49</v>
      </c>
      <c r="H820" t="s">
        <v>50</v>
      </c>
      <c r="I820" s="1">
        <v>46054</v>
      </c>
      <c r="J820" s="2">
        <v>0</v>
      </c>
      <c r="K820" s="2">
        <v>175</v>
      </c>
      <c r="L820">
        <v>1</v>
      </c>
      <c r="M820" s="3">
        <v>1</v>
      </c>
      <c r="N820" s="2">
        <v>175</v>
      </c>
      <c r="P820" t="s">
        <v>1581</v>
      </c>
    </row>
    <row r="821" spans="1:16" x14ac:dyDescent="0.25">
      <c r="A821" s="4" t="s">
        <v>1284</v>
      </c>
      <c r="B821" s="4" t="str">
        <f t="shared" si="18"/>
        <v>00025950489KOVR</v>
      </c>
      <c r="C821" t="s">
        <v>126</v>
      </c>
      <c r="D821" t="s">
        <v>55</v>
      </c>
      <c r="E821" s="11">
        <v>20411454</v>
      </c>
      <c r="F821" t="s">
        <v>1639</v>
      </c>
      <c r="G821" t="s">
        <v>49</v>
      </c>
      <c r="H821" t="s">
        <v>50</v>
      </c>
      <c r="I821" s="1">
        <v>46054</v>
      </c>
      <c r="J821" s="2">
        <v>0</v>
      </c>
      <c r="K821" s="2">
        <v>175</v>
      </c>
      <c r="L821">
        <v>1</v>
      </c>
      <c r="M821" s="3">
        <v>1</v>
      </c>
      <c r="N821" s="2">
        <v>175</v>
      </c>
      <c r="P821" t="s">
        <v>1581</v>
      </c>
    </row>
    <row r="822" spans="1:16" x14ac:dyDescent="0.25">
      <c r="A822" s="4" t="s">
        <v>1285</v>
      </c>
      <c r="B822" s="4" t="str">
        <f t="shared" si="18"/>
        <v>00025954028KOVR</v>
      </c>
      <c r="C822" t="s">
        <v>130</v>
      </c>
      <c r="D822" t="s">
        <v>55</v>
      </c>
      <c r="E822" s="11">
        <v>20411454</v>
      </c>
      <c r="F822" t="s">
        <v>1639</v>
      </c>
      <c r="G822" t="s">
        <v>49</v>
      </c>
      <c r="H822" t="s">
        <v>50</v>
      </c>
      <c r="I822" s="1">
        <v>46054</v>
      </c>
      <c r="J822" s="2">
        <v>0</v>
      </c>
      <c r="K822" s="2">
        <v>175</v>
      </c>
      <c r="L822">
        <v>1</v>
      </c>
      <c r="M822" s="3">
        <v>1</v>
      </c>
      <c r="N822" s="2">
        <v>175</v>
      </c>
      <c r="P822" t="s">
        <v>1581</v>
      </c>
    </row>
    <row r="823" spans="1:16" x14ac:dyDescent="0.25">
      <c r="A823" s="4" t="s">
        <v>1286</v>
      </c>
      <c r="B823" s="4" t="str">
        <f t="shared" si="18"/>
        <v>00025957764KOVR</v>
      </c>
      <c r="C823" t="s">
        <v>132</v>
      </c>
      <c r="D823" t="s">
        <v>133</v>
      </c>
      <c r="E823" s="11">
        <v>20411454</v>
      </c>
      <c r="F823" t="s">
        <v>1639</v>
      </c>
      <c r="G823" t="s">
        <v>49</v>
      </c>
      <c r="H823" t="s">
        <v>50</v>
      </c>
      <c r="I823" s="1">
        <v>46054</v>
      </c>
      <c r="J823" s="2">
        <v>0</v>
      </c>
      <c r="K823" s="2">
        <v>175</v>
      </c>
      <c r="L823">
        <v>1</v>
      </c>
      <c r="M823" s="3">
        <v>1</v>
      </c>
      <c r="N823" s="2">
        <v>175</v>
      </c>
      <c r="P823" t="s">
        <v>1581</v>
      </c>
    </row>
    <row r="824" spans="1:16" x14ac:dyDescent="0.25">
      <c r="A824" s="4" t="s">
        <v>1287</v>
      </c>
      <c r="B824" s="4" t="str">
        <f t="shared" si="18"/>
        <v>00025957840KOVR</v>
      </c>
      <c r="C824" t="s">
        <v>137</v>
      </c>
      <c r="D824" t="s">
        <v>84</v>
      </c>
      <c r="E824" s="11">
        <v>20411454</v>
      </c>
      <c r="F824" t="s">
        <v>1639</v>
      </c>
      <c r="G824" t="s">
        <v>49</v>
      </c>
      <c r="H824" t="s">
        <v>50</v>
      </c>
      <c r="I824" s="1">
        <v>46082</v>
      </c>
      <c r="J824" s="2">
        <v>0</v>
      </c>
      <c r="K824" s="2">
        <v>175</v>
      </c>
      <c r="L824">
        <v>1</v>
      </c>
      <c r="M824" s="3">
        <v>1</v>
      </c>
      <c r="N824" s="2">
        <v>175</v>
      </c>
      <c r="P824" t="s">
        <v>1581</v>
      </c>
    </row>
    <row r="825" spans="1:16" x14ac:dyDescent="0.25">
      <c r="A825" s="4" t="s">
        <v>1288</v>
      </c>
      <c r="B825" s="4" t="str">
        <f t="shared" si="18"/>
        <v>00025958760KOVR</v>
      </c>
      <c r="C825" t="s">
        <v>141</v>
      </c>
      <c r="D825" t="s">
        <v>55</v>
      </c>
      <c r="E825" s="11">
        <v>20411454</v>
      </c>
      <c r="F825" t="s">
        <v>1639</v>
      </c>
      <c r="G825" t="s">
        <v>49</v>
      </c>
      <c r="H825" t="s">
        <v>50</v>
      </c>
      <c r="I825" s="1">
        <v>46054</v>
      </c>
      <c r="J825" s="2">
        <v>0</v>
      </c>
      <c r="K825" s="2">
        <v>175</v>
      </c>
      <c r="L825">
        <v>1</v>
      </c>
      <c r="M825" s="3">
        <v>1</v>
      </c>
      <c r="N825" s="2">
        <v>175</v>
      </c>
      <c r="P825" t="s">
        <v>1581</v>
      </c>
    </row>
    <row r="826" spans="1:16" x14ac:dyDescent="0.25">
      <c r="A826" s="4" t="s">
        <v>1289</v>
      </c>
      <c r="B826" s="4" t="str">
        <f t="shared" si="18"/>
        <v>00025959304KOVR</v>
      </c>
      <c r="C826" t="s">
        <v>143</v>
      </c>
      <c r="D826" t="s">
        <v>55</v>
      </c>
      <c r="E826" s="11">
        <v>20411454</v>
      </c>
      <c r="F826" t="s">
        <v>1639</v>
      </c>
      <c r="G826" t="s">
        <v>49</v>
      </c>
      <c r="H826" t="s">
        <v>50</v>
      </c>
      <c r="I826" s="1">
        <v>46054</v>
      </c>
      <c r="J826" s="2">
        <v>0</v>
      </c>
      <c r="K826" s="2">
        <v>175</v>
      </c>
      <c r="L826">
        <v>1</v>
      </c>
      <c r="M826" s="3">
        <v>1</v>
      </c>
      <c r="N826" s="2">
        <v>175</v>
      </c>
      <c r="P826" t="s">
        <v>1581</v>
      </c>
    </row>
    <row r="827" spans="1:16" x14ac:dyDescent="0.25">
      <c r="A827" s="4" t="s">
        <v>1290</v>
      </c>
      <c r="B827" s="4" t="str">
        <f t="shared" si="18"/>
        <v>00025959508KOVR</v>
      </c>
      <c r="C827" t="s">
        <v>145</v>
      </c>
      <c r="D827" t="s">
        <v>55</v>
      </c>
      <c r="E827" s="11">
        <v>20411454</v>
      </c>
      <c r="F827" t="s">
        <v>1639</v>
      </c>
      <c r="G827" t="s">
        <v>49</v>
      </c>
      <c r="H827" t="s">
        <v>50</v>
      </c>
      <c r="I827" s="1">
        <v>46054</v>
      </c>
      <c r="J827" s="2">
        <v>0</v>
      </c>
      <c r="K827" s="2">
        <v>175</v>
      </c>
      <c r="L827">
        <v>1</v>
      </c>
      <c r="M827" s="3">
        <v>1</v>
      </c>
      <c r="N827" s="2">
        <v>175</v>
      </c>
      <c r="P827" t="s">
        <v>1581</v>
      </c>
    </row>
    <row r="828" spans="1:16" x14ac:dyDescent="0.25">
      <c r="A828" s="4" t="s">
        <v>1291</v>
      </c>
      <c r="B828" s="4" t="str">
        <f t="shared" si="18"/>
        <v>00025960130KOVR</v>
      </c>
      <c r="C828" t="s">
        <v>147</v>
      </c>
      <c r="D828" t="s">
        <v>55</v>
      </c>
      <c r="E828" s="11">
        <v>20411454</v>
      </c>
      <c r="F828" t="s">
        <v>1639</v>
      </c>
      <c r="G828" t="s">
        <v>49</v>
      </c>
      <c r="H828" t="s">
        <v>50</v>
      </c>
      <c r="I828" s="1">
        <v>46054</v>
      </c>
      <c r="J828" s="2">
        <v>0</v>
      </c>
      <c r="K828" s="2">
        <v>175</v>
      </c>
      <c r="L828">
        <v>1</v>
      </c>
      <c r="M828" s="3">
        <v>1</v>
      </c>
      <c r="N828" s="2">
        <v>175</v>
      </c>
      <c r="P828" t="s">
        <v>1581</v>
      </c>
    </row>
    <row r="829" spans="1:16" x14ac:dyDescent="0.25">
      <c r="A829" s="4" t="s">
        <v>1292</v>
      </c>
      <c r="B829" s="4" t="str">
        <f t="shared" si="18"/>
        <v>00025962433KOVR</v>
      </c>
      <c r="C829" t="s">
        <v>151</v>
      </c>
      <c r="D829" t="s">
        <v>55</v>
      </c>
      <c r="E829" s="11">
        <v>20411454</v>
      </c>
      <c r="F829" t="s">
        <v>1639</v>
      </c>
      <c r="G829" t="s">
        <v>49</v>
      </c>
      <c r="H829" t="s">
        <v>50</v>
      </c>
      <c r="I829" s="1">
        <v>46054</v>
      </c>
      <c r="J829" s="2">
        <v>0</v>
      </c>
      <c r="K829" s="2">
        <v>175</v>
      </c>
      <c r="L829">
        <v>1</v>
      </c>
      <c r="M829" s="3">
        <v>1</v>
      </c>
      <c r="N829" s="2">
        <v>175</v>
      </c>
      <c r="P829" t="s">
        <v>1581</v>
      </c>
    </row>
    <row r="830" spans="1:16" x14ac:dyDescent="0.25">
      <c r="A830" s="4" t="s">
        <v>1293</v>
      </c>
      <c r="B830" s="4" t="str">
        <f t="shared" si="18"/>
        <v>00025964426KOVR</v>
      </c>
      <c r="C830" t="s">
        <v>155</v>
      </c>
      <c r="D830" t="s">
        <v>55</v>
      </c>
      <c r="E830" s="11">
        <v>20411454</v>
      </c>
      <c r="F830" t="s">
        <v>1639</v>
      </c>
      <c r="G830" t="s">
        <v>49</v>
      </c>
      <c r="H830" t="s">
        <v>50</v>
      </c>
      <c r="I830" s="1">
        <v>46054</v>
      </c>
      <c r="J830" s="2">
        <v>0</v>
      </c>
      <c r="K830" s="2">
        <v>175</v>
      </c>
      <c r="L830">
        <v>1</v>
      </c>
      <c r="M830" s="3">
        <v>1</v>
      </c>
      <c r="N830" s="2">
        <v>175</v>
      </c>
      <c r="P830" t="s">
        <v>1581</v>
      </c>
    </row>
    <row r="831" spans="1:16" x14ac:dyDescent="0.25">
      <c r="A831" s="4" t="s">
        <v>1294</v>
      </c>
      <c r="B831" s="4" t="str">
        <f t="shared" si="18"/>
        <v>00025965072KOVR</v>
      </c>
      <c r="C831" t="s">
        <v>157</v>
      </c>
      <c r="D831" t="s">
        <v>55</v>
      </c>
      <c r="E831" s="11">
        <v>20411454</v>
      </c>
      <c r="F831" t="s">
        <v>1639</v>
      </c>
      <c r="G831" t="s">
        <v>49</v>
      </c>
      <c r="H831" t="s">
        <v>50</v>
      </c>
      <c r="I831" s="1">
        <v>46054</v>
      </c>
      <c r="J831" s="2">
        <v>0</v>
      </c>
      <c r="K831" s="2">
        <v>175</v>
      </c>
      <c r="L831">
        <v>1</v>
      </c>
      <c r="M831" s="3">
        <v>1</v>
      </c>
      <c r="N831" s="2">
        <v>175</v>
      </c>
      <c r="P831" t="s">
        <v>1581</v>
      </c>
    </row>
    <row r="832" spans="1:16" x14ac:dyDescent="0.25">
      <c r="A832" s="4" t="s">
        <v>1295</v>
      </c>
      <c r="B832" s="4" t="str">
        <f t="shared" si="18"/>
        <v>00025968749KOVR</v>
      </c>
      <c r="C832" t="s">
        <v>161</v>
      </c>
      <c r="D832" t="s">
        <v>55</v>
      </c>
      <c r="E832" s="11">
        <v>20411454</v>
      </c>
      <c r="F832" t="s">
        <v>1639</v>
      </c>
      <c r="G832" t="s">
        <v>49</v>
      </c>
      <c r="H832" t="s">
        <v>50</v>
      </c>
      <c r="I832" s="1">
        <v>46082</v>
      </c>
      <c r="J832" s="2">
        <v>0</v>
      </c>
      <c r="K832" s="2">
        <v>175</v>
      </c>
      <c r="L832">
        <v>1</v>
      </c>
      <c r="M832" s="3">
        <v>1</v>
      </c>
      <c r="N832" s="2">
        <v>175</v>
      </c>
      <c r="P832" t="s">
        <v>1581</v>
      </c>
    </row>
    <row r="833" spans="1:20" x14ac:dyDescent="0.25">
      <c r="A833" s="4" t="s">
        <v>1296</v>
      </c>
      <c r="B833" s="4" t="str">
        <f t="shared" si="18"/>
        <v>00025970163KOVR</v>
      </c>
      <c r="C833" t="s">
        <v>163</v>
      </c>
      <c r="D833" t="s">
        <v>55</v>
      </c>
      <c r="E833" s="11">
        <v>20411454</v>
      </c>
      <c r="F833" t="s">
        <v>1639</v>
      </c>
      <c r="G833" t="s">
        <v>49</v>
      </c>
      <c r="H833" t="s">
        <v>50</v>
      </c>
      <c r="I833" s="1">
        <v>46054</v>
      </c>
      <c r="J833" s="2">
        <v>0</v>
      </c>
      <c r="K833" s="2">
        <v>175</v>
      </c>
      <c r="L833">
        <v>1</v>
      </c>
      <c r="M833" s="3">
        <v>1</v>
      </c>
      <c r="N833" s="2">
        <v>175</v>
      </c>
      <c r="P833" t="s">
        <v>1581</v>
      </c>
    </row>
    <row r="834" spans="1:20" x14ac:dyDescent="0.25">
      <c r="A834" s="4" t="s">
        <v>1297</v>
      </c>
      <c r="B834" s="4" t="str">
        <f t="shared" si="18"/>
        <v>00025971644KOVR</v>
      </c>
      <c r="C834" t="s">
        <v>167</v>
      </c>
      <c r="D834" t="s">
        <v>103</v>
      </c>
      <c r="E834" s="11">
        <v>20411454</v>
      </c>
      <c r="F834" t="s">
        <v>1639</v>
      </c>
      <c r="G834" t="s">
        <v>49</v>
      </c>
      <c r="H834" t="s">
        <v>50</v>
      </c>
      <c r="I834" s="1">
        <v>46113</v>
      </c>
      <c r="J834" s="2">
        <v>0</v>
      </c>
      <c r="K834" s="2">
        <v>175</v>
      </c>
      <c r="L834">
        <v>1</v>
      </c>
      <c r="M834" s="3">
        <v>1</v>
      </c>
      <c r="N834" s="2">
        <v>175</v>
      </c>
      <c r="P834" t="s">
        <v>1581</v>
      </c>
    </row>
    <row r="835" spans="1:20" x14ac:dyDescent="0.25">
      <c r="A835" s="4" t="s">
        <v>1298</v>
      </c>
      <c r="B835" s="4" t="str">
        <f t="shared" si="18"/>
        <v>00025972977KOVR</v>
      </c>
      <c r="C835" t="s">
        <v>169</v>
      </c>
      <c r="D835" t="s">
        <v>55</v>
      </c>
      <c r="E835" s="11">
        <v>20411454</v>
      </c>
      <c r="F835" t="s">
        <v>1639</v>
      </c>
      <c r="G835" t="s">
        <v>49</v>
      </c>
      <c r="H835" t="s">
        <v>50</v>
      </c>
      <c r="I835" s="1">
        <v>46054</v>
      </c>
      <c r="J835" s="2">
        <v>0</v>
      </c>
      <c r="K835" s="2">
        <v>175</v>
      </c>
      <c r="L835">
        <v>1</v>
      </c>
      <c r="M835" s="3">
        <v>1</v>
      </c>
      <c r="N835" s="2">
        <v>175</v>
      </c>
      <c r="P835" t="s">
        <v>1581</v>
      </c>
    </row>
    <row r="836" spans="1:20" x14ac:dyDescent="0.25">
      <c r="A836" s="4" t="s">
        <v>1299</v>
      </c>
      <c r="B836" s="4" t="str">
        <f t="shared" si="18"/>
        <v>00025974976KOVR</v>
      </c>
      <c r="C836" t="s">
        <v>171</v>
      </c>
      <c r="D836" t="s">
        <v>55</v>
      </c>
      <c r="E836" s="11">
        <v>20411454</v>
      </c>
      <c r="F836" t="s">
        <v>1639</v>
      </c>
      <c r="G836" t="s">
        <v>49</v>
      </c>
      <c r="H836" t="s">
        <v>50</v>
      </c>
      <c r="I836" s="1">
        <v>46113</v>
      </c>
      <c r="J836" s="2">
        <v>0</v>
      </c>
      <c r="K836" s="2">
        <v>175</v>
      </c>
      <c r="L836">
        <v>1</v>
      </c>
      <c r="M836" s="3">
        <v>1</v>
      </c>
      <c r="N836" s="2">
        <v>175</v>
      </c>
      <c r="P836" t="s">
        <v>1581</v>
      </c>
    </row>
    <row r="837" spans="1:20" x14ac:dyDescent="0.25">
      <c r="A837" s="4" t="s">
        <v>1300</v>
      </c>
      <c r="B837" s="4" t="str">
        <f t="shared" si="18"/>
        <v>00025976213KOVR</v>
      </c>
      <c r="C837" t="s">
        <v>175</v>
      </c>
      <c r="D837" t="s">
        <v>133</v>
      </c>
      <c r="E837" s="11">
        <v>20411454</v>
      </c>
      <c r="F837" t="s">
        <v>1639</v>
      </c>
      <c r="G837" t="s">
        <v>49</v>
      </c>
      <c r="H837" t="s">
        <v>50</v>
      </c>
      <c r="I837" s="1">
        <v>46054</v>
      </c>
      <c r="J837" s="2">
        <v>0</v>
      </c>
      <c r="K837" s="2">
        <v>175</v>
      </c>
      <c r="L837">
        <v>1</v>
      </c>
      <c r="M837" s="3">
        <v>1</v>
      </c>
      <c r="N837" s="2">
        <v>175</v>
      </c>
      <c r="P837" t="s">
        <v>1581</v>
      </c>
    </row>
    <row r="838" spans="1:20" x14ac:dyDescent="0.25">
      <c r="A838" s="4" t="s">
        <v>1301</v>
      </c>
      <c r="B838" s="4" t="str">
        <f t="shared" si="18"/>
        <v>00025978179KOVR</v>
      </c>
      <c r="C838" t="s">
        <v>179</v>
      </c>
      <c r="D838" t="s">
        <v>55</v>
      </c>
      <c r="E838" s="11">
        <v>20411454</v>
      </c>
      <c r="F838" t="s">
        <v>1639</v>
      </c>
      <c r="G838" t="s">
        <v>49</v>
      </c>
      <c r="H838" t="s">
        <v>50</v>
      </c>
      <c r="I838" s="1">
        <v>46054</v>
      </c>
      <c r="J838" s="2">
        <v>0</v>
      </c>
      <c r="K838" s="2">
        <v>175</v>
      </c>
      <c r="L838">
        <v>1</v>
      </c>
      <c r="M838" s="3">
        <v>1</v>
      </c>
      <c r="N838" s="2">
        <v>175</v>
      </c>
      <c r="P838" t="s">
        <v>1581</v>
      </c>
    </row>
    <row r="839" spans="1:20" x14ac:dyDescent="0.25">
      <c r="A839" s="4" t="s">
        <v>1302</v>
      </c>
      <c r="B839" s="4" t="str">
        <f t="shared" si="18"/>
        <v>00025980223KOVR</v>
      </c>
      <c r="C839" t="s">
        <v>181</v>
      </c>
      <c r="D839" t="s">
        <v>74</v>
      </c>
      <c r="E839" s="11">
        <v>20411454</v>
      </c>
      <c r="F839" t="s">
        <v>1639</v>
      </c>
      <c r="G839" t="s">
        <v>49</v>
      </c>
      <c r="H839" t="s">
        <v>50</v>
      </c>
      <c r="I839" s="1">
        <v>46054</v>
      </c>
      <c r="J839" s="2">
        <v>0</v>
      </c>
      <c r="K839" s="2">
        <v>175</v>
      </c>
      <c r="L839">
        <v>1</v>
      </c>
      <c r="M839" s="3">
        <v>1</v>
      </c>
      <c r="N839" s="2">
        <v>175</v>
      </c>
      <c r="P839" t="s">
        <v>1581</v>
      </c>
    </row>
    <row r="840" spans="1:20" x14ac:dyDescent="0.25">
      <c r="A840" s="4" t="s">
        <v>1303</v>
      </c>
      <c r="B840" s="4" t="str">
        <f t="shared" si="18"/>
        <v>00025981100KOVR</v>
      </c>
      <c r="C840" t="s">
        <v>183</v>
      </c>
      <c r="D840" t="s">
        <v>55</v>
      </c>
      <c r="E840" s="11">
        <v>20411454</v>
      </c>
      <c r="F840" t="s">
        <v>1639</v>
      </c>
      <c r="G840" t="s">
        <v>49</v>
      </c>
      <c r="H840" t="s">
        <v>50</v>
      </c>
      <c r="I840" s="1">
        <v>46054</v>
      </c>
      <c r="J840" s="2">
        <v>0</v>
      </c>
      <c r="K840" s="2">
        <v>175</v>
      </c>
      <c r="L840">
        <v>1</v>
      </c>
      <c r="M840" s="3">
        <v>1</v>
      </c>
      <c r="N840" s="2">
        <v>175</v>
      </c>
      <c r="P840" t="s">
        <v>1581</v>
      </c>
    </row>
    <row r="841" spans="1:20" x14ac:dyDescent="0.25">
      <c r="A841" s="4" t="s">
        <v>1304</v>
      </c>
      <c r="B841" s="4" t="str">
        <f t="shared" si="18"/>
        <v>00025982104KOVR</v>
      </c>
      <c r="C841" t="s">
        <v>185</v>
      </c>
      <c r="D841" t="s">
        <v>55</v>
      </c>
      <c r="E841" s="11">
        <v>20411454</v>
      </c>
      <c r="F841" t="s">
        <v>1639</v>
      </c>
      <c r="G841" t="s">
        <v>49</v>
      </c>
      <c r="H841" t="s">
        <v>50</v>
      </c>
      <c r="I841" s="1">
        <v>46054</v>
      </c>
      <c r="J841" s="2">
        <v>0</v>
      </c>
      <c r="K841" s="2">
        <v>175</v>
      </c>
      <c r="L841">
        <v>1</v>
      </c>
      <c r="M841" s="3">
        <v>1</v>
      </c>
      <c r="N841" s="2">
        <v>175</v>
      </c>
      <c r="P841" t="s">
        <v>1581</v>
      </c>
    </row>
    <row r="842" spans="1:20" x14ac:dyDescent="0.25">
      <c r="A842" s="4" t="s">
        <v>1305</v>
      </c>
      <c r="B842" s="4" t="str">
        <f t="shared" si="18"/>
        <v>00025982685KOVR</v>
      </c>
      <c r="C842" t="s">
        <v>189</v>
      </c>
      <c r="D842" t="s">
        <v>55</v>
      </c>
      <c r="E842" s="11">
        <v>20411454</v>
      </c>
      <c r="F842" t="s">
        <v>1639</v>
      </c>
      <c r="G842" t="s">
        <v>49</v>
      </c>
      <c r="H842" t="s">
        <v>50</v>
      </c>
      <c r="I842" s="1">
        <v>46054</v>
      </c>
      <c r="J842" s="2">
        <v>0</v>
      </c>
      <c r="K842" s="2">
        <v>175</v>
      </c>
      <c r="L842">
        <v>1</v>
      </c>
      <c r="M842" s="3">
        <v>1</v>
      </c>
      <c r="N842" s="2">
        <v>175</v>
      </c>
      <c r="P842" t="s">
        <v>1581</v>
      </c>
    </row>
    <row r="843" spans="1:20" x14ac:dyDescent="0.25">
      <c r="A843" s="4">
        <v>937444625</v>
      </c>
      <c r="B843" s="4" t="str">
        <f t="shared" si="18"/>
        <v>937444625OVR</v>
      </c>
      <c r="C843" t="s">
        <v>557</v>
      </c>
      <c r="D843" t="s">
        <v>74</v>
      </c>
      <c r="E843" s="11">
        <v>20411454</v>
      </c>
      <c r="F843" t="s">
        <v>1639</v>
      </c>
      <c r="G843" t="s">
        <v>491</v>
      </c>
      <c r="H843" t="s">
        <v>413</v>
      </c>
      <c r="I843" s="1">
        <v>46023</v>
      </c>
      <c r="N843">
        <v>-175</v>
      </c>
      <c r="P843" t="s">
        <v>1613</v>
      </c>
    </row>
    <row r="844" spans="1:20" s="6" customFormat="1" x14ac:dyDescent="0.25">
      <c r="A844" s="4">
        <v>941459548</v>
      </c>
      <c r="B844" s="4" t="str">
        <f t="shared" si="18"/>
        <v>941459548OVR</v>
      </c>
      <c r="C844" t="s">
        <v>560</v>
      </c>
      <c r="D844" t="s">
        <v>451</v>
      </c>
      <c r="E844" s="11">
        <v>20411454</v>
      </c>
      <c r="F844" t="s">
        <v>1639</v>
      </c>
      <c r="G844" t="s">
        <v>491</v>
      </c>
      <c r="H844" t="s">
        <v>413</v>
      </c>
      <c r="I844" s="1">
        <v>46054</v>
      </c>
      <c r="J844"/>
      <c r="K844"/>
      <c r="L844"/>
      <c r="M844"/>
      <c r="N844">
        <v>-175</v>
      </c>
      <c r="O844"/>
      <c r="P844" t="s">
        <v>1613</v>
      </c>
      <c r="Q844"/>
      <c r="R844"/>
      <c r="S844"/>
      <c r="T844"/>
    </row>
    <row r="845" spans="1:20" s="6" customFormat="1" x14ac:dyDescent="0.25">
      <c r="A845" s="4">
        <v>979408187</v>
      </c>
      <c r="B845" s="4" t="str">
        <f t="shared" si="18"/>
        <v>979408187OVR</v>
      </c>
      <c r="C845" t="s">
        <v>563</v>
      </c>
      <c r="D845" t="s">
        <v>55</v>
      </c>
      <c r="E845" s="11">
        <v>20411454</v>
      </c>
      <c r="F845" t="s">
        <v>1639</v>
      </c>
      <c r="G845" t="s">
        <v>491</v>
      </c>
      <c r="H845" t="s">
        <v>413</v>
      </c>
      <c r="I845" s="1">
        <v>46023</v>
      </c>
      <c r="J845"/>
      <c r="K845"/>
      <c r="L845"/>
      <c r="M845"/>
      <c r="N845">
        <v>-175</v>
      </c>
      <c r="O845"/>
      <c r="P845" t="s">
        <v>1613</v>
      </c>
      <c r="Q845"/>
      <c r="R845"/>
      <c r="S845"/>
      <c r="T845"/>
    </row>
    <row r="846" spans="1:20" s="6" customFormat="1" x14ac:dyDescent="0.25">
      <c r="A846" s="4">
        <v>926202494</v>
      </c>
      <c r="B846" s="4" t="str">
        <f t="shared" si="18"/>
        <v>926202494OVR</v>
      </c>
      <c r="C846" t="s">
        <v>428</v>
      </c>
      <c r="D846" t="s">
        <v>429</v>
      </c>
      <c r="E846" s="11">
        <v>20411454</v>
      </c>
      <c r="F846" t="s">
        <v>1639</v>
      </c>
      <c r="G846" t="s">
        <v>106</v>
      </c>
      <c r="H846" t="s">
        <v>433</v>
      </c>
      <c r="I846" s="1">
        <v>45992</v>
      </c>
      <c r="J846" s="2">
        <v>0</v>
      </c>
      <c r="K846" s="2">
        <v>4.17</v>
      </c>
      <c r="L846">
        <v>1</v>
      </c>
      <c r="M846" s="3">
        <v>1</v>
      </c>
      <c r="N846" s="2">
        <v>4.17</v>
      </c>
      <c r="O846" t="s">
        <v>431</v>
      </c>
      <c r="P846" t="s">
        <v>1613</v>
      </c>
      <c r="Q846"/>
      <c r="R846"/>
      <c r="S846"/>
      <c r="T846"/>
    </row>
    <row r="847" spans="1:20" s="6" customFormat="1" x14ac:dyDescent="0.25">
      <c r="A847" s="4">
        <v>130273314</v>
      </c>
      <c r="B847" s="4" t="str">
        <f t="shared" si="18"/>
        <v>130273314OVR</v>
      </c>
      <c r="C847" t="s">
        <v>1111</v>
      </c>
      <c r="D847" t="s">
        <v>133</v>
      </c>
      <c r="E847" s="11">
        <v>20411454</v>
      </c>
      <c r="F847" t="s">
        <v>1639</v>
      </c>
      <c r="G847" t="s">
        <v>49</v>
      </c>
      <c r="H847" t="s">
        <v>1114</v>
      </c>
      <c r="I847" s="1">
        <v>45474</v>
      </c>
      <c r="J847" s="2">
        <v>1</v>
      </c>
      <c r="K847" s="2">
        <v>1</v>
      </c>
      <c r="L847"/>
      <c r="M847" s="3">
        <v>1</v>
      </c>
      <c r="N847" s="2">
        <v>6</v>
      </c>
      <c r="O847" t="s">
        <v>711</v>
      </c>
      <c r="P847" t="s">
        <v>1613</v>
      </c>
      <c r="Q847"/>
      <c r="R847"/>
      <c r="S847"/>
      <c r="T847"/>
    </row>
    <row r="848" spans="1:20" s="6" customFormat="1" x14ac:dyDescent="0.25">
      <c r="A848" s="4">
        <v>130625781</v>
      </c>
      <c r="B848" s="4" t="str">
        <f t="shared" si="18"/>
        <v>130625781OVR</v>
      </c>
      <c r="C848" t="s">
        <v>1118</v>
      </c>
      <c r="D848" t="s">
        <v>74</v>
      </c>
      <c r="E848" s="11">
        <v>20411454</v>
      </c>
      <c r="F848" t="s">
        <v>1639</v>
      </c>
      <c r="G848" t="s">
        <v>49</v>
      </c>
      <c r="H848" t="s">
        <v>1114</v>
      </c>
      <c r="I848" s="1">
        <v>45536</v>
      </c>
      <c r="J848" s="2">
        <v>1</v>
      </c>
      <c r="K848" s="2">
        <v>1</v>
      </c>
      <c r="L848"/>
      <c r="M848" s="3">
        <v>1</v>
      </c>
      <c r="N848" s="2">
        <v>6</v>
      </c>
      <c r="O848" t="s">
        <v>711</v>
      </c>
      <c r="P848" t="s">
        <v>1613</v>
      </c>
      <c r="Q848"/>
      <c r="R848"/>
      <c r="S848"/>
      <c r="T848"/>
    </row>
    <row r="849" spans="1:20" s="6" customFormat="1" x14ac:dyDescent="0.25">
      <c r="A849" s="4">
        <v>906051412</v>
      </c>
      <c r="B849" s="4" t="str">
        <f t="shared" si="18"/>
        <v>906051412OVR</v>
      </c>
      <c r="C849" t="s">
        <v>1130</v>
      </c>
      <c r="D849" t="s">
        <v>55</v>
      </c>
      <c r="E849" s="11">
        <v>20411454</v>
      </c>
      <c r="F849" t="s">
        <v>1639</v>
      </c>
      <c r="G849" t="s">
        <v>49</v>
      </c>
      <c r="H849" t="s">
        <v>1114</v>
      </c>
      <c r="I849" s="1">
        <v>45566</v>
      </c>
      <c r="J849" s="2">
        <v>1</v>
      </c>
      <c r="K849" s="2">
        <v>1</v>
      </c>
      <c r="L849"/>
      <c r="M849" s="3">
        <v>1</v>
      </c>
      <c r="N849" s="2">
        <v>6</v>
      </c>
      <c r="O849" t="s">
        <v>711</v>
      </c>
      <c r="P849" t="s">
        <v>1613</v>
      </c>
      <c r="Q849"/>
      <c r="R849"/>
      <c r="S849"/>
      <c r="T849"/>
    </row>
    <row r="850" spans="1:20" s="6" customFormat="1" x14ac:dyDescent="0.25">
      <c r="A850" s="4">
        <v>909023469</v>
      </c>
      <c r="B850" s="4" t="str">
        <f t="shared" si="18"/>
        <v>909023469OVR</v>
      </c>
      <c r="C850" t="s">
        <v>1131</v>
      </c>
      <c r="D850" t="s">
        <v>202</v>
      </c>
      <c r="E850" s="11">
        <v>20411454</v>
      </c>
      <c r="F850" t="s">
        <v>1639</v>
      </c>
      <c r="G850" t="s">
        <v>106</v>
      </c>
      <c r="H850" t="s">
        <v>1114</v>
      </c>
      <c r="I850" s="1">
        <v>45627</v>
      </c>
      <c r="J850" s="2">
        <v>1</v>
      </c>
      <c r="K850" s="2">
        <v>1</v>
      </c>
      <c r="L850"/>
      <c r="M850" s="3">
        <v>1</v>
      </c>
      <c r="N850" s="2">
        <v>6</v>
      </c>
      <c r="O850" t="s">
        <v>711</v>
      </c>
      <c r="P850" t="s">
        <v>1613</v>
      </c>
      <c r="Q850"/>
      <c r="R850"/>
      <c r="S850"/>
      <c r="T850"/>
    </row>
    <row r="851" spans="1:20" s="6" customFormat="1" x14ac:dyDescent="0.25">
      <c r="A851" s="4">
        <v>967561705</v>
      </c>
      <c r="B851" s="4" t="str">
        <f t="shared" si="18"/>
        <v>967561705OVR</v>
      </c>
      <c r="C851" t="s">
        <v>1136</v>
      </c>
      <c r="D851" t="s">
        <v>55</v>
      </c>
      <c r="E851" s="11">
        <v>20411454</v>
      </c>
      <c r="F851" t="s">
        <v>1639</v>
      </c>
      <c r="G851" t="s">
        <v>106</v>
      </c>
      <c r="H851" t="s">
        <v>1114</v>
      </c>
      <c r="I851" s="1">
        <v>45597</v>
      </c>
      <c r="J851" s="2">
        <v>1</v>
      </c>
      <c r="K851" s="2">
        <v>1</v>
      </c>
      <c r="L851"/>
      <c r="M851" s="3">
        <v>1</v>
      </c>
      <c r="N851" s="2">
        <v>6</v>
      </c>
      <c r="O851" t="s">
        <v>711</v>
      </c>
      <c r="P851" t="s">
        <v>1613</v>
      </c>
      <c r="Q851"/>
      <c r="R851"/>
      <c r="S851"/>
      <c r="T851"/>
    </row>
    <row r="852" spans="1:20" s="6" customFormat="1" x14ac:dyDescent="0.25">
      <c r="A852" s="4">
        <v>970181792</v>
      </c>
      <c r="B852" s="4" t="str">
        <f t="shared" si="18"/>
        <v>970181792OVR</v>
      </c>
      <c r="C852" t="s">
        <v>1138</v>
      </c>
      <c r="D852" t="s">
        <v>1029</v>
      </c>
      <c r="E852" s="11">
        <v>20411454</v>
      </c>
      <c r="F852" t="s">
        <v>1639</v>
      </c>
      <c r="G852" t="s">
        <v>106</v>
      </c>
      <c r="H852" t="s">
        <v>1114</v>
      </c>
      <c r="I852" s="1">
        <v>45597</v>
      </c>
      <c r="J852" s="2">
        <v>1</v>
      </c>
      <c r="K852" s="2">
        <v>1</v>
      </c>
      <c r="L852"/>
      <c r="M852" s="3">
        <v>1</v>
      </c>
      <c r="N852" s="2">
        <v>6</v>
      </c>
      <c r="O852" t="s">
        <v>711</v>
      </c>
      <c r="P852" t="s">
        <v>1613</v>
      </c>
      <c r="Q852"/>
      <c r="R852"/>
      <c r="S852"/>
      <c r="T852"/>
    </row>
    <row r="853" spans="1:20" s="6" customFormat="1" x14ac:dyDescent="0.25">
      <c r="A853" s="4">
        <v>992088421</v>
      </c>
      <c r="B853" s="4" t="str">
        <f t="shared" si="18"/>
        <v>992088421OVR</v>
      </c>
      <c r="C853" t="s">
        <v>1141</v>
      </c>
      <c r="D853" t="s">
        <v>97</v>
      </c>
      <c r="E853" s="11">
        <v>20411454</v>
      </c>
      <c r="F853" t="s">
        <v>1639</v>
      </c>
      <c r="G853" t="s">
        <v>49</v>
      </c>
      <c r="H853" t="s">
        <v>1114</v>
      </c>
      <c r="I853" s="1">
        <v>45597</v>
      </c>
      <c r="J853" s="2">
        <v>1</v>
      </c>
      <c r="K853" s="2">
        <v>1</v>
      </c>
      <c r="L853"/>
      <c r="M853" s="3">
        <v>1</v>
      </c>
      <c r="N853" s="2">
        <v>6</v>
      </c>
      <c r="O853" t="s">
        <v>711</v>
      </c>
      <c r="P853" t="s">
        <v>1613</v>
      </c>
      <c r="Q853"/>
      <c r="R853"/>
      <c r="S853"/>
      <c r="T853"/>
    </row>
    <row r="854" spans="1:20" s="6" customFormat="1" x14ac:dyDescent="0.25">
      <c r="A854" s="4">
        <v>992248315</v>
      </c>
      <c r="B854" s="4" t="str">
        <f t="shared" si="18"/>
        <v>992248315OVR</v>
      </c>
      <c r="C854" t="s">
        <v>1142</v>
      </c>
      <c r="D854" t="s">
        <v>55</v>
      </c>
      <c r="E854" s="11">
        <v>20411454</v>
      </c>
      <c r="F854" t="s">
        <v>1639</v>
      </c>
      <c r="G854" t="s">
        <v>49</v>
      </c>
      <c r="H854" t="s">
        <v>1114</v>
      </c>
      <c r="I854" s="1">
        <v>45536</v>
      </c>
      <c r="J854" s="2">
        <v>1</v>
      </c>
      <c r="K854" s="2">
        <v>1</v>
      </c>
      <c r="L854"/>
      <c r="M854" s="3">
        <v>1</v>
      </c>
      <c r="N854" s="2">
        <v>6</v>
      </c>
      <c r="O854" t="s">
        <v>711</v>
      </c>
      <c r="P854" t="s">
        <v>1613</v>
      </c>
      <c r="Q854"/>
      <c r="R854"/>
      <c r="S854"/>
      <c r="T854"/>
    </row>
    <row r="855" spans="1:20" s="6" customFormat="1" x14ac:dyDescent="0.25">
      <c r="A855" s="4">
        <v>920223192</v>
      </c>
      <c r="B855" s="4" t="str">
        <f t="shared" si="18"/>
        <v>920223192OVR</v>
      </c>
      <c r="C855" t="s">
        <v>1133</v>
      </c>
      <c r="D855" t="s">
        <v>202</v>
      </c>
      <c r="E855" s="11">
        <v>20411454</v>
      </c>
      <c r="F855" t="s">
        <v>1639</v>
      </c>
      <c r="G855" t="s">
        <v>49</v>
      </c>
      <c r="H855" t="s">
        <v>1134</v>
      </c>
      <c r="I855" s="1">
        <v>45627</v>
      </c>
      <c r="J855" s="2">
        <v>1</v>
      </c>
      <c r="K855" s="2">
        <v>1</v>
      </c>
      <c r="L855"/>
      <c r="M855" s="3">
        <v>1</v>
      </c>
      <c r="N855" s="2">
        <v>6</v>
      </c>
      <c r="O855" t="s">
        <v>1135</v>
      </c>
      <c r="P855" t="s">
        <v>1613</v>
      </c>
      <c r="Q855"/>
      <c r="R855"/>
      <c r="S855"/>
      <c r="T855"/>
    </row>
    <row r="856" spans="1:20" s="6" customFormat="1" x14ac:dyDescent="0.25">
      <c r="A856" s="4">
        <v>967950774</v>
      </c>
      <c r="B856" s="4" t="str">
        <f t="shared" si="18"/>
        <v>967950774OVR</v>
      </c>
      <c r="C856" t="s">
        <v>1137</v>
      </c>
      <c r="D856" t="s">
        <v>202</v>
      </c>
      <c r="E856" s="11">
        <v>20411454</v>
      </c>
      <c r="F856" t="s">
        <v>1639</v>
      </c>
      <c r="G856" t="s">
        <v>49</v>
      </c>
      <c r="H856" t="s">
        <v>1134</v>
      </c>
      <c r="I856" s="1">
        <v>45627</v>
      </c>
      <c r="J856" s="2">
        <v>1</v>
      </c>
      <c r="K856" s="2">
        <v>1</v>
      </c>
      <c r="L856"/>
      <c r="M856" s="3">
        <v>1</v>
      </c>
      <c r="N856" s="2">
        <v>6</v>
      </c>
      <c r="O856" t="s">
        <v>1135</v>
      </c>
      <c r="P856" t="s">
        <v>1613</v>
      </c>
      <c r="Q856"/>
      <c r="R856"/>
      <c r="S856"/>
      <c r="T856"/>
    </row>
    <row r="857" spans="1:20" s="6" customFormat="1" x14ac:dyDescent="0.25">
      <c r="A857" s="4">
        <v>130524428</v>
      </c>
      <c r="B857" s="4" t="str">
        <f t="shared" si="18"/>
        <v>130524428OVR</v>
      </c>
      <c r="C857" t="s">
        <v>1115</v>
      </c>
      <c r="D857" t="s">
        <v>133</v>
      </c>
      <c r="E857" s="11">
        <v>20411454</v>
      </c>
      <c r="F857" t="s">
        <v>1639</v>
      </c>
      <c r="G857" t="s">
        <v>49</v>
      </c>
      <c r="H857" t="s">
        <v>1117</v>
      </c>
      <c r="I857" s="1">
        <v>45505</v>
      </c>
      <c r="J857" s="2">
        <v>1</v>
      </c>
      <c r="K857" s="2">
        <v>1</v>
      </c>
      <c r="L857"/>
      <c r="M857" s="3">
        <v>1</v>
      </c>
      <c r="N857" s="2">
        <v>6</v>
      </c>
      <c r="O857" t="s">
        <v>711</v>
      </c>
      <c r="P857" t="s">
        <v>1613</v>
      </c>
      <c r="Q857"/>
      <c r="R857"/>
      <c r="S857"/>
      <c r="T857"/>
    </row>
    <row r="858" spans="1:20" s="6" customFormat="1" x14ac:dyDescent="0.25">
      <c r="A858" s="4">
        <v>981141937</v>
      </c>
      <c r="B858" s="4" t="str">
        <f t="shared" si="18"/>
        <v>981141937OVR</v>
      </c>
      <c r="C858" t="s">
        <v>1139</v>
      </c>
      <c r="D858" t="s">
        <v>461</v>
      </c>
      <c r="E858" s="11">
        <v>20411454</v>
      </c>
      <c r="F858" t="s">
        <v>1639</v>
      </c>
      <c r="G858" t="s">
        <v>49</v>
      </c>
      <c r="H858" t="s">
        <v>1117</v>
      </c>
      <c r="I858" s="1">
        <v>45597</v>
      </c>
      <c r="J858" s="2">
        <v>1</v>
      </c>
      <c r="K858" s="2">
        <v>1</v>
      </c>
      <c r="L858"/>
      <c r="M858" s="3">
        <v>1</v>
      </c>
      <c r="N858" s="2">
        <v>6</v>
      </c>
      <c r="O858" t="s">
        <v>711</v>
      </c>
      <c r="P858" t="s">
        <v>1613</v>
      </c>
      <c r="Q858"/>
      <c r="R858"/>
      <c r="S858"/>
      <c r="T858"/>
    </row>
    <row r="859" spans="1:20" s="6" customFormat="1" x14ac:dyDescent="0.25">
      <c r="A859" s="4">
        <v>992426853</v>
      </c>
      <c r="B859" s="4" t="str">
        <f t="shared" si="18"/>
        <v>992426853OVR</v>
      </c>
      <c r="C859" t="s">
        <v>1143</v>
      </c>
      <c r="D859" t="s">
        <v>55</v>
      </c>
      <c r="E859" s="11">
        <v>20411454</v>
      </c>
      <c r="F859" t="s">
        <v>1639</v>
      </c>
      <c r="G859" t="s">
        <v>49</v>
      </c>
      <c r="H859" t="s">
        <v>1117</v>
      </c>
      <c r="I859" s="1">
        <v>45566</v>
      </c>
      <c r="J859" s="2">
        <v>1</v>
      </c>
      <c r="K859" s="2">
        <v>1</v>
      </c>
      <c r="L859"/>
      <c r="M859" s="3">
        <v>1</v>
      </c>
      <c r="N859" s="2">
        <v>6</v>
      </c>
      <c r="O859" t="s">
        <v>711</v>
      </c>
      <c r="P859" t="s">
        <v>1613</v>
      </c>
      <c r="Q859"/>
      <c r="R859"/>
      <c r="S859"/>
      <c r="T859"/>
    </row>
    <row r="860" spans="1:20" s="6" customFormat="1" x14ac:dyDescent="0.25">
      <c r="A860" s="4">
        <v>993708991</v>
      </c>
      <c r="B860" s="4" t="str">
        <f t="shared" si="18"/>
        <v>993708991OVR</v>
      </c>
      <c r="C860" t="s">
        <v>1145</v>
      </c>
      <c r="D860" t="s">
        <v>103</v>
      </c>
      <c r="E860" s="11">
        <v>20411454</v>
      </c>
      <c r="F860" t="s">
        <v>1639</v>
      </c>
      <c r="G860" t="s">
        <v>49</v>
      </c>
      <c r="H860" t="s">
        <v>1117</v>
      </c>
      <c r="I860" s="1">
        <v>45566</v>
      </c>
      <c r="J860" s="2">
        <v>1</v>
      </c>
      <c r="K860" s="2">
        <v>1</v>
      </c>
      <c r="L860"/>
      <c r="M860" s="3">
        <v>1</v>
      </c>
      <c r="N860" s="2">
        <v>6</v>
      </c>
      <c r="O860" t="s">
        <v>711</v>
      </c>
      <c r="P860" t="s">
        <v>1613</v>
      </c>
      <c r="Q860"/>
      <c r="R860"/>
      <c r="S860"/>
      <c r="T860"/>
    </row>
    <row r="861" spans="1:20" s="6" customFormat="1" x14ac:dyDescent="0.25">
      <c r="A861" s="4">
        <v>935028788</v>
      </c>
      <c r="B861" s="4" t="str">
        <f t="shared" si="18"/>
        <v>935028788OVR</v>
      </c>
      <c r="C861" t="s">
        <v>438</v>
      </c>
      <c r="D861" t="s">
        <v>55</v>
      </c>
      <c r="E861" s="11">
        <v>20411454</v>
      </c>
      <c r="F861" t="s">
        <v>1639</v>
      </c>
      <c r="G861" t="s">
        <v>49</v>
      </c>
      <c r="H861" t="s">
        <v>433</v>
      </c>
      <c r="I861" s="1">
        <v>46054</v>
      </c>
      <c r="J861" s="2">
        <v>0</v>
      </c>
      <c r="K861" s="2">
        <v>45.83</v>
      </c>
      <c r="L861">
        <v>1</v>
      </c>
      <c r="M861" s="3">
        <v>1</v>
      </c>
      <c r="N861" s="2">
        <v>45.83</v>
      </c>
      <c r="O861" t="s">
        <v>245</v>
      </c>
      <c r="P861" t="s">
        <v>1613</v>
      </c>
      <c r="Q861"/>
      <c r="R861"/>
      <c r="S861"/>
      <c r="T861"/>
    </row>
    <row r="862" spans="1:20" s="6" customFormat="1" x14ac:dyDescent="0.25">
      <c r="A862" s="4">
        <v>133726021</v>
      </c>
      <c r="B862" s="4" t="str">
        <f t="shared" si="18"/>
        <v>133726021OVR</v>
      </c>
      <c r="C862" t="s">
        <v>316</v>
      </c>
      <c r="D862" t="s">
        <v>202</v>
      </c>
      <c r="E862" s="11">
        <v>20411454</v>
      </c>
      <c r="F862" t="s">
        <v>1639</v>
      </c>
      <c r="G862" t="s">
        <v>49</v>
      </c>
      <c r="H862" t="s">
        <v>319</v>
      </c>
      <c r="I862" s="1">
        <v>46054</v>
      </c>
      <c r="J862" s="2">
        <v>0</v>
      </c>
      <c r="K862" s="2">
        <v>66</v>
      </c>
      <c r="L862">
        <v>1</v>
      </c>
      <c r="M862" s="3">
        <v>1</v>
      </c>
      <c r="N862" s="2">
        <v>66</v>
      </c>
      <c r="O862" t="s">
        <v>245</v>
      </c>
      <c r="P862" t="s">
        <v>1613</v>
      </c>
      <c r="Q862"/>
      <c r="R862"/>
      <c r="S862"/>
      <c r="T862"/>
    </row>
    <row r="863" spans="1:20" s="6" customFormat="1" x14ac:dyDescent="0.25">
      <c r="A863" s="4">
        <v>909525209</v>
      </c>
      <c r="B863" s="4" t="str">
        <f t="shared" ref="B863:B875" si="19">CONCATENATE(A863,"OVR")</f>
        <v>909525209OVR</v>
      </c>
      <c r="C863" t="s">
        <v>415</v>
      </c>
      <c r="D863" t="s">
        <v>55</v>
      </c>
      <c r="E863" s="11">
        <v>20411454</v>
      </c>
      <c r="F863" t="s">
        <v>1639</v>
      </c>
      <c r="G863" t="s">
        <v>49</v>
      </c>
      <c r="H863" t="s">
        <v>420</v>
      </c>
      <c r="I863" s="1">
        <v>46054</v>
      </c>
      <c r="J863" s="2">
        <v>0</v>
      </c>
      <c r="K863" s="2">
        <v>113</v>
      </c>
      <c r="L863">
        <v>1</v>
      </c>
      <c r="M863" s="3">
        <v>1</v>
      </c>
      <c r="N863" s="2">
        <v>113</v>
      </c>
      <c r="O863"/>
      <c r="P863" t="s">
        <v>1613</v>
      </c>
      <c r="Q863"/>
      <c r="R863"/>
      <c r="S863"/>
      <c r="T863"/>
    </row>
    <row r="864" spans="1:20" s="6" customFormat="1" x14ac:dyDescent="0.25">
      <c r="A864" s="4">
        <v>924390816</v>
      </c>
      <c r="B864" s="4" t="str">
        <f t="shared" si="19"/>
        <v>924390816OVR</v>
      </c>
      <c r="C864" t="s">
        <v>425</v>
      </c>
      <c r="D864" t="s">
        <v>97</v>
      </c>
      <c r="E864" s="11">
        <v>20411454</v>
      </c>
      <c r="F864" t="s">
        <v>1639</v>
      </c>
      <c r="G864" t="s">
        <v>49</v>
      </c>
      <c r="H864" t="s">
        <v>420</v>
      </c>
      <c r="I864" s="1">
        <v>46054</v>
      </c>
      <c r="J864" s="2">
        <v>0</v>
      </c>
      <c r="K864" s="2">
        <v>113</v>
      </c>
      <c r="L864">
        <v>1</v>
      </c>
      <c r="M864" s="3">
        <v>1</v>
      </c>
      <c r="N864" s="2">
        <v>113</v>
      </c>
      <c r="O864"/>
      <c r="P864" t="s">
        <v>1613</v>
      </c>
      <c r="Q864"/>
      <c r="R864"/>
      <c r="S864"/>
      <c r="T864"/>
    </row>
    <row r="865" spans="1:20" s="6" customFormat="1" x14ac:dyDescent="0.25">
      <c r="A865" s="4">
        <v>938953113</v>
      </c>
      <c r="B865" s="4" t="str">
        <f t="shared" si="19"/>
        <v>938953113OVR</v>
      </c>
      <c r="C865" t="s">
        <v>441</v>
      </c>
      <c r="D865" t="s">
        <v>97</v>
      </c>
      <c r="E865" s="11">
        <v>20411454</v>
      </c>
      <c r="F865" t="s">
        <v>1639</v>
      </c>
      <c r="G865" t="s">
        <v>49</v>
      </c>
      <c r="H865" t="s">
        <v>420</v>
      </c>
      <c r="I865" s="1">
        <v>46082</v>
      </c>
      <c r="J865" s="2">
        <v>0</v>
      </c>
      <c r="K865" s="2">
        <v>113</v>
      </c>
      <c r="L865">
        <v>1</v>
      </c>
      <c r="M865" s="3">
        <v>1</v>
      </c>
      <c r="N865" s="2">
        <v>113</v>
      </c>
      <c r="O865"/>
      <c r="P865" t="s">
        <v>1613</v>
      </c>
      <c r="Q865"/>
      <c r="R865"/>
      <c r="S865"/>
      <c r="T865"/>
    </row>
    <row r="866" spans="1:20" s="6" customFormat="1" x14ac:dyDescent="0.25">
      <c r="A866" s="4">
        <v>955501117</v>
      </c>
      <c r="B866" s="4" t="str">
        <f t="shared" si="19"/>
        <v>955501117OVR</v>
      </c>
      <c r="C866" t="s">
        <v>447</v>
      </c>
      <c r="D866" t="s">
        <v>55</v>
      </c>
      <c r="E866" s="11">
        <v>20411454</v>
      </c>
      <c r="F866" t="s">
        <v>1639</v>
      </c>
      <c r="G866" t="s">
        <v>49</v>
      </c>
      <c r="H866" t="s">
        <v>420</v>
      </c>
      <c r="I866" s="1">
        <v>46054</v>
      </c>
      <c r="J866" s="2">
        <v>0</v>
      </c>
      <c r="K866" s="2">
        <v>113</v>
      </c>
      <c r="L866">
        <v>1</v>
      </c>
      <c r="M866" s="3">
        <v>1</v>
      </c>
      <c r="N866" s="2">
        <v>113</v>
      </c>
      <c r="O866"/>
      <c r="P866" t="s">
        <v>1613</v>
      </c>
      <c r="Q866"/>
      <c r="R866"/>
      <c r="S866"/>
      <c r="T866"/>
    </row>
    <row r="867" spans="1:20" s="6" customFormat="1" x14ac:dyDescent="0.25">
      <c r="A867" s="4">
        <v>969662093</v>
      </c>
      <c r="B867" s="4" t="str">
        <f t="shared" si="19"/>
        <v>969662093OVR</v>
      </c>
      <c r="C867" t="s">
        <v>457</v>
      </c>
      <c r="D867" t="s">
        <v>55</v>
      </c>
      <c r="E867" s="11">
        <v>20411454</v>
      </c>
      <c r="F867" t="s">
        <v>1639</v>
      </c>
      <c r="G867" t="s">
        <v>49</v>
      </c>
      <c r="H867" t="s">
        <v>420</v>
      </c>
      <c r="I867" s="1">
        <v>46054</v>
      </c>
      <c r="J867" s="2">
        <v>0</v>
      </c>
      <c r="K867" s="2">
        <v>113</v>
      </c>
      <c r="L867">
        <v>1</v>
      </c>
      <c r="M867" s="3">
        <v>1</v>
      </c>
      <c r="N867" s="2">
        <v>113</v>
      </c>
      <c r="O867"/>
      <c r="P867" t="s">
        <v>1613</v>
      </c>
      <c r="Q867"/>
      <c r="R867"/>
      <c r="S867"/>
      <c r="T867"/>
    </row>
    <row r="868" spans="1:20" s="6" customFormat="1" x14ac:dyDescent="0.25">
      <c r="A868" s="4">
        <v>906753502</v>
      </c>
      <c r="B868" s="4" t="str">
        <f t="shared" si="19"/>
        <v>906753502OVR</v>
      </c>
      <c r="C868" t="s">
        <v>408</v>
      </c>
      <c r="D868" t="s">
        <v>55</v>
      </c>
      <c r="E868" s="11">
        <v>20411454</v>
      </c>
      <c r="F868" t="s">
        <v>1639</v>
      </c>
      <c r="G868" t="s">
        <v>49</v>
      </c>
      <c r="H868" t="s">
        <v>413</v>
      </c>
      <c r="I868" s="1">
        <v>46054</v>
      </c>
      <c r="J868" s="2">
        <v>0</v>
      </c>
      <c r="K868" s="2">
        <v>175</v>
      </c>
      <c r="L868">
        <v>1</v>
      </c>
      <c r="M868" s="3">
        <v>1</v>
      </c>
      <c r="N868" s="2">
        <v>175</v>
      </c>
      <c r="O868"/>
      <c r="P868" t="s">
        <v>1613</v>
      </c>
      <c r="Q868"/>
      <c r="R868"/>
      <c r="S868"/>
      <c r="T868"/>
    </row>
    <row r="869" spans="1:20" s="6" customFormat="1" x14ac:dyDescent="0.25">
      <c r="A869" s="4">
        <v>921791977</v>
      </c>
      <c r="B869" s="4" t="str">
        <f t="shared" si="19"/>
        <v>921791977OVR</v>
      </c>
      <c r="C869" t="s">
        <v>422</v>
      </c>
      <c r="D869" t="s">
        <v>287</v>
      </c>
      <c r="E869" s="11">
        <v>20411454</v>
      </c>
      <c r="F869" t="s">
        <v>1639</v>
      </c>
      <c r="G869" t="s">
        <v>49</v>
      </c>
      <c r="H869" t="s">
        <v>413</v>
      </c>
      <c r="I869" s="1">
        <v>46054</v>
      </c>
      <c r="J869" s="2">
        <v>0</v>
      </c>
      <c r="K869" s="2">
        <v>175</v>
      </c>
      <c r="L869">
        <v>1</v>
      </c>
      <c r="M869" s="3">
        <v>1</v>
      </c>
      <c r="N869" s="2">
        <v>175</v>
      </c>
      <c r="O869"/>
      <c r="P869" t="s">
        <v>1613</v>
      </c>
      <c r="Q869"/>
      <c r="R869"/>
      <c r="S869"/>
      <c r="T869"/>
    </row>
    <row r="870" spans="1:20" s="6" customFormat="1" x14ac:dyDescent="0.25">
      <c r="A870" s="4">
        <v>930381090</v>
      </c>
      <c r="B870" s="4" t="str">
        <f t="shared" si="19"/>
        <v>930381090OVR</v>
      </c>
      <c r="C870" t="s">
        <v>435</v>
      </c>
      <c r="D870" t="s">
        <v>55</v>
      </c>
      <c r="E870" s="11">
        <v>20411454</v>
      </c>
      <c r="F870" t="s">
        <v>1639</v>
      </c>
      <c r="G870" t="s">
        <v>49</v>
      </c>
      <c r="H870" t="s">
        <v>413</v>
      </c>
      <c r="I870" s="1">
        <v>46054</v>
      </c>
      <c r="J870" s="2">
        <v>0</v>
      </c>
      <c r="K870" s="2">
        <v>175</v>
      </c>
      <c r="L870">
        <v>1</v>
      </c>
      <c r="M870" s="3">
        <v>1</v>
      </c>
      <c r="N870" s="2">
        <v>175</v>
      </c>
      <c r="O870"/>
      <c r="P870" t="s">
        <v>1613</v>
      </c>
      <c r="Q870"/>
      <c r="R870"/>
      <c r="S870"/>
      <c r="T870"/>
    </row>
    <row r="871" spans="1:20" s="6" customFormat="1" x14ac:dyDescent="0.25">
      <c r="A871" s="4">
        <v>954096512</v>
      </c>
      <c r="B871" s="4" t="str">
        <f t="shared" si="19"/>
        <v>954096512OVR</v>
      </c>
      <c r="C871" t="s">
        <v>444</v>
      </c>
      <c r="D871" t="s">
        <v>97</v>
      </c>
      <c r="E871" s="11">
        <v>20411454</v>
      </c>
      <c r="F871" t="s">
        <v>1639</v>
      </c>
      <c r="G871" t="s">
        <v>49</v>
      </c>
      <c r="H871" t="s">
        <v>413</v>
      </c>
      <c r="I871" s="1">
        <v>46054</v>
      </c>
      <c r="J871" s="2">
        <v>0</v>
      </c>
      <c r="K871" s="2">
        <v>175</v>
      </c>
      <c r="L871">
        <v>1</v>
      </c>
      <c r="M871" s="3">
        <v>1</v>
      </c>
      <c r="N871" s="2">
        <v>175</v>
      </c>
      <c r="O871"/>
      <c r="P871" t="s">
        <v>1613</v>
      </c>
      <c r="Q871"/>
      <c r="R871"/>
      <c r="S871"/>
      <c r="T871"/>
    </row>
    <row r="872" spans="1:20" s="6" customFormat="1" x14ac:dyDescent="0.25">
      <c r="A872" s="4">
        <v>959417814</v>
      </c>
      <c r="B872" s="4" t="str">
        <f t="shared" si="19"/>
        <v>959417814OVR</v>
      </c>
      <c r="C872" t="s">
        <v>450</v>
      </c>
      <c r="D872" t="s">
        <v>451</v>
      </c>
      <c r="E872" s="11">
        <v>20411454</v>
      </c>
      <c r="F872" t="s">
        <v>1639</v>
      </c>
      <c r="G872" t="s">
        <v>49</v>
      </c>
      <c r="H872" t="s">
        <v>413</v>
      </c>
      <c r="I872" s="1">
        <v>46054</v>
      </c>
      <c r="J872" s="2">
        <v>0</v>
      </c>
      <c r="K872" s="2">
        <v>175</v>
      </c>
      <c r="L872">
        <v>1</v>
      </c>
      <c r="M872" s="3">
        <v>1</v>
      </c>
      <c r="N872" s="2">
        <v>175</v>
      </c>
      <c r="O872"/>
      <c r="P872" t="s">
        <v>1613</v>
      </c>
      <c r="Q872"/>
      <c r="R872"/>
      <c r="S872"/>
      <c r="T872"/>
    </row>
    <row r="873" spans="1:20" s="6" customFormat="1" x14ac:dyDescent="0.25">
      <c r="A873" s="4">
        <v>964488477</v>
      </c>
      <c r="B873" s="4" t="str">
        <f t="shared" si="19"/>
        <v>964488477OVR</v>
      </c>
      <c r="C873" t="s">
        <v>454</v>
      </c>
      <c r="D873" t="s">
        <v>97</v>
      </c>
      <c r="E873" s="11">
        <v>20411454</v>
      </c>
      <c r="F873" t="s">
        <v>1639</v>
      </c>
      <c r="G873" t="s">
        <v>49</v>
      </c>
      <c r="H873" t="s">
        <v>413</v>
      </c>
      <c r="I873" s="1">
        <v>46054</v>
      </c>
      <c r="J873" s="2">
        <v>0</v>
      </c>
      <c r="K873" s="2">
        <v>175</v>
      </c>
      <c r="L873">
        <v>1</v>
      </c>
      <c r="M873" s="3">
        <v>1</v>
      </c>
      <c r="N873" s="2">
        <v>175</v>
      </c>
      <c r="O873"/>
      <c r="P873" t="s">
        <v>1613</v>
      </c>
      <c r="Q873"/>
      <c r="R873"/>
      <c r="S873"/>
      <c r="T873"/>
    </row>
    <row r="874" spans="1:20" s="6" customFormat="1" x14ac:dyDescent="0.25">
      <c r="A874" s="4">
        <v>978519946</v>
      </c>
      <c r="B874" s="4" t="str">
        <f t="shared" si="19"/>
        <v>978519946OVR</v>
      </c>
      <c r="C874" t="s">
        <v>460</v>
      </c>
      <c r="D874" t="s">
        <v>461</v>
      </c>
      <c r="E874" s="11">
        <v>20411454</v>
      </c>
      <c r="F874" t="s">
        <v>1639</v>
      </c>
      <c r="G874" t="s">
        <v>49</v>
      </c>
      <c r="H874" t="s">
        <v>413</v>
      </c>
      <c r="I874" s="1">
        <v>46054</v>
      </c>
      <c r="J874" s="2">
        <v>0</v>
      </c>
      <c r="K874" s="2">
        <v>175</v>
      </c>
      <c r="L874">
        <v>1</v>
      </c>
      <c r="M874" s="3">
        <v>1</v>
      </c>
      <c r="N874" s="2">
        <v>175</v>
      </c>
      <c r="O874"/>
      <c r="P874" t="s">
        <v>1613</v>
      </c>
      <c r="Q874"/>
      <c r="R874"/>
      <c r="S874"/>
      <c r="T874"/>
    </row>
    <row r="875" spans="1:20" x14ac:dyDescent="0.25">
      <c r="A875" s="4" t="s">
        <v>1485</v>
      </c>
      <c r="B875" s="4" t="str">
        <f t="shared" si="19"/>
        <v>8JY2HT0WT21OVR</v>
      </c>
      <c r="C875" t="s">
        <v>1127</v>
      </c>
      <c r="D875" t="s">
        <v>97</v>
      </c>
      <c r="E875" s="11">
        <v>20411454</v>
      </c>
      <c r="F875" t="s">
        <v>1639</v>
      </c>
      <c r="G875" t="s">
        <v>49</v>
      </c>
      <c r="H875" t="s">
        <v>1128</v>
      </c>
      <c r="I875" s="1">
        <v>45717</v>
      </c>
      <c r="J875" s="2">
        <v>2</v>
      </c>
      <c r="K875" s="2">
        <v>2</v>
      </c>
      <c r="M875" s="3">
        <v>1</v>
      </c>
      <c r="N875" s="2">
        <v>12.5</v>
      </c>
      <c r="O875" t="s">
        <v>1129</v>
      </c>
      <c r="P875" t="s">
        <v>1622</v>
      </c>
    </row>
  </sheetData>
  <sortState xmlns:xlrd2="http://schemas.microsoft.com/office/spreadsheetml/2017/richdata2" ref="A2:T157">
    <sortCondition ref="P2:P157"/>
    <sortCondition descending="1" ref="L2:L157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E407F-FF63-4D62-B747-C6702AABAECF}">
  <dimension ref="A1:O5"/>
  <sheetViews>
    <sheetView tabSelected="1" workbookViewId="0">
      <selection activeCell="I8" sqref="I8"/>
    </sheetView>
  </sheetViews>
  <sheetFormatPr defaultRowHeight="15" x14ac:dyDescent="0.25"/>
  <cols>
    <col min="1" max="1" width="14.140625" bestFit="1" customWidth="1"/>
    <col min="8" max="8" width="10.140625" bestFit="1" customWidth="1"/>
  </cols>
  <sheetData>
    <row r="1" spans="1:15" x14ac:dyDescent="0.25">
      <c r="A1" s="4" t="s">
        <v>8</v>
      </c>
      <c r="B1" t="s">
        <v>9</v>
      </c>
      <c r="C1" t="s">
        <v>12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37</v>
      </c>
    </row>
    <row r="2" spans="1:15" s="6" customFormat="1" x14ac:dyDescent="0.25">
      <c r="A2" s="5" t="s">
        <v>1306</v>
      </c>
      <c r="B2" s="6" t="s">
        <v>191</v>
      </c>
      <c r="D2" s="6" t="s">
        <v>192</v>
      </c>
      <c r="E2" s="6" t="s">
        <v>193</v>
      </c>
      <c r="F2" s="6" t="s">
        <v>106</v>
      </c>
      <c r="G2" s="6" t="s">
        <v>194</v>
      </c>
      <c r="H2" s="7">
        <v>45992</v>
      </c>
      <c r="I2" s="8">
        <v>147.6</v>
      </c>
      <c r="J2" s="8">
        <v>147.6</v>
      </c>
      <c r="K2" s="6">
        <v>9</v>
      </c>
      <c r="L2" s="9">
        <v>0.03</v>
      </c>
      <c r="M2" s="8">
        <v>39.85</v>
      </c>
      <c r="O2" s="6" t="s">
        <v>1578</v>
      </c>
    </row>
    <row r="3" spans="1:15" s="6" customFormat="1" x14ac:dyDescent="0.25">
      <c r="A3" s="5" t="s">
        <v>1324</v>
      </c>
      <c r="B3" s="6" t="s">
        <v>369</v>
      </c>
      <c r="D3" s="6" t="s">
        <v>192</v>
      </c>
      <c r="E3" s="6" t="s">
        <v>193</v>
      </c>
      <c r="F3" s="6" t="s">
        <v>106</v>
      </c>
      <c r="G3" s="6" t="s">
        <v>194</v>
      </c>
      <c r="H3" s="7">
        <v>45992</v>
      </c>
      <c r="I3" s="8">
        <v>162</v>
      </c>
      <c r="J3" s="8">
        <v>162</v>
      </c>
      <c r="K3" s="6">
        <v>9</v>
      </c>
      <c r="L3" s="9">
        <v>0.03</v>
      </c>
      <c r="M3" s="8">
        <v>43.74</v>
      </c>
      <c r="O3" s="6" t="s">
        <v>1578</v>
      </c>
    </row>
    <row r="4" spans="1:15" s="6" customFormat="1" x14ac:dyDescent="0.25">
      <c r="A4" s="5" t="s">
        <v>1333</v>
      </c>
      <c r="B4" s="6" t="s">
        <v>390</v>
      </c>
      <c r="D4" s="6" t="s">
        <v>391</v>
      </c>
      <c r="E4" s="6" t="s">
        <v>392</v>
      </c>
      <c r="F4" s="6" t="s">
        <v>106</v>
      </c>
      <c r="G4" s="6" t="s">
        <v>194</v>
      </c>
      <c r="H4" s="7">
        <v>45992</v>
      </c>
      <c r="I4" s="8">
        <v>163.4</v>
      </c>
      <c r="J4" s="8">
        <v>163.4</v>
      </c>
      <c r="K4" s="6">
        <v>9</v>
      </c>
      <c r="L4" s="9">
        <v>0.03</v>
      </c>
      <c r="M4" s="8">
        <v>44.12</v>
      </c>
      <c r="O4" s="6" t="s">
        <v>1578</v>
      </c>
    </row>
    <row r="5" spans="1:15" s="6" customFormat="1" x14ac:dyDescent="0.25">
      <c r="A5" s="5" t="s">
        <v>1479</v>
      </c>
      <c r="B5" s="6" t="s">
        <v>708</v>
      </c>
      <c r="D5" s="6" t="s">
        <v>391</v>
      </c>
      <c r="E5" s="6" t="s">
        <v>392</v>
      </c>
      <c r="F5" s="6" t="s">
        <v>106</v>
      </c>
      <c r="G5" s="6" t="s">
        <v>194</v>
      </c>
      <c r="H5" s="7">
        <v>45962</v>
      </c>
      <c r="I5" s="8">
        <v>163.4</v>
      </c>
      <c r="J5" s="8">
        <v>163.4</v>
      </c>
      <c r="L5" s="9">
        <v>0.03</v>
      </c>
      <c r="M5" s="8">
        <v>4.9000000000000004</v>
      </c>
      <c r="N5" s="6" t="s">
        <v>709</v>
      </c>
      <c r="O5" s="6" t="s">
        <v>1578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Business Agent Statement - 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2026-02-02T19:16:38Z</dcterms:created>
  <dcterms:modified xsi:type="dcterms:W3CDTF">2026-02-23T14:37:38Z</dcterms:modified>
</cp:coreProperties>
</file>