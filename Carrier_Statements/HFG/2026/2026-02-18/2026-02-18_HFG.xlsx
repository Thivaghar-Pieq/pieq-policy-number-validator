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NB 2-18-26\"/>
    </mc:Choice>
  </mc:AlternateContent>
  <xr:revisionPtr revIDLastSave="0" documentId="13_ncr:1_{C8B205D9-5ED9-47F0-8FC8-2195B84EA0BC}" xr6:coauthVersionLast="47" xr6:coauthVersionMax="47" xr10:uidLastSave="{00000000-0000-0000-0000-000000000000}"/>
  <bookViews>
    <workbookView xWindow="-120" yWindow="-120" windowWidth="29040" windowHeight="16440" activeTab="1" xr2:uid="{79861C2A-6802-41C9-80C9-2494A060E191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O142" i="2" l="1"/>
  <c r="J144" i="2"/>
  <c r="L144" i="2"/>
  <c r="B129" i="2" l="1"/>
  <c r="B38" i="2"/>
  <c r="B43" i="2"/>
  <c r="B30" i="2"/>
  <c r="B34" i="2"/>
  <c r="B42" i="2"/>
  <c r="B41" i="2"/>
  <c r="B139" i="2"/>
  <c r="B40" i="2"/>
  <c r="B138" i="2"/>
  <c r="B133" i="2"/>
  <c r="B33" i="2"/>
  <c r="B37" i="2"/>
  <c r="B157" i="2"/>
  <c r="B29" i="2"/>
  <c r="B156" i="2"/>
  <c r="B155" i="2"/>
  <c r="B154" i="2"/>
  <c r="B36" i="2"/>
  <c r="B127" i="2"/>
  <c r="B136" i="2"/>
  <c r="B31" i="2"/>
  <c r="B153" i="2"/>
  <c r="B132" i="2"/>
  <c r="B35" i="2"/>
  <c r="B32" i="2"/>
  <c r="B39" i="2"/>
  <c r="B28" i="2"/>
  <c r="B22" i="2"/>
  <c r="B21" i="2"/>
  <c r="B20" i="2"/>
  <c r="B15" i="2"/>
  <c r="B152" i="2"/>
  <c r="B151" i="2"/>
  <c r="B19" i="2"/>
  <c r="B135" i="2"/>
  <c r="B17" i="2"/>
  <c r="B16" i="2"/>
  <c r="B150" i="2"/>
  <c r="B18" i="2"/>
  <c r="B131" i="2"/>
  <c r="B149" i="2"/>
  <c r="B148" i="2"/>
  <c r="B126" i="2"/>
  <c r="B128" i="2"/>
  <c r="B4" i="2"/>
  <c r="B134" i="2"/>
  <c r="B8" i="2"/>
  <c r="B147" i="2"/>
  <c r="B6" i="2"/>
  <c r="B7" i="2"/>
  <c r="B5" i="2"/>
  <c r="B146" i="2"/>
  <c r="B1" i="2"/>
  <c r="B3" i="2"/>
  <c r="B2" i="2"/>
  <c r="B145" i="2"/>
  <c r="B144" i="2"/>
  <c r="B143" i="2"/>
  <c r="B142" i="2"/>
  <c r="B130" i="2"/>
  <c r="B27" i="2"/>
  <c r="B137" i="2"/>
  <c r="B125" i="2"/>
  <c r="B141" i="2"/>
  <c r="B24" i="2"/>
  <c r="B26" i="2"/>
  <c r="B23" i="2"/>
  <c r="B25" i="2"/>
  <c r="B140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14" i="2"/>
  <c r="B13" i="2"/>
  <c r="B12" i="2"/>
  <c r="B11" i="2"/>
  <c r="B10" i="2"/>
  <c r="B9" i="2"/>
  <c r="T142" i="2"/>
  <c r="U142" i="2" s="1"/>
  <c r="S147" i="2"/>
  <c r="S5" i="2"/>
  <c r="S33" i="2"/>
  <c r="S22" i="2"/>
  <c r="S8" i="2"/>
  <c r="S4" i="2"/>
  <c r="S42" i="2"/>
  <c r="S133" i="2"/>
  <c r="S138" i="2"/>
  <c r="S2" i="2"/>
  <c r="S126" i="2"/>
  <c r="S28" i="2"/>
</calcChain>
</file>

<file path=xl/sharedStrings.xml><?xml version="1.0" encoding="utf-8"?>
<sst xmlns="http://schemas.openxmlformats.org/spreadsheetml/2006/main" count="3520" uniqueCount="549">
  <si>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</si>
  <si>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</si>
  <si>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</si>
  <si>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</si>
  <si>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</si>
  <si>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</si>
  <si>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</si>
  <si>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</si>
  <si>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</si>
  <si>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</si>
  <si>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</si>
  <si>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</si>
  <si>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</si>
  <si>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</si>
  <si>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</si>
  <si>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</si>
  <si>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</si>
  <si>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</si>
  <si>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</si>
  <si>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</si>
  <si>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</si>
  <si>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</si>
  <si>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</si>
  <si>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</si>
  <si>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</si>
  <si>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</si>
  <si>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</si>
  <si>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</si>
  <si>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</si>
  <si>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</si>
  <si>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</si>
  <si>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</si>
  <si>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</si>
  <si>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</si>
  <si>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</si>
  <si>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</si>
  <si>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</si>
  <si>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</si>
  <si>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</si>
  <si>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</si>
  <si>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</si>
  <si>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</si>
  <si>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</si>
  <si>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</si>
  <si>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'00004155102K</t>
  </si>
  <si>
    <t>EDWARD JOHNSON</t>
  </si>
  <si>
    <t>MI</t>
  </si>
  <si>
    <t>'045605</t>
  </si>
  <si>
    <t>GARY PORTUGAL</t>
  </si>
  <si>
    <t>ACTIVE</t>
  </si>
  <si>
    <t>Humana MA 2019+ Level 15- 175/108</t>
  </si>
  <si>
    <t>Monthly</t>
  </si>
  <si>
    <t>AV</t>
  </si>
  <si>
    <t>'00007470034K</t>
  </si>
  <si>
    <t>JAMES MCCAIN</t>
  </si>
  <si>
    <t>FL</t>
  </si>
  <si>
    <t>'00007959026K</t>
  </si>
  <si>
    <t>MARTHA BROOKS</t>
  </si>
  <si>
    <t>OK</t>
  </si>
  <si>
    <t>'043638</t>
  </si>
  <si>
    <t>THOMAS PARDUE</t>
  </si>
  <si>
    <t>Humana MA 2019+ Level 15- 175/108 Repl 2024</t>
  </si>
  <si>
    <t>'00014525232K</t>
  </si>
  <si>
    <t>REYNALDO UMALI</t>
  </si>
  <si>
    <t>IL</t>
  </si>
  <si>
    <t>'045613</t>
  </si>
  <si>
    <t>RICARDO SANTOS</t>
  </si>
  <si>
    <t>'00016375265K</t>
  </si>
  <si>
    <t>DEBORAH JOHNSON</t>
  </si>
  <si>
    <t>'00016402117K</t>
  </si>
  <si>
    <t>ROBERT RAMIS</t>
  </si>
  <si>
    <t>'045712</t>
  </si>
  <si>
    <t>GREGORY HANSFORD</t>
  </si>
  <si>
    <t>'00018138098K</t>
  </si>
  <si>
    <t>JOHN JONES</t>
  </si>
  <si>
    <t>NM</t>
  </si>
  <si>
    <t>'045967</t>
  </si>
  <si>
    <t>DANNA GREEN</t>
  </si>
  <si>
    <t>'00018142972K</t>
  </si>
  <si>
    <t>ILENE WILSON</t>
  </si>
  <si>
    <t>Active</t>
  </si>
  <si>
    <t>Humana MA Bonus Upload 02-18-2026.xlsx</t>
  </si>
  <si>
    <t>'00019368907K</t>
  </si>
  <si>
    <t>K CRAIG</t>
  </si>
  <si>
    <t>'00022094137K</t>
  </si>
  <si>
    <t>MARCO SANCHEZ</t>
  </si>
  <si>
    <t>'043682</t>
  </si>
  <si>
    <t>GREGORY TEIPEL</t>
  </si>
  <si>
    <t>'00023536079K</t>
  </si>
  <si>
    <t>TODD BROWNLEE</t>
  </si>
  <si>
    <t>'043718</t>
  </si>
  <si>
    <t>CHAD YALE</t>
  </si>
  <si>
    <t>'00024586250K</t>
  </si>
  <si>
    <t>CHERYL DOROS</t>
  </si>
  <si>
    <t>'00024586478K</t>
  </si>
  <si>
    <t>JACEK DOROS</t>
  </si>
  <si>
    <t>'00025205339K</t>
  </si>
  <si>
    <t>DAVID RODAK</t>
  </si>
  <si>
    <t>'045603</t>
  </si>
  <si>
    <t>ANDREW CHOI</t>
  </si>
  <si>
    <t>'00025852824K</t>
  </si>
  <si>
    <t>VOJKA KOSTIC</t>
  </si>
  <si>
    <t>'045611</t>
  </si>
  <si>
    <t>FRANK LISKOVEC</t>
  </si>
  <si>
    <t>'00026061723K</t>
  </si>
  <si>
    <t>SOCORRO ESCARPITA</t>
  </si>
  <si>
    <t>'045966</t>
  </si>
  <si>
    <t>ANTONIA NEVAREZ</t>
  </si>
  <si>
    <t>'00026062967K</t>
  </si>
  <si>
    <t>EMILY LIN</t>
  </si>
  <si>
    <t>'00026066370K</t>
  </si>
  <si>
    <t>MEEGAN O BRIEN</t>
  </si>
  <si>
    <t>WI</t>
  </si>
  <si>
    <t>'045447</t>
  </si>
  <si>
    <t>ROBERT SIEVEWRIGHT</t>
  </si>
  <si>
    <t>'00026073567K</t>
  </si>
  <si>
    <t>SANIJA CUBIC</t>
  </si>
  <si>
    <t>'046015</t>
  </si>
  <si>
    <t>SANDRA SENTMAN</t>
  </si>
  <si>
    <t>'00026076610K</t>
  </si>
  <si>
    <t>LAURIE GINTER</t>
  </si>
  <si>
    <t>'043637</t>
  </si>
  <si>
    <t>CHRISTIAN TAUGNER</t>
  </si>
  <si>
    <t>'00026078794K</t>
  </si>
  <si>
    <t>STEPHEN SULSKI</t>
  </si>
  <si>
    <t>'043714</t>
  </si>
  <si>
    <t>BRIAN STROHMAN</t>
  </si>
  <si>
    <t>'00026083549K</t>
  </si>
  <si>
    <t>MARYANN COHILL</t>
  </si>
  <si>
    <t>OH</t>
  </si>
  <si>
    <t>'045885</t>
  </si>
  <si>
    <t>CHAD BENDER</t>
  </si>
  <si>
    <t>'00026083796K</t>
  </si>
  <si>
    <t>KURT DELABAR</t>
  </si>
  <si>
    <t>TX</t>
  </si>
  <si>
    <t>'00026086364K</t>
  </si>
  <si>
    <t>JOHN DESMOND</t>
  </si>
  <si>
    <t>'045604</t>
  </si>
  <si>
    <t>JEFFREY HORN</t>
  </si>
  <si>
    <t>'00026088711K</t>
  </si>
  <si>
    <t>COLLEEN KUHNS</t>
  </si>
  <si>
    <t>'045638</t>
  </si>
  <si>
    <t>RICHARD YALE</t>
  </si>
  <si>
    <t>'00026089661K</t>
  </si>
  <si>
    <t>KEVIN BOKROS</t>
  </si>
  <si>
    <t>SC</t>
  </si>
  <si>
    <t>'00026091935K</t>
  </si>
  <si>
    <t>JESS STOERY</t>
  </si>
  <si>
    <t>'043813</t>
  </si>
  <si>
    <t>VICTOR FUENTES</t>
  </si>
  <si>
    <t>'00026092563K</t>
  </si>
  <si>
    <t>EDWARD WOMACK</t>
  </si>
  <si>
    <t>'043969</t>
  </si>
  <si>
    <t>STACEY PORTUGAL</t>
  </si>
  <si>
    <t>'00026092673K</t>
  </si>
  <si>
    <t>WILLIAM PRUENTE</t>
  </si>
  <si>
    <t>'00026099968K</t>
  </si>
  <si>
    <t>KATHLEEN TOULON</t>
  </si>
  <si>
    <t>'043618</t>
  </si>
  <si>
    <t>SAADIA ABDUL</t>
  </si>
  <si>
    <t>'00026103178K</t>
  </si>
  <si>
    <t>BRENDA HARRIS</t>
  </si>
  <si>
    <t>'00026103538K</t>
  </si>
  <si>
    <t>THOMAS CONFORTI</t>
  </si>
  <si>
    <t>'00026104690K</t>
  </si>
  <si>
    <t>ERRIN AUXIER</t>
  </si>
  <si>
    <t>'101086547500</t>
  </si>
  <si>
    <t>FRANK STUPER</t>
  </si>
  <si>
    <t>PA</t>
  </si>
  <si>
    <t>'043611</t>
  </si>
  <si>
    <t>TIMOTHY POWERS</t>
  </si>
  <si>
    <t>Aetna MAPD NMO to MMO - 2025+ Replace E-App</t>
  </si>
  <si>
    <t>11/12 PRORATE</t>
  </si>
  <si>
    <t>'101128227000</t>
  </si>
  <si>
    <t>FRED BIERBAUM</t>
  </si>
  <si>
    <t>'045622</t>
  </si>
  <si>
    <t>JACOB YALE</t>
  </si>
  <si>
    <t>'101458687800</t>
  </si>
  <si>
    <t>BARRY GASPER</t>
  </si>
  <si>
    <t>'043679</t>
  </si>
  <si>
    <t>DEBORAH INSKIPT</t>
  </si>
  <si>
    <t>'101853302100</t>
  </si>
  <si>
    <t>JOHN ZULICK</t>
  </si>
  <si>
    <t>'101951156200</t>
  </si>
  <si>
    <t>GREGORY DUNLAP</t>
  </si>
  <si>
    <t>'102178830400</t>
  </si>
  <si>
    <t>MICHAEL HUBERTY</t>
  </si>
  <si>
    <t>'102261103900</t>
  </si>
  <si>
    <t>KEVIN LANE</t>
  </si>
  <si>
    <t>'102261184800</t>
  </si>
  <si>
    <t>DAVID KLUKAN</t>
  </si>
  <si>
    <t>'102261226800</t>
  </si>
  <si>
    <t>STACEY PELLERIN</t>
  </si>
  <si>
    <t>'043786</t>
  </si>
  <si>
    <t>MARGARET SMITH</t>
  </si>
  <si>
    <t>'102261469100</t>
  </si>
  <si>
    <t>BEA NANCE</t>
  </si>
  <si>
    <t>'046034</t>
  </si>
  <si>
    <t>INES BERG</t>
  </si>
  <si>
    <t>'102261632000</t>
  </si>
  <si>
    <t>FRANK HAWRYLIAK</t>
  </si>
  <si>
    <t>10/12 PRORATE</t>
  </si>
  <si>
    <t>'102261961300</t>
  </si>
  <si>
    <t>MARTHA ECKERT</t>
  </si>
  <si>
    <t>'045607</t>
  </si>
  <si>
    <t>PAMELA DEATON</t>
  </si>
  <si>
    <t>9/12 PRORATE</t>
  </si>
  <si>
    <t>'102261995100</t>
  </si>
  <si>
    <t>MICHAEL HANSON</t>
  </si>
  <si>
    <t>'043644</t>
  </si>
  <si>
    <t>TIMOTHY HODGMAN</t>
  </si>
  <si>
    <t>'102262001300</t>
  </si>
  <si>
    <t>JENNA SINES</t>
  </si>
  <si>
    <t>'102262032300</t>
  </si>
  <si>
    <t>DEBRA HOSETTE</t>
  </si>
  <si>
    <t>'043705</t>
  </si>
  <si>
    <t>MICHAEL DUNAVANT</t>
  </si>
  <si>
    <t>'118301290</t>
  </si>
  <si>
    <t>BARBARA RASMUSSEN</t>
  </si>
  <si>
    <t>'040060</t>
  </si>
  <si>
    <t>RYAN SHEPARD</t>
  </si>
  <si>
    <t>UHC MAPD Street payable to upline- 2026 Replace</t>
  </si>
  <si>
    <t>'118301290OV</t>
  </si>
  <si>
    <t>UHC MA Direct 2025 New Initial Prorated</t>
  </si>
  <si>
    <t>'134111141</t>
  </si>
  <si>
    <t>ERNESTO GONZALEZ</t>
  </si>
  <si>
    <t>'045896</t>
  </si>
  <si>
    <t>LENSIE GONZALEZ</t>
  </si>
  <si>
    <t>'134111141OV</t>
  </si>
  <si>
    <t>'135532215</t>
  </si>
  <si>
    <t>ROBERT TOUMA</t>
  </si>
  <si>
    <t>'135532215OV</t>
  </si>
  <si>
    <t>UHC MA Direct 2025 New Full</t>
  </si>
  <si>
    <t>'36078996</t>
  </si>
  <si>
    <t>RAQUEL GABRIEL BENNEWITZ</t>
  </si>
  <si>
    <t>'045632</t>
  </si>
  <si>
    <t>BARRY SCHUMANN</t>
  </si>
  <si>
    <t>Cigna MAPD FMO to GA 1-1-19+ - Replacement</t>
  </si>
  <si>
    <t>'73X2X6H35</t>
  </si>
  <si>
    <t>SCOTT WALLACE</t>
  </si>
  <si>
    <t>Cigna MAPD FMO to GA 1-1-19+ - New</t>
  </si>
  <si>
    <t>'904503951</t>
  </si>
  <si>
    <t>PATRICIA BENSON</t>
  </si>
  <si>
    <t>WA</t>
  </si>
  <si>
    <t>'904503951OV</t>
  </si>
  <si>
    <t>'906753502</t>
  </si>
  <si>
    <t>CATERINA VITALE</t>
  </si>
  <si>
    <t>UHC MAPD Street payable to upline - 2026 New</t>
  </si>
  <si>
    <t>'909525209</t>
  </si>
  <si>
    <t>REYNALDO ELAZEGUI</t>
  </si>
  <si>
    <t>UHC MAPD Street payable to upline- 2026 Pro New - Other</t>
  </si>
  <si>
    <t>'910777204</t>
  </si>
  <si>
    <t>ALBERTO GAN</t>
  </si>
  <si>
    <t>'910777204OV</t>
  </si>
  <si>
    <t>'914839672</t>
  </si>
  <si>
    <t>SOCORRA GARCIA</t>
  </si>
  <si>
    <t>UHC MAPD Street payable to upline- 2025 Replace</t>
  </si>
  <si>
    <t>3/12 PRORATE</t>
  </si>
  <si>
    <t>'914839672OV</t>
  </si>
  <si>
    <t>UHC MA Direct 2025 New Prorated</t>
  </si>
  <si>
    <t>'915597096</t>
  </si>
  <si>
    <t>DONNA HOFFMAN</t>
  </si>
  <si>
    <t>'045621</t>
  </si>
  <si>
    <t>HEATHER GESKE</t>
  </si>
  <si>
    <t>'915804764</t>
  </si>
  <si>
    <t>MARISA BELL</t>
  </si>
  <si>
    <t>'921791977</t>
  </si>
  <si>
    <t>HENRY CARPENTER</t>
  </si>
  <si>
    <t>NC</t>
  </si>
  <si>
    <t>'045591</t>
  </si>
  <si>
    <t>CHRISTOPHER BROUSSEAU</t>
  </si>
  <si>
    <t>'924390816</t>
  </si>
  <si>
    <t>LORENZO ONTIVEROS</t>
  </si>
  <si>
    <t>UHC MAPD Street payable to upline - 2026 New - Other</t>
  </si>
  <si>
    <t>'927977925</t>
  </si>
  <si>
    <t>SANDRA MILLER</t>
  </si>
  <si>
    <t>'928733294</t>
  </si>
  <si>
    <t>MARCIA MCMAHAN</t>
  </si>
  <si>
    <t>'928733294OV</t>
  </si>
  <si>
    <t>'930381090</t>
  </si>
  <si>
    <t>JOHN BAKER</t>
  </si>
  <si>
    <t>'045671</t>
  </si>
  <si>
    <t>ROBERT SHAPIRO</t>
  </si>
  <si>
    <t>'930834019</t>
  </si>
  <si>
    <t>CARLA GALBRAITH</t>
  </si>
  <si>
    <t>UHC MAPD Street payable to upline PA/CT- 2026 New</t>
  </si>
  <si>
    <t>'930940452</t>
  </si>
  <si>
    <t>LAGRIMAS EXCONDE</t>
  </si>
  <si>
    <t>NA</t>
  </si>
  <si>
    <t>'930940452OV</t>
  </si>
  <si>
    <t>'931294540</t>
  </si>
  <si>
    <t>PHILLIP BLOCKER</t>
  </si>
  <si>
    <t>UHC MAPD Street payable to upline- 2026 Pro New</t>
  </si>
  <si>
    <t>'938953113</t>
  </si>
  <si>
    <t>RODNEY ROUSSARIE</t>
  </si>
  <si>
    <t>'943642521</t>
  </si>
  <si>
    <t>SHELLY GANNON</t>
  </si>
  <si>
    <t>CO</t>
  </si>
  <si>
    <t>'043713</t>
  </si>
  <si>
    <t>JOEL LEE</t>
  </si>
  <si>
    <t>'951450707</t>
  </si>
  <si>
    <t>WILLIAM BACHMANN</t>
  </si>
  <si>
    <t>'952041018</t>
  </si>
  <si>
    <t>MARILYN DOBSON</t>
  </si>
  <si>
    <t>'952041018OV</t>
  </si>
  <si>
    <t>'953417433</t>
  </si>
  <si>
    <t>AVIS PECHEOS</t>
  </si>
  <si>
    <t>'953417433OV</t>
  </si>
  <si>
    <t>'954096512</t>
  </si>
  <si>
    <t>ARMILLIA SNEED</t>
  </si>
  <si>
    <t>'955501117</t>
  </si>
  <si>
    <t>AMPARO ELAZEGUI</t>
  </si>
  <si>
    <t>'964488477</t>
  </si>
  <si>
    <t>ADA OWENS</t>
  </si>
  <si>
    <t>'967243928</t>
  </si>
  <si>
    <t>STEVE JACKSON</t>
  </si>
  <si>
    <t>'967243928OV</t>
  </si>
  <si>
    <t>'967468809</t>
  </si>
  <si>
    <t>GEORGE WILD</t>
  </si>
  <si>
    <t>UHC MAPD Street payable to upline- 2026 Replace - Other</t>
  </si>
  <si>
    <t>'967468809OV</t>
  </si>
  <si>
    <t>UHC MA Direct 2025 New Full - Other</t>
  </si>
  <si>
    <t>'974471146</t>
  </si>
  <si>
    <t>CHRISTINE GRAY</t>
  </si>
  <si>
    <t>'045601</t>
  </si>
  <si>
    <t>CAROL FOLEY</t>
  </si>
  <si>
    <t>'977735774</t>
  </si>
  <si>
    <t>DEBORAH WELSH</t>
  </si>
  <si>
    <t>'978519946</t>
  </si>
  <si>
    <t>VINCENT GABRIELSE</t>
  </si>
  <si>
    <t>'980482625</t>
  </si>
  <si>
    <t>DAVID CADDY</t>
  </si>
  <si>
    <t>'980482625OV</t>
  </si>
  <si>
    <t>UHC MA Direct 2025 New Initial Prorated - Other</t>
  </si>
  <si>
    <t>'987973610</t>
  </si>
  <si>
    <t>WILLA TAYLOR</t>
  </si>
  <si>
    <t>'987973610OV</t>
  </si>
  <si>
    <t>'993657159</t>
  </si>
  <si>
    <t>TONYA MERKE</t>
  </si>
  <si>
    <t>'045609</t>
  </si>
  <si>
    <t>MURRAY STERNER</t>
  </si>
  <si>
    <t>UHC MAPD Street payable to upline PA/CT- 2026 New - Other</t>
  </si>
  <si>
    <t>'993657159OV</t>
  </si>
  <si>
    <t>UHC MA 2025+ New Structure New Full - Other</t>
  </si>
  <si>
    <t>'A04424007</t>
  </si>
  <si>
    <t>RICHELLE BROUILLET</t>
  </si>
  <si>
    <t>UHC AARP Med Supp 2026+ WA All Plans</t>
  </si>
  <si>
    <t>'A04425945</t>
  </si>
  <si>
    <t>MICHAEL SCHNEIDER</t>
  </si>
  <si>
    <t>'A04427325</t>
  </si>
  <si>
    <t>MEHRNAZ SAEED-VAFA</t>
  </si>
  <si>
    <t>'043800</t>
  </si>
  <si>
    <t>BARRY BRENNER</t>
  </si>
  <si>
    <t>UHC AARP Med Supp 2026+ AR AZ IL KS MS NC NJ PA SC - Plans F G</t>
  </si>
  <si>
    <t>'A04429474</t>
  </si>
  <si>
    <t>HILARY GRANT</t>
  </si>
  <si>
    <t>'043689</t>
  </si>
  <si>
    <t>ANNE MARIE KOZACHECK</t>
  </si>
  <si>
    <t>'A04429631</t>
  </si>
  <si>
    <t>MARTHA REGAL</t>
  </si>
  <si>
    <t>'A04429661</t>
  </si>
  <si>
    <t>CATHERINE LOMBARDI</t>
  </si>
  <si>
    <t>'A04429861</t>
  </si>
  <si>
    <t>KAREN METZINGER</t>
  </si>
  <si>
    <t>UHC AARP Med Supp 2026+ AZ IL KS ME NC TN WV Plan B C D F G</t>
  </si>
  <si>
    <t>'A04430561</t>
  </si>
  <si>
    <t>KATHIE SWIBAKER</t>
  </si>
  <si>
    <t>UHC AARP Med Supp 2026+ OH Plan N</t>
  </si>
  <si>
    <t>'A04430821</t>
  </si>
  <si>
    <t>STEPHANIE KERCH</t>
  </si>
  <si>
    <t>'A04431607</t>
  </si>
  <si>
    <t>BARBARA GOWOROWSKI</t>
  </si>
  <si>
    <t>'A04431665</t>
  </si>
  <si>
    <t>PATRICIA HARDT</t>
  </si>
  <si>
    <t>'045673</t>
  </si>
  <si>
    <t>MARK ROCCIA</t>
  </si>
  <si>
    <t>CB</t>
  </si>
  <si>
    <t>'00010858562KPC</t>
  </si>
  <si>
    <t>DAVID JOHNSON</t>
  </si>
  <si>
    <t>CHARGEBACK</t>
  </si>
  <si>
    <t>'00012091926KPC</t>
  </si>
  <si>
    <t>SHIRLEY GAGE</t>
  </si>
  <si>
    <t>'00014525232KPC</t>
  </si>
  <si>
    <t>'00023765948KBCB</t>
  </si>
  <si>
    <t>RUSSELL LANCE</t>
  </si>
  <si>
    <t>'00024137824KPC</t>
  </si>
  <si>
    <t>RICHARD MARTIN</t>
  </si>
  <si>
    <t>'00024289280KPDPPC</t>
  </si>
  <si>
    <t>JOHN STOKES</t>
  </si>
  <si>
    <t>Humana PDP 2019+ Level 15- 15/0</t>
  </si>
  <si>
    <t>'00025715339KPC</t>
  </si>
  <si>
    <t>JOYCE PITTMAN</t>
  </si>
  <si>
    <t>'00025761939KPC</t>
  </si>
  <si>
    <t>JIMMY LAWRENCE</t>
  </si>
  <si>
    <t>'046024</t>
  </si>
  <si>
    <t>LATESHA (TC) ROSE</t>
  </si>
  <si>
    <t>'00025866840KPC</t>
  </si>
  <si>
    <t>FRUMA GOFMAN</t>
  </si>
  <si>
    <t>'00025993104KCB</t>
  </si>
  <si>
    <t>BRENDA MARANO</t>
  </si>
  <si>
    <t>'043739</t>
  </si>
  <si>
    <t>ANDREA PETRUNGARO</t>
  </si>
  <si>
    <t>'00026030304KPC</t>
  </si>
  <si>
    <t>VESTER JONES</t>
  </si>
  <si>
    <t>'101942229700PC</t>
  </si>
  <si>
    <t>JUDY KENT</t>
  </si>
  <si>
    <t>'043633</t>
  </si>
  <si>
    <t>RICHARD WUENSCH</t>
  </si>
  <si>
    <t>Aetna MAPD NMO to MMO - 2025+ New E-App</t>
  </si>
  <si>
    <t>'102201932000PC</t>
  </si>
  <si>
    <t>NEWTON ELLENBARGER</t>
  </si>
  <si>
    <t>'102217983900CB</t>
  </si>
  <si>
    <t>ROSA DELAFUENTE</t>
  </si>
  <si>
    <t>'046040</t>
  </si>
  <si>
    <t>DANIEL CARNEY</t>
  </si>
  <si>
    <t>'102247489500PC</t>
  </si>
  <si>
    <t>KATHRYN CLARK</t>
  </si>
  <si>
    <t>'102253394300CB</t>
  </si>
  <si>
    <t>LISA HOLLEY</t>
  </si>
  <si>
    <t>'045684</t>
  </si>
  <si>
    <t>JILL SHEPARD</t>
  </si>
  <si>
    <t>'102254768700CB</t>
  </si>
  <si>
    <t>ELIZABETH WILSON</t>
  </si>
  <si>
    <t>AZ</t>
  </si>
  <si>
    <t>'134111141CB</t>
  </si>
  <si>
    <t>'134111141OVCB</t>
  </si>
  <si>
    <t>'22R1L9L44CB</t>
  </si>
  <si>
    <t>CHERYLL HARRIS</t>
  </si>
  <si>
    <t>'903355671CB</t>
  </si>
  <si>
    <t>STANTON HEIMSATH</t>
  </si>
  <si>
    <t>IN</t>
  </si>
  <si>
    <t>'903355671OVCB</t>
  </si>
  <si>
    <t>'906753502CB</t>
  </si>
  <si>
    <t>'909525209CB</t>
  </si>
  <si>
    <t>'915597096CB</t>
  </si>
  <si>
    <t>'915804764CB</t>
  </si>
  <si>
    <t>'921791977CB</t>
  </si>
  <si>
    <t>'924390816CB</t>
  </si>
  <si>
    <t>'927977925CB</t>
  </si>
  <si>
    <t>'930381090CB</t>
  </si>
  <si>
    <t>'930834019CB</t>
  </si>
  <si>
    <t>UHC MAPD Street payable to upline PA/CT- 2026 Replace</t>
  </si>
  <si>
    <t>'931294540CB</t>
  </si>
  <si>
    <t>'938953113CB</t>
  </si>
  <si>
    <t>'943642521CB</t>
  </si>
  <si>
    <t>'951450707CB</t>
  </si>
  <si>
    <t>'954096512CB</t>
  </si>
  <si>
    <t>'955501117CB</t>
  </si>
  <si>
    <t>'964488477CB</t>
  </si>
  <si>
    <t>'974471146CB</t>
  </si>
  <si>
    <t>'977735774CB</t>
  </si>
  <si>
    <t>'978519946CB</t>
  </si>
  <si>
    <t>'993657159CB</t>
  </si>
  <si>
    <t>UHC PDP Street payable to upline -2024 New Full</t>
  </si>
  <si>
    <t>'993657159OVCB</t>
  </si>
  <si>
    <t>UHC MA Direct 2024 New Full</t>
  </si>
  <si>
    <t>'A04424007CB</t>
  </si>
  <si>
    <t>'A04425945CB</t>
  </si>
  <si>
    <t>'MEQNDVZM00000153055CB</t>
  </si>
  <si>
    <t>DEBBIE SHELDON</t>
  </si>
  <si>
    <t>'046124</t>
  </si>
  <si>
    <t>KENNETH WEITZMAN</t>
  </si>
  <si>
    <t>Aetna MAPD OVR</t>
  </si>
  <si>
    <t>Cigna MAPD Ovr</t>
  </si>
  <si>
    <t>Humana MAPD OVR</t>
  </si>
  <si>
    <t>Humana PDP</t>
  </si>
  <si>
    <t>UHC MAPD Ovr</t>
  </si>
  <si>
    <t>UHC 2026</t>
  </si>
  <si>
    <t>2026 UHC MAPD National</t>
  </si>
  <si>
    <t>UHC MAPD 2026*</t>
  </si>
  <si>
    <t>UHC MAPD 2025*</t>
  </si>
  <si>
    <t>2026 UHC MAPD National*</t>
  </si>
  <si>
    <t>UHC 2026 CT, PA, DC</t>
  </si>
  <si>
    <t>UHC 2026 CT, PA, DC *</t>
  </si>
  <si>
    <t>UHC PDP 2025!</t>
  </si>
  <si>
    <t>[%/$=347][prorate=11/12]</t>
  </si>
  <si>
    <t>[%/$=391][prorate=11/12]</t>
  </si>
  <si>
    <t>[%/$=347][prorate=12/12]</t>
  </si>
  <si>
    <t>[%/$=347][prorate=9/12]</t>
  </si>
  <si>
    <t>[%/$=203][prorate=11/12]</t>
  </si>
  <si>
    <t>[%/$=203][prorate=10/12]</t>
  </si>
  <si>
    <t>[%/$=313][prorate=3/12]</t>
  </si>
  <si>
    <t>[%/$=347][prorate=10/12]</t>
  </si>
  <si>
    <t>[%/$=406][prorate=11/12]</t>
  </si>
  <si>
    <t>[%/$=406][prorate=12/12]</t>
  </si>
  <si>
    <t>[%/$=694][prorate=11/12]</t>
  </si>
  <si>
    <t>[%/$=694]</t>
  </si>
  <si>
    <t>[%/$=781]</t>
  </si>
  <si>
    <t>2026 UHC non-Special Needs Plans PPOs CT, PA, DC</t>
  </si>
  <si>
    <t>[%/$=465]</t>
  </si>
  <si>
    <t>73X2X6H35</t>
  </si>
  <si>
    <t>00004155102K</t>
  </si>
  <si>
    <t>00007470034K</t>
  </si>
  <si>
    <t>00016375265K</t>
  </si>
  <si>
    <t>00016402117K</t>
  </si>
  <si>
    <t>00018138098K</t>
  </si>
  <si>
    <t>00018142972K</t>
  </si>
  <si>
    <t>00019368907K</t>
  </si>
  <si>
    <t>00022094137K</t>
  </si>
  <si>
    <t>00023536079K</t>
  </si>
  <si>
    <t>00025205339K</t>
  </si>
  <si>
    <t>00026061723K</t>
  </si>
  <si>
    <t>00026062967K</t>
  </si>
  <si>
    <t>00026066370K</t>
  </si>
  <si>
    <t>00026073567K</t>
  </si>
  <si>
    <t>00026076610K</t>
  </si>
  <si>
    <t>00026078794K</t>
  </si>
  <si>
    <t>00026083549K</t>
  </si>
  <si>
    <t>00026083796K</t>
  </si>
  <si>
    <t>00026086364K</t>
  </si>
  <si>
    <t>00026088711K</t>
  </si>
  <si>
    <t>00026089661K</t>
  </si>
  <si>
    <t>00026091935K</t>
  </si>
  <si>
    <t>00026092563K</t>
  </si>
  <si>
    <t>00026092673K</t>
  </si>
  <si>
    <t>00026099968K</t>
  </si>
  <si>
    <t>00026103178K</t>
  </si>
  <si>
    <t>00026103538K</t>
  </si>
  <si>
    <t>00026104690K</t>
  </si>
  <si>
    <t>00007959026K</t>
  </si>
  <si>
    <t>00014525232K</t>
  </si>
  <si>
    <t>00024586250K</t>
  </si>
  <si>
    <t>00024586478K</t>
  </si>
  <si>
    <t>00025852824K</t>
  </si>
  <si>
    <t>A04427325</t>
  </si>
  <si>
    <t>A04429474</t>
  </si>
  <si>
    <t>A04429631</t>
  </si>
  <si>
    <t>A04429661</t>
  </si>
  <si>
    <t>A04430821</t>
  </si>
  <si>
    <t>A04431665</t>
  </si>
  <si>
    <t>A04429861</t>
  </si>
  <si>
    <t>A04431607</t>
  </si>
  <si>
    <t>A04430561</t>
  </si>
  <si>
    <t>A04424007</t>
  </si>
  <si>
    <t>A04425945</t>
  </si>
  <si>
    <t>MEQNDVZM00000153055</t>
  </si>
  <si>
    <t>22R1L9L44</t>
  </si>
  <si>
    <t>00025993104K</t>
  </si>
  <si>
    <t>00010858562K</t>
  </si>
  <si>
    <t>00012091926K</t>
  </si>
  <si>
    <t>00024137824K</t>
  </si>
  <si>
    <t>00025715339K</t>
  </si>
  <si>
    <t>00025761939K</t>
  </si>
  <si>
    <t>00025866840K</t>
  </si>
  <si>
    <t>00026030304K</t>
  </si>
  <si>
    <t>00024289280KPDP</t>
  </si>
  <si>
    <t>00023765948K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</si>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</sst>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  <xf numFmtId="0" fontId="14" fillId="34" borderId="0" xfId="0" applyFont="1" applyFill="1"/>
    <xf numFmtId="14" fontId="14" fillId="34" borderId="0" xfId="0" applyNumberFormat="1" applyFont="1" applyFill="1"/>
    <xf numFmtId="8" fontId="14" fillId="34" borderId="0" xfId="0" applyNumberFormat="1" applyFont="1" applyFill="1"/>
    <xf numFmtId="10" fontId="14" fillId="34" borderId="0" xfId="0" applyNumberFormat="1" applyFont="1" applyFill="1"/>
    <xf numFmtId="1" fontId="0" fillId="0" borderId="0" xfId="0" applyNumberFormat="1" applyAlignment="1">
      <alignment horizontal="left"/>
    </xf>
    <xf numFmtId="1" fontId="0" fillId="34" borderId="0" xfId="0" applyNumberFormat="1" applyFill="1" applyAlignment="1">
      <alignment horizontal="left"/>
    </xf>
    <xf numFmtId="1" fontId="14" fillId="34" borderId="0" xfId="0" applyNumberFormat="1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B9B8-D83B-443D-A89C-FA5382B1F4D4}">
  <dimension ref="A1:AL157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26.140625" bestFit="1" customWidth="1"/>
    <col min="10" max="10" width="27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4.5703125" bestFit="1" customWidth="1"/>
    <col min="17" max="17" width="12.85546875" bestFit="1" customWidth="1"/>
    <col min="18" max="18" width="60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9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46071</v>
      </c>
      <c r="B2" s="1">
        <v>46071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46082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6266249</v>
      </c>
    </row>
    <row r="3" spans="1:38" x14ac:dyDescent="0.25">
      <c r="A3" s="1">
        <v>46071</v>
      </c>
      <c r="B3" s="1">
        <v>46071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47</v>
      </c>
      <c r="P3" t="s">
        <v>48</v>
      </c>
      <c r="Q3" t="s">
        <v>49</v>
      </c>
      <c r="R3" t="s">
        <v>50</v>
      </c>
      <c r="S3" s="1">
        <v>46082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6266250</v>
      </c>
    </row>
    <row r="4" spans="1:38" x14ac:dyDescent="0.25">
      <c r="A4" s="1">
        <v>46071</v>
      </c>
      <c r="B4" s="1">
        <v>46071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56</v>
      </c>
      <c r="J4" t="s">
        <v>57</v>
      </c>
      <c r="M4" t="s">
        <v>58</v>
      </c>
      <c r="O4" t="s">
        <v>59</v>
      </c>
      <c r="P4" t="s">
        <v>60</v>
      </c>
      <c r="Q4" t="s">
        <v>49</v>
      </c>
      <c r="R4" t="s">
        <v>61</v>
      </c>
      <c r="S4" s="1">
        <v>46054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6266147</v>
      </c>
    </row>
    <row r="5" spans="1:38" x14ac:dyDescent="0.25">
      <c r="A5" s="1">
        <v>46071</v>
      </c>
      <c r="B5" s="1">
        <v>46071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63</v>
      </c>
      <c r="M5" t="s">
        <v>64</v>
      </c>
      <c r="O5" t="s">
        <v>65</v>
      </c>
      <c r="P5" t="s">
        <v>66</v>
      </c>
      <c r="Q5" t="s">
        <v>49</v>
      </c>
      <c r="R5" t="s">
        <v>61</v>
      </c>
      <c r="S5" s="1">
        <v>46082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6266148</v>
      </c>
    </row>
    <row r="6" spans="1:38" x14ac:dyDescent="0.25">
      <c r="A6" s="1">
        <v>46071</v>
      </c>
      <c r="B6" s="1">
        <v>46071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67</v>
      </c>
      <c r="J6" t="s">
        <v>68</v>
      </c>
      <c r="M6" t="s">
        <v>46</v>
      </c>
      <c r="O6" t="s">
        <v>47</v>
      </c>
      <c r="P6" t="s">
        <v>48</v>
      </c>
      <c r="Q6" t="s">
        <v>49</v>
      </c>
      <c r="R6" t="s">
        <v>50</v>
      </c>
      <c r="S6" s="1">
        <v>46082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6266251</v>
      </c>
    </row>
    <row r="7" spans="1:38" x14ac:dyDescent="0.25">
      <c r="A7" s="1">
        <v>46071</v>
      </c>
      <c r="B7" s="1">
        <v>46071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69</v>
      </c>
      <c r="J7" t="s">
        <v>70</v>
      </c>
      <c r="M7" t="s">
        <v>64</v>
      </c>
      <c r="O7" t="s">
        <v>71</v>
      </c>
      <c r="P7" t="s">
        <v>72</v>
      </c>
      <c r="Q7" t="s">
        <v>49</v>
      </c>
      <c r="R7" t="s">
        <v>50</v>
      </c>
      <c r="S7" s="1">
        <v>46082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6266252</v>
      </c>
    </row>
    <row r="8" spans="1:38" x14ac:dyDescent="0.25">
      <c r="A8" s="1">
        <v>46071</v>
      </c>
      <c r="B8" s="1">
        <v>46071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73</v>
      </c>
      <c r="J8" t="s">
        <v>74</v>
      </c>
      <c r="M8" t="s">
        <v>75</v>
      </c>
      <c r="O8" t="s">
        <v>76</v>
      </c>
      <c r="P8" t="s">
        <v>77</v>
      </c>
      <c r="Q8" t="s">
        <v>49</v>
      </c>
      <c r="R8" t="s">
        <v>50</v>
      </c>
      <c r="S8" s="1">
        <v>46082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6266253</v>
      </c>
    </row>
    <row r="9" spans="1:38" x14ac:dyDescent="0.25">
      <c r="A9" s="1">
        <v>46071</v>
      </c>
      <c r="B9" s="1">
        <v>46071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64</v>
      </c>
      <c r="O9" t="s">
        <v>47</v>
      </c>
      <c r="P9" t="s">
        <v>48</v>
      </c>
      <c r="Q9" t="s">
        <v>80</v>
      </c>
      <c r="R9" t="s">
        <v>50</v>
      </c>
      <c r="S9" s="1">
        <v>46023</v>
      </c>
      <c r="U9" t="s">
        <v>51</v>
      </c>
      <c r="X9" t="s">
        <v>52</v>
      </c>
      <c r="Y9" s="2">
        <v>0</v>
      </c>
      <c r="Z9" s="2">
        <v>161</v>
      </c>
      <c r="AA9">
        <v>1</v>
      </c>
      <c r="AB9" s="3">
        <v>1</v>
      </c>
      <c r="AC9" s="2">
        <v>161</v>
      </c>
      <c r="AD9" s="3">
        <v>0</v>
      </c>
      <c r="AE9" s="2">
        <v>0</v>
      </c>
      <c r="AF9" s="2">
        <v>161</v>
      </c>
      <c r="AK9">
        <v>0</v>
      </c>
      <c r="AL9" t="s">
        <v>81</v>
      </c>
    </row>
    <row r="10" spans="1:38" x14ac:dyDescent="0.25">
      <c r="A10" s="1">
        <v>46071</v>
      </c>
      <c r="B10" s="1">
        <v>46071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82</v>
      </c>
      <c r="J10" t="s">
        <v>83</v>
      </c>
      <c r="M10" t="s">
        <v>64</v>
      </c>
      <c r="O10" t="s">
        <v>47</v>
      </c>
      <c r="P10" t="s">
        <v>48</v>
      </c>
      <c r="Q10" t="s">
        <v>49</v>
      </c>
      <c r="R10" t="s">
        <v>50</v>
      </c>
      <c r="S10" s="1">
        <v>46082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6266254</v>
      </c>
    </row>
    <row r="11" spans="1:38" x14ac:dyDescent="0.25">
      <c r="A11" s="1">
        <v>46071</v>
      </c>
      <c r="B11" s="1">
        <v>46071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85</v>
      </c>
      <c r="M11" t="s">
        <v>64</v>
      </c>
      <c r="O11" t="s">
        <v>86</v>
      </c>
      <c r="P11" t="s">
        <v>87</v>
      </c>
      <c r="Q11" t="s">
        <v>80</v>
      </c>
      <c r="R11" t="s">
        <v>50</v>
      </c>
      <c r="S11" s="1">
        <v>46023</v>
      </c>
      <c r="U11" t="s">
        <v>51</v>
      </c>
      <c r="X11" t="s">
        <v>52</v>
      </c>
      <c r="Y11" s="2">
        <v>0</v>
      </c>
      <c r="Z11" s="2">
        <v>161</v>
      </c>
      <c r="AA11">
        <v>1</v>
      </c>
      <c r="AB11" s="3">
        <v>1</v>
      </c>
      <c r="AC11" s="2">
        <v>161</v>
      </c>
      <c r="AD11" s="3">
        <v>0</v>
      </c>
      <c r="AE11" s="2">
        <v>0</v>
      </c>
      <c r="AF11" s="2">
        <v>161</v>
      </c>
      <c r="AK11">
        <v>0</v>
      </c>
      <c r="AL11" t="s">
        <v>81</v>
      </c>
    </row>
    <row r="12" spans="1:38" x14ac:dyDescent="0.25">
      <c r="A12" s="1">
        <v>46071</v>
      </c>
      <c r="B12" s="1">
        <v>46071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88</v>
      </c>
      <c r="J12" t="s">
        <v>89</v>
      </c>
      <c r="M12" t="s">
        <v>46</v>
      </c>
      <c r="O12" t="s">
        <v>90</v>
      </c>
      <c r="P12" t="s">
        <v>91</v>
      </c>
      <c r="Q12" t="s">
        <v>80</v>
      </c>
      <c r="R12" t="s">
        <v>50</v>
      </c>
      <c r="S12" s="1">
        <v>46023</v>
      </c>
      <c r="U12" t="s">
        <v>51</v>
      </c>
      <c r="X12" t="s">
        <v>52</v>
      </c>
      <c r="Y12" s="2">
        <v>0</v>
      </c>
      <c r="Z12" s="2">
        <v>161</v>
      </c>
      <c r="AA12">
        <v>1</v>
      </c>
      <c r="AB12" s="3">
        <v>1</v>
      </c>
      <c r="AC12" s="2">
        <v>161</v>
      </c>
      <c r="AD12" s="3">
        <v>0</v>
      </c>
      <c r="AE12" s="2">
        <v>0</v>
      </c>
      <c r="AF12" s="2">
        <v>161</v>
      </c>
      <c r="AK12">
        <v>0</v>
      </c>
      <c r="AL12" t="s">
        <v>81</v>
      </c>
    </row>
    <row r="13" spans="1:38" x14ac:dyDescent="0.25">
      <c r="A13" s="1">
        <v>46071</v>
      </c>
      <c r="B13" s="1">
        <v>46071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92</v>
      </c>
      <c r="J13" t="s">
        <v>93</v>
      </c>
      <c r="M13" t="s">
        <v>64</v>
      </c>
      <c r="O13" t="s">
        <v>86</v>
      </c>
      <c r="P13" t="s">
        <v>87</v>
      </c>
      <c r="Q13" t="s">
        <v>49</v>
      </c>
      <c r="R13" t="s">
        <v>61</v>
      </c>
      <c r="S13" s="1">
        <v>46082</v>
      </c>
      <c r="U13" t="s">
        <v>51</v>
      </c>
      <c r="X13" t="s">
        <v>52</v>
      </c>
      <c r="Y13" s="2">
        <v>0</v>
      </c>
      <c r="Z13" s="2">
        <v>108</v>
      </c>
      <c r="AA13">
        <v>1</v>
      </c>
      <c r="AB13" s="3">
        <v>1</v>
      </c>
      <c r="AC13" s="2">
        <v>108</v>
      </c>
      <c r="AD13" s="3">
        <v>0</v>
      </c>
      <c r="AE13" s="2">
        <v>0</v>
      </c>
      <c r="AF13" s="2">
        <v>108</v>
      </c>
      <c r="AK13">
        <v>6266149</v>
      </c>
    </row>
    <row r="14" spans="1:38" x14ac:dyDescent="0.25">
      <c r="A14" s="1">
        <v>46071</v>
      </c>
      <c r="B14" s="1">
        <v>46071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94</v>
      </c>
      <c r="J14" t="s">
        <v>95</v>
      </c>
      <c r="M14" t="s">
        <v>64</v>
      </c>
      <c r="O14" t="s">
        <v>86</v>
      </c>
      <c r="P14" t="s">
        <v>87</v>
      </c>
      <c r="Q14" t="s">
        <v>49</v>
      </c>
      <c r="R14" t="s">
        <v>61</v>
      </c>
      <c r="S14" s="1">
        <v>46082</v>
      </c>
      <c r="U14" t="s">
        <v>51</v>
      </c>
      <c r="X14" t="s">
        <v>52</v>
      </c>
      <c r="Y14" s="2">
        <v>0</v>
      </c>
      <c r="Z14" s="2">
        <v>108</v>
      </c>
      <c r="AA14">
        <v>1</v>
      </c>
      <c r="AB14" s="3">
        <v>1</v>
      </c>
      <c r="AC14" s="2">
        <v>108</v>
      </c>
      <c r="AD14" s="3">
        <v>0</v>
      </c>
      <c r="AE14" s="2">
        <v>0</v>
      </c>
      <c r="AF14" s="2">
        <v>108</v>
      </c>
      <c r="AK14">
        <v>6266150</v>
      </c>
    </row>
    <row r="15" spans="1:38" x14ac:dyDescent="0.25">
      <c r="A15" s="1">
        <v>46071</v>
      </c>
      <c r="B15" s="1">
        <v>46071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96</v>
      </c>
      <c r="J15" t="s">
        <v>97</v>
      </c>
      <c r="M15" t="s">
        <v>64</v>
      </c>
      <c r="O15" t="s">
        <v>98</v>
      </c>
      <c r="P15" t="s">
        <v>99</v>
      </c>
      <c r="Q15" t="s">
        <v>49</v>
      </c>
      <c r="R15" t="s">
        <v>50</v>
      </c>
      <c r="S15" s="1">
        <v>46023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6266255</v>
      </c>
    </row>
    <row r="16" spans="1:38" x14ac:dyDescent="0.25">
      <c r="A16" s="1">
        <v>46071</v>
      </c>
      <c r="B16" s="1">
        <v>46071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100</v>
      </c>
      <c r="J16" t="s">
        <v>101</v>
      </c>
      <c r="M16" t="s">
        <v>64</v>
      </c>
      <c r="O16" t="s">
        <v>102</v>
      </c>
      <c r="P16" t="s">
        <v>103</v>
      </c>
      <c r="Q16" t="s">
        <v>49</v>
      </c>
      <c r="R16" t="s">
        <v>61</v>
      </c>
      <c r="S16" s="1">
        <v>46054</v>
      </c>
      <c r="U16" t="s">
        <v>51</v>
      </c>
      <c r="X16" t="s">
        <v>52</v>
      </c>
      <c r="Y16" s="2">
        <v>0</v>
      </c>
      <c r="Z16" s="2">
        <v>108</v>
      </c>
      <c r="AA16">
        <v>1</v>
      </c>
      <c r="AB16" s="3">
        <v>1</v>
      </c>
      <c r="AC16" s="2">
        <v>108</v>
      </c>
      <c r="AD16" s="3">
        <v>0</v>
      </c>
      <c r="AE16" s="2">
        <v>0</v>
      </c>
      <c r="AF16" s="2">
        <v>108</v>
      </c>
      <c r="AK16">
        <v>6266151</v>
      </c>
    </row>
    <row r="17" spans="1:37" x14ac:dyDescent="0.25">
      <c r="A17" s="1">
        <v>46071</v>
      </c>
      <c r="B17" s="1">
        <v>46071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104</v>
      </c>
      <c r="J17" t="s">
        <v>105</v>
      </c>
      <c r="M17" t="s">
        <v>64</v>
      </c>
      <c r="O17" t="s">
        <v>106</v>
      </c>
      <c r="P17" t="s">
        <v>107</v>
      </c>
      <c r="Q17" t="s">
        <v>49</v>
      </c>
      <c r="R17" t="s">
        <v>50</v>
      </c>
      <c r="S17" s="1">
        <v>46143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6266256</v>
      </c>
    </row>
    <row r="18" spans="1:37" x14ac:dyDescent="0.25">
      <c r="A18" s="1">
        <v>46071</v>
      </c>
      <c r="B18" s="1">
        <v>46071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108</v>
      </c>
      <c r="J18" t="s">
        <v>109</v>
      </c>
      <c r="M18" t="s">
        <v>64</v>
      </c>
      <c r="O18" t="s">
        <v>47</v>
      </c>
      <c r="P18" t="s">
        <v>48</v>
      </c>
      <c r="Q18" t="s">
        <v>49</v>
      </c>
      <c r="R18" t="s">
        <v>50</v>
      </c>
      <c r="S18" s="1">
        <v>46082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6266257</v>
      </c>
    </row>
    <row r="19" spans="1:37" x14ac:dyDescent="0.25">
      <c r="A19" s="1">
        <v>46071</v>
      </c>
      <c r="B19" s="1">
        <v>46071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110</v>
      </c>
      <c r="J19" t="s">
        <v>111</v>
      </c>
      <c r="M19" t="s">
        <v>112</v>
      </c>
      <c r="O19" t="s">
        <v>113</v>
      </c>
      <c r="P19" t="s">
        <v>114</v>
      </c>
      <c r="Q19" t="s">
        <v>49</v>
      </c>
      <c r="R19" t="s">
        <v>50</v>
      </c>
      <c r="S19" s="1">
        <v>46082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6266258</v>
      </c>
    </row>
    <row r="20" spans="1:37" x14ac:dyDescent="0.25">
      <c r="A20" s="1">
        <v>46071</v>
      </c>
      <c r="B20" s="1">
        <v>46071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115</v>
      </c>
      <c r="J20" t="s">
        <v>116</v>
      </c>
      <c r="M20" t="s">
        <v>64</v>
      </c>
      <c r="O20" t="s">
        <v>117</v>
      </c>
      <c r="P20" t="s">
        <v>118</v>
      </c>
      <c r="Q20" t="s">
        <v>49</v>
      </c>
      <c r="R20" t="s">
        <v>50</v>
      </c>
      <c r="S20" s="1">
        <v>46143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6266259</v>
      </c>
    </row>
    <row r="21" spans="1:37" x14ac:dyDescent="0.25">
      <c r="A21" s="1">
        <v>46071</v>
      </c>
      <c r="B21" s="1">
        <v>46071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119</v>
      </c>
      <c r="J21" t="s">
        <v>120</v>
      </c>
      <c r="M21" t="s">
        <v>112</v>
      </c>
      <c r="O21" t="s">
        <v>121</v>
      </c>
      <c r="P21" t="s">
        <v>122</v>
      </c>
      <c r="Q21" t="s">
        <v>49</v>
      </c>
      <c r="R21" t="s">
        <v>50</v>
      </c>
      <c r="S21" s="1">
        <v>46113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6266233</v>
      </c>
    </row>
    <row r="22" spans="1:37" x14ac:dyDescent="0.25">
      <c r="A22" s="1">
        <v>46071</v>
      </c>
      <c r="B22" s="1">
        <v>46071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123</v>
      </c>
      <c r="J22" t="s">
        <v>124</v>
      </c>
      <c r="M22" t="s">
        <v>64</v>
      </c>
      <c r="O22" t="s">
        <v>125</v>
      </c>
      <c r="P22" t="s">
        <v>126</v>
      </c>
      <c r="Q22" t="s">
        <v>49</v>
      </c>
      <c r="R22" t="s">
        <v>50</v>
      </c>
      <c r="S22" s="1">
        <v>46082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6266234</v>
      </c>
    </row>
    <row r="23" spans="1:37" x14ac:dyDescent="0.25">
      <c r="A23" s="1">
        <v>46071</v>
      </c>
      <c r="B23" s="1">
        <v>46071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127</v>
      </c>
      <c r="J23" t="s">
        <v>128</v>
      </c>
      <c r="M23" t="s">
        <v>129</v>
      </c>
      <c r="O23" t="s">
        <v>130</v>
      </c>
      <c r="P23" t="s">
        <v>131</v>
      </c>
      <c r="Q23" t="s">
        <v>49</v>
      </c>
      <c r="R23" t="s">
        <v>50</v>
      </c>
      <c r="S23" s="1">
        <v>46113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6266260</v>
      </c>
    </row>
    <row r="24" spans="1:37" x14ac:dyDescent="0.25">
      <c r="A24" s="1">
        <v>46071</v>
      </c>
      <c r="B24" s="1">
        <v>46071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132</v>
      </c>
      <c r="J24" t="s">
        <v>133</v>
      </c>
      <c r="M24" t="s">
        <v>134</v>
      </c>
      <c r="O24" t="s">
        <v>98</v>
      </c>
      <c r="P24" t="s">
        <v>99</v>
      </c>
      <c r="Q24" t="s">
        <v>49</v>
      </c>
      <c r="R24" t="s">
        <v>50</v>
      </c>
      <c r="S24" s="1">
        <v>46082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6266261</v>
      </c>
    </row>
    <row r="25" spans="1:37" x14ac:dyDescent="0.25">
      <c r="A25" s="1">
        <v>46071</v>
      </c>
      <c r="B25" s="1">
        <v>46071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135</v>
      </c>
      <c r="J25" t="s">
        <v>136</v>
      </c>
      <c r="M25" t="s">
        <v>46</v>
      </c>
      <c r="O25" t="s">
        <v>137</v>
      </c>
      <c r="P25" t="s">
        <v>138</v>
      </c>
      <c r="Q25" t="s">
        <v>49</v>
      </c>
      <c r="R25" t="s">
        <v>50</v>
      </c>
      <c r="S25" s="1">
        <v>46082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6266262</v>
      </c>
    </row>
    <row r="26" spans="1:37" x14ac:dyDescent="0.25">
      <c r="A26" s="1">
        <v>46071</v>
      </c>
      <c r="B26" s="1">
        <v>46071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139</v>
      </c>
      <c r="J26" t="s">
        <v>140</v>
      </c>
      <c r="M26" t="s">
        <v>64</v>
      </c>
      <c r="O26" t="s">
        <v>141</v>
      </c>
      <c r="P26" t="s">
        <v>142</v>
      </c>
      <c r="Q26" t="s">
        <v>49</v>
      </c>
      <c r="R26" t="s">
        <v>50</v>
      </c>
      <c r="S26" s="1">
        <v>46082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6266263</v>
      </c>
    </row>
    <row r="27" spans="1:37" x14ac:dyDescent="0.25">
      <c r="A27" s="1">
        <v>46071</v>
      </c>
      <c r="B27" s="1">
        <v>46071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143</v>
      </c>
      <c r="J27" t="s">
        <v>144</v>
      </c>
      <c r="M27" t="s">
        <v>145</v>
      </c>
      <c r="O27" t="s">
        <v>90</v>
      </c>
      <c r="P27" t="s">
        <v>91</v>
      </c>
      <c r="Q27" t="s">
        <v>49</v>
      </c>
      <c r="R27" t="s">
        <v>50</v>
      </c>
      <c r="S27" s="1">
        <v>46143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6266264</v>
      </c>
    </row>
    <row r="28" spans="1:37" x14ac:dyDescent="0.25">
      <c r="A28" s="1">
        <v>46071</v>
      </c>
      <c r="B28" s="1">
        <v>46071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146</v>
      </c>
      <c r="J28" t="s">
        <v>147</v>
      </c>
      <c r="M28" t="s">
        <v>64</v>
      </c>
      <c r="O28" t="s">
        <v>148</v>
      </c>
      <c r="P28" t="s">
        <v>149</v>
      </c>
      <c r="Q28" t="s">
        <v>49</v>
      </c>
      <c r="R28" t="s">
        <v>50</v>
      </c>
      <c r="S28" s="1">
        <v>46082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6266265</v>
      </c>
    </row>
    <row r="29" spans="1:37" x14ac:dyDescent="0.25">
      <c r="A29" s="1">
        <v>46071</v>
      </c>
      <c r="B29" s="1">
        <v>46071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150</v>
      </c>
      <c r="J29" t="s">
        <v>151</v>
      </c>
      <c r="M29" t="s">
        <v>64</v>
      </c>
      <c r="O29" t="s">
        <v>152</v>
      </c>
      <c r="P29" t="s">
        <v>153</v>
      </c>
      <c r="Q29" t="s">
        <v>49</v>
      </c>
      <c r="R29" t="s">
        <v>50</v>
      </c>
      <c r="S29" s="1">
        <v>46113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6266266</v>
      </c>
    </row>
    <row r="30" spans="1:37" x14ac:dyDescent="0.25">
      <c r="A30" s="1">
        <v>46071</v>
      </c>
      <c r="B30" s="1">
        <v>46071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154</v>
      </c>
      <c r="J30" t="s">
        <v>155</v>
      </c>
      <c r="M30" t="s">
        <v>64</v>
      </c>
      <c r="O30" t="s">
        <v>125</v>
      </c>
      <c r="P30" t="s">
        <v>126</v>
      </c>
      <c r="Q30" t="s">
        <v>49</v>
      </c>
      <c r="R30" t="s">
        <v>50</v>
      </c>
      <c r="S30" s="1">
        <v>46113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6266237</v>
      </c>
    </row>
    <row r="31" spans="1:37" x14ac:dyDescent="0.25">
      <c r="A31" s="1">
        <v>46071</v>
      </c>
      <c r="B31" s="1">
        <v>46071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156</v>
      </c>
      <c r="J31" t="s">
        <v>157</v>
      </c>
      <c r="M31" t="s">
        <v>64</v>
      </c>
      <c r="O31" t="s">
        <v>158</v>
      </c>
      <c r="P31" t="s">
        <v>159</v>
      </c>
      <c r="Q31" t="s">
        <v>49</v>
      </c>
      <c r="R31" t="s">
        <v>50</v>
      </c>
      <c r="S31" s="1">
        <v>46082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6266267</v>
      </c>
    </row>
    <row r="32" spans="1:37" x14ac:dyDescent="0.25">
      <c r="A32" s="1">
        <v>46071</v>
      </c>
      <c r="B32" s="1">
        <v>46071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160</v>
      </c>
      <c r="J32" t="s">
        <v>161</v>
      </c>
      <c r="M32" t="s">
        <v>64</v>
      </c>
      <c r="O32" t="s">
        <v>47</v>
      </c>
      <c r="P32" t="s">
        <v>48</v>
      </c>
      <c r="Q32" t="s">
        <v>49</v>
      </c>
      <c r="R32" t="s">
        <v>50</v>
      </c>
      <c r="S32" s="1">
        <v>46082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6266268</v>
      </c>
    </row>
    <row r="33" spans="1:38" x14ac:dyDescent="0.25">
      <c r="A33" s="1">
        <v>46071</v>
      </c>
      <c r="B33" s="1">
        <v>46071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162</v>
      </c>
      <c r="J33" t="s">
        <v>163</v>
      </c>
      <c r="M33" t="s">
        <v>46</v>
      </c>
      <c r="O33" t="s">
        <v>98</v>
      </c>
      <c r="P33" t="s">
        <v>99</v>
      </c>
      <c r="Q33" t="s">
        <v>49</v>
      </c>
      <c r="R33" t="s">
        <v>50</v>
      </c>
      <c r="S33" s="1">
        <v>46082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6266269</v>
      </c>
    </row>
    <row r="34" spans="1:38" x14ac:dyDescent="0.25">
      <c r="A34" s="1">
        <v>46071</v>
      </c>
      <c r="B34" s="1">
        <v>46071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164</v>
      </c>
      <c r="J34" t="s">
        <v>165</v>
      </c>
      <c r="M34" t="s">
        <v>64</v>
      </c>
      <c r="O34" t="s">
        <v>65</v>
      </c>
      <c r="P34" t="s">
        <v>66</v>
      </c>
      <c r="Q34" t="s">
        <v>49</v>
      </c>
      <c r="R34" t="s">
        <v>50</v>
      </c>
      <c r="S34" s="1">
        <v>46113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6266270</v>
      </c>
    </row>
    <row r="35" spans="1:38" x14ac:dyDescent="0.25">
      <c r="A35" s="1">
        <v>46071</v>
      </c>
      <c r="B35" s="1">
        <v>46071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166</v>
      </c>
      <c r="J35" t="s">
        <v>167</v>
      </c>
      <c r="M35" t="s">
        <v>168</v>
      </c>
      <c r="O35" t="s">
        <v>169</v>
      </c>
      <c r="P35" t="s">
        <v>170</v>
      </c>
      <c r="Q35" t="s">
        <v>49</v>
      </c>
      <c r="R35" t="s">
        <v>171</v>
      </c>
      <c r="S35" s="1">
        <v>46054</v>
      </c>
      <c r="U35" t="s">
        <v>51</v>
      </c>
      <c r="X35" t="s">
        <v>52</v>
      </c>
      <c r="Y35" s="2">
        <v>0</v>
      </c>
      <c r="Z35" s="2">
        <v>22.92</v>
      </c>
      <c r="AA35">
        <v>1</v>
      </c>
      <c r="AB35" s="3">
        <v>1</v>
      </c>
      <c r="AC35" s="2">
        <v>22.92</v>
      </c>
      <c r="AD35" s="3">
        <v>0</v>
      </c>
      <c r="AE35" s="2">
        <v>0</v>
      </c>
      <c r="AF35" s="2">
        <v>22.92</v>
      </c>
      <c r="AK35">
        <v>6265540</v>
      </c>
      <c r="AL35" t="s">
        <v>172</v>
      </c>
    </row>
    <row r="36" spans="1:38" x14ac:dyDescent="0.25">
      <c r="A36" s="1">
        <v>46071</v>
      </c>
      <c r="B36" s="1">
        <v>46071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173</v>
      </c>
      <c r="J36" t="s">
        <v>174</v>
      </c>
      <c r="M36" t="s">
        <v>64</v>
      </c>
      <c r="O36" t="s">
        <v>175</v>
      </c>
      <c r="P36" t="s">
        <v>176</v>
      </c>
      <c r="Q36" t="s">
        <v>49</v>
      </c>
      <c r="R36" t="s">
        <v>171</v>
      </c>
      <c r="S36" s="1">
        <v>46054</v>
      </c>
      <c r="U36" t="s">
        <v>51</v>
      </c>
      <c r="X36" t="s">
        <v>52</v>
      </c>
      <c r="Y36" s="2">
        <v>0</v>
      </c>
      <c r="Z36" s="2">
        <v>22.92</v>
      </c>
      <c r="AA36">
        <v>1</v>
      </c>
      <c r="AB36" s="3">
        <v>1</v>
      </c>
      <c r="AC36" s="2">
        <v>22.92</v>
      </c>
      <c r="AD36" s="3">
        <v>0</v>
      </c>
      <c r="AE36" s="2">
        <v>0</v>
      </c>
      <c r="AF36" s="2">
        <v>22.92</v>
      </c>
      <c r="AK36">
        <v>6265544</v>
      </c>
      <c r="AL36" t="s">
        <v>172</v>
      </c>
    </row>
    <row r="37" spans="1:38" x14ac:dyDescent="0.25">
      <c r="A37" s="1">
        <v>46071</v>
      </c>
      <c r="B37" s="1">
        <v>46071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177</v>
      </c>
      <c r="J37" t="s">
        <v>178</v>
      </c>
      <c r="M37" t="s">
        <v>168</v>
      </c>
      <c r="O37" t="s">
        <v>179</v>
      </c>
      <c r="P37" t="s">
        <v>180</v>
      </c>
      <c r="Q37" t="s">
        <v>49</v>
      </c>
      <c r="R37" t="s">
        <v>171</v>
      </c>
      <c r="S37" s="1">
        <v>46054</v>
      </c>
      <c r="U37" t="s">
        <v>51</v>
      </c>
      <c r="X37" t="s">
        <v>52</v>
      </c>
      <c r="Y37" s="2">
        <v>0</v>
      </c>
      <c r="Z37" s="2">
        <v>22.92</v>
      </c>
      <c r="AA37">
        <v>1</v>
      </c>
      <c r="AB37" s="3">
        <v>1</v>
      </c>
      <c r="AC37" s="2">
        <v>22.92</v>
      </c>
      <c r="AD37" s="3">
        <v>0</v>
      </c>
      <c r="AE37" s="2">
        <v>0</v>
      </c>
      <c r="AF37" s="2">
        <v>22.92</v>
      </c>
      <c r="AK37">
        <v>6265553</v>
      </c>
      <c r="AL37" t="s">
        <v>172</v>
      </c>
    </row>
    <row r="38" spans="1:38" x14ac:dyDescent="0.25">
      <c r="A38" s="1">
        <v>46071</v>
      </c>
      <c r="B38" s="1">
        <v>46071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181</v>
      </c>
      <c r="J38" t="s">
        <v>182</v>
      </c>
      <c r="M38" t="s">
        <v>168</v>
      </c>
      <c r="O38" t="s">
        <v>169</v>
      </c>
      <c r="P38" t="s">
        <v>170</v>
      </c>
      <c r="Q38" t="s">
        <v>49</v>
      </c>
      <c r="R38" t="s">
        <v>171</v>
      </c>
      <c r="S38" s="1">
        <v>46054</v>
      </c>
      <c r="U38" t="s">
        <v>51</v>
      </c>
      <c r="X38" t="s">
        <v>52</v>
      </c>
      <c r="Y38" s="2">
        <v>0</v>
      </c>
      <c r="Z38" s="2">
        <v>22.92</v>
      </c>
      <c r="AA38">
        <v>1</v>
      </c>
      <c r="AB38" s="3">
        <v>1</v>
      </c>
      <c r="AC38" s="2">
        <v>22.92</v>
      </c>
      <c r="AD38" s="3">
        <v>0</v>
      </c>
      <c r="AE38" s="2">
        <v>0</v>
      </c>
      <c r="AF38" s="2">
        <v>22.92</v>
      </c>
      <c r="AK38">
        <v>6265570</v>
      </c>
      <c r="AL38" t="s">
        <v>172</v>
      </c>
    </row>
    <row r="39" spans="1:38" x14ac:dyDescent="0.25">
      <c r="A39" s="1">
        <v>46071</v>
      </c>
      <c r="B39" s="1">
        <v>46071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183</v>
      </c>
      <c r="J39" t="s">
        <v>184</v>
      </c>
      <c r="M39" t="s">
        <v>64</v>
      </c>
      <c r="O39" t="s">
        <v>47</v>
      </c>
      <c r="P39" t="s">
        <v>48</v>
      </c>
      <c r="Q39" t="s">
        <v>49</v>
      </c>
      <c r="R39" t="s">
        <v>171</v>
      </c>
      <c r="S39" s="1">
        <v>46054</v>
      </c>
      <c r="U39" t="s">
        <v>51</v>
      </c>
      <c r="X39" t="s">
        <v>52</v>
      </c>
      <c r="Y39" s="2">
        <v>0</v>
      </c>
      <c r="Z39" s="2">
        <v>22.92</v>
      </c>
      <c r="AA39">
        <v>1</v>
      </c>
      <c r="AB39" s="3">
        <v>1</v>
      </c>
      <c r="AC39" s="2">
        <v>22.92</v>
      </c>
      <c r="AD39" s="3">
        <v>0</v>
      </c>
      <c r="AE39" s="2">
        <v>0</v>
      </c>
      <c r="AF39" s="2">
        <v>22.92</v>
      </c>
      <c r="AK39">
        <v>6265578</v>
      </c>
      <c r="AL39" t="s">
        <v>172</v>
      </c>
    </row>
    <row r="40" spans="1:38" x14ac:dyDescent="0.25">
      <c r="A40" s="1">
        <v>46071</v>
      </c>
      <c r="B40" s="1">
        <v>46071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185</v>
      </c>
      <c r="J40" t="s">
        <v>186</v>
      </c>
      <c r="M40" t="s">
        <v>64</v>
      </c>
      <c r="O40" t="s">
        <v>137</v>
      </c>
      <c r="P40" t="s">
        <v>138</v>
      </c>
      <c r="Q40" t="s">
        <v>49</v>
      </c>
      <c r="R40" t="s">
        <v>171</v>
      </c>
      <c r="S40" s="1">
        <v>46054</v>
      </c>
      <c r="U40" t="s">
        <v>51</v>
      </c>
      <c r="X40" t="s">
        <v>52</v>
      </c>
      <c r="Y40" s="2">
        <v>0</v>
      </c>
      <c r="Z40" s="2">
        <v>22.92</v>
      </c>
      <c r="AA40">
        <v>1</v>
      </c>
      <c r="AB40" s="3">
        <v>1</v>
      </c>
      <c r="AC40" s="2">
        <v>22.92</v>
      </c>
      <c r="AD40" s="3">
        <v>0</v>
      </c>
      <c r="AE40" s="2">
        <v>0</v>
      </c>
      <c r="AF40" s="2">
        <v>22.92</v>
      </c>
      <c r="AK40">
        <v>6265602</v>
      </c>
      <c r="AL40" t="s">
        <v>172</v>
      </c>
    </row>
    <row r="41" spans="1:38" x14ac:dyDescent="0.25">
      <c r="A41" s="1">
        <v>46071</v>
      </c>
      <c r="B41" s="1">
        <v>46071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187</v>
      </c>
      <c r="J41" t="s">
        <v>188</v>
      </c>
      <c r="M41" t="s">
        <v>168</v>
      </c>
      <c r="O41" t="s">
        <v>179</v>
      </c>
      <c r="P41" t="s">
        <v>180</v>
      </c>
      <c r="Q41" t="s">
        <v>49</v>
      </c>
      <c r="R41" t="s">
        <v>171</v>
      </c>
      <c r="S41" s="1">
        <v>46054</v>
      </c>
      <c r="U41" t="s">
        <v>51</v>
      </c>
      <c r="X41" t="s">
        <v>52</v>
      </c>
      <c r="Y41" s="2">
        <v>0</v>
      </c>
      <c r="Z41" s="2">
        <v>22.92</v>
      </c>
      <c r="AA41">
        <v>1</v>
      </c>
      <c r="AB41" s="3">
        <v>1</v>
      </c>
      <c r="AC41" s="2">
        <v>22.92</v>
      </c>
      <c r="AD41" s="3">
        <v>0</v>
      </c>
      <c r="AE41" s="2">
        <v>0</v>
      </c>
      <c r="AF41" s="2">
        <v>22.92</v>
      </c>
      <c r="AK41">
        <v>6265614</v>
      </c>
      <c r="AL41" t="s">
        <v>172</v>
      </c>
    </row>
    <row r="42" spans="1:38" x14ac:dyDescent="0.25">
      <c r="A42" s="1">
        <v>46071</v>
      </c>
      <c r="B42" s="1">
        <v>46071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189</v>
      </c>
      <c r="J42" t="s">
        <v>190</v>
      </c>
      <c r="M42" t="s">
        <v>168</v>
      </c>
      <c r="O42" t="s">
        <v>169</v>
      </c>
      <c r="P42" t="s">
        <v>170</v>
      </c>
      <c r="Q42" t="s">
        <v>49</v>
      </c>
      <c r="R42" t="s">
        <v>171</v>
      </c>
      <c r="S42" s="1">
        <v>46054</v>
      </c>
      <c r="U42" t="s">
        <v>51</v>
      </c>
      <c r="X42" t="s">
        <v>52</v>
      </c>
      <c r="Y42" s="2">
        <v>0</v>
      </c>
      <c r="Z42" s="2">
        <v>22.92</v>
      </c>
      <c r="AA42">
        <v>1</v>
      </c>
      <c r="AB42" s="3">
        <v>1</v>
      </c>
      <c r="AC42" s="2">
        <v>22.92</v>
      </c>
      <c r="AD42" s="3">
        <v>0</v>
      </c>
      <c r="AE42" s="2">
        <v>0</v>
      </c>
      <c r="AF42" s="2">
        <v>22.92</v>
      </c>
      <c r="AK42">
        <v>6265619</v>
      </c>
      <c r="AL42" t="s">
        <v>172</v>
      </c>
    </row>
    <row r="43" spans="1:38" x14ac:dyDescent="0.25">
      <c r="A43" s="1">
        <v>46071</v>
      </c>
      <c r="B43" s="1">
        <v>46071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191</v>
      </c>
      <c r="J43" t="s">
        <v>192</v>
      </c>
      <c r="M43" t="s">
        <v>168</v>
      </c>
      <c r="O43" t="s">
        <v>193</v>
      </c>
      <c r="P43" t="s">
        <v>194</v>
      </c>
      <c r="Q43" t="s">
        <v>49</v>
      </c>
      <c r="R43" t="s">
        <v>171</v>
      </c>
      <c r="S43" s="1">
        <v>46054</v>
      </c>
      <c r="U43" t="s">
        <v>51</v>
      </c>
      <c r="X43" t="s">
        <v>52</v>
      </c>
      <c r="Y43" s="2">
        <v>0</v>
      </c>
      <c r="Z43" s="2">
        <v>22.92</v>
      </c>
      <c r="AA43">
        <v>1</v>
      </c>
      <c r="AB43" s="3">
        <v>1</v>
      </c>
      <c r="AC43" s="2">
        <v>22.92</v>
      </c>
      <c r="AD43" s="3">
        <v>0</v>
      </c>
      <c r="AE43" s="2">
        <v>0</v>
      </c>
      <c r="AF43" s="2">
        <v>22.92</v>
      </c>
      <c r="AK43">
        <v>6265622</v>
      </c>
      <c r="AL43" t="s">
        <v>172</v>
      </c>
    </row>
    <row r="44" spans="1:38" x14ac:dyDescent="0.25">
      <c r="A44" s="1">
        <v>46071</v>
      </c>
      <c r="B44" s="1">
        <v>46071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195</v>
      </c>
      <c r="J44" t="s">
        <v>196</v>
      </c>
      <c r="M44" t="s">
        <v>55</v>
      </c>
      <c r="O44" t="s">
        <v>197</v>
      </c>
      <c r="P44" t="s">
        <v>198</v>
      </c>
      <c r="Q44" t="s">
        <v>49</v>
      </c>
      <c r="R44" t="s">
        <v>171</v>
      </c>
      <c r="S44" s="1">
        <v>46054</v>
      </c>
      <c r="U44" t="s">
        <v>51</v>
      </c>
      <c r="X44" t="s">
        <v>52</v>
      </c>
      <c r="Y44" s="2">
        <v>0</v>
      </c>
      <c r="Z44" s="2">
        <v>22.92</v>
      </c>
      <c r="AA44">
        <v>1</v>
      </c>
      <c r="AB44" s="3">
        <v>1</v>
      </c>
      <c r="AC44" s="2">
        <v>22.92</v>
      </c>
      <c r="AD44" s="3">
        <v>0</v>
      </c>
      <c r="AE44" s="2">
        <v>0</v>
      </c>
      <c r="AF44" s="2">
        <v>22.92</v>
      </c>
      <c r="AK44">
        <v>6265627</v>
      </c>
      <c r="AL44" t="s">
        <v>172</v>
      </c>
    </row>
    <row r="45" spans="1:38" x14ac:dyDescent="0.25">
      <c r="A45" s="1">
        <v>46071</v>
      </c>
      <c r="B45" s="1">
        <v>46071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199</v>
      </c>
      <c r="J45" t="s">
        <v>200</v>
      </c>
      <c r="M45" t="s">
        <v>168</v>
      </c>
      <c r="O45" t="s">
        <v>169</v>
      </c>
      <c r="P45" t="s">
        <v>170</v>
      </c>
      <c r="Q45" t="s">
        <v>49</v>
      </c>
      <c r="R45" t="s">
        <v>171</v>
      </c>
      <c r="S45" s="1">
        <v>46082</v>
      </c>
      <c r="U45" t="s">
        <v>51</v>
      </c>
      <c r="X45" t="s">
        <v>52</v>
      </c>
      <c r="Y45" s="2">
        <v>0</v>
      </c>
      <c r="Z45" s="2">
        <v>20.83</v>
      </c>
      <c r="AA45">
        <v>1</v>
      </c>
      <c r="AB45" s="3">
        <v>1</v>
      </c>
      <c r="AC45" s="2">
        <v>20.83</v>
      </c>
      <c r="AD45" s="3">
        <v>0</v>
      </c>
      <c r="AE45" s="2">
        <v>0</v>
      </c>
      <c r="AF45" s="2">
        <v>20.83</v>
      </c>
      <c r="AK45">
        <v>6265633</v>
      </c>
      <c r="AL45" t="s">
        <v>201</v>
      </c>
    </row>
    <row r="46" spans="1:38" x14ac:dyDescent="0.25">
      <c r="A46" s="1">
        <v>46071</v>
      </c>
      <c r="B46" s="1">
        <v>46071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202</v>
      </c>
      <c r="J46" t="s">
        <v>203</v>
      </c>
      <c r="M46" t="s">
        <v>64</v>
      </c>
      <c r="O46" t="s">
        <v>204</v>
      </c>
      <c r="P46" t="s">
        <v>205</v>
      </c>
      <c r="Q46" t="s">
        <v>49</v>
      </c>
      <c r="R46" t="s">
        <v>171</v>
      </c>
      <c r="S46" s="1">
        <v>46113</v>
      </c>
      <c r="U46" t="s">
        <v>51</v>
      </c>
      <c r="X46" t="s">
        <v>52</v>
      </c>
      <c r="Y46" s="2">
        <v>0</v>
      </c>
      <c r="Z46" s="2">
        <v>18.75</v>
      </c>
      <c r="AA46">
        <v>1</v>
      </c>
      <c r="AB46" s="3">
        <v>1</v>
      </c>
      <c r="AC46" s="2">
        <v>18.75</v>
      </c>
      <c r="AD46" s="3">
        <v>0</v>
      </c>
      <c r="AE46" s="2">
        <v>0</v>
      </c>
      <c r="AF46" s="2">
        <v>18.75</v>
      </c>
      <c r="AK46">
        <v>6265649</v>
      </c>
      <c r="AL46" t="s">
        <v>206</v>
      </c>
    </row>
    <row r="47" spans="1:38" x14ac:dyDescent="0.25">
      <c r="A47" s="1">
        <v>46071</v>
      </c>
      <c r="B47" s="1">
        <v>46071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207</v>
      </c>
      <c r="J47" t="s">
        <v>208</v>
      </c>
      <c r="M47" t="s">
        <v>64</v>
      </c>
      <c r="O47" t="s">
        <v>209</v>
      </c>
      <c r="P47" t="s">
        <v>210</v>
      </c>
      <c r="Q47" t="s">
        <v>49</v>
      </c>
      <c r="R47" t="s">
        <v>171</v>
      </c>
      <c r="S47" s="1">
        <v>46054</v>
      </c>
      <c r="U47" t="s">
        <v>51</v>
      </c>
      <c r="X47" t="s">
        <v>52</v>
      </c>
      <c r="Y47" s="2">
        <v>0</v>
      </c>
      <c r="Z47" s="2">
        <v>22.92</v>
      </c>
      <c r="AA47">
        <v>1</v>
      </c>
      <c r="AB47" s="3">
        <v>1</v>
      </c>
      <c r="AC47" s="2">
        <v>22.92</v>
      </c>
      <c r="AD47" s="3">
        <v>0</v>
      </c>
      <c r="AE47" s="2">
        <v>0</v>
      </c>
      <c r="AF47" s="2">
        <v>22.92</v>
      </c>
      <c r="AK47">
        <v>6265652</v>
      </c>
      <c r="AL47" t="s">
        <v>172</v>
      </c>
    </row>
    <row r="48" spans="1:38" x14ac:dyDescent="0.25">
      <c r="A48" s="1">
        <v>46071</v>
      </c>
      <c r="B48" s="1">
        <v>46071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211</v>
      </c>
      <c r="J48" t="s">
        <v>212</v>
      </c>
      <c r="M48" t="s">
        <v>64</v>
      </c>
      <c r="O48" t="s">
        <v>204</v>
      </c>
      <c r="P48" t="s">
        <v>205</v>
      </c>
      <c r="Q48" t="s">
        <v>49</v>
      </c>
      <c r="R48" t="s">
        <v>171</v>
      </c>
      <c r="S48" s="1">
        <v>46054</v>
      </c>
      <c r="U48" t="s">
        <v>51</v>
      </c>
      <c r="X48" t="s">
        <v>52</v>
      </c>
      <c r="Y48" s="2">
        <v>0</v>
      </c>
      <c r="Z48" s="2">
        <v>22.92</v>
      </c>
      <c r="AA48">
        <v>1</v>
      </c>
      <c r="AB48" s="3">
        <v>1</v>
      </c>
      <c r="AC48" s="2">
        <v>22.92</v>
      </c>
      <c r="AD48" s="3">
        <v>0</v>
      </c>
      <c r="AE48" s="2">
        <v>0</v>
      </c>
      <c r="AF48" s="2">
        <v>22.92</v>
      </c>
      <c r="AK48">
        <v>6265654</v>
      </c>
      <c r="AL48" t="s">
        <v>172</v>
      </c>
    </row>
    <row r="49" spans="1:38" x14ac:dyDescent="0.25">
      <c r="A49" s="1">
        <v>46071</v>
      </c>
      <c r="B49" s="1">
        <v>46071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213</v>
      </c>
      <c r="J49" t="s">
        <v>214</v>
      </c>
      <c r="M49" t="s">
        <v>64</v>
      </c>
      <c r="O49" t="s">
        <v>215</v>
      </c>
      <c r="P49" t="s">
        <v>216</v>
      </c>
      <c r="Q49" t="s">
        <v>49</v>
      </c>
      <c r="R49" t="s">
        <v>171</v>
      </c>
      <c r="S49" s="1">
        <v>46054</v>
      </c>
      <c r="U49" t="s">
        <v>51</v>
      </c>
      <c r="X49" t="s">
        <v>52</v>
      </c>
      <c r="Y49" s="2">
        <v>0</v>
      </c>
      <c r="Z49" s="2">
        <v>22.92</v>
      </c>
      <c r="AA49">
        <v>1</v>
      </c>
      <c r="AB49" s="3">
        <v>1</v>
      </c>
      <c r="AC49" s="2">
        <v>22.92</v>
      </c>
      <c r="AD49" s="3">
        <v>0</v>
      </c>
      <c r="AE49" s="2">
        <v>0</v>
      </c>
      <c r="AF49" s="2">
        <v>22.92</v>
      </c>
      <c r="AK49">
        <v>6265656</v>
      </c>
      <c r="AL49" t="s">
        <v>172</v>
      </c>
    </row>
    <row r="50" spans="1:38" x14ac:dyDescent="0.25">
      <c r="A50" s="1">
        <v>46071</v>
      </c>
      <c r="B50" s="1">
        <v>46071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217</v>
      </c>
      <c r="J50" t="s">
        <v>218</v>
      </c>
      <c r="M50" t="s">
        <v>129</v>
      </c>
      <c r="O50" t="s">
        <v>219</v>
      </c>
      <c r="P50" t="s">
        <v>220</v>
      </c>
      <c r="Q50" t="s">
        <v>49</v>
      </c>
      <c r="R50" t="s">
        <v>221</v>
      </c>
      <c r="S50" s="1">
        <v>46082</v>
      </c>
      <c r="U50" t="s">
        <v>51</v>
      </c>
      <c r="X50" t="s">
        <v>52</v>
      </c>
      <c r="Y50" s="2">
        <v>0</v>
      </c>
      <c r="Z50" s="2">
        <v>289.17</v>
      </c>
      <c r="AA50">
        <v>1</v>
      </c>
      <c r="AB50" s="3">
        <v>1</v>
      </c>
      <c r="AC50" s="2">
        <v>289.17</v>
      </c>
      <c r="AD50" s="3">
        <v>0</v>
      </c>
      <c r="AE50" s="2">
        <v>0</v>
      </c>
      <c r="AF50" s="2">
        <v>289.17</v>
      </c>
      <c r="AK50">
        <v>6266567</v>
      </c>
      <c r="AL50" t="s">
        <v>201</v>
      </c>
    </row>
    <row r="51" spans="1:38" x14ac:dyDescent="0.25">
      <c r="A51" s="1">
        <v>46071</v>
      </c>
      <c r="B51" s="1">
        <v>46071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222</v>
      </c>
      <c r="J51" t="s">
        <v>218</v>
      </c>
      <c r="M51" t="s">
        <v>129</v>
      </c>
      <c r="O51" t="s">
        <v>219</v>
      </c>
      <c r="P51" t="s">
        <v>220</v>
      </c>
      <c r="Q51" t="s">
        <v>49</v>
      </c>
      <c r="R51" t="s">
        <v>223</v>
      </c>
      <c r="S51" s="1">
        <v>46082</v>
      </c>
      <c r="U51" t="s">
        <v>51</v>
      </c>
      <c r="X51" t="s">
        <v>52</v>
      </c>
      <c r="Y51" s="2">
        <v>0</v>
      </c>
      <c r="Z51" s="2">
        <v>60</v>
      </c>
      <c r="AA51">
        <v>1</v>
      </c>
      <c r="AB51" s="3">
        <v>1</v>
      </c>
      <c r="AC51" s="2">
        <v>60</v>
      </c>
      <c r="AD51" s="3">
        <v>0</v>
      </c>
      <c r="AE51" s="2">
        <v>0</v>
      </c>
      <c r="AF51" s="2">
        <v>60</v>
      </c>
      <c r="AK51">
        <v>6266568</v>
      </c>
      <c r="AL51" t="s">
        <v>201</v>
      </c>
    </row>
    <row r="52" spans="1:38" x14ac:dyDescent="0.25">
      <c r="A52" s="1">
        <v>46071</v>
      </c>
      <c r="B52" s="1">
        <v>46071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224</v>
      </c>
      <c r="J52" t="s">
        <v>225</v>
      </c>
      <c r="M52" t="s">
        <v>58</v>
      </c>
      <c r="O52" t="s">
        <v>226</v>
      </c>
      <c r="P52" t="s">
        <v>227</v>
      </c>
      <c r="Q52" t="s">
        <v>49</v>
      </c>
      <c r="R52" t="s">
        <v>221</v>
      </c>
      <c r="S52" s="1">
        <v>46082</v>
      </c>
      <c r="U52" t="s">
        <v>51</v>
      </c>
      <c r="X52" t="s">
        <v>52</v>
      </c>
      <c r="Y52" s="2">
        <v>0</v>
      </c>
      <c r="Z52" s="2">
        <v>289.17</v>
      </c>
      <c r="AA52">
        <v>1</v>
      </c>
      <c r="AB52" s="3">
        <v>1</v>
      </c>
      <c r="AC52" s="2">
        <v>289.17</v>
      </c>
      <c r="AD52" s="3">
        <v>0</v>
      </c>
      <c r="AE52" s="2">
        <v>0</v>
      </c>
      <c r="AF52" s="2">
        <v>289.17</v>
      </c>
      <c r="AK52">
        <v>6266648</v>
      </c>
      <c r="AL52" t="s">
        <v>201</v>
      </c>
    </row>
    <row r="53" spans="1:38" x14ac:dyDescent="0.25">
      <c r="A53" s="1">
        <v>46071</v>
      </c>
      <c r="B53" s="1">
        <v>46071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228</v>
      </c>
      <c r="J53" t="s">
        <v>225</v>
      </c>
      <c r="M53" t="s">
        <v>58</v>
      </c>
      <c r="O53" t="s">
        <v>226</v>
      </c>
      <c r="P53" t="s">
        <v>227</v>
      </c>
      <c r="Q53" t="s">
        <v>49</v>
      </c>
      <c r="R53" t="s">
        <v>223</v>
      </c>
      <c r="S53" s="1">
        <v>46082</v>
      </c>
      <c r="U53" t="s">
        <v>51</v>
      </c>
      <c r="X53" t="s">
        <v>52</v>
      </c>
      <c r="Y53" s="2">
        <v>0</v>
      </c>
      <c r="Z53" s="2">
        <v>60</v>
      </c>
      <c r="AA53">
        <v>1</v>
      </c>
      <c r="AB53" s="3">
        <v>1</v>
      </c>
      <c r="AC53" s="2">
        <v>60</v>
      </c>
      <c r="AD53" s="3">
        <v>0</v>
      </c>
      <c r="AE53" s="2">
        <v>0</v>
      </c>
      <c r="AF53" s="2">
        <v>60</v>
      </c>
      <c r="AK53">
        <v>6266647</v>
      </c>
      <c r="AL53" t="s">
        <v>201</v>
      </c>
    </row>
    <row r="54" spans="1:38" x14ac:dyDescent="0.25">
      <c r="A54" s="1">
        <v>46071</v>
      </c>
      <c r="B54" s="1">
        <v>46071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229</v>
      </c>
      <c r="J54" t="s">
        <v>230</v>
      </c>
      <c r="M54" t="s">
        <v>129</v>
      </c>
      <c r="O54" t="s">
        <v>219</v>
      </c>
      <c r="P54" t="s">
        <v>220</v>
      </c>
      <c r="Q54" t="s">
        <v>49</v>
      </c>
      <c r="R54" t="s">
        <v>221</v>
      </c>
      <c r="S54" s="1">
        <v>46082</v>
      </c>
      <c r="U54" t="s">
        <v>51</v>
      </c>
      <c r="X54" t="s">
        <v>52</v>
      </c>
      <c r="Y54" s="2">
        <v>0</v>
      </c>
      <c r="Z54" s="2">
        <v>289.17</v>
      </c>
      <c r="AA54">
        <v>1</v>
      </c>
      <c r="AB54" s="3">
        <v>1</v>
      </c>
      <c r="AC54" s="2">
        <v>289.17</v>
      </c>
      <c r="AD54" s="3">
        <v>0</v>
      </c>
      <c r="AE54" s="2">
        <v>0</v>
      </c>
      <c r="AF54" s="2">
        <v>289.17</v>
      </c>
      <c r="AK54">
        <v>6266573</v>
      </c>
      <c r="AL54" t="s">
        <v>201</v>
      </c>
    </row>
    <row r="55" spans="1:38" x14ac:dyDescent="0.25">
      <c r="A55" s="1">
        <v>46071</v>
      </c>
      <c r="B55" s="1">
        <v>46071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231</v>
      </c>
      <c r="J55" t="s">
        <v>230</v>
      </c>
      <c r="M55" t="s">
        <v>129</v>
      </c>
      <c r="O55" t="s">
        <v>219</v>
      </c>
      <c r="P55" t="s">
        <v>220</v>
      </c>
      <c r="Q55" t="s">
        <v>49</v>
      </c>
      <c r="R55" t="s">
        <v>232</v>
      </c>
      <c r="S55" s="1">
        <v>46082</v>
      </c>
      <c r="U55" t="s">
        <v>51</v>
      </c>
      <c r="X55" t="s">
        <v>52</v>
      </c>
      <c r="Y55" s="2">
        <v>0</v>
      </c>
      <c r="Z55" s="2">
        <v>175</v>
      </c>
      <c r="AA55">
        <v>1</v>
      </c>
      <c r="AB55" s="3">
        <v>1</v>
      </c>
      <c r="AC55" s="2">
        <v>175</v>
      </c>
      <c r="AD55" s="3">
        <v>0</v>
      </c>
      <c r="AE55" s="2">
        <v>0</v>
      </c>
      <c r="AF55" s="2">
        <v>175</v>
      </c>
      <c r="AK55">
        <v>6266559</v>
      </c>
    </row>
    <row r="56" spans="1:38" x14ac:dyDescent="0.25">
      <c r="A56" s="1">
        <v>46071</v>
      </c>
      <c r="B56" s="1">
        <v>46071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233</v>
      </c>
      <c r="J56" t="s">
        <v>234</v>
      </c>
      <c r="M56" t="s">
        <v>64</v>
      </c>
      <c r="O56" t="s">
        <v>235</v>
      </c>
      <c r="P56" t="s">
        <v>236</v>
      </c>
      <c r="Q56" t="s">
        <v>49</v>
      </c>
      <c r="R56" t="s">
        <v>237</v>
      </c>
      <c r="S56" s="1">
        <v>46054</v>
      </c>
      <c r="U56" t="s">
        <v>51</v>
      </c>
      <c r="X56" t="s">
        <v>52</v>
      </c>
      <c r="Y56" s="2">
        <v>0</v>
      </c>
      <c r="Z56" s="2">
        <v>50</v>
      </c>
      <c r="AA56">
        <v>1</v>
      </c>
      <c r="AB56" s="3">
        <v>1</v>
      </c>
      <c r="AC56" s="2">
        <v>50</v>
      </c>
      <c r="AD56" s="3">
        <v>0</v>
      </c>
      <c r="AE56" s="2">
        <v>0</v>
      </c>
      <c r="AF56" s="2">
        <v>50</v>
      </c>
      <c r="AK56">
        <v>6265791</v>
      </c>
    </row>
    <row r="57" spans="1:38" x14ac:dyDescent="0.25">
      <c r="A57" s="1">
        <v>46071</v>
      </c>
      <c r="B57" s="1">
        <v>46071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238</v>
      </c>
      <c r="J57" t="s">
        <v>239</v>
      </c>
      <c r="M57" t="s">
        <v>64</v>
      </c>
      <c r="O57" t="s">
        <v>175</v>
      </c>
      <c r="P57" t="s">
        <v>176</v>
      </c>
      <c r="Q57" t="s">
        <v>49</v>
      </c>
      <c r="R57" t="s">
        <v>240</v>
      </c>
      <c r="S57" s="1">
        <v>46054</v>
      </c>
      <c r="U57" t="s">
        <v>51</v>
      </c>
      <c r="X57" t="s">
        <v>52</v>
      </c>
      <c r="Y57" s="2">
        <v>0</v>
      </c>
      <c r="Z57" s="2">
        <v>100</v>
      </c>
      <c r="AA57">
        <v>1</v>
      </c>
      <c r="AB57" s="3">
        <v>1</v>
      </c>
      <c r="AC57" s="2">
        <v>100</v>
      </c>
      <c r="AD57" s="3">
        <v>0</v>
      </c>
      <c r="AE57" s="2">
        <v>0</v>
      </c>
      <c r="AF57" s="2">
        <v>100</v>
      </c>
      <c r="AK57">
        <v>6265880</v>
      </c>
    </row>
    <row r="58" spans="1:38" x14ac:dyDescent="0.25">
      <c r="A58" s="1">
        <v>46071</v>
      </c>
      <c r="B58" s="1">
        <v>46071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241</v>
      </c>
      <c r="J58" t="s">
        <v>242</v>
      </c>
      <c r="M58" t="s">
        <v>243</v>
      </c>
      <c r="O58" t="s">
        <v>226</v>
      </c>
      <c r="P58" t="s">
        <v>227</v>
      </c>
      <c r="Q58" t="s">
        <v>49</v>
      </c>
      <c r="R58" t="s">
        <v>221</v>
      </c>
      <c r="S58" s="1">
        <v>46082</v>
      </c>
      <c r="U58" t="s">
        <v>51</v>
      </c>
      <c r="X58" t="s">
        <v>52</v>
      </c>
      <c r="Y58" s="2">
        <v>0</v>
      </c>
      <c r="Z58" s="2">
        <v>289.17</v>
      </c>
      <c r="AA58">
        <v>1</v>
      </c>
      <c r="AB58" s="3">
        <v>1</v>
      </c>
      <c r="AC58" s="2">
        <v>289.17</v>
      </c>
      <c r="AD58" s="3">
        <v>0</v>
      </c>
      <c r="AE58" s="2">
        <v>0</v>
      </c>
      <c r="AF58" s="2">
        <v>289.17</v>
      </c>
      <c r="AK58">
        <v>6266575</v>
      </c>
      <c r="AL58" t="s">
        <v>201</v>
      </c>
    </row>
    <row r="59" spans="1:38" x14ac:dyDescent="0.25">
      <c r="A59" s="1">
        <v>46071</v>
      </c>
      <c r="B59" s="1">
        <v>46071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244</v>
      </c>
      <c r="J59" t="s">
        <v>242</v>
      </c>
      <c r="M59" t="s">
        <v>243</v>
      </c>
      <c r="O59" t="s">
        <v>226</v>
      </c>
      <c r="P59" t="s">
        <v>227</v>
      </c>
      <c r="Q59" t="s">
        <v>49</v>
      </c>
      <c r="R59" t="s">
        <v>232</v>
      </c>
      <c r="S59" s="1">
        <v>46082</v>
      </c>
      <c r="U59" t="s">
        <v>51</v>
      </c>
      <c r="X59" t="s">
        <v>52</v>
      </c>
      <c r="Y59" s="2">
        <v>0</v>
      </c>
      <c r="Z59" s="2">
        <v>175</v>
      </c>
      <c r="AA59">
        <v>1</v>
      </c>
      <c r="AB59" s="3">
        <v>1</v>
      </c>
      <c r="AC59" s="2">
        <v>175</v>
      </c>
      <c r="AD59" s="3">
        <v>0</v>
      </c>
      <c r="AE59" s="2">
        <v>0</v>
      </c>
      <c r="AF59" s="2">
        <v>175</v>
      </c>
      <c r="AK59">
        <v>6266560</v>
      </c>
    </row>
    <row r="60" spans="1:38" x14ac:dyDescent="0.25">
      <c r="A60" s="1">
        <v>46071</v>
      </c>
      <c r="B60" s="1">
        <v>46071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245</v>
      </c>
      <c r="J60" t="s">
        <v>246</v>
      </c>
      <c r="M60" t="s">
        <v>64</v>
      </c>
      <c r="O60" t="s">
        <v>204</v>
      </c>
      <c r="P60" t="s">
        <v>205</v>
      </c>
      <c r="Q60" t="s">
        <v>49</v>
      </c>
      <c r="R60" t="s">
        <v>247</v>
      </c>
      <c r="S60" s="1">
        <v>46054</v>
      </c>
      <c r="U60" t="s">
        <v>51</v>
      </c>
      <c r="X60" t="s">
        <v>52</v>
      </c>
      <c r="Y60" s="2">
        <v>0</v>
      </c>
      <c r="Z60" s="2">
        <v>694</v>
      </c>
      <c r="AA60">
        <v>1</v>
      </c>
      <c r="AB60" s="3">
        <v>1</v>
      </c>
      <c r="AC60" s="2">
        <v>694</v>
      </c>
      <c r="AD60" s="3">
        <v>0</v>
      </c>
      <c r="AE60" s="2">
        <v>0</v>
      </c>
      <c r="AF60" s="2">
        <v>694</v>
      </c>
      <c r="AK60">
        <v>6266596</v>
      </c>
    </row>
    <row r="61" spans="1:38" x14ac:dyDescent="0.25">
      <c r="A61" s="1">
        <v>46071</v>
      </c>
      <c r="B61" s="1">
        <v>46071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248</v>
      </c>
      <c r="J61" t="s">
        <v>249</v>
      </c>
      <c r="M61" t="s">
        <v>64</v>
      </c>
      <c r="O61" t="s">
        <v>125</v>
      </c>
      <c r="P61" t="s">
        <v>126</v>
      </c>
      <c r="Q61" t="s">
        <v>49</v>
      </c>
      <c r="R61" t="s">
        <v>250</v>
      </c>
      <c r="S61" s="1">
        <v>46054</v>
      </c>
      <c r="U61" t="s">
        <v>51</v>
      </c>
      <c r="X61" t="s">
        <v>52</v>
      </c>
      <c r="Y61" s="2">
        <v>0</v>
      </c>
      <c r="Z61" s="2">
        <v>372.17</v>
      </c>
      <c r="AA61">
        <v>1</v>
      </c>
      <c r="AB61" s="3">
        <v>1</v>
      </c>
      <c r="AC61" s="2">
        <v>372.17</v>
      </c>
      <c r="AD61" s="3">
        <v>0</v>
      </c>
      <c r="AE61" s="2">
        <v>0</v>
      </c>
      <c r="AF61" s="2">
        <v>372.17</v>
      </c>
      <c r="AK61">
        <v>6266598</v>
      </c>
      <c r="AL61" t="s">
        <v>172</v>
      </c>
    </row>
    <row r="62" spans="1:38" x14ac:dyDescent="0.25">
      <c r="A62" s="1">
        <v>46071</v>
      </c>
      <c r="B62" s="1">
        <v>46071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251</v>
      </c>
      <c r="J62" t="s">
        <v>252</v>
      </c>
      <c r="M62" t="s">
        <v>64</v>
      </c>
      <c r="O62" t="s">
        <v>65</v>
      </c>
      <c r="P62" t="s">
        <v>66</v>
      </c>
      <c r="Q62" t="s">
        <v>49</v>
      </c>
      <c r="R62" t="s">
        <v>221</v>
      </c>
      <c r="S62" s="1">
        <v>46113</v>
      </c>
      <c r="U62" t="s">
        <v>51</v>
      </c>
      <c r="X62" t="s">
        <v>52</v>
      </c>
      <c r="Y62" s="2">
        <v>0</v>
      </c>
      <c r="Z62" s="2">
        <v>260.25</v>
      </c>
      <c r="AA62">
        <v>1</v>
      </c>
      <c r="AB62" s="3">
        <v>1</v>
      </c>
      <c r="AC62" s="2">
        <v>260.25</v>
      </c>
      <c r="AD62" s="3">
        <v>0</v>
      </c>
      <c r="AE62" s="2">
        <v>0</v>
      </c>
      <c r="AF62" s="2">
        <v>260.25</v>
      </c>
      <c r="AK62">
        <v>6266571</v>
      </c>
      <c r="AL62" t="s">
        <v>206</v>
      </c>
    </row>
    <row r="63" spans="1:38" x14ac:dyDescent="0.25">
      <c r="A63" s="1">
        <v>46071</v>
      </c>
      <c r="B63" s="1">
        <v>46071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253</v>
      </c>
      <c r="J63" t="s">
        <v>252</v>
      </c>
      <c r="M63" t="s">
        <v>64</v>
      </c>
      <c r="O63" t="s">
        <v>65</v>
      </c>
      <c r="P63" t="s">
        <v>66</v>
      </c>
      <c r="Q63" t="s">
        <v>49</v>
      </c>
      <c r="R63" t="s">
        <v>232</v>
      </c>
      <c r="S63" s="1">
        <v>46113</v>
      </c>
      <c r="U63" t="s">
        <v>51</v>
      </c>
      <c r="X63" t="s">
        <v>52</v>
      </c>
      <c r="Y63" s="2">
        <v>0</v>
      </c>
      <c r="Z63" s="2">
        <v>175</v>
      </c>
      <c r="AA63">
        <v>1</v>
      </c>
      <c r="AB63" s="3">
        <v>1</v>
      </c>
      <c r="AC63" s="2">
        <v>175</v>
      </c>
      <c r="AD63" s="3">
        <v>0</v>
      </c>
      <c r="AE63" s="2">
        <v>0</v>
      </c>
      <c r="AF63" s="2">
        <v>175</v>
      </c>
      <c r="AK63">
        <v>6266558</v>
      </c>
    </row>
    <row r="64" spans="1:38" x14ac:dyDescent="0.25">
      <c r="A64" s="1">
        <v>46071</v>
      </c>
      <c r="B64" s="1">
        <v>46071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254</v>
      </c>
      <c r="J64" t="s">
        <v>255</v>
      </c>
      <c r="M64" t="s">
        <v>64</v>
      </c>
      <c r="O64" t="s">
        <v>47</v>
      </c>
      <c r="P64" t="s">
        <v>48</v>
      </c>
      <c r="Q64" t="s">
        <v>49</v>
      </c>
      <c r="R64" t="s">
        <v>256</v>
      </c>
      <c r="S64" s="1">
        <v>45931</v>
      </c>
      <c r="U64" t="s">
        <v>51</v>
      </c>
      <c r="X64" t="s">
        <v>52</v>
      </c>
      <c r="Y64" s="2">
        <v>0</v>
      </c>
      <c r="Z64" s="2">
        <v>78.25</v>
      </c>
      <c r="AA64">
        <v>1</v>
      </c>
      <c r="AB64" s="3">
        <v>1</v>
      </c>
      <c r="AC64" s="2">
        <v>78.25</v>
      </c>
      <c r="AD64" s="3">
        <v>0</v>
      </c>
      <c r="AE64" s="2">
        <v>0</v>
      </c>
      <c r="AF64" s="2">
        <v>78.25</v>
      </c>
      <c r="AK64">
        <v>6266511</v>
      </c>
      <c r="AL64" t="s">
        <v>257</v>
      </c>
    </row>
    <row r="65" spans="1:38" x14ac:dyDescent="0.25">
      <c r="A65" s="1">
        <v>46071</v>
      </c>
      <c r="B65" s="1">
        <v>46071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258</v>
      </c>
      <c r="J65" t="s">
        <v>255</v>
      </c>
      <c r="M65" t="s">
        <v>64</v>
      </c>
      <c r="O65" t="s">
        <v>47</v>
      </c>
      <c r="P65" t="s">
        <v>48</v>
      </c>
      <c r="Q65" t="s">
        <v>49</v>
      </c>
      <c r="R65" t="s">
        <v>259</v>
      </c>
      <c r="S65" s="1">
        <v>45931</v>
      </c>
      <c r="U65" t="s">
        <v>51</v>
      </c>
      <c r="X65" t="s">
        <v>52</v>
      </c>
      <c r="Y65" s="2">
        <v>0</v>
      </c>
      <c r="Z65" s="2">
        <v>43.75</v>
      </c>
      <c r="AA65">
        <v>1</v>
      </c>
      <c r="AB65" s="3">
        <v>1</v>
      </c>
      <c r="AC65" s="2">
        <v>43.75</v>
      </c>
      <c r="AD65" s="3">
        <v>0</v>
      </c>
      <c r="AE65" s="2">
        <v>0</v>
      </c>
      <c r="AF65" s="2">
        <v>43.75</v>
      </c>
      <c r="AK65">
        <v>6266512</v>
      </c>
      <c r="AL65" t="s">
        <v>257</v>
      </c>
    </row>
    <row r="66" spans="1:38" x14ac:dyDescent="0.25">
      <c r="A66" s="1">
        <v>46071</v>
      </c>
      <c r="B66" s="1">
        <v>46071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260</v>
      </c>
      <c r="J66" t="s">
        <v>261</v>
      </c>
      <c r="M66" t="s">
        <v>134</v>
      </c>
      <c r="O66" t="s">
        <v>262</v>
      </c>
      <c r="P66" t="s">
        <v>263</v>
      </c>
      <c r="Q66" t="s">
        <v>49</v>
      </c>
      <c r="R66" t="s">
        <v>247</v>
      </c>
      <c r="S66" s="1">
        <v>46023</v>
      </c>
      <c r="U66" t="s">
        <v>51</v>
      </c>
      <c r="X66" t="s">
        <v>52</v>
      </c>
      <c r="Y66" s="2">
        <v>0</v>
      </c>
      <c r="Z66" s="2">
        <v>694</v>
      </c>
      <c r="AA66">
        <v>1</v>
      </c>
      <c r="AB66" s="3">
        <v>1</v>
      </c>
      <c r="AC66" s="2">
        <v>694</v>
      </c>
      <c r="AD66" s="3">
        <v>0</v>
      </c>
      <c r="AE66" s="2">
        <v>0</v>
      </c>
      <c r="AF66" s="2">
        <v>694</v>
      </c>
      <c r="AK66">
        <v>6266599</v>
      </c>
    </row>
    <row r="67" spans="1:38" x14ac:dyDescent="0.25">
      <c r="A67" s="1">
        <v>46071</v>
      </c>
      <c r="B67" s="1">
        <v>46071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264</v>
      </c>
      <c r="J67" t="s">
        <v>265</v>
      </c>
      <c r="M67" t="s">
        <v>64</v>
      </c>
      <c r="O67" t="s">
        <v>152</v>
      </c>
      <c r="P67" t="s">
        <v>153</v>
      </c>
      <c r="Q67" t="s">
        <v>49</v>
      </c>
      <c r="R67" t="s">
        <v>247</v>
      </c>
      <c r="S67" s="1">
        <v>46054</v>
      </c>
      <c r="U67" t="s">
        <v>51</v>
      </c>
      <c r="X67" t="s">
        <v>52</v>
      </c>
      <c r="Y67" s="2">
        <v>0</v>
      </c>
      <c r="Z67" s="2">
        <v>694</v>
      </c>
      <c r="AA67">
        <v>1</v>
      </c>
      <c r="AB67" s="3">
        <v>1</v>
      </c>
      <c r="AC67" s="2">
        <v>694</v>
      </c>
      <c r="AD67" s="3">
        <v>0</v>
      </c>
      <c r="AE67" s="2">
        <v>0</v>
      </c>
      <c r="AF67" s="2">
        <v>694</v>
      </c>
      <c r="AK67">
        <v>6266600</v>
      </c>
    </row>
    <row r="68" spans="1:38" x14ac:dyDescent="0.25">
      <c r="A68" s="1">
        <v>46071</v>
      </c>
      <c r="B68" s="1">
        <v>46071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266</v>
      </c>
      <c r="J68" t="s">
        <v>267</v>
      </c>
      <c r="M68" t="s">
        <v>268</v>
      </c>
      <c r="O68" t="s">
        <v>269</v>
      </c>
      <c r="P68" t="s">
        <v>270</v>
      </c>
      <c r="Q68" t="s">
        <v>49</v>
      </c>
      <c r="R68" t="s">
        <v>247</v>
      </c>
      <c r="S68" s="1">
        <v>46054</v>
      </c>
      <c r="U68" t="s">
        <v>51</v>
      </c>
      <c r="X68" t="s">
        <v>52</v>
      </c>
      <c r="Y68" s="2">
        <v>0</v>
      </c>
      <c r="Z68" s="2">
        <v>694</v>
      </c>
      <c r="AA68">
        <v>1</v>
      </c>
      <c r="AB68" s="3">
        <v>1</v>
      </c>
      <c r="AC68" s="2">
        <v>694</v>
      </c>
      <c r="AD68" s="3">
        <v>0</v>
      </c>
      <c r="AE68" s="2">
        <v>0</v>
      </c>
      <c r="AF68" s="2">
        <v>694</v>
      </c>
      <c r="AK68">
        <v>6266602</v>
      </c>
    </row>
    <row r="69" spans="1:38" x14ac:dyDescent="0.25">
      <c r="A69" s="1">
        <v>46071</v>
      </c>
      <c r="B69" s="1">
        <v>46071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271</v>
      </c>
      <c r="J69" t="s">
        <v>272</v>
      </c>
      <c r="M69" t="s">
        <v>134</v>
      </c>
      <c r="O69" t="s">
        <v>47</v>
      </c>
      <c r="P69" t="s">
        <v>48</v>
      </c>
      <c r="Q69" t="s">
        <v>49</v>
      </c>
      <c r="R69" t="s">
        <v>273</v>
      </c>
      <c r="S69" s="1">
        <v>46054</v>
      </c>
      <c r="U69" t="s">
        <v>51</v>
      </c>
      <c r="X69" t="s">
        <v>52</v>
      </c>
      <c r="Y69" s="2">
        <v>0</v>
      </c>
      <c r="Z69" s="2">
        <v>406</v>
      </c>
      <c r="AA69">
        <v>1</v>
      </c>
      <c r="AB69" s="3">
        <v>1</v>
      </c>
      <c r="AC69" s="2">
        <v>406</v>
      </c>
      <c r="AD69" s="3">
        <v>0</v>
      </c>
      <c r="AE69" s="2">
        <v>0</v>
      </c>
      <c r="AF69" s="2">
        <v>406</v>
      </c>
      <c r="AK69">
        <v>6266604</v>
      </c>
    </row>
    <row r="70" spans="1:38" x14ac:dyDescent="0.25">
      <c r="A70" s="1">
        <v>46071</v>
      </c>
      <c r="B70" s="1">
        <v>46071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274</v>
      </c>
      <c r="J70" t="s">
        <v>275</v>
      </c>
      <c r="M70" t="s">
        <v>64</v>
      </c>
      <c r="O70" t="s">
        <v>47</v>
      </c>
      <c r="P70" t="s">
        <v>48</v>
      </c>
      <c r="Q70" t="s">
        <v>49</v>
      </c>
      <c r="R70" t="s">
        <v>247</v>
      </c>
      <c r="S70" s="1">
        <v>46113</v>
      </c>
      <c r="U70" t="s">
        <v>51</v>
      </c>
      <c r="X70" t="s">
        <v>52</v>
      </c>
      <c r="Y70" s="2">
        <v>0</v>
      </c>
      <c r="Z70" s="2">
        <v>694</v>
      </c>
      <c r="AA70">
        <v>1</v>
      </c>
      <c r="AB70" s="3">
        <v>1</v>
      </c>
      <c r="AC70" s="2">
        <v>694</v>
      </c>
      <c r="AD70" s="3">
        <v>0</v>
      </c>
      <c r="AE70" s="2">
        <v>0</v>
      </c>
      <c r="AF70" s="2">
        <v>694</v>
      </c>
      <c r="AK70">
        <v>6266606</v>
      </c>
    </row>
    <row r="71" spans="1:38" x14ac:dyDescent="0.25">
      <c r="A71" s="1">
        <v>46071</v>
      </c>
      <c r="B71" s="1">
        <v>46071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276</v>
      </c>
      <c r="J71" t="s">
        <v>277</v>
      </c>
      <c r="M71" t="s">
        <v>268</v>
      </c>
      <c r="O71" t="s">
        <v>226</v>
      </c>
      <c r="P71" t="s">
        <v>227</v>
      </c>
      <c r="Q71" t="s">
        <v>49</v>
      </c>
      <c r="R71" t="s">
        <v>221</v>
      </c>
      <c r="S71" s="1">
        <v>46082</v>
      </c>
      <c r="U71" t="s">
        <v>51</v>
      </c>
      <c r="X71" t="s">
        <v>52</v>
      </c>
      <c r="Y71" s="2">
        <v>0</v>
      </c>
      <c r="Z71" s="2">
        <v>289.17</v>
      </c>
      <c r="AA71">
        <v>1</v>
      </c>
      <c r="AB71" s="3">
        <v>1</v>
      </c>
      <c r="AC71" s="2">
        <v>289.17</v>
      </c>
      <c r="AD71" s="3">
        <v>0</v>
      </c>
      <c r="AE71" s="2">
        <v>0</v>
      </c>
      <c r="AF71" s="2">
        <v>289.17</v>
      </c>
      <c r="AK71">
        <v>6266577</v>
      </c>
      <c r="AL71" t="s">
        <v>201</v>
      </c>
    </row>
    <row r="72" spans="1:38" x14ac:dyDescent="0.25">
      <c r="A72" s="1">
        <v>46071</v>
      </c>
      <c r="B72" s="1">
        <v>46071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278</v>
      </c>
      <c r="J72" t="s">
        <v>277</v>
      </c>
      <c r="M72" t="s">
        <v>268</v>
      </c>
      <c r="O72" t="s">
        <v>226</v>
      </c>
      <c r="P72" t="s">
        <v>227</v>
      </c>
      <c r="Q72" t="s">
        <v>49</v>
      </c>
      <c r="R72" t="s">
        <v>232</v>
      </c>
      <c r="S72" s="1">
        <v>46082</v>
      </c>
      <c r="U72" t="s">
        <v>51</v>
      </c>
      <c r="X72" t="s">
        <v>52</v>
      </c>
      <c r="Y72" s="2">
        <v>0</v>
      </c>
      <c r="Z72" s="2">
        <v>175</v>
      </c>
      <c r="AA72">
        <v>1</v>
      </c>
      <c r="AB72" s="3">
        <v>1</v>
      </c>
      <c r="AC72" s="2">
        <v>175</v>
      </c>
      <c r="AD72" s="3">
        <v>0</v>
      </c>
      <c r="AE72" s="2">
        <v>0</v>
      </c>
      <c r="AF72" s="2">
        <v>175</v>
      </c>
      <c r="AK72">
        <v>6266561</v>
      </c>
    </row>
    <row r="73" spans="1:38" x14ac:dyDescent="0.25">
      <c r="A73" s="1">
        <v>46071</v>
      </c>
      <c r="B73" s="1">
        <v>46071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279</v>
      </c>
      <c r="J73" t="s">
        <v>280</v>
      </c>
      <c r="M73" t="s">
        <v>64</v>
      </c>
      <c r="O73" t="s">
        <v>281</v>
      </c>
      <c r="P73" t="s">
        <v>282</v>
      </c>
      <c r="Q73" t="s">
        <v>49</v>
      </c>
      <c r="R73" t="s">
        <v>247</v>
      </c>
      <c r="S73" s="1">
        <v>46054</v>
      </c>
      <c r="U73" t="s">
        <v>51</v>
      </c>
      <c r="X73" t="s">
        <v>52</v>
      </c>
      <c r="Y73" s="2">
        <v>0</v>
      </c>
      <c r="Z73" s="2">
        <v>694</v>
      </c>
      <c r="AA73">
        <v>1</v>
      </c>
      <c r="AB73" s="3">
        <v>1</v>
      </c>
      <c r="AC73" s="2">
        <v>694</v>
      </c>
      <c r="AD73" s="3">
        <v>0</v>
      </c>
      <c r="AE73" s="2">
        <v>0</v>
      </c>
      <c r="AF73" s="2">
        <v>694</v>
      </c>
      <c r="AK73">
        <v>6266607</v>
      </c>
    </row>
    <row r="74" spans="1:38" x14ac:dyDescent="0.25">
      <c r="A74" s="1">
        <v>46071</v>
      </c>
      <c r="B74" s="1">
        <v>46071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283</v>
      </c>
      <c r="J74" t="s">
        <v>284</v>
      </c>
      <c r="M74" t="s">
        <v>168</v>
      </c>
      <c r="O74" t="s">
        <v>179</v>
      </c>
      <c r="P74" t="s">
        <v>180</v>
      </c>
      <c r="Q74" t="s">
        <v>49</v>
      </c>
      <c r="R74" t="s">
        <v>285</v>
      </c>
      <c r="S74" s="1">
        <v>46054</v>
      </c>
      <c r="U74" t="s">
        <v>51</v>
      </c>
      <c r="X74" t="s">
        <v>52</v>
      </c>
      <c r="Y74" s="2">
        <v>0</v>
      </c>
      <c r="Z74" s="2">
        <v>781</v>
      </c>
      <c r="AA74">
        <v>1</v>
      </c>
      <c r="AB74" s="3">
        <v>1</v>
      </c>
      <c r="AC74" s="2">
        <v>781</v>
      </c>
      <c r="AD74" s="3">
        <v>0</v>
      </c>
      <c r="AE74" s="2">
        <v>0</v>
      </c>
      <c r="AF74" s="2">
        <v>781</v>
      </c>
      <c r="AK74">
        <v>6266608</v>
      </c>
    </row>
    <row r="75" spans="1:38" x14ac:dyDescent="0.25">
      <c r="A75" s="1">
        <v>46071</v>
      </c>
      <c r="B75" s="1">
        <v>46071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286</v>
      </c>
      <c r="J75" t="s">
        <v>287</v>
      </c>
      <c r="M75" t="s">
        <v>288</v>
      </c>
      <c r="O75" t="s">
        <v>47</v>
      </c>
      <c r="P75" t="s">
        <v>48</v>
      </c>
      <c r="Q75" t="s">
        <v>49</v>
      </c>
      <c r="R75" t="s">
        <v>221</v>
      </c>
      <c r="S75" s="1">
        <v>46082</v>
      </c>
      <c r="U75" t="s">
        <v>51</v>
      </c>
      <c r="X75" t="s">
        <v>52</v>
      </c>
      <c r="Y75" s="2">
        <v>0</v>
      </c>
      <c r="Z75" s="2">
        <v>289.17</v>
      </c>
      <c r="AA75">
        <v>1</v>
      </c>
      <c r="AB75" s="3">
        <v>1</v>
      </c>
      <c r="AC75" s="2">
        <v>289.17</v>
      </c>
      <c r="AD75" s="3">
        <v>0</v>
      </c>
      <c r="AE75" s="2">
        <v>0</v>
      </c>
      <c r="AF75" s="2">
        <v>289.17</v>
      </c>
      <c r="AK75">
        <v>6266579</v>
      </c>
      <c r="AL75" t="s">
        <v>201</v>
      </c>
    </row>
    <row r="76" spans="1:38" x14ac:dyDescent="0.25">
      <c r="A76" s="1">
        <v>46071</v>
      </c>
      <c r="B76" s="1">
        <v>46071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289</v>
      </c>
      <c r="J76" t="s">
        <v>287</v>
      </c>
      <c r="M76" t="s">
        <v>288</v>
      </c>
      <c r="O76" t="s">
        <v>47</v>
      </c>
      <c r="P76" t="s">
        <v>48</v>
      </c>
      <c r="Q76" t="s">
        <v>49</v>
      </c>
      <c r="R76" t="s">
        <v>232</v>
      </c>
      <c r="S76" s="1">
        <v>46082</v>
      </c>
      <c r="U76" t="s">
        <v>51</v>
      </c>
      <c r="X76" t="s">
        <v>52</v>
      </c>
      <c r="Y76" s="2">
        <v>0</v>
      </c>
      <c r="Z76" s="2">
        <v>175</v>
      </c>
      <c r="AA76">
        <v>1</v>
      </c>
      <c r="AB76" s="3">
        <v>1</v>
      </c>
      <c r="AC76" s="2">
        <v>175</v>
      </c>
      <c r="AD76" s="3">
        <v>0</v>
      </c>
      <c r="AE76" s="2">
        <v>0</v>
      </c>
      <c r="AF76" s="2">
        <v>175</v>
      </c>
      <c r="AK76">
        <v>6266572</v>
      </c>
    </row>
    <row r="77" spans="1:38" x14ac:dyDescent="0.25">
      <c r="A77" s="1">
        <v>46071</v>
      </c>
      <c r="B77" s="1">
        <v>46071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290</v>
      </c>
      <c r="J77" t="s">
        <v>291</v>
      </c>
      <c r="M77" t="s">
        <v>64</v>
      </c>
      <c r="O77" t="s">
        <v>215</v>
      </c>
      <c r="P77" t="s">
        <v>216</v>
      </c>
      <c r="Q77" t="s">
        <v>49</v>
      </c>
      <c r="R77" t="s">
        <v>292</v>
      </c>
      <c r="S77" s="1">
        <v>46054</v>
      </c>
      <c r="U77" t="s">
        <v>51</v>
      </c>
      <c r="X77" t="s">
        <v>52</v>
      </c>
      <c r="Y77" s="2">
        <v>0</v>
      </c>
      <c r="Z77" s="2">
        <v>636.16999999999996</v>
      </c>
      <c r="AA77">
        <v>1</v>
      </c>
      <c r="AB77" s="3">
        <v>1</v>
      </c>
      <c r="AC77" s="2">
        <v>636.16999999999996</v>
      </c>
      <c r="AD77" s="3">
        <v>0</v>
      </c>
      <c r="AE77" s="2">
        <v>0</v>
      </c>
      <c r="AF77" s="2">
        <v>636.16999999999996</v>
      </c>
      <c r="AK77">
        <v>6266609</v>
      </c>
      <c r="AL77" t="s">
        <v>172</v>
      </c>
    </row>
    <row r="78" spans="1:38" x14ac:dyDescent="0.25">
      <c r="A78" s="1">
        <v>46071</v>
      </c>
      <c r="B78" s="1">
        <v>46071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293</v>
      </c>
      <c r="J78" t="s">
        <v>294</v>
      </c>
      <c r="M78" t="s">
        <v>134</v>
      </c>
      <c r="O78" t="s">
        <v>152</v>
      </c>
      <c r="P78" t="s">
        <v>153</v>
      </c>
      <c r="Q78" t="s">
        <v>49</v>
      </c>
      <c r="R78" t="s">
        <v>273</v>
      </c>
      <c r="S78" s="1">
        <v>46082</v>
      </c>
      <c r="U78" t="s">
        <v>51</v>
      </c>
      <c r="X78" t="s">
        <v>52</v>
      </c>
      <c r="Y78" s="2">
        <v>0</v>
      </c>
      <c r="Z78" s="2">
        <v>406</v>
      </c>
      <c r="AA78">
        <v>1</v>
      </c>
      <c r="AB78" s="3">
        <v>1</v>
      </c>
      <c r="AC78" s="2">
        <v>406</v>
      </c>
      <c r="AD78" s="3">
        <v>0</v>
      </c>
      <c r="AE78" s="2">
        <v>0</v>
      </c>
      <c r="AF78" s="2">
        <v>406</v>
      </c>
      <c r="AK78">
        <v>6266612</v>
      </c>
    </row>
    <row r="79" spans="1:38" x14ac:dyDescent="0.25">
      <c r="A79" s="1">
        <v>46071</v>
      </c>
      <c r="B79" s="1">
        <v>46071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295</v>
      </c>
      <c r="J79" t="s">
        <v>296</v>
      </c>
      <c r="M79" t="s">
        <v>297</v>
      </c>
      <c r="O79" t="s">
        <v>298</v>
      </c>
      <c r="P79" t="s">
        <v>299</v>
      </c>
      <c r="Q79" t="s">
        <v>49</v>
      </c>
      <c r="R79" t="s">
        <v>247</v>
      </c>
      <c r="S79" s="1">
        <v>46054</v>
      </c>
      <c r="U79" t="s">
        <v>51</v>
      </c>
      <c r="X79" t="s">
        <v>52</v>
      </c>
      <c r="Y79" s="2">
        <v>0</v>
      </c>
      <c r="Z79" s="2">
        <v>694</v>
      </c>
      <c r="AA79">
        <v>1</v>
      </c>
      <c r="AB79" s="3">
        <v>1</v>
      </c>
      <c r="AC79" s="2">
        <v>694</v>
      </c>
      <c r="AD79" s="3">
        <v>0</v>
      </c>
      <c r="AE79" s="2">
        <v>0</v>
      </c>
      <c r="AF79" s="2">
        <v>694</v>
      </c>
      <c r="AK79">
        <v>6266613</v>
      </c>
    </row>
    <row r="80" spans="1:38" x14ac:dyDescent="0.25">
      <c r="A80" s="1">
        <v>46071</v>
      </c>
      <c r="B80" s="1">
        <v>46071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300</v>
      </c>
      <c r="J80" t="s">
        <v>301</v>
      </c>
      <c r="M80" t="s">
        <v>64</v>
      </c>
      <c r="O80" t="s">
        <v>152</v>
      </c>
      <c r="P80" t="s">
        <v>153</v>
      </c>
      <c r="Q80" t="s">
        <v>49</v>
      </c>
      <c r="R80" t="s">
        <v>247</v>
      </c>
      <c r="S80" s="1">
        <v>46054</v>
      </c>
      <c r="U80" t="s">
        <v>51</v>
      </c>
      <c r="X80" t="s">
        <v>52</v>
      </c>
      <c r="Y80" s="2">
        <v>0</v>
      </c>
      <c r="Z80" s="2">
        <v>694</v>
      </c>
      <c r="AA80">
        <v>1</v>
      </c>
      <c r="AB80" s="3">
        <v>1</v>
      </c>
      <c r="AC80" s="2">
        <v>694</v>
      </c>
      <c r="AD80" s="3">
        <v>0</v>
      </c>
      <c r="AE80" s="2">
        <v>0</v>
      </c>
      <c r="AF80" s="2">
        <v>694</v>
      </c>
      <c r="AK80">
        <v>6266619</v>
      </c>
    </row>
    <row r="81" spans="1:38" x14ac:dyDescent="0.25">
      <c r="A81" s="1">
        <v>46071</v>
      </c>
      <c r="B81" s="1">
        <v>46071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302</v>
      </c>
      <c r="J81" t="s">
        <v>303</v>
      </c>
      <c r="M81" t="s">
        <v>134</v>
      </c>
      <c r="O81" t="s">
        <v>90</v>
      </c>
      <c r="P81" t="s">
        <v>91</v>
      </c>
      <c r="Q81" t="s">
        <v>49</v>
      </c>
      <c r="R81" t="s">
        <v>221</v>
      </c>
      <c r="S81" s="1">
        <v>46082</v>
      </c>
      <c r="U81" t="s">
        <v>51</v>
      </c>
      <c r="X81" t="s">
        <v>52</v>
      </c>
      <c r="Y81" s="2">
        <v>0</v>
      </c>
      <c r="Z81" s="2">
        <v>289.17</v>
      </c>
      <c r="AA81">
        <v>1</v>
      </c>
      <c r="AB81" s="3">
        <v>1</v>
      </c>
      <c r="AC81" s="2">
        <v>289.17</v>
      </c>
      <c r="AD81" s="3">
        <v>0</v>
      </c>
      <c r="AE81" s="2">
        <v>0</v>
      </c>
      <c r="AF81" s="2">
        <v>289.17</v>
      </c>
      <c r="AK81">
        <v>6266569</v>
      </c>
      <c r="AL81" t="s">
        <v>201</v>
      </c>
    </row>
    <row r="82" spans="1:38" x14ac:dyDescent="0.25">
      <c r="A82" s="1">
        <v>46071</v>
      </c>
      <c r="B82" s="1">
        <v>46071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304</v>
      </c>
      <c r="J82" t="s">
        <v>303</v>
      </c>
      <c r="M82" t="s">
        <v>134</v>
      </c>
      <c r="O82" t="s">
        <v>90</v>
      </c>
      <c r="P82" t="s">
        <v>91</v>
      </c>
      <c r="Q82" t="s">
        <v>49</v>
      </c>
      <c r="R82" t="s">
        <v>223</v>
      </c>
      <c r="S82" s="1">
        <v>46082</v>
      </c>
      <c r="U82" t="s">
        <v>51</v>
      </c>
      <c r="X82" t="s">
        <v>52</v>
      </c>
      <c r="Y82" s="2">
        <v>0</v>
      </c>
      <c r="Z82" s="2">
        <v>60</v>
      </c>
      <c r="AA82">
        <v>1</v>
      </c>
      <c r="AB82" s="3">
        <v>1</v>
      </c>
      <c r="AC82" s="2">
        <v>60</v>
      </c>
      <c r="AD82" s="3">
        <v>0</v>
      </c>
      <c r="AE82" s="2">
        <v>0</v>
      </c>
      <c r="AF82" s="2">
        <v>60</v>
      </c>
      <c r="AK82">
        <v>6266570</v>
      </c>
      <c r="AL82" t="s">
        <v>201</v>
      </c>
    </row>
    <row r="83" spans="1:38" x14ac:dyDescent="0.25">
      <c r="A83" s="1">
        <v>46071</v>
      </c>
      <c r="B83" s="1">
        <v>46071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305</v>
      </c>
      <c r="J83" t="s">
        <v>306</v>
      </c>
      <c r="M83" t="s">
        <v>243</v>
      </c>
      <c r="O83" t="s">
        <v>226</v>
      </c>
      <c r="P83" t="s">
        <v>227</v>
      </c>
      <c r="Q83" t="s">
        <v>49</v>
      </c>
      <c r="R83" t="s">
        <v>221</v>
      </c>
      <c r="S83" s="1">
        <v>46082</v>
      </c>
      <c r="U83" t="s">
        <v>51</v>
      </c>
      <c r="X83" t="s">
        <v>52</v>
      </c>
      <c r="Y83" s="2">
        <v>0</v>
      </c>
      <c r="Z83" s="2">
        <v>289.17</v>
      </c>
      <c r="AA83">
        <v>1</v>
      </c>
      <c r="AB83" s="3">
        <v>1</v>
      </c>
      <c r="AC83" s="2">
        <v>289.17</v>
      </c>
      <c r="AD83" s="3">
        <v>0</v>
      </c>
      <c r="AE83" s="2">
        <v>0</v>
      </c>
      <c r="AF83" s="2">
        <v>289.17</v>
      </c>
      <c r="AK83">
        <v>6266581</v>
      </c>
      <c r="AL83" t="s">
        <v>201</v>
      </c>
    </row>
    <row r="84" spans="1:38" x14ac:dyDescent="0.25">
      <c r="A84" s="1">
        <v>46071</v>
      </c>
      <c r="B84" s="1">
        <v>46071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307</v>
      </c>
      <c r="J84" t="s">
        <v>306</v>
      </c>
      <c r="M84" t="s">
        <v>243</v>
      </c>
      <c r="O84" t="s">
        <v>226</v>
      </c>
      <c r="P84" t="s">
        <v>227</v>
      </c>
      <c r="Q84" t="s">
        <v>49</v>
      </c>
      <c r="R84" t="s">
        <v>232</v>
      </c>
      <c r="S84" s="1">
        <v>46082</v>
      </c>
      <c r="U84" t="s">
        <v>51</v>
      </c>
      <c r="X84" t="s">
        <v>52</v>
      </c>
      <c r="Y84" s="2">
        <v>0</v>
      </c>
      <c r="Z84" s="2">
        <v>175</v>
      </c>
      <c r="AA84">
        <v>1</v>
      </c>
      <c r="AB84" s="3">
        <v>1</v>
      </c>
      <c r="AC84" s="2">
        <v>175</v>
      </c>
      <c r="AD84" s="3">
        <v>0</v>
      </c>
      <c r="AE84" s="2">
        <v>0</v>
      </c>
      <c r="AF84" s="2">
        <v>175</v>
      </c>
      <c r="AK84">
        <v>6266574</v>
      </c>
    </row>
    <row r="85" spans="1:38" x14ac:dyDescent="0.25">
      <c r="A85" s="1">
        <v>46071</v>
      </c>
      <c r="B85" s="1">
        <v>46071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308</v>
      </c>
      <c r="J85" t="s">
        <v>309</v>
      </c>
      <c r="M85" t="s">
        <v>134</v>
      </c>
      <c r="O85" t="s">
        <v>152</v>
      </c>
      <c r="P85" t="s">
        <v>153</v>
      </c>
      <c r="Q85" t="s">
        <v>49</v>
      </c>
      <c r="R85" t="s">
        <v>292</v>
      </c>
      <c r="S85" s="1">
        <v>46054</v>
      </c>
      <c r="U85" t="s">
        <v>51</v>
      </c>
      <c r="X85" t="s">
        <v>52</v>
      </c>
      <c r="Y85" s="2">
        <v>0</v>
      </c>
      <c r="Z85" s="2">
        <v>636.16999999999996</v>
      </c>
      <c r="AA85">
        <v>1</v>
      </c>
      <c r="AB85" s="3">
        <v>1</v>
      </c>
      <c r="AC85" s="2">
        <v>636.16999999999996</v>
      </c>
      <c r="AD85" s="3">
        <v>0</v>
      </c>
      <c r="AE85" s="2">
        <v>0</v>
      </c>
      <c r="AF85" s="2">
        <v>636.16999999999996</v>
      </c>
      <c r="AK85">
        <v>6266621</v>
      </c>
      <c r="AL85" t="s">
        <v>172</v>
      </c>
    </row>
    <row r="86" spans="1:38" x14ac:dyDescent="0.25">
      <c r="A86" s="1">
        <v>46071</v>
      </c>
      <c r="B86" s="1">
        <v>46071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310</v>
      </c>
      <c r="J86" t="s">
        <v>311</v>
      </c>
      <c r="M86" t="s">
        <v>64</v>
      </c>
      <c r="O86" t="s">
        <v>125</v>
      </c>
      <c r="P86" t="s">
        <v>126</v>
      </c>
      <c r="Q86" t="s">
        <v>49</v>
      </c>
      <c r="R86" t="s">
        <v>250</v>
      </c>
      <c r="S86" s="1">
        <v>46054</v>
      </c>
      <c r="U86" t="s">
        <v>51</v>
      </c>
      <c r="X86" t="s">
        <v>52</v>
      </c>
      <c r="Y86" s="2">
        <v>0</v>
      </c>
      <c r="Z86" s="2">
        <v>372.17</v>
      </c>
      <c r="AA86">
        <v>1</v>
      </c>
      <c r="AB86" s="3">
        <v>1</v>
      </c>
      <c r="AC86" s="2">
        <v>372.17</v>
      </c>
      <c r="AD86" s="3">
        <v>0</v>
      </c>
      <c r="AE86" s="2">
        <v>0</v>
      </c>
      <c r="AF86" s="2">
        <v>372.17</v>
      </c>
      <c r="AK86">
        <v>6266623</v>
      </c>
      <c r="AL86" t="s">
        <v>172</v>
      </c>
    </row>
    <row r="87" spans="1:38" x14ac:dyDescent="0.25">
      <c r="A87" s="1">
        <v>46071</v>
      </c>
      <c r="B87" s="1">
        <v>46071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312</v>
      </c>
      <c r="J87" t="s">
        <v>313</v>
      </c>
      <c r="M87" t="s">
        <v>134</v>
      </c>
      <c r="O87" t="s">
        <v>152</v>
      </c>
      <c r="P87" t="s">
        <v>153</v>
      </c>
      <c r="Q87" t="s">
        <v>49</v>
      </c>
      <c r="R87" t="s">
        <v>247</v>
      </c>
      <c r="S87" s="1">
        <v>46054</v>
      </c>
      <c r="U87" t="s">
        <v>51</v>
      </c>
      <c r="X87" t="s">
        <v>52</v>
      </c>
      <c r="Y87" s="2">
        <v>0</v>
      </c>
      <c r="Z87" s="2">
        <v>694</v>
      </c>
      <c r="AA87">
        <v>1</v>
      </c>
      <c r="AB87" s="3">
        <v>1</v>
      </c>
      <c r="AC87" s="2">
        <v>694</v>
      </c>
      <c r="AD87" s="3">
        <v>0</v>
      </c>
      <c r="AE87" s="2">
        <v>0</v>
      </c>
      <c r="AF87" s="2">
        <v>694</v>
      </c>
      <c r="AK87">
        <v>6266626</v>
      </c>
    </row>
    <row r="88" spans="1:38" x14ac:dyDescent="0.25">
      <c r="A88" s="1">
        <v>46071</v>
      </c>
      <c r="B88" s="1">
        <v>46071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314</v>
      </c>
      <c r="J88" t="s">
        <v>315</v>
      </c>
      <c r="M88" t="s">
        <v>297</v>
      </c>
      <c r="O88" t="s">
        <v>298</v>
      </c>
      <c r="P88" t="s">
        <v>299</v>
      </c>
      <c r="Q88" t="s">
        <v>49</v>
      </c>
      <c r="R88" t="s">
        <v>221</v>
      </c>
      <c r="S88" s="1">
        <v>46082</v>
      </c>
      <c r="U88" t="s">
        <v>51</v>
      </c>
      <c r="X88" t="s">
        <v>52</v>
      </c>
      <c r="Y88" s="2">
        <v>0</v>
      </c>
      <c r="Z88" s="2">
        <v>289.17</v>
      </c>
      <c r="AA88">
        <v>1</v>
      </c>
      <c r="AB88" s="3">
        <v>1</v>
      </c>
      <c r="AC88" s="2">
        <v>289.17</v>
      </c>
      <c r="AD88" s="3">
        <v>0</v>
      </c>
      <c r="AE88" s="2">
        <v>0</v>
      </c>
      <c r="AF88" s="2">
        <v>289.17</v>
      </c>
      <c r="AK88">
        <v>6266583</v>
      </c>
      <c r="AL88" t="s">
        <v>201</v>
      </c>
    </row>
    <row r="89" spans="1:38" x14ac:dyDescent="0.25">
      <c r="A89" s="1">
        <v>46071</v>
      </c>
      <c r="B89" s="1">
        <v>46071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316</v>
      </c>
      <c r="J89" t="s">
        <v>315</v>
      </c>
      <c r="M89" t="s">
        <v>297</v>
      </c>
      <c r="O89" t="s">
        <v>298</v>
      </c>
      <c r="P89" t="s">
        <v>299</v>
      </c>
      <c r="Q89" t="s">
        <v>49</v>
      </c>
      <c r="R89" t="s">
        <v>232</v>
      </c>
      <c r="S89" s="1">
        <v>46082</v>
      </c>
      <c r="U89" t="s">
        <v>51</v>
      </c>
      <c r="X89" t="s">
        <v>52</v>
      </c>
      <c r="Y89" s="2">
        <v>0</v>
      </c>
      <c r="Z89" s="2">
        <v>175</v>
      </c>
      <c r="AA89">
        <v>1</v>
      </c>
      <c r="AB89" s="3">
        <v>1</v>
      </c>
      <c r="AC89" s="2">
        <v>175</v>
      </c>
      <c r="AD89" s="3">
        <v>0</v>
      </c>
      <c r="AE89" s="2">
        <v>0</v>
      </c>
      <c r="AF89" s="2">
        <v>175</v>
      </c>
      <c r="AK89">
        <v>6266576</v>
      </c>
    </row>
    <row r="90" spans="1:38" x14ac:dyDescent="0.25">
      <c r="A90" s="1">
        <v>46071</v>
      </c>
      <c r="B90" s="1">
        <v>46071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317</v>
      </c>
      <c r="J90" t="s">
        <v>318</v>
      </c>
      <c r="M90" t="s">
        <v>64</v>
      </c>
      <c r="O90" t="s">
        <v>106</v>
      </c>
      <c r="P90" t="s">
        <v>107</v>
      </c>
      <c r="Q90" t="s">
        <v>49</v>
      </c>
      <c r="R90" t="s">
        <v>319</v>
      </c>
      <c r="S90" s="1">
        <v>46054</v>
      </c>
      <c r="U90" t="s">
        <v>51</v>
      </c>
      <c r="X90" t="s">
        <v>52</v>
      </c>
      <c r="Y90" s="2">
        <v>0</v>
      </c>
      <c r="Z90" s="2">
        <v>186.08</v>
      </c>
      <c r="AA90">
        <v>1</v>
      </c>
      <c r="AB90" s="3">
        <v>1</v>
      </c>
      <c r="AC90" s="2">
        <v>186.08</v>
      </c>
      <c r="AD90" s="3">
        <v>0</v>
      </c>
      <c r="AE90" s="2">
        <v>0</v>
      </c>
      <c r="AF90" s="2">
        <v>186.08</v>
      </c>
      <c r="AK90">
        <v>6266565</v>
      </c>
      <c r="AL90" t="s">
        <v>172</v>
      </c>
    </row>
    <row r="91" spans="1:38" x14ac:dyDescent="0.25">
      <c r="A91" s="1">
        <v>46071</v>
      </c>
      <c r="B91" s="1">
        <v>46071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320</v>
      </c>
      <c r="J91" t="s">
        <v>318</v>
      </c>
      <c r="M91" t="s">
        <v>64</v>
      </c>
      <c r="O91" t="s">
        <v>106</v>
      </c>
      <c r="P91" t="s">
        <v>107</v>
      </c>
      <c r="Q91" t="s">
        <v>49</v>
      </c>
      <c r="R91" t="s">
        <v>321</v>
      </c>
      <c r="S91" s="1">
        <v>46054</v>
      </c>
      <c r="U91" t="s">
        <v>51</v>
      </c>
      <c r="X91" t="s">
        <v>52</v>
      </c>
      <c r="Y91" s="2">
        <v>0</v>
      </c>
      <c r="Z91" s="2">
        <v>113</v>
      </c>
      <c r="AA91">
        <v>1</v>
      </c>
      <c r="AB91" s="3">
        <v>1</v>
      </c>
      <c r="AC91" s="2">
        <v>113</v>
      </c>
      <c r="AD91" s="3">
        <v>0</v>
      </c>
      <c r="AE91" s="2">
        <v>0</v>
      </c>
      <c r="AF91" s="2">
        <v>113</v>
      </c>
      <c r="AK91">
        <v>6266566</v>
      </c>
    </row>
    <row r="92" spans="1:38" x14ac:dyDescent="0.25">
      <c r="A92" s="1">
        <v>46071</v>
      </c>
      <c r="B92" s="1">
        <v>46071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322</v>
      </c>
      <c r="J92" t="s">
        <v>323</v>
      </c>
      <c r="M92" t="s">
        <v>129</v>
      </c>
      <c r="O92" t="s">
        <v>324</v>
      </c>
      <c r="P92" t="s">
        <v>325</v>
      </c>
      <c r="Q92" t="s">
        <v>49</v>
      </c>
      <c r="R92" t="s">
        <v>247</v>
      </c>
      <c r="S92" s="1">
        <v>46054</v>
      </c>
      <c r="U92" t="s">
        <v>51</v>
      </c>
      <c r="X92" t="s">
        <v>52</v>
      </c>
      <c r="Y92" s="2">
        <v>0</v>
      </c>
      <c r="Z92" s="2">
        <v>694</v>
      </c>
      <c r="AA92">
        <v>1</v>
      </c>
      <c r="AB92" s="3">
        <v>1</v>
      </c>
      <c r="AC92" s="2">
        <v>694</v>
      </c>
      <c r="AD92" s="3">
        <v>0</v>
      </c>
      <c r="AE92" s="2">
        <v>0</v>
      </c>
      <c r="AF92" s="2">
        <v>694</v>
      </c>
      <c r="AK92">
        <v>6266633</v>
      </c>
    </row>
    <row r="93" spans="1:38" x14ac:dyDescent="0.25">
      <c r="A93" s="1">
        <v>46071</v>
      </c>
      <c r="B93" s="1">
        <v>46071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326</v>
      </c>
      <c r="J93" t="s">
        <v>327</v>
      </c>
      <c r="M93" t="s">
        <v>134</v>
      </c>
      <c r="O93" t="s">
        <v>152</v>
      </c>
      <c r="P93" t="s">
        <v>153</v>
      </c>
      <c r="Q93" t="s">
        <v>49</v>
      </c>
      <c r="R93" t="s">
        <v>292</v>
      </c>
      <c r="S93" s="1">
        <v>46054</v>
      </c>
      <c r="U93" t="s">
        <v>51</v>
      </c>
      <c r="X93" t="s">
        <v>52</v>
      </c>
      <c r="Y93" s="2">
        <v>0</v>
      </c>
      <c r="Z93" s="2">
        <v>636.16999999999996</v>
      </c>
      <c r="AA93">
        <v>1</v>
      </c>
      <c r="AB93" s="3">
        <v>1</v>
      </c>
      <c r="AC93" s="2">
        <v>636.16999999999996</v>
      </c>
      <c r="AD93" s="3">
        <v>0</v>
      </c>
      <c r="AE93" s="2">
        <v>0</v>
      </c>
      <c r="AF93" s="2">
        <v>636.16999999999996</v>
      </c>
      <c r="AK93">
        <v>6266635</v>
      </c>
      <c r="AL93" t="s">
        <v>172</v>
      </c>
    </row>
    <row r="94" spans="1:38" x14ac:dyDescent="0.25">
      <c r="A94" s="1">
        <v>46071</v>
      </c>
      <c r="B94" s="1">
        <v>46071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328</v>
      </c>
      <c r="J94" t="s">
        <v>329</v>
      </c>
      <c r="M94" t="s">
        <v>297</v>
      </c>
      <c r="O94" t="s">
        <v>298</v>
      </c>
      <c r="P94" t="s">
        <v>299</v>
      </c>
      <c r="Q94" t="s">
        <v>49</v>
      </c>
      <c r="R94" t="s">
        <v>247</v>
      </c>
      <c r="S94" s="1">
        <v>46054</v>
      </c>
      <c r="U94" t="s">
        <v>51</v>
      </c>
      <c r="X94" t="s">
        <v>52</v>
      </c>
      <c r="Y94" s="2">
        <v>0</v>
      </c>
      <c r="Z94" s="2">
        <v>694</v>
      </c>
      <c r="AA94">
        <v>1</v>
      </c>
      <c r="AB94" s="3">
        <v>1</v>
      </c>
      <c r="AC94" s="2">
        <v>694</v>
      </c>
      <c r="AD94" s="3">
        <v>0</v>
      </c>
      <c r="AE94" s="2">
        <v>0</v>
      </c>
      <c r="AF94" s="2">
        <v>694</v>
      </c>
      <c r="AK94">
        <v>6266636</v>
      </c>
    </row>
    <row r="95" spans="1:38" x14ac:dyDescent="0.25">
      <c r="A95" s="1">
        <v>46071</v>
      </c>
      <c r="B95" s="1">
        <v>46071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330</v>
      </c>
      <c r="J95" t="s">
        <v>331</v>
      </c>
      <c r="M95" t="s">
        <v>55</v>
      </c>
      <c r="O95" t="s">
        <v>197</v>
      </c>
      <c r="P95" t="s">
        <v>198</v>
      </c>
      <c r="Q95" t="s">
        <v>49</v>
      </c>
      <c r="R95" t="s">
        <v>319</v>
      </c>
      <c r="S95" s="1">
        <v>46082</v>
      </c>
      <c r="U95" t="s">
        <v>51</v>
      </c>
      <c r="X95" t="s">
        <v>52</v>
      </c>
      <c r="Y95" s="2">
        <v>0</v>
      </c>
      <c r="Z95" s="2">
        <v>169.17</v>
      </c>
      <c r="AA95">
        <v>1</v>
      </c>
      <c r="AB95" s="3">
        <v>1</v>
      </c>
      <c r="AC95" s="2">
        <v>169.17</v>
      </c>
      <c r="AD95" s="3">
        <v>0</v>
      </c>
      <c r="AE95" s="2">
        <v>0</v>
      </c>
      <c r="AF95" s="2">
        <v>169.17</v>
      </c>
      <c r="AK95">
        <v>6266562</v>
      </c>
      <c r="AL95" t="s">
        <v>201</v>
      </c>
    </row>
    <row r="96" spans="1:38" x14ac:dyDescent="0.25">
      <c r="A96" s="1">
        <v>46071</v>
      </c>
      <c r="B96" s="1">
        <v>46071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332</v>
      </c>
      <c r="J96" t="s">
        <v>331</v>
      </c>
      <c r="M96" t="s">
        <v>55</v>
      </c>
      <c r="O96" t="s">
        <v>197</v>
      </c>
      <c r="P96" t="s">
        <v>198</v>
      </c>
      <c r="Q96" t="s">
        <v>49</v>
      </c>
      <c r="R96" t="s">
        <v>333</v>
      </c>
      <c r="S96" s="1">
        <v>46082</v>
      </c>
      <c r="U96" t="s">
        <v>51</v>
      </c>
      <c r="X96" t="s">
        <v>52</v>
      </c>
      <c r="Y96" s="2">
        <v>0</v>
      </c>
      <c r="Z96" s="2">
        <v>41.67</v>
      </c>
      <c r="AA96">
        <v>1</v>
      </c>
      <c r="AB96" s="3">
        <v>1</v>
      </c>
      <c r="AC96" s="2">
        <v>41.67</v>
      </c>
      <c r="AD96" s="3">
        <v>0</v>
      </c>
      <c r="AE96" s="2">
        <v>0</v>
      </c>
      <c r="AF96" s="2">
        <v>41.67</v>
      </c>
      <c r="AK96">
        <v>6266585</v>
      </c>
      <c r="AL96" t="s">
        <v>201</v>
      </c>
    </row>
    <row r="97" spans="1:38" x14ac:dyDescent="0.25">
      <c r="A97" s="1">
        <v>46071</v>
      </c>
      <c r="B97" s="1">
        <v>46071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334</v>
      </c>
      <c r="J97" t="s">
        <v>335</v>
      </c>
      <c r="M97" t="s">
        <v>64</v>
      </c>
      <c r="O97" t="s">
        <v>281</v>
      </c>
      <c r="P97" t="s">
        <v>282</v>
      </c>
      <c r="Q97" t="s">
        <v>49</v>
      </c>
      <c r="R97" t="s">
        <v>319</v>
      </c>
      <c r="S97" s="1">
        <v>46082</v>
      </c>
      <c r="U97" t="s">
        <v>51</v>
      </c>
      <c r="X97" t="s">
        <v>52</v>
      </c>
      <c r="Y97" s="2">
        <v>0</v>
      </c>
      <c r="Z97" s="2">
        <v>169.17</v>
      </c>
      <c r="AA97">
        <v>1</v>
      </c>
      <c r="AB97" s="3">
        <v>1</v>
      </c>
      <c r="AC97" s="2">
        <v>169.17</v>
      </c>
      <c r="AD97" s="3">
        <v>0</v>
      </c>
      <c r="AE97" s="2">
        <v>0</v>
      </c>
      <c r="AF97" s="2">
        <v>169.17</v>
      </c>
      <c r="AK97">
        <v>6266563</v>
      </c>
      <c r="AL97" t="s">
        <v>201</v>
      </c>
    </row>
    <row r="98" spans="1:38" x14ac:dyDescent="0.25">
      <c r="A98" s="1">
        <v>46071</v>
      </c>
      <c r="B98" s="1">
        <v>46071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336</v>
      </c>
      <c r="J98" t="s">
        <v>335</v>
      </c>
      <c r="M98" t="s">
        <v>64</v>
      </c>
      <c r="O98" t="s">
        <v>281</v>
      </c>
      <c r="P98" t="s">
        <v>282</v>
      </c>
      <c r="Q98" t="s">
        <v>49</v>
      </c>
      <c r="R98" t="s">
        <v>321</v>
      </c>
      <c r="S98" s="1">
        <v>46082</v>
      </c>
      <c r="U98" t="s">
        <v>51</v>
      </c>
      <c r="X98" t="s">
        <v>52</v>
      </c>
      <c r="Y98" s="2">
        <v>0</v>
      </c>
      <c r="Z98" s="2">
        <v>113</v>
      </c>
      <c r="AA98">
        <v>1</v>
      </c>
      <c r="AB98" s="3">
        <v>1</v>
      </c>
      <c r="AC98" s="2">
        <v>113</v>
      </c>
      <c r="AD98" s="3">
        <v>0</v>
      </c>
      <c r="AE98" s="2">
        <v>0</v>
      </c>
      <c r="AF98" s="2">
        <v>113</v>
      </c>
      <c r="AK98">
        <v>6266564</v>
      </c>
    </row>
    <row r="99" spans="1:38" x14ac:dyDescent="0.25">
      <c r="A99" s="1">
        <v>46071</v>
      </c>
      <c r="B99" s="1">
        <v>46071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337</v>
      </c>
      <c r="J99" t="s">
        <v>338</v>
      </c>
      <c r="M99" t="s">
        <v>168</v>
      </c>
      <c r="O99" t="s">
        <v>339</v>
      </c>
      <c r="P99" t="s">
        <v>340</v>
      </c>
      <c r="Q99" t="s">
        <v>49</v>
      </c>
      <c r="R99" t="s">
        <v>341</v>
      </c>
      <c r="S99" s="1">
        <v>46054</v>
      </c>
      <c r="U99" t="s">
        <v>51</v>
      </c>
      <c r="X99" t="s">
        <v>52</v>
      </c>
      <c r="Y99" s="2">
        <v>0</v>
      </c>
      <c r="Z99" s="2">
        <v>465</v>
      </c>
      <c r="AA99">
        <v>1</v>
      </c>
      <c r="AB99" s="3">
        <v>1</v>
      </c>
      <c r="AC99" s="2">
        <v>465</v>
      </c>
      <c r="AD99" s="3">
        <v>0</v>
      </c>
      <c r="AE99" s="2">
        <v>0</v>
      </c>
      <c r="AF99" s="2">
        <v>465</v>
      </c>
      <c r="AK99">
        <v>6266644</v>
      </c>
    </row>
    <row r="100" spans="1:38" x14ac:dyDescent="0.25">
      <c r="A100" s="1">
        <v>46071</v>
      </c>
      <c r="B100" s="1">
        <v>46071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342</v>
      </c>
      <c r="J100" t="s">
        <v>338</v>
      </c>
      <c r="M100" t="s">
        <v>168</v>
      </c>
      <c r="O100" t="s">
        <v>339</v>
      </c>
      <c r="P100" t="s">
        <v>340</v>
      </c>
      <c r="Q100" t="s">
        <v>49</v>
      </c>
      <c r="R100" t="s">
        <v>343</v>
      </c>
      <c r="S100" s="1">
        <v>46054</v>
      </c>
      <c r="U100" t="s">
        <v>51</v>
      </c>
      <c r="X100" t="s">
        <v>52</v>
      </c>
      <c r="Y100" s="2">
        <v>0</v>
      </c>
      <c r="Z100" s="2">
        <v>97</v>
      </c>
      <c r="AA100">
        <v>1</v>
      </c>
      <c r="AB100" s="3">
        <v>1</v>
      </c>
      <c r="AC100" s="2">
        <v>97</v>
      </c>
      <c r="AD100" s="3">
        <v>0</v>
      </c>
      <c r="AE100" s="2">
        <v>0</v>
      </c>
      <c r="AF100" s="2">
        <v>97</v>
      </c>
      <c r="AK100">
        <v>6266645</v>
      </c>
    </row>
    <row r="101" spans="1:38" x14ac:dyDescent="0.25">
      <c r="A101" s="1">
        <v>46071</v>
      </c>
      <c r="B101" s="1">
        <v>46071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344</v>
      </c>
      <c r="J101" t="s">
        <v>345</v>
      </c>
      <c r="O101" t="s">
        <v>152</v>
      </c>
      <c r="P101" t="s">
        <v>153</v>
      </c>
      <c r="Q101" t="s">
        <v>80</v>
      </c>
      <c r="R101" t="s">
        <v>346</v>
      </c>
      <c r="S101" s="1">
        <v>46113</v>
      </c>
      <c r="U101" t="s">
        <v>51</v>
      </c>
      <c r="X101" t="s">
        <v>52</v>
      </c>
      <c r="Y101" s="2">
        <v>0</v>
      </c>
      <c r="Z101" s="2">
        <v>288</v>
      </c>
      <c r="AA101">
        <v>9</v>
      </c>
      <c r="AB101" s="3">
        <v>4.7500000000000001E-2</v>
      </c>
      <c r="AC101" s="2">
        <v>123.12</v>
      </c>
      <c r="AD101" s="3">
        <v>0</v>
      </c>
      <c r="AE101" s="2">
        <v>0</v>
      </c>
      <c r="AF101" s="2">
        <v>123.12</v>
      </c>
      <c r="AK101">
        <v>6266286</v>
      </c>
    </row>
    <row r="102" spans="1:38" x14ac:dyDescent="0.25">
      <c r="A102" s="1">
        <v>46071</v>
      </c>
      <c r="B102" s="1">
        <v>46071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347</v>
      </c>
      <c r="J102" t="s">
        <v>348</v>
      </c>
      <c r="O102" t="s">
        <v>152</v>
      </c>
      <c r="P102" t="s">
        <v>153</v>
      </c>
      <c r="Q102" t="s">
        <v>80</v>
      </c>
      <c r="R102" t="s">
        <v>346</v>
      </c>
      <c r="S102" s="1">
        <v>46054</v>
      </c>
      <c r="U102" t="s">
        <v>51</v>
      </c>
      <c r="X102" t="s">
        <v>52</v>
      </c>
      <c r="Y102" s="2">
        <v>0</v>
      </c>
      <c r="Z102" s="2">
        <v>288</v>
      </c>
      <c r="AA102">
        <v>9</v>
      </c>
      <c r="AB102" s="3">
        <v>4.7500000000000001E-2</v>
      </c>
      <c r="AC102" s="2">
        <v>123.12</v>
      </c>
      <c r="AD102" s="3">
        <v>0</v>
      </c>
      <c r="AE102" s="2">
        <v>0</v>
      </c>
      <c r="AF102" s="2">
        <v>123.12</v>
      </c>
      <c r="AK102">
        <v>6266287</v>
      </c>
    </row>
    <row r="103" spans="1:38" x14ac:dyDescent="0.25">
      <c r="A103" s="1">
        <v>46071</v>
      </c>
      <c r="B103" s="1">
        <v>46071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349</v>
      </c>
      <c r="J103" t="s">
        <v>350</v>
      </c>
      <c r="M103" t="s">
        <v>64</v>
      </c>
      <c r="O103" t="s">
        <v>351</v>
      </c>
      <c r="P103" t="s">
        <v>352</v>
      </c>
      <c r="Q103" t="s">
        <v>49</v>
      </c>
      <c r="R103" t="s">
        <v>353</v>
      </c>
      <c r="S103" s="1">
        <v>46082</v>
      </c>
      <c r="U103" t="s">
        <v>51</v>
      </c>
      <c r="X103" t="s">
        <v>52</v>
      </c>
      <c r="Y103" s="2">
        <v>0</v>
      </c>
      <c r="Z103" s="2">
        <v>9.83</v>
      </c>
      <c r="AA103">
        <v>9</v>
      </c>
      <c r="AB103" s="3">
        <v>1</v>
      </c>
      <c r="AC103" s="2">
        <v>88.47</v>
      </c>
      <c r="AD103" s="3">
        <v>0</v>
      </c>
      <c r="AE103" s="2">
        <v>0</v>
      </c>
      <c r="AF103" s="2">
        <v>88.47</v>
      </c>
      <c r="AK103">
        <v>6266288</v>
      </c>
    </row>
    <row r="104" spans="1:38" x14ac:dyDescent="0.25">
      <c r="A104" s="1">
        <v>46071</v>
      </c>
      <c r="B104" s="1">
        <v>46071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354</v>
      </c>
      <c r="J104" t="s">
        <v>355</v>
      </c>
      <c r="M104" t="s">
        <v>168</v>
      </c>
      <c r="O104" t="s">
        <v>356</v>
      </c>
      <c r="P104" t="s">
        <v>357</v>
      </c>
      <c r="Q104" t="s">
        <v>49</v>
      </c>
      <c r="R104" t="s">
        <v>353</v>
      </c>
      <c r="S104" s="1">
        <v>46082</v>
      </c>
      <c r="U104" t="s">
        <v>51</v>
      </c>
      <c r="X104" t="s">
        <v>52</v>
      </c>
      <c r="Y104" s="2">
        <v>0</v>
      </c>
      <c r="Z104" s="2">
        <v>9.83</v>
      </c>
      <c r="AA104">
        <v>9</v>
      </c>
      <c r="AB104" s="3">
        <v>1</v>
      </c>
      <c r="AC104" s="2">
        <v>88.47</v>
      </c>
      <c r="AD104" s="3">
        <v>0</v>
      </c>
      <c r="AE104" s="2">
        <v>0</v>
      </c>
      <c r="AF104" s="2">
        <v>88.47</v>
      </c>
      <c r="AK104">
        <v>6266289</v>
      </c>
    </row>
    <row r="105" spans="1:38" x14ac:dyDescent="0.25">
      <c r="A105" s="1">
        <v>46071</v>
      </c>
      <c r="B105" s="1">
        <v>46071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358</v>
      </c>
      <c r="J105" t="s">
        <v>359</v>
      </c>
      <c r="M105" t="s">
        <v>168</v>
      </c>
      <c r="O105" t="s">
        <v>179</v>
      </c>
      <c r="P105" t="s">
        <v>180</v>
      </c>
      <c r="Q105" t="s">
        <v>49</v>
      </c>
      <c r="R105" t="s">
        <v>353</v>
      </c>
      <c r="S105" s="1">
        <v>46113</v>
      </c>
      <c r="U105" t="s">
        <v>51</v>
      </c>
      <c r="X105" t="s">
        <v>52</v>
      </c>
      <c r="Y105" s="2">
        <v>0</v>
      </c>
      <c r="Z105" s="2">
        <v>9.83</v>
      </c>
      <c r="AA105">
        <v>9</v>
      </c>
      <c r="AB105" s="3">
        <v>1</v>
      </c>
      <c r="AC105" s="2">
        <v>88.47</v>
      </c>
      <c r="AD105" s="3">
        <v>0</v>
      </c>
      <c r="AE105" s="2">
        <v>0</v>
      </c>
      <c r="AF105" s="2">
        <v>88.47</v>
      </c>
      <c r="AK105">
        <v>6266290</v>
      </c>
    </row>
    <row r="106" spans="1:38" x14ac:dyDescent="0.25">
      <c r="A106" s="1">
        <v>46071</v>
      </c>
      <c r="B106" s="1">
        <v>46071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360</v>
      </c>
      <c r="J106" t="s">
        <v>361</v>
      </c>
      <c r="M106" t="s">
        <v>168</v>
      </c>
      <c r="O106" t="s">
        <v>356</v>
      </c>
      <c r="P106" t="s">
        <v>357</v>
      </c>
      <c r="Q106" t="s">
        <v>49</v>
      </c>
      <c r="R106" t="s">
        <v>353</v>
      </c>
      <c r="S106" s="1">
        <v>46113</v>
      </c>
      <c r="U106" t="s">
        <v>51</v>
      </c>
      <c r="X106" t="s">
        <v>52</v>
      </c>
      <c r="Y106" s="2">
        <v>0</v>
      </c>
      <c r="Z106" s="2">
        <v>9.83</v>
      </c>
      <c r="AA106">
        <v>9</v>
      </c>
      <c r="AB106" s="3">
        <v>1</v>
      </c>
      <c r="AC106" s="2">
        <v>88.47</v>
      </c>
      <c r="AD106" s="3">
        <v>0</v>
      </c>
      <c r="AE106" s="2">
        <v>0</v>
      </c>
      <c r="AF106" s="2">
        <v>88.47</v>
      </c>
      <c r="AK106">
        <v>6266291</v>
      </c>
    </row>
    <row r="107" spans="1:38" x14ac:dyDescent="0.25">
      <c r="A107" s="1">
        <v>46071</v>
      </c>
      <c r="B107" s="1">
        <v>46071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362</v>
      </c>
      <c r="J107" t="s">
        <v>363</v>
      </c>
      <c r="M107" t="s">
        <v>129</v>
      </c>
      <c r="O107" t="s">
        <v>219</v>
      </c>
      <c r="P107" t="s">
        <v>220</v>
      </c>
      <c r="Q107" t="s">
        <v>49</v>
      </c>
      <c r="R107" t="s">
        <v>364</v>
      </c>
      <c r="S107" s="1">
        <v>46113</v>
      </c>
      <c r="U107" t="s">
        <v>51</v>
      </c>
      <c r="X107" t="s">
        <v>52</v>
      </c>
      <c r="Y107" s="2">
        <v>0</v>
      </c>
      <c r="Z107" s="2">
        <v>31.5</v>
      </c>
      <c r="AA107">
        <v>9</v>
      </c>
      <c r="AB107" s="3">
        <v>1</v>
      </c>
      <c r="AC107" s="2">
        <v>283.5</v>
      </c>
      <c r="AD107" s="3">
        <v>0</v>
      </c>
      <c r="AE107" s="2">
        <v>0</v>
      </c>
      <c r="AF107" s="2">
        <v>283.5</v>
      </c>
      <c r="AK107">
        <v>6266292</v>
      </c>
    </row>
    <row r="108" spans="1:38" x14ac:dyDescent="0.25">
      <c r="A108" s="1">
        <v>46071</v>
      </c>
      <c r="B108" s="1">
        <v>46071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365</v>
      </c>
      <c r="J108" t="s">
        <v>366</v>
      </c>
      <c r="M108" t="s">
        <v>64</v>
      </c>
      <c r="O108" t="s">
        <v>204</v>
      </c>
      <c r="P108" t="s">
        <v>205</v>
      </c>
      <c r="Q108" t="s">
        <v>49</v>
      </c>
      <c r="R108" t="s">
        <v>367</v>
      </c>
      <c r="S108" s="1">
        <v>46082</v>
      </c>
      <c r="U108" t="s">
        <v>51</v>
      </c>
      <c r="X108" t="s">
        <v>52</v>
      </c>
      <c r="Y108" s="2">
        <v>0</v>
      </c>
      <c r="Z108" s="2">
        <v>2.46</v>
      </c>
      <c r="AA108">
        <v>9</v>
      </c>
      <c r="AB108" s="3">
        <v>1</v>
      </c>
      <c r="AC108" s="2">
        <v>22.14</v>
      </c>
      <c r="AD108" s="3">
        <v>0</v>
      </c>
      <c r="AE108" s="2">
        <v>0</v>
      </c>
      <c r="AF108" s="2">
        <v>22.14</v>
      </c>
      <c r="AK108">
        <v>6266293</v>
      </c>
    </row>
    <row r="109" spans="1:38" x14ac:dyDescent="0.25">
      <c r="A109" s="1">
        <v>46071</v>
      </c>
      <c r="B109" s="1">
        <v>46071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368</v>
      </c>
      <c r="J109" t="s">
        <v>369</v>
      </c>
      <c r="M109" t="s">
        <v>64</v>
      </c>
      <c r="O109" t="s">
        <v>152</v>
      </c>
      <c r="P109" t="s">
        <v>153</v>
      </c>
      <c r="Q109" t="s">
        <v>49</v>
      </c>
      <c r="R109" t="s">
        <v>353</v>
      </c>
      <c r="S109" s="1">
        <v>46113</v>
      </c>
      <c r="U109" t="s">
        <v>51</v>
      </c>
      <c r="X109" t="s">
        <v>52</v>
      </c>
      <c r="Y109" s="2">
        <v>0</v>
      </c>
      <c r="Z109" s="2">
        <v>9.83</v>
      </c>
      <c r="AA109">
        <v>9</v>
      </c>
      <c r="AB109" s="3">
        <v>1</v>
      </c>
      <c r="AC109" s="2">
        <v>88.47</v>
      </c>
      <c r="AD109" s="3">
        <v>0</v>
      </c>
      <c r="AE109" s="2">
        <v>0</v>
      </c>
      <c r="AF109" s="2">
        <v>88.47</v>
      </c>
      <c r="AK109">
        <v>6266294</v>
      </c>
    </row>
    <row r="110" spans="1:38" x14ac:dyDescent="0.25">
      <c r="A110" s="1">
        <v>46071</v>
      </c>
      <c r="B110" s="1">
        <v>46071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370</v>
      </c>
      <c r="J110" t="s">
        <v>371</v>
      </c>
      <c r="M110" t="s">
        <v>64</v>
      </c>
      <c r="O110" t="s">
        <v>235</v>
      </c>
      <c r="P110" t="s">
        <v>236</v>
      </c>
      <c r="Q110" t="s">
        <v>49</v>
      </c>
      <c r="R110" t="s">
        <v>364</v>
      </c>
      <c r="S110" s="1">
        <v>46082</v>
      </c>
      <c r="U110" t="s">
        <v>51</v>
      </c>
      <c r="X110" t="s">
        <v>52</v>
      </c>
      <c r="Y110" s="2">
        <v>0</v>
      </c>
      <c r="Z110" s="2">
        <v>31.5</v>
      </c>
      <c r="AA110">
        <v>9</v>
      </c>
      <c r="AB110" s="3">
        <v>1</v>
      </c>
      <c r="AC110" s="2">
        <v>283.5</v>
      </c>
      <c r="AD110" s="3">
        <v>0</v>
      </c>
      <c r="AE110" s="2">
        <v>0</v>
      </c>
      <c r="AF110" s="2">
        <v>283.5</v>
      </c>
      <c r="AK110">
        <v>6266295</v>
      </c>
    </row>
    <row r="111" spans="1:38" x14ac:dyDescent="0.25">
      <c r="A111" s="1">
        <v>46071</v>
      </c>
      <c r="B111" s="1">
        <v>46071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372</v>
      </c>
      <c r="J111" t="s">
        <v>373</v>
      </c>
      <c r="M111" t="s">
        <v>168</v>
      </c>
      <c r="O111" t="s">
        <v>374</v>
      </c>
      <c r="P111" t="s">
        <v>375</v>
      </c>
      <c r="Q111" t="s">
        <v>49</v>
      </c>
      <c r="R111" t="s">
        <v>353</v>
      </c>
      <c r="S111" s="1">
        <v>46082</v>
      </c>
      <c r="U111" t="s">
        <v>51</v>
      </c>
      <c r="X111" t="s">
        <v>52</v>
      </c>
      <c r="Y111" s="2">
        <v>0</v>
      </c>
      <c r="Z111" s="2">
        <v>9.83</v>
      </c>
      <c r="AA111">
        <v>9</v>
      </c>
      <c r="AB111" s="3">
        <v>1</v>
      </c>
      <c r="AC111" s="2">
        <v>88.47</v>
      </c>
      <c r="AD111" s="3">
        <v>0</v>
      </c>
      <c r="AE111" s="2">
        <v>0</v>
      </c>
      <c r="AF111" s="2">
        <v>88.47</v>
      </c>
      <c r="AK111">
        <v>6266296</v>
      </c>
    </row>
    <row r="112" spans="1:38" x14ac:dyDescent="0.25">
      <c r="A112" s="1">
        <v>46071</v>
      </c>
      <c r="B112" s="1">
        <v>46071</v>
      </c>
      <c r="C112" t="s">
        <v>376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377</v>
      </c>
      <c r="J112" t="s">
        <v>378</v>
      </c>
      <c r="M112" t="s">
        <v>46</v>
      </c>
      <c r="O112" t="s">
        <v>90</v>
      </c>
      <c r="P112" t="s">
        <v>91</v>
      </c>
      <c r="Q112" t="s">
        <v>379</v>
      </c>
      <c r="R112" t="s">
        <v>50</v>
      </c>
      <c r="S112" s="1">
        <v>46023</v>
      </c>
      <c r="U112" t="s">
        <v>51</v>
      </c>
      <c r="X112" t="s">
        <v>52</v>
      </c>
      <c r="AF112" s="2">
        <v>175</v>
      </c>
      <c r="AG112" s="2">
        <v>0</v>
      </c>
      <c r="AJ112" s="2">
        <v>145.25</v>
      </c>
    </row>
    <row r="113" spans="1:36" x14ac:dyDescent="0.25">
      <c r="A113" s="1">
        <v>46071</v>
      </c>
      <c r="B113" s="1">
        <v>46071</v>
      </c>
      <c r="C113" t="s">
        <v>376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380</v>
      </c>
      <c r="J113" t="s">
        <v>381</v>
      </c>
      <c r="M113" t="s">
        <v>58</v>
      </c>
      <c r="O113" t="s">
        <v>59</v>
      </c>
      <c r="P113" t="s">
        <v>60</v>
      </c>
      <c r="Q113" t="s">
        <v>379</v>
      </c>
      <c r="R113" t="s">
        <v>50</v>
      </c>
      <c r="S113" s="1">
        <v>46023</v>
      </c>
      <c r="U113" t="s">
        <v>51</v>
      </c>
      <c r="X113" t="s">
        <v>52</v>
      </c>
      <c r="AF113" s="2">
        <v>175</v>
      </c>
      <c r="AG113" s="2">
        <v>0</v>
      </c>
      <c r="AJ113" s="2">
        <v>145.25</v>
      </c>
    </row>
    <row r="114" spans="1:36" x14ac:dyDescent="0.25">
      <c r="A114" s="1">
        <v>46071</v>
      </c>
      <c r="B114" s="1">
        <v>46071</v>
      </c>
      <c r="C114" t="s">
        <v>376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382</v>
      </c>
      <c r="J114" t="s">
        <v>63</v>
      </c>
      <c r="M114" t="s">
        <v>64</v>
      </c>
      <c r="O114" t="s">
        <v>65</v>
      </c>
      <c r="P114" t="s">
        <v>66</v>
      </c>
      <c r="Q114" t="s">
        <v>379</v>
      </c>
      <c r="R114" t="s">
        <v>61</v>
      </c>
      <c r="S114" s="1">
        <v>46023</v>
      </c>
      <c r="U114" t="s">
        <v>51</v>
      </c>
      <c r="X114" t="s">
        <v>52</v>
      </c>
      <c r="AF114" s="2">
        <v>108</v>
      </c>
      <c r="AG114" s="2">
        <v>0</v>
      </c>
      <c r="AJ114" s="2">
        <v>89.64</v>
      </c>
    </row>
    <row r="115" spans="1:36" x14ac:dyDescent="0.25">
      <c r="A115" s="1">
        <v>46071</v>
      </c>
      <c r="B115" s="1">
        <v>46071</v>
      </c>
      <c r="C115" t="s">
        <v>376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383</v>
      </c>
      <c r="J115" t="s">
        <v>384</v>
      </c>
      <c r="M115" t="s">
        <v>55</v>
      </c>
      <c r="O115" t="s">
        <v>47</v>
      </c>
      <c r="P115" t="s">
        <v>48</v>
      </c>
      <c r="Q115" t="s">
        <v>379</v>
      </c>
      <c r="R115" t="s">
        <v>50</v>
      </c>
      <c r="S115" s="1">
        <v>46023</v>
      </c>
      <c r="U115" t="s">
        <v>51</v>
      </c>
      <c r="X115" t="s">
        <v>52</v>
      </c>
      <c r="AF115" s="2">
        <v>175</v>
      </c>
      <c r="AG115" s="2">
        <v>0</v>
      </c>
      <c r="AJ115" s="2">
        <v>175</v>
      </c>
    </row>
    <row r="116" spans="1:36" x14ac:dyDescent="0.25">
      <c r="A116" s="1">
        <v>46071</v>
      </c>
      <c r="B116" s="1">
        <v>46071</v>
      </c>
      <c r="C116" t="s">
        <v>376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385</v>
      </c>
      <c r="J116" t="s">
        <v>386</v>
      </c>
      <c r="M116" t="s">
        <v>64</v>
      </c>
      <c r="O116" t="s">
        <v>215</v>
      </c>
      <c r="P116" t="s">
        <v>216</v>
      </c>
      <c r="Q116" t="s">
        <v>379</v>
      </c>
      <c r="R116" t="s">
        <v>50</v>
      </c>
      <c r="S116" s="1">
        <v>46023</v>
      </c>
      <c r="U116" t="s">
        <v>51</v>
      </c>
      <c r="X116" t="s">
        <v>52</v>
      </c>
      <c r="AF116" s="2">
        <v>175</v>
      </c>
      <c r="AG116" s="2">
        <v>0</v>
      </c>
      <c r="AJ116" s="2">
        <v>145.25</v>
      </c>
    </row>
    <row r="117" spans="1:36" x14ac:dyDescent="0.25">
      <c r="A117" s="1">
        <v>46071</v>
      </c>
      <c r="B117" s="1">
        <v>46071</v>
      </c>
      <c r="C117" t="s">
        <v>376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387</v>
      </c>
      <c r="J117" t="s">
        <v>388</v>
      </c>
      <c r="M117" t="s">
        <v>64</v>
      </c>
      <c r="O117" t="s">
        <v>152</v>
      </c>
      <c r="P117" t="s">
        <v>153</v>
      </c>
      <c r="Q117" t="s">
        <v>379</v>
      </c>
      <c r="R117" t="s">
        <v>389</v>
      </c>
      <c r="S117" s="1">
        <v>46023</v>
      </c>
      <c r="U117" t="s">
        <v>51</v>
      </c>
      <c r="X117" t="s">
        <v>52</v>
      </c>
      <c r="AF117" s="2">
        <v>15</v>
      </c>
      <c r="AG117" s="2">
        <v>0</v>
      </c>
      <c r="AJ117" s="2">
        <v>13.8</v>
      </c>
    </row>
    <row r="118" spans="1:36" x14ac:dyDescent="0.25">
      <c r="A118" s="1">
        <v>46071</v>
      </c>
      <c r="B118" s="1">
        <v>46071</v>
      </c>
      <c r="C118" t="s">
        <v>376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390</v>
      </c>
      <c r="J118" t="s">
        <v>391</v>
      </c>
      <c r="M118" t="s">
        <v>58</v>
      </c>
      <c r="O118" t="s">
        <v>59</v>
      </c>
      <c r="P118" t="s">
        <v>60</v>
      </c>
      <c r="Q118" t="s">
        <v>379</v>
      </c>
      <c r="R118" t="s">
        <v>50</v>
      </c>
      <c r="S118" s="1">
        <v>46023</v>
      </c>
      <c r="U118" t="s">
        <v>51</v>
      </c>
      <c r="X118" t="s">
        <v>52</v>
      </c>
      <c r="AF118" s="2">
        <v>175</v>
      </c>
      <c r="AG118" s="2">
        <v>0</v>
      </c>
      <c r="AJ118" s="2">
        <v>145.25</v>
      </c>
    </row>
    <row r="119" spans="1:36" x14ac:dyDescent="0.25">
      <c r="A119" s="1">
        <v>46071</v>
      </c>
      <c r="B119" s="1">
        <v>46071</v>
      </c>
      <c r="C119" t="s">
        <v>376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392</v>
      </c>
      <c r="J119" t="s">
        <v>393</v>
      </c>
      <c r="M119" t="s">
        <v>134</v>
      </c>
      <c r="O119" t="s">
        <v>394</v>
      </c>
      <c r="P119" t="s">
        <v>395</v>
      </c>
      <c r="Q119" t="s">
        <v>379</v>
      </c>
      <c r="R119" t="s">
        <v>50</v>
      </c>
      <c r="S119" s="1">
        <v>46023</v>
      </c>
      <c r="U119" t="s">
        <v>51</v>
      </c>
      <c r="X119" t="s">
        <v>52</v>
      </c>
      <c r="AF119" s="2">
        <v>175</v>
      </c>
      <c r="AG119" s="2">
        <v>0</v>
      </c>
      <c r="AJ119" s="2">
        <v>145.25</v>
      </c>
    </row>
    <row r="120" spans="1:36" x14ac:dyDescent="0.25">
      <c r="A120" s="1">
        <v>46071</v>
      </c>
      <c r="B120" s="1">
        <v>46071</v>
      </c>
      <c r="C120" t="s">
        <v>376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396</v>
      </c>
      <c r="J120" t="s">
        <v>397</v>
      </c>
      <c r="M120" t="s">
        <v>55</v>
      </c>
      <c r="O120" t="s">
        <v>324</v>
      </c>
      <c r="P120" t="s">
        <v>325</v>
      </c>
      <c r="Q120" t="s">
        <v>379</v>
      </c>
      <c r="R120" t="s">
        <v>50</v>
      </c>
      <c r="S120" s="1">
        <v>46023</v>
      </c>
      <c r="U120" t="s">
        <v>51</v>
      </c>
      <c r="X120" t="s">
        <v>52</v>
      </c>
      <c r="AF120" s="2">
        <v>175</v>
      </c>
      <c r="AG120" s="2">
        <v>0</v>
      </c>
      <c r="AJ120" s="2">
        <v>161</v>
      </c>
    </row>
    <row r="121" spans="1:36" x14ac:dyDescent="0.25">
      <c r="A121" s="1">
        <v>46071</v>
      </c>
      <c r="B121" s="1">
        <v>46071</v>
      </c>
      <c r="C121" t="s">
        <v>376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398</v>
      </c>
      <c r="J121" t="s">
        <v>399</v>
      </c>
      <c r="M121" t="s">
        <v>64</v>
      </c>
      <c r="O121" t="s">
        <v>400</v>
      </c>
      <c r="P121" t="s">
        <v>401</v>
      </c>
      <c r="Q121" t="s">
        <v>379</v>
      </c>
      <c r="R121" t="s">
        <v>50</v>
      </c>
      <c r="S121" s="1">
        <v>46054</v>
      </c>
      <c r="U121" t="s">
        <v>51</v>
      </c>
      <c r="X121" t="s">
        <v>52</v>
      </c>
      <c r="AF121" s="2">
        <v>175</v>
      </c>
      <c r="AG121" s="2">
        <v>0</v>
      </c>
      <c r="AJ121" s="2">
        <v>175</v>
      </c>
    </row>
    <row r="122" spans="1:36" x14ac:dyDescent="0.25">
      <c r="A122" s="1">
        <v>46071</v>
      </c>
      <c r="B122" s="1">
        <v>46071</v>
      </c>
      <c r="C122" t="s">
        <v>376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402</v>
      </c>
      <c r="J122" t="s">
        <v>403</v>
      </c>
      <c r="M122" t="s">
        <v>64</v>
      </c>
      <c r="O122" t="s">
        <v>215</v>
      </c>
      <c r="P122" t="s">
        <v>216</v>
      </c>
      <c r="Q122" t="s">
        <v>379</v>
      </c>
      <c r="R122" t="s">
        <v>50</v>
      </c>
      <c r="S122" s="1">
        <v>46054</v>
      </c>
      <c r="U122" t="s">
        <v>51</v>
      </c>
      <c r="X122" t="s">
        <v>52</v>
      </c>
      <c r="AF122" s="2">
        <v>175</v>
      </c>
      <c r="AG122" s="2">
        <v>0</v>
      </c>
      <c r="AJ122" s="2">
        <v>145.25</v>
      </c>
    </row>
    <row r="123" spans="1:36" x14ac:dyDescent="0.25">
      <c r="A123" s="1">
        <v>46071</v>
      </c>
      <c r="B123" s="1">
        <v>46071</v>
      </c>
      <c r="C123" t="s">
        <v>376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404</v>
      </c>
      <c r="J123" t="s">
        <v>405</v>
      </c>
      <c r="M123" t="s">
        <v>64</v>
      </c>
      <c r="O123" t="s">
        <v>406</v>
      </c>
      <c r="P123" t="s">
        <v>407</v>
      </c>
      <c r="Q123" t="s">
        <v>379</v>
      </c>
      <c r="R123" t="s">
        <v>408</v>
      </c>
      <c r="S123" s="1">
        <v>46023</v>
      </c>
      <c r="U123" t="s">
        <v>51</v>
      </c>
      <c r="X123" t="s">
        <v>52</v>
      </c>
      <c r="AF123" s="2">
        <v>25</v>
      </c>
      <c r="AG123" s="2">
        <v>0</v>
      </c>
      <c r="AJ123" s="2">
        <v>22.92</v>
      </c>
    </row>
    <row r="124" spans="1:36" x14ac:dyDescent="0.25">
      <c r="A124" s="1">
        <v>46071</v>
      </c>
      <c r="B124" s="1">
        <v>46071</v>
      </c>
      <c r="C124" t="s">
        <v>376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409</v>
      </c>
      <c r="J124" t="s">
        <v>410</v>
      </c>
      <c r="M124" t="s">
        <v>58</v>
      </c>
      <c r="O124" t="s">
        <v>59</v>
      </c>
      <c r="P124" t="s">
        <v>60</v>
      </c>
      <c r="Q124" t="s">
        <v>379</v>
      </c>
      <c r="R124" t="s">
        <v>408</v>
      </c>
      <c r="S124" s="1">
        <v>46023</v>
      </c>
      <c r="U124" t="s">
        <v>51</v>
      </c>
      <c r="X124" t="s">
        <v>52</v>
      </c>
      <c r="AF124" s="2">
        <v>25</v>
      </c>
      <c r="AG124" s="2">
        <v>0</v>
      </c>
      <c r="AJ124" s="2">
        <v>20.83</v>
      </c>
    </row>
    <row r="125" spans="1:36" x14ac:dyDescent="0.25">
      <c r="A125" s="1">
        <v>46071</v>
      </c>
      <c r="B125" s="1">
        <v>46071</v>
      </c>
      <c r="C125" t="s">
        <v>376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411</v>
      </c>
      <c r="J125" t="s">
        <v>412</v>
      </c>
      <c r="M125" t="s">
        <v>134</v>
      </c>
      <c r="O125" t="s">
        <v>413</v>
      </c>
      <c r="P125" t="s">
        <v>414</v>
      </c>
      <c r="Q125" t="s">
        <v>379</v>
      </c>
      <c r="R125" t="s">
        <v>408</v>
      </c>
      <c r="S125" s="1">
        <v>46023</v>
      </c>
      <c r="U125" t="s">
        <v>51</v>
      </c>
      <c r="X125" t="s">
        <v>52</v>
      </c>
      <c r="AF125" s="2">
        <v>25</v>
      </c>
      <c r="AG125" s="2">
        <v>0</v>
      </c>
      <c r="AJ125" s="2">
        <v>25</v>
      </c>
    </row>
    <row r="126" spans="1:36" x14ac:dyDescent="0.25">
      <c r="A126" s="1">
        <v>46071</v>
      </c>
      <c r="B126" s="1">
        <v>46071</v>
      </c>
      <c r="C126" t="s">
        <v>376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415</v>
      </c>
      <c r="J126" t="s">
        <v>416</v>
      </c>
      <c r="M126" t="s">
        <v>46</v>
      </c>
      <c r="O126" t="s">
        <v>90</v>
      </c>
      <c r="P126" t="s">
        <v>91</v>
      </c>
      <c r="Q126" t="s">
        <v>379</v>
      </c>
      <c r="R126" t="s">
        <v>408</v>
      </c>
      <c r="S126" s="1">
        <v>46023</v>
      </c>
      <c r="U126" t="s">
        <v>51</v>
      </c>
      <c r="X126" t="s">
        <v>52</v>
      </c>
      <c r="AF126" s="2">
        <v>25</v>
      </c>
      <c r="AG126" s="2">
        <v>0</v>
      </c>
      <c r="AJ126" s="2">
        <v>22.92</v>
      </c>
    </row>
    <row r="127" spans="1:36" x14ac:dyDescent="0.25">
      <c r="A127" s="1">
        <v>46071</v>
      </c>
      <c r="B127" s="1">
        <v>46071</v>
      </c>
      <c r="C127" t="s">
        <v>376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417</v>
      </c>
      <c r="J127" t="s">
        <v>418</v>
      </c>
      <c r="M127" t="s">
        <v>129</v>
      </c>
      <c r="O127" t="s">
        <v>419</v>
      </c>
      <c r="P127" t="s">
        <v>420</v>
      </c>
      <c r="Q127" t="s">
        <v>379</v>
      </c>
      <c r="R127" t="s">
        <v>408</v>
      </c>
      <c r="S127" s="1">
        <v>46023</v>
      </c>
      <c r="U127" t="s">
        <v>51</v>
      </c>
      <c r="X127" t="s">
        <v>52</v>
      </c>
      <c r="AF127" s="2">
        <v>25</v>
      </c>
      <c r="AG127" s="2">
        <v>0</v>
      </c>
      <c r="AJ127" s="2">
        <v>25</v>
      </c>
    </row>
    <row r="128" spans="1:36" x14ac:dyDescent="0.25">
      <c r="A128" s="1">
        <v>46071</v>
      </c>
      <c r="B128" s="1">
        <v>46071</v>
      </c>
      <c r="C128" t="s">
        <v>376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421</v>
      </c>
      <c r="J128" t="s">
        <v>422</v>
      </c>
      <c r="M128" t="s">
        <v>423</v>
      </c>
      <c r="O128" t="s">
        <v>98</v>
      </c>
      <c r="P128" t="s">
        <v>99</v>
      </c>
      <c r="Q128" t="s">
        <v>379</v>
      </c>
      <c r="R128" t="s">
        <v>408</v>
      </c>
      <c r="S128" s="1">
        <v>46023</v>
      </c>
      <c r="U128" t="s">
        <v>51</v>
      </c>
      <c r="X128" t="s">
        <v>52</v>
      </c>
      <c r="AF128" s="2">
        <v>25</v>
      </c>
      <c r="AG128" s="2">
        <v>0</v>
      </c>
      <c r="AJ128" s="2">
        <v>25</v>
      </c>
    </row>
    <row r="129" spans="1:36" x14ac:dyDescent="0.25">
      <c r="A129" s="1">
        <v>46071</v>
      </c>
      <c r="B129" s="1">
        <v>46071</v>
      </c>
      <c r="C129" t="s">
        <v>376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424</v>
      </c>
      <c r="J129" t="s">
        <v>225</v>
      </c>
      <c r="M129" t="s">
        <v>58</v>
      </c>
      <c r="O129" t="s">
        <v>226</v>
      </c>
      <c r="P129" t="s">
        <v>227</v>
      </c>
      <c r="Q129" t="s">
        <v>379</v>
      </c>
      <c r="R129" t="s">
        <v>221</v>
      </c>
      <c r="S129" s="1">
        <v>46023</v>
      </c>
      <c r="U129" t="s">
        <v>51</v>
      </c>
      <c r="X129" t="s">
        <v>52</v>
      </c>
      <c r="AF129" s="2">
        <v>347</v>
      </c>
      <c r="AG129" s="2">
        <v>0</v>
      </c>
      <c r="AJ129" s="2">
        <v>347</v>
      </c>
    </row>
    <row r="130" spans="1:36" x14ac:dyDescent="0.25">
      <c r="A130" s="1">
        <v>46071</v>
      </c>
      <c r="B130" s="1">
        <v>46071</v>
      </c>
      <c r="C130" t="s">
        <v>376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425</v>
      </c>
      <c r="J130" t="s">
        <v>225</v>
      </c>
      <c r="M130" t="s">
        <v>58</v>
      </c>
      <c r="O130" t="s">
        <v>226</v>
      </c>
      <c r="P130" t="s">
        <v>227</v>
      </c>
      <c r="Q130" t="s">
        <v>379</v>
      </c>
      <c r="R130" t="s">
        <v>223</v>
      </c>
      <c r="S130" s="1">
        <v>46023</v>
      </c>
      <c r="U130" t="s">
        <v>51</v>
      </c>
      <c r="X130" t="s">
        <v>52</v>
      </c>
      <c r="AF130" s="2">
        <v>72</v>
      </c>
      <c r="AG130" s="2">
        <v>0</v>
      </c>
      <c r="AJ130" s="2">
        <v>72</v>
      </c>
    </row>
    <row r="131" spans="1:36" x14ac:dyDescent="0.25">
      <c r="A131" s="1">
        <v>46071</v>
      </c>
      <c r="B131" s="1">
        <v>46071</v>
      </c>
      <c r="C131" t="s">
        <v>376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426</v>
      </c>
      <c r="J131" t="s">
        <v>427</v>
      </c>
      <c r="M131" t="s">
        <v>64</v>
      </c>
      <c r="O131" t="s">
        <v>71</v>
      </c>
      <c r="P131" t="s">
        <v>72</v>
      </c>
      <c r="Q131" t="s">
        <v>379</v>
      </c>
      <c r="R131" t="s">
        <v>240</v>
      </c>
      <c r="S131" s="1">
        <v>46023</v>
      </c>
      <c r="U131" t="s">
        <v>51</v>
      </c>
      <c r="X131" t="s">
        <v>52</v>
      </c>
      <c r="AF131" s="2">
        <v>100</v>
      </c>
      <c r="AG131" s="2">
        <v>0</v>
      </c>
      <c r="AJ131" s="2">
        <v>100</v>
      </c>
    </row>
    <row r="132" spans="1:36" x14ac:dyDescent="0.25">
      <c r="A132" s="1">
        <v>46071</v>
      </c>
      <c r="B132" s="1">
        <v>46071</v>
      </c>
      <c r="C132" t="s">
        <v>376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428</v>
      </c>
      <c r="J132" t="s">
        <v>429</v>
      </c>
      <c r="M132" t="s">
        <v>430</v>
      </c>
      <c r="O132" t="s">
        <v>76</v>
      </c>
      <c r="P132" t="s">
        <v>77</v>
      </c>
      <c r="Q132" t="s">
        <v>379</v>
      </c>
      <c r="R132" t="s">
        <v>221</v>
      </c>
      <c r="S132" s="1">
        <v>46023</v>
      </c>
      <c r="U132" t="s">
        <v>51</v>
      </c>
      <c r="X132" t="s">
        <v>52</v>
      </c>
      <c r="AF132" s="2">
        <v>347</v>
      </c>
      <c r="AG132" s="2">
        <v>0</v>
      </c>
      <c r="AJ132" s="2">
        <v>347</v>
      </c>
    </row>
    <row r="133" spans="1:36" x14ac:dyDescent="0.25">
      <c r="A133" s="1">
        <v>46071</v>
      </c>
      <c r="B133" s="1">
        <v>46071</v>
      </c>
      <c r="C133" t="s">
        <v>376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431</v>
      </c>
      <c r="J133" t="s">
        <v>429</v>
      </c>
      <c r="M133" t="s">
        <v>430</v>
      </c>
      <c r="O133" t="s">
        <v>76</v>
      </c>
      <c r="P133" t="s">
        <v>77</v>
      </c>
      <c r="Q133" t="s">
        <v>379</v>
      </c>
      <c r="R133" t="s">
        <v>232</v>
      </c>
      <c r="S133" s="1">
        <v>46023</v>
      </c>
      <c r="U133" t="s">
        <v>51</v>
      </c>
      <c r="X133" t="s">
        <v>52</v>
      </c>
      <c r="AF133" s="2">
        <v>175</v>
      </c>
      <c r="AG133" s="2">
        <v>0</v>
      </c>
      <c r="AJ133" s="2">
        <v>175</v>
      </c>
    </row>
    <row r="134" spans="1:36" x14ac:dyDescent="0.25">
      <c r="A134" s="1">
        <v>46071</v>
      </c>
      <c r="B134" s="1">
        <v>46071</v>
      </c>
      <c r="C134" t="s">
        <v>376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432</v>
      </c>
      <c r="J134" t="s">
        <v>246</v>
      </c>
      <c r="M134" t="s">
        <v>64</v>
      </c>
      <c r="O134" t="s">
        <v>204</v>
      </c>
      <c r="P134" t="s">
        <v>205</v>
      </c>
      <c r="Q134" t="s">
        <v>379</v>
      </c>
      <c r="R134" t="s">
        <v>221</v>
      </c>
      <c r="S134" s="1">
        <v>46054</v>
      </c>
      <c r="U134" t="s">
        <v>51</v>
      </c>
      <c r="X134" t="s">
        <v>52</v>
      </c>
      <c r="AF134" s="2">
        <v>318.08</v>
      </c>
      <c r="AG134" s="2">
        <v>0</v>
      </c>
      <c r="AJ134" s="2">
        <v>318.08</v>
      </c>
    </row>
    <row r="135" spans="1:36" x14ac:dyDescent="0.25">
      <c r="A135" s="1">
        <v>46071</v>
      </c>
      <c r="B135" s="1">
        <v>46071</v>
      </c>
      <c r="C135" t="s">
        <v>376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433</v>
      </c>
      <c r="J135" t="s">
        <v>249</v>
      </c>
      <c r="M135" t="s">
        <v>64</v>
      </c>
      <c r="O135" t="s">
        <v>125</v>
      </c>
      <c r="P135" t="s">
        <v>126</v>
      </c>
      <c r="Q135" t="s">
        <v>379</v>
      </c>
      <c r="R135" t="s">
        <v>319</v>
      </c>
      <c r="S135" s="1">
        <v>46054</v>
      </c>
      <c r="U135" t="s">
        <v>51</v>
      </c>
      <c r="X135" t="s">
        <v>52</v>
      </c>
      <c r="AF135" s="2">
        <v>186.08</v>
      </c>
      <c r="AG135" s="2">
        <v>0</v>
      </c>
      <c r="AJ135" s="2">
        <v>186.08</v>
      </c>
    </row>
    <row r="136" spans="1:36" x14ac:dyDescent="0.25">
      <c r="A136" s="1">
        <v>46071</v>
      </c>
      <c r="B136" s="1">
        <v>46071</v>
      </c>
      <c r="C136" t="s">
        <v>376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434</v>
      </c>
      <c r="J136" t="s">
        <v>261</v>
      </c>
      <c r="M136" t="s">
        <v>134</v>
      </c>
      <c r="O136" t="s">
        <v>262</v>
      </c>
      <c r="P136" t="s">
        <v>263</v>
      </c>
      <c r="Q136" t="s">
        <v>379</v>
      </c>
      <c r="R136" t="s">
        <v>221</v>
      </c>
      <c r="S136" s="1">
        <v>46023</v>
      </c>
      <c r="U136" t="s">
        <v>51</v>
      </c>
      <c r="X136" t="s">
        <v>52</v>
      </c>
      <c r="AF136" s="2">
        <v>347</v>
      </c>
      <c r="AG136" s="2">
        <v>0</v>
      </c>
      <c r="AJ136" s="2">
        <v>347</v>
      </c>
    </row>
    <row r="137" spans="1:36" x14ac:dyDescent="0.25">
      <c r="A137" s="1">
        <v>46071</v>
      </c>
      <c r="B137" s="1">
        <v>46071</v>
      </c>
      <c r="C137" t="s">
        <v>376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435</v>
      </c>
      <c r="J137" t="s">
        <v>265</v>
      </c>
      <c r="M137" t="s">
        <v>64</v>
      </c>
      <c r="O137" t="s">
        <v>152</v>
      </c>
      <c r="P137" t="s">
        <v>153</v>
      </c>
      <c r="Q137" t="s">
        <v>379</v>
      </c>
      <c r="R137" t="s">
        <v>221</v>
      </c>
      <c r="S137" s="1">
        <v>46054</v>
      </c>
      <c r="U137" t="s">
        <v>51</v>
      </c>
      <c r="X137" t="s">
        <v>52</v>
      </c>
      <c r="AF137" s="2">
        <v>318.08</v>
      </c>
      <c r="AG137" s="2">
        <v>0</v>
      </c>
      <c r="AJ137" s="2">
        <v>318.08</v>
      </c>
    </row>
    <row r="138" spans="1:36" x14ac:dyDescent="0.25">
      <c r="A138" s="1">
        <v>46071</v>
      </c>
      <c r="B138" s="1">
        <v>46071</v>
      </c>
      <c r="C138" t="s">
        <v>376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436</v>
      </c>
      <c r="J138" t="s">
        <v>267</v>
      </c>
      <c r="M138" t="s">
        <v>268</v>
      </c>
      <c r="O138" t="s">
        <v>269</v>
      </c>
      <c r="P138" t="s">
        <v>270</v>
      </c>
      <c r="Q138" t="s">
        <v>379</v>
      </c>
      <c r="R138" t="s">
        <v>221</v>
      </c>
      <c r="S138" s="1">
        <v>46054</v>
      </c>
      <c r="U138" t="s">
        <v>51</v>
      </c>
      <c r="X138" t="s">
        <v>52</v>
      </c>
      <c r="AF138" s="2">
        <v>318.08</v>
      </c>
      <c r="AG138" s="2">
        <v>0</v>
      </c>
      <c r="AJ138" s="2">
        <v>318.08</v>
      </c>
    </row>
    <row r="139" spans="1:36" x14ac:dyDescent="0.25">
      <c r="A139" s="1">
        <v>46071</v>
      </c>
      <c r="B139" s="1">
        <v>46071</v>
      </c>
      <c r="C139" t="s">
        <v>376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437</v>
      </c>
      <c r="J139" t="s">
        <v>272</v>
      </c>
      <c r="M139" t="s">
        <v>134</v>
      </c>
      <c r="O139" t="s">
        <v>47</v>
      </c>
      <c r="P139" t="s">
        <v>48</v>
      </c>
      <c r="Q139" t="s">
        <v>379</v>
      </c>
      <c r="R139" t="s">
        <v>319</v>
      </c>
      <c r="S139" s="1">
        <v>46054</v>
      </c>
      <c r="U139" t="s">
        <v>51</v>
      </c>
      <c r="X139" t="s">
        <v>52</v>
      </c>
      <c r="AF139" s="2">
        <v>186.08</v>
      </c>
      <c r="AG139" s="2">
        <v>0</v>
      </c>
      <c r="AJ139" s="2">
        <v>186.08</v>
      </c>
    </row>
    <row r="140" spans="1:36" x14ac:dyDescent="0.25">
      <c r="A140" s="1">
        <v>46071</v>
      </c>
      <c r="B140" s="1">
        <v>46071</v>
      </c>
      <c r="C140" t="s">
        <v>376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438</v>
      </c>
      <c r="J140" t="s">
        <v>275</v>
      </c>
      <c r="M140" t="s">
        <v>64</v>
      </c>
      <c r="O140" t="s">
        <v>47</v>
      </c>
      <c r="P140" t="s">
        <v>48</v>
      </c>
      <c r="Q140" t="s">
        <v>379</v>
      </c>
      <c r="R140" t="s">
        <v>221</v>
      </c>
      <c r="S140" s="1">
        <v>46113</v>
      </c>
      <c r="U140" t="s">
        <v>51</v>
      </c>
      <c r="X140" t="s">
        <v>52</v>
      </c>
      <c r="AF140" s="2">
        <v>260.25</v>
      </c>
      <c r="AG140" s="2">
        <v>0</v>
      </c>
      <c r="AJ140" s="2">
        <v>260.25</v>
      </c>
    </row>
    <row r="141" spans="1:36" x14ac:dyDescent="0.25">
      <c r="A141" s="1">
        <v>46071</v>
      </c>
      <c r="B141" s="1">
        <v>46071</v>
      </c>
      <c r="C141" t="s">
        <v>376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439</v>
      </c>
      <c r="J141" t="s">
        <v>280</v>
      </c>
      <c r="M141" t="s">
        <v>64</v>
      </c>
      <c r="O141" t="s">
        <v>281</v>
      </c>
      <c r="P141" t="s">
        <v>282</v>
      </c>
      <c r="Q141" t="s">
        <v>379</v>
      </c>
      <c r="R141" t="s">
        <v>221</v>
      </c>
      <c r="S141" s="1">
        <v>46054</v>
      </c>
      <c r="U141" t="s">
        <v>51</v>
      </c>
      <c r="X141" t="s">
        <v>52</v>
      </c>
      <c r="AF141" s="2">
        <v>318.08</v>
      </c>
      <c r="AG141" s="2">
        <v>0</v>
      </c>
      <c r="AJ141" s="2">
        <v>318.08</v>
      </c>
    </row>
    <row r="142" spans="1:36" x14ac:dyDescent="0.25">
      <c r="A142" s="1">
        <v>46071</v>
      </c>
      <c r="B142" s="1">
        <v>46071</v>
      </c>
      <c r="C142" t="s">
        <v>376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440</v>
      </c>
      <c r="J142" t="s">
        <v>284</v>
      </c>
      <c r="M142" t="s">
        <v>168</v>
      </c>
      <c r="O142" t="s">
        <v>179</v>
      </c>
      <c r="P142" t="s">
        <v>180</v>
      </c>
      <c r="Q142" t="s">
        <v>379</v>
      </c>
      <c r="R142" t="s">
        <v>441</v>
      </c>
      <c r="S142" s="1">
        <v>46054</v>
      </c>
      <c r="U142" t="s">
        <v>51</v>
      </c>
      <c r="X142" t="s">
        <v>52</v>
      </c>
      <c r="AF142" s="2">
        <v>358.42</v>
      </c>
      <c r="AG142" s="2">
        <v>0</v>
      </c>
      <c r="AJ142" s="2">
        <v>358.42</v>
      </c>
    </row>
    <row r="143" spans="1:36" x14ac:dyDescent="0.25">
      <c r="A143" s="1">
        <v>46071</v>
      </c>
      <c r="B143" s="1">
        <v>46071</v>
      </c>
      <c r="C143" t="s">
        <v>376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442</v>
      </c>
      <c r="J143" t="s">
        <v>291</v>
      </c>
      <c r="M143" t="s">
        <v>64</v>
      </c>
      <c r="O143" t="s">
        <v>215</v>
      </c>
      <c r="P143" t="s">
        <v>216</v>
      </c>
      <c r="Q143" t="s">
        <v>379</v>
      </c>
      <c r="R143" t="s">
        <v>221</v>
      </c>
      <c r="S143" s="1">
        <v>46054</v>
      </c>
      <c r="U143" t="s">
        <v>51</v>
      </c>
      <c r="X143" t="s">
        <v>52</v>
      </c>
      <c r="AF143" s="2">
        <v>318.08</v>
      </c>
      <c r="AG143" s="2">
        <v>0</v>
      </c>
      <c r="AJ143" s="2">
        <v>318.08</v>
      </c>
    </row>
    <row r="144" spans="1:36" x14ac:dyDescent="0.25">
      <c r="A144" s="1">
        <v>46071</v>
      </c>
      <c r="B144" s="1">
        <v>46071</v>
      </c>
      <c r="C144" t="s">
        <v>376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443</v>
      </c>
      <c r="J144" t="s">
        <v>294</v>
      </c>
      <c r="M144" t="s">
        <v>134</v>
      </c>
      <c r="O144" t="s">
        <v>152</v>
      </c>
      <c r="P144" t="s">
        <v>153</v>
      </c>
      <c r="Q144" t="s">
        <v>379</v>
      </c>
      <c r="R144" t="s">
        <v>319</v>
      </c>
      <c r="S144" s="1">
        <v>46082</v>
      </c>
      <c r="U144" t="s">
        <v>51</v>
      </c>
      <c r="X144" t="s">
        <v>52</v>
      </c>
      <c r="AF144" s="2">
        <v>169.17</v>
      </c>
      <c r="AG144" s="2">
        <v>0</v>
      </c>
      <c r="AJ144" s="2">
        <v>169.17</v>
      </c>
    </row>
    <row r="145" spans="1:36" x14ac:dyDescent="0.25">
      <c r="A145" s="1">
        <v>46071</v>
      </c>
      <c r="B145" s="1">
        <v>46071</v>
      </c>
      <c r="C145" t="s">
        <v>376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444</v>
      </c>
      <c r="J145" t="s">
        <v>296</v>
      </c>
      <c r="M145" t="s">
        <v>297</v>
      </c>
      <c r="O145" t="s">
        <v>298</v>
      </c>
      <c r="P145" t="s">
        <v>299</v>
      </c>
      <c r="Q145" t="s">
        <v>379</v>
      </c>
      <c r="R145" t="s">
        <v>221</v>
      </c>
      <c r="S145" s="1">
        <v>46054</v>
      </c>
      <c r="U145" t="s">
        <v>51</v>
      </c>
      <c r="X145" t="s">
        <v>52</v>
      </c>
      <c r="AF145" s="2">
        <v>318.08</v>
      </c>
      <c r="AG145" s="2">
        <v>0</v>
      </c>
      <c r="AJ145" s="2">
        <v>318.08</v>
      </c>
    </row>
    <row r="146" spans="1:36" x14ac:dyDescent="0.25">
      <c r="A146" s="1">
        <v>46071</v>
      </c>
      <c r="B146" s="1">
        <v>46071</v>
      </c>
      <c r="C146" t="s">
        <v>376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445</v>
      </c>
      <c r="J146" t="s">
        <v>301</v>
      </c>
      <c r="M146" t="s">
        <v>64</v>
      </c>
      <c r="O146" t="s">
        <v>152</v>
      </c>
      <c r="P146" t="s">
        <v>153</v>
      </c>
      <c r="Q146" t="s">
        <v>379</v>
      </c>
      <c r="R146" t="s">
        <v>221</v>
      </c>
      <c r="S146" s="1">
        <v>46054</v>
      </c>
      <c r="U146" t="s">
        <v>51</v>
      </c>
      <c r="X146" t="s">
        <v>52</v>
      </c>
      <c r="AF146" s="2">
        <v>318.08</v>
      </c>
      <c r="AG146" s="2">
        <v>0</v>
      </c>
      <c r="AJ146" s="2">
        <v>318.08</v>
      </c>
    </row>
    <row r="147" spans="1:36" x14ac:dyDescent="0.25">
      <c r="A147" s="1">
        <v>46071</v>
      </c>
      <c r="B147" s="1">
        <v>46071</v>
      </c>
      <c r="C147" t="s">
        <v>376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446</v>
      </c>
      <c r="J147" t="s">
        <v>309</v>
      </c>
      <c r="M147" t="s">
        <v>134</v>
      </c>
      <c r="O147" t="s">
        <v>152</v>
      </c>
      <c r="P147" t="s">
        <v>153</v>
      </c>
      <c r="Q147" t="s">
        <v>379</v>
      </c>
      <c r="R147" t="s">
        <v>221</v>
      </c>
      <c r="S147" s="1">
        <v>46054</v>
      </c>
      <c r="U147" t="s">
        <v>51</v>
      </c>
      <c r="X147" t="s">
        <v>52</v>
      </c>
      <c r="AF147" s="2">
        <v>318.08</v>
      </c>
      <c r="AG147" s="2">
        <v>0</v>
      </c>
      <c r="AJ147" s="2">
        <v>318.08</v>
      </c>
    </row>
    <row r="148" spans="1:36" x14ac:dyDescent="0.25">
      <c r="A148" s="1">
        <v>46071</v>
      </c>
      <c r="B148" s="1">
        <v>46071</v>
      </c>
      <c r="C148" t="s">
        <v>376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447</v>
      </c>
      <c r="J148" t="s">
        <v>311</v>
      </c>
      <c r="M148" t="s">
        <v>64</v>
      </c>
      <c r="O148" t="s">
        <v>125</v>
      </c>
      <c r="P148" t="s">
        <v>126</v>
      </c>
      <c r="Q148" t="s">
        <v>379</v>
      </c>
      <c r="R148" t="s">
        <v>319</v>
      </c>
      <c r="S148" s="1">
        <v>46054</v>
      </c>
      <c r="U148" t="s">
        <v>51</v>
      </c>
      <c r="X148" t="s">
        <v>52</v>
      </c>
      <c r="AF148" s="2">
        <v>186.08</v>
      </c>
      <c r="AG148" s="2">
        <v>0</v>
      </c>
      <c r="AJ148" s="2">
        <v>186.08</v>
      </c>
    </row>
    <row r="149" spans="1:36" x14ac:dyDescent="0.25">
      <c r="A149" s="1">
        <v>46071</v>
      </c>
      <c r="B149" s="1">
        <v>46071</v>
      </c>
      <c r="C149" t="s">
        <v>376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448</v>
      </c>
      <c r="J149" t="s">
        <v>313</v>
      </c>
      <c r="M149" t="s">
        <v>134</v>
      </c>
      <c r="O149" t="s">
        <v>152</v>
      </c>
      <c r="P149" t="s">
        <v>153</v>
      </c>
      <c r="Q149" t="s">
        <v>379</v>
      </c>
      <c r="R149" t="s">
        <v>221</v>
      </c>
      <c r="S149" s="1">
        <v>46054</v>
      </c>
      <c r="U149" t="s">
        <v>51</v>
      </c>
      <c r="X149" t="s">
        <v>52</v>
      </c>
      <c r="AF149" s="2">
        <v>318.08</v>
      </c>
      <c r="AG149" s="2">
        <v>0</v>
      </c>
      <c r="AJ149" s="2">
        <v>318.08</v>
      </c>
    </row>
    <row r="150" spans="1:36" x14ac:dyDescent="0.25">
      <c r="A150" s="1">
        <v>46071</v>
      </c>
      <c r="B150" s="1">
        <v>46071</v>
      </c>
      <c r="C150" t="s">
        <v>376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449</v>
      </c>
      <c r="J150" t="s">
        <v>323</v>
      </c>
      <c r="M150" t="s">
        <v>129</v>
      </c>
      <c r="O150" t="s">
        <v>324</v>
      </c>
      <c r="P150" t="s">
        <v>325</v>
      </c>
      <c r="Q150" t="s">
        <v>379</v>
      </c>
      <c r="R150" t="s">
        <v>221</v>
      </c>
      <c r="S150" s="1">
        <v>46054</v>
      </c>
      <c r="U150" t="s">
        <v>51</v>
      </c>
      <c r="X150" t="s">
        <v>52</v>
      </c>
      <c r="AF150" s="2">
        <v>318.08</v>
      </c>
      <c r="AG150" s="2">
        <v>0</v>
      </c>
      <c r="AJ150" s="2">
        <v>318.08</v>
      </c>
    </row>
    <row r="151" spans="1:36" x14ac:dyDescent="0.25">
      <c r="A151" s="1">
        <v>46071</v>
      </c>
      <c r="B151" s="1">
        <v>46071</v>
      </c>
      <c r="C151" t="s">
        <v>376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450</v>
      </c>
      <c r="J151" t="s">
        <v>327</v>
      </c>
      <c r="M151" t="s">
        <v>134</v>
      </c>
      <c r="O151" t="s">
        <v>152</v>
      </c>
      <c r="P151" t="s">
        <v>153</v>
      </c>
      <c r="Q151" t="s">
        <v>379</v>
      </c>
      <c r="R151" t="s">
        <v>221</v>
      </c>
      <c r="S151" s="1">
        <v>46054</v>
      </c>
      <c r="U151" t="s">
        <v>51</v>
      </c>
      <c r="X151" t="s">
        <v>52</v>
      </c>
      <c r="AF151" s="2">
        <v>318.08</v>
      </c>
      <c r="AG151" s="2">
        <v>0</v>
      </c>
      <c r="AJ151" s="2">
        <v>318.08</v>
      </c>
    </row>
    <row r="152" spans="1:36" x14ac:dyDescent="0.25">
      <c r="A152" s="1">
        <v>46071</v>
      </c>
      <c r="B152" s="1">
        <v>46071</v>
      </c>
      <c r="C152" t="s">
        <v>376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451</v>
      </c>
      <c r="J152" t="s">
        <v>329</v>
      </c>
      <c r="M152" t="s">
        <v>297</v>
      </c>
      <c r="O152" t="s">
        <v>298</v>
      </c>
      <c r="P152" t="s">
        <v>299</v>
      </c>
      <c r="Q152" t="s">
        <v>379</v>
      </c>
      <c r="R152" t="s">
        <v>221</v>
      </c>
      <c r="S152" s="1">
        <v>46054</v>
      </c>
      <c r="U152" t="s">
        <v>51</v>
      </c>
      <c r="X152" t="s">
        <v>52</v>
      </c>
      <c r="AF152" s="2">
        <v>318.08</v>
      </c>
      <c r="AG152" s="2">
        <v>0</v>
      </c>
      <c r="AJ152" s="2">
        <v>318.08</v>
      </c>
    </row>
    <row r="153" spans="1:36" x14ac:dyDescent="0.25">
      <c r="A153" s="1">
        <v>46071</v>
      </c>
      <c r="B153" s="1">
        <v>46071</v>
      </c>
      <c r="C153" t="s">
        <v>376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452</v>
      </c>
      <c r="J153" t="s">
        <v>338</v>
      </c>
      <c r="M153" t="s">
        <v>168</v>
      </c>
      <c r="O153" t="s">
        <v>339</v>
      </c>
      <c r="P153" t="s">
        <v>340</v>
      </c>
      <c r="Q153" t="s">
        <v>379</v>
      </c>
      <c r="R153" t="s">
        <v>453</v>
      </c>
      <c r="S153" s="1">
        <v>46054</v>
      </c>
      <c r="U153" t="s">
        <v>51</v>
      </c>
      <c r="X153" t="s">
        <v>52</v>
      </c>
      <c r="AF153" s="2">
        <v>100</v>
      </c>
      <c r="AG153" s="2">
        <v>0</v>
      </c>
      <c r="AJ153" s="2">
        <v>100</v>
      </c>
    </row>
    <row r="154" spans="1:36" x14ac:dyDescent="0.25">
      <c r="A154" s="1">
        <v>46071</v>
      </c>
      <c r="B154" s="1">
        <v>46071</v>
      </c>
      <c r="C154" t="s">
        <v>376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454</v>
      </c>
      <c r="J154" t="s">
        <v>338</v>
      </c>
      <c r="M154" t="s">
        <v>168</v>
      </c>
      <c r="O154" t="s">
        <v>339</v>
      </c>
      <c r="P154" t="s">
        <v>340</v>
      </c>
      <c r="Q154" t="s">
        <v>379</v>
      </c>
      <c r="R154" t="s">
        <v>455</v>
      </c>
      <c r="S154" s="1">
        <v>46054</v>
      </c>
      <c r="U154" t="s">
        <v>51</v>
      </c>
      <c r="X154" t="s">
        <v>52</v>
      </c>
      <c r="AF154" s="2">
        <v>175</v>
      </c>
      <c r="AG154" s="2">
        <v>0</v>
      </c>
      <c r="AJ154" s="2">
        <v>175</v>
      </c>
    </row>
    <row r="155" spans="1:36" x14ac:dyDescent="0.25">
      <c r="A155" s="1">
        <v>46071</v>
      </c>
      <c r="B155" s="1">
        <v>46071</v>
      </c>
      <c r="C155" t="s">
        <v>376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456</v>
      </c>
      <c r="J155" t="s">
        <v>345</v>
      </c>
      <c r="O155" t="s">
        <v>152</v>
      </c>
      <c r="P155" t="s">
        <v>153</v>
      </c>
      <c r="Q155" t="s">
        <v>379</v>
      </c>
      <c r="R155" t="s">
        <v>346</v>
      </c>
      <c r="S155" s="1">
        <v>46113</v>
      </c>
      <c r="U155" t="s">
        <v>51</v>
      </c>
      <c r="X155" t="s">
        <v>52</v>
      </c>
      <c r="AF155" s="2">
        <v>127.01</v>
      </c>
      <c r="AG155" s="2">
        <v>0</v>
      </c>
      <c r="AJ155" s="2">
        <v>127.01</v>
      </c>
    </row>
    <row r="156" spans="1:36" x14ac:dyDescent="0.25">
      <c r="A156" s="1">
        <v>46071</v>
      </c>
      <c r="B156" s="1">
        <v>46071</v>
      </c>
      <c r="C156" t="s">
        <v>376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457</v>
      </c>
      <c r="J156" t="s">
        <v>348</v>
      </c>
      <c r="O156" t="s">
        <v>152</v>
      </c>
      <c r="P156" t="s">
        <v>153</v>
      </c>
      <c r="Q156" t="s">
        <v>379</v>
      </c>
      <c r="R156" t="s">
        <v>346</v>
      </c>
      <c r="S156" s="1">
        <v>46054</v>
      </c>
      <c r="U156" t="s">
        <v>51</v>
      </c>
      <c r="X156" t="s">
        <v>52</v>
      </c>
      <c r="AF156" s="2">
        <v>127.01</v>
      </c>
      <c r="AG156" s="2">
        <v>0</v>
      </c>
      <c r="AJ156" s="2">
        <v>127.01</v>
      </c>
    </row>
    <row r="157" spans="1:36" x14ac:dyDescent="0.25">
      <c r="A157" s="1">
        <v>46071</v>
      </c>
      <c r="B157" s="1">
        <v>46071</v>
      </c>
      <c r="C157" t="s">
        <v>376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458</v>
      </c>
      <c r="J157" t="s">
        <v>459</v>
      </c>
      <c r="O157" t="s">
        <v>460</v>
      </c>
      <c r="P157" t="s">
        <v>461</v>
      </c>
      <c r="Q157" t="s">
        <v>379</v>
      </c>
      <c r="R157" t="s">
        <v>408</v>
      </c>
      <c r="S157" s="1">
        <v>46023</v>
      </c>
      <c r="U157" t="s">
        <v>51</v>
      </c>
      <c r="X157" t="s">
        <v>52</v>
      </c>
      <c r="AF157" s="2">
        <v>25</v>
      </c>
      <c r="AG157" s="2">
        <v>0</v>
      </c>
      <c r="AJ157" s="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E4A6-7904-48E9-AF31-DB8365D6AE31}">
  <dimension ref="A1:AM157"/>
  <sheetViews>
    <sheetView tabSelected="1" topLeftCell="A127" workbookViewId="0">
      <selection activeCell="G142" sqref="G142"/>
    </sheetView>
  </sheetViews>
  <sheetFormatPr defaultRowHeight="15" x14ac:dyDescent="0.25"/>
  <cols>
    <col min="1" max="1" width="23.28515625" bestFit="1" customWidth="1"/>
    <col min="2" max="2" width="23.28515625" customWidth="1"/>
    <col min="3" max="3" width="18.42578125" customWidth="1"/>
    <col min="4" max="4" width="5.5703125" bestFit="1" customWidth="1"/>
    <col min="5" max="5" width="15.7109375" bestFit="1" customWidth="1"/>
    <col min="6" max="6" width="17.140625" customWidth="1"/>
    <col min="7" max="7" width="34.140625" customWidth="1"/>
    <col min="8" max="8" width="10.140625" bestFit="1" customWidth="1"/>
    <col min="9" max="9" width="7" customWidth="1"/>
    <col min="10" max="10" width="9.5703125" customWidth="1"/>
    <col min="11" max="11" width="9" customWidth="1"/>
    <col min="12" max="12" width="11.28515625" customWidth="1"/>
    <col min="13" max="13" width="10.5703125" customWidth="1"/>
    <col min="14" max="14" width="9.7109375" bestFit="1" customWidth="1"/>
    <col min="15" max="15" width="13.7109375" customWidth="1"/>
    <col min="16" max="16" width="60" bestFit="1" customWidth="1"/>
    <col min="17" max="17" width="24.140625" bestFit="1" customWidth="1"/>
  </cols>
  <sheetData>
    <row r="1" spans="1:39" x14ac:dyDescent="0.25">
      <c r="A1" s="14">
        <v>924390816</v>
      </c>
      <c r="B1" s="14" t="str">
        <f t="shared" ref="B1:B8" si="0">CONCATENATE(A1,13)</f>
        <v>92439081613</v>
      </c>
      <c r="C1" s="5" t="s">
        <v>272</v>
      </c>
      <c r="D1" s="5" t="s">
        <v>134</v>
      </c>
      <c r="E1" s="5">
        <v>9213293</v>
      </c>
      <c r="F1" s="5" t="s">
        <v>48</v>
      </c>
      <c r="G1" s="5" t="s">
        <v>273</v>
      </c>
      <c r="H1" s="6">
        <v>46054</v>
      </c>
      <c r="I1" s="5" t="s">
        <v>52</v>
      </c>
      <c r="J1" s="7">
        <v>406</v>
      </c>
      <c r="K1" s="5">
        <v>1</v>
      </c>
      <c r="L1" s="8">
        <v>1</v>
      </c>
      <c r="M1" s="7">
        <v>406</v>
      </c>
      <c r="N1" s="7">
        <v>406</v>
      </c>
      <c r="O1" s="5"/>
      <c r="P1" s="5" t="s">
        <v>468</v>
      </c>
      <c r="Q1" s="5" t="s">
        <v>484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5">
      <c r="A2" s="14">
        <v>909525209</v>
      </c>
      <c r="B2" s="14" t="str">
        <f t="shared" si="0"/>
        <v>90952520913</v>
      </c>
      <c r="C2" s="5" t="s">
        <v>249</v>
      </c>
      <c r="D2" s="5" t="s">
        <v>64</v>
      </c>
      <c r="E2" s="5">
        <v>21104854</v>
      </c>
      <c r="F2" s="5" t="s">
        <v>126</v>
      </c>
      <c r="G2" s="5" t="s">
        <v>250</v>
      </c>
      <c r="H2" s="6">
        <v>46054</v>
      </c>
      <c r="I2" s="5" t="s">
        <v>52</v>
      </c>
      <c r="J2" s="7">
        <v>372.17</v>
      </c>
      <c r="K2" s="5">
        <v>1</v>
      </c>
      <c r="L2" s="8">
        <v>1</v>
      </c>
      <c r="M2" s="7">
        <v>372.17</v>
      </c>
      <c r="N2" s="7">
        <v>372.17</v>
      </c>
      <c r="O2" s="5" t="s">
        <v>172</v>
      </c>
      <c r="P2" s="5" t="s">
        <v>468</v>
      </c>
      <c r="Q2" s="5" t="s">
        <v>483</v>
      </c>
      <c r="R2" s="5"/>
      <c r="S2" s="5">
        <f>406/12*11</f>
        <v>372.16666666666669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x14ac:dyDescent="0.25">
      <c r="A3" s="14">
        <v>955501117</v>
      </c>
      <c r="B3" s="14" t="str">
        <f t="shared" si="0"/>
        <v>95550111713</v>
      </c>
      <c r="C3" s="5" t="s">
        <v>311</v>
      </c>
      <c r="D3" s="5" t="s">
        <v>64</v>
      </c>
      <c r="E3" s="5">
        <v>21104854</v>
      </c>
      <c r="F3" s="5" t="s">
        <v>126</v>
      </c>
      <c r="G3" s="5" t="s">
        <v>250</v>
      </c>
      <c r="H3" s="6">
        <v>46054</v>
      </c>
      <c r="I3" s="5" t="s">
        <v>52</v>
      </c>
      <c r="J3" s="7">
        <v>372.17</v>
      </c>
      <c r="K3" s="5">
        <v>1</v>
      </c>
      <c r="L3" s="8">
        <v>1</v>
      </c>
      <c r="M3" s="7">
        <v>372.17</v>
      </c>
      <c r="N3" s="7">
        <v>372.17</v>
      </c>
      <c r="O3" s="5" t="s">
        <v>172</v>
      </c>
      <c r="P3" s="5" t="s">
        <v>468</v>
      </c>
      <c r="Q3" s="5" t="s">
        <v>483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25">
      <c r="A4" s="14">
        <v>967468809</v>
      </c>
      <c r="B4" s="14" t="str">
        <f t="shared" si="0"/>
        <v>96746880913</v>
      </c>
      <c r="C4" s="5" t="s">
        <v>318</v>
      </c>
      <c r="D4" s="5" t="s">
        <v>64</v>
      </c>
      <c r="E4" s="5">
        <v>21646325</v>
      </c>
      <c r="F4" s="5" t="s">
        <v>107</v>
      </c>
      <c r="G4" s="5" t="s">
        <v>319</v>
      </c>
      <c r="H4" s="6">
        <v>46054</v>
      </c>
      <c r="I4" s="5" t="s">
        <v>52</v>
      </c>
      <c r="J4" s="7">
        <v>186.08</v>
      </c>
      <c r="K4" s="5">
        <v>1</v>
      </c>
      <c r="L4" s="8">
        <v>1</v>
      </c>
      <c r="M4" s="7">
        <v>186.08</v>
      </c>
      <c r="N4" s="7">
        <v>186.08</v>
      </c>
      <c r="O4" s="5" t="s">
        <v>172</v>
      </c>
      <c r="P4" s="5" t="s">
        <v>471</v>
      </c>
      <c r="Q4" s="5" t="s">
        <v>479</v>
      </c>
      <c r="R4" s="5"/>
      <c r="S4" s="5">
        <f>203/12*11</f>
        <v>186.08333333333334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x14ac:dyDescent="0.25">
      <c r="A5" s="14">
        <v>909525209</v>
      </c>
      <c r="B5" s="14" t="str">
        <f t="shared" si="0"/>
        <v>90952520913</v>
      </c>
      <c r="C5" s="5" t="s">
        <v>249</v>
      </c>
      <c r="D5" s="5" t="s">
        <v>64</v>
      </c>
      <c r="E5" s="5">
        <v>21104854</v>
      </c>
      <c r="F5" s="5" t="s">
        <v>126</v>
      </c>
      <c r="G5" s="5" t="s">
        <v>319</v>
      </c>
      <c r="H5" s="6">
        <v>46054</v>
      </c>
      <c r="I5" s="5" t="s">
        <v>52</v>
      </c>
      <c r="J5" s="5"/>
      <c r="K5" s="5"/>
      <c r="L5" s="5"/>
      <c r="M5" s="5">
        <v>-186.08</v>
      </c>
      <c r="N5" s="7">
        <v>186.08</v>
      </c>
      <c r="O5" s="5"/>
      <c r="P5" s="5" t="s">
        <v>471</v>
      </c>
      <c r="Q5" s="5" t="s">
        <v>479</v>
      </c>
      <c r="R5" s="5"/>
      <c r="S5" s="5">
        <f>203/12*11</f>
        <v>186.08333333333334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25">
      <c r="A6" s="14">
        <v>955501117</v>
      </c>
      <c r="B6" s="14" t="str">
        <f t="shared" si="0"/>
        <v>95550111713</v>
      </c>
      <c r="C6" s="5" t="s">
        <v>311</v>
      </c>
      <c r="D6" s="5" t="s">
        <v>64</v>
      </c>
      <c r="E6" s="5">
        <v>21104854</v>
      </c>
      <c r="F6" s="5" t="s">
        <v>126</v>
      </c>
      <c r="G6" s="5" t="s">
        <v>319</v>
      </c>
      <c r="H6" s="6">
        <v>46054</v>
      </c>
      <c r="I6" s="5" t="s">
        <v>52</v>
      </c>
      <c r="J6" s="5"/>
      <c r="K6" s="5"/>
      <c r="L6" s="5"/>
      <c r="M6" s="5">
        <v>-186.08</v>
      </c>
      <c r="N6" s="7">
        <v>186.08</v>
      </c>
      <c r="O6" s="5"/>
      <c r="P6" s="5" t="s">
        <v>471</v>
      </c>
      <c r="Q6" s="5" t="s">
        <v>479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25">
      <c r="A7" s="14">
        <v>924390816</v>
      </c>
      <c r="B7" s="14" t="str">
        <f t="shared" si="0"/>
        <v>92439081613</v>
      </c>
      <c r="C7" s="5" t="s">
        <v>272</v>
      </c>
      <c r="D7" s="5" t="s">
        <v>134</v>
      </c>
      <c r="E7" s="5">
        <v>9213293</v>
      </c>
      <c r="F7" s="5" t="s">
        <v>48</v>
      </c>
      <c r="G7" s="5" t="s">
        <v>319</v>
      </c>
      <c r="H7" s="6">
        <v>46054</v>
      </c>
      <c r="I7" s="5" t="s">
        <v>52</v>
      </c>
      <c r="J7" s="5"/>
      <c r="K7" s="5"/>
      <c r="L7" s="5"/>
      <c r="M7" s="5">
        <v>-186.08</v>
      </c>
      <c r="N7" s="7">
        <v>186.08</v>
      </c>
      <c r="O7" s="5"/>
      <c r="P7" s="5" t="s">
        <v>471</v>
      </c>
      <c r="Q7" s="5" t="s">
        <v>479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25">
      <c r="A8" s="14">
        <v>980482625</v>
      </c>
      <c r="B8" s="14" t="str">
        <f t="shared" si="0"/>
        <v>98048262513</v>
      </c>
      <c r="C8" s="5" t="s">
        <v>331</v>
      </c>
      <c r="D8" s="5" t="s">
        <v>55</v>
      </c>
      <c r="E8" s="5">
        <v>17117649</v>
      </c>
      <c r="F8" s="5" t="s">
        <v>198</v>
      </c>
      <c r="G8" s="5" t="s">
        <v>319</v>
      </c>
      <c r="H8" s="6">
        <v>46082</v>
      </c>
      <c r="I8" s="5" t="s">
        <v>52</v>
      </c>
      <c r="J8" s="7">
        <v>169.17</v>
      </c>
      <c r="K8" s="5">
        <v>1</v>
      </c>
      <c r="L8" s="8">
        <v>1</v>
      </c>
      <c r="M8" s="7">
        <v>169.17</v>
      </c>
      <c r="N8" s="7">
        <v>169.17</v>
      </c>
      <c r="O8" s="5" t="s">
        <v>201</v>
      </c>
      <c r="P8" s="5" t="s">
        <v>471</v>
      </c>
      <c r="Q8" s="5" t="s">
        <v>480</v>
      </c>
      <c r="R8" s="5"/>
      <c r="S8" s="5">
        <f>203/12*10</f>
        <v>169.16666666666669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25">
      <c r="A9" s="13">
        <v>101942229700</v>
      </c>
      <c r="B9" s="13" t="str">
        <f t="shared" ref="B9:B14" si="1">CONCATENATE(A9,"OVR")</f>
        <v>101942229700OVR</v>
      </c>
      <c r="C9" t="s">
        <v>405</v>
      </c>
      <c r="D9" t="s">
        <v>64</v>
      </c>
      <c r="E9">
        <v>20411454</v>
      </c>
      <c r="F9" t="s">
        <v>547</v>
      </c>
      <c r="G9" t="s">
        <v>408</v>
      </c>
      <c r="H9" s="1">
        <v>46023</v>
      </c>
      <c r="I9" t="s">
        <v>52</v>
      </c>
      <c r="M9">
        <v>-22.92</v>
      </c>
      <c r="N9" s="2">
        <v>25</v>
      </c>
      <c r="P9" t="s">
        <v>462</v>
      </c>
    </row>
    <row r="10" spans="1:39" x14ac:dyDescent="0.25">
      <c r="A10" s="13">
        <v>102201932000</v>
      </c>
      <c r="B10" s="13" t="str">
        <f t="shared" si="1"/>
        <v>102201932000OVR</v>
      </c>
      <c r="C10" t="s">
        <v>410</v>
      </c>
      <c r="D10" t="s">
        <v>58</v>
      </c>
      <c r="E10">
        <v>20411454</v>
      </c>
      <c r="F10" t="s">
        <v>547</v>
      </c>
      <c r="G10" t="s">
        <v>408</v>
      </c>
      <c r="H10" s="1">
        <v>46023</v>
      </c>
      <c r="I10" t="s">
        <v>52</v>
      </c>
      <c r="M10">
        <v>-20.83</v>
      </c>
      <c r="N10" s="2">
        <v>25</v>
      </c>
      <c r="P10" t="s">
        <v>462</v>
      </c>
    </row>
    <row r="11" spans="1:39" x14ac:dyDescent="0.25">
      <c r="A11" s="13">
        <v>102217983900</v>
      </c>
      <c r="B11" s="13" t="str">
        <f t="shared" si="1"/>
        <v>102217983900OVR</v>
      </c>
      <c r="C11" t="s">
        <v>412</v>
      </c>
      <c r="D11" t="s">
        <v>134</v>
      </c>
      <c r="E11">
        <v>20411454</v>
      </c>
      <c r="F11" t="s">
        <v>547</v>
      </c>
      <c r="G11" t="s">
        <v>408</v>
      </c>
      <c r="H11" s="1">
        <v>46023</v>
      </c>
      <c r="I11" t="s">
        <v>52</v>
      </c>
      <c r="M11">
        <v>-25</v>
      </c>
      <c r="N11" s="2">
        <v>25</v>
      </c>
      <c r="P11" t="s">
        <v>462</v>
      </c>
    </row>
    <row r="12" spans="1:39" x14ac:dyDescent="0.25">
      <c r="A12" s="13">
        <v>102247489500</v>
      </c>
      <c r="B12" s="13" t="str">
        <f t="shared" si="1"/>
        <v>102247489500OVR</v>
      </c>
      <c r="C12" t="s">
        <v>416</v>
      </c>
      <c r="D12" t="s">
        <v>46</v>
      </c>
      <c r="E12">
        <v>20411454</v>
      </c>
      <c r="F12" t="s">
        <v>547</v>
      </c>
      <c r="G12" t="s">
        <v>408</v>
      </c>
      <c r="H12" s="1">
        <v>46023</v>
      </c>
      <c r="I12" t="s">
        <v>52</v>
      </c>
      <c r="M12">
        <v>-22.92</v>
      </c>
      <c r="N12" s="2">
        <v>25</v>
      </c>
      <c r="P12" t="s">
        <v>462</v>
      </c>
    </row>
    <row r="13" spans="1:39" x14ac:dyDescent="0.25">
      <c r="A13" s="13">
        <v>102253394300</v>
      </c>
      <c r="B13" s="13" t="str">
        <f t="shared" si="1"/>
        <v>102253394300OVR</v>
      </c>
      <c r="C13" t="s">
        <v>418</v>
      </c>
      <c r="D13" t="s">
        <v>129</v>
      </c>
      <c r="E13">
        <v>20411454</v>
      </c>
      <c r="F13" t="s">
        <v>547</v>
      </c>
      <c r="G13" t="s">
        <v>408</v>
      </c>
      <c r="H13" s="1">
        <v>46023</v>
      </c>
      <c r="I13" t="s">
        <v>52</v>
      </c>
      <c r="M13">
        <v>-25</v>
      </c>
      <c r="N13" s="2">
        <v>25</v>
      </c>
      <c r="P13" t="s">
        <v>462</v>
      </c>
    </row>
    <row r="14" spans="1:39" x14ac:dyDescent="0.25">
      <c r="A14" s="13">
        <v>102254768700</v>
      </c>
      <c r="B14" s="13" t="str">
        <f t="shared" si="1"/>
        <v>102254768700OVR</v>
      </c>
      <c r="C14" t="s">
        <v>422</v>
      </c>
      <c r="D14" t="s">
        <v>423</v>
      </c>
      <c r="E14">
        <v>20411454</v>
      </c>
      <c r="F14" t="s">
        <v>547</v>
      </c>
      <c r="G14" t="s">
        <v>408</v>
      </c>
      <c r="H14" s="1">
        <v>46023</v>
      </c>
      <c r="I14" t="s">
        <v>52</v>
      </c>
      <c r="M14">
        <v>-25</v>
      </c>
      <c r="N14" s="2">
        <v>25</v>
      </c>
      <c r="P14" t="s">
        <v>462</v>
      </c>
    </row>
    <row r="15" spans="1:39" x14ac:dyDescent="0.25">
      <c r="A15" s="14">
        <v>974471146</v>
      </c>
      <c r="B15" s="14" t="str">
        <f t="shared" ref="B15:B21" si="2">CONCATENATE(A15,12)</f>
        <v>97447114612</v>
      </c>
      <c r="C15" s="5" t="s">
        <v>323</v>
      </c>
      <c r="D15" s="5" t="s">
        <v>129</v>
      </c>
      <c r="E15" s="5">
        <v>17425766</v>
      </c>
      <c r="F15" s="5" t="s">
        <v>325</v>
      </c>
      <c r="G15" s="5" t="s">
        <v>247</v>
      </c>
      <c r="H15" s="6">
        <v>46054</v>
      </c>
      <c r="I15" s="5" t="s">
        <v>52</v>
      </c>
      <c r="J15" s="7">
        <v>694</v>
      </c>
      <c r="K15" s="5">
        <v>1</v>
      </c>
      <c r="L15" s="8">
        <v>1</v>
      </c>
      <c r="M15" s="7">
        <v>694</v>
      </c>
      <c r="N15" s="7">
        <v>694</v>
      </c>
      <c r="O15" s="5"/>
      <c r="P15" s="5" t="s">
        <v>467</v>
      </c>
      <c r="Q15" s="5" t="s">
        <v>486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25">
      <c r="A16" s="14">
        <v>921791977</v>
      </c>
      <c r="B16" s="14" t="str">
        <f t="shared" si="2"/>
        <v>92179197712</v>
      </c>
      <c r="C16" s="5" t="s">
        <v>267</v>
      </c>
      <c r="D16" s="5" t="s">
        <v>268</v>
      </c>
      <c r="E16" s="5">
        <v>21435997</v>
      </c>
      <c r="F16" s="5" t="s">
        <v>270</v>
      </c>
      <c r="G16" s="5" t="s">
        <v>247</v>
      </c>
      <c r="H16" s="6">
        <v>46054</v>
      </c>
      <c r="I16" s="5" t="s">
        <v>52</v>
      </c>
      <c r="J16" s="7">
        <v>694</v>
      </c>
      <c r="K16" s="5">
        <v>1</v>
      </c>
      <c r="L16" s="8">
        <v>1</v>
      </c>
      <c r="M16" s="7">
        <v>694</v>
      </c>
      <c r="N16" s="7">
        <v>694</v>
      </c>
      <c r="O16" s="5"/>
      <c r="P16" s="5" t="s">
        <v>467</v>
      </c>
      <c r="Q16" s="5" t="s">
        <v>486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25">
      <c r="A17" s="14">
        <v>927977925</v>
      </c>
      <c r="B17" s="14" t="str">
        <f t="shared" si="2"/>
        <v>92797792512</v>
      </c>
      <c r="C17" s="5" t="s">
        <v>275</v>
      </c>
      <c r="D17" s="5" t="s">
        <v>64</v>
      </c>
      <c r="E17" s="5">
        <v>9213293</v>
      </c>
      <c r="F17" s="5" t="s">
        <v>48</v>
      </c>
      <c r="G17" s="5" t="s">
        <v>247</v>
      </c>
      <c r="H17" s="6">
        <v>46113</v>
      </c>
      <c r="I17" s="5" t="s">
        <v>52</v>
      </c>
      <c r="J17" s="7">
        <v>694</v>
      </c>
      <c r="K17" s="5">
        <v>1</v>
      </c>
      <c r="L17" s="8">
        <v>1</v>
      </c>
      <c r="M17" s="7">
        <v>694</v>
      </c>
      <c r="N17" s="7">
        <v>694</v>
      </c>
      <c r="O17" s="5"/>
      <c r="P17" s="5" t="s">
        <v>467</v>
      </c>
      <c r="Q17" s="5" t="s">
        <v>486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25">
      <c r="A18" s="14">
        <v>915597096</v>
      </c>
      <c r="B18" s="14" t="str">
        <f t="shared" si="2"/>
        <v>91559709612</v>
      </c>
      <c r="C18" s="5" t="s">
        <v>261</v>
      </c>
      <c r="D18" s="5" t="s">
        <v>134</v>
      </c>
      <c r="E18" s="5">
        <v>16865615</v>
      </c>
      <c r="F18" s="5" t="s">
        <v>263</v>
      </c>
      <c r="G18" s="5" t="s">
        <v>247</v>
      </c>
      <c r="H18" s="6">
        <v>46023</v>
      </c>
      <c r="I18" s="5" t="s">
        <v>52</v>
      </c>
      <c r="J18" s="7">
        <v>694</v>
      </c>
      <c r="K18" s="5">
        <v>1</v>
      </c>
      <c r="L18" s="8">
        <v>1</v>
      </c>
      <c r="M18" s="7">
        <v>694</v>
      </c>
      <c r="N18" s="7">
        <v>694</v>
      </c>
      <c r="O18" s="5"/>
      <c r="P18" s="5" t="s">
        <v>467</v>
      </c>
      <c r="Q18" s="5" t="s">
        <v>486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25">
      <c r="A19" s="14">
        <v>943642521</v>
      </c>
      <c r="B19" s="14" t="str">
        <f t="shared" si="2"/>
        <v>94364252112</v>
      </c>
      <c r="C19" s="5" t="s">
        <v>296</v>
      </c>
      <c r="D19" s="5" t="s">
        <v>297</v>
      </c>
      <c r="E19" s="5">
        <v>6634327</v>
      </c>
      <c r="F19" s="5" t="s">
        <v>299</v>
      </c>
      <c r="G19" s="5" t="s">
        <v>247</v>
      </c>
      <c r="H19" s="6">
        <v>46054</v>
      </c>
      <c r="I19" s="5" t="s">
        <v>52</v>
      </c>
      <c r="J19" s="7">
        <v>694</v>
      </c>
      <c r="K19" s="5">
        <v>1</v>
      </c>
      <c r="L19" s="8">
        <v>1</v>
      </c>
      <c r="M19" s="7">
        <v>694</v>
      </c>
      <c r="N19" s="7">
        <v>694</v>
      </c>
      <c r="O19" s="5"/>
      <c r="P19" s="5" t="s">
        <v>467</v>
      </c>
      <c r="Q19" s="5" t="s">
        <v>486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25">
      <c r="A20" s="14">
        <v>978519946</v>
      </c>
      <c r="B20" s="14" t="str">
        <f t="shared" si="2"/>
        <v>97851994612</v>
      </c>
      <c r="C20" s="5" t="s">
        <v>329</v>
      </c>
      <c r="D20" s="5" t="s">
        <v>297</v>
      </c>
      <c r="E20" s="5">
        <v>6634327</v>
      </c>
      <c r="F20" s="5" t="s">
        <v>299</v>
      </c>
      <c r="G20" s="5" t="s">
        <v>247</v>
      </c>
      <c r="H20" s="6">
        <v>46054</v>
      </c>
      <c r="I20" s="5" t="s">
        <v>52</v>
      </c>
      <c r="J20" s="7">
        <v>694</v>
      </c>
      <c r="K20" s="5">
        <v>1</v>
      </c>
      <c r="L20" s="8">
        <v>1</v>
      </c>
      <c r="M20" s="7">
        <v>694</v>
      </c>
      <c r="N20" s="7">
        <v>694</v>
      </c>
      <c r="O20" s="5"/>
      <c r="P20" s="5" t="s">
        <v>467</v>
      </c>
      <c r="Q20" s="5" t="s">
        <v>486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25">
      <c r="A21" s="14">
        <v>930834019</v>
      </c>
      <c r="B21" s="14" t="str">
        <f t="shared" si="2"/>
        <v>93083401912</v>
      </c>
      <c r="C21" s="5" t="s">
        <v>284</v>
      </c>
      <c r="D21" s="5" t="s">
        <v>168</v>
      </c>
      <c r="E21" s="5" t="s">
        <v>548</v>
      </c>
      <c r="F21" s="5" t="s">
        <v>180</v>
      </c>
      <c r="G21" s="5" t="s">
        <v>285</v>
      </c>
      <c r="H21" s="6">
        <v>46054</v>
      </c>
      <c r="I21" s="5" t="s">
        <v>52</v>
      </c>
      <c r="J21" s="7">
        <v>781</v>
      </c>
      <c r="K21" s="5">
        <v>1</v>
      </c>
      <c r="L21" s="8">
        <v>1</v>
      </c>
      <c r="M21" s="7">
        <v>781</v>
      </c>
      <c r="N21" s="7">
        <v>781</v>
      </c>
      <c r="O21" s="5"/>
      <c r="P21" s="5" t="s">
        <v>472</v>
      </c>
      <c r="Q21" s="5" t="s">
        <v>487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x14ac:dyDescent="0.25">
      <c r="A22" s="14">
        <v>930834019</v>
      </c>
      <c r="B22" s="14" t="str">
        <f>CONCATENATE(A22,11)</f>
        <v>93083401911</v>
      </c>
      <c r="C22" s="5" t="s">
        <v>284</v>
      </c>
      <c r="D22" s="5" t="s">
        <v>168</v>
      </c>
      <c r="E22" s="5" t="s">
        <v>548</v>
      </c>
      <c r="F22" s="5" t="s">
        <v>180</v>
      </c>
      <c r="G22" s="5" t="s">
        <v>441</v>
      </c>
      <c r="H22" s="6">
        <v>46054</v>
      </c>
      <c r="I22" s="5" t="s">
        <v>52</v>
      </c>
      <c r="J22" s="5"/>
      <c r="K22" s="5"/>
      <c r="L22" s="5"/>
      <c r="M22" s="5">
        <v>-358.42</v>
      </c>
      <c r="N22" s="7">
        <v>358.42</v>
      </c>
      <c r="O22" s="5"/>
      <c r="P22" s="5" t="s">
        <v>473</v>
      </c>
      <c r="Q22" s="5" t="s">
        <v>476</v>
      </c>
      <c r="R22" s="5"/>
      <c r="S22" s="5">
        <f>391/12*11</f>
        <v>358.41666666666669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x14ac:dyDescent="0.25">
      <c r="A23" s="14" t="s">
        <v>525</v>
      </c>
      <c r="B23" s="14" t="str">
        <f t="shared" ref="B23:B28" si="3">CONCATENATE(A23,1)</f>
        <v>A044294741</v>
      </c>
      <c r="C23" s="5" t="s">
        <v>355</v>
      </c>
      <c r="D23" s="5" t="s">
        <v>168</v>
      </c>
      <c r="E23" s="5">
        <v>19278370</v>
      </c>
      <c r="F23" s="5" t="s">
        <v>357</v>
      </c>
      <c r="G23" s="5" t="s">
        <v>353</v>
      </c>
      <c r="H23" s="6">
        <v>46082</v>
      </c>
      <c r="I23" s="5" t="s">
        <v>52</v>
      </c>
      <c r="J23" s="7">
        <v>9.83</v>
      </c>
      <c r="K23" s="5">
        <v>9</v>
      </c>
      <c r="L23" s="8">
        <v>1</v>
      </c>
      <c r="M23" s="7">
        <v>88.47</v>
      </c>
      <c r="N23" s="7">
        <v>88.47</v>
      </c>
      <c r="O23" s="5"/>
      <c r="P23" s="5" t="s">
        <v>353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x14ac:dyDescent="0.25">
      <c r="A24" s="14" t="s">
        <v>527</v>
      </c>
      <c r="B24" s="14" t="str">
        <f t="shared" si="3"/>
        <v>A044296611</v>
      </c>
      <c r="C24" s="5" t="s">
        <v>361</v>
      </c>
      <c r="D24" s="5" t="s">
        <v>168</v>
      </c>
      <c r="E24" s="5">
        <v>19278370</v>
      </c>
      <c r="F24" s="5" t="s">
        <v>357</v>
      </c>
      <c r="G24" s="5" t="s">
        <v>353</v>
      </c>
      <c r="H24" s="6">
        <v>46113</v>
      </c>
      <c r="I24" s="5" t="s">
        <v>52</v>
      </c>
      <c r="J24" s="7">
        <v>9.83</v>
      </c>
      <c r="K24" s="5">
        <v>9</v>
      </c>
      <c r="L24" s="8">
        <v>1</v>
      </c>
      <c r="M24" s="7">
        <v>88.47</v>
      </c>
      <c r="N24" s="7">
        <v>88.47</v>
      </c>
      <c r="O24" s="5"/>
      <c r="P24" s="5" t="s">
        <v>353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x14ac:dyDescent="0.25">
      <c r="A25" s="14" t="s">
        <v>524</v>
      </c>
      <c r="B25" s="14" t="str">
        <f t="shared" si="3"/>
        <v>A044273251</v>
      </c>
      <c r="C25" s="5" t="s">
        <v>350</v>
      </c>
      <c r="D25" s="5" t="s">
        <v>64</v>
      </c>
      <c r="E25" s="5">
        <v>21348299</v>
      </c>
      <c r="F25" s="5" t="s">
        <v>352</v>
      </c>
      <c r="G25" s="5" t="s">
        <v>353</v>
      </c>
      <c r="H25" s="6">
        <v>46082</v>
      </c>
      <c r="I25" s="5" t="s">
        <v>52</v>
      </c>
      <c r="J25" s="7">
        <v>9.83</v>
      </c>
      <c r="K25" s="5">
        <v>9</v>
      </c>
      <c r="L25" s="8">
        <v>1</v>
      </c>
      <c r="M25" s="7">
        <v>88.47</v>
      </c>
      <c r="N25" s="7">
        <v>88.47</v>
      </c>
      <c r="O25" s="5"/>
      <c r="P25" s="5" t="s">
        <v>353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x14ac:dyDescent="0.25">
      <c r="A26" s="14" t="s">
        <v>526</v>
      </c>
      <c r="B26" s="14" t="str">
        <f t="shared" si="3"/>
        <v>A044296311</v>
      </c>
      <c r="C26" s="5" t="s">
        <v>359</v>
      </c>
      <c r="D26" s="5" t="s">
        <v>168</v>
      </c>
      <c r="E26" s="5" t="s">
        <v>548</v>
      </c>
      <c r="F26" s="5" t="s">
        <v>180</v>
      </c>
      <c r="G26" s="5" t="s">
        <v>353</v>
      </c>
      <c r="H26" s="6">
        <v>46113</v>
      </c>
      <c r="I26" s="5" t="s">
        <v>52</v>
      </c>
      <c r="J26" s="7">
        <v>9.83</v>
      </c>
      <c r="K26" s="5">
        <v>9</v>
      </c>
      <c r="L26" s="8">
        <v>1</v>
      </c>
      <c r="M26" s="7">
        <v>88.47</v>
      </c>
      <c r="N26" s="7">
        <v>88.47</v>
      </c>
      <c r="O26" s="5"/>
      <c r="P26" s="5" t="s">
        <v>353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x14ac:dyDescent="0.25">
      <c r="A27" s="14" t="s">
        <v>531</v>
      </c>
      <c r="B27" s="14" t="str">
        <f t="shared" si="3"/>
        <v>A044316071</v>
      </c>
      <c r="C27" s="5" t="s">
        <v>371</v>
      </c>
      <c r="D27" s="5" t="s">
        <v>64</v>
      </c>
      <c r="E27" s="5">
        <v>19586992</v>
      </c>
      <c r="F27" s="5" t="s">
        <v>236</v>
      </c>
      <c r="G27" s="5" t="s">
        <v>364</v>
      </c>
      <c r="H27" s="6">
        <v>46082</v>
      </c>
      <c r="I27" s="5" t="s">
        <v>52</v>
      </c>
      <c r="J27" s="7">
        <v>31.5</v>
      </c>
      <c r="K27" s="5">
        <v>9</v>
      </c>
      <c r="L27" s="8">
        <v>1</v>
      </c>
      <c r="M27" s="7">
        <v>283.5</v>
      </c>
      <c r="N27" s="7">
        <v>283.5</v>
      </c>
      <c r="O27" s="5"/>
      <c r="P27" s="5" t="s">
        <v>364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 x14ac:dyDescent="0.25">
      <c r="A28" s="15">
        <v>914839672</v>
      </c>
      <c r="B28" s="14" t="str">
        <f t="shared" si="3"/>
        <v>9148396721</v>
      </c>
      <c r="C28" s="9" t="s">
        <v>255</v>
      </c>
      <c r="D28" s="9" t="s">
        <v>64</v>
      </c>
      <c r="E28" s="9">
        <v>9213293</v>
      </c>
      <c r="F28" s="9" t="s">
        <v>48</v>
      </c>
      <c r="G28" s="9" t="s">
        <v>256</v>
      </c>
      <c r="H28" s="10">
        <v>45931</v>
      </c>
      <c r="I28" s="9" t="s">
        <v>52</v>
      </c>
      <c r="J28" s="11">
        <v>78.25</v>
      </c>
      <c r="K28" s="9">
        <v>1</v>
      </c>
      <c r="L28" s="12">
        <v>1</v>
      </c>
      <c r="M28" s="11">
        <v>78.25</v>
      </c>
      <c r="N28" s="11">
        <v>78.25</v>
      </c>
      <c r="O28" s="9" t="s">
        <v>257</v>
      </c>
      <c r="P28" s="9" t="s">
        <v>470</v>
      </c>
      <c r="Q28" s="5" t="s">
        <v>481</v>
      </c>
      <c r="R28" s="9"/>
      <c r="S28" s="9">
        <f>313/12*3</f>
        <v>78.25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1:39" x14ac:dyDescent="0.25">
      <c r="A29" s="14">
        <v>974471146</v>
      </c>
      <c r="B29" s="14" t="str">
        <f t="shared" ref="B29:B43" si="4">CONCATENATE(A29,11)</f>
        <v>97447114611</v>
      </c>
      <c r="C29" s="5" t="s">
        <v>323</v>
      </c>
      <c r="D29" s="5" t="s">
        <v>129</v>
      </c>
      <c r="E29" s="5">
        <v>17425766</v>
      </c>
      <c r="F29" s="5" t="s">
        <v>325</v>
      </c>
      <c r="G29" s="5" t="s">
        <v>221</v>
      </c>
      <c r="H29" s="6">
        <v>46054</v>
      </c>
      <c r="I29" s="5" t="s">
        <v>52</v>
      </c>
      <c r="J29" s="5"/>
      <c r="K29" s="5"/>
      <c r="L29" s="5"/>
      <c r="M29" s="5">
        <v>-318.08</v>
      </c>
      <c r="N29" s="7">
        <v>318.08</v>
      </c>
      <c r="O29" s="5"/>
      <c r="P29" s="5" t="s">
        <v>469</v>
      </c>
      <c r="Q29" s="5" t="s">
        <v>475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x14ac:dyDescent="0.25">
      <c r="A30" s="14">
        <v>952041018</v>
      </c>
      <c r="B30" s="14" t="str">
        <f t="shared" si="4"/>
        <v>95204101811</v>
      </c>
      <c r="C30" s="5" t="s">
        <v>303</v>
      </c>
      <c r="D30" s="5" t="s">
        <v>134</v>
      </c>
      <c r="E30" s="5">
        <v>20003537</v>
      </c>
      <c r="F30" s="5" t="s">
        <v>91</v>
      </c>
      <c r="G30" s="5" t="s">
        <v>221</v>
      </c>
      <c r="H30" s="6">
        <v>46082</v>
      </c>
      <c r="I30" s="5" t="s">
        <v>52</v>
      </c>
      <c r="J30" s="7">
        <v>289.17</v>
      </c>
      <c r="K30" s="5">
        <v>1</v>
      </c>
      <c r="L30" s="8">
        <v>1</v>
      </c>
      <c r="M30" s="7">
        <v>289.17</v>
      </c>
      <c r="N30" s="7">
        <v>289.17</v>
      </c>
      <c r="O30" s="5" t="s">
        <v>201</v>
      </c>
      <c r="P30" s="5" t="s">
        <v>469</v>
      </c>
      <c r="Q30" s="5" t="s">
        <v>482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25">
      <c r="A31" s="14">
        <v>921791977</v>
      </c>
      <c r="B31" s="14" t="str">
        <f t="shared" si="4"/>
        <v>92179197711</v>
      </c>
      <c r="C31" s="5" t="s">
        <v>267</v>
      </c>
      <c r="D31" s="5" t="s">
        <v>268</v>
      </c>
      <c r="E31" s="5">
        <v>21435997</v>
      </c>
      <c r="F31" s="5" t="s">
        <v>270</v>
      </c>
      <c r="G31" s="5" t="s">
        <v>221</v>
      </c>
      <c r="H31" s="6">
        <v>46054</v>
      </c>
      <c r="I31" s="5" t="s">
        <v>52</v>
      </c>
      <c r="J31" s="5"/>
      <c r="K31" s="5"/>
      <c r="L31" s="5"/>
      <c r="M31" s="5">
        <v>-318.08</v>
      </c>
      <c r="N31" s="7">
        <v>318.08</v>
      </c>
      <c r="O31" s="5"/>
      <c r="P31" s="5" t="s">
        <v>469</v>
      </c>
      <c r="Q31" s="5" t="s">
        <v>475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25">
      <c r="A32" s="14">
        <v>903355671</v>
      </c>
      <c r="B32" s="14" t="str">
        <f t="shared" si="4"/>
        <v>90335567111</v>
      </c>
      <c r="C32" s="5" t="s">
        <v>429</v>
      </c>
      <c r="D32" s="5" t="s">
        <v>430</v>
      </c>
      <c r="E32" s="5">
        <v>16849453</v>
      </c>
      <c r="F32" s="5" t="s">
        <v>77</v>
      </c>
      <c r="G32" s="5" t="s">
        <v>221</v>
      </c>
      <c r="H32" s="6">
        <v>46023</v>
      </c>
      <c r="I32" s="5" t="s">
        <v>52</v>
      </c>
      <c r="J32" s="5"/>
      <c r="K32" s="5"/>
      <c r="L32" s="5"/>
      <c r="M32" s="5">
        <v>-347</v>
      </c>
      <c r="N32" s="7">
        <v>347</v>
      </c>
      <c r="O32" s="5"/>
      <c r="P32" s="5" t="s">
        <v>469</v>
      </c>
      <c r="Q32" s="5" t="s">
        <v>477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x14ac:dyDescent="0.25">
      <c r="A33" s="14">
        <v>927977925</v>
      </c>
      <c r="B33" s="14" t="str">
        <f t="shared" si="4"/>
        <v>92797792511</v>
      </c>
      <c r="C33" s="5" t="s">
        <v>275</v>
      </c>
      <c r="D33" s="5" t="s">
        <v>64</v>
      </c>
      <c r="E33" s="5">
        <v>9213293</v>
      </c>
      <c r="F33" s="5" t="s">
        <v>48</v>
      </c>
      <c r="G33" s="5" t="s">
        <v>221</v>
      </c>
      <c r="H33" s="6">
        <v>46113</v>
      </c>
      <c r="I33" s="5" t="s">
        <v>52</v>
      </c>
      <c r="J33" s="5"/>
      <c r="K33" s="5"/>
      <c r="L33" s="5"/>
      <c r="M33" s="5">
        <v>-260.25</v>
      </c>
      <c r="N33" s="7">
        <v>260.25</v>
      </c>
      <c r="O33" s="5"/>
      <c r="P33" s="5" t="s">
        <v>469</v>
      </c>
      <c r="Q33" s="5" t="s">
        <v>478</v>
      </c>
      <c r="R33" s="5"/>
      <c r="S33" s="5">
        <f>347/12*9</f>
        <v>260.25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25">
      <c r="A34" s="14">
        <v>930940452</v>
      </c>
      <c r="B34" s="14" t="str">
        <f t="shared" si="4"/>
        <v>93094045211</v>
      </c>
      <c r="C34" s="5" t="s">
        <v>287</v>
      </c>
      <c r="D34" s="5" t="s">
        <v>288</v>
      </c>
      <c r="E34" s="5">
        <v>9213293</v>
      </c>
      <c r="F34" s="5" t="s">
        <v>48</v>
      </c>
      <c r="G34" s="5" t="s">
        <v>221</v>
      </c>
      <c r="H34" s="6">
        <v>46082</v>
      </c>
      <c r="I34" s="5" t="s">
        <v>52</v>
      </c>
      <c r="J34" s="7">
        <v>289.17</v>
      </c>
      <c r="K34" s="5">
        <v>1</v>
      </c>
      <c r="L34" s="8">
        <v>1</v>
      </c>
      <c r="M34" s="7">
        <v>289.17</v>
      </c>
      <c r="N34" s="7">
        <v>289.17</v>
      </c>
      <c r="O34" s="5" t="s">
        <v>201</v>
      </c>
      <c r="P34" s="5" t="s">
        <v>469</v>
      </c>
      <c r="Q34" s="5" t="s">
        <v>482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x14ac:dyDescent="0.25">
      <c r="A35" s="14">
        <v>915597096</v>
      </c>
      <c r="B35" s="14" t="str">
        <f t="shared" si="4"/>
        <v>91559709611</v>
      </c>
      <c r="C35" s="5" t="s">
        <v>261</v>
      </c>
      <c r="D35" s="5" t="s">
        <v>134</v>
      </c>
      <c r="E35" s="5">
        <v>16865615</v>
      </c>
      <c r="F35" s="5" t="s">
        <v>263</v>
      </c>
      <c r="G35" s="5" t="s">
        <v>221</v>
      </c>
      <c r="H35" s="6">
        <v>46023</v>
      </c>
      <c r="I35" s="5" t="s">
        <v>52</v>
      </c>
      <c r="J35" s="5"/>
      <c r="K35" s="5"/>
      <c r="L35" s="5"/>
      <c r="M35" s="5">
        <v>-347</v>
      </c>
      <c r="N35" s="7">
        <v>347</v>
      </c>
      <c r="O35" s="5"/>
      <c r="P35" s="5" t="s">
        <v>469</v>
      </c>
      <c r="Q35" s="5" t="s">
        <v>477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x14ac:dyDescent="0.25">
      <c r="A36" s="14">
        <v>943642521</v>
      </c>
      <c r="B36" s="14" t="str">
        <f t="shared" si="4"/>
        <v>94364252111</v>
      </c>
      <c r="C36" s="5" t="s">
        <v>296</v>
      </c>
      <c r="D36" s="5" t="s">
        <v>297</v>
      </c>
      <c r="E36" s="5">
        <v>6634327</v>
      </c>
      <c r="F36" s="5" t="s">
        <v>299</v>
      </c>
      <c r="G36" s="5" t="s">
        <v>221</v>
      </c>
      <c r="H36" s="6">
        <v>46054</v>
      </c>
      <c r="I36" s="5" t="s">
        <v>52</v>
      </c>
      <c r="J36" s="5"/>
      <c r="K36" s="5"/>
      <c r="L36" s="5"/>
      <c r="M36" s="5">
        <v>-318.08</v>
      </c>
      <c r="N36" s="7">
        <v>318.08</v>
      </c>
      <c r="O36" s="5"/>
      <c r="P36" s="5" t="s">
        <v>469</v>
      </c>
      <c r="Q36" s="5" t="s">
        <v>475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x14ac:dyDescent="0.25">
      <c r="A37" s="14">
        <v>978519946</v>
      </c>
      <c r="B37" s="14" t="str">
        <f t="shared" si="4"/>
        <v>97851994611</v>
      </c>
      <c r="C37" s="5" t="s">
        <v>329</v>
      </c>
      <c r="D37" s="5" t="s">
        <v>297</v>
      </c>
      <c r="E37" s="5">
        <v>6634327</v>
      </c>
      <c r="F37" s="5" t="s">
        <v>299</v>
      </c>
      <c r="G37" s="5" t="s">
        <v>221</v>
      </c>
      <c r="H37" s="6">
        <v>46054</v>
      </c>
      <c r="I37" s="5" t="s">
        <v>52</v>
      </c>
      <c r="J37" s="5"/>
      <c r="K37" s="5"/>
      <c r="L37" s="5"/>
      <c r="M37" s="5">
        <v>-318.08</v>
      </c>
      <c r="N37" s="7">
        <v>318.08</v>
      </c>
      <c r="O37" s="5"/>
      <c r="P37" s="5" t="s">
        <v>469</v>
      </c>
      <c r="Q37" s="5" t="s">
        <v>475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x14ac:dyDescent="0.25">
      <c r="A38" s="14">
        <v>967243928</v>
      </c>
      <c r="B38" s="14" t="str">
        <f t="shared" si="4"/>
        <v>96724392811</v>
      </c>
      <c r="C38" s="5" t="s">
        <v>315</v>
      </c>
      <c r="D38" s="5" t="s">
        <v>297</v>
      </c>
      <c r="E38" s="5">
        <v>6634327</v>
      </c>
      <c r="F38" s="5" t="s">
        <v>299</v>
      </c>
      <c r="G38" s="5" t="s">
        <v>221</v>
      </c>
      <c r="H38" s="6">
        <v>46082</v>
      </c>
      <c r="I38" s="5" t="s">
        <v>52</v>
      </c>
      <c r="J38" s="7">
        <v>289.17</v>
      </c>
      <c r="K38" s="5">
        <v>1</v>
      </c>
      <c r="L38" s="8">
        <v>1</v>
      </c>
      <c r="M38" s="7">
        <v>289.17</v>
      </c>
      <c r="N38" s="7">
        <v>289.17</v>
      </c>
      <c r="O38" s="5" t="s">
        <v>201</v>
      </c>
      <c r="P38" s="5" t="s">
        <v>469</v>
      </c>
      <c r="Q38" s="5" t="s">
        <v>482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x14ac:dyDescent="0.25">
      <c r="A39" s="14">
        <v>134111141</v>
      </c>
      <c r="B39" s="14" t="str">
        <f t="shared" si="4"/>
        <v>13411114111</v>
      </c>
      <c r="C39" s="5" t="s">
        <v>225</v>
      </c>
      <c r="D39" s="5" t="s">
        <v>58</v>
      </c>
      <c r="E39" s="5">
        <v>17859093</v>
      </c>
      <c r="F39" s="5" t="s">
        <v>227</v>
      </c>
      <c r="G39" s="5" t="s">
        <v>221</v>
      </c>
      <c r="H39" s="6">
        <v>46023</v>
      </c>
      <c r="I39" s="5" t="s">
        <v>52</v>
      </c>
      <c r="J39" s="5"/>
      <c r="K39" s="5"/>
      <c r="L39" s="5"/>
      <c r="M39" s="5">
        <v>-347</v>
      </c>
      <c r="N39" s="7">
        <v>347</v>
      </c>
      <c r="O39" s="5"/>
      <c r="P39" s="5" t="s">
        <v>469</v>
      </c>
      <c r="Q39" s="5" t="s">
        <v>477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x14ac:dyDescent="0.25">
      <c r="A40" s="14">
        <v>134111141</v>
      </c>
      <c r="B40" s="14" t="str">
        <f t="shared" si="4"/>
        <v>13411114111</v>
      </c>
      <c r="C40" s="5" t="s">
        <v>225</v>
      </c>
      <c r="D40" s="5" t="s">
        <v>58</v>
      </c>
      <c r="E40" s="5">
        <v>17859093</v>
      </c>
      <c r="F40" s="5" t="s">
        <v>227</v>
      </c>
      <c r="G40" s="5" t="s">
        <v>221</v>
      </c>
      <c r="H40" s="6">
        <v>46082</v>
      </c>
      <c r="I40" s="5" t="s">
        <v>52</v>
      </c>
      <c r="J40" s="7">
        <v>289.17</v>
      </c>
      <c r="K40" s="5">
        <v>1</v>
      </c>
      <c r="L40" s="8">
        <v>1</v>
      </c>
      <c r="M40" s="7">
        <v>289.17</v>
      </c>
      <c r="N40" s="7">
        <v>289.17</v>
      </c>
      <c r="O40" s="5" t="s">
        <v>201</v>
      </c>
      <c r="P40" s="5" t="s">
        <v>469</v>
      </c>
      <c r="Q40" s="5" t="s">
        <v>482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x14ac:dyDescent="0.25">
      <c r="A41" s="14">
        <v>904503951</v>
      </c>
      <c r="B41" s="14" t="str">
        <f t="shared" si="4"/>
        <v>90450395111</v>
      </c>
      <c r="C41" s="5" t="s">
        <v>242</v>
      </c>
      <c r="D41" s="5" t="s">
        <v>243</v>
      </c>
      <c r="E41" s="5">
        <v>17859093</v>
      </c>
      <c r="F41" s="5" t="s">
        <v>227</v>
      </c>
      <c r="G41" s="5" t="s">
        <v>221</v>
      </c>
      <c r="H41" s="6">
        <v>46082</v>
      </c>
      <c r="I41" s="5" t="s">
        <v>52</v>
      </c>
      <c r="J41" s="7">
        <v>289.17</v>
      </c>
      <c r="K41" s="5">
        <v>1</v>
      </c>
      <c r="L41" s="8">
        <v>1</v>
      </c>
      <c r="M41" s="7">
        <v>289.17</v>
      </c>
      <c r="N41" s="7">
        <v>289.17</v>
      </c>
      <c r="O41" s="5" t="s">
        <v>201</v>
      </c>
      <c r="P41" s="5" t="s">
        <v>469</v>
      </c>
      <c r="Q41" s="5" t="s">
        <v>482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x14ac:dyDescent="0.25">
      <c r="A42" s="14">
        <v>928733294</v>
      </c>
      <c r="B42" s="14" t="str">
        <f t="shared" si="4"/>
        <v>92873329411</v>
      </c>
      <c r="C42" s="5" t="s">
        <v>277</v>
      </c>
      <c r="D42" s="5" t="s">
        <v>268</v>
      </c>
      <c r="E42" s="5">
        <v>17859093</v>
      </c>
      <c r="F42" s="5" t="s">
        <v>227</v>
      </c>
      <c r="G42" s="5" t="s">
        <v>221</v>
      </c>
      <c r="H42" s="6">
        <v>46082</v>
      </c>
      <c r="I42" s="5" t="s">
        <v>52</v>
      </c>
      <c r="J42" s="7">
        <v>289.17</v>
      </c>
      <c r="K42" s="5">
        <v>1</v>
      </c>
      <c r="L42" s="8">
        <v>1</v>
      </c>
      <c r="M42" s="7">
        <v>289.17</v>
      </c>
      <c r="N42" s="7">
        <v>289.17</v>
      </c>
      <c r="O42" s="5" t="s">
        <v>201</v>
      </c>
      <c r="P42" s="5" t="s">
        <v>469</v>
      </c>
      <c r="Q42" s="5" t="s">
        <v>482</v>
      </c>
      <c r="R42" s="5"/>
      <c r="S42" s="5">
        <f>347/12*10</f>
        <v>289.16666666666669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x14ac:dyDescent="0.25">
      <c r="A43" s="14">
        <v>953417433</v>
      </c>
      <c r="B43" s="14" t="str">
        <f t="shared" si="4"/>
        <v>95341743311</v>
      </c>
      <c r="C43" s="5" t="s">
        <v>306</v>
      </c>
      <c r="D43" s="5" t="s">
        <v>243</v>
      </c>
      <c r="E43" s="5">
        <v>17859093</v>
      </c>
      <c r="F43" s="5" t="s">
        <v>227</v>
      </c>
      <c r="G43" s="5" t="s">
        <v>221</v>
      </c>
      <c r="H43" s="6">
        <v>46082</v>
      </c>
      <c r="I43" s="5" t="s">
        <v>52</v>
      </c>
      <c r="J43" s="7">
        <v>289.17</v>
      </c>
      <c r="K43" s="5">
        <v>1</v>
      </c>
      <c r="L43" s="8">
        <v>1</v>
      </c>
      <c r="M43" s="7">
        <v>289.17</v>
      </c>
      <c r="N43" s="7">
        <v>289.17</v>
      </c>
      <c r="O43" s="5" t="s">
        <v>201</v>
      </c>
      <c r="P43" s="5" t="s">
        <v>469</v>
      </c>
      <c r="Q43" s="5" t="s">
        <v>482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x14ac:dyDescent="0.25">
      <c r="A44" t="s">
        <v>8</v>
      </c>
      <c r="C44" t="s">
        <v>9</v>
      </c>
      <c r="D44" t="s">
        <v>12</v>
      </c>
      <c r="E44" t="s">
        <v>14</v>
      </c>
      <c r="F44" t="s">
        <v>15</v>
      </c>
      <c r="G44" t="s">
        <v>17</v>
      </c>
      <c r="H44" t="s">
        <v>18</v>
      </c>
      <c r="I44" t="s">
        <v>23</v>
      </c>
      <c r="J44" t="s">
        <v>25</v>
      </c>
      <c r="K44" t="s">
        <v>26</v>
      </c>
      <c r="L44" t="s">
        <v>27</v>
      </c>
      <c r="M44" t="s">
        <v>28</v>
      </c>
      <c r="N44" t="s">
        <v>31</v>
      </c>
      <c r="O44" t="s">
        <v>37</v>
      </c>
    </row>
    <row r="45" spans="1:39" x14ac:dyDescent="0.25">
      <c r="A45" s="13" t="s">
        <v>535</v>
      </c>
      <c r="B45" s="13" t="str">
        <f t="shared" ref="B45:B76" si="5">CONCATENATE(A45,"OVR")</f>
        <v>MEQNDVZM00000153055OVR</v>
      </c>
      <c r="C45" t="s">
        <v>459</v>
      </c>
      <c r="E45">
        <v>20411454</v>
      </c>
      <c r="F45" t="s">
        <v>547</v>
      </c>
      <c r="G45" t="s">
        <v>408</v>
      </c>
      <c r="H45" s="1">
        <v>46023</v>
      </c>
      <c r="I45" t="s">
        <v>52</v>
      </c>
      <c r="M45">
        <v>-25</v>
      </c>
      <c r="N45" s="2">
        <v>25</v>
      </c>
      <c r="P45" t="s">
        <v>462</v>
      </c>
    </row>
    <row r="46" spans="1:39" x14ac:dyDescent="0.25">
      <c r="A46" s="13">
        <v>101086547500</v>
      </c>
      <c r="B46" s="13" t="str">
        <f t="shared" si="5"/>
        <v>101086547500OVR</v>
      </c>
      <c r="C46" t="s">
        <v>167</v>
      </c>
      <c r="D46" t="s">
        <v>168</v>
      </c>
      <c r="E46">
        <v>20411454</v>
      </c>
      <c r="F46" t="s">
        <v>547</v>
      </c>
      <c r="G46" t="s">
        <v>171</v>
      </c>
      <c r="H46" s="1">
        <v>46054</v>
      </c>
      <c r="I46" t="s">
        <v>52</v>
      </c>
      <c r="J46" s="2">
        <v>22.92</v>
      </c>
      <c r="K46">
        <v>1</v>
      </c>
      <c r="L46" s="3">
        <v>1</v>
      </c>
      <c r="M46" s="2">
        <v>22.92</v>
      </c>
      <c r="N46" s="2">
        <v>22.92</v>
      </c>
      <c r="O46" t="s">
        <v>172</v>
      </c>
      <c r="P46" t="s">
        <v>462</v>
      </c>
    </row>
    <row r="47" spans="1:39" x14ac:dyDescent="0.25">
      <c r="A47" s="13">
        <v>101128227000</v>
      </c>
      <c r="B47" s="13" t="str">
        <f t="shared" si="5"/>
        <v>101128227000OVR</v>
      </c>
      <c r="C47" t="s">
        <v>174</v>
      </c>
      <c r="D47" t="s">
        <v>64</v>
      </c>
      <c r="E47">
        <v>20411454</v>
      </c>
      <c r="F47" t="s">
        <v>547</v>
      </c>
      <c r="G47" t="s">
        <v>171</v>
      </c>
      <c r="H47" s="1">
        <v>46054</v>
      </c>
      <c r="I47" t="s">
        <v>52</v>
      </c>
      <c r="J47" s="2">
        <v>22.92</v>
      </c>
      <c r="K47">
        <v>1</v>
      </c>
      <c r="L47" s="3">
        <v>1</v>
      </c>
      <c r="M47" s="2">
        <v>22.92</v>
      </c>
      <c r="N47" s="2">
        <v>22.92</v>
      </c>
      <c r="O47" t="s">
        <v>172</v>
      </c>
      <c r="P47" t="s">
        <v>462</v>
      </c>
    </row>
    <row r="48" spans="1:39" x14ac:dyDescent="0.25">
      <c r="A48" s="13">
        <v>101458687800</v>
      </c>
      <c r="B48" s="13" t="str">
        <f t="shared" si="5"/>
        <v>101458687800OVR</v>
      </c>
      <c r="C48" t="s">
        <v>178</v>
      </c>
      <c r="D48" t="s">
        <v>168</v>
      </c>
      <c r="E48">
        <v>20411454</v>
      </c>
      <c r="F48" t="s">
        <v>547</v>
      </c>
      <c r="G48" t="s">
        <v>171</v>
      </c>
      <c r="H48" s="1">
        <v>46054</v>
      </c>
      <c r="I48" t="s">
        <v>52</v>
      </c>
      <c r="J48" s="2">
        <v>22.92</v>
      </c>
      <c r="K48">
        <v>1</v>
      </c>
      <c r="L48" s="3">
        <v>1</v>
      </c>
      <c r="M48" s="2">
        <v>22.92</v>
      </c>
      <c r="N48" s="2">
        <v>22.92</v>
      </c>
      <c r="O48" t="s">
        <v>172</v>
      </c>
      <c r="P48" t="s">
        <v>462</v>
      </c>
    </row>
    <row r="49" spans="1:16" x14ac:dyDescent="0.25">
      <c r="A49" s="13">
        <v>101853302100</v>
      </c>
      <c r="B49" s="13" t="str">
        <f t="shared" si="5"/>
        <v>101853302100OVR</v>
      </c>
      <c r="C49" t="s">
        <v>182</v>
      </c>
      <c r="D49" t="s">
        <v>168</v>
      </c>
      <c r="E49">
        <v>20411454</v>
      </c>
      <c r="F49" t="s">
        <v>547</v>
      </c>
      <c r="G49" t="s">
        <v>171</v>
      </c>
      <c r="H49" s="1">
        <v>46054</v>
      </c>
      <c r="I49" t="s">
        <v>52</v>
      </c>
      <c r="J49" s="2">
        <v>22.92</v>
      </c>
      <c r="K49">
        <v>1</v>
      </c>
      <c r="L49" s="3">
        <v>1</v>
      </c>
      <c r="M49" s="2">
        <v>22.92</v>
      </c>
      <c r="N49" s="2">
        <v>22.92</v>
      </c>
      <c r="O49" t="s">
        <v>172</v>
      </c>
      <c r="P49" t="s">
        <v>462</v>
      </c>
    </row>
    <row r="50" spans="1:16" x14ac:dyDescent="0.25">
      <c r="A50" s="13">
        <v>101951156200</v>
      </c>
      <c r="B50" s="13" t="str">
        <f t="shared" si="5"/>
        <v>101951156200OVR</v>
      </c>
      <c r="C50" t="s">
        <v>184</v>
      </c>
      <c r="D50" t="s">
        <v>64</v>
      </c>
      <c r="E50">
        <v>20411454</v>
      </c>
      <c r="F50" t="s">
        <v>547</v>
      </c>
      <c r="G50" t="s">
        <v>171</v>
      </c>
      <c r="H50" s="1">
        <v>46054</v>
      </c>
      <c r="I50" t="s">
        <v>52</v>
      </c>
      <c r="J50" s="2">
        <v>22.92</v>
      </c>
      <c r="K50">
        <v>1</v>
      </c>
      <c r="L50" s="3">
        <v>1</v>
      </c>
      <c r="M50" s="2">
        <v>22.92</v>
      </c>
      <c r="N50" s="2">
        <v>22.92</v>
      </c>
      <c r="O50" t="s">
        <v>172</v>
      </c>
      <c r="P50" t="s">
        <v>462</v>
      </c>
    </row>
    <row r="51" spans="1:16" x14ac:dyDescent="0.25">
      <c r="A51" s="13">
        <v>102178830400</v>
      </c>
      <c r="B51" s="13" t="str">
        <f t="shared" si="5"/>
        <v>102178830400OVR</v>
      </c>
      <c r="C51" t="s">
        <v>186</v>
      </c>
      <c r="D51" t="s">
        <v>64</v>
      </c>
      <c r="E51">
        <v>20411454</v>
      </c>
      <c r="F51" t="s">
        <v>547</v>
      </c>
      <c r="G51" t="s">
        <v>171</v>
      </c>
      <c r="H51" s="1">
        <v>46054</v>
      </c>
      <c r="I51" t="s">
        <v>52</v>
      </c>
      <c r="J51" s="2">
        <v>22.92</v>
      </c>
      <c r="K51">
        <v>1</v>
      </c>
      <c r="L51" s="3">
        <v>1</v>
      </c>
      <c r="M51" s="2">
        <v>22.92</v>
      </c>
      <c r="N51" s="2">
        <v>22.92</v>
      </c>
      <c r="O51" t="s">
        <v>172</v>
      </c>
      <c r="P51" t="s">
        <v>462</v>
      </c>
    </row>
    <row r="52" spans="1:16" x14ac:dyDescent="0.25">
      <c r="A52" s="13">
        <v>102261103900</v>
      </c>
      <c r="B52" s="13" t="str">
        <f t="shared" si="5"/>
        <v>102261103900OVR</v>
      </c>
      <c r="C52" t="s">
        <v>188</v>
      </c>
      <c r="D52" t="s">
        <v>168</v>
      </c>
      <c r="E52">
        <v>20411454</v>
      </c>
      <c r="F52" t="s">
        <v>547</v>
      </c>
      <c r="G52" t="s">
        <v>171</v>
      </c>
      <c r="H52" s="1">
        <v>46054</v>
      </c>
      <c r="I52" t="s">
        <v>52</v>
      </c>
      <c r="J52" s="2">
        <v>22.92</v>
      </c>
      <c r="K52">
        <v>1</v>
      </c>
      <c r="L52" s="3">
        <v>1</v>
      </c>
      <c r="M52" s="2">
        <v>22.92</v>
      </c>
      <c r="N52" s="2">
        <v>22.92</v>
      </c>
      <c r="O52" t="s">
        <v>172</v>
      </c>
      <c r="P52" t="s">
        <v>462</v>
      </c>
    </row>
    <row r="53" spans="1:16" x14ac:dyDescent="0.25">
      <c r="A53" s="13">
        <v>102261184800</v>
      </c>
      <c r="B53" s="13" t="str">
        <f t="shared" si="5"/>
        <v>102261184800OVR</v>
      </c>
      <c r="C53" t="s">
        <v>190</v>
      </c>
      <c r="D53" t="s">
        <v>168</v>
      </c>
      <c r="E53">
        <v>20411454</v>
      </c>
      <c r="F53" t="s">
        <v>547</v>
      </c>
      <c r="G53" t="s">
        <v>171</v>
      </c>
      <c r="H53" s="1">
        <v>46054</v>
      </c>
      <c r="I53" t="s">
        <v>52</v>
      </c>
      <c r="J53" s="2">
        <v>22.92</v>
      </c>
      <c r="K53">
        <v>1</v>
      </c>
      <c r="L53" s="3">
        <v>1</v>
      </c>
      <c r="M53" s="2">
        <v>22.92</v>
      </c>
      <c r="N53" s="2">
        <v>22.92</v>
      </c>
      <c r="O53" t="s">
        <v>172</v>
      </c>
      <c r="P53" t="s">
        <v>462</v>
      </c>
    </row>
    <row r="54" spans="1:16" x14ac:dyDescent="0.25">
      <c r="A54" s="13">
        <v>102261226800</v>
      </c>
      <c r="B54" s="13" t="str">
        <f t="shared" si="5"/>
        <v>102261226800OVR</v>
      </c>
      <c r="C54" t="s">
        <v>192</v>
      </c>
      <c r="D54" t="s">
        <v>168</v>
      </c>
      <c r="E54">
        <v>20411454</v>
      </c>
      <c r="F54" t="s">
        <v>547</v>
      </c>
      <c r="G54" t="s">
        <v>171</v>
      </c>
      <c r="H54" s="1">
        <v>46054</v>
      </c>
      <c r="I54" t="s">
        <v>52</v>
      </c>
      <c r="J54" s="2">
        <v>22.92</v>
      </c>
      <c r="K54">
        <v>1</v>
      </c>
      <c r="L54" s="3">
        <v>1</v>
      </c>
      <c r="M54" s="2">
        <v>22.92</v>
      </c>
      <c r="N54" s="2">
        <v>22.92</v>
      </c>
      <c r="O54" t="s">
        <v>172</v>
      </c>
      <c r="P54" t="s">
        <v>462</v>
      </c>
    </row>
    <row r="55" spans="1:16" x14ac:dyDescent="0.25">
      <c r="A55" s="13">
        <v>102261469100</v>
      </c>
      <c r="B55" s="13" t="str">
        <f t="shared" si="5"/>
        <v>102261469100OVR</v>
      </c>
      <c r="C55" t="s">
        <v>196</v>
      </c>
      <c r="D55" t="s">
        <v>55</v>
      </c>
      <c r="E55">
        <v>20411454</v>
      </c>
      <c r="F55" t="s">
        <v>547</v>
      </c>
      <c r="G55" t="s">
        <v>171</v>
      </c>
      <c r="H55" s="1">
        <v>46054</v>
      </c>
      <c r="I55" t="s">
        <v>52</v>
      </c>
      <c r="J55" s="2">
        <v>22.92</v>
      </c>
      <c r="K55">
        <v>1</v>
      </c>
      <c r="L55" s="3">
        <v>1</v>
      </c>
      <c r="M55" s="2">
        <v>22.92</v>
      </c>
      <c r="N55" s="2">
        <v>22.92</v>
      </c>
      <c r="O55" t="s">
        <v>172</v>
      </c>
      <c r="P55" t="s">
        <v>462</v>
      </c>
    </row>
    <row r="56" spans="1:16" x14ac:dyDescent="0.25">
      <c r="A56" s="13">
        <v>102261632000</v>
      </c>
      <c r="B56" s="13" t="str">
        <f t="shared" si="5"/>
        <v>102261632000OVR</v>
      </c>
      <c r="C56" t="s">
        <v>200</v>
      </c>
      <c r="D56" t="s">
        <v>168</v>
      </c>
      <c r="E56">
        <v>20411454</v>
      </c>
      <c r="F56" t="s">
        <v>547</v>
      </c>
      <c r="G56" t="s">
        <v>171</v>
      </c>
      <c r="H56" s="1">
        <v>46082</v>
      </c>
      <c r="I56" t="s">
        <v>52</v>
      </c>
      <c r="J56" s="2">
        <v>20.83</v>
      </c>
      <c r="K56">
        <v>1</v>
      </c>
      <c r="L56" s="3">
        <v>1</v>
      </c>
      <c r="M56" s="2">
        <v>20.83</v>
      </c>
      <c r="N56" s="2">
        <v>20.83</v>
      </c>
      <c r="O56" t="s">
        <v>201</v>
      </c>
      <c r="P56" t="s">
        <v>462</v>
      </c>
    </row>
    <row r="57" spans="1:16" x14ac:dyDescent="0.25">
      <c r="A57" s="13">
        <v>102261961300</v>
      </c>
      <c r="B57" s="13" t="str">
        <f t="shared" si="5"/>
        <v>102261961300OVR</v>
      </c>
      <c r="C57" t="s">
        <v>203</v>
      </c>
      <c r="D57" t="s">
        <v>64</v>
      </c>
      <c r="E57">
        <v>20411454</v>
      </c>
      <c r="F57" t="s">
        <v>547</v>
      </c>
      <c r="G57" t="s">
        <v>171</v>
      </c>
      <c r="H57" s="1">
        <v>46113</v>
      </c>
      <c r="I57" t="s">
        <v>52</v>
      </c>
      <c r="J57" s="2">
        <v>18.75</v>
      </c>
      <c r="K57">
        <v>1</v>
      </c>
      <c r="L57" s="3">
        <v>1</v>
      </c>
      <c r="M57" s="2">
        <v>18.75</v>
      </c>
      <c r="N57" s="2">
        <v>18.75</v>
      </c>
      <c r="O57" t="s">
        <v>206</v>
      </c>
      <c r="P57" t="s">
        <v>462</v>
      </c>
    </row>
    <row r="58" spans="1:16" x14ac:dyDescent="0.25">
      <c r="A58" s="13">
        <v>102261995100</v>
      </c>
      <c r="B58" s="13" t="str">
        <f t="shared" si="5"/>
        <v>102261995100OVR</v>
      </c>
      <c r="C58" t="s">
        <v>208</v>
      </c>
      <c r="D58" t="s">
        <v>64</v>
      </c>
      <c r="E58">
        <v>20411454</v>
      </c>
      <c r="F58" t="s">
        <v>547</v>
      </c>
      <c r="G58" t="s">
        <v>171</v>
      </c>
      <c r="H58" s="1">
        <v>46054</v>
      </c>
      <c r="I58" t="s">
        <v>52</v>
      </c>
      <c r="J58" s="2">
        <v>22.92</v>
      </c>
      <c r="K58">
        <v>1</v>
      </c>
      <c r="L58" s="3">
        <v>1</v>
      </c>
      <c r="M58" s="2">
        <v>22.92</v>
      </c>
      <c r="N58" s="2">
        <v>22.92</v>
      </c>
      <c r="O58" t="s">
        <v>172</v>
      </c>
      <c r="P58" t="s">
        <v>462</v>
      </c>
    </row>
    <row r="59" spans="1:16" x14ac:dyDescent="0.25">
      <c r="A59" s="13">
        <v>102262001300</v>
      </c>
      <c r="B59" s="13" t="str">
        <f t="shared" si="5"/>
        <v>102262001300OVR</v>
      </c>
      <c r="C59" t="s">
        <v>212</v>
      </c>
      <c r="D59" t="s">
        <v>64</v>
      </c>
      <c r="E59">
        <v>20411454</v>
      </c>
      <c r="F59" t="s">
        <v>547</v>
      </c>
      <c r="G59" t="s">
        <v>171</v>
      </c>
      <c r="H59" s="1">
        <v>46054</v>
      </c>
      <c r="I59" t="s">
        <v>52</v>
      </c>
      <c r="J59" s="2">
        <v>22.92</v>
      </c>
      <c r="K59">
        <v>1</v>
      </c>
      <c r="L59" s="3">
        <v>1</v>
      </c>
      <c r="M59" s="2">
        <v>22.92</v>
      </c>
      <c r="N59" s="2">
        <v>22.92</v>
      </c>
      <c r="O59" t="s">
        <v>172</v>
      </c>
      <c r="P59" t="s">
        <v>462</v>
      </c>
    </row>
    <row r="60" spans="1:16" x14ac:dyDescent="0.25">
      <c r="A60" s="13">
        <v>102262032300</v>
      </c>
      <c r="B60" s="13" t="str">
        <f t="shared" si="5"/>
        <v>102262032300OVR</v>
      </c>
      <c r="C60" t="s">
        <v>214</v>
      </c>
      <c r="D60" t="s">
        <v>64</v>
      </c>
      <c r="E60">
        <v>20411454</v>
      </c>
      <c r="F60" t="s">
        <v>547</v>
      </c>
      <c r="G60" t="s">
        <v>171</v>
      </c>
      <c r="H60" s="1">
        <v>46054</v>
      </c>
      <c r="I60" t="s">
        <v>52</v>
      </c>
      <c r="J60" s="2">
        <v>22.92</v>
      </c>
      <c r="K60">
        <v>1</v>
      </c>
      <c r="L60" s="3">
        <v>1</v>
      </c>
      <c r="M60" s="2">
        <v>22.92</v>
      </c>
      <c r="N60" s="2">
        <v>22.92</v>
      </c>
      <c r="O60" t="s">
        <v>172</v>
      </c>
      <c r="P60" t="s">
        <v>462</v>
      </c>
    </row>
    <row r="61" spans="1:16" x14ac:dyDescent="0.25">
      <c r="A61" s="13" t="s">
        <v>490</v>
      </c>
      <c r="B61" s="13" t="str">
        <f t="shared" si="5"/>
        <v>73X2X6H35OVR</v>
      </c>
      <c r="C61" t="s">
        <v>239</v>
      </c>
      <c r="D61" t="s">
        <v>64</v>
      </c>
      <c r="E61">
        <v>20411454</v>
      </c>
      <c r="F61" t="s">
        <v>547</v>
      </c>
      <c r="G61" t="s">
        <v>240</v>
      </c>
      <c r="H61" s="1">
        <v>46054</v>
      </c>
      <c r="I61" t="s">
        <v>52</v>
      </c>
      <c r="J61" s="2">
        <v>100</v>
      </c>
      <c r="K61">
        <v>1</v>
      </c>
      <c r="L61" s="3">
        <v>1</v>
      </c>
      <c r="M61" s="2">
        <v>100</v>
      </c>
      <c r="N61" s="2">
        <v>100</v>
      </c>
      <c r="P61" t="s">
        <v>463</v>
      </c>
    </row>
    <row r="62" spans="1:16" x14ac:dyDescent="0.25">
      <c r="A62" s="13" t="s">
        <v>536</v>
      </c>
      <c r="B62" s="13" t="str">
        <f t="shared" si="5"/>
        <v>22R1L9L44OVR</v>
      </c>
      <c r="C62" t="s">
        <v>427</v>
      </c>
      <c r="D62" t="s">
        <v>64</v>
      </c>
      <c r="E62">
        <v>20411454</v>
      </c>
      <c r="F62" t="s">
        <v>547</v>
      </c>
      <c r="G62" t="s">
        <v>240</v>
      </c>
      <c r="H62" s="1">
        <v>46023</v>
      </c>
      <c r="I62" t="s">
        <v>52</v>
      </c>
      <c r="M62">
        <v>-100</v>
      </c>
      <c r="N62" s="2">
        <v>100</v>
      </c>
      <c r="P62" t="s">
        <v>463</v>
      </c>
    </row>
    <row r="63" spans="1:16" x14ac:dyDescent="0.25">
      <c r="A63" s="13">
        <v>36078996</v>
      </c>
      <c r="B63" s="13" t="str">
        <f t="shared" si="5"/>
        <v>36078996OVR</v>
      </c>
      <c r="C63" t="s">
        <v>234</v>
      </c>
      <c r="D63" t="s">
        <v>64</v>
      </c>
      <c r="E63">
        <v>20411454</v>
      </c>
      <c r="F63" t="s">
        <v>547</v>
      </c>
      <c r="G63" t="s">
        <v>237</v>
      </c>
      <c r="H63" s="1">
        <v>46054</v>
      </c>
      <c r="I63" t="s">
        <v>52</v>
      </c>
      <c r="J63" s="2">
        <v>50</v>
      </c>
      <c r="K63">
        <v>1</v>
      </c>
      <c r="L63" s="3">
        <v>1</v>
      </c>
      <c r="M63" s="2">
        <v>50</v>
      </c>
      <c r="N63" s="2">
        <v>50</v>
      </c>
      <c r="P63" t="s">
        <v>463</v>
      </c>
    </row>
    <row r="64" spans="1:16" x14ac:dyDescent="0.25">
      <c r="A64" s="13" t="s">
        <v>491</v>
      </c>
      <c r="B64" s="13" t="str">
        <f t="shared" si="5"/>
        <v>00004155102KOVR</v>
      </c>
      <c r="C64" t="s">
        <v>45</v>
      </c>
      <c r="D64" t="s">
        <v>46</v>
      </c>
      <c r="E64">
        <v>20411454</v>
      </c>
      <c r="F64" t="s">
        <v>547</v>
      </c>
      <c r="G64" t="s">
        <v>50</v>
      </c>
      <c r="H64" s="1">
        <v>46082</v>
      </c>
      <c r="I64" t="s">
        <v>52</v>
      </c>
      <c r="J64" s="2">
        <v>175</v>
      </c>
      <c r="K64">
        <v>1</v>
      </c>
      <c r="L64" s="3">
        <v>1</v>
      </c>
      <c r="M64" s="2">
        <v>175</v>
      </c>
      <c r="N64" s="2">
        <v>175</v>
      </c>
      <c r="P64" t="s">
        <v>464</v>
      </c>
    </row>
    <row r="65" spans="1:39" x14ac:dyDescent="0.25">
      <c r="A65" s="13" t="s">
        <v>492</v>
      </c>
      <c r="B65" s="13" t="str">
        <f t="shared" si="5"/>
        <v>00007470034KOVR</v>
      </c>
      <c r="C65" t="s">
        <v>54</v>
      </c>
      <c r="D65" t="s">
        <v>55</v>
      </c>
      <c r="E65">
        <v>20411454</v>
      </c>
      <c r="F65" t="s">
        <v>547</v>
      </c>
      <c r="G65" t="s">
        <v>50</v>
      </c>
      <c r="H65" s="1">
        <v>46082</v>
      </c>
      <c r="I65" t="s">
        <v>52</v>
      </c>
      <c r="J65" s="2">
        <v>175</v>
      </c>
      <c r="K65">
        <v>1</v>
      </c>
      <c r="L65" s="3">
        <v>1</v>
      </c>
      <c r="M65" s="2">
        <v>175</v>
      </c>
      <c r="N65" s="2">
        <v>175</v>
      </c>
      <c r="P65" t="s">
        <v>464</v>
      </c>
    </row>
    <row r="66" spans="1:39" x14ac:dyDescent="0.25">
      <c r="A66" s="13" t="s">
        <v>493</v>
      </c>
      <c r="B66" s="13" t="str">
        <f t="shared" si="5"/>
        <v>00016375265KOVR</v>
      </c>
      <c r="C66" t="s">
        <v>68</v>
      </c>
      <c r="D66" t="s">
        <v>46</v>
      </c>
      <c r="E66">
        <v>20411454</v>
      </c>
      <c r="F66" t="s">
        <v>547</v>
      </c>
      <c r="G66" t="s">
        <v>50</v>
      </c>
      <c r="H66" s="1">
        <v>46082</v>
      </c>
      <c r="I66" t="s">
        <v>52</v>
      </c>
      <c r="J66" s="2">
        <v>175</v>
      </c>
      <c r="K66">
        <v>1</v>
      </c>
      <c r="L66" s="3">
        <v>1</v>
      </c>
      <c r="M66" s="2">
        <v>175</v>
      </c>
      <c r="N66" s="2">
        <v>175</v>
      </c>
      <c r="P66" t="s">
        <v>464</v>
      </c>
    </row>
    <row r="67" spans="1:39" x14ac:dyDescent="0.25">
      <c r="A67" s="13" t="s">
        <v>494</v>
      </c>
      <c r="B67" s="13" t="str">
        <f t="shared" si="5"/>
        <v>00016402117KOVR</v>
      </c>
      <c r="C67" t="s">
        <v>70</v>
      </c>
      <c r="D67" t="s">
        <v>64</v>
      </c>
      <c r="E67">
        <v>20411454</v>
      </c>
      <c r="F67" t="s">
        <v>547</v>
      </c>
      <c r="G67" t="s">
        <v>50</v>
      </c>
      <c r="H67" s="1">
        <v>46082</v>
      </c>
      <c r="I67" t="s">
        <v>52</v>
      </c>
      <c r="J67" s="2">
        <v>175</v>
      </c>
      <c r="K67">
        <v>1</v>
      </c>
      <c r="L67" s="3">
        <v>1</v>
      </c>
      <c r="M67" s="2">
        <v>175</v>
      </c>
      <c r="N67" s="2">
        <v>175</v>
      </c>
      <c r="P67" t="s">
        <v>464</v>
      </c>
    </row>
    <row r="68" spans="1:39" x14ac:dyDescent="0.25">
      <c r="A68" s="13" t="s">
        <v>495</v>
      </c>
      <c r="B68" s="13" t="str">
        <f t="shared" si="5"/>
        <v>00018138098KOVR</v>
      </c>
      <c r="C68" t="s">
        <v>74</v>
      </c>
      <c r="D68" t="s">
        <v>75</v>
      </c>
      <c r="E68">
        <v>20411454</v>
      </c>
      <c r="F68" t="s">
        <v>547</v>
      </c>
      <c r="G68" t="s">
        <v>50</v>
      </c>
      <c r="H68" s="1">
        <v>46082</v>
      </c>
      <c r="I68" t="s">
        <v>52</v>
      </c>
      <c r="J68" s="2">
        <v>175</v>
      </c>
      <c r="K68">
        <v>1</v>
      </c>
      <c r="L68" s="3">
        <v>1</v>
      </c>
      <c r="M68" s="2">
        <v>175</v>
      </c>
      <c r="N68" s="2">
        <v>175</v>
      </c>
      <c r="P68" t="s">
        <v>464</v>
      </c>
    </row>
    <row r="69" spans="1:39" x14ac:dyDescent="0.25">
      <c r="A69" s="13" t="s">
        <v>496</v>
      </c>
      <c r="B69" s="13" t="str">
        <f t="shared" si="5"/>
        <v>00018142972KOVR</v>
      </c>
      <c r="C69" t="s">
        <v>79</v>
      </c>
      <c r="D69" t="s">
        <v>64</v>
      </c>
      <c r="E69">
        <v>20411454</v>
      </c>
      <c r="F69" t="s">
        <v>547</v>
      </c>
      <c r="G69" t="s">
        <v>50</v>
      </c>
      <c r="H69" s="1">
        <v>46023</v>
      </c>
      <c r="I69" t="s">
        <v>52</v>
      </c>
      <c r="J69" s="2">
        <v>161</v>
      </c>
      <c r="K69">
        <v>1</v>
      </c>
      <c r="L69" s="3">
        <v>1</v>
      </c>
      <c r="M69" s="2">
        <v>161</v>
      </c>
      <c r="N69" s="2">
        <v>161</v>
      </c>
      <c r="O69" t="s">
        <v>81</v>
      </c>
      <c r="P69" t="s">
        <v>464</v>
      </c>
    </row>
    <row r="70" spans="1:39" s="5" customFormat="1" x14ac:dyDescent="0.25">
      <c r="A70" s="13" t="s">
        <v>497</v>
      </c>
      <c r="B70" s="13" t="str">
        <f t="shared" si="5"/>
        <v>00019368907KOVR</v>
      </c>
      <c r="C70" t="s">
        <v>83</v>
      </c>
      <c r="D70" t="s">
        <v>64</v>
      </c>
      <c r="E70">
        <v>20411454</v>
      </c>
      <c r="F70" t="s">
        <v>547</v>
      </c>
      <c r="G70" t="s">
        <v>50</v>
      </c>
      <c r="H70" s="1">
        <v>46082</v>
      </c>
      <c r="I70" t="s">
        <v>52</v>
      </c>
      <c r="J70" s="2">
        <v>175</v>
      </c>
      <c r="K70">
        <v>1</v>
      </c>
      <c r="L70" s="3">
        <v>1</v>
      </c>
      <c r="M70" s="2">
        <v>175</v>
      </c>
      <c r="N70" s="2">
        <v>175</v>
      </c>
      <c r="O70"/>
      <c r="P70" t="s">
        <v>464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</row>
    <row r="71" spans="1:39" s="5" customFormat="1" x14ac:dyDescent="0.25">
      <c r="A71" s="13" t="s">
        <v>498</v>
      </c>
      <c r="B71" s="13" t="str">
        <f t="shared" si="5"/>
        <v>00022094137KOVR</v>
      </c>
      <c r="C71" t="s">
        <v>85</v>
      </c>
      <c r="D71" t="s">
        <v>64</v>
      </c>
      <c r="E71">
        <v>20411454</v>
      </c>
      <c r="F71" t="s">
        <v>547</v>
      </c>
      <c r="G71" t="s">
        <v>50</v>
      </c>
      <c r="H71" s="1">
        <v>46023</v>
      </c>
      <c r="I71" t="s">
        <v>52</v>
      </c>
      <c r="J71" s="2">
        <v>161</v>
      </c>
      <c r="K71">
        <v>1</v>
      </c>
      <c r="L71" s="3">
        <v>1</v>
      </c>
      <c r="M71" s="2">
        <v>161</v>
      </c>
      <c r="N71" s="2">
        <v>161</v>
      </c>
      <c r="O71" t="s">
        <v>81</v>
      </c>
      <c r="P71" t="s">
        <v>464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</row>
    <row r="72" spans="1:39" s="5" customFormat="1" x14ac:dyDescent="0.25">
      <c r="A72" s="13" t="s">
        <v>499</v>
      </c>
      <c r="B72" s="13" t="str">
        <f t="shared" si="5"/>
        <v>00023536079KOVR</v>
      </c>
      <c r="C72" t="s">
        <v>89</v>
      </c>
      <c r="D72" t="s">
        <v>46</v>
      </c>
      <c r="E72">
        <v>20411454</v>
      </c>
      <c r="F72" t="s">
        <v>547</v>
      </c>
      <c r="G72" t="s">
        <v>50</v>
      </c>
      <c r="H72" s="1">
        <v>46023</v>
      </c>
      <c r="I72" t="s">
        <v>52</v>
      </c>
      <c r="J72" s="2">
        <v>161</v>
      </c>
      <c r="K72">
        <v>1</v>
      </c>
      <c r="L72" s="3">
        <v>1</v>
      </c>
      <c r="M72" s="2">
        <v>161</v>
      </c>
      <c r="N72" s="2">
        <v>161</v>
      </c>
      <c r="O72" t="s">
        <v>81</v>
      </c>
      <c r="P72" t="s">
        <v>464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 spans="1:39" s="5" customFormat="1" x14ac:dyDescent="0.25">
      <c r="A73" s="13" t="s">
        <v>500</v>
      </c>
      <c r="B73" s="13" t="str">
        <f t="shared" si="5"/>
        <v>00025205339KOVR</v>
      </c>
      <c r="C73" t="s">
        <v>97</v>
      </c>
      <c r="D73" t="s">
        <v>64</v>
      </c>
      <c r="E73">
        <v>20411454</v>
      </c>
      <c r="F73" t="s">
        <v>547</v>
      </c>
      <c r="G73" t="s">
        <v>50</v>
      </c>
      <c r="H73" s="1">
        <v>46023</v>
      </c>
      <c r="I73" t="s">
        <v>52</v>
      </c>
      <c r="J73" s="2">
        <v>175</v>
      </c>
      <c r="K73">
        <v>1</v>
      </c>
      <c r="L73" s="3">
        <v>1</v>
      </c>
      <c r="M73" s="2">
        <v>175</v>
      </c>
      <c r="N73" s="2">
        <v>175</v>
      </c>
      <c r="O73"/>
      <c r="P73" t="s">
        <v>464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</row>
    <row r="74" spans="1:39" s="5" customFormat="1" x14ac:dyDescent="0.25">
      <c r="A74" s="13" t="s">
        <v>501</v>
      </c>
      <c r="B74" s="13" t="str">
        <f t="shared" si="5"/>
        <v>00026061723KOVR</v>
      </c>
      <c r="C74" t="s">
        <v>105</v>
      </c>
      <c r="D74" t="s">
        <v>64</v>
      </c>
      <c r="E74">
        <v>20411454</v>
      </c>
      <c r="F74" t="s">
        <v>547</v>
      </c>
      <c r="G74" t="s">
        <v>50</v>
      </c>
      <c r="H74" s="1">
        <v>46143</v>
      </c>
      <c r="I74" t="s">
        <v>52</v>
      </c>
      <c r="J74" s="2">
        <v>175</v>
      </c>
      <c r="K74">
        <v>1</v>
      </c>
      <c r="L74" s="3">
        <v>1</v>
      </c>
      <c r="M74" s="2">
        <v>175</v>
      </c>
      <c r="N74" s="2">
        <v>175</v>
      </c>
      <c r="O74"/>
      <c r="P74" t="s">
        <v>464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 spans="1:39" s="5" customFormat="1" x14ac:dyDescent="0.25">
      <c r="A75" s="13" t="s">
        <v>502</v>
      </c>
      <c r="B75" s="13" t="str">
        <f t="shared" si="5"/>
        <v>00026062967KOVR</v>
      </c>
      <c r="C75" t="s">
        <v>109</v>
      </c>
      <c r="D75" t="s">
        <v>64</v>
      </c>
      <c r="E75">
        <v>20411454</v>
      </c>
      <c r="F75" t="s">
        <v>547</v>
      </c>
      <c r="G75" t="s">
        <v>50</v>
      </c>
      <c r="H75" s="1">
        <v>46082</v>
      </c>
      <c r="I75" t="s">
        <v>52</v>
      </c>
      <c r="J75" s="2">
        <v>175</v>
      </c>
      <c r="K75">
        <v>1</v>
      </c>
      <c r="L75" s="3">
        <v>1</v>
      </c>
      <c r="M75" s="2">
        <v>175</v>
      </c>
      <c r="N75" s="2">
        <v>175</v>
      </c>
      <c r="O75"/>
      <c r="P75" t="s">
        <v>464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 spans="1:39" s="5" customFormat="1" x14ac:dyDescent="0.25">
      <c r="A76" s="13" t="s">
        <v>503</v>
      </c>
      <c r="B76" s="13" t="str">
        <f t="shared" si="5"/>
        <v>00026066370KOVR</v>
      </c>
      <c r="C76" t="s">
        <v>111</v>
      </c>
      <c r="D76" t="s">
        <v>112</v>
      </c>
      <c r="E76">
        <v>20411454</v>
      </c>
      <c r="F76" t="s">
        <v>547</v>
      </c>
      <c r="G76" t="s">
        <v>50</v>
      </c>
      <c r="H76" s="1">
        <v>46082</v>
      </c>
      <c r="I76" t="s">
        <v>52</v>
      </c>
      <c r="J76" s="2">
        <v>175</v>
      </c>
      <c r="K76">
        <v>1</v>
      </c>
      <c r="L76" s="3">
        <v>1</v>
      </c>
      <c r="M76" s="2">
        <v>175</v>
      </c>
      <c r="N76" s="2">
        <v>175</v>
      </c>
      <c r="O76"/>
      <c r="P76" t="s">
        <v>464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</row>
    <row r="77" spans="1:39" s="5" customFormat="1" x14ac:dyDescent="0.25">
      <c r="A77" s="13" t="s">
        <v>504</v>
      </c>
      <c r="B77" s="13" t="str">
        <f t="shared" ref="B77:B108" si="6">CONCATENATE(A77,"OVR")</f>
        <v>00026073567KOVR</v>
      </c>
      <c r="C77" t="s">
        <v>116</v>
      </c>
      <c r="D77" t="s">
        <v>64</v>
      </c>
      <c r="E77">
        <v>20411454</v>
      </c>
      <c r="F77" t="s">
        <v>547</v>
      </c>
      <c r="G77" t="s">
        <v>50</v>
      </c>
      <c r="H77" s="1">
        <v>46143</v>
      </c>
      <c r="I77" t="s">
        <v>52</v>
      </c>
      <c r="J77" s="2">
        <v>175</v>
      </c>
      <c r="K77">
        <v>1</v>
      </c>
      <c r="L77" s="3">
        <v>1</v>
      </c>
      <c r="M77" s="2">
        <v>175</v>
      </c>
      <c r="N77" s="2">
        <v>175</v>
      </c>
      <c r="O77"/>
      <c r="P77" t="s">
        <v>464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</row>
    <row r="78" spans="1:39" s="5" customFormat="1" x14ac:dyDescent="0.25">
      <c r="A78" s="13" t="s">
        <v>505</v>
      </c>
      <c r="B78" s="13" t="str">
        <f t="shared" si="6"/>
        <v>00026076610KOVR</v>
      </c>
      <c r="C78" t="s">
        <v>120</v>
      </c>
      <c r="D78" t="s">
        <v>112</v>
      </c>
      <c r="E78">
        <v>20411454</v>
      </c>
      <c r="F78" t="s">
        <v>547</v>
      </c>
      <c r="G78" t="s">
        <v>50</v>
      </c>
      <c r="H78" s="1">
        <v>46113</v>
      </c>
      <c r="I78" t="s">
        <v>52</v>
      </c>
      <c r="J78" s="2">
        <v>175</v>
      </c>
      <c r="K78">
        <v>1</v>
      </c>
      <c r="L78" s="3">
        <v>1</v>
      </c>
      <c r="M78" s="2">
        <v>175</v>
      </c>
      <c r="N78" s="2">
        <v>175</v>
      </c>
      <c r="O78"/>
      <c r="P78" t="s">
        <v>464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 spans="1:39" s="5" customFormat="1" x14ac:dyDescent="0.25">
      <c r="A79" s="13" t="s">
        <v>506</v>
      </c>
      <c r="B79" s="13" t="str">
        <f t="shared" si="6"/>
        <v>00026078794KOVR</v>
      </c>
      <c r="C79" t="s">
        <v>124</v>
      </c>
      <c r="D79" t="s">
        <v>64</v>
      </c>
      <c r="E79">
        <v>20411454</v>
      </c>
      <c r="F79" t="s">
        <v>547</v>
      </c>
      <c r="G79" t="s">
        <v>50</v>
      </c>
      <c r="H79" s="1">
        <v>46082</v>
      </c>
      <c r="I79" t="s">
        <v>52</v>
      </c>
      <c r="J79" s="2">
        <v>175</v>
      </c>
      <c r="K79">
        <v>1</v>
      </c>
      <c r="L79" s="3">
        <v>1</v>
      </c>
      <c r="M79" s="2">
        <v>175</v>
      </c>
      <c r="N79" s="2">
        <v>175</v>
      </c>
      <c r="O79"/>
      <c r="P79" t="s">
        <v>464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</row>
    <row r="80" spans="1:39" s="5" customFormat="1" x14ac:dyDescent="0.25">
      <c r="A80" s="13" t="s">
        <v>507</v>
      </c>
      <c r="B80" s="13" t="str">
        <f t="shared" si="6"/>
        <v>00026083549KOVR</v>
      </c>
      <c r="C80" t="s">
        <v>128</v>
      </c>
      <c r="D80" t="s">
        <v>129</v>
      </c>
      <c r="E80">
        <v>20411454</v>
      </c>
      <c r="F80" t="s">
        <v>547</v>
      </c>
      <c r="G80" t="s">
        <v>50</v>
      </c>
      <c r="H80" s="1">
        <v>46113</v>
      </c>
      <c r="I80" t="s">
        <v>52</v>
      </c>
      <c r="J80" s="2">
        <v>175</v>
      </c>
      <c r="K80">
        <v>1</v>
      </c>
      <c r="L80" s="3">
        <v>1</v>
      </c>
      <c r="M80" s="2">
        <v>175</v>
      </c>
      <c r="N80" s="2">
        <v>175</v>
      </c>
      <c r="O80"/>
      <c r="P80" t="s">
        <v>464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</row>
    <row r="81" spans="1:39" s="5" customFormat="1" x14ac:dyDescent="0.25">
      <c r="A81" s="13" t="s">
        <v>508</v>
      </c>
      <c r="B81" s="13" t="str">
        <f t="shared" si="6"/>
        <v>00026083796KOVR</v>
      </c>
      <c r="C81" t="s">
        <v>133</v>
      </c>
      <c r="D81" t="s">
        <v>134</v>
      </c>
      <c r="E81">
        <v>20411454</v>
      </c>
      <c r="F81" t="s">
        <v>547</v>
      </c>
      <c r="G81" t="s">
        <v>50</v>
      </c>
      <c r="H81" s="1">
        <v>46082</v>
      </c>
      <c r="I81" t="s">
        <v>52</v>
      </c>
      <c r="J81" s="2">
        <v>175</v>
      </c>
      <c r="K81">
        <v>1</v>
      </c>
      <c r="L81" s="3">
        <v>1</v>
      </c>
      <c r="M81" s="2">
        <v>175</v>
      </c>
      <c r="N81" s="2">
        <v>175</v>
      </c>
      <c r="O81"/>
      <c r="P81" t="s">
        <v>464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</row>
    <row r="82" spans="1:39" s="5" customFormat="1" x14ac:dyDescent="0.25">
      <c r="A82" s="13" t="s">
        <v>509</v>
      </c>
      <c r="B82" s="13" t="str">
        <f t="shared" si="6"/>
        <v>00026086364KOVR</v>
      </c>
      <c r="C82" t="s">
        <v>136</v>
      </c>
      <c r="D82" t="s">
        <v>46</v>
      </c>
      <c r="E82">
        <v>20411454</v>
      </c>
      <c r="F82" t="s">
        <v>547</v>
      </c>
      <c r="G82" t="s">
        <v>50</v>
      </c>
      <c r="H82" s="1">
        <v>46082</v>
      </c>
      <c r="I82" t="s">
        <v>52</v>
      </c>
      <c r="J82" s="2">
        <v>175</v>
      </c>
      <c r="K82">
        <v>1</v>
      </c>
      <c r="L82" s="3">
        <v>1</v>
      </c>
      <c r="M82" s="2">
        <v>175</v>
      </c>
      <c r="N82" s="2">
        <v>175</v>
      </c>
      <c r="O82"/>
      <c r="P82" t="s">
        <v>464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</row>
    <row r="83" spans="1:39" s="5" customFormat="1" x14ac:dyDescent="0.25">
      <c r="A83" s="13" t="s">
        <v>510</v>
      </c>
      <c r="B83" s="13" t="str">
        <f t="shared" si="6"/>
        <v>00026088711KOVR</v>
      </c>
      <c r="C83" t="s">
        <v>140</v>
      </c>
      <c r="D83" t="s">
        <v>64</v>
      </c>
      <c r="E83">
        <v>20411454</v>
      </c>
      <c r="F83" t="s">
        <v>547</v>
      </c>
      <c r="G83" t="s">
        <v>50</v>
      </c>
      <c r="H83" s="1">
        <v>46082</v>
      </c>
      <c r="I83" t="s">
        <v>52</v>
      </c>
      <c r="J83" s="2">
        <v>175</v>
      </c>
      <c r="K83">
        <v>1</v>
      </c>
      <c r="L83" s="3">
        <v>1</v>
      </c>
      <c r="M83" s="2">
        <v>175</v>
      </c>
      <c r="N83" s="2">
        <v>175</v>
      </c>
      <c r="O83"/>
      <c r="P83" t="s">
        <v>464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x14ac:dyDescent="0.25">
      <c r="A84" s="13" t="s">
        <v>511</v>
      </c>
      <c r="B84" s="13" t="str">
        <f t="shared" si="6"/>
        <v>00026089661KOVR</v>
      </c>
      <c r="C84" t="s">
        <v>144</v>
      </c>
      <c r="D84" t="s">
        <v>145</v>
      </c>
      <c r="E84">
        <v>20411454</v>
      </c>
      <c r="F84" t="s">
        <v>547</v>
      </c>
      <c r="G84" t="s">
        <v>50</v>
      </c>
      <c r="H84" s="1">
        <v>46143</v>
      </c>
      <c r="I84" t="s">
        <v>52</v>
      </c>
      <c r="J84" s="2">
        <v>175</v>
      </c>
      <c r="K84">
        <v>1</v>
      </c>
      <c r="L84" s="3">
        <v>1</v>
      </c>
      <c r="M84" s="2">
        <v>175</v>
      </c>
      <c r="N84" s="2">
        <v>175</v>
      </c>
      <c r="P84" t="s">
        <v>464</v>
      </c>
    </row>
    <row r="85" spans="1:39" x14ac:dyDescent="0.25">
      <c r="A85" s="13" t="s">
        <v>512</v>
      </c>
      <c r="B85" s="13" t="str">
        <f t="shared" si="6"/>
        <v>00026091935KOVR</v>
      </c>
      <c r="C85" t="s">
        <v>147</v>
      </c>
      <c r="D85" t="s">
        <v>64</v>
      </c>
      <c r="E85">
        <v>20411454</v>
      </c>
      <c r="F85" t="s">
        <v>547</v>
      </c>
      <c r="G85" t="s">
        <v>50</v>
      </c>
      <c r="H85" s="1">
        <v>46082</v>
      </c>
      <c r="I85" t="s">
        <v>52</v>
      </c>
      <c r="J85" s="2">
        <v>175</v>
      </c>
      <c r="K85">
        <v>1</v>
      </c>
      <c r="L85" s="3">
        <v>1</v>
      </c>
      <c r="M85" s="2">
        <v>175</v>
      </c>
      <c r="N85" s="2">
        <v>175</v>
      </c>
      <c r="P85" t="s">
        <v>464</v>
      </c>
    </row>
    <row r="86" spans="1:39" x14ac:dyDescent="0.25">
      <c r="A86" s="13" t="s">
        <v>513</v>
      </c>
      <c r="B86" s="13" t="str">
        <f t="shared" si="6"/>
        <v>00026092563KOVR</v>
      </c>
      <c r="C86" t="s">
        <v>151</v>
      </c>
      <c r="D86" t="s">
        <v>64</v>
      </c>
      <c r="E86">
        <v>20411454</v>
      </c>
      <c r="F86" t="s">
        <v>547</v>
      </c>
      <c r="G86" t="s">
        <v>50</v>
      </c>
      <c r="H86" s="1">
        <v>46113</v>
      </c>
      <c r="I86" t="s">
        <v>52</v>
      </c>
      <c r="J86" s="2">
        <v>175</v>
      </c>
      <c r="K86">
        <v>1</v>
      </c>
      <c r="L86" s="3">
        <v>1</v>
      </c>
      <c r="M86" s="2">
        <v>175</v>
      </c>
      <c r="N86" s="2">
        <v>175</v>
      </c>
      <c r="P86" t="s">
        <v>464</v>
      </c>
    </row>
    <row r="87" spans="1:39" x14ac:dyDescent="0.25">
      <c r="A87" s="13" t="s">
        <v>514</v>
      </c>
      <c r="B87" s="13" t="str">
        <f t="shared" si="6"/>
        <v>00026092673KOVR</v>
      </c>
      <c r="C87" t="s">
        <v>155</v>
      </c>
      <c r="D87" t="s">
        <v>64</v>
      </c>
      <c r="E87">
        <v>20411454</v>
      </c>
      <c r="F87" t="s">
        <v>547</v>
      </c>
      <c r="G87" t="s">
        <v>50</v>
      </c>
      <c r="H87" s="1">
        <v>46113</v>
      </c>
      <c r="I87" t="s">
        <v>52</v>
      </c>
      <c r="J87" s="2">
        <v>175</v>
      </c>
      <c r="K87">
        <v>1</v>
      </c>
      <c r="L87" s="3">
        <v>1</v>
      </c>
      <c r="M87" s="2">
        <v>175</v>
      </c>
      <c r="N87" s="2">
        <v>175</v>
      </c>
      <c r="P87" t="s">
        <v>464</v>
      </c>
    </row>
    <row r="88" spans="1:39" x14ac:dyDescent="0.25">
      <c r="A88" s="13" t="s">
        <v>515</v>
      </c>
      <c r="B88" s="13" t="str">
        <f t="shared" si="6"/>
        <v>00026099968KOVR</v>
      </c>
      <c r="C88" t="s">
        <v>157</v>
      </c>
      <c r="D88" t="s">
        <v>64</v>
      </c>
      <c r="E88">
        <v>20411454</v>
      </c>
      <c r="F88" t="s">
        <v>547</v>
      </c>
      <c r="G88" t="s">
        <v>50</v>
      </c>
      <c r="H88" s="1">
        <v>46082</v>
      </c>
      <c r="I88" t="s">
        <v>52</v>
      </c>
      <c r="J88" s="2">
        <v>175</v>
      </c>
      <c r="K88">
        <v>1</v>
      </c>
      <c r="L88" s="3">
        <v>1</v>
      </c>
      <c r="M88" s="2">
        <v>175</v>
      </c>
      <c r="N88" s="2">
        <v>175</v>
      </c>
      <c r="P88" t="s">
        <v>464</v>
      </c>
    </row>
    <row r="89" spans="1:39" x14ac:dyDescent="0.25">
      <c r="A89" s="13" t="s">
        <v>516</v>
      </c>
      <c r="B89" s="13" t="str">
        <f t="shared" si="6"/>
        <v>00026103178KOVR</v>
      </c>
      <c r="C89" t="s">
        <v>161</v>
      </c>
      <c r="D89" t="s">
        <v>64</v>
      </c>
      <c r="E89">
        <v>20411454</v>
      </c>
      <c r="F89" t="s">
        <v>547</v>
      </c>
      <c r="G89" t="s">
        <v>50</v>
      </c>
      <c r="H89" s="1">
        <v>46082</v>
      </c>
      <c r="I89" t="s">
        <v>52</v>
      </c>
      <c r="J89" s="2">
        <v>175</v>
      </c>
      <c r="K89">
        <v>1</v>
      </c>
      <c r="L89" s="3">
        <v>1</v>
      </c>
      <c r="M89" s="2">
        <v>175</v>
      </c>
      <c r="N89" s="2">
        <v>175</v>
      </c>
      <c r="P89" t="s">
        <v>464</v>
      </c>
    </row>
    <row r="90" spans="1:39" x14ac:dyDescent="0.25">
      <c r="A90" s="13" t="s">
        <v>517</v>
      </c>
      <c r="B90" s="13" t="str">
        <f t="shared" si="6"/>
        <v>00026103538KOVR</v>
      </c>
      <c r="C90" t="s">
        <v>163</v>
      </c>
      <c r="D90" t="s">
        <v>46</v>
      </c>
      <c r="E90">
        <v>20411454</v>
      </c>
      <c r="F90" t="s">
        <v>547</v>
      </c>
      <c r="G90" t="s">
        <v>50</v>
      </c>
      <c r="H90" s="1">
        <v>46082</v>
      </c>
      <c r="I90" t="s">
        <v>52</v>
      </c>
      <c r="J90" s="2">
        <v>175</v>
      </c>
      <c r="K90">
        <v>1</v>
      </c>
      <c r="L90" s="3">
        <v>1</v>
      </c>
      <c r="M90" s="2">
        <v>175</v>
      </c>
      <c r="N90" s="2">
        <v>175</v>
      </c>
      <c r="P90" t="s">
        <v>464</v>
      </c>
    </row>
    <row r="91" spans="1:39" x14ac:dyDescent="0.25">
      <c r="A91" s="13" t="s">
        <v>518</v>
      </c>
      <c r="B91" s="13" t="str">
        <f t="shared" si="6"/>
        <v>00026104690KOVR</v>
      </c>
      <c r="C91" t="s">
        <v>165</v>
      </c>
      <c r="D91" t="s">
        <v>64</v>
      </c>
      <c r="E91">
        <v>20411454</v>
      </c>
      <c r="F91" t="s">
        <v>547</v>
      </c>
      <c r="G91" t="s">
        <v>50</v>
      </c>
      <c r="H91" s="1">
        <v>46113</v>
      </c>
      <c r="I91" t="s">
        <v>52</v>
      </c>
      <c r="J91" s="2">
        <v>175</v>
      </c>
      <c r="K91">
        <v>1</v>
      </c>
      <c r="L91" s="3">
        <v>1</v>
      </c>
      <c r="M91" s="2">
        <v>175</v>
      </c>
      <c r="N91" s="2">
        <v>175</v>
      </c>
      <c r="P91" t="s">
        <v>464</v>
      </c>
    </row>
    <row r="92" spans="1:39" x14ac:dyDescent="0.25">
      <c r="A92" s="13" t="s">
        <v>538</v>
      </c>
      <c r="B92" s="13" t="str">
        <f t="shared" si="6"/>
        <v>00010858562KOVR</v>
      </c>
      <c r="C92" t="s">
        <v>378</v>
      </c>
      <c r="D92" t="s">
        <v>46</v>
      </c>
      <c r="E92">
        <v>20411454</v>
      </c>
      <c r="F92" t="s">
        <v>547</v>
      </c>
      <c r="G92" t="s">
        <v>50</v>
      </c>
      <c r="H92" s="1">
        <v>46023</v>
      </c>
      <c r="I92" t="s">
        <v>52</v>
      </c>
      <c r="M92">
        <v>-145.25</v>
      </c>
      <c r="N92" s="2">
        <v>175</v>
      </c>
      <c r="P92" t="s">
        <v>464</v>
      </c>
    </row>
    <row r="93" spans="1:39" x14ac:dyDescent="0.25">
      <c r="A93" s="13" t="s">
        <v>539</v>
      </c>
      <c r="B93" s="13" t="str">
        <f t="shared" si="6"/>
        <v>00012091926KOVR</v>
      </c>
      <c r="C93" t="s">
        <v>381</v>
      </c>
      <c r="D93" t="s">
        <v>58</v>
      </c>
      <c r="E93">
        <v>20411454</v>
      </c>
      <c r="F93" t="s">
        <v>547</v>
      </c>
      <c r="G93" t="s">
        <v>50</v>
      </c>
      <c r="H93" s="1">
        <v>46023</v>
      </c>
      <c r="I93" t="s">
        <v>52</v>
      </c>
      <c r="M93">
        <v>-145.25</v>
      </c>
      <c r="N93" s="2">
        <v>175</v>
      </c>
      <c r="P93" t="s">
        <v>464</v>
      </c>
    </row>
    <row r="94" spans="1:39" x14ac:dyDescent="0.25">
      <c r="A94" s="13" t="s">
        <v>546</v>
      </c>
      <c r="B94" s="13" t="str">
        <f t="shared" si="6"/>
        <v>00023765948KOVR</v>
      </c>
      <c r="C94" t="s">
        <v>384</v>
      </c>
      <c r="D94" t="s">
        <v>55</v>
      </c>
      <c r="E94">
        <v>20411454</v>
      </c>
      <c r="F94" t="s">
        <v>547</v>
      </c>
      <c r="G94" t="s">
        <v>50</v>
      </c>
      <c r="H94" s="1">
        <v>46023</v>
      </c>
      <c r="I94" t="s">
        <v>52</v>
      </c>
      <c r="M94">
        <v>-175</v>
      </c>
      <c r="N94" s="2">
        <v>175</v>
      </c>
      <c r="P94" t="s">
        <v>464</v>
      </c>
    </row>
    <row r="95" spans="1:39" x14ac:dyDescent="0.25">
      <c r="A95" s="13" t="s">
        <v>540</v>
      </c>
      <c r="B95" s="13" t="str">
        <f t="shared" si="6"/>
        <v>00024137824KOVR</v>
      </c>
      <c r="C95" t="s">
        <v>386</v>
      </c>
      <c r="D95" t="s">
        <v>64</v>
      </c>
      <c r="E95">
        <v>20411454</v>
      </c>
      <c r="F95" t="s">
        <v>547</v>
      </c>
      <c r="G95" t="s">
        <v>50</v>
      </c>
      <c r="H95" s="1">
        <v>46023</v>
      </c>
      <c r="I95" t="s">
        <v>52</v>
      </c>
      <c r="M95">
        <v>-145.25</v>
      </c>
      <c r="N95" s="2">
        <v>175</v>
      </c>
      <c r="P95" t="s">
        <v>464</v>
      </c>
    </row>
    <row r="96" spans="1:39" x14ac:dyDescent="0.25">
      <c r="A96" s="13" t="s">
        <v>541</v>
      </c>
      <c r="B96" s="13" t="str">
        <f t="shared" si="6"/>
        <v>00025715339KOVR</v>
      </c>
      <c r="C96" t="s">
        <v>391</v>
      </c>
      <c r="D96" t="s">
        <v>58</v>
      </c>
      <c r="E96">
        <v>20411454</v>
      </c>
      <c r="F96" t="s">
        <v>547</v>
      </c>
      <c r="G96" t="s">
        <v>50</v>
      </c>
      <c r="H96" s="1">
        <v>46023</v>
      </c>
      <c r="I96" t="s">
        <v>52</v>
      </c>
      <c r="M96">
        <v>-145.25</v>
      </c>
      <c r="N96" s="2">
        <v>175</v>
      </c>
      <c r="P96" t="s">
        <v>464</v>
      </c>
    </row>
    <row r="97" spans="1:39" x14ac:dyDescent="0.25">
      <c r="A97" s="13" t="s">
        <v>542</v>
      </c>
      <c r="B97" s="13" t="str">
        <f t="shared" si="6"/>
        <v>00025761939KOVR</v>
      </c>
      <c r="C97" t="s">
        <v>393</v>
      </c>
      <c r="D97" t="s">
        <v>134</v>
      </c>
      <c r="E97">
        <v>20411454</v>
      </c>
      <c r="F97" t="s">
        <v>547</v>
      </c>
      <c r="G97" t="s">
        <v>50</v>
      </c>
      <c r="H97" s="1">
        <v>46023</v>
      </c>
      <c r="I97" t="s">
        <v>52</v>
      </c>
      <c r="M97">
        <v>-145.25</v>
      </c>
      <c r="N97" s="2">
        <v>175</v>
      </c>
      <c r="P97" t="s">
        <v>464</v>
      </c>
    </row>
    <row r="98" spans="1:39" x14ac:dyDescent="0.25">
      <c r="A98" s="13" t="s">
        <v>543</v>
      </c>
      <c r="B98" s="13" t="str">
        <f t="shared" si="6"/>
        <v>00025866840KOVR</v>
      </c>
      <c r="C98" t="s">
        <v>397</v>
      </c>
      <c r="D98" t="s">
        <v>55</v>
      </c>
      <c r="E98">
        <v>20411454</v>
      </c>
      <c r="F98" t="s">
        <v>547</v>
      </c>
      <c r="G98" t="s">
        <v>50</v>
      </c>
      <c r="H98" s="1">
        <v>46023</v>
      </c>
      <c r="I98" t="s">
        <v>52</v>
      </c>
      <c r="M98">
        <v>-161</v>
      </c>
      <c r="N98" s="2">
        <v>175</v>
      </c>
      <c r="P98" t="s">
        <v>464</v>
      </c>
    </row>
    <row r="99" spans="1:39" x14ac:dyDescent="0.25">
      <c r="A99" s="13" t="s">
        <v>537</v>
      </c>
      <c r="B99" s="13" t="str">
        <f t="shared" si="6"/>
        <v>00025993104KOVR</v>
      </c>
      <c r="C99" t="s">
        <v>399</v>
      </c>
      <c r="D99" t="s">
        <v>64</v>
      </c>
      <c r="E99">
        <v>20411454</v>
      </c>
      <c r="F99" t="s">
        <v>547</v>
      </c>
      <c r="G99" t="s">
        <v>50</v>
      </c>
      <c r="H99" s="1">
        <v>46054</v>
      </c>
      <c r="I99" t="s">
        <v>52</v>
      </c>
      <c r="M99">
        <v>-175</v>
      </c>
      <c r="N99" s="2">
        <v>175</v>
      </c>
      <c r="P99" t="s">
        <v>464</v>
      </c>
    </row>
    <row r="100" spans="1:39" x14ac:dyDescent="0.25">
      <c r="A100" s="13" t="s">
        <v>544</v>
      </c>
      <c r="B100" s="13" t="str">
        <f t="shared" si="6"/>
        <v>00026030304KOVR</v>
      </c>
      <c r="C100" t="s">
        <v>403</v>
      </c>
      <c r="D100" t="s">
        <v>64</v>
      </c>
      <c r="E100">
        <v>20411454</v>
      </c>
      <c r="F100" t="s">
        <v>547</v>
      </c>
      <c r="G100" t="s">
        <v>50</v>
      </c>
      <c r="H100" s="1">
        <v>46054</v>
      </c>
      <c r="I100" t="s">
        <v>52</v>
      </c>
      <c r="M100">
        <v>-145.25</v>
      </c>
      <c r="N100" s="2">
        <v>175</v>
      </c>
      <c r="P100" t="s">
        <v>464</v>
      </c>
    </row>
    <row r="101" spans="1:39" x14ac:dyDescent="0.25">
      <c r="A101" s="13" t="s">
        <v>519</v>
      </c>
      <c r="B101" s="13" t="str">
        <f t="shared" si="6"/>
        <v>00007959026KOVR</v>
      </c>
      <c r="C101" t="s">
        <v>57</v>
      </c>
      <c r="D101" t="s">
        <v>58</v>
      </c>
      <c r="E101">
        <v>20411454</v>
      </c>
      <c r="F101" t="s">
        <v>547</v>
      </c>
      <c r="G101" t="s">
        <v>61</v>
      </c>
      <c r="H101" s="1">
        <v>46054</v>
      </c>
      <c r="I101" t="s">
        <v>52</v>
      </c>
      <c r="J101" s="2">
        <v>108</v>
      </c>
      <c r="K101">
        <v>1</v>
      </c>
      <c r="L101" s="3">
        <v>1</v>
      </c>
      <c r="M101" s="2">
        <v>108</v>
      </c>
      <c r="N101" s="2">
        <v>108</v>
      </c>
      <c r="P101" t="s">
        <v>464</v>
      </c>
    </row>
    <row r="102" spans="1:39" s="5" customFormat="1" x14ac:dyDescent="0.25">
      <c r="A102" s="13" t="s">
        <v>520</v>
      </c>
      <c r="B102" s="13" t="str">
        <f t="shared" si="6"/>
        <v>00014525232KOVR</v>
      </c>
      <c r="C102" t="s">
        <v>63</v>
      </c>
      <c r="D102" t="s">
        <v>64</v>
      </c>
      <c r="E102">
        <v>20411454</v>
      </c>
      <c r="F102" t="s">
        <v>547</v>
      </c>
      <c r="G102" t="s">
        <v>61</v>
      </c>
      <c r="H102" s="1">
        <v>46082</v>
      </c>
      <c r="I102" t="s">
        <v>52</v>
      </c>
      <c r="J102" s="2">
        <v>108</v>
      </c>
      <c r="K102">
        <v>1</v>
      </c>
      <c r="L102" s="3">
        <v>1</v>
      </c>
      <c r="M102" s="2">
        <v>108</v>
      </c>
      <c r="N102" s="2">
        <v>108</v>
      </c>
      <c r="O102"/>
      <c r="P102" t="s">
        <v>464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 spans="1:39" s="5" customFormat="1" x14ac:dyDescent="0.25">
      <c r="A103" s="13" t="s">
        <v>521</v>
      </c>
      <c r="B103" s="13" t="str">
        <f t="shared" si="6"/>
        <v>00024586250KOVR</v>
      </c>
      <c r="C103" t="s">
        <v>93</v>
      </c>
      <c r="D103" t="s">
        <v>64</v>
      </c>
      <c r="E103">
        <v>20411454</v>
      </c>
      <c r="F103" t="s">
        <v>547</v>
      </c>
      <c r="G103" t="s">
        <v>61</v>
      </c>
      <c r="H103" s="1">
        <v>46082</v>
      </c>
      <c r="I103" t="s">
        <v>52</v>
      </c>
      <c r="J103" s="2">
        <v>108</v>
      </c>
      <c r="K103">
        <v>1</v>
      </c>
      <c r="L103" s="3">
        <v>1</v>
      </c>
      <c r="M103" s="2">
        <v>108</v>
      </c>
      <c r="N103" s="2">
        <v>108</v>
      </c>
      <c r="O103"/>
      <c r="P103" t="s">
        <v>464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</row>
    <row r="104" spans="1:39" s="5" customFormat="1" x14ac:dyDescent="0.25">
      <c r="A104" s="13" t="s">
        <v>522</v>
      </c>
      <c r="B104" s="13" t="str">
        <f t="shared" si="6"/>
        <v>00024586478KOVR</v>
      </c>
      <c r="C104" t="s">
        <v>95</v>
      </c>
      <c r="D104" t="s">
        <v>64</v>
      </c>
      <c r="E104">
        <v>20411454</v>
      </c>
      <c r="F104" t="s">
        <v>547</v>
      </c>
      <c r="G104" t="s">
        <v>61</v>
      </c>
      <c r="H104" s="1">
        <v>46082</v>
      </c>
      <c r="I104" t="s">
        <v>52</v>
      </c>
      <c r="J104" s="2">
        <v>108</v>
      </c>
      <c r="K104">
        <v>1</v>
      </c>
      <c r="L104" s="3">
        <v>1</v>
      </c>
      <c r="M104" s="2">
        <v>108</v>
      </c>
      <c r="N104" s="2">
        <v>108</v>
      </c>
      <c r="O104"/>
      <c r="P104" t="s">
        <v>464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</row>
    <row r="105" spans="1:39" s="5" customFormat="1" x14ac:dyDescent="0.25">
      <c r="A105" s="13" t="s">
        <v>523</v>
      </c>
      <c r="B105" s="13" t="str">
        <f t="shared" si="6"/>
        <v>00025852824KOVR</v>
      </c>
      <c r="C105" t="s">
        <v>101</v>
      </c>
      <c r="D105" t="s">
        <v>64</v>
      </c>
      <c r="E105">
        <v>20411454</v>
      </c>
      <c r="F105" t="s">
        <v>547</v>
      </c>
      <c r="G105" t="s">
        <v>61</v>
      </c>
      <c r="H105" s="1">
        <v>46054</v>
      </c>
      <c r="I105" t="s">
        <v>52</v>
      </c>
      <c r="J105" s="2">
        <v>108</v>
      </c>
      <c r="K105">
        <v>1</v>
      </c>
      <c r="L105" s="3">
        <v>1</v>
      </c>
      <c r="M105" s="2">
        <v>108</v>
      </c>
      <c r="N105" s="2">
        <v>108</v>
      </c>
      <c r="O105"/>
      <c r="P105" t="s">
        <v>464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</row>
    <row r="106" spans="1:39" s="5" customFormat="1" x14ac:dyDescent="0.25">
      <c r="A106" s="13" t="s">
        <v>520</v>
      </c>
      <c r="B106" s="13" t="str">
        <f t="shared" si="6"/>
        <v>00014525232KOVR</v>
      </c>
      <c r="C106" t="s">
        <v>63</v>
      </c>
      <c r="D106" t="s">
        <v>64</v>
      </c>
      <c r="E106">
        <v>20411454</v>
      </c>
      <c r="F106" t="s">
        <v>547</v>
      </c>
      <c r="G106" t="s">
        <v>61</v>
      </c>
      <c r="H106" s="1">
        <v>46023</v>
      </c>
      <c r="I106" t="s">
        <v>52</v>
      </c>
      <c r="J106"/>
      <c r="K106"/>
      <c r="L106"/>
      <c r="M106">
        <v>-89.64</v>
      </c>
      <c r="N106" s="2">
        <v>108</v>
      </c>
      <c r="O106"/>
      <c r="P106" t="s">
        <v>464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</row>
    <row r="107" spans="1:39" s="5" customFormat="1" x14ac:dyDescent="0.25">
      <c r="A107" s="13">
        <v>993657159</v>
      </c>
      <c r="B107" s="13" t="str">
        <f t="shared" si="6"/>
        <v>993657159OVR</v>
      </c>
      <c r="C107" t="s">
        <v>338</v>
      </c>
      <c r="D107" t="s">
        <v>168</v>
      </c>
      <c r="E107">
        <v>20411454</v>
      </c>
      <c r="F107" t="s">
        <v>547</v>
      </c>
      <c r="G107" t="s">
        <v>343</v>
      </c>
      <c r="H107" s="1">
        <v>46054</v>
      </c>
      <c r="I107" t="s">
        <v>52</v>
      </c>
      <c r="J107" s="2">
        <v>97</v>
      </c>
      <c r="K107">
        <v>1</v>
      </c>
      <c r="L107" s="3">
        <v>1</v>
      </c>
      <c r="M107" s="2">
        <v>97</v>
      </c>
      <c r="N107" s="2">
        <v>97</v>
      </c>
      <c r="O107"/>
      <c r="P107" t="s">
        <v>466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</row>
    <row r="108" spans="1:39" s="5" customFormat="1" x14ac:dyDescent="0.25">
      <c r="A108" s="13">
        <v>993657159</v>
      </c>
      <c r="B108" s="13" t="str">
        <f t="shared" si="6"/>
        <v>993657159OVR</v>
      </c>
      <c r="C108" t="s">
        <v>338</v>
      </c>
      <c r="D108" t="s">
        <v>168</v>
      </c>
      <c r="E108">
        <v>20411454</v>
      </c>
      <c r="F108" t="s">
        <v>547</v>
      </c>
      <c r="G108" t="s">
        <v>455</v>
      </c>
      <c r="H108" s="1">
        <v>46054</v>
      </c>
      <c r="I108" t="s">
        <v>52</v>
      </c>
      <c r="J108"/>
      <c r="K108"/>
      <c r="L108"/>
      <c r="M108">
        <v>-175</v>
      </c>
      <c r="N108" s="2">
        <v>175</v>
      </c>
      <c r="O108"/>
      <c r="P108" t="s">
        <v>466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</row>
    <row r="109" spans="1:39" s="5" customFormat="1" x14ac:dyDescent="0.25">
      <c r="A109" s="13">
        <v>135532215</v>
      </c>
      <c r="B109" s="13" t="str">
        <f t="shared" ref="B109:B140" si="7">CONCATENATE(A109,"OVR")</f>
        <v>135532215OVR</v>
      </c>
      <c r="C109" t="s">
        <v>230</v>
      </c>
      <c r="D109" t="s">
        <v>129</v>
      </c>
      <c r="E109">
        <v>20411454</v>
      </c>
      <c r="F109" t="s">
        <v>547</v>
      </c>
      <c r="G109" t="s">
        <v>232</v>
      </c>
      <c r="H109" s="1">
        <v>46082</v>
      </c>
      <c r="I109" t="s">
        <v>52</v>
      </c>
      <c r="J109" s="2">
        <v>175</v>
      </c>
      <c r="K109">
        <v>1</v>
      </c>
      <c r="L109" s="3">
        <v>1</v>
      </c>
      <c r="M109" s="2">
        <v>175</v>
      </c>
      <c r="N109" s="2">
        <v>175</v>
      </c>
      <c r="O109"/>
      <c r="P109" t="s">
        <v>466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</row>
    <row r="110" spans="1:39" s="5" customFormat="1" x14ac:dyDescent="0.25">
      <c r="A110" s="13">
        <v>904503951</v>
      </c>
      <c r="B110" s="13" t="str">
        <f t="shared" si="7"/>
        <v>904503951OVR</v>
      </c>
      <c r="C110" t="s">
        <v>242</v>
      </c>
      <c r="D110" t="s">
        <v>243</v>
      </c>
      <c r="E110">
        <v>20411454</v>
      </c>
      <c r="F110" t="s">
        <v>547</v>
      </c>
      <c r="G110" t="s">
        <v>232</v>
      </c>
      <c r="H110" s="1">
        <v>46082</v>
      </c>
      <c r="I110" t="s">
        <v>52</v>
      </c>
      <c r="J110" s="2">
        <v>175</v>
      </c>
      <c r="K110">
        <v>1</v>
      </c>
      <c r="L110" s="3">
        <v>1</v>
      </c>
      <c r="M110" s="2">
        <v>175</v>
      </c>
      <c r="N110" s="2">
        <v>175</v>
      </c>
      <c r="O110"/>
      <c r="P110" t="s">
        <v>466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 spans="1:39" s="5" customFormat="1" x14ac:dyDescent="0.25">
      <c r="A111" s="13">
        <v>910777204</v>
      </c>
      <c r="B111" s="13" t="str">
        <f t="shared" si="7"/>
        <v>910777204OVR</v>
      </c>
      <c r="C111" t="s">
        <v>252</v>
      </c>
      <c r="D111" t="s">
        <v>64</v>
      </c>
      <c r="E111">
        <v>20411454</v>
      </c>
      <c r="F111" t="s">
        <v>547</v>
      </c>
      <c r="G111" t="s">
        <v>232</v>
      </c>
      <c r="H111" s="1">
        <v>46113</v>
      </c>
      <c r="I111" t="s">
        <v>52</v>
      </c>
      <c r="J111" s="2">
        <v>175</v>
      </c>
      <c r="K111">
        <v>1</v>
      </c>
      <c r="L111" s="3">
        <v>1</v>
      </c>
      <c r="M111" s="2">
        <v>175</v>
      </c>
      <c r="N111" s="2">
        <v>175</v>
      </c>
      <c r="O111"/>
      <c r="P111" t="s">
        <v>466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 spans="1:39" s="5" customFormat="1" x14ac:dyDescent="0.25">
      <c r="A112" s="13">
        <v>928733294</v>
      </c>
      <c r="B112" s="13" t="str">
        <f t="shared" si="7"/>
        <v>928733294OVR</v>
      </c>
      <c r="C112" t="s">
        <v>277</v>
      </c>
      <c r="D112" t="s">
        <v>268</v>
      </c>
      <c r="E112">
        <v>20411454</v>
      </c>
      <c r="F112" t="s">
        <v>547</v>
      </c>
      <c r="G112" t="s">
        <v>232</v>
      </c>
      <c r="H112" s="1">
        <v>46082</v>
      </c>
      <c r="I112" t="s">
        <v>52</v>
      </c>
      <c r="J112" s="2">
        <v>175</v>
      </c>
      <c r="K112">
        <v>1</v>
      </c>
      <c r="L112" s="3">
        <v>1</v>
      </c>
      <c r="M112" s="2">
        <v>175</v>
      </c>
      <c r="N112" s="2">
        <v>175</v>
      </c>
      <c r="O112"/>
      <c r="P112" t="s">
        <v>466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</row>
    <row r="113" spans="1:39" s="5" customFormat="1" x14ac:dyDescent="0.25">
      <c r="A113" s="13">
        <v>930940452</v>
      </c>
      <c r="B113" s="13" t="str">
        <f t="shared" si="7"/>
        <v>930940452OVR</v>
      </c>
      <c r="C113" t="s">
        <v>287</v>
      </c>
      <c r="D113" t="s">
        <v>288</v>
      </c>
      <c r="E113">
        <v>20411454</v>
      </c>
      <c r="F113" t="s">
        <v>547</v>
      </c>
      <c r="G113" t="s">
        <v>232</v>
      </c>
      <c r="H113" s="1">
        <v>46082</v>
      </c>
      <c r="I113" t="s">
        <v>52</v>
      </c>
      <c r="J113" s="2">
        <v>175</v>
      </c>
      <c r="K113">
        <v>1</v>
      </c>
      <c r="L113" s="3">
        <v>1</v>
      </c>
      <c r="M113" s="2">
        <v>175</v>
      </c>
      <c r="N113" s="2">
        <v>175</v>
      </c>
      <c r="O113"/>
      <c r="P113" t="s">
        <v>466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 spans="1:39" s="5" customFormat="1" x14ac:dyDescent="0.25">
      <c r="A114" s="13">
        <v>953417433</v>
      </c>
      <c r="B114" s="13" t="str">
        <f t="shared" si="7"/>
        <v>953417433OVR</v>
      </c>
      <c r="C114" t="s">
        <v>306</v>
      </c>
      <c r="D114" t="s">
        <v>243</v>
      </c>
      <c r="E114">
        <v>20411454</v>
      </c>
      <c r="F114" t="s">
        <v>547</v>
      </c>
      <c r="G114" t="s">
        <v>232</v>
      </c>
      <c r="H114" s="1">
        <v>46082</v>
      </c>
      <c r="I114" t="s">
        <v>52</v>
      </c>
      <c r="J114" s="2">
        <v>175</v>
      </c>
      <c r="K114">
        <v>1</v>
      </c>
      <c r="L114" s="3">
        <v>1</v>
      </c>
      <c r="M114" s="2">
        <v>175</v>
      </c>
      <c r="N114" s="2">
        <v>175</v>
      </c>
      <c r="O114"/>
      <c r="P114" t="s">
        <v>466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 spans="1:39" s="9" customFormat="1" x14ac:dyDescent="0.25">
      <c r="A115" s="13">
        <v>967243928</v>
      </c>
      <c r="B115" s="13" t="str">
        <f t="shared" si="7"/>
        <v>967243928OVR</v>
      </c>
      <c r="C115" t="s">
        <v>315</v>
      </c>
      <c r="D115" t="s">
        <v>297</v>
      </c>
      <c r="E115">
        <v>20411454</v>
      </c>
      <c r="F115" t="s">
        <v>547</v>
      </c>
      <c r="G115" t="s">
        <v>232</v>
      </c>
      <c r="H115" s="1">
        <v>46082</v>
      </c>
      <c r="I115" t="s">
        <v>52</v>
      </c>
      <c r="J115" s="2">
        <v>175</v>
      </c>
      <c r="K115">
        <v>1</v>
      </c>
      <c r="L115" s="3">
        <v>1</v>
      </c>
      <c r="M115" s="2">
        <v>175</v>
      </c>
      <c r="N115" s="2">
        <v>175</v>
      </c>
      <c r="O115"/>
      <c r="P115" t="s">
        <v>466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 spans="1:39" s="5" customFormat="1" x14ac:dyDescent="0.25">
      <c r="A116" s="13">
        <v>903355671</v>
      </c>
      <c r="B116" s="13" t="str">
        <f t="shared" si="7"/>
        <v>903355671OVR</v>
      </c>
      <c r="C116" t="s">
        <v>429</v>
      </c>
      <c r="D116" t="s">
        <v>430</v>
      </c>
      <c r="E116">
        <v>20411454</v>
      </c>
      <c r="F116" t="s">
        <v>547</v>
      </c>
      <c r="G116" t="s">
        <v>232</v>
      </c>
      <c r="H116" s="1">
        <v>46023</v>
      </c>
      <c r="I116" t="s">
        <v>52</v>
      </c>
      <c r="J116"/>
      <c r="K116"/>
      <c r="L116"/>
      <c r="M116">
        <v>-175</v>
      </c>
      <c r="N116" s="2">
        <v>175</v>
      </c>
      <c r="O116"/>
      <c r="P116" t="s">
        <v>466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 spans="1:39" s="5" customFormat="1" x14ac:dyDescent="0.25">
      <c r="A117" s="13">
        <v>967468809</v>
      </c>
      <c r="B117" s="13" t="str">
        <f t="shared" si="7"/>
        <v>967468809OVR</v>
      </c>
      <c r="C117" t="s">
        <v>318</v>
      </c>
      <c r="D117" t="s">
        <v>64</v>
      </c>
      <c r="E117">
        <v>20411454</v>
      </c>
      <c r="F117" t="s">
        <v>547</v>
      </c>
      <c r="G117" t="s">
        <v>321</v>
      </c>
      <c r="H117" s="1">
        <v>46054</v>
      </c>
      <c r="I117" t="s">
        <v>52</v>
      </c>
      <c r="J117" s="2">
        <v>113</v>
      </c>
      <c r="K117">
        <v>1</v>
      </c>
      <c r="L117" s="3">
        <v>1</v>
      </c>
      <c r="M117" s="2">
        <v>113</v>
      </c>
      <c r="N117" s="2">
        <v>113</v>
      </c>
      <c r="O117"/>
      <c r="P117" t="s">
        <v>466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 spans="1:39" s="5" customFormat="1" x14ac:dyDescent="0.25">
      <c r="A118" s="13">
        <v>987973610</v>
      </c>
      <c r="B118" s="13" t="str">
        <f t="shared" si="7"/>
        <v>987973610OVR</v>
      </c>
      <c r="C118" t="s">
        <v>335</v>
      </c>
      <c r="D118" t="s">
        <v>64</v>
      </c>
      <c r="E118">
        <v>20411454</v>
      </c>
      <c r="F118" t="s">
        <v>547</v>
      </c>
      <c r="G118" t="s">
        <v>321</v>
      </c>
      <c r="H118" s="1">
        <v>46082</v>
      </c>
      <c r="I118" t="s">
        <v>52</v>
      </c>
      <c r="J118" s="2">
        <v>113</v>
      </c>
      <c r="K118">
        <v>1</v>
      </c>
      <c r="L118" s="3">
        <v>1</v>
      </c>
      <c r="M118" s="2">
        <v>113</v>
      </c>
      <c r="N118" s="2">
        <v>113</v>
      </c>
      <c r="O118"/>
      <c r="P118" t="s">
        <v>466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 spans="1:39" s="5" customFormat="1" x14ac:dyDescent="0.25">
      <c r="A119" s="13">
        <v>118301290</v>
      </c>
      <c r="B119" s="13" t="str">
        <f t="shared" si="7"/>
        <v>118301290OVR</v>
      </c>
      <c r="C119" t="s">
        <v>218</v>
      </c>
      <c r="D119" t="s">
        <v>129</v>
      </c>
      <c r="E119">
        <v>20411454</v>
      </c>
      <c r="F119" t="s">
        <v>547</v>
      </c>
      <c r="G119" t="s">
        <v>223</v>
      </c>
      <c r="H119" s="1">
        <v>46082</v>
      </c>
      <c r="I119" t="s">
        <v>52</v>
      </c>
      <c r="J119" s="2">
        <v>60</v>
      </c>
      <c r="K119">
        <v>1</v>
      </c>
      <c r="L119" s="3">
        <v>1</v>
      </c>
      <c r="M119" s="2">
        <v>60</v>
      </c>
      <c r="N119" s="2">
        <v>60</v>
      </c>
      <c r="O119" t="s">
        <v>201</v>
      </c>
      <c r="P119" t="s">
        <v>466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 spans="1:39" s="5" customFormat="1" x14ac:dyDescent="0.25">
      <c r="A120" s="13">
        <v>134111141</v>
      </c>
      <c r="B120" s="13" t="str">
        <f t="shared" si="7"/>
        <v>134111141OVR</v>
      </c>
      <c r="C120" t="s">
        <v>225</v>
      </c>
      <c r="D120" t="s">
        <v>58</v>
      </c>
      <c r="E120">
        <v>20411454</v>
      </c>
      <c r="F120" t="s">
        <v>547</v>
      </c>
      <c r="G120" t="s">
        <v>223</v>
      </c>
      <c r="H120" s="1">
        <v>46082</v>
      </c>
      <c r="I120" t="s">
        <v>52</v>
      </c>
      <c r="J120" s="2">
        <v>60</v>
      </c>
      <c r="K120">
        <v>1</v>
      </c>
      <c r="L120" s="3">
        <v>1</v>
      </c>
      <c r="M120" s="2">
        <v>60</v>
      </c>
      <c r="N120" s="2">
        <v>60</v>
      </c>
      <c r="O120" t="s">
        <v>201</v>
      </c>
      <c r="P120" t="s">
        <v>466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 spans="1:39" s="5" customFormat="1" x14ac:dyDescent="0.25">
      <c r="A121" s="13">
        <v>952041018</v>
      </c>
      <c r="B121" s="13" t="str">
        <f t="shared" si="7"/>
        <v>952041018OVR</v>
      </c>
      <c r="C121" t="s">
        <v>303</v>
      </c>
      <c r="D121" t="s">
        <v>134</v>
      </c>
      <c r="E121">
        <v>20411454</v>
      </c>
      <c r="F121" t="s">
        <v>547</v>
      </c>
      <c r="G121" t="s">
        <v>223</v>
      </c>
      <c r="H121" s="1">
        <v>46082</v>
      </c>
      <c r="I121" t="s">
        <v>52</v>
      </c>
      <c r="J121" s="2">
        <v>60</v>
      </c>
      <c r="K121">
        <v>1</v>
      </c>
      <c r="L121" s="3">
        <v>1</v>
      </c>
      <c r="M121" s="2">
        <v>60</v>
      </c>
      <c r="N121" s="2">
        <v>60</v>
      </c>
      <c r="O121" t="s">
        <v>201</v>
      </c>
      <c r="P121" t="s">
        <v>466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 spans="1:39" s="5" customFormat="1" x14ac:dyDescent="0.25">
      <c r="A122" s="13">
        <v>134111141</v>
      </c>
      <c r="B122" s="13" t="str">
        <f t="shared" si="7"/>
        <v>134111141OVR</v>
      </c>
      <c r="C122" t="s">
        <v>225</v>
      </c>
      <c r="D122" t="s">
        <v>58</v>
      </c>
      <c r="E122">
        <v>20411454</v>
      </c>
      <c r="F122" t="s">
        <v>547</v>
      </c>
      <c r="G122" t="s">
        <v>223</v>
      </c>
      <c r="H122" s="1">
        <v>46023</v>
      </c>
      <c r="I122" t="s">
        <v>52</v>
      </c>
      <c r="J122"/>
      <c r="K122"/>
      <c r="L122"/>
      <c r="M122">
        <v>-72</v>
      </c>
      <c r="N122" s="2">
        <v>72</v>
      </c>
      <c r="O122"/>
      <c r="P122" t="s">
        <v>466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 spans="1:39" s="5" customFormat="1" x14ac:dyDescent="0.25">
      <c r="A123" s="13">
        <v>980482625</v>
      </c>
      <c r="B123" s="13" t="str">
        <f t="shared" si="7"/>
        <v>980482625OVR</v>
      </c>
      <c r="C123" t="s">
        <v>331</v>
      </c>
      <c r="D123" t="s">
        <v>55</v>
      </c>
      <c r="E123">
        <v>20411454</v>
      </c>
      <c r="F123" t="s">
        <v>547</v>
      </c>
      <c r="G123" t="s">
        <v>333</v>
      </c>
      <c r="H123" s="1">
        <v>46082</v>
      </c>
      <c r="I123" t="s">
        <v>52</v>
      </c>
      <c r="J123" s="2">
        <v>41.67</v>
      </c>
      <c r="K123">
        <v>1</v>
      </c>
      <c r="L123" s="3">
        <v>1</v>
      </c>
      <c r="M123" s="2">
        <v>41.67</v>
      </c>
      <c r="N123" s="2">
        <v>41.67</v>
      </c>
      <c r="O123" t="s">
        <v>201</v>
      </c>
      <c r="P123" t="s">
        <v>466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 spans="1:39" s="5" customFormat="1" x14ac:dyDescent="0.25">
      <c r="A124" s="13">
        <v>914839672</v>
      </c>
      <c r="B124" s="13" t="str">
        <f t="shared" si="7"/>
        <v>914839672OVR</v>
      </c>
      <c r="C124" t="s">
        <v>255</v>
      </c>
      <c r="D124" t="s">
        <v>64</v>
      </c>
      <c r="E124">
        <v>20411454</v>
      </c>
      <c r="F124" t="s">
        <v>547</v>
      </c>
      <c r="G124" t="s">
        <v>259</v>
      </c>
      <c r="H124" s="1">
        <v>45931</v>
      </c>
      <c r="I124" t="s">
        <v>52</v>
      </c>
      <c r="J124" s="2">
        <v>43.75</v>
      </c>
      <c r="K124">
        <v>1</v>
      </c>
      <c r="L124" s="3">
        <v>1</v>
      </c>
      <c r="M124" s="2">
        <v>43.75</v>
      </c>
      <c r="N124" s="2">
        <v>43.75</v>
      </c>
      <c r="O124" t="s">
        <v>257</v>
      </c>
      <c r="P124" t="s">
        <v>466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 spans="1:39" s="5" customFormat="1" x14ac:dyDescent="0.25">
      <c r="A125" s="14" t="s">
        <v>529</v>
      </c>
      <c r="B125" s="14" t="str">
        <f>CONCATENATE(A125,1)</f>
        <v>A044316651</v>
      </c>
      <c r="C125" s="5" t="s">
        <v>373</v>
      </c>
      <c r="D125" s="5" t="s">
        <v>168</v>
      </c>
      <c r="E125" s="5">
        <v>21618313</v>
      </c>
      <c r="F125" s="5" t="s">
        <v>375</v>
      </c>
      <c r="G125" s="5" t="s">
        <v>353</v>
      </c>
      <c r="H125" s="6">
        <v>46082</v>
      </c>
      <c r="I125" s="5" t="s">
        <v>52</v>
      </c>
      <c r="J125" s="7">
        <v>9.83</v>
      </c>
      <c r="K125" s="5">
        <v>9</v>
      </c>
      <c r="L125" s="8">
        <v>1</v>
      </c>
      <c r="M125" s="7">
        <v>88.47</v>
      </c>
      <c r="N125" s="7">
        <v>88.47</v>
      </c>
      <c r="P125" s="5" t="s">
        <v>353</v>
      </c>
    </row>
    <row r="126" spans="1:39" s="5" customFormat="1" x14ac:dyDescent="0.25">
      <c r="A126" s="14">
        <v>931294540</v>
      </c>
      <c r="B126" s="14" t="str">
        <f>CONCATENATE(A126,12)</f>
        <v>93129454012</v>
      </c>
      <c r="C126" s="5" t="s">
        <v>291</v>
      </c>
      <c r="D126" s="5" t="s">
        <v>64</v>
      </c>
      <c r="E126" s="5">
        <v>18828278</v>
      </c>
      <c r="F126" s="5" t="s">
        <v>216</v>
      </c>
      <c r="G126" s="5" t="s">
        <v>292</v>
      </c>
      <c r="H126" s="6">
        <v>46054</v>
      </c>
      <c r="I126" s="5" t="s">
        <v>52</v>
      </c>
      <c r="J126" s="7">
        <v>636.16999999999996</v>
      </c>
      <c r="K126" s="5">
        <v>1</v>
      </c>
      <c r="L126" s="8">
        <v>1</v>
      </c>
      <c r="M126" s="7">
        <v>636.16999999999996</v>
      </c>
      <c r="N126" s="7">
        <v>636.16999999999996</v>
      </c>
      <c r="O126" s="5" t="s">
        <v>172</v>
      </c>
      <c r="P126" s="5" t="s">
        <v>467</v>
      </c>
      <c r="Q126" s="5" t="s">
        <v>485</v>
      </c>
      <c r="S126" s="5">
        <f>694/12*11</f>
        <v>636.16666666666674</v>
      </c>
    </row>
    <row r="127" spans="1:39" s="5" customFormat="1" x14ac:dyDescent="0.25">
      <c r="A127" s="14">
        <v>931294540</v>
      </c>
      <c r="B127" s="14" t="str">
        <f>CONCATENATE(A127,11)</f>
        <v>93129454011</v>
      </c>
      <c r="C127" s="5" t="s">
        <v>291</v>
      </c>
      <c r="D127" s="5" t="s">
        <v>64</v>
      </c>
      <c r="E127" s="5">
        <v>18828278</v>
      </c>
      <c r="F127" s="5" t="s">
        <v>216</v>
      </c>
      <c r="G127" s="5" t="s">
        <v>221</v>
      </c>
      <c r="H127" s="6">
        <v>46054</v>
      </c>
      <c r="I127" s="5" t="s">
        <v>52</v>
      </c>
      <c r="M127" s="5">
        <v>-318.08</v>
      </c>
      <c r="N127" s="7">
        <v>318.08</v>
      </c>
      <c r="P127" s="5" t="s">
        <v>469</v>
      </c>
      <c r="Q127" s="5" t="s">
        <v>475</v>
      </c>
    </row>
    <row r="128" spans="1:39" s="5" customFormat="1" x14ac:dyDescent="0.25">
      <c r="A128" s="14">
        <v>993657159</v>
      </c>
      <c r="B128" s="14" t="str">
        <f>CONCATENATE(A128,13)</f>
        <v>99365715913</v>
      </c>
      <c r="C128" s="5" t="s">
        <v>338</v>
      </c>
      <c r="D128" s="5" t="s">
        <v>168</v>
      </c>
      <c r="E128" s="5">
        <v>16212649</v>
      </c>
      <c r="F128" s="5" t="s">
        <v>340</v>
      </c>
      <c r="G128" s="5" t="s">
        <v>341</v>
      </c>
      <c r="H128" s="6">
        <v>46054</v>
      </c>
      <c r="I128" s="5" t="s">
        <v>52</v>
      </c>
      <c r="J128" s="7">
        <v>465</v>
      </c>
      <c r="K128" s="5">
        <v>1</v>
      </c>
      <c r="L128" s="8">
        <v>1</v>
      </c>
      <c r="M128" s="7">
        <v>465</v>
      </c>
      <c r="N128" s="7">
        <v>465</v>
      </c>
      <c r="P128" s="5" t="s">
        <v>488</v>
      </c>
      <c r="Q128" s="5" t="s">
        <v>489</v>
      </c>
    </row>
    <row r="129" spans="1:21" s="5" customFormat="1" x14ac:dyDescent="0.25">
      <c r="A129" s="14">
        <v>993657159</v>
      </c>
      <c r="B129" s="14" t="str">
        <f>CONCATENATE(A129,"PDP")</f>
        <v>993657159PDP</v>
      </c>
      <c r="C129" s="5" t="s">
        <v>338</v>
      </c>
      <c r="D129" s="5" t="s">
        <v>168</v>
      </c>
      <c r="E129" s="5">
        <v>16212649</v>
      </c>
      <c r="F129" s="5" t="s">
        <v>340</v>
      </c>
      <c r="G129" s="5" t="s">
        <v>453</v>
      </c>
      <c r="H129" s="6">
        <v>46054</v>
      </c>
      <c r="I129" s="5" t="s">
        <v>52</v>
      </c>
      <c r="M129" s="5">
        <v>-100</v>
      </c>
      <c r="N129" s="7">
        <v>100</v>
      </c>
      <c r="P129" s="5" t="s">
        <v>474</v>
      </c>
    </row>
    <row r="130" spans="1:21" s="5" customFormat="1" x14ac:dyDescent="0.25">
      <c r="A130" s="14" t="s">
        <v>532</v>
      </c>
      <c r="B130" s="14" t="str">
        <f>CONCATENATE(A130,1)</f>
        <v>A044305611</v>
      </c>
      <c r="C130" s="5" t="s">
        <v>366</v>
      </c>
      <c r="D130" s="5" t="s">
        <v>64</v>
      </c>
      <c r="E130" s="5">
        <v>8244481</v>
      </c>
      <c r="F130" s="5" t="s">
        <v>205</v>
      </c>
      <c r="G130" s="5" t="s">
        <v>367</v>
      </c>
      <c r="H130" s="6">
        <v>46082</v>
      </c>
      <c r="I130" s="5" t="s">
        <v>52</v>
      </c>
      <c r="J130" s="7">
        <v>2.46</v>
      </c>
      <c r="K130" s="5">
        <v>9</v>
      </c>
      <c r="L130" s="8">
        <v>1</v>
      </c>
      <c r="M130" s="7">
        <v>22.14</v>
      </c>
      <c r="N130" s="7">
        <v>22.14</v>
      </c>
      <c r="P130" s="5" t="s">
        <v>367</v>
      </c>
    </row>
    <row r="131" spans="1:21" s="5" customFormat="1" x14ac:dyDescent="0.25">
      <c r="A131" s="14">
        <v>906753502</v>
      </c>
      <c r="B131" s="14" t="str">
        <f>CONCATENATE(A131,12)</f>
        <v>90675350212</v>
      </c>
      <c r="C131" s="5" t="s">
        <v>246</v>
      </c>
      <c r="D131" s="5" t="s">
        <v>64</v>
      </c>
      <c r="E131" s="5">
        <v>8244481</v>
      </c>
      <c r="F131" s="5" t="s">
        <v>205</v>
      </c>
      <c r="G131" s="5" t="s">
        <v>247</v>
      </c>
      <c r="H131" s="6">
        <v>46054</v>
      </c>
      <c r="I131" s="5" t="s">
        <v>52</v>
      </c>
      <c r="J131" s="7">
        <v>694</v>
      </c>
      <c r="K131" s="5">
        <v>1</v>
      </c>
      <c r="L131" s="8">
        <v>1</v>
      </c>
      <c r="M131" s="7">
        <v>694</v>
      </c>
      <c r="N131" s="7">
        <v>694</v>
      </c>
      <c r="P131" s="5" t="s">
        <v>467</v>
      </c>
      <c r="Q131" s="5" t="s">
        <v>486</v>
      </c>
    </row>
    <row r="132" spans="1:21" s="5" customFormat="1" x14ac:dyDescent="0.25">
      <c r="A132" s="14">
        <v>906753502</v>
      </c>
      <c r="B132" s="14" t="str">
        <f>CONCATENATE(A132,11)</f>
        <v>90675350211</v>
      </c>
      <c r="C132" s="5" t="s">
        <v>246</v>
      </c>
      <c r="D132" s="5" t="s">
        <v>64</v>
      </c>
      <c r="E132" s="5">
        <v>8244481</v>
      </c>
      <c r="F132" s="5" t="s">
        <v>205</v>
      </c>
      <c r="G132" s="5" t="s">
        <v>221</v>
      </c>
      <c r="H132" s="6">
        <v>46054</v>
      </c>
      <c r="I132" s="5" t="s">
        <v>52</v>
      </c>
      <c r="M132" s="5">
        <v>-318.08</v>
      </c>
      <c r="N132" s="7">
        <v>318.08</v>
      </c>
      <c r="P132" s="5" t="s">
        <v>469</v>
      </c>
      <c r="Q132" s="5" t="s">
        <v>475</v>
      </c>
    </row>
    <row r="133" spans="1:21" s="5" customFormat="1" x14ac:dyDescent="0.25">
      <c r="A133" s="14">
        <v>910777204</v>
      </c>
      <c r="B133" s="14" t="str">
        <f>CONCATENATE(A133,11)</f>
        <v>91077720411</v>
      </c>
      <c r="C133" s="5" t="s">
        <v>252</v>
      </c>
      <c r="D133" s="5" t="s">
        <v>64</v>
      </c>
      <c r="E133" s="5">
        <v>19200754</v>
      </c>
      <c r="F133" s="5" t="s">
        <v>66</v>
      </c>
      <c r="G133" s="5" t="s">
        <v>221</v>
      </c>
      <c r="H133" s="6">
        <v>46113</v>
      </c>
      <c r="I133" s="5" t="s">
        <v>52</v>
      </c>
      <c r="J133" s="7">
        <v>260.25</v>
      </c>
      <c r="K133" s="5">
        <v>1</v>
      </c>
      <c r="L133" s="8">
        <v>1</v>
      </c>
      <c r="M133" s="7">
        <v>260.25</v>
      </c>
      <c r="N133" s="7">
        <v>260.25</v>
      </c>
      <c r="O133" s="5" t="s">
        <v>206</v>
      </c>
      <c r="P133" s="5" t="s">
        <v>469</v>
      </c>
      <c r="Q133" s="5" t="s">
        <v>478</v>
      </c>
      <c r="S133" s="5">
        <f>347/12*9</f>
        <v>260.25</v>
      </c>
    </row>
    <row r="134" spans="1:21" s="5" customFormat="1" x14ac:dyDescent="0.25">
      <c r="A134" s="14">
        <v>987973610</v>
      </c>
      <c r="B134" s="14" t="str">
        <f>CONCATENATE(A134,13)</f>
        <v>98797361013</v>
      </c>
      <c r="C134" s="5" t="s">
        <v>335</v>
      </c>
      <c r="D134" s="5" t="s">
        <v>64</v>
      </c>
      <c r="E134" s="5">
        <v>7565575</v>
      </c>
      <c r="F134" s="5" t="s">
        <v>282</v>
      </c>
      <c r="G134" s="5" t="s">
        <v>319</v>
      </c>
      <c r="H134" s="6">
        <v>46082</v>
      </c>
      <c r="I134" s="5" t="s">
        <v>52</v>
      </c>
      <c r="J134" s="7">
        <v>169.17</v>
      </c>
      <c r="K134" s="5">
        <v>1</v>
      </c>
      <c r="L134" s="8">
        <v>1</v>
      </c>
      <c r="M134" s="7">
        <v>169.17</v>
      </c>
      <c r="N134" s="7">
        <v>169.17</v>
      </c>
      <c r="O134" s="5" t="s">
        <v>201</v>
      </c>
      <c r="P134" s="5" t="s">
        <v>471</v>
      </c>
      <c r="Q134" s="5" t="s">
        <v>480</v>
      </c>
    </row>
    <row r="135" spans="1:21" s="5" customFormat="1" x14ac:dyDescent="0.25">
      <c r="A135" s="14">
        <v>930381090</v>
      </c>
      <c r="B135" s="14" t="str">
        <f>CONCATENATE(A135,12)</f>
        <v>93038109012</v>
      </c>
      <c r="C135" s="5" t="s">
        <v>280</v>
      </c>
      <c r="D135" s="5" t="s">
        <v>64</v>
      </c>
      <c r="E135" s="5">
        <v>7565575</v>
      </c>
      <c r="F135" s="5" t="s">
        <v>282</v>
      </c>
      <c r="G135" s="5" t="s">
        <v>247</v>
      </c>
      <c r="H135" s="6">
        <v>46054</v>
      </c>
      <c r="I135" s="5" t="s">
        <v>52</v>
      </c>
      <c r="J135" s="7">
        <v>694</v>
      </c>
      <c r="K135" s="5">
        <v>1</v>
      </c>
      <c r="L135" s="8">
        <v>1</v>
      </c>
      <c r="M135" s="7">
        <v>694</v>
      </c>
      <c r="N135" s="7">
        <v>694</v>
      </c>
      <c r="P135" s="5" t="s">
        <v>467</v>
      </c>
      <c r="Q135" s="5" t="s">
        <v>486</v>
      </c>
    </row>
    <row r="136" spans="1:21" s="5" customFormat="1" x14ac:dyDescent="0.25">
      <c r="A136" s="14">
        <v>930381090</v>
      </c>
      <c r="B136" s="14" t="str">
        <f>CONCATENATE(A136,11)</f>
        <v>93038109011</v>
      </c>
      <c r="C136" s="5" t="s">
        <v>280</v>
      </c>
      <c r="D136" s="5" t="s">
        <v>64</v>
      </c>
      <c r="E136" s="5">
        <v>7565575</v>
      </c>
      <c r="F136" s="5" t="s">
        <v>282</v>
      </c>
      <c r="G136" s="5" t="s">
        <v>221</v>
      </c>
      <c r="H136" s="6">
        <v>46054</v>
      </c>
      <c r="I136" s="5" t="s">
        <v>52</v>
      </c>
      <c r="M136" s="5">
        <v>-318.08</v>
      </c>
      <c r="N136" s="7">
        <v>318.08</v>
      </c>
      <c r="P136" s="5" t="s">
        <v>469</v>
      </c>
      <c r="Q136" s="5" t="s">
        <v>475</v>
      </c>
    </row>
    <row r="137" spans="1:21" s="5" customFormat="1" x14ac:dyDescent="0.25">
      <c r="A137" s="14" t="s">
        <v>530</v>
      </c>
      <c r="B137" s="14" t="str">
        <f>CONCATENATE(A137,1)</f>
        <v>A044298611</v>
      </c>
      <c r="C137" s="5" t="s">
        <v>363</v>
      </c>
      <c r="D137" s="5" t="s">
        <v>129</v>
      </c>
      <c r="E137" s="5">
        <v>16170994</v>
      </c>
      <c r="F137" s="5" t="s">
        <v>220</v>
      </c>
      <c r="G137" s="5" t="s">
        <v>364</v>
      </c>
      <c r="H137" s="6">
        <v>46113</v>
      </c>
      <c r="I137" s="5" t="s">
        <v>52</v>
      </c>
      <c r="J137" s="7">
        <v>31.5</v>
      </c>
      <c r="K137" s="5">
        <v>9</v>
      </c>
      <c r="L137" s="8">
        <v>1</v>
      </c>
      <c r="M137" s="7">
        <v>283.5</v>
      </c>
      <c r="N137" s="7">
        <v>283.5</v>
      </c>
      <c r="P137" s="5" t="s">
        <v>364</v>
      </c>
    </row>
    <row r="138" spans="1:21" s="5" customFormat="1" x14ac:dyDescent="0.25">
      <c r="A138" s="14">
        <v>118301290</v>
      </c>
      <c r="B138" s="14" t="str">
        <f>CONCATENATE(A138,11)</f>
        <v>11830129011</v>
      </c>
      <c r="C138" s="5" t="s">
        <v>218</v>
      </c>
      <c r="D138" s="5" t="s">
        <v>129</v>
      </c>
      <c r="E138" s="5">
        <v>16170994</v>
      </c>
      <c r="F138" s="5" t="s">
        <v>220</v>
      </c>
      <c r="G138" s="5" t="s">
        <v>221</v>
      </c>
      <c r="H138" s="6">
        <v>46082</v>
      </c>
      <c r="I138" s="5" t="s">
        <v>52</v>
      </c>
      <c r="J138" s="7">
        <v>289.17</v>
      </c>
      <c r="K138" s="5">
        <v>1</v>
      </c>
      <c r="L138" s="8">
        <v>1</v>
      </c>
      <c r="M138" s="7">
        <v>289.17</v>
      </c>
      <c r="N138" s="7">
        <v>289.17</v>
      </c>
      <c r="O138" s="5" t="s">
        <v>201</v>
      </c>
      <c r="P138" s="5" t="s">
        <v>469</v>
      </c>
      <c r="Q138" s="5" t="s">
        <v>482</v>
      </c>
      <c r="S138" s="5">
        <f>347/12*10</f>
        <v>289.16666666666669</v>
      </c>
    </row>
    <row r="139" spans="1:21" s="5" customFormat="1" x14ac:dyDescent="0.25">
      <c r="A139" s="14">
        <v>135532215</v>
      </c>
      <c r="B139" s="14" t="str">
        <f>CONCATENATE(A139,11)</f>
        <v>13553221511</v>
      </c>
      <c r="C139" s="5" t="s">
        <v>230</v>
      </c>
      <c r="D139" s="5" t="s">
        <v>129</v>
      </c>
      <c r="E139" s="5">
        <v>16170994</v>
      </c>
      <c r="F139" s="5" t="s">
        <v>220</v>
      </c>
      <c r="G139" s="5" t="s">
        <v>221</v>
      </c>
      <c r="H139" s="6">
        <v>46082</v>
      </c>
      <c r="I139" s="5" t="s">
        <v>52</v>
      </c>
      <c r="J139" s="7">
        <v>289.17</v>
      </c>
      <c r="K139" s="5">
        <v>1</v>
      </c>
      <c r="L139" s="8">
        <v>1</v>
      </c>
      <c r="M139" s="7">
        <v>289.17</v>
      </c>
      <c r="N139" s="7">
        <v>289.17</v>
      </c>
      <c r="O139" s="5" t="s">
        <v>201</v>
      </c>
      <c r="P139" s="5" t="s">
        <v>469</v>
      </c>
      <c r="Q139" s="5" t="s">
        <v>482</v>
      </c>
    </row>
    <row r="140" spans="1:21" s="5" customFormat="1" x14ac:dyDescent="0.25">
      <c r="A140" s="14" t="s">
        <v>545</v>
      </c>
      <c r="B140" s="14" t="str">
        <f>CONCATENATE(A140)</f>
        <v>00024289280KPDP</v>
      </c>
      <c r="C140" s="5" t="s">
        <v>388</v>
      </c>
      <c r="D140" s="5" t="s">
        <v>64</v>
      </c>
      <c r="E140" s="5">
        <v>19645587</v>
      </c>
      <c r="F140" s="5" t="s">
        <v>153</v>
      </c>
      <c r="G140" s="5" t="s">
        <v>389</v>
      </c>
      <c r="H140" s="6">
        <v>46023</v>
      </c>
      <c r="I140" s="5" t="s">
        <v>52</v>
      </c>
      <c r="M140" s="5">
        <v>-13.8</v>
      </c>
      <c r="N140" s="7">
        <v>15</v>
      </c>
      <c r="P140" s="5" t="s">
        <v>465</v>
      </c>
    </row>
    <row r="141" spans="1:21" s="5" customFormat="1" x14ac:dyDescent="0.25">
      <c r="A141" s="14" t="s">
        <v>528</v>
      </c>
      <c r="B141" s="14" t="str">
        <f>CONCATENATE(A141,1)</f>
        <v>A044308211</v>
      </c>
      <c r="C141" s="5" t="s">
        <v>369</v>
      </c>
      <c r="D141" s="5" t="s">
        <v>64</v>
      </c>
      <c r="E141" s="5">
        <v>19645587</v>
      </c>
      <c r="F141" s="5" t="s">
        <v>153</v>
      </c>
      <c r="G141" s="5" t="s">
        <v>353</v>
      </c>
      <c r="H141" s="6">
        <v>46113</v>
      </c>
      <c r="I141" s="5" t="s">
        <v>52</v>
      </c>
      <c r="J141" s="7">
        <v>9.83</v>
      </c>
      <c r="K141" s="5">
        <v>9</v>
      </c>
      <c r="L141" s="8">
        <v>1</v>
      </c>
      <c r="M141" s="7">
        <v>88.47</v>
      </c>
      <c r="N141" s="7">
        <v>88.47</v>
      </c>
      <c r="P141" s="5" t="s">
        <v>353</v>
      </c>
    </row>
    <row r="142" spans="1:21" s="5" customFormat="1" x14ac:dyDescent="0.25">
      <c r="A142" s="14" t="s">
        <v>533</v>
      </c>
      <c r="B142" s="14" t="str">
        <f>CONCATENATE(A142,1)</f>
        <v>A044240071</v>
      </c>
      <c r="C142" s="5" t="s">
        <v>345</v>
      </c>
      <c r="E142" s="5">
        <v>19645587</v>
      </c>
      <c r="F142" s="5" t="s">
        <v>153</v>
      </c>
      <c r="G142" s="5" t="s">
        <v>346</v>
      </c>
      <c r="H142" s="6">
        <v>46113</v>
      </c>
      <c r="I142" s="5" t="s">
        <v>52</v>
      </c>
      <c r="J142" s="7">
        <v>288</v>
      </c>
      <c r="K142" s="5">
        <v>9</v>
      </c>
      <c r="L142" s="8">
        <v>4.7500000000000001E-2</v>
      </c>
      <c r="M142" s="7">
        <v>123.12</v>
      </c>
      <c r="N142" s="7">
        <v>123.12</v>
      </c>
      <c r="O142" s="5">
        <f>288*4.75%*9</f>
        <v>123.12</v>
      </c>
      <c r="P142" s="5" t="s">
        <v>346</v>
      </c>
      <c r="T142" s="5">
        <f>0.25*3</f>
        <v>0.75</v>
      </c>
      <c r="U142" s="5">
        <f>T142+4</f>
        <v>4.75</v>
      </c>
    </row>
    <row r="143" spans="1:21" s="5" customFormat="1" x14ac:dyDescent="0.25">
      <c r="A143" s="14" t="s">
        <v>534</v>
      </c>
      <c r="B143" s="14" t="str">
        <f>CONCATENATE(A143,1)</f>
        <v>A044259451</v>
      </c>
      <c r="C143" s="5" t="s">
        <v>348</v>
      </c>
      <c r="E143" s="5">
        <v>19645587</v>
      </c>
      <c r="F143" s="5" t="s">
        <v>153</v>
      </c>
      <c r="G143" s="5" t="s">
        <v>346</v>
      </c>
      <c r="H143" s="6">
        <v>46054</v>
      </c>
      <c r="I143" s="5" t="s">
        <v>52</v>
      </c>
      <c r="J143" s="7">
        <v>288</v>
      </c>
      <c r="K143" s="5">
        <v>9</v>
      </c>
      <c r="L143" s="8">
        <v>4.7500000000000001E-2</v>
      </c>
      <c r="M143" s="7">
        <v>123.12</v>
      </c>
      <c r="N143" s="7">
        <v>123.12</v>
      </c>
      <c r="P143" s="5" t="s">
        <v>346</v>
      </c>
    </row>
    <row r="144" spans="1:21" s="5" customFormat="1" x14ac:dyDescent="0.25">
      <c r="A144" s="14" t="s">
        <v>533</v>
      </c>
      <c r="B144" s="14" t="str">
        <f>CONCATENATE(A144,1)</f>
        <v>A044240071</v>
      </c>
      <c r="C144" s="5" t="s">
        <v>345</v>
      </c>
      <c r="E144" s="5">
        <v>19645587</v>
      </c>
      <c r="F144" s="5" t="s">
        <v>153</v>
      </c>
      <c r="G144" s="5" t="s">
        <v>346</v>
      </c>
      <c r="H144" s="6">
        <v>46113</v>
      </c>
      <c r="I144" s="5" t="s">
        <v>52</v>
      </c>
      <c r="J144" s="5">
        <f>127.01/4.75%/9</f>
        <v>297.09941520467839</v>
      </c>
      <c r="L144" s="5">
        <f>2673.89*4.75%</f>
        <v>127.00977499999999</v>
      </c>
      <c r="M144" s="5">
        <v>-127.01</v>
      </c>
      <c r="N144" s="7">
        <v>127.01</v>
      </c>
      <c r="P144" s="5" t="s">
        <v>346</v>
      </c>
    </row>
    <row r="145" spans="1:39" s="5" customFormat="1" x14ac:dyDescent="0.25">
      <c r="A145" s="14" t="s">
        <v>534</v>
      </c>
      <c r="B145" s="14" t="str">
        <f>CONCATENATE(A145,1)</f>
        <v>A044259451</v>
      </c>
      <c r="C145" s="5" t="s">
        <v>348</v>
      </c>
      <c r="E145" s="5">
        <v>19645587</v>
      </c>
      <c r="F145" s="5" t="s">
        <v>153</v>
      </c>
      <c r="G145" s="5" t="s">
        <v>346</v>
      </c>
      <c r="H145" s="6">
        <v>46054</v>
      </c>
      <c r="I145" s="5" t="s">
        <v>52</v>
      </c>
      <c r="M145" s="5">
        <v>-127.01</v>
      </c>
      <c r="N145" s="7">
        <v>127.01</v>
      </c>
      <c r="P145" s="5" t="s">
        <v>346</v>
      </c>
    </row>
    <row r="146" spans="1:39" s="5" customFormat="1" x14ac:dyDescent="0.25">
      <c r="A146" s="14">
        <v>938953113</v>
      </c>
      <c r="B146" s="14" t="str">
        <f>CONCATENATE(A146,13)</f>
        <v>93895311313</v>
      </c>
      <c r="C146" s="5" t="s">
        <v>294</v>
      </c>
      <c r="D146" s="5" t="s">
        <v>134</v>
      </c>
      <c r="E146" s="5">
        <v>19645587</v>
      </c>
      <c r="F146" s="5" t="s">
        <v>153</v>
      </c>
      <c r="G146" s="5" t="s">
        <v>273</v>
      </c>
      <c r="H146" s="6">
        <v>46082</v>
      </c>
      <c r="I146" s="5" t="s">
        <v>52</v>
      </c>
      <c r="J146" s="7">
        <v>406</v>
      </c>
      <c r="K146" s="5">
        <v>1</v>
      </c>
      <c r="L146" s="8">
        <v>1</v>
      </c>
      <c r="M146" s="7">
        <v>406</v>
      </c>
      <c r="N146" s="7">
        <v>406</v>
      </c>
      <c r="P146" s="5" t="s">
        <v>468</v>
      </c>
      <c r="Q146" s="5" t="s">
        <v>484</v>
      </c>
    </row>
    <row r="147" spans="1:39" s="5" customFormat="1" x14ac:dyDescent="0.25">
      <c r="A147" s="14">
        <v>938953113</v>
      </c>
      <c r="B147" s="14" t="str">
        <f>CONCATENATE(A147,13)</f>
        <v>93895311313</v>
      </c>
      <c r="C147" s="5" t="s">
        <v>294</v>
      </c>
      <c r="D147" s="5" t="s">
        <v>134</v>
      </c>
      <c r="E147" s="5">
        <v>19645587</v>
      </c>
      <c r="F147" s="5" t="s">
        <v>153</v>
      </c>
      <c r="G147" s="5" t="s">
        <v>319</v>
      </c>
      <c r="H147" s="6">
        <v>46082</v>
      </c>
      <c r="I147" s="5" t="s">
        <v>52</v>
      </c>
      <c r="M147" s="5">
        <v>-169.17</v>
      </c>
      <c r="N147" s="7">
        <v>169.17</v>
      </c>
      <c r="P147" s="5" t="s">
        <v>471</v>
      </c>
      <c r="Q147" s="5" t="s">
        <v>480</v>
      </c>
      <c r="S147" s="5">
        <f>203/12*10</f>
        <v>169.16666666666669</v>
      </c>
    </row>
    <row r="148" spans="1:39" s="5" customFormat="1" x14ac:dyDescent="0.25">
      <c r="A148" s="14">
        <v>954096512</v>
      </c>
      <c r="B148" s="14" t="str">
        <f>CONCATENATE(A148,12)</f>
        <v>95409651212</v>
      </c>
      <c r="C148" s="5" t="s">
        <v>309</v>
      </c>
      <c r="D148" s="5" t="s">
        <v>134</v>
      </c>
      <c r="E148" s="5">
        <v>19645587</v>
      </c>
      <c r="F148" s="5" t="s">
        <v>153</v>
      </c>
      <c r="G148" s="5" t="s">
        <v>292</v>
      </c>
      <c r="H148" s="6">
        <v>46054</v>
      </c>
      <c r="I148" s="5" t="s">
        <v>52</v>
      </c>
      <c r="J148" s="7">
        <v>636.16999999999996</v>
      </c>
      <c r="K148" s="5">
        <v>1</v>
      </c>
      <c r="L148" s="8">
        <v>1</v>
      </c>
      <c r="M148" s="7">
        <v>636.16999999999996</v>
      </c>
      <c r="N148" s="7">
        <v>636.16999999999996</v>
      </c>
      <c r="O148" s="5" t="s">
        <v>172</v>
      </c>
      <c r="P148" s="5" t="s">
        <v>467</v>
      </c>
      <c r="Q148" s="5" t="s">
        <v>485</v>
      </c>
    </row>
    <row r="149" spans="1:39" s="5" customFormat="1" x14ac:dyDescent="0.25">
      <c r="A149" s="14">
        <v>977735774</v>
      </c>
      <c r="B149" s="14" t="str">
        <f>CONCATENATE(A149,12)</f>
        <v>97773577412</v>
      </c>
      <c r="C149" s="5" t="s">
        <v>327</v>
      </c>
      <c r="D149" s="5" t="s">
        <v>134</v>
      </c>
      <c r="E149" s="5">
        <v>19645587</v>
      </c>
      <c r="F149" s="5" t="s">
        <v>153</v>
      </c>
      <c r="G149" s="5" t="s">
        <v>292</v>
      </c>
      <c r="H149" s="6">
        <v>46054</v>
      </c>
      <c r="I149" s="5" t="s">
        <v>52</v>
      </c>
      <c r="J149" s="7">
        <v>636.16999999999996</v>
      </c>
      <c r="K149" s="5">
        <v>1</v>
      </c>
      <c r="L149" s="8">
        <v>1</v>
      </c>
      <c r="M149" s="7">
        <v>636.16999999999996</v>
      </c>
      <c r="N149" s="7">
        <v>636.16999999999996</v>
      </c>
      <c r="O149" s="5" t="s">
        <v>172</v>
      </c>
      <c r="P149" s="5" t="s">
        <v>467</v>
      </c>
      <c r="Q149" s="5" t="s">
        <v>485</v>
      </c>
    </row>
    <row r="150" spans="1:39" s="5" customFormat="1" x14ac:dyDescent="0.25">
      <c r="A150" s="14">
        <v>915804764</v>
      </c>
      <c r="B150" s="14" t="str">
        <f>CONCATENATE(A150,12)</f>
        <v>91580476412</v>
      </c>
      <c r="C150" s="5" t="s">
        <v>265</v>
      </c>
      <c r="D150" s="5" t="s">
        <v>64</v>
      </c>
      <c r="E150" s="5">
        <v>19645587</v>
      </c>
      <c r="F150" s="5" t="s">
        <v>153</v>
      </c>
      <c r="G150" s="5" t="s">
        <v>247</v>
      </c>
      <c r="H150" s="6">
        <v>46054</v>
      </c>
      <c r="I150" s="5" t="s">
        <v>52</v>
      </c>
      <c r="J150" s="7">
        <v>694</v>
      </c>
      <c r="K150" s="5">
        <v>1</v>
      </c>
      <c r="L150" s="8">
        <v>1</v>
      </c>
      <c r="M150" s="7">
        <v>694</v>
      </c>
      <c r="N150" s="7">
        <v>694</v>
      </c>
      <c r="P150" s="5" t="s">
        <v>467</v>
      </c>
      <c r="Q150" s="5" t="s">
        <v>486</v>
      </c>
    </row>
    <row r="151" spans="1:39" s="5" customFormat="1" x14ac:dyDescent="0.25">
      <c r="A151" s="14">
        <v>951450707</v>
      </c>
      <c r="B151" s="14" t="str">
        <f>CONCATENATE(A151,12)</f>
        <v>95145070712</v>
      </c>
      <c r="C151" s="5" t="s">
        <v>301</v>
      </c>
      <c r="D151" s="5" t="s">
        <v>64</v>
      </c>
      <c r="E151" s="5">
        <v>19645587</v>
      </c>
      <c r="F151" s="5" t="s">
        <v>153</v>
      </c>
      <c r="G151" s="5" t="s">
        <v>247</v>
      </c>
      <c r="H151" s="6">
        <v>46054</v>
      </c>
      <c r="I151" s="5" t="s">
        <v>52</v>
      </c>
      <c r="J151" s="7">
        <v>694</v>
      </c>
      <c r="K151" s="5">
        <v>1</v>
      </c>
      <c r="L151" s="8">
        <v>1</v>
      </c>
      <c r="M151" s="7">
        <v>694</v>
      </c>
      <c r="N151" s="7">
        <v>694</v>
      </c>
      <c r="P151" s="5" t="s">
        <v>467</v>
      </c>
      <c r="Q151" s="5" t="s">
        <v>486</v>
      </c>
    </row>
    <row r="152" spans="1:39" s="5" customFormat="1" x14ac:dyDescent="0.25">
      <c r="A152" s="14">
        <v>964488477</v>
      </c>
      <c r="B152" s="14" t="str">
        <f>CONCATENATE(A152,12)</f>
        <v>96448847712</v>
      </c>
      <c r="C152" s="5" t="s">
        <v>313</v>
      </c>
      <c r="D152" s="5" t="s">
        <v>134</v>
      </c>
      <c r="E152" s="5">
        <v>19645587</v>
      </c>
      <c r="F152" s="5" t="s">
        <v>153</v>
      </c>
      <c r="G152" s="5" t="s">
        <v>247</v>
      </c>
      <c r="H152" s="6">
        <v>46054</v>
      </c>
      <c r="I152" s="5" t="s">
        <v>52</v>
      </c>
      <c r="J152" s="7">
        <v>694</v>
      </c>
      <c r="K152" s="5">
        <v>1</v>
      </c>
      <c r="L152" s="8">
        <v>1</v>
      </c>
      <c r="M152" s="7">
        <v>694</v>
      </c>
      <c r="N152" s="7">
        <v>694</v>
      </c>
      <c r="P152" s="5" t="s">
        <v>467</v>
      </c>
      <c r="Q152" s="5" t="s">
        <v>486</v>
      </c>
    </row>
    <row r="153" spans="1:39" s="5" customFormat="1" x14ac:dyDescent="0.25">
      <c r="A153" s="14">
        <v>915804764</v>
      </c>
      <c r="B153" s="14" t="str">
        <f>CONCATENATE(A153,11)</f>
        <v>91580476411</v>
      </c>
      <c r="C153" s="5" t="s">
        <v>265</v>
      </c>
      <c r="D153" s="5" t="s">
        <v>64</v>
      </c>
      <c r="E153" s="5">
        <v>19645587</v>
      </c>
      <c r="F153" s="5" t="s">
        <v>153</v>
      </c>
      <c r="G153" s="5" t="s">
        <v>221</v>
      </c>
      <c r="H153" s="6">
        <v>46054</v>
      </c>
      <c r="I153" s="5" t="s">
        <v>52</v>
      </c>
      <c r="M153" s="5">
        <v>-318.08</v>
      </c>
      <c r="N153" s="7">
        <v>318.08</v>
      </c>
      <c r="P153" s="5" t="s">
        <v>469</v>
      </c>
      <c r="Q153" s="5" t="s">
        <v>475</v>
      </c>
    </row>
    <row r="154" spans="1:39" s="5" customFormat="1" x14ac:dyDescent="0.25">
      <c r="A154" s="14">
        <v>951450707</v>
      </c>
      <c r="B154" s="14" t="str">
        <f>CONCATENATE(A154,11)</f>
        <v>95145070711</v>
      </c>
      <c r="C154" s="5" t="s">
        <v>301</v>
      </c>
      <c r="D154" s="5" t="s">
        <v>64</v>
      </c>
      <c r="E154" s="5">
        <v>19645587</v>
      </c>
      <c r="F154" s="5" t="s">
        <v>153</v>
      </c>
      <c r="G154" s="5" t="s">
        <v>221</v>
      </c>
      <c r="H154" s="6">
        <v>46054</v>
      </c>
      <c r="I154" s="5" t="s">
        <v>52</v>
      </c>
      <c r="M154" s="5">
        <v>-318.08</v>
      </c>
      <c r="N154" s="7">
        <v>318.08</v>
      </c>
      <c r="P154" s="5" t="s">
        <v>469</v>
      </c>
      <c r="Q154" s="5" t="s">
        <v>475</v>
      </c>
    </row>
    <row r="155" spans="1:39" s="4" customFormat="1" x14ac:dyDescent="0.25">
      <c r="A155" s="14">
        <v>954096512</v>
      </c>
      <c r="B155" s="14" t="str">
        <f>CONCATENATE(A155,11)</f>
        <v>95409651211</v>
      </c>
      <c r="C155" s="5" t="s">
        <v>309</v>
      </c>
      <c r="D155" s="5" t="s">
        <v>134</v>
      </c>
      <c r="E155" s="5">
        <v>19645587</v>
      </c>
      <c r="F155" s="5" t="s">
        <v>153</v>
      </c>
      <c r="G155" s="5" t="s">
        <v>221</v>
      </c>
      <c r="H155" s="6">
        <v>46054</v>
      </c>
      <c r="I155" s="5" t="s">
        <v>52</v>
      </c>
      <c r="J155" s="5"/>
      <c r="K155" s="5"/>
      <c r="L155" s="5"/>
      <c r="M155" s="5">
        <v>-318.08</v>
      </c>
      <c r="N155" s="7">
        <v>318.08</v>
      </c>
      <c r="O155" s="5"/>
      <c r="P155" s="5" t="s">
        <v>469</v>
      </c>
      <c r="Q155" s="5" t="s">
        <v>475</v>
      </c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s="5" customFormat="1" x14ac:dyDescent="0.25">
      <c r="A156" s="14">
        <v>964488477</v>
      </c>
      <c r="B156" s="14" t="str">
        <f>CONCATENATE(A156,11)</f>
        <v>96448847711</v>
      </c>
      <c r="C156" s="5" t="s">
        <v>313</v>
      </c>
      <c r="D156" s="5" t="s">
        <v>134</v>
      </c>
      <c r="E156" s="5">
        <v>19645587</v>
      </c>
      <c r="F156" s="5" t="s">
        <v>153</v>
      </c>
      <c r="G156" s="5" t="s">
        <v>221</v>
      </c>
      <c r="H156" s="6">
        <v>46054</v>
      </c>
      <c r="I156" s="5" t="s">
        <v>52</v>
      </c>
      <c r="M156" s="5">
        <v>-318.08</v>
      </c>
      <c r="N156" s="7">
        <v>318.08</v>
      </c>
      <c r="P156" s="5" t="s">
        <v>469</v>
      </c>
      <c r="Q156" s="5" t="s">
        <v>475</v>
      </c>
    </row>
    <row r="157" spans="1:39" s="5" customFormat="1" x14ac:dyDescent="0.25">
      <c r="A157" s="14">
        <v>977735774</v>
      </c>
      <c r="B157" s="14" t="str">
        <f>CONCATENATE(A157,11)</f>
        <v>97773577411</v>
      </c>
      <c r="C157" s="5" t="s">
        <v>327</v>
      </c>
      <c r="D157" s="5" t="s">
        <v>134</v>
      </c>
      <c r="E157" s="5">
        <v>19645587</v>
      </c>
      <c r="F157" s="5" t="s">
        <v>153</v>
      </c>
      <c r="G157" s="5" t="s">
        <v>221</v>
      </c>
      <c r="H157" s="6">
        <v>46054</v>
      </c>
      <c r="I157" s="5" t="s">
        <v>52</v>
      </c>
      <c r="M157" s="5">
        <v>-318.08</v>
      </c>
      <c r="N157" s="7">
        <v>318.08</v>
      </c>
      <c r="P157" s="5" t="s">
        <v>469</v>
      </c>
      <c r="Q157" s="5" t="s">
        <v>475</v>
      </c>
    </row>
  </sheetData>
  <sortState xmlns:xlrd2="http://schemas.microsoft.com/office/spreadsheetml/2017/richdata2" ref="A1:AM44">
    <sortCondition ref="P1:P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2026-02-20T06:22:54Z</dcterms:created>
  <dcterms:modified xsi:type="dcterms:W3CDTF">2026-02-24T13:25:41Z</dcterms:modified>
</cp:coreProperties>
</file>