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HFG\2026\2026-05-27 NB\"/>
    </mc:Choice>
  </mc:AlternateContent>
  <xr:revisionPtr revIDLastSave="0" documentId="13_ncr:1_{D00C2205-54C1-4697-B2C9-AC8643732EF3}" xr6:coauthVersionLast="47" xr6:coauthVersionMax="47" xr10:uidLastSave="{00000000-0000-0000-0000-000000000000}"/>
  <bookViews>
    <workbookView xWindow="-120" yWindow="-120" windowWidth="29040" windowHeight="15720" firstSheet="1" activeTab="1" xr2:uid="{8AC3AB14-AAD5-4414-B141-EF82885FBB64}"/>
  </bookViews>
  <sheets>
    <sheet name="New Business Agent Statement - 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2" i="3"/>
  <c r="B55" i="2"/>
  <c r="B54" i="2"/>
  <c r="B53" i="2"/>
  <c r="B52" i="2"/>
  <c r="B51" i="2"/>
  <c r="B45" i="2"/>
  <c r="B44" i="2"/>
  <c r="B50" i="2"/>
  <c r="B49" i="2"/>
  <c r="B48" i="2"/>
  <c r="B47" i="2"/>
  <c r="B46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<sst xmlns="http://schemas.openxmlformats.org/spreadsheetml/2006/main" count="1503" uniqueCount="279">
  <si>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</si>
  <si>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</si>
  <si>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</si>
  <si>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</si>
  <si>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</si>
  <si>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</si>
  <si>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</si>
  <si>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</si>
  <si>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</si>
  <si>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</si>
  <si>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</si>
  <si>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</si>
  <si>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</si>
  <si>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</si>
  <si>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</si>
  <si>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</si>
  <si>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</si>
  <si>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</si>
  <si>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</si>
  <si>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</si>
  <si>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</si>
  <si>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</si>
  <si>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</si>
  <si>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</si>
  <si>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</si>
  <si>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</si>
  <si>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</si>
  <si>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</si>
  <si>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</si>
  <si>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</si>
  <si>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</si>
  <si>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</si>
  <si>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</si>
  <si>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</si>
  <si>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</si>
  <si>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</si>
  <si>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</si>
  <si>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</si>
  <si>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</si>
  <si>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</si>
  <si>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</si>
  <si>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</si>
  <si>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</si>
  <si>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</si>
  <si>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'00026260016K</t>
  </si>
  <si>
    <t>ANNA YI</t>
  </si>
  <si>
    <t>IL</t>
  </si>
  <si>
    <t>'043682</t>
  </si>
  <si>
    <t>GREGORY TEIPEL</t>
  </si>
  <si>
    <t>ACTIVE</t>
  </si>
  <si>
    <t>Humana MA 2019+ Level 15- 175/108</t>
  </si>
  <si>
    <t>Monthly</t>
  </si>
  <si>
    <t>AV</t>
  </si>
  <si>
    <t>'00026507242K</t>
  </si>
  <si>
    <t>TINA RIFE</t>
  </si>
  <si>
    <t>'043739</t>
  </si>
  <si>
    <t>ANDREA PETRUNGARO</t>
  </si>
  <si>
    <t>'00026507474K</t>
  </si>
  <si>
    <t>WAYNE MORAN</t>
  </si>
  <si>
    <t>'00026508775K</t>
  </si>
  <si>
    <t>EDITHA SEBANTAY</t>
  </si>
  <si>
    <t>'043813</t>
  </si>
  <si>
    <t>VICTOR FUENTES</t>
  </si>
  <si>
    <t>'00026509769K</t>
  </si>
  <si>
    <t>MOJDEH ARBAB</t>
  </si>
  <si>
    <t>'00026511866K</t>
  </si>
  <si>
    <t>BRIAN SWAFFORD</t>
  </si>
  <si>
    <t>'045603</t>
  </si>
  <si>
    <t>ANDREW CHOI</t>
  </si>
  <si>
    <t>'00026512224K</t>
  </si>
  <si>
    <t>DONALD CASSELMAN</t>
  </si>
  <si>
    <t>'043705</t>
  </si>
  <si>
    <t>MICHAEL DUNAVANT</t>
  </si>
  <si>
    <t>'00026514854K</t>
  </si>
  <si>
    <t>KEVIN OLSON</t>
  </si>
  <si>
    <t>WI</t>
  </si>
  <si>
    <t>'00026515084K</t>
  </si>
  <si>
    <t>DARSI ARWOOD</t>
  </si>
  <si>
    <t>'045984</t>
  </si>
  <si>
    <t>JEANET REYES</t>
  </si>
  <si>
    <t>'00026515350K</t>
  </si>
  <si>
    <t>NILO SORIANO</t>
  </si>
  <si>
    <t>'00026517362K</t>
  </si>
  <si>
    <t>ROBERT KLUVER</t>
  </si>
  <si>
    <t>'043637</t>
  </si>
  <si>
    <t>CHRISTIAN TAUGNER</t>
  </si>
  <si>
    <t>'00026521652K</t>
  </si>
  <si>
    <t>RUMUALDA PALAFOX JUAREZ</t>
  </si>
  <si>
    <t>OK</t>
  </si>
  <si>
    <t>'045896</t>
  </si>
  <si>
    <t>LENSIE GONZALEZ</t>
  </si>
  <si>
    <t>'00026524394K</t>
  </si>
  <si>
    <t>DEBORAH GATEWOOD</t>
  </si>
  <si>
    <t>'045772</t>
  </si>
  <si>
    <t>JASON ROLLER</t>
  </si>
  <si>
    <t>'102277422000</t>
  </si>
  <si>
    <t>RICHARD BEHLES</t>
  </si>
  <si>
    <t>'045638</t>
  </si>
  <si>
    <t>RICHARD YALE</t>
  </si>
  <si>
    <t>Aetna MAPD NMO to MMO - 2025+ Replace E-App</t>
  </si>
  <si>
    <t>8/12 PRORATE</t>
  </si>
  <si>
    <t>'102277451400</t>
  </si>
  <si>
    <t>HAROLD FOSTER</t>
  </si>
  <si>
    <t>NE</t>
  </si>
  <si>
    <t>'043718</t>
  </si>
  <si>
    <t>CHAD YALE</t>
  </si>
  <si>
    <t>'102277514700</t>
  </si>
  <si>
    <t>TRINITY WORSEN</t>
  </si>
  <si>
    <t>PA</t>
  </si>
  <si>
    <t>'043679</t>
  </si>
  <si>
    <t>DEBORAH INSKIPT</t>
  </si>
  <si>
    <t>'102277560300</t>
  </si>
  <si>
    <t>JEFFREY WILBERT</t>
  </si>
  <si>
    <t>'102277718400</t>
  </si>
  <si>
    <t>DANIEL HARRIS</t>
  </si>
  <si>
    <t>WA</t>
  </si>
  <si>
    <t>'043969</t>
  </si>
  <si>
    <t>STACEY PORTUGAL</t>
  </si>
  <si>
    <t>'102278084400</t>
  </si>
  <si>
    <t>LINDA FOUTCH</t>
  </si>
  <si>
    <t>'045607</t>
  </si>
  <si>
    <t>PAMELA DEATON</t>
  </si>
  <si>
    <t>6/12 PRORATE</t>
  </si>
  <si>
    <t>'102278123800</t>
  </si>
  <si>
    <t>BRIAN FARRINGER</t>
  </si>
  <si>
    <t>'102278225800</t>
  </si>
  <si>
    <t>CLEOFAS NERI</t>
  </si>
  <si>
    <t>'045637</t>
  </si>
  <si>
    <t>ALISON LUSE</t>
  </si>
  <si>
    <t>'102278678100</t>
  </si>
  <si>
    <t>JEFF CAGLEY</t>
  </si>
  <si>
    <t>7/12 PRORATE</t>
  </si>
  <si>
    <t>'102278948300</t>
  </si>
  <si>
    <t>MELANIE MCCALL</t>
  </si>
  <si>
    <t>'043786</t>
  </si>
  <si>
    <t>MARGARET SMITH</t>
  </si>
  <si>
    <t>'136048357</t>
  </si>
  <si>
    <t>KEVIN FARRIS</t>
  </si>
  <si>
    <t>UHC MAPD Street payable to upline- 2026 Replace</t>
  </si>
  <si>
    <t>'136048357OV</t>
  </si>
  <si>
    <t>UHC MA Direct 2025 New Full</t>
  </si>
  <si>
    <t>'17A4L6R65</t>
  </si>
  <si>
    <t>FELICITAS RAMIREZ</t>
  </si>
  <si>
    <t>'045613</t>
  </si>
  <si>
    <t>RICARDO SANTOS</t>
  </si>
  <si>
    <t>Cigna MAPD FMO to GA 1-1-19+ - New</t>
  </si>
  <si>
    <t>'74L1L2U45</t>
  </si>
  <si>
    <t>FRANCISCO RAMIREZ</t>
  </si>
  <si>
    <t>'845W26780</t>
  </si>
  <si>
    <t>LORI LAMBERT</t>
  </si>
  <si>
    <t>NA</t>
  </si>
  <si>
    <t>Anthem MA 2025</t>
  </si>
  <si>
    <t>'916237202</t>
  </si>
  <si>
    <t>MANUEL MUELLER</t>
  </si>
  <si>
    <t>'045605</t>
  </si>
  <si>
    <t>GARY PORTUGAL</t>
  </si>
  <si>
    <t>UHC MAPD Street payable to upline- 2026 Replace - Other</t>
  </si>
  <si>
    <t>'916237202OV</t>
  </si>
  <si>
    <t>UHC MA Direct 2025 New Full - Other</t>
  </si>
  <si>
    <t>'925786770</t>
  </si>
  <si>
    <t>KEITH PARHAM</t>
  </si>
  <si>
    <t>CO</t>
  </si>
  <si>
    <t>'045621</t>
  </si>
  <si>
    <t>HEATHER GESKE</t>
  </si>
  <si>
    <t>'925786770OV</t>
  </si>
  <si>
    <t>'934511171</t>
  </si>
  <si>
    <t>JAY OOMMEN</t>
  </si>
  <si>
    <t>'934511171OV</t>
  </si>
  <si>
    <t>'974303523</t>
  </si>
  <si>
    <t>ROSA HERNANDEZ</t>
  </si>
  <si>
    <t>'045966</t>
  </si>
  <si>
    <t>ANTONIA NEVAREZ</t>
  </si>
  <si>
    <t>'974303523OV</t>
  </si>
  <si>
    <t>'A04476183</t>
  </si>
  <si>
    <t>HEIDI MULLINS</t>
  </si>
  <si>
    <t>IN</t>
  </si>
  <si>
    <t>'045967</t>
  </si>
  <si>
    <t>DANNA GREEN</t>
  </si>
  <si>
    <t>UHC AARP Med Supp 2025+ IN All Plans</t>
  </si>
  <si>
    <t>'A04477602</t>
  </si>
  <si>
    <t>DONNA PHILLIPS</t>
  </si>
  <si>
    <t>'043689</t>
  </si>
  <si>
    <t>ANNE MARIE KOZACHECK</t>
  </si>
  <si>
    <t>UHC AARP Med Supp 2026+ PA Plan B C F G</t>
  </si>
  <si>
    <t>'MEQNDVYM00000313780</t>
  </si>
  <si>
    <t>KEVIN WATSON</t>
  </si>
  <si>
    <t>'045632</t>
  </si>
  <si>
    <t>BARRY SCHUMANN</t>
  </si>
  <si>
    <t>'MEQNPDZM00002601589</t>
  </si>
  <si>
    <t>JO WATSON</t>
  </si>
  <si>
    <t>'UHC MBI</t>
  </si>
  <si>
    <t>UHC MBI</t>
  </si>
  <si>
    <t>'TBD</t>
  </si>
  <si>
    <t>Active</t>
  </si>
  <si>
    <t>OTHER</t>
  </si>
  <si>
    <t>UHC MBI Bonus Upload 05-27-2026.xlsx</t>
  </si>
  <si>
    <t>CB</t>
  </si>
  <si>
    <t>'00013027171KPC</t>
  </si>
  <si>
    <t>LISA WOODARD</t>
  </si>
  <si>
    <t>MT</t>
  </si>
  <si>
    <t>CHARGEBACK</t>
  </si>
  <si>
    <t>'00020726827KPC</t>
  </si>
  <si>
    <t>WAYNE POLLITT</t>
  </si>
  <si>
    <t>'045622</t>
  </si>
  <si>
    <t>JACOB YALE</t>
  </si>
  <si>
    <t>'00022162882KCB</t>
  </si>
  <si>
    <t>SUE KOPKA</t>
  </si>
  <si>
    <t>'045612</t>
  </si>
  <si>
    <t>ANTHONY HUNSBERGER</t>
  </si>
  <si>
    <t>Humana MA 2019+ Level 15- 175/108 Repl 2024</t>
  </si>
  <si>
    <t>'00024593643KPDPPC</t>
  </si>
  <si>
    <t>ALICE MARKELONIS</t>
  </si>
  <si>
    <t>OH</t>
  </si>
  <si>
    <t>'045684</t>
  </si>
  <si>
    <t>JILL SHEPARD</t>
  </si>
  <si>
    <t>Humana PDP 2019+ Level 15- 15/0</t>
  </si>
  <si>
    <t>'00025733189KPC</t>
  </si>
  <si>
    <t>TRACY LEE</t>
  </si>
  <si>
    <t>'00025840083KPC</t>
  </si>
  <si>
    <t>TERESA HOBDEN</t>
  </si>
  <si>
    <t>ID</t>
  </si>
  <si>
    <t>'00026354524KPC</t>
  </si>
  <si>
    <t>SANDRA AYKROID</t>
  </si>
  <si>
    <t>'00026502399KCB</t>
  </si>
  <si>
    <t>SALME DRUNGA</t>
  </si>
  <si>
    <t>'00026506360KCB</t>
  </si>
  <si>
    <t>RYAN BROOKS</t>
  </si>
  <si>
    <t>'102160129600PC</t>
  </si>
  <si>
    <t>Aetna MAPD NMO to MMO - 2025+ New E-App</t>
  </si>
  <si>
    <t>'102224747400PC</t>
  </si>
  <si>
    <t>JANET MILLER</t>
  </si>
  <si>
    <t>IA</t>
  </si>
  <si>
    <t>Aetna MAPD NMO to MMO - 2025+ New Paper</t>
  </si>
  <si>
    <t>'102244049900PC</t>
  </si>
  <si>
    <t>DONNA ZIPP</t>
  </si>
  <si>
    <t>TX</t>
  </si>
  <si>
    <t>'102245342600PC</t>
  </si>
  <si>
    <t>RICHARD DIPIETRANTONIO</t>
  </si>
  <si>
    <t>'102274517600PC</t>
  </si>
  <si>
    <t>Aetna MAPD OVR</t>
  </si>
  <si>
    <t>Anthem MAPD OVR</t>
  </si>
  <si>
    <t>Cigna MAPD Ovr</t>
  </si>
  <si>
    <t>Humana MAPD OVR</t>
  </si>
  <si>
    <t>Humana PDP</t>
  </si>
  <si>
    <t>Main Line Benefits</t>
  </si>
  <si>
    <t>UHC MAPD 2026*</t>
  </si>
  <si>
    <t>2026 UHC non-Special Needs Plans PPOs Renewal</t>
  </si>
  <si>
    <t>UHC MAPD Ovr</t>
  </si>
  <si>
    <t>[%/$=347][prorate=7/12]</t>
  </si>
  <si>
    <t>[%/$=347][prorate=6/12]</t>
  </si>
  <si>
    <t>MEQNDVYM00000313780</t>
  </si>
  <si>
    <t>MEQNPDZM00002601589</t>
  </si>
  <si>
    <t>845W26780</t>
  </si>
  <si>
    <t>17A4L6R65</t>
  </si>
  <si>
    <t>74L1L2U45</t>
  </si>
  <si>
    <t>00026260016K</t>
  </si>
  <si>
    <t>00026507242K</t>
  </si>
  <si>
    <t>00026507474K</t>
  </si>
  <si>
    <t>00026508775K</t>
  </si>
  <si>
    <t>00026509769K</t>
  </si>
  <si>
    <t>00026511866K</t>
  </si>
  <si>
    <t>00026512224K</t>
  </si>
  <si>
    <t>00026514854K</t>
  </si>
  <si>
    <t>00026515084K</t>
  </si>
  <si>
    <t>00026515350K</t>
  </si>
  <si>
    <t>00026517362K</t>
  </si>
  <si>
    <t>00026521652K</t>
  </si>
  <si>
    <t>00026524394K</t>
  </si>
  <si>
    <t>A04476183</t>
  </si>
  <si>
    <t>A04477602</t>
  </si>
  <si>
    <t>00013027171K</t>
  </si>
  <si>
    <t>00020726827K</t>
  </si>
  <si>
    <t>00025733189K</t>
  </si>
  <si>
    <t>00025840083K</t>
  </si>
  <si>
    <t>00026354524K</t>
  </si>
  <si>
    <t>00024593643KPDP</t>
  </si>
  <si>
    <t>00026502399K</t>
  </si>
  <si>
    <t>00026506360K</t>
  </si>
  <si>
    <t>00022162882K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</si>
</sst>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2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FCB6-7C4A-433E-AF8D-060F21DCBD75}">
  <dimension ref="A1:AL57"/>
  <sheetViews>
    <sheetView topLeftCell="D1" workbookViewId="0">
      <selection activeCell="P1" sqref="P1:P1048576"/>
    </sheetView>
  </sheetViews>
  <sheetFormatPr defaultRowHeight="15" x14ac:dyDescent="0.25"/>
  <cols>
    <col min="1" max="1" width="10.140625" bestFit="1" customWidth="1"/>
    <col min="2" max="2" width="14.85546875" bestFit="1" customWidth="1"/>
    <col min="3" max="3" width="13.85546875" bestFit="1" customWidth="1"/>
    <col min="4" max="4" width="11" bestFit="1" customWidth="1"/>
    <col min="5" max="5" width="27.7109375" bestFit="1" customWidth="1"/>
    <col min="6" max="6" width="7.85546875" bestFit="1" customWidth="1"/>
    <col min="7" max="7" width="6" bestFit="1" customWidth="1"/>
    <col min="8" max="8" width="16.7109375" bestFit="1" customWidth="1"/>
    <col min="9" max="9" width="23.140625" bestFit="1" customWidth="1"/>
    <col min="10" max="10" width="25.5703125" bestFit="1" customWidth="1"/>
    <col min="11" max="11" width="7.28515625" bestFit="1" customWidth="1"/>
    <col min="12" max="12" width="4.140625" bestFit="1" customWidth="1"/>
    <col min="13" max="13" width="5.28515625" bestFit="1" customWidth="1"/>
    <col min="14" max="14" width="8.140625" bestFit="1" customWidth="1"/>
    <col min="15" max="15" width="14.28515625" bestFit="1" customWidth="1"/>
    <col min="16" max="16" width="22.28515625" bestFit="1" customWidth="1"/>
    <col min="17" max="17" width="12.140625" bestFit="1" customWidth="1"/>
    <col min="18" max="18" width="49" bestFit="1" customWidth="1"/>
    <col min="19" max="19" width="9.42578125" bestFit="1" customWidth="1"/>
    <col min="20" max="20" width="11.5703125" bestFit="1" customWidth="1"/>
    <col min="21" max="21" width="13.42578125" bestFit="1" customWidth="1"/>
    <col min="22" max="22" width="11.140625" bestFit="1" customWidth="1"/>
    <col min="23" max="23" width="15" bestFit="1" customWidth="1"/>
    <col min="24" max="24" width="8.5703125" bestFit="1" customWidth="1"/>
    <col min="25" max="25" width="16.42578125" bestFit="1" customWidth="1"/>
    <col min="26" max="26" width="14.42578125" bestFit="1" customWidth="1"/>
    <col min="27" max="27" width="15.7109375" bestFit="1" customWidth="1"/>
    <col min="28" max="28" width="15.28515625" bestFit="1" customWidth="1"/>
    <col min="29" max="29" width="16" bestFit="1" customWidth="1"/>
    <col min="30" max="30" width="11.140625" bestFit="1" customWidth="1"/>
    <col min="31" max="31" width="13.85546875" bestFit="1" customWidth="1"/>
    <col min="33" max="33" width="12" bestFit="1" customWidth="1"/>
    <col min="34" max="34" width="17.28515625" bestFit="1" customWidth="1"/>
    <col min="35" max="35" width="16.7109375" bestFit="1" customWidth="1"/>
    <col min="36" max="36" width="10.42578125" bestFit="1" customWidth="1"/>
    <col min="37" max="37" width="12.7109375" bestFit="1" customWidth="1"/>
    <col min="38" max="38" width="34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46169</v>
      </c>
      <c r="B2" s="1">
        <v>46169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46174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6871007</v>
      </c>
    </row>
    <row r="3" spans="1:38" x14ac:dyDescent="0.25">
      <c r="A3" s="1">
        <v>46169</v>
      </c>
      <c r="B3" s="1">
        <v>46169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50</v>
      </c>
      <c r="S3" s="1">
        <v>46235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6871008</v>
      </c>
    </row>
    <row r="4" spans="1:38" x14ac:dyDescent="0.25">
      <c r="A4" s="1">
        <v>46169</v>
      </c>
      <c r="B4" s="1">
        <v>46169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57</v>
      </c>
      <c r="J4" t="s">
        <v>58</v>
      </c>
      <c r="M4" t="s">
        <v>46</v>
      </c>
      <c r="O4" t="s">
        <v>47</v>
      </c>
      <c r="P4" t="s">
        <v>48</v>
      </c>
      <c r="Q4" t="s">
        <v>49</v>
      </c>
      <c r="R4" t="s">
        <v>50</v>
      </c>
      <c r="S4" s="1">
        <v>46204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6871009</v>
      </c>
    </row>
    <row r="5" spans="1:38" x14ac:dyDescent="0.25">
      <c r="A5" s="1">
        <v>46169</v>
      </c>
      <c r="B5" s="1">
        <v>46169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59</v>
      </c>
      <c r="J5" t="s">
        <v>60</v>
      </c>
      <c r="M5" t="s">
        <v>46</v>
      </c>
      <c r="O5" t="s">
        <v>61</v>
      </c>
      <c r="P5" t="s">
        <v>62</v>
      </c>
      <c r="Q5" t="s">
        <v>49</v>
      </c>
      <c r="R5" t="s">
        <v>50</v>
      </c>
      <c r="S5" s="1">
        <v>46174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6871010</v>
      </c>
    </row>
    <row r="6" spans="1:38" x14ac:dyDescent="0.25">
      <c r="A6" s="1">
        <v>46169</v>
      </c>
      <c r="B6" s="1">
        <v>46169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63</v>
      </c>
      <c r="J6" t="s">
        <v>64</v>
      </c>
      <c r="M6" t="s">
        <v>46</v>
      </c>
      <c r="O6" t="s">
        <v>47</v>
      </c>
      <c r="P6" t="s">
        <v>48</v>
      </c>
      <c r="Q6" t="s">
        <v>49</v>
      </c>
      <c r="R6" t="s">
        <v>50</v>
      </c>
      <c r="S6" s="1">
        <v>46174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6871011</v>
      </c>
    </row>
    <row r="7" spans="1:38" x14ac:dyDescent="0.25">
      <c r="A7" s="1">
        <v>46169</v>
      </c>
      <c r="B7" s="1">
        <v>46169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65</v>
      </c>
      <c r="J7" t="s">
        <v>66</v>
      </c>
      <c r="M7" t="s">
        <v>46</v>
      </c>
      <c r="O7" t="s">
        <v>67</v>
      </c>
      <c r="P7" t="s">
        <v>68</v>
      </c>
      <c r="Q7" t="s">
        <v>49</v>
      </c>
      <c r="R7" t="s">
        <v>50</v>
      </c>
      <c r="S7" s="1">
        <v>46174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6871012</v>
      </c>
    </row>
    <row r="8" spans="1:38" x14ac:dyDescent="0.25">
      <c r="A8" s="1">
        <v>46169</v>
      </c>
      <c r="B8" s="1">
        <v>46169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69</v>
      </c>
      <c r="J8" t="s">
        <v>70</v>
      </c>
      <c r="M8" t="s">
        <v>46</v>
      </c>
      <c r="O8" t="s">
        <v>71</v>
      </c>
      <c r="P8" t="s">
        <v>72</v>
      </c>
      <c r="Q8" t="s">
        <v>49</v>
      </c>
      <c r="R8" t="s">
        <v>50</v>
      </c>
      <c r="S8" s="1">
        <v>46204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6871013</v>
      </c>
    </row>
    <row r="9" spans="1:38" x14ac:dyDescent="0.25">
      <c r="A9" s="1">
        <v>46169</v>
      </c>
      <c r="B9" s="1">
        <v>46169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73</v>
      </c>
      <c r="J9" t="s">
        <v>74</v>
      </c>
      <c r="M9" t="s">
        <v>75</v>
      </c>
      <c r="O9" t="s">
        <v>47</v>
      </c>
      <c r="P9" t="s">
        <v>48</v>
      </c>
      <c r="Q9" t="s">
        <v>49</v>
      </c>
      <c r="R9" t="s">
        <v>50</v>
      </c>
      <c r="S9" s="1">
        <v>46174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6871014</v>
      </c>
    </row>
    <row r="10" spans="1:38" x14ac:dyDescent="0.25">
      <c r="A10" s="1">
        <v>46169</v>
      </c>
      <c r="B10" s="1">
        <v>46169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76</v>
      </c>
      <c r="J10" t="s">
        <v>77</v>
      </c>
      <c r="M10" t="s">
        <v>46</v>
      </c>
      <c r="O10" t="s">
        <v>78</v>
      </c>
      <c r="P10" t="s">
        <v>79</v>
      </c>
      <c r="Q10" t="s">
        <v>49</v>
      </c>
      <c r="R10" t="s">
        <v>50</v>
      </c>
      <c r="S10" s="1">
        <v>46235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6871015</v>
      </c>
    </row>
    <row r="11" spans="1:38" x14ac:dyDescent="0.25">
      <c r="A11" s="1">
        <v>46169</v>
      </c>
      <c r="B11" s="1">
        <v>46169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80</v>
      </c>
      <c r="J11" t="s">
        <v>81</v>
      </c>
      <c r="M11" t="s">
        <v>46</v>
      </c>
      <c r="O11" t="s">
        <v>67</v>
      </c>
      <c r="P11" t="s">
        <v>68</v>
      </c>
      <c r="Q11" t="s">
        <v>49</v>
      </c>
      <c r="R11" t="s">
        <v>50</v>
      </c>
      <c r="S11" s="1">
        <v>46174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6871016</v>
      </c>
    </row>
    <row r="12" spans="1:38" x14ac:dyDescent="0.25">
      <c r="A12" s="1">
        <v>46169</v>
      </c>
      <c r="B12" s="1">
        <v>46169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82</v>
      </c>
      <c r="J12" t="s">
        <v>83</v>
      </c>
      <c r="M12" t="s">
        <v>75</v>
      </c>
      <c r="O12" t="s">
        <v>84</v>
      </c>
      <c r="P12" t="s">
        <v>85</v>
      </c>
      <c r="Q12" t="s">
        <v>49</v>
      </c>
      <c r="R12" t="s">
        <v>50</v>
      </c>
      <c r="S12" s="1">
        <v>46235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6871003</v>
      </c>
    </row>
    <row r="13" spans="1:38" x14ac:dyDescent="0.25">
      <c r="A13" s="1">
        <v>46169</v>
      </c>
      <c r="B13" s="1">
        <v>46169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86</v>
      </c>
      <c r="J13" t="s">
        <v>87</v>
      </c>
      <c r="M13" t="s">
        <v>88</v>
      </c>
      <c r="O13" t="s">
        <v>89</v>
      </c>
      <c r="P13" t="s">
        <v>90</v>
      </c>
      <c r="Q13" t="s">
        <v>49</v>
      </c>
      <c r="R13" t="s">
        <v>50</v>
      </c>
      <c r="S13" s="1">
        <v>46174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6871017</v>
      </c>
    </row>
    <row r="14" spans="1:38" x14ac:dyDescent="0.25">
      <c r="A14" s="1">
        <v>46169</v>
      </c>
      <c r="B14" s="1">
        <v>46169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91</v>
      </c>
      <c r="J14" t="s">
        <v>92</v>
      </c>
      <c r="M14" t="s">
        <v>46</v>
      </c>
      <c r="O14" t="s">
        <v>93</v>
      </c>
      <c r="P14" t="s">
        <v>94</v>
      </c>
      <c r="Q14" t="s">
        <v>49</v>
      </c>
      <c r="R14" t="s">
        <v>50</v>
      </c>
      <c r="S14" s="1">
        <v>46235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6871018</v>
      </c>
    </row>
    <row r="15" spans="1:38" x14ac:dyDescent="0.25">
      <c r="A15" s="1">
        <v>46169</v>
      </c>
      <c r="B15" s="1">
        <v>46169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95</v>
      </c>
      <c r="J15" t="s">
        <v>96</v>
      </c>
      <c r="M15" t="s">
        <v>46</v>
      </c>
      <c r="O15" t="s">
        <v>97</v>
      </c>
      <c r="P15" t="s">
        <v>98</v>
      </c>
      <c r="Q15" t="s">
        <v>49</v>
      </c>
      <c r="R15" t="s">
        <v>99</v>
      </c>
      <c r="S15" s="1">
        <v>46143</v>
      </c>
      <c r="U15" t="s">
        <v>51</v>
      </c>
      <c r="X15" t="s">
        <v>52</v>
      </c>
      <c r="Y15" s="2">
        <v>0</v>
      </c>
      <c r="Z15" s="2">
        <v>16.670000000000002</v>
      </c>
      <c r="AA15">
        <v>1</v>
      </c>
      <c r="AB15" s="3">
        <v>1</v>
      </c>
      <c r="AC15" s="2">
        <v>16.670000000000002</v>
      </c>
      <c r="AD15" s="3">
        <v>0</v>
      </c>
      <c r="AE15" s="2">
        <v>0</v>
      </c>
      <c r="AF15" s="2">
        <v>16.670000000000002</v>
      </c>
      <c r="AK15">
        <v>6870504</v>
      </c>
      <c r="AL15" t="s">
        <v>100</v>
      </c>
    </row>
    <row r="16" spans="1:38" x14ac:dyDescent="0.25">
      <c r="A16" s="1">
        <v>46169</v>
      </c>
      <c r="B16" s="1">
        <v>46169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101</v>
      </c>
      <c r="J16" t="s">
        <v>102</v>
      </c>
      <c r="M16" t="s">
        <v>103</v>
      </c>
      <c r="O16" t="s">
        <v>104</v>
      </c>
      <c r="P16" t="s">
        <v>105</v>
      </c>
      <c r="Q16" t="s">
        <v>49</v>
      </c>
      <c r="R16" t="s">
        <v>99</v>
      </c>
      <c r="S16" s="1">
        <v>46143</v>
      </c>
      <c r="U16" t="s">
        <v>51</v>
      </c>
      <c r="X16" t="s">
        <v>52</v>
      </c>
      <c r="Y16" s="2">
        <v>0</v>
      </c>
      <c r="Z16" s="2">
        <v>16.670000000000002</v>
      </c>
      <c r="AA16">
        <v>1</v>
      </c>
      <c r="AB16" s="3">
        <v>1</v>
      </c>
      <c r="AC16" s="2">
        <v>16.670000000000002</v>
      </c>
      <c r="AD16" s="3">
        <v>0</v>
      </c>
      <c r="AE16" s="2">
        <v>0</v>
      </c>
      <c r="AF16" s="2">
        <v>16.670000000000002</v>
      </c>
      <c r="AK16">
        <v>6870508</v>
      </c>
      <c r="AL16" t="s">
        <v>100</v>
      </c>
    </row>
    <row r="17" spans="1:38" x14ac:dyDescent="0.25">
      <c r="A17" s="1">
        <v>46169</v>
      </c>
      <c r="B17" s="1">
        <v>46169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106</v>
      </c>
      <c r="J17" t="s">
        <v>107</v>
      </c>
      <c r="M17" t="s">
        <v>108</v>
      </c>
      <c r="O17" t="s">
        <v>109</v>
      </c>
      <c r="P17" t="s">
        <v>110</v>
      </c>
      <c r="Q17" t="s">
        <v>49</v>
      </c>
      <c r="R17" t="s">
        <v>99</v>
      </c>
      <c r="S17" s="1">
        <v>46143</v>
      </c>
      <c r="U17" t="s">
        <v>51</v>
      </c>
      <c r="X17" t="s">
        <v>52</v>
      </c>
      <c r="Y17" s="2">
        <v>0</v>
      </c>
      <c r="Z17" s="2">
        <v>16.670000000000002</v>
      </c>
      <c r="AA17">
        <v>1</v>
      </c>
      <c r="AB17" s="3">
        <v>1</v>
      </c>
      <c r="AC17" s="2">
        <v>16.670000000000002</v>
      </c>
      <c r="AD17" s="3">
        <v>0</v>
      </c>
      <c r="AE17" s="2">
        <v>0</v>
      </c>
      <c r="AF17" s="2">
        <v>16.670000000000002</v>
      </c>
      <c r="AK17">
        <v>6870511</v>
      </c>
      <c r="AL17" t="s">
        <v>100</v>
      </c>
    </row>
    <row r="18" spans="1:38" x14ac:dyDescent="0.25">
      <c r="A18" s="1">
        <v>46169</v>
      </c>
      <c r="B18" s="1">
        <v>46169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111</v>
      </c>
      <c r="J18" t="s">
        <v>112</v>
      </c>
      <c r="M18" t="s">
        <v>108</v>
      </c>
      <c r="O18" t="s">
        <v>109</v>
      </c>
      <c r="P18" t="s">
        <v>110</v>
      </c>
      <c r="Q18" t="s">
        <v>49</v>
      </c>
      <c r="R18" t="s">
        <v>99</v>
      </c>
      <c r="S18" s="1">
        <v>46143</v>
      </c>
      <c r="U18" t="s">
        <v>51</v>
      </c>
      <c r="X18" t="s">
        <v>52</v>
      </c>
      <c r="Y18" s="2">
        <v>0</v>
      </c>
      <c r="Z18" s="2">
        <v>16.670000000000002</v>
      </c>
      <c r="AA18">
        <v>1</v>
      </c>
      <c r="AB18" s="3">
        <v>1</v>
      </c>
      <c r="AC18" s="2">
        <v>16.670000000000002</v>
      </c>
      <c r="AD18" s="3">
        <v>0</v>
      </c>
      <c r="AE18" s="2">
        <v>0</v>
      </c>
      <c r="AF18" s="2">
        <v>16.670000000000002</v>
      </c>
      <c r="AK18">
        <v>6870514</v>
      </c>
      <c r="AL18" t="s">
        <v>100</v>
      </c>
    </row>
    <row r="19" spans="1:38" x14ac:dyDescent="0.25">
      <c r="A19" s="1">
        <v>46169</v>
      </c>
      <c r="B19" s="1">
        <v>46169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113</v>
      </c>
      <c r="J19" t="s">
        <v>114</v>
      </c>
      <c r="M19" t="s">
        <v>115</v>
      </c>
      <c r="O19" t="s">
        <v>116</v>
      </c>
      <c r="P19" t="s">
        <v>117</v>
      </c>
      <c r="Q19" t="s">
        <v>49</v>
      </c>
      <c r="R19" t="s">
        <v>99</v>
      </c>
      <c r="S19" s="1">
        <v>46143</v>
      </c>
      <c r="U19" t="s">
        <v>51</v>
      </c>
      <c r="X19" t="s">
        <v>52</v>
      </c>
      <c r="Y19" s="2">
        <v>0</v>
      </c>
      <c r="Z19" s="2">
        <v>16.670000000000002</v>
      </c>
      <c r="AA19">
        <v>1</v>
      </c>
      <c r="AB19" s="3">
        <v>1</v>
      </c>
      <c r="AC19" s="2">
        <v>16.670000000000002</v>
      </c>
      <c r="AD19" s="3">
        <v>0</v>
      </c>
      <c r="AE19" s="2">
        <v>0</v>
      </c>
      <c r="AF19" s="2">
        <v>16.670000000000002</v>
      </c>
      <c r="AK19">
        <v>6870520</v>
      </c>
      <c r="AL19" t="s">
        <v>100</v>
      </c>
    </row>
    <row r="20" spans="1:38" x14ac:dyDescent="0.25">
      <c r="A20" s="1">
        <v>46169</v>
      </c>
      <c r="B20" s="1">
        <v>46169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118</v>
      </c>
      <c r="J20" t="s">
        <v>119</v>
      </c>
      <c r="M20" t="s">
        <v>46</v>
      </c>
      <c r="O20" t="s">
        <v>120</v>
      </c>
      <c r="P20" t="s">
        <v>121</v>
      </c>
      <c r="Q20" t="s">
        <v>49</v>
      </c>
      <c r="R20" t="s">
        <v>99</v>
      </c>
      <c r="S20" s="1">
        <v>46204</v>
      </c>
      <c r="U20" t="s">
        <v>51</v>
      </c>
      <c r="X20" t="s">
        <v>52</v>
      </c>
      <c r="Y20" s="2">
        <v>0</v>
      </c>
      <c r="Z20" s="2">
        <v>12.5</v>
      </c>
      <c r="AA20">
        <v>1</v>
      </c>
      <c r="AB20" s="3">
        <v>1</v>
      </c>
      <c r="AC20" s="2">
        <v>12.5</v>
      </c>
      <c r="AD20" s="3">
        <v>0</v>
      </c>
      <c r="AE20" s="2">
        <v>0</v>
      </c>
      <c r="AF20" s="2">
        <v>12.5</v>
      </c>
      <c r="AK20">
        <v>6870546</v>
      </c>
      <c r="AL20" t="s">
        <v>122</v>
      </c>
    </row>
    <row r="21" spans="1:38" x14ac:dyDescent="0.25">
      <c r="A21" s="1">
        <v>46169</v>
      </c>
      <c r="B21" s="1">
        <v>46169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123</v>
      </c>
      <c r="J21" t="s">
        <v>124</v>
      </c>
      <c r="M21" t="s">
        <v>108</v>
      </c>
      <c r="O21" t="s">
        <v>109</v>
      </c>
      <c r="P21" t="s">
        <v>110</v>
      </c>
      <c r="Q21" t="s">
        <v>49</v>
      </c>
      <c r="R21" t="s">
        <v>99</v>
      </c>
      <c r="S21" s="1">
        <v>46143</v>
      </c>
      <c r="U21" t="s">
        <v>51</v>
      </c>
      <c r="X21" t="s">
        <v>52</v>
      </c>
      <c r="Y21" s="2">
        <v>0</v>
      </c>
      <c r="Z21" s="2">
        <v>16.670000000000002</v>
      </c>
      <c r="AA21">
        <v>1</v>
      </c>
      <c r="AB21" s="3">
        <v>1</v>
      </c>
      <c r="AC21" s="2">
        <v>16.670000000000002</v>
      </c>
      <c r="AD21" s="3">
        <v>0</v>
      </c>
      <c r="AE21" s="2">
        <v>0</v>
      </c>
      <c r="AF21" s="2">
        <v>16.670000000000002</v>
      </c>
      <c r="AK21">
        <v>6870555</v>
      </c>
      <c r="AL21" t="s">
        <v>100</v>
      </c>
    </row>
    <row r="22" spans="1:38" x14ac:dyDescent="0.25">
      <c r="A22" s="1">
        <v>46169</v>
      </c>
      <c r="B22" s="1">
        <v>46169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125</v>
      </c>
      <c r="J22" t="s">
        <v>126</v>
      </c>
      <c r="M22" t="s">
        <v>108</v>
      </c>
      <c r="O22" t="s">
        <v>127</v>
      </c>
      <c r="P22" t="s">
        <v>128</v>
      </c>
      <c r="Q22" t="s">
        <v>49</v>
      </c>
      <c r="R22" t="s">
        <v>99</v>
      </c>
      <c r="S22" s="1">
        <v>46143</v>
      </c>
      <c r="U22" t="s">
        <v>51</v>
      </c>
      <c r="X22" t="s">
        <v>52</v>
      </c>
      <c r="Y22" s="2">
        <v>0</v>
      </c>
      <c r="Z22" s="2">
        <v>16.670000000000002</v>
      </c>
      <c r="AA22">
        <v>1</v>
      </c>
      <c r="AB22" s="3">
        <v>1</v>
      </c>
      <c r="AC22" s="2">
        <v>16.670000000000002</v>
      </c>
      <c r="AD22" s="3">
        <v>0</v>
      </c>
      <c r="AE22" s="2">
        <v>0</v>
      </c>
      <c r="AF22" s="2">
        <v>16.670000000000002</v>
      </c>
      <c r="AK22">
        <v>6870563</v>
      </c>
      <c r="AL22" t="s">
        <v>100</v>
      </c>
    </row>
    <row r="23" spans="1:38" x14ac:dyDescent="0.25">
      <c r="A23" s="1">
        <v>46169</v>
      </c>
      <c r="B23" s="1">
        <v>46169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129</v>
      </c>
      <c r="J23" t="s">
        <v>130</v>
      </c>
      <c r="M23" t="s">
        <v>46</v>
      </c>
      <c r="O23" t="s">
        <v>120</v>
      </c>
      <c r="P23" t="s">
        <v>121</v>
      </c>
      <c r="Q23" t="s">
        <v>49</v>
      </c>
      <c r="R23" t="s">
        <v>99</v>
      </c>
      <c r="S23" s="1">
        <v>46174</v>
      </c>
      <c r="U23" t="s">
        <v>51</v>
      </c>
      <c r="X23" t="s">
        <v>52</v>
      </c>
      <c r="Y23" s="2">
        <v>0</v>
      </c>
      <c r="Z23" s="2">
        <v>14.58</v>
      </c>
      <c r="AA23">
        <v>1</v>
      </c>
      <c r="AB23" s="3">
        <v>1</v>
      </c>
      <c r="AC23" s="2">
        <v>14.58</v>
      </c>
      <c r="AD23" s="3">
        <v>0</v>
      </c>
      <c r="AE23" s="2">
        <v>0</v>
      </c>
      <c r="AF23" s="2">
        <v>14.58</v>
      </c>
      <c r="AK23">
        <v>6870592</v>
      </c>
      <c r="AL23" t="s">
        <v>131</v>
      </c>
    </row>
    <row r="24" spans="1:38" x14ac:dyDescent="0.25">
      <c r="A24" s="1">
        <v>46169</v>
      </c>
      <c r="B24" s="1">
        <v>46169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132</v>
      </c>
      <c r="J24" t="s">
        <v>133</v>
      </c>
      <c r="M24" t="s">
        <v>108</v>
      </c>
      <c r="O24" t="s">
        <v>134</v>
      </c>
      <c r="P24" t="s">
        <v>135</v>
      </c>
      <c r="Q24" t="s">
        <v>49</v>
      </c>
      <c r="R24" t="s">
        <v>99</v>
      </c>
      <c r="S24" s="1">
        <v>46204</v>
      </c>
      <c r="U24" t="s">
        <v>51</v>
      </c>
      <c r="X24" t="s">
        <v>52</v>
      </c>
      <c r="Y24" s="2">
        <v>0</v>
      </c>
      <c r="Z24" s="2">
        <v>12.5</v>
      </c>
      <c r="AA24">
        <v>1</v>
      </c>
      <c r="AB24" s="3">
        <v>1</v>
      </c>
      <c r="AC24" s="2">
        <v>12.5</v>
      </c>
      <c r="AD24" s="3">
        <v>0</v>
      </c>
      <c r="AE24" s="2">
        <v>0</v>
      </c>
      <c r="AF24" s="2">
        <v>12.5</v>
      </c>
      <c r="AK24">
        <v>6870613</v>
      </c>
      <c r="AL24" t="s">
        <v>122</v>
      </c>
    </row>
    <row r="25" spans="1:38" x14ac:dyDescent="0.25">
      <c r="A25" s="1">
        <v>46169</v>
      </c>
      <c r="B25" s="1">
        <v>46169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136</v>
      </c>
      <c r="J25" t="s">
        <v>137</v>
      </c>
      <c r="M25" t="s">
        <v>75</v>
      </c>
      <c r="O25" t="s">
        <v>116</v>
      </c>
      <c r="P25" t="s">
        <v>117</v>
      </c>
      <c r="Q25" t="s">
        <v>49</v>
      </c>
      <c r="R25" t="s">
        <v>138</v>
      </c>
      <c r="S25" s="1">
        <v>46174</v>
      </c>
      <c r="U25" t="s">
        <v>51</v>
      </c>
      <c r="X25" t="s">
        <v>52</v>
      </c>
      <c r="Y25" s="2">
        <v>0</v>
      </c>
      <c r="Z25" s="2">
        <v>202.42</v>
      </c>
      <c r="AA25">
        <v>1</v>
      </c>
      <c r="AB25" s="3">
        <v>1</v>
      </c>
      <c r="AC25" s="2">
        <v>202.42</v>
      </c>
      <c r="AD25" s="3">
        <v>0</v>
      </c>
      <c r="AE25" s="2">
        <v>0</v>
      </c>
      <c r="AF25" s="2">
        <v>202.42</v>
      </c>
      <c r="AK25">
        <v>6871210</v>
      </c>
      <c r="AL25" t="s">
        <v>131</v>
      </c>
    </row>
    <row r="26" spans="1:38" x14ac:dyDescent="0.25">
      <c r="A26" s="1">
        <v>46169</v>
      </c>
      <c r="B26" s="1">
        <v>46169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139</v>
      </c>
      <c r="J26" t="s">
        <v>137</v>
      </c>
      <c r="M26" t="s">
        <v>75</v>
      </c>
      <c r="O26" t="s">
        <v>116</v>
      </c>
      <c r="P26" t="s">
        <v>117</v>
      </c>
      <c r="Q26" t="s">
        <v>49</v>
      </c>
      <c r="R26" t="s">
        <v>140</v>
      </c>
      <c r="S26" s="1">
        <v>46174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6871211</v>
      </c>
    </row>
    <row r="27" spans="1:38" x14ac:dyDescent="0.25">
      <c r="A27" s="1">
        <v>46169</v>
      </c>
      <c r="B27" s="1">
        <v>46169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141</v>
      </c>
      <c r="J27" t="s">
        <v>142</v>
      </c>
      <c r="M27" t="s">
        <v>46</v>
      </c>
      <c r="O27" t="s">
        <v>143</v>
      </c>
      <c r="P27" t="s">
        <v>144</v>
      </c>
      <c r="Q27" t="s">
        <v>49</v>
      </c>
      <c r="R27" t="s">
        <v>145</v>
      </c>
      <c r="S27" s="1">
        <v>46143</v>
      </c>
      <c r="U27" t="s">
        <v>51</v>
      </c>
      <c r="X27" t="s">
        <v>52</v>
      </c>
      <c r="Y27" s="2">
        <v>0</v>
      </c>
      <c r="Z27" s="2">
        <v>100</v>
      </c>
      <c r="AA27">
        <v>1</v>
      </c>
      <c r="AB27" s="3">
        <v>1</v>
      </c>
      <c r="AC27" s="2">
        <v>100</v>
      </c>
      <c r="AD27" s="3">
        <v>0</v>
      </c>
      <c r="AE27" s="2">
        <v>0</v>
      </c>
      <c r="AF27" s="2">
        <v>100</v>
      </c>
      <c r="AK27">
        <v>6870812</v>
      </c>
    </row>
    <row r="28" spans="1:38" x14ac:dyDescent="0.25">
      <c r="A28" s="1">
        <v>46169</v>
      </c>
      <c r="B28" s="1">
        <v>46169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146</v>
      </c>
      <c r="J28" t="s">
        <v>147</v>
      </c>
      <c r="M28" t="s">
        <v>46</v>
      </c>
      <c r="O28" t="s">
        <v>143</v>
      </c>
      <c r="P28" t="s">
        <v>144</v>
      </c>
      <c r="Q28" t="s">
        <v>49</v>
      </c>
      <c r="R28" t="s">
        <v>145</v>
      </c>
      <c r="S28" s="1">
        <v>46143</v>
      </c>
      <c r="U28" t="s">
        <v>51</v>
      </c>
      <c r="X28" t="s">
        <v>52</v>
      </c>
      <c r="Y28" s="2">
        <v>0</v>
      </c>
      <c r="Z28" s="2">
        <v>100</v>
      </c>
      <c r="AA28">
        <v>1</v>
      </c>
      <c r="AB28" s="3">
        <v>1</v>
      </c>
      <c r="AC28" s="2">
        <v>100</v>
      </c>
      <c r="AD28" s="3">
        <v>0</v>
      </c>
      <c r="AE28" s="2">
        <v>0</v>
      </c>
      <c r="AF28" s="2">
        <v>100</v>
      </c>
      <c r="AK28">
        <v>6870813</v>
      </c>
    </row>
    <row r="29" spans="1:38" x14ac:dyDescent="0.25">
      <c r="A29" s="1">
        <v>46169</v>
      </c>
      <c r="B29" s="1">
        <v>46169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148</v>
      </c>
      <c r="J29" t="s">
        <v>149</v>
      </c>
      <c r="M29" t="s">
        <v>150</v>
      </c>
      <c r="O29" t="s">
        <v>116</v>
      </c>
      <c r="P29" t="s">
        <v>117</v>
      </c>
      <c r="Q29" t="s">
        <v>49</v>
      </c>
      <c r="R29" t="s">
        <v>151</v>
      </c>
      <c r="S29" s="1">
        <v>46113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6870682</v>
      </c>
    </row>
    <row r="30" spans="1:38" x14ac:dyDescent="0.25">
      <c r="A30" s="1">
        <v>46169</v>
      </c>
      <c r="B30" s="1">
        <v>46169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152</v>
      </c>
      <c r="J30" t="s">
        <v>153</v>
      </c>
      <c r="M30" t="s">
        <v>46</v>
      </c>
      <c r="O30" t="s">
        <v>154</v>
      </c>
      <c r="P30" t="s">
        <v>155</v>
      </c>
      <c r="Q30" t="s">
        <v>49</v>
      </c>
      <c r="R30" t="s">
        <v>156</v>
      </c>
      <c r="S30" s="1">
        <v>46204</v>
      </c>
      <c r="U30" t="s">
        <v>51</v>
      </c>
      <c r="X30" t="s">
        <v>52</v>
      </c>
      <c r="Y30" s="2">
        <v>0</v>
      </c>
      <c r="Z30" s="2">
        <v>101.5</v>
      </c>
      <c r="AA30">
        <v>1</v>
      </c>
      <c r="AB30" s="3">
        <v>1</v>
      </c>
      <c r="AC30" s="2">
        <v>101.5</v>
      </c>
      <c r="AD30" s="3">
        <v>0</v>
      </c>
      <c r="AE30" s="2">
        <v>0</v>
      </c>
      <c r="AF30" s="2">
        <v>101.5</v>
      </c>
      <c r="AK30">
        <v>6871207</v>
      </c>
      <c r="AL30" t="s">
        <v>122</v>
      </c>
    </row>
    <row r="31" spans="1:38" x14ac:dyDescent="0.25">
      <c r="A31" s="1">
        <v>46169</v>
      </c>
      <c r="B31" s="1">
        <v>46169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157</v>
      </c>
      <c r="J31" t="s">
        <v>153</v>
      </c>
      <c r="M31" t="s">
        <v>46</v>
      </c>
      <c r="O31" t="s">
        <v>154</v>
      </c>
      <c r="P31" t="s">
        <v>155</v>
      </c>
      <c r="Q31" t="s">
        <v>49</v>
      </c>
      <c r="R31" t="s">
        <v>158</v>
      </c>
      <c r="S31" s="1">
        <v>46204</v>
      </c>
      <c r="U31" t="s">
        <v>51</v>
      </c>
      <c r="X31" t="s">
        <v>52</v>
      </c>
      <c r="Y31" s="2">
        <v>0</v>
      </c>
      <c r="Z31" s="2">
        <v>113</v>
      </c>
      <c r="AA31">
        <v>1</v>
      </c>
      <c r="AB31" s="3">
        <v>1</v>
      </c>
      <c r="AC31" s="2">
        <v>113</v>
      </c>
      <c r="AD31" s="3">
        <v>0</v>
      </c>
      <c r="AE31" s="2">
        <v>0</v>
      </c>
      <c r="AF31" s="2">
        <v>113</v>
      </c>
      <c r="AK31">
        <v>6871208</v>
      </c>
    </row>
    <row r="32" spans="1:38" x14ac:dyDescent="0.25">
      <c r="A32" s="1">
        <v>46169</v>
      </c>
      <c r="B32" s="1">
        <v>46169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159</v>
      </c>
      <c r="J32" t="s">
        <v>160</v>
      </c>
      <c r="M32" t="s">
        <v>161</v>
      </c>
      <c r="O32" t="s">
        <v>162</v>
      </c>
      <c r="P32" t="s">
        <v>163</v>
      </c>
      <c r="Q32" t="s">
        <v>49</v>
      </c>
      <c r="R32" t="s">
        <v>138</v>
      </c>
      <c r="S32" s="1">
        <v>46174</v>
      </c>
      <c r="U32" t="s">
        <v>51</v>
      </c>
      <c r="X32" t="s">
        <v>52</v>
      </c>
      <c r="Y32" s="2">
        <v>0</v>
      </c>
      <c r="Z32" s="2">
        <v>202.42</v>
      </c>
      <c r="AA32">
        <v>1</v>
      </c>
      <c r="AB32" s="3">
        <v>1</v>
      </c>
      <c r="AC32" s="2">
        <v>202.42</v>
      </c>
      <c r="AD32" s="3">
        <v>0</v>
      </c>
      <c r="AE32" s="2">
        <v>0</v>
      </c>
      <c r="AF32" s="2">
        <v>202.42</v>
      </c>
      <c r="AK32">
        <v>6871212</v>
      </c>
      <c r="AL32" t="s">
        <v>131</v>
      </c>
    </row>
    <row r="33" spans="1:38" x14ac:dyDescent="0.25">
      <c r="A33" s="1">
        <v>46169</v>
      </c>
      <c r="B33" s="1">
        <v>46169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164</v>
      </c>
      <c r="J33" t="s">
        <v>160</v>
      </c>
      <c r="M33" t="s">
        <v>161</v>
      </c>
      <c r="O33" t="s">
        <v>162</v>
      </c>
      <c r="P33" t="s">
        <v>163</v>
      </c>
      <c r="Q33" t="s">
        <v>49</v>
      </c>
      <c r="R33" t="s">
        <v>140</v>
      </c>
      <c r="S33" s="1">
        <v>46174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6871213</v>
      </c>
    </row>
    <row r="34" spans="1:38" x14ac:dyDescent="0.25">
      <c r="A34" s="1">
        <v>46169</v>
      </c>
      <c r="B34" s="1">
        <v>46169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165</v>
      </c>
      <c r="J34" t="s">
        <v>166</v>
      </c>
      <c r="M34" t="s">
        <v>46</v>
      </c>
      <c r="O34" t="s">
        <v>143</v>
      </c>
      <c r="P34" t="s">
        <v>144</v>
      </c>
      <c r="Q34" t="s">
        <v>49</v>
      </c>
      <c r="R34" t="s">
        <v>138</v>
      </c>
      <c r="S34" s="1">
        <v>46204</v>
      </c>
      <c r="U34" t="s">
        <v>51</v>
      </c>
      <c r="X34" t="s">
        <v>52</v>
      </c>
      <c r="Y34" s="2">
        <v>0</v>
      </c>
      <c r="Z34" s="2">
        <v>173.5</v>
      </c>
      <c r="AA34">
        <v>1</v>
      </c>
      <c r="AB34" s="3">
        <v>1</v>
      </c>
      <c r="AC34" s="2">
        <v>173.5</v>
      </c>
      <c r="AD34" s="3">
        <v>0</v>
      </c>
      <c r="AE34" s="2">
        <v>0</v>
      </c>
      <c r="AF34" s="2">
        <v>173.5</v>
      </c>
      <c r="AK34">
        <v>6871209</v>
      </c>
      <c r="AL34" t="s">
        <v>122</v>
      </c>
    </row>
    <row r="35" spans="1:38" x14ac:dyDescent="0.25">
      <c r="A35" s="1">
        <v>46169</v>
      </c>
      <c r="B35" s="1">
        <v>46169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167</v>
      </c>
      <c r="J35" t="s">
        <v>166</v>
      </c>
      <c r="M35" t="s">
        <v>46</v>
      </c>
      <c r="O35" t="s">
        <v>143</v>
      </c>
      <c r="P35" t="s">
        <v>144</v>
      </c>
      <c r="Q35" t="s">
        <v>49</v>
      </c>
      <c r="R35" t="s">
        <v>140</v>
      </c>
      <c r="S35" s="1">
        <v>46204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6871218</v>
      </c>
    </row>
    <row r="36" spans="1:38" x14ac:dyDescent="0.25">
      <c r="A36" s="1">
        <v>46169</v>
      </c>
      <c r="B36" s="1">
        <v>46169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168</v>
      </c>
      <c r="J36" t="s">
        <v>169</v>
      </c>
      <c r="M36" t="s">
        <v>46</v>
      </c>
      <c r="O36" t="s">
        <v>170</v>
      </c>
      <c r="P36" t="s">
        <v>171</v>
      </c>
      <c r="Q36" t="s">
        <v>49</v>
      </c>
      <c r="R36" t="s">
        <v>138</v>
      </c>
      <c r="S36" s="1">
        <v>46174</v>
      </c>
      <c r="U36" t="s">
        <v>51</v>
      </c>
      <c r="X36" t="s">
        <v>52</v>
      </c>
      <c r="Y36" s="2">
        <v>0</v>
      </c>
      <c r="Z36" s="2">
        <v>202.42</v>
      </c>
      <c r="AA36">
        <v>1</v>
      </c>
      <c r="AB36" s="3">
        <v>1</v>
      </c>
      <c r="AC36" s="2">
        <v>202.42</v>
      </c>
      <c r="AD36" s="3">
        <v>0</v>
      </c>
      <c r="AE36" s="2">
        <v>0</v>
      </c>
      <c r="AF36" s="2">
        <v>202.42</v>
      </c>
      <c r="AK36">
        <v>6871214</v>
      </c>
      <c r="AL36" t="s">
        <v>131</v>
      </c>
    </row>
    <row r="37" spans="1:38" x14ac:dyDescent="0.25">
      <c r="A37" s="1">
        <v>46169</v>
      </c>
      <c r="B37" s="1">
        <v>46169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172</v>
      </c>
      <c r="J37" t="s">
        <v>169</v>
      </c>
      <c r="M37" t="s">
        <v>46</v>
      </c>
      <c r="O37" t="s">
        <v>170</v>
      </c>
      <c r="P37" t="s">
        <v>171</v>
      </c>
      <c r="Q37" t="s">
        <v>49</v>
      </c>
      <c r="R37" t="s">
        <v>140</v>
      </c>
      <c r="S37" s="1">
        <v>46174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6871217</v>
      </c>
    </row>
    <row r="38" spans="1:38" x14ac:dyDescent="0.25">
      <c r="A38" s="1">
        <v>46169</v>
      </c>
      <c r="B38" s="1">
        <v>46169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173</v>
      </c>
      <c r="J38" t="s">
        <v>174</v>
      </c>
      <c r="M38" t="s">
        <v>175</v>
      </c>
      <c r="O38" t="s">
        <v>176</v>
      </c>
      <c r="P38" t="s">
        <v>177</v>
      </c>
      <c r="Q38" t="s">
        <v>49</v>
      </c>
      <c r="R38" t="s">
        <v>178</v>
      </c>
      <c r="S38" s="1">
        <v>46174</v>
      </c>
      <c r="U38" t="s">
        <v>51</v>
      </c>
      <c r="X38" t="s">
        <v>52</v>
      </c>
      <c r="Y38" s="2">
        <v>0</v>
      </c>
      <c r="Z38" s="2">
        <v>31.02</v>
      </c>
      <c r="AA38">
        <v>9</v>
      </c>
      <c r="AB38" s="3">
        <v>1</v>
      </c>
      <c r="AC38" s="2">
        <v>279.18</v>
      </c>
      <c r="AD38" s="3">
        <v>0</v>
      </c>
      <c r="AE38" s="2">
        <v>0</v>
      </c>
      <c r="AF38" s="2">
        <v>279.18</v>
      </c>
      <c r="AK38">
        <v>6871025</v>
      </c>
    </row>
    <row r="39" spans="1:38" x14ac:dyDescent="0.25">
      <c r="A39" s="1">
        <v>46169</v>
      </c>
      <c r="B39" s="1">
        <v>46169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179</v>
      </c>
      <c r="J39" t="s">
        <v>180</v>
      </c>
      <c r="M39" t="s">
        <v>108</v>
      </c>
      <c r="O39" t="s">
        <v>181</v>
      </c>
      <c r="P39" t="s">
        <v>182</v>
      </c>
      <c r="Q39" t="s">
        <v>49</v>
      </c>
      <c r="R39" t="s">
        <v>183</v>
      </c>
      <c r="S39" s="1">
        <v>46174</v>
      </c>
      <c r="U39" t="s">
        <v>51</v>
      </c>
      <c r="X39" t="s">
        <v>52</v>
      </c>
      <c r="Y39" s="2">
        <v>0</v>
      </c>
      <c r="Z39" s="2">
        <v>36</v>
      </c>
      <c r="AA39">
        <v>9</v>
      </c>
      <c r="AB39" s="3">
        <v>1</v>
      </c>
      <c r="AC39" s="2">
        <v>324</v>
      </c>
      <c r="AD39" s="3">
        <v>0</v>
      </c>
      <c r="AE39" s="2">
        <v>0</v>
      </c>
      <c r="AF39" s="2">
        <v>324</v>
      </c>
      <c r="AK39">
        <v>6871026</v>
      </c>
    </row>
    <row r="40" spans="1:38" x14ac:dyDescent="0.25">
      <c r="A40" s="1">
        <v>46169</v>
      </c>
      <c r="B40" s="1">
        <v>46169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184</v>
      </c>
      <c r="J40" t="s">
        <v>185</v>
      </c>
      <c r="M40" t="s">
        <v>46</v>
      </c>
      <c r="O40" t="s">
        <v>186</v>
      </c>
      <c r="P40" t="s">
        <v>187</v>
      </c>
      <c r="Q40" t="s">
        <v>49</v>
      </c>
      <c r="R40" t="s">
        <v>99</v>
      </c>
      <c r="S40" s="1">
        <v>46143</v>
      </c>
      <c r="U40" t="s">
        <v>51</v>
      </c>
      <c r="X40" t="s">
        <v>52</v>
      </c>
      <c r="Y40" s="2">
        <v>0</v>
      </c>
      <c r="Z40" s="2">
        <v>16.670000000000002</v>
      </c>
      <c r="AA40">
        <v>1</v>
      </c>
      <c r="AB40" s="3">
        <v>1</v>
      </c>
      <c r="AC40" s="2">
        <v>16.670000000000002</v>
      </c>
      <c r="AD40" s="3">
        <v>0</v>
      </c>
      <c r="AE40" s="2">
        <v>0</v>
      </c>
      <c r="AF40" s="2">
        <v>16.670000000000002</v>
      </c>
      <c r="AK40">
        <v>6870619</v>
      </c>
      <c r="AL40" t="s">
        <v>100</v>
      </c>
    </row>
    <row r="41" spans="1:38" x14ac:dyDescent="0.25">
      <c r="A41" s="1">
        <v>46169</v>
      </c>
      <c r="B41" s="1">
        <v>46169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188</v>
      </c>
      <c r="J41" t="s">
        <v>189</v>
      </c>
      <c r="M41" t="s">
        <v>46</v>
      </c>
      <c r="O41" t="s">
        <v>186</v>
      </c>
      <c r="P41" t="s">
        <v>187</v>
      </c>
      <c r="Q41" t="s">
        <v>49</v>
      </c>
      <c r="R41" t="s">
        <v>99</v>
      </c>
      <c r="S41" s="1">
        <v>46143</v>
      </c>
      <c r="U41" t="s">
        <v>51</v>
      </c>
      <c r="X41" t="s">
        <v>52</v>
      </c>
      <c r="Y41" s="2">
        <v>0</v>
      </c>
      <c r="Z41" s="2">
        <v>16.670000000000002</v>
      </c>
      <c r="AA41">
        <v>1</v>
      </c>
      <c r="AB41" s="3">
        <v>1</v>
      </c>
      <c r="AC41" s="2">
        <v>16.670000000000002</v>
      </c>
      <c r="AD41" s="3">
        <v>0</v>
      </c>
      <c r="AE41" s="2">
        <v>0</v>
      </c>
      <c r="AF41" s="2">
        <v>16.670000000000002</v>
      </c>
      <c r="AK41">
        <v>6870621</v>
      </c>
      <c r="AL41" t="s">
        <v>100</v>
      </c>
    </row>
    <row r="42" spans="1:38" x14ac:dyDescent="0.25">
      <c r="A42" s="1">
        <v>46169</v>
      </c>
      <c r="B42" s="1">
        <v>46169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190</v>
      </c>
      <c r="J42" t="s">
        <v>191</v>
      </c>
      <c r="O42" t="s">
        <v>192</v>
      </c>
      <c r="Q42" t="s">
        <v>193</v>
      </c>
      <c r="R42" t="s">
        <v>191</v>
      </c>
      <c r="S42" s="1">
        <v>44927</v>
      </c>
      <c r="U42" t="s">
        <v>194</v>
      </c>
      <c r="X42" t="s">
        <v>52</v>
      </c>
      <c r="Y42" s="2">
        <v>0</v>
      </c>
      <c r="Z42" s="2">
        <v>50</v>
      </c>
      <c r="AA42">
        <v>1</v>
      </c>
      <c r="AB42" s="3">
        <v>1</v>
      </c>
      <c r="AC42" s="2">
        <v>50</v>
      </c>
      <c r="AD42" s="3">
        <v>0</v>
      </c>
      <c r="AE42" s="2">
        <v>0</v>
      </c>
      <c r="AF42" s="2">
        <v>50</v>
      </c>
      <c r="AK42">
        <v>0</v>
      </c>
      <c r="AL42" t="s">
        <v>195</v>
      </c>
    </row>
    <row r="43" spans="1:38" x14ac:dyDescent="0.25">
      <c r="A43" s="1">
        <v>46169</v>
      </c>
      <c r="B43" s="1">
        <v>46169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190</v>
      </c>
      <c r="J43" t="s">
        <v>191</v>
      </c>
      <c r="O43" t="s">
        <v>192</v>
      </c>
      <c r="Q43" t="s">
        <v>193</v>
      </c>
      <c r="R43" t="s">
        <v>191</v>
      </c>
      <c r="S43" s="1">
        <v>44927</v>
      </c>
      <c r="U43" t="s">
        <v>194</v>
      </c>
      <c r="X43" t="s">
        <v>52</v>
      </c>
      <c r="Y43" s="2">
        <v>0</v>
      </c>
      <c r="Z43" s="2">
        <v>-50</v>
      </c>
      <c r="AA43">
        <v>1</v>
      </c>
      <c r="AB43" s="3">
        <v>1</v>
      </c>
      <c r="AC43" s="2">
        <v>-50</v>
      </c>
      <c r="AD43" s="3">
        <v>0</v>
      </c>
      <c r="AE43" s="2">
        <v>0</v>
      </c>
      <c r="AF43" s="2">
        <v>-50</v>
      </c>
      <c r="AK43">
        <v>0</v>
      </c>
      <c r="AL43" t="s">
        <v>195</v>
      </c>
    </row>
    <row r="44" spans="1:38" x14ac:dyDescent="0.25">
      <c r="A44" s="1">
        <v>46169</v>
      </c>
      <c r="B44" s="1">
        <v>46169</v>
      </c>
      <c r="C44" t="s">
        <v>196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197</v>
      </c>
      <c r="J44" t="s">
        <v>198</v>
      </c>
      <c r="M44" t="s">
        <v>199</v>
      </c>
      <c r="O44" t="s">
        <v>47</v>
      </c>
      <c r="P44" t="s">
        <v>48</v>
      </c>
      <c r="Q44" t="s">
        <v>200</v>
      </c>
      <c r="R44" t="s">
        <v>50</v>
      </c>
      <c r="S44" s="1">
        <v>46023</v>
      </c>
      <c r="U44" t="s">
        <v>51</v>
      </c>
      <c r="X44" t="s">
        <v>52</v>
      </c>
      <c r="AF44" s="2">
        <v>175</v>
      </c>
      <c r="AG44" s="2">
        <v>0</v>
      </c>
      <c r="AJ44" s="2">
        <v>101.5</v>
      </c>
    </row>
    <row r="45" spans="1:38" x14ac:dyDescent="0.25">
      <c r="A45" s="1">
        <v>46169</v>
      </c>
      <c r="B45" s="1">
        <v>46169</v>
      </c>
      <c r="C45" t="s">
        <v>196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201</v>
      </c>
      <c r="J45" t="s">
        <v>202</v>
      </c>
      <c r="M45" t="s">
        <v>46</v>
      </c>
      <c r="O45" t="s">
        <v>203</v>
      </c>
      <c r="P45" t="s">
        <v>204</v>
      </c>
      <c r="Q45" t="s">
        <v>200</v>
      </c>
      <c r="R45" t="s">
        <v>50</v>
      </c>
      <c r="S45" s="1">
        <v>46023</v>
      </c>
      <c r="U45" t="s">
        <v>51</v>
      </c>
      <c r="X45" t="s">
        <v>52</v>
      </c>
      <c r="AF45" s="2">
        <v>175</v>
      </c>
      <c r="AG45" s="2">
        <v>0</v>
      </c>
      <c r="AJ45" s="2">
        <v>101.5</v>
      </c>
    </row>
    <row r="46" spans="1:38" x14ac:dyDescent="0.25">
      <c r="A46" s="1">
        <v>46169</v>
      </c>
      <c r="B46" s="1">
        <v>46169</v>
      </c>
      <c r="C46" t="s">
        <v>196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205</v>
      </c>
      <c r="J46" t="s">
        <v>206</v>
      </c>
      <c r="M46" t="s">
        <v>46</v>
      </c>
      <c r="O46" t="s">
        <v>207</v>
      </c>
      <c r="P46" t="s">
        <v>208</v>
      </c>
      <c r="Q46" t="s">
        <v>200</v>
      </c>
      <c r="R46" t="s">
        <v>209</v>
      </c>
      <c r="S46" s="1">
        <v>46113</v>
      </c>
      <c r="U46" t="s">
        <v>51</v>
      </c>
      <c r="X46" t="s">
        <v>52</v>
      </c>
      <c r="AF46" s="2">
        <v>108</v>
      </c>
      <c r="AG46" s="2">
        <v>0</v>
      </c>
      <c r="AJ46" s="2">
        <v>108</v>
      </c>
    </row>
    <row r="47" spans="1:38" x14ac:dyDescent="0.25">
      <c r="A47" s="1">
        <v>46169</v>
      </c>
      <c r="B47" s="1">
        <v>46169</v>
      </c>
      <c r="C47" t="s">
        <v>196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210</v>
      </c>
      <c r="J47" t="s">
        <v>211</v>
      </c>
      <c r="M47" t="s">
        <v>212</v>
      </c>
      <c r="O47" t="s">
        <v>213</v>
      </c>
      <c r="P47" t="s">
        <v>214</v>
      </c>
      <c r="Q47" t="s">
        <v>200</v>
      </c>
      <c r="R47" t="s">
        <v>215</v>
      </c>
      <c r="S47" s="1">
        <v>46023</v>
      </c>
      <c r="U47" t="s">
        <v>51</v>
      </c>
      <c r="X47" t="s">
        <v>52</v>
      </c>
      <c r="AF47" s="2">
        <v>15</v>
      </c>
      <c r="AG47" s="2">
        <v>0</v>
      </c>
      <c r="AJ47" s="2">
        <v>8.6999999999999993</v>
      </c>
    </row>
    <row r="48" spans="1:38" x14ac:dyDescent="0.25">
      <c r="A48" s="1">
        <v>46169</v>
      </c>
      <c r="B48" s="1">
        <v>46169</v>
      </c>
      <c r="C48" t="s">
        <v>196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216</v>
      </c>
      <c r="J48" t="s">
        <v>217</v>
      </c>
      <c r="M48" t="s">
        <v>175</v>
      </c>
      <c r="O48" t="s">
        <v>116</v>
      </c>
      <c r="P48" t="s">
        <v>117</v>
      </c>
      <c r="Q48" t="s">
        <v>200</v>
      </c>
      <c r="R48" t="s">
        <v>50</v>
      </c>
      <c r="S48" s="1">
        <v>46023</v>
      </c>
      <c r="U48" t="s">
        <v>51</v>
      </c>
      <c r="X48" t="s">
        <v>52</v>
      </c>
      <c r="AF48" s="2">
        <v>175</v>
      </c>
      <c r="AG48" s="2">
        <v>0</v>
      </c>
      <c r="AJ48" s="2">
        <v>101.5</v>
      </c>
    </row>
    <row r="49" spans="1:36" x14ac:dyDescent="0.25">
      <c r="A49" s="1">
        <v>46169</v>
      </c>
      <c r="B49" s="1">
        <v>46169</v>
      </c>
      <c r="C49" t="s">
        <v>196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218</v>
      </c>
      <c r="J49" t="s">
        <v>219</v>
      </c>
      <c r="M49" t="s">
        <v>220</v>
      </c>
      <c r="O49" t="s">
        <v>47</v>
      </c>
      <c r="P49" t="s">
        <v>48</v>
      </c>
      <c r="Q49" t="s">
        <v>200</v>
      </c>
      <c r="R49" t="s">
        <v>50</v>
      </c>
      <c r="S49" s="1">
        <v>46054</v>
      </c>
      <c r="U49" t="s">
        <v>51</v>
      </c>
      <c r="X49" t="s">
        <v>52</v>
      </c>
      <c r="AF49" s="2">
        <v>175</v>
      </c>
      <c r="AG49" s="2">
        <v>0</v>
      </c>
      <c r="AJ49" s="2">
        <v>117.25</v>
      </c>
    </row>
    <row r="50" spans="1:36" x14ac:dyDescent="0.25">
      <c r="A50" s="1">
        <v>46169</v>
      </c>
      <c r="B50" s="1">
        <v>46169</v>
      </c>
      <c r="C50" t="s">
        <v>196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221</v>
      </c>
      <c r="J50" t="s">
        <v>222</v>
      </c>
      <c r="M50" t="s">
        <v>46</v>
      </c>
      <c r="O50" t="s">
        <v>84</v>
      </c>
      <c r="P50" t="s">
        <v>85</v>
      </c>
      <c r="Q50" t="s">
        <v>200</v>
      </c>
      <c r="R50" t="s">
        <v>50</v>
      </c>
      <c r="S50" s="1">
        <v>46143</v>
      </c>
      <c r="U50" t="s">
        <v>51</v>
      </c>
      <c r="X50" t="s">
        <v>52</v>
      </c>
      <c r="AF50" s="2">
        <v>175</v>
      </c>
      <c r="AG50" s="2">
        <v>0</v>
      </c>
      <c r="AJ50" s="2">
        <v>161</v>
      </c>
    </row>
    <row r="51" spans="1:36" x14ac:dyDescent="0.25">
      <c r="A51" s="1">
        <v>46169</v>
      </c>
      <c r="B51" s="1">
        <v>46169</v>
      </c>
      <c r="C51" t="s">
        <v>196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223</v>
      </c>
      <c r="J51" t="s">
        <v>224</v>
      </c>
      <c r="M51" t="s">
        <v>46</v>
      </c>
      <c r="O51" t="s">
        <v>67</v>
      </c>
      <c r="P51" t="s">
        <v>68</v>
      </c>
      <c r="Q51" t="s">
        <v>200</v>
      </c>
      <c r="R51" t="s">
        <v>50</v>
      </c>
      <c r="S51" s="1">
        <v>46174</v>
      </c>
      <c r="U51" t="s">
        <v>51</v>
      </c>
      <c r="X51" t="s">
        <v>52</v>
      </c>
      <c r="AF51" s="2">
        <v>175</v>
      </c>
      <c r="AG51" s="2">
        <v>0</v>
      </c>
      <c r="AJ51" s="2">
        <v>175</v>
      </c>
    </row>
    <row r="52" spans="1:36" x14ac:dyDescent="0.25">
      <c r="A52" s="1">
        <v>46169</v>
      </c>
      <c r="B52" s="1">
        <v>46169</v>
      </c>
      <c r="C52" t="s">
        <v>196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225</v>
      </c>
      <c r="J52" t="s">
        <v>226</v>
      </c>
      <c r="M52" t="s">
        <v>46</v>
      </c>
      <c r="O52" t="s">
        <v>186</v>
      </c>
      <c r="P52" t="s">
        <v>187</v>
      </c>
      <c r="Q52" t="s">
        <v>200</v>
      </c>
      <c r="R52" t="s">
        <v>50</v>
      </c>
      <c r="S52" s="1">
        <v>46174</v>
      </c>
      <c r="U52" t="s">
        <v>51</v>
      </c>
      <c r="X52" t="s">
        <v>52</v>
      </c>
      <c r="AF52" s="2">
        <v>175</v>
      </c>
      <c r="AG52" s="2">
        <v>0</v>
      </c>
      <c r="AJ52" s="2">
        <v>175</v>
      </c>
    </row>
    <row r="53" spans="1:36" x14ac:dyDescent="0.25">
      <c r="A53" s="1">
        <v>46169</v>
      </c>
      <c r="B53" s="1">
        <v>46169</v>
      </c>
      <c r="C53" t="s">
        <v>196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227</v>
      </c>
      <c r="J53" t="s">
        <v>185</v>
      </c>
      <c r="M53" t="s">
        <v>46</v>
      </c>
      <c r="O53" t="s">
        <v>186</v>
      </c>
      <c r="P53" t="s">
        <v>187</v>
      </c>
      <c r="Q53" t="s">
        <v>200</v>
      </c>
      <c r="R53" t="s">
        <v>228</v>
      </c>
      <c r="S53" s="1">
        <v>46023</v>
      </c>
      <c r="U53" t="s">
        <v>51</v>
      </c>
      <c r="X53" t="s">
        <v>52</v>
      </c>
      <c r="AF53" s="2">
        <v>25</v>
      </c>
      <c r="AG53" s="2">
        <v>0</v>
      </c>
      <c r="AJ53" s="2">
        <v>16.670000000000002</v>
      </c>
    </row>
    <row r="54" spans="1:36" x14ac:dyDescent="0.25">
      <c r="A54" s="1">
        <v>46169</v>
      </c>
      <c r="B54" s="1">
        <v>46169</v>
      </c>
      <c r="C54" t="s">
        <v>196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229</v>
      </c>
      <c r="J54" t="s">
        <v>230</v>
      </c>
      <c r="M54" t="s">
        <v>231</v>
      </c>
      <c r="O54" t="s">
        <v>203</v>
      </c>
      <c r="P54" t="s">
        <v>204</v>
      </c>
      <c r="Q54" t="s">
        <v>200</v>
      </c>
      <c r="R54" t="s">
        <v>232</v>
      </c>
      <c r="S54" s="1">
        <v>46054</v>
      </c>
      <c r="U54" t="s">
        <v>51</v>
      </c>
      <c r="X54" t="s">
        <v>52</v>
      </c>
      <c r="AF54" s="2">
        <v>15</v>
      </c>
      <c r="AG54" s="2">
        <v>0</v>
      </c>
      <c r="AJ54" s="2">
        <v>11.25</v>
      </c>
    </row>
    <row r="55" spans="1:36" x14ac:dyDescent="0.25">
      <c r="A55" s="1">
        <v>46169</v>
      </c>
      <c r="B55" s="1">
        <v>46169</v>
      </c>
      <c r="C55" t="s">
        <v>196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233</v>
      </c>
      <c r="J55" t="s">
        <v>234</v>
      </c>
      <c r="M55" t="s">
        <v>235</v>
      </c>
      <c r="O55" t="s">
        <v>47</v>
      </c>
      <c r="P55" t="s">
        <v>48</v>
      </c>
      <c r="Q55" t="s">
        <v>200</v>
      </c>
      <c r="R55" t="s">
        <v>228</v>
      </c>
      <c r="S55" s="1">
        <v>46023</v>
      </c>
      <c r="U55" t="s">
        <v>51</v>
      </c>
      <c r="X55" t="s">
        <v>52</v>
      </c>
      <c r="AF55" s="2">
        <v>25</v>
      </c>
      <c r="AG55" s="2">
        <v>0</v>
      </c>
      <c r="AJ55" s="2">
        <v>16.670000000000002</v>
      </c>
    </row>
    <row r="56" spans="1:36" x14ac:dyDescent="0.25">
      <c r="A56" s="1">
        <v>46169</v>
      </c>
      <c r="B56" s="1">
        <v>46169</v>
      </c>
      <c r="C56" t="s">
        <v>196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236</v>
      </c>
      <c r="J56" t="s">
        <v>237</v>
      </c>
      <c r="M56" t="s">
        <v>46</v>
      </c>
      <c r="O56" t="s">
        <v>120</v>
      </c>
      <c r="P56" t="s">
        <v>121</v>
      </c>
      <c r="Q56" t="s">
        <v>200</v>
      </c>
      <c r="R56" t="s">
        <v>228</v>
      </c>
      <c r="S56" s="1">
        <v>46023</v>
      </c>
      <c r="U56" t="s">
        <v>51</v>
      </c>
      <c r="X56" t="s">
        <v>52</v>
      </c>
      <c r="AF56" s="2">
        <v>25</v>
      </c>
      <c r="AG56" s="2">
        <v>0</v>
      </c>
      <c r="AJ56" s="2">
        <v>14.58</v>
      </c>
    </row>
    <row r="57" spans="1:36" x14ac:dyDescent="0.25">
      <c r="A57" s="1">
        <v>46169</v>
      </c>
      <c r="B57" s="1">
        <v>46169</v>
      </c>
      <c r="C57" t="s">
        <v>196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238</v>
      </c>
      <c r="J57" t="s">
        <v>189</v>
      </c>
      <c r="M57" t="s">
        <v>46</v>
      </c>
      <c r="O57" t="s">
        <v>186</v>
      </c>
      <c r="P57" t="s">
        <v>187</v>
      </c>
      <c r="Q57" t="s">
        <v>200</v>
      </c>
      <c r="R57" t="s">
        <v>99</v>
      </c>
      <c r="S57" s="1">
        <v>46113</v>
      </c>
      <c r="U57" t="s">
        <v>51</v>
      </c>
      <c r="X57" t="s">
        <v>52</v>
      </c>
      <c r="AF57" s="2">
        <v>18.75</v>
      </c>
      <c r="AG57" s="2">
        <v>0</v>
      </c>
      <c r="AJ57" s="2">
        <v>16.670000000000002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3BD3-7538-4503-B38A-3F677B1FE25C}">
  <dimension ref="A1:H57"/>
  <sheetViews>
    <sheetView tabSelected="1" topLeftCell="A20" workbookViewId="0">
      <selection activeCell="E32" sqref="E32"/>
    </sheetView>
  </sheetViews>
  <sheetFormatPr defaultRowHeight="15" x14ac:dyDescent="0.25"/>
  <cols>
    <col min="1" max="1" width="23.140625" style="8" bestFit="1" customWidth="1"/>
    <col min="2" max="2" width="22.28515625" bestFit="1" customWidth="1"/>
    <col min="4" max="4" width="23.28515625" bestFit="1" customWidth="1"/>
    <col min="5" max="5" width="23.28515625" customWidth="1"/>
    <col min="6" max="6" width="22.42578125" bestFit="1" customWidth="1"/>
    <col min="7" max="7" width="9" bestFit="1" customWidth="1"/>
  </cols>
  <sheetData>
    <row r="1" spans="1:8" x14ac:dyDescent="0.25">
      <c r="A1" s="8" t="s">
        <v>8</v>
      </c>
      <c r="B1" t="s">
        <v>15</v>
      </c>
    </row>
    <row r="2" spans="1:8" x14ac:dyDescent="0.25">
      <c r="A2" s="8" t="s">
        <v>255</v>
      </c>
      <c r="B2" t="s">
        <v>48</v>
      </c>
      <c r="D2" s="8">
        <v>102160129600</v>
      </c>
      <c r="E2" s="8" t="str">
        <f>CONCATENATE(D2,"OVR")</f>
        <v>102160129600OVR</v>
      </c>
      <c r="F2" t="str">
        <f>VLOOKUP(D2,A:B,2,FALSE)</f>
        <v>BARRY SCHUMANN</v>
      </c>
      <c r="G2">
        <v>19586992</v>
      </c>
      <c r="H2" t="str">
        <f>CONCATENATE(G2,"OVR")</f>
        <v>19586992OVR</v>
      </c>
    </row>
    <row r="3" spans="1:8" x14ac:dyDescent="0.25">
      <c r="A3" s="8" t="s">
        <v>256</v>
      </c>
      <c r="B3" t="s">
        <v>56</v>
      </c>
      <c r="D3" s="8">
        <v>102244049900</v>
      </c>
      <c r="E3" s="8" t="str">
        <f t="shared" ref="E3:E47" si="0">CONCATENATE(D3,"OVR")</f>
        <v>102244049900OVR</v>
      </c>
      <c r="F3" t="str">
        <f t="shared" ref="F3:F47" si="1">VLOOKUP(D3,A:B,2,FALSE)</f>
        <v>GREGORY TEIPEL</v>
      </c>
      <c r="G3">
        <v>8307933</v>
      </c>
      <c r="H3" t="str">
        <f t="shared" ref="H3:H47" si="2">CONCATENATE(G3,"OVR")</f>
        <v>8307933OVR</v>
      </c>
    </row>
    <row r="4" spans="1:8" x14ac:dyDescent="0.25">
      <c r="A4" s="8" t="s">
        <v>257</v>
      </c>
      <c r="B4" t="s">
        <v>48</v>
      </c>
      <c r="D4" s="8">
        <v>102245342600</v>
      </c>
      <c r="E4" s="8" t="str">
        <f t="shared" si="0"/>
        <v>102245342600OVR</v>
      </c>
      <c r="F4" t="str">
        <f t="shared" si="1"/>
        <v>PAMELA DEATON</v>
      </c>
      <c r="G4">
        <v>8244481</v>
      </c>
      <c r="H4" t="str">
        <f t="shared" si="2"/>
        <v>8244481OVR</v>
      </c>
    </row>
    <row r="5" spans="1:8" x14ac:dyDescent="0.25">
      <c r="A5" s="8" t="s">
        <v>258</v>
      </c>
      <c r="B5" t="s">
        <v>62</v>
      </c>
      <c r="D5" s="8">
        <v>102224747400</v>
      </c>
      <c r="E5" s="8" t="str">
        <f t="shared" si="0"/>
        <v>102224747400OVR</v>
      </c>
      <c r="F5" t="str">
        <f t="shared" si="1"/>
        <v>JACOB YALE</v>
      </c>
      <c r="G5">
        <v>18754354</v>
      </c>
      <c r="H5" t="str">
        <f t="shared" si="2"/>
        <v>18754354OVR</v>
      </c>
    </row>
    <row r="6" spans="1:8" x14ac:dyDescent="0.25">
      <c r="A6" s="8" t="s">
        <v>259</v>
      </c>
      <c r="B6" t="s">
        <v>48</v>
      </c>
      <c r="D6" s="8">
        <v>102277422000</v>
      </c>
      <c r="E6" s="8" t="str">
        <f t="shared" si="0"/>
        <v>102277422000OVR</v>
      </c>
      <c r="F6" t="str">
        <f t="shared" si="1"/>
        <v>RICHARD YALE</v>
      </c>
      <c r="G6">
        <v>16633294</v>
      </c>
      <c r="H6" t="str">
        <f t="shared" si="2"/>
        <v>16633294OVR</v>
      </c>
    </row>
    <row r="7" spans="1:8" x14ac:dyDescent="0.25">
      <c r="A7" s="8" t="s">
        <v>260</v>
      </c>
      <c r="B7" t="s">
        <v>68</v>
      </c>
      <c r="D7" s="8">
        <v>102277451400</v>
      </c>
      <c r="E7" s="8" t="str">
        <f t="shared" si="0"/>
        <v>102277451400OVR</v>
      </c>
      <c r="F7" t="str">
        <f t="shared" si="1"/>
        <v>CHAD YALE</v>
      </c>
      <c r="G7">
        <v>20003537</v>
      </c>
      <c r="H7" t="str">
        <f t="shared" si="2"/>
        <v>20003537OVR</v>
      </c>
    </row>
    <row r="8" spans="1:8" x14ac:dyDescent="0.25">
      <c r="A8" s="8" t="s">
        <v>261</v>
      </c>
      <c r="B8" t="s">
        <v>72</v>
      </c>
      <c r="D8" s="8">
        <v>102277514700</v>
      </c>
      <c r="E8" s="8" t="str">
        <f t="shared" si="0"/>
        <v>102277514700OVR</v>
      </c>
      <c r="F8" t="str">
        <f t="shared" si="1"/>
        <v>DEBORAH INSKIPT</v>
      </c>
      <c r="G8">
        <v>17528908</v>
      </c>
      <c r="H8" t="str">
        <f t="shared" si="2"/>
        <v>17528908OVR</v>
      </c>
    </row>
    <row r="9" spans="1:8" x14ac:dyDescent="0.25">
      <c r="A9" s="8" t="s">
        <v>262</v>
      </c>
      <c r="B9" t="s">
        <v>48</v>
      </c>
      <c r="D9" s="8">
        <v>102277560300</v>
      </c>
      <c r="E9" s="8" t="str">
        <f t="shared" si="0"/>
        <v>102277560300OVR</v>
      </c>
      <c r="F9" t="str">
        <f t="shared" si="1"/>
        <v>DEBORAH INSKIPT</v>
      </c>
      <c r="G9">
        <v>17528908</v>
      </c>
      <c r="H9" t="str">
        <f t="shared" si="2"/>
        <v>17528908OVR</v>
      </c>
    </row>
    <row r="10" spans="1:8" x14ac:dyDescent="0.25">
      <c r="A10" s="8" t="s">
        <v>263</v>
      </c>
      <c r="B10" t="s">
        <v>79</v>
      </c>
      <c r="D10" s="8">
        <v>102277718400</v>
      </c>
      <c r="E10" s="8" t="str">
        <f t="shared" si="0"/>
        <v>102277718400OVR</v>
      </c>
      <c r="F10" t="str">
        <f t="shared" si="1"/>
        <v>STACEY PORTUGAL</v>
      </c>
      <c r="G10">
        <v>19645587</v>
      </c>
      <c r="H10" t="str">
        <f t="shared" si="2"/>
        <v>19645587OVR</v>
      </c>
    </row>
    <row r="11" spans="1:8" x14ac:dyDescent="0.25">
      <c r="A11" s="8" t="s">
        <v>264</v>
      </c>
      <c r="B11" t="s">
        <v>68</v>
      </c>
      <c r="D11" s="8">
        <v>102278084400</v>
      </c>
      <c r="E11" s="8" t="str">
        <f t="shared" si="0"/>
        <v>102278084400OVR</v>
      </c>
      <c r="F11" t="str">
        <f t="shared" si="1"/>
        <v>PAMELA DEATON</v>
      </c>
      <c r="G11">
        <v>8244481</v>
      </c>
      <c r="H11" t="str">
        <f t="shared" si="2"/>
        <v>8244481OVR</v>
      </c>
    </row>
    <row r="12" spans="1:8" x14ac:dyDescent="0.25">
      <c r="A12" s="8" t="s">
        <v>265</v>
      </c>
      <c r="B12" t="s">
        <v>85</v>
      </c>
      <c r="D12" s="8">
        <v>102278123800</v>
      </c>
      <c r="E12" s="8" t="str">
        <f t="shared" si="0"/>
        <v>102278123800OVR</v>
      </c>
      <c r="F12" t="str">
        <f t="shared" si="1"/>
        <v>DEBORAH INSKIPT</v>
      </c>
      <c r="G12">
        <v>17528908</v>
      </c>
      <c r="H12" t="str">
        <f t="shared" si="2"/>
        <v>17528908OVR</v>
      </c>
    </row>
    <row r="13" spans="1:8" x14ac:dyDescent="0.25">
      <c r="A13" s="8" t="s">
        <v>266</v>
      </c>
      <c r="B13" t="s">
        <v>90</v>
      </c>
      <c r="D13" s="8">
        <v>102278225800</v>
      </c>
      <c r="E13" s="8" t="str">
        <f t="shared" si="0"/>
        <v>102278225800OVR</v>
      </c>
      <c r="F13" t="str">
        <f t="shared" si="1"/>
        <v>ALISON LUSE</v>
      </c>
      <c r="G13">
        <v>9254978</v>
      </c>
      <c r="H13" t="str">
        <f t="shared" si="2"/>
        <v>9254978OVR</v>
      </c>
    </row>
    <row r="14" spans="1:8" x14ac:dyDescent="0.25">
      <c r="A14" s="8" t="s">
        <v>267</v>
      </c>
      <c r="B14" t="s">
        <v>94</v>
      </c>
      <c r="D14" s="8">
        <v>102278678100</v>
      </c>
      <c r="E14" s="8" t="str">
        <f t="shared" si="0"/>
        <v>102278678100OVR</v>
      </c>
      <c r="F14" t="str">
        <f t="shared" si="1"/>
        <v>PAMELA DEATON</v>
      </c>
      <c r="G14">
        <v>8244481</v>
      </c>
      <c r="H14" t="str">
        <f t="shared" si="2"/>
        <v>8244481OVR</v>
      </c>
    </row>
    <row r="15" spans="1:8" x14ac:dyDescent="0.25">
      <c r="A15" s="8">
        <v>102277422000</v>
      </c>
      <c r="B15" t="s">
        <v>98</v>
      </c>
      <c r="D15" s="8">
        <v>102278948300</v>
      </c>
      <c r="E15" s="8" t="str">
        <f t="shared" si="0"/>
        <v>102278948300OVR</v>
      </c>
      <c r="F15" t="str">
        <f t="shared" si="1"/>
        <v>MARGARET SMITH</v>
      </c>
      <c r="G15">
        <v>20253958</v>
      </c>
      <c r="H15" t="str">
        <f t="shared" si="2"/>
        <v>20253958OVR</v>
      </c>
    </row>
    <row r="16" spans="1:8" x14ac:dyDescent="0.25">
      <c r="A16" s="8">
        <v>102277451400</v>
      </c>
      <c r="B16" t="s">
        <v>105</v>
      </c>
      <c r="D16" s="8" t="s">
        <v>250</v>
      </c>
      <c r="E16" s="8" t="str">
        <f t="shared" si="0"/>
        <v>MEQNDVYM00000313780OVR</v>
      </c>
      <c r="F16" t="str">
        <f t="shared" si="1"/>
        <v>BARRY SCHUMANN</v>
      </c>
      <c r="G16">
        <v>19586992</v>
      </c>
      <c r="H16" t="str">
        <f t="shared" si="2"/>
        <v>19586992OVR</v>
      </c>
    </row>
    <row r="17" spans="1:8" x14ac:dyDescent="0.25">
      <c r="A17" s="8">
        <v>102277514700</v>
      </c>
      <c r="B17" t="s">
        <v>110</v>
      </c>
      <c r="D17" s="8" t="s">
        <v>251</v>
      </c>
      <c r="E17" s="8" t="str">
        <f t="shared" si="0"/>
        <v>MEQNPDZM00002601589OVR</v>
      </c>
      <c r="F17" t="str">
        <f t="shared" si="1"/>
        <v>BARRY SCHUMANN</v>
      </c>
      <c r="G17">
        <v>19586992</v>
      </c>
      <c r="H17" t="str">
        <f t="shared" si="2"/>
        <v>19586992OVR</v>
      </c>
    </row>
    <row r="18" spans="1:8" x14ac:dyDescent="0.25">
      <c r="A18" s="8">
        <v>102277560300</v>
      </c>
      <c r="B18" t="s">
        <v>110</v>
      </c>
      <c r="D18" s="8">
        <v>102274517600</v>
      </c>
      <c r="E18" s="8" t="str">
        <f t="shared" si="0"/>
        <v>102274517600OVR</v>
      </c>
      <c r="F18" t="str">
        <f t="shared" si="1"/>
        <v>BARRY SCHUMANN</v>
      </c>
      <c r="G18">
        <v>19586992</v>
      </c>
      <c r="H18" t="str">
        <f t="shared" si="2"/>
        <v>19586992OVR</v>
      </c>
    </row>
    <row r="19" spans="1:8" x14ac:dyDescent="0.25">
      <c r="A19" s="8">
        <v>102277718400</v>
      </c>
      <c r="B19" t="s">
        <v>117</v>
      </c>
      <c r="D19" s="8" t="s">
        <v>252</v>
      </c>
      <c r="E19" s="8" t="str">
        <f t="shared" si="0"/>
        <v>845W26780OVR</v>
      </c>
      <c r="F19" t="str">
        <f t="shared" si="1"/>
        <v>STACEY PORTUGAL</v>
      </c>
      <c r="G19">
        <v>19645587</v>
      </c>
      <c r="H19" t="str">
        <f t="shared" si="2"/>
        <v>19645587OVR</v>
      </c>
    </row>
    <row r="20" spans="1:8" x14ac:dyDescent="0.25">
      <c r="A20" s="8">
        <v>102278084400</v>
      </c>
      <c r="B20" t="s">
        <v>121</v>
      </c>
      <c r="D20" s="8" t="s">
        <v>253</v>
      </c>
      <c r="E20" s="8" t="str">
        <f t="shared" si="0"/>
        <v>17A4L6R65OVR</v>
      </c>
      <c r="F20" t="str">
        <f t="shared" si="1"/>
        <v>RICARDO SANTOS</v>
      </c>
      <c r="G20">
        <v>19200754</v>
      </c>
      <c r="H20" t="str">
        <f t="shared" si="2"/>
        <v>19200754OVR</v>
      </c>
    </row>
    <row r="21" spans="1:8" x14ac:dyDescent="0.25">
      <c r="A21" s="8">
        <v>102278123800</v>
      </c>
      <c r="B21" t="s">
        <v>110</v>
      </c>
      <c r="D21" s="8" t="s">
        <v>254</v>
      </c>
      <c r="E21" s="8" t="str">
        <f t="shared" si="0"/>
        <v>74L1L2U45OVR</v>
      </c>
      <c r="F21" t="str">
        <f t="shared" si="1"/>
        <v>RICARDO SANTOS</v>
      </c>
      <c r="G21">
        <v>19200754</v>
      </c>
      <c r="H21" t="str">
        <f t="shared" si="2"/>
        <v>19200754OVR</v>
      </c>
    </row>
    <row r="22" spans="1:8" x14ac:dyDescent="0.25">
      <c r="A22" s="8">
        <v>102278225800</v>
      </c>
      <c r="B22" t="s">
        <v>128</v>
      </c>
      <c r="D22" s="8" t="s">
        <v>255</v>
      </c>
      <c r="E22" s="8" t="str">
        <f t="shared" si="0"/>
        <v>00026260016KOVR</v>
      </c>
      <c r="F22" t="str">
        <f t="shared" si="1"/>
        <v>GREGORY TEIPEL</v>
      </c>
      <c r="G22">
        <v>8307933</v>
      </c>
      <c r="H22" t="str">
        <f t="shared" si="2"/>
        <v>8307933OVR</v>
      </c>
    </row>
    <row r="23" spans="1:8" x14ac:dyDescent="0.25">
      <c r="A23" s="8">
        <v>102278678100</v>
      </c>
      <c r="B23" t="s">
        <v>121</v>
      </c>
      <c r="D23" s="8" t="s">
        <v>256</v>
      </c>
      <c r="E23" s="8" t="str">
        <f t="shared" si="0"/>
        <v>00026507242KOVR</v>
      </c>
      <c r="F23" t="str">
        <f t="shared" si="1"/>
        <v>ANDREA PETRUNGARO</v>
      </c>
      <c r="G23">
        <v>16912722</v>
      </c>
      <c r="H23" t="str">
        <f t="shared" si="2"/>
        <v>16912722OVR</v>
      </c>
    </row>
    <row r="24" spans="1:8" x14ac:dyDescent="0.25">
      <c r="A24" s="8">
        <v>102278948300</v>
      </c>
      <c r="B24" t="s">
        <v>135</v>
      </c>
      <c r="D24" s="8" t="s">
        <v>257</v>
      </c>
      <c r="E24" s="8" t="str">
        <f t="shared" si="0"/>
        <v>00026507474KOVR</v>
      </c>
      <c r="F24" t="str">
        <f t="shared" si="1"/>
        <v>GREGORY TEIPEL</v>
      </c>
      <c r="G24">
        <v>8307933</v>
      </c>
      <c r="H24" t="str">
        <f t="shared" si="2"/>
        <v>8307933OVR</v>
      </c>
    </row>
    <row r="25" spans="1:8" x14ac:dyDescent="0.25">
      <c r="A25" s="8">
        <v>136048357</v>
      </c>
      <c r="B25" t="s">
        <v>117</v>
      </c>
      <c r="D25" s="8" t="s">
        <v>258</v>
      </c>
      <c r="E25" s="8" t="str">
        <f t="shared" si="0"/>
        <v>00026508775KOVR</v>
      </c>
      <c r="F25" t="str">
        <f t="shared" si="1"/>
        <v>VICTOR FUENTES</v>
      </c>
      <c r="G25">
        <v>21283956</v>
      </c>
      <c r="H25" t="str">
        <f t="shared" si="2"/>
        <v>21283956OVR</v>
      </c>
    </row>
    <row r="26" spans="1:8" x14ac:dyDescent="0.25">
      <c r="A26" s="8">
        <v>136048357</v>
      </c>
      <c r="B26" t="s">
        <v>117</v>
      </c>
      <c r="D26" s="8" t="s">
        <v>259</v>
      </c>
      <c r="E26" s="8" t="str">
        <f t="shared" si="0"/>
        <v>00026509769KOVR</v>
      </c>
      <c r="F26" t="str">
        <f t="shared" si="1"/>
        <v>GREGORY TEIPEL</v>
      </c>
      <c r="G26">
        <v>8307933</v>
      </c>
      <c r="H26" t="str">
        <f t="shared" si="2"/>
        <v>8307933OVR</v>
      </c>
    </row>
    <row r="27" spans="1:8" x14ac:dyDescent="0.25">
      <c r="A27" s="8" t="s">
        <v>253</v>
      </c>
      <c r="B27" t="s">
        <v>144</v>
      </c>
      <c r="D27" s="8" t="s">
        <v>260</v>
      </c>
      <c r="E27" s="8" t="str">
        <f t="shared" si="0"/>
        <v>00026511866KOVR</v>
      </c>
      <c r="F27" t="str">
        <f t="shared" si="1"/>
        <v>ANDREW CHOI</v>
      </c>
      <c r="G27">
        <v>7470776</v>
      </c>
      <c r="H27" t="str">
        <f t="shared" si="2"/>
        <v>7470776OVR</v>
      </c>
    </row>
    <row r="28" spans="1:8" x14ac:dyDescent="0.25">
      <c r="A28" s="8" t="s">
        <v>254</v>
      </c>
      <c r="B28" t="s">
        <v>144</v>
      </c>
      <c r="D28" s="8" t="s">
        <v>261</v>
      </c>
      <c r="E28" s="8" t="str">
        <f t="shared" si="0"/>
        <v>00026512224KOVR</v>
      </c>
      <c r="F28" t="str">
        <f t="shared" si="1"/>
        <v>MICHAEL DUNAVANT</v>
      </c>
      <c r="G28">
        <v>18828278</v>
      </c>
      <c r="H28" t="str">
        <f t="shared" si="2"/>
        <v>18828278OVR</v>
      </c>
    </row>
    <row r="29" spans="1:8" x14ac:dyDescent="0.25">
      <c r="A29" s="8" t="s">
        <v>252</v>
      </c>
      <c r="B29" t="s">
        <v>117</v>
      </c>
      <c r="D29" s="8" t="s">
        <v>262</v>
      </c>
      <c r="E29" s="8" t="str">
        <f t="shared" si="0"/>
        <v>00026514854KOVR</v>
      </c>
      <c r="F29" t="str">
        <f t="shared" si="1"/>
        <v>GREGORY TEIPEL</v>
      </c>
      <c r="G29">
        <v>8307933</v>
      </c>
      <c r="H29" t="str">
        <f t="shared" si="2"/>
        <v>8307933OVR</v>
      </c>
    </row>
    <row r="30" spans="1:8" x14ac:dyDescent="0.25">
      <c r="A30" s="8">
        <v>916237202</v>
      </c>
      <c r="B30" t="s">
        <v>155</v>
      </c>
      <c r="D30" s="8" t="s">
        <v>263</v>
      </c>
      <c r="E30" s="8" t="str">
        <f t="shared" si="0"/>
        <v>00026515084KOVR</v>
      </c>
      <c r="F30" t="str">
        <f t="shared" si="1"/>
        <v>JEANET REYES</v>
      </c>
      <c r="G30">
        <v>16997303</v>
      </c>
      <c r="H30" t="str">
        <f t="shared" si="2"/>
        <v>16997303OVR</v>
      </c>
    </row>
    <row r="31" spans="1:8" x14ac:dyDescent="0.25">
      <c r="A31" s="8">
        <v>916237202</v>
      </c>
      <c r="B31" t="s">
        <v>155</v>
      </c>
      <c r="D31" s="8" t="s">
        <v>264</v>
      </c>
      <c r="E31" s="8" t="str">
        <f t="shared" si="0"/>
        <v>00026515350KOVR</v>
      </c>
      <c r="F31" t="str">
        <f t="shared" si="1"/>
        <v>ANDREW CHOI</v>
      </c>
      <c r="G31">
        <v>7470776</v>
      </c>
      <c r="H31" t="str">
        <f t="shared" si="2"/>
        <v>7470776OVR</v>
      </c>
    </row>
    <row r="32" spans="1:8" x14ac:dyDescent="0.25">
      <c r="A32" s="8">
        <v>925786770</v>
      </c>
      <c r="B32" t="s">
        <v>163</v>
      </c>
      <c r="D32" s="8" t="s">
        <v>265</v>
      </c>
      <c r="E32" s="8" t="str">
        <f t="shared" si="0"/>
        <v>00026517362KOVR</v>
      </c>
      <c r="F32" t="str">
        <f t="shared" si="1"/>
        <v>CHRISTIAN TAUGNER</v>
      </c>
      <c r="G32">
        <v>19681796</v>
      </c>
      <c r="H32" t="str">
        <f t="shared" si="2"/>
        <v>19681796OVR</v>
      </c>
    </row>
    <row r="33" spans="1:8" x14ac:dyDescent="0.25">
      <c r="A33" s="8">
        <v>925786770</v>
      </c>
      <c r="B33" t="s">
        <v>163</v>
      </c>
      <c r="D33" s="8" t="s">
        <v>266</v>
      </c>
      <c r="E33" s="8" t="str">
        <f t="shared" si="0"/>
        <v>00026521652KOVR</v>
      </c>
      <c r="F33" t="str">
        <f t="shared" si="1"/>
        <v>LENSIE GONZALEZ</v>
      </c>
      <c r="G33">
        <v>17859093</v>
      </c>
      <c r="H33" t="str">
        <f t="shared" si="2"/>
        <v>17859093OVR</v>
      </c>
    </row>
    <row r="34" spans="1:8" x14ac:dyDescent="0.25">
      <c r="A34" s="8">
        <v>934511171</v>
      </c>
      <c r="B34" t="s">
        <v>144</v>
      </c>
      <c r="D34" s="8" t="s">
        <v>267</v>
      </c>
      <c r="E34" s="8" t="str">
        <f t="shared" si="0"/>
        <v>00026524394KOVR</v>
      </c>
      <c r="F34" t="str">
        <f t="shared" si="1"/>
        <v>JASON ROLLER</v>
      </c>
      <c r="G34">
        <v>16228684</v>
      </c>
      <c r="H34" t="str">
        <f t="shared" si="2"/>
        <v>16228684OVR</v>
      </c>
    </row>
    <row r="35" spans="1:8" x14ac:dyDescent="0.25">
      <c r="A35" s="8">
        <v>934511171</v>
      </c>
      <c r="B35" t="s">
        <v>144</v>
      </c>
      <c r="D35" s="8" t="s">
        <v>270</v>
      </c>
      <c r="E35" s="8" t="str">
        <f t="shared" si="0"/>
        <v>00013027171KOVR</v>
      </c>
      <c r="F35" t="str">
        <f t="shared" si="1"/>
        <v>GREGORY TEIPEL</v>
      </c>
      <c r="G35">
        <v>8307933</v>
      </c>
      <c r="H35" t="str">
        <f t="shared" si="2"/>
        <v>8307933OVR</v>
      </c>
    </row>
    <row r="36" spans="1:8" x14ac:dyDescent="0.25">
      <c r="A36" s="8">
        <v>974303523</v>
      </c>
      <c r="B36" t="s">
        <v>171</v>
      </c>
      <c r="D36" s="8" t="s">
        <v>271</v>
      </c>
      <c r="E36" s="8" t="str">
        <f t="shared" si="0"/>
        <v>00020726827KOVR</v>
      </c>
      <c r="F36" t="str">
        <f t="shared" si="1"/>
        <v>JACOB YALE</v>
      </c>
      <c r="G36">
        <v>18754354</v>
      </c>
      <c r="H36" t="str">
        <f t="shared" si="2"/>
        <v>18754354OVR</v>
      </c>
    </row>
    <row r="37" spans="1:8" x14ac:dyDescent="0.25">
      <c r="A37" s="8">
        <v>974303523</v>
      </c>
      <c r="B37" t="s">
        <v>171</v>
      </c>
      <c r="D37" s="8" t="s">
        <v>272</v>
      </c>
      <c r="E37" s="8" t="str">
        <f t="shared" si="0"/>
        <v>00025733189KOVR</v>
      </c>
      <c r="F37" t="str">
        <f t="shared" si="1"/>
        <v>STACEY PORTUGAL</v>
      </c>
      <c r="G37">
        <v>19645587</v>
      </c>
      <c r="H37" t="str">
        <f t="shared" si="2"/>
        <v>19645587OVR</v>
      </c>
    </row>
    <row r="38" spans="1:8" x14ac:dyDescent="0.25">
      <c r="A38" s="8" t="s">
        <v>268</v>
      </c>
      <c r="B38" t="s">
        <v>177</v>
      </c>
      <c r="D38" s="8" t="s">
        <v>273</v>
      </c>
      <c r="E38" s="8" t="str">
        <f t="shared" si="0"/>
        <v>00025840083KOVR</v>
      </c>
      <c r="F38" t="str">
        <f t="shared" si="1"/>
        <v>GREGORY TEIPEL</v>
      </c>
      <c r="G38">
        <v>8307933</v>
      </c>
      <c r="H38" t="str">
        <f t="shared" si="2"/>
        <v>8307933OVR</v>
      </c>
    </row>
    <row r="39" spans="1:8" x14ac:dyDescent="0.25">
      <c r="A39" s="8" t="s">
        <v>269</v>
      </c>
      <c r="B39" t="s">
        <v>182</v>
      </c>
      <c r="D39" s="8" t="s">
        <v>274</v>
      </c>
      <c r="E39" s="8" t="str">
        <f t="shared" si="0"/>
        <v>00026354524KOVR</v>
      </c>
      <c r="F39" t="str">
        <f t="shared" si="1"/>
        <v>CHRISTIAN TAUGNER</v>
      </c>
      <c r="G39">
        <v>19681796</v>
      </c>
      <c r="H39" t="str">
        <f t="shared" si="2"/>
        <v>19681796OVR</v>
      </c>
    </row>
    <row r="40" spans="1:8" x14ac:dyDescent="0.25">
      <c r="A40" s="8" t="s">
        <v>250</v>
      </c>
      <c r="B40" t="s">
        <v>187</v>
      </c>
      <c r="D40" s="8" t="s">
        <v>276</v>
      </c>
      <c r="E40" s="8" t="str">
        <f t="shared" si="0"/>
        <v>00026502399KOVR</v>
      </c>
      <c r="F40" t="str">
        <f t="shared" si="1"/>
        <v>ANDREW CHOI</v>
      </c>
      <c r="G40">
        <v>7470776</v>
      </c>
      <c r="H40" t="str">
        <f t="shared" si="2"/>
        <v>7470776OVR</v>
      </c>
    </row>
    <row r="41" spans="1:8" x14ac:dyDescent="0.25">
      <c r="A41" s="8" t="s">
        <v>251</v>
      </c>
      <c r="B41" t="s">
        <v>187</v>
      </c>
      <c r="D41" s="8" t="s">
        <v>277</v>
      </c>
      <c r="E41" s="8" t="str">
        <f t="shared" si="0"/>
        <v>00026506360KOVR</v>
      </c>
      <c r="F41" t="str">
        <f t="shared" si="1"/>
        <v>BARRY SCHUMANN</v>
      </c>
      <c r="G41">
        <v>19586992</v>
      </c>
      <c r="H41" t="str">
        <f t="shared" si="2"/>
        <v>19586992OVR</v>
      </c>
    </row>
    <row r="42" spans="1:8" x14ac:dyDescent="0.25">
      <c r="A42" s="8" t="s">
        <v>191</v>
      </c>
      <c r="D42" s="8" t="s">
        <v>278</v>
      </c>
      <c r="E42" s="8" t="str">
        <f t="shared" si="0"/>
        <v>00022162882KOVR</v>
      </c>
      <c r="F42" t="str">
        <f t="shared" si="1"/>
        <v>ANTHONY HUNSBERGER</v>
      </c>
      <c r="G42">
        <v>7146581</v>
      </c>
      <c r="H42" t="str">
        <f t="shared" si="2"/>
        <v>7146581OVR</v>
      </c>
    </row>
    <row r="43" spans="1:8" x14ac:dyDescent="0.25">
      <c r="A43" s="8" t="s">
        <v>191</v>
      </c>
      <c r="D43" s="8">
        <v>136048357</v>
      </c>
      <c r="E43" s="8" t="str">
        <f t="shared" si="0"/>
        <v>136048357OVR</v>
      </c>
      <c r="F43" t="str">
        <f t="shared" si="1"/>
        <v>STACEY PORTUGAL</v>
      </c>
      <c r="G43">
        <v>19645587</v>
      </c>
      <c r="H43" t="str">
        <f t="shared" si="2"/>
        <v>19645587OVR</v>
      </c>
    </row>
    <row r="44" spans="1:8" x14ac:dyDescent="0.25">
      <c r="A44" s="8" t="s">
        <v>270</v>
      </c>
      <c r="B44" t="s">
        <v>48</v>
      </c>
      <c r="D44" s="8">
        <v>925786770</v>
      </c>
      <c r="E44" s="8" t="str">
        <f t="shared" si="0"/>
        <v>925786770OVR</v>
      </c>
      <c r="F44" t="str">
        <f t="shared" si="1"/>
        <v>HEATHER GESKE</v>
      </c>
      <c r="G44">
        <v>16865615</v>
      </c>
      <c r="H44" t="str">
        <f t="shared" si="2"/>
        <v>16865615OVR</v>
      </c>
    </row>
    <row r="45" spans="1:8" x14ac:dyDescent="0.25">
      <c r="A45" s="8" t="s">
        <v>271</v>
      </c>
      <c r="B45" t="s">
        <v>204</v>
      </c>
      <c r="D45" s="8">
        <v>934511171</v>
      </c>
      <c r="E45" s="8" t="str">
        <f t="shared" si="0"/>
        <v>934511171OVR</v>
      </c>
      <c r="F45" t="str">
        <f t="shared" si="1"/>
        <v>RICARDO SANTOS</v>
      </c>
      <c r="G45">
        <v>19200754</v>
      </c>
      <c r="H45" t="str">
        <f t="shared" si="2"/>
        <v>19200754OVR</v>
      </c>
    </row>
    <row r="46" spans="1:8" x14ac:dyDescent="0.25">
      <c r="A46" s="8" t="s">
        <v>278</v>
      </c>
      <c r="B46" t="s">
        <v>208</v>
      </c>
      <c r="D46" s="8">
        <v>974303523</v>
      </c>
      <c r="E46" s="8" t="str">
        <f t="shared" si="0"/>
        <v>974303523OVR</v>
      </c>
      <c r="F46" t="str">
        <f t="shared" si="1"/>
        <v>ANTONIA NEVAREZ</v>
      </c>
      <c r="G46">
        <v>21646325</v>
      </c>
      <c r="H46" t="str">
        <f t="shared" si="2"/>
        <v>21646325OVR</v>
      </c>
    </row>
    <row r="47" spans="1:8" x14ac:dyDescent="0.25">
      <c r="A47" s="8" t="s">
        <v>275</v>
      </c>
      <c r="B47" t="s">
        <v>214</v>
      </c>
      <c r="D47" s="8">
        <v>916237202</v>
      </c>
      <c r="E47" s="8" t="str">
        <f t="shared" si="0"/>
        <v>916237202OVR</v>
      </c>
      <c r="F47" t="str">
        <f t="shared" si="1"/>
        <v>GARY PORTUGAL</v>
      </c>
      <c r="G47">
        <v>9213293</v>
      </c>
      <c r="H47" t="str">
        <f t="shared" si="2"/>
        <v>9213293OVR</v>
      </c>
    </row>
    <row r="48" spans="1:8" x14ac:dyDescent="0.25">
      <c r="A48" s="8" t="s">
        <v>272</v>
      </c>
      <c r="B48" t="s">
        <v>117</v>
      </c>
    </row>
    <row r="49" spans="1:5" x14ac:dyDescent="0.25">
      <c r="A49" s="8" t="s">
        <v>273</v>
      </c>
      <c r="B49" t="s">
        <v>48</v>
      </c>
    </row>
    <row r="50" spans="1:5" x14ac:dyDescent="0.25">
      <c r="A50" s="8" t="s">
        <v>274</v>
      </c>
      <c r="B50" t="s">
        <v>85</v>
      </c>
    </row>
    <row r="51" spans="1:5" x14ac:dyDescent="0.25">
      <c r="A51" s="8" t="s">
        <v>276</v>
      </c>
      <c r="B51" t="s">
        <v>68</v>
      </c>
      <c r="D51" s="9"/>
      <c r="E51" s="9"/>
    </row>
    <row r="52" spans="1:5" x14ac:dyDescent="0.25">
      <c r="A52" s="8" t="s">
        <v>277</v>
      </c>
      <c r="B52" t="s">
        <v>187</v>
      </c>
      <c r="D52" s="9"/>
      <c r="E52" s="9"/>
    </row>
    <row r="53" spans="1:5" x14ac:dyDescent="0.25">
      <c r="A53" s="8">
        <v>102160129600</v>
      </c>
      <c r="B53" t="s">
        <v>187</v>
      </c>
      <c r="D53" s="9"/>
      <c r="E53" s="9"/>
    </row>
    <row r="54" spans="1:5" x14ac:dyDescent="0.25">
      <c r="A54" s="8">
        <v>102224747400</v>
      </c>
      <c r="B54" t="s">
        <v>204</v>
      </c>
      <c r="D54" s="9"/>
      <c r="E54" s="9"/>
    </row>
    <row r="55" spans="1:5" x14ac:dyDescent="0.25">
      <c r="A55" s="8">
        <v>102244049900</v>
      </c>
      <c r="B55" t="s">
        <v>48</v>
      </c>
      <c r="D55" s="9"/>
      <c r="E55" s="9"/>
    </row>
    <row r="56" spans="1:5" x14ac:dyDescent="0.25">
      <c r="A56" s="8">
        <v>102245342600</v>
      </c>
      <c r="B56" t="s">
        <v>121</v>
      </c>
    </row>
    <row r="57" spans="1:5" x14ac:dyDescent="0.25">
      <c r="A57" s="8">
        <v>102274517600</v>
      </c>
      <c r="B57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30E9-5654-4F28-ABBC-1E7EB5AB525B}">
  <dimension ref="A1:R63"/>
  <sheetViews>
    <sheetView topLeftCell="A19" workbookViewId="0">
      <selection activeCell="A2" sqref="A2:A55"/>
    </sheetView>
  </sheetViews>
  <sheetFormatPr defaultRowHeight="15" x14ac:dyDescent="0.25"/>
  <cols>
    <col min="1" max="1" width="23.140625" bestFit="1" customWidth="1"/>
    <col min="2" max="2" width="23.140625" customWidth="1"/>
    <col min="3" max="3" width="25.5703125" bestFit="1" customWidth="1"/>
    <col min="4" max="4" width="5.28515625" bestFit="1" customWidth="1"/>
    <col min="5" max="5" width="14.28515625" bestFit="1" customWidth="1"/>
    <col min="6" max="6" width="22.28515625" bestFit="1" customWidth="1"/>
    <col min="7" max="7" width="12.140625" bestFit="1" customWidth="1"/>
    <col min="8" max="8" width="49" bestFit="1" customWidth="1"/>
    <col min="9" max="9" width="9.42578125" bestFit="1" customWidth="1"/>
    <col min="10" max="10" width="13.42578125" bestFit="1" customWidth="1"/>
    <col min="11" max="11" width="8.5703125" bestFit="1" customWidth="1"/>
    <col min="12" max="12" width="14.42578125" bestFit="1" customWidth="1"/>
    <col min="13" max="13" width="15.7109375" bestFit="1" customWidth="1"/>
    <col min="14" max="14" width="15.7109375" customWidth="1"/>
    <col min="15" max="15" width="16" bestFit="1" customWidth="1"/>
    <col min="16" max="16" width="15" customWidth="1"/>
    <col min="17" max="17" width="45.5703125" bestFit="1" customWidth="1"/>
  </cols>
  <sheetData>
    <row r="1" spans="1:17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20</v>
      </c>
      <c r="K1" t="s">
        <v>23</v>
      </c>
      <c r="L1" t="s">
        <v>25</v>
      </c>
      <c r="M1" t="s">
        <v>26</v>
      </c>
      <c r="O1" t="s">
        <v>28</v>
      </c>
      <c r="P1" t="s">
        <v>37</v>
      </c>
    </row>
    <row r="2" spans="1:17" x14ac:dyDescent="0.25">
      <c r="A2" s="8">
        <v>102160129600</v>
      </c>
      <c r="B2" s="8" t="str">
        <f>CONCATENATE(A2,"OVR")</f>
        <v>102160129600OVR</v>
      </c>
      <c r="C2" t="s">
        <v>185</v>
      </c>
      <c r="D2" t="s">
        <v>46</v>
      </c>
      <c r="E2">
        <v>20411454</v>
      </c>
      <c r="F2" t="s">
        <v>244</v>
      </c>
      <c r="G2" t="s">
        <v>200</v>
      </c>
      <c r="H2" t="s">
        <v>228</v>
      </c>
      <c r="I2" s="1">
        <v>46023</v>
      </c>
      <c r="J2" t="s">
        <v>51</v>
      </c>
      <c r="K2" t="s">
        <v>52</v>
      </c>
      <c r="N2">
        <v>-16.670000000000002</v>
      </c>
      <c r="O2">
        <v>-16.670000000000002</v>
      </c>
      <c r="Q2" t="s">
        <v>239</v>
      </c>
    </row>
    <row r="3" spans="1:17" x14ac:dyDescent="0.25">
      <c r="A3" s="8">
        <v>102244049900</v>
      </c>
      <c r="B3" s="8" t="str">
        <f t="shared" ref="B3:B42" si="0">CONCATENATE(A3,"OVR")</f>
        <v>102244049900OVR</v>
      </c>
      <c r="C3" t="s">
        <v>234</v>
      </c>
      <c r="D3" t="s">
        <v>235</v>
      </c>
      <c r="E3">
        <v>20411454</v>
      </c>
      <c r="F3" t="s">
        <v>244</v>
      </c>
      <c r="G3" t="s">
        <v>200</v>
      </c>
      <c r="H3" t="s">
        <v>228</v>
      </c>
      <c r="I3" s="1">
        <v>46023</v>
      </c>
      <c r="J3" t="s">
        <v>51</v>
      </c>
      <c r="K3" t="s">
        <v>52</v>
      </c>
      <c r="N3">
        <v>-16.670000000000002</v>
      </c>
      <c r="O3">
        <v>-16.670000000000002</v>
      </c>
      <c r="Q3" t="s">
        <v>239</v>
      </c>
    </row>
    <row r="4" spans="1:17" x14ac:dyDescent="0.25">
      <c r="A4" s="8">
        <v>102245342600</v>
      </c>
      <c r="B4" s="8" t="str">
        <f t="shared" si="0"/>
        <v>102245342600OVR</v>
      </c>
      <c r="C4" t="s">
        <v>237</v>
      </c>
      <c r="D4" t="s">
        <v>46</v>
      </c>
      <c r="E4">
        <v>20411454</v>
      </c>
      <c r="F4" t="s">
        <v>244</v>
      </c>
      <c r="G4" t="s">
        <v>200</v>
      </c>
      <c r="H4" t="s">
        <v>228</v>
      </c>
      <c r="I4" s="1">
        <v>46023</v>
      </c>
      <c r="J4" t="s">
        <v>51</v>
      </c>
      <c r="K4" t="s">
        <v>52</v>
      </c>
      <c r="N4">
        <v>-14.58</v>
      </c>
      <c r="O4">
        <v>-14.58</v>
      </c>
      <c r="Q4" t="s">
        <v>239</v>
      </c>
    </row>
    <row r="5" spans="1:17" x14ac:dyDescent="0.25">
      <c r="A5" s="8">
        <v>102224747400</v>
      </c>
      <c r="B5" s="8" t="str">
        <f t="shared" si="0"/>
        <v>102224747400OVR</v>
      </c>
      <c r="C5" t="s">
        <v>230</v>
      </c>
      <c r="D5" t="s">
        <v>231</v>
      </c>
      <c r="E5">
        <v>20411454</v>
      </c>
      <c r="F5" t="s">
        <v>244</v>
      </c>
      <c r="G5" t="s">
        <v>200</v>
      </c>
      <c r="H5" t="s">
        <v>232</v>
      </c>
      <c r="I5" s="1">
        <v>46054</v>
      </c>
      <c r="J5" t="s">
        <v>51</v>
      </c>
      <c r="K5" t="s">
        <v>52</v>
      </c>
      <c r="N5">
        <v>-11.25</v>
      </c>
      <c r="O5">
        <v>-11.25</v>
      </c>
      <c r="Q5" t="s">
        <v>239</v>
      </c>
    </row>
    <row r="6" spans="1:17" x14ac:dyDescent="0.25">
      <c r="A6" s="8">
        <v>102277422000</v>
      </c>
      <c r="B6" s="8" t="str">
        <f t="shared" si="0"/>
        <v>102277422000OVR</v>
      </c>
      <c r="C6" t="s">
        <v>96</v>
      </c>
      <c r="D6" t="s">
        <v>46</v>
      </c>
      <c r="E6">
        <v>20411454</v>
      </c>
      <c r="F6" t="s">
        <v>244</v>
      </c>
      <c r="G6" t="s">
        <v>49</v>
      </c>
      <c r="H6" t="s">
        <v>99</v>
      </c>
      <c r="I6" s="1">
        <v>46143</v>
      </c>
      <c r="J6" t="s">
        <v>51</v>
      </c>
      <c r="K6" t="s">
        <v>52</v>
      </c>
      <c r="L6" s="2">
        <v>16.670000000000002</v>
      </c>
      <c r="M6">
        <v>1</v>
      </c>
      <c r="N6" s="2">
        <v>16.670000000000002</v>
      </c>
      <c r="O6" s="2">
        <v>16.670000000000002</v>
      </c>
      <c r="P6" t="s">
        <v>100</v>
      </c>
      <c r="Q6" t="s">
        <v>239</v>
      </c>
    </row>
    <row r="7" spans="1:17" x14ac:dyDescent="0.25">
      <c r="A7" s="8">
        <v>102277451400</v>
      </c>
      <c r="B7" s="8" t="str">
        <f t="shared" si="0"/>
        <v>102277451400OVR</v>
      </c>
      <c r="C7" t="s">
        <v>102</v>
      </c>
      <c r="D7" t="s">
        <v>103</v>
      </c>
      <c r="E7">
        <v>20411454</v>
      </c>
      <c r="F7" t="s">
        <v>244</v>
      </c>
      <c r="G7" t="s">
        <v>49</v>
      </c>
      <c r="H7" t="s">
        <v>99</v>
      </c>
      <c r="I7" s="1">
        <v>46143</v>
      </c>
      <c r="J7" t="s">
        <v>51</v>
      </c>
      <c r="K7" t="s">
        <v>52</v>
      </c>
      <c r="L7" s="2">
        <v>16.670000000000002</v>
      </c>
      <c r="M7">
        <v>1</v>
      </c>
      <c r="N7" s="2">
        <v>16.670000000000002</v>
      </c>
      <c r="O7" s="2">
        <v>16.670000000000002</v>
      </c>
      <c r="P7" t="s">
        <v>100</v>
      </c>
      <c r="Q7" t="s">
        <v>239</v>
      </c>
    </row>
    <row r="8" spans="1:17" x14ac:dyDescent="0.25">
      <c r="A8" s="8">
        <v>102277514700</v>
      </c>
      <c r="B8" s="8" t="str">
        <f t="shared" si="0"/>
        <v>102277514700OVR</v>
      </c>
      <c r="C8" t="s">
        <v>107</v>
      </c>
      <c r="D8" t="s">
        <v>108</v>
      </c>
      <c r="E8">
        <v>20411454</v>
      </c>
      <c r="F8" t="s">
        <v>244</v>
      </c>
      <c r="G8" t="s">
        <v>49</v>
      </c>
      <c r="H8" t="s">
        <v>99</v>
      </c>
      <c r="I8" s="1">
        <v>46143</v>
      </c>
      <c r="J8" t="s">
        <v>51</v>
      </c>
      <c r="K8" t="s">
        <v>52</v>
      </c>
      <c r="L8" s="2">
        <v>16.670000000000002</v>
      </c>
      <c r="M8">
        <v>1</v>
      </c>
      <c r="N8" s="2">
        <v>16.670000000000002</v>
      </c>
      <c r="O8" s="2">
        <v>16.670000000000002</v>
      </c>
      <c r="P8" t="s">
        <v>100</v>
      </c>
      <c r="Q8" t="s">
        <v>239</v>
      </c>
    </row>
    <row r="9" spans="1:17" x14ac:dyDescent="0.25">
      <c r="A9" s="8">
        <v>102277560300</v>
      </c>
      <c r="B9" s="8" t="str">
        <f t="shared" si="0"/>
        <v>102277560300OVR</v>
      </c>
      <c r="C9" t="s">
        <v>112</v>
      </c>
      <c r="D9" t="s">
        <v>108</v>
      </c>
      <c r="E9">
        <v>20411454</v>
      </c>
      <c r="F9" t="s">
        <v>244</v>
      </c>
      <c r="G9" t="s">
        <v>49</v>
      </c>
      <c r="H9" t="s">
        <v>99</v>
      </c>
      <c r="I9" s="1">
        <v>46143</v>
      </c>
      <c r="J9" t="s">
        <v>51</v>
      </c>
      <c r="K9" t="s">
        <v>52</v>
      </c>
      <c r="L9" s="2">
        <v>16.670000000000002</v>
      </c>
      <c r="M9">
        <v>1</v>
      </c>
      <c r="N9" s="2">
        <v>16.670000000000002</v>
      </c>
      <c r="O9" s="2">
        <v>16.670000000000002</v>
      </c>
      <c r="P9" t="s">
        <v>100</v>
      </c>
      <c r="Q9" t="s">
        <v>239</v>
      </c>
    </row>
    <row r="10" spans="1:17" x14ac:dyDescent="0.25">
      <c r="A10" s="8">
        <v>102277718400</v>
      </c>
      <c r="B10" s="8" t="str">
        <f t="shared" si="0"/>
        <v>102277718400OVR</v>
      </c>
      <c r="C10" t="s">
        <v>114</v>
      </c>
      <c r="D10" t="s">
        <v>115</v>
      </c>
      <c r="E10">
        <v>20411454</v>
      </c>
      <c r="F10" t="s">
        <v>244</v>
      </c>
      <c r="G10" t="s">
        <v>49</v>
      </c>
      <c r="H10" t="s">
        <v>99</v>
      </c>
      <c r="I10" s="1">
        <v>46143</v>
      </c>
      <c r="J10" t="s">
        <v>51</v>
      </c>
      <c r="K10" t="s">
        <v>52</v>
      </c>
      <c r="L10" s="2">
        <v>16.670000000000002</v>
      </c>
      <c r="M10">
        <v>1</v>
      </c>
      <c r="N10" s="2">
        <v>16.670000000000002</v>
      </c>
      <c r="O10" s="2">
        <v>16.670000000000002</v>
      </c>
      <c r="P10" t="s">
        <v>100</v>
      </c>
      <c r="Q10" t="s">
        <v>239</v>
      </c>
    </row>
    <row r="11" spans="1:17" x14ac:dyDescent="0.25">
      <c r="A11" s="8">
        <v>102278084400</v>
      </c>
      <c r="B11" s="8" t="str">
        <f t="shared" si="0"/>
        <v>102278084400OVR</v>
      </c>
      <c r="C11" t="s">
        <v>119</v>
      </c>
      <c r="D11" t="s">
        <v>46</v>
      </c>
      <c r="E11">
        <v>20411454</v>
      </c>
      <c r="F11" t="s">
        <v>244</v>
      </c>
      <c r="G11" t="s">
        <v>49</v>
      </c>
      <c r="H11" t="s">
        <v>99</v>
      </c>
      <c r="I11" s="1">
        <v>46204</v>
      </c>
      <c r="J11" t="s">
        <v>51</v>
      </c>
      <c r="K11" t="s">
        <v>52</v>
      </c>
      <c r="L11" s="2">
        <v>12.5</v>
      </c>
      <c r="M11">
        <v>1</v>
      </c>
      <c r="N11" s="2">
        <v>12.5</v>
      </c>
      <c r="O11" s="2">
        <v>12.5</v>
      </c>
      <c r="P11" t="s">
        <v>122</v>
      </c>
      <c r="Q11" t="s">
        <v>239</v>
      </c>
    </row>
    <row r="12" spans="1:17" x14ac:dyDescent="0.25">
      <c r="A12" s="8">
        <v>102278123800</v>
      </c>
      <c r="B12" s="8" t="str">
        <f t="shared" si="0"/>
        <v>102278123800OVR</v>
      </c>
      <c r="C12" t="s">
        <v>124</v>
      </c>
      <c r="D12" t="s">
        <v>108</v>
      </c>
      <c r="E12">
        <v>20411454</v>
      </c>
      <c r="F12" t="s">
        <v>244</v>
      </c>
      <c r="G12" t="s">
        <v>49</v>
      </c>
      <c r="H12" t="s">
        <v>99</v>
      </c>
      <c r="I12" s="1">
        <v>46143</v>
      </c>
      <c r="J12" t="s">
        <v>51</v>
      </c>
      <c r="K12" t="s">
        <v>52</v>
      </c>
      <c r="L12" s="2">
        <v>16.670000000000002</v>
      </c>
      <c r="M12">
        <v>1</v>
      </c>
      <c r="N12" s="2">
        <v>16.670000000000002</v>
      </c>
      <c r="O12" s="2">
        <v>16.670000000000002</v>
      </c>
      <c r="P12" t="s">
        <v>100</v>
      </c>
      <c r="Q12" t="s">
        <v>239</v>
      </c>
    </row>
    <row r="13" spans="1:17" x14ac:dyDescent="0.25">
      <c r="A13" s="8">
        <v>102278225800</v>
      </c>
      <c r="B13" s="8" t="str">
        <f t="shared" si="0"/>
        <v>102278225800OVR</v>
      </c>
      <c r="C13" t="s">
        <v>126</v>
      </c>
      <c r="D13" t="s">
        <v>108</v>
      </c>
      <c r="E13">
        <v>20411454</v>
      </c>
      <c r="F13" t="s">
        <v>244</v>
      </c>
      <c r="G13" t="s">
        <v>49</v>
      </c>
      <c r="H13" t="s">
        <v>99</v>
      </c>
      <c r="I13" s="1">
        <v>46143</v>
      </c>
      <c r="J13" t="s">
        <v>51</v>
      </c>
      <c r="K13" t="s">
        <v>52</v>
      </c>
      <c r="L13" s="2">
        <v>16.670000000000002</v>
      </c>
      <c r="M13">
        <v>1</v>
      </c>
      <c r="N13" s="2">
        <v>16.670000000000002</v>
      </c>
      <c r="O13" s="2">
        <v>16.670000000000002</v>
      </c>
      <c r="P13" t="s">
        <v>100</v>
      </c>
      <c r="Q13" t="s">
        <v>239</v>
      </c>
    </row>
    <row r="14" spans="1:17" x14ac:dyDescent="0.25">
      <c r="A14" s="8">
        <v>102278678100</v>
      </c>
      <c r="B14" s="8" t="str">
        <f t="shared" si="0"/>
        <v>102278678100OVR</v>
      </c>
      <c r="C14" t="s">
        <v>130</v>
      </c>
      <c r="D14" t="s">
        <v>46</v>
      </c>
      <c r="E14">
        <v>20411454</v>
      </c>
      <c r="F14" t="s">
        <v>244</v>
      </c>
      <c r="G14" t="s">
        <v>49</v>
      </c>
      <c r="H14" t="s">
        <v>99</v>
      </c>
      <c r="I14" s="1">
        <v>46174</v>
      </c>
      <c r="J14" t="s">
        <v>51</v>
      </c>
      <c r="K14" t="s">
        <v>52</v>
      </c>
      <c r="L14" s="2">
        <v>14.58</v>
      </c>
      <c r="M14">
        <v>1</v>
      </c>
      <c r="N14" s="2">
        <v>14.58</v>
      </c>
      <c r="O14" s="2">
        <v>14.58</v>
      </c>
      <c r="P14" t="s">
        <v>131</v>
      </c>
      <c r="Q14" t="s">
        <v>239</v>
      </c>
    </row>
    <row r="15" spans="1:17" x14ac:dyDescent="0.25">
      <c r="A15" s="8">
        <v>102278948300</v>
      </c>
      <c r="B15" s="8" t="str">
        <f t="shared" si="0"/>
        <v>102278948300OVR</v>
      </c>
      <c r="C15" t="s">
        <v>133</v>
      </c>
      <c r="D15" t="s">
        <v>108</v>
      </c>
      <c r="E15">
        <v>20411454</v>
      </c>
      <c r="F15" t="s">
        <v>244</v>
      </c>
      <c r="G15" t="s">
        <v>49</v>
      </c>
      <c r="H15" t="s">
        <v>99</v>
      </c>
      <c r="I15" s="1">
        <v>46204</v>
      </c>
      <c r="J15" t="s">
        <v>51</v>
      </c>
      <c r="K15" t="s">
        <v>52</v>
      </c>
      <c r="L15" s="2">
        <v>12.5</v>
      </c>
      <c r="M15">
        <v>1</v>
      </c>
      <c r="N15" s="2">
        <v>12.5</v>
      </c>
      <c r="O15" s="2">
        <v>12.5</v>
      </c>
      <c r="P15" t="s">
        <v>122</v>
      </c>
      <c r="Q15" t="s">
        <v>239</v>
      </c>
    </row>
    <row r="16" spans="1:17" x14ac:dyDescent="0.25">
      <c r="A16" s="8" t="s">
        <v>250</v>
      </c>
      <c r="B16" s="8" t="str">
        <f t="shared" si="0"/>
        <v>MEQNDVYM00000313780OVR</v>
      </c>
      <c r="C16" t="s">
        <v>185</v>
      </c>
      <c r="D16" t="s">
        <v>46</v>
      </c>
      <c r="E16">
        <v>20411454</v>
      </c>
      <c r="F16" t="s">
        <v>244</v>
      </c>
      <c r="G16" t="s">
        <v>49</v>
      </c>
      <c r="H16" t="s">
        <v>99</v>
      </c>
      <c r="I16" s="1">
        <v>46143</v>
      </c>
      <c r="J16" t="s">
        <v>51</v>
      </c>
      <c r="K16" t="s">
        <v>52</v>
      </c>
      <c r="L16" s="2">
        <v>16.670000000000002</v>
      </c>
      <c r="M16">
        <v>1</v>
      </c>
      <c r="N16" s="2">
        <v>16.670000000000002</v>
      </c>
      <c r="O16" s="2">
        <v>16.670000000000002</v>
      </c>
      <c r="P16" t="s">
        <v>100</v>
      </c>
      <c r="Q16" t="s">
        <v>239</v>
      </c>
    </row>
    <row r="17" spans="1:17" x14ac:dyDescent="0.25">
      <c r="A17" s="8" t="s">
        <v>251</v>
      </c>
      <c r="B17" s="8" t="str">
        <f t="shared" si="0"/>
        <v>MEQNPDZM00002601589OVR</v>
      </c>
      <c r="C17" t="s">
        <v>189</v>
      </c>
      <c r="D17" t="s">
        <v>46</v>
      </c>
      <c r="E17">
        <v>20411454</v>
      </c>
      <c r="F17" t="s">
        <v>244</v>
      </c>
      <c r="G17" t="s">
        <v>49</v>
      </c>
      <c r="H17" t="s">
        <v>99</v>
      </c>
      <c r="I17" s="1">
        <v>46143</v>
      </c>
      <c r="J17" t="s">
        <v>51</v>
      </c>
      <c r="K17" t="s">
        <v>52</v>
      </c>
      <c r="L17" s="2">
        <v>16.670000000000002</v>
      </c>
      <c r="M17">
        <v>1</v>
      </c>
      <c r="N17" s="2">
        <v>16.670000000000002</v>
      </c>
      <c r="O17" s="2">
        <v>16.670000000000002</v>
      </c>
      <c r="P17" t="s">
        <v>100</v>
      </c>
      <c r="Q17" t="s">
        <v>239</v>
      </c>
    </row>
    <row r="18" spans="1:17" x14ac:dyDescent="0.25">
      <c r="A18" s="8">
        <v>102274517600</v>
      </c>
      <c r="B18" s="8" t="str">
        <f t="shared" si="0"/>
        <v>102274517600OVR</v>
      </c>
      <c r="C18" t="s">
        <v>189</v>
      </c>
      <c r="D18" t="s">
        <v>46</v>
      </c>
      <c r="E18">
        <v>20411454</v>
      </c>
      <c r="F18" t="s">
        <v>244</v>
      </c>
      <c r="G18" t="s">
        <v>200</v>
      </c>
      <c r="H18" t="s">
        <v>99</v>
      </c>
      <c r="I18" s="1">
        <v>46113</v>
      </c>
      <c r="J18" t="s">
        <v>51</v>
      </c>
      <c r="K18" t="s">
        <v>52</v>
      </c>
      <c r="N18">
        <v>-16.670000000000002</v>
      </c>
      <c r="O18">
        <v>-16.670000000000002</v>
      </c>
      <c r="Q18" t="s">
        <v>239</v>
      </c>
    </row>
    <row r="19" spans="1:17" x14ac:dyDescent="0.25">
      <c r="A19" s="8" t="s">
        <v>252</v>
      </c>
      <c r="B19" s="8" t="str">
        <f t="shared" si="0"/>
        <v>845W26780OVR</v>
      </c>
      <c r="C19" t="s">
        <v>149</v>
      </c>
      <c r="D19" t="s">
        <v>150</v>
      </c>
      <c r="E19">
        <v>20411454</v>
      </c>
      <c r="F19" t="s">
        <v>244</v>
      </c>
      <c r="G19" t="s">
        <v>49</v>
      </c>
      <c r="H19" t="s">
        <v>151</v>
      </c>
      <c r="I19" s="1">
        <v>46113</v>
      </c>
      <c r="J19" t="s">
        <v>51</v>
      </c>
      <c r="K19" t="s">
        <v>52</v>
      </c>
      <c r="L19" s="2">
        <v>175</v>
      </c>
      <c r="M19">
        <v>1</v>
      </c>
      <c r="N19" s="2">
        <v>175</v>
      </c>
      <c r="O19" s="2">
        <v>175</v>
      </c>
      <c r="Q19" t="s">
        <v>240</v>
      </c>
    </row>
    <row r="20" spans="1:17" x14ac:dyDescent="0.25">
      <c r="A20" s="8" t="s">
        <v>253</v>
      </c>
      <c r="B20" s="8" t="str">
        <f t="shared" si="0"/>
        <v>17A4L6R65OVR</v>
      </c>
      <c r="C20" t="s">
        <v>142</v>
      </c>
      <c r="D20" t="s">
        <v>46</v>
      </c>
      <c r="E20">
        <v>20411454</v>
      </c>
      <c r="F20" t="s">
        <v>244</v>
      </c>
      <c r="G20" t="s">
        <v>49</v>
      </c>
      <c r="H20" t="s">
        <v>145</v>
      </c>
      <c r="I20" s="1">
        <v>46143</v>
      </c>
      <c r="J20" t="s">
        <v>51</v>
      </c>
      <c r="K20" t="s">
        <v>52</v>
      </c>
      <c r="L20" s="2">
        <v>100</v>
      </c>
      <c r="M20">
        <v>1</v>
      </c>
      <c r="N20" s="2">
        <v>100</v>
      </c>
      <c r="O20" s="2">
        <v>100</v>
      </c>
      <c r="Q20" t="s">
        <v>241</v>
      </c>
    </row>
    <row r="21" spans="1:17" x14ac:dyDescent="0.25">
      <c r="A21" s="8" t="s">
        <v>254</v>
      </c>
      <c r="B21" s="8" t="str">
        <f t="shared" si="0"/>
        <v>74L1L2U45OVR</v>
      </c>
      <c r="C21" t="s">
        <v>147</v>
      </c>
      <c r="D21" t="s">
        <v>46</v>
      </c>
      <c r="E21">
        <v>20411454</v>
      </c>
      <c r="F21" t="s">
        <v>244</v>
      </c>
      <c r="G21" t="s">
        <v>49</v>
      </c>
      <c r="H21" t="s">
        <v>145</v>
      </c>
      <c r="I21" s="1">
        <v>46143</v>
      </c>
      <c r="J21" t="s">
        <v>51</v>
      </c>
      <c r="K21" t="s">
        <v>52</v>
      </c>
      <c r="L21" s="2">
        <v>100</v>
      </c>
      <c r="M21">
        <v>1</v>
      </c>
      <c r="N21" s="2">
        <v>100</v>
      </c>
      <c r="O21" s="2">
        <v>100</v>
      </c>
      <c r="Q21" t="s">
        <v>241</v>
      </c>
    </row>
    <row r="22" spans="1:17" x14ac:dyDescent="0.25">
      <c r="A22" s="8" t="s">
        <v>255</v>
      </c>
      <c r="B22" s="8" t="str">
        <f t="shared" si="0"/>
        <v>00026260016KOVR</v>
      </c>
      <c r="C22" t="s">
        <v>45</v>
      </c>
      <c r="D22" t="s">
        <v>46</v>
      </c>
      <c r="E22">
        <v>20411454</v>
      </c>
      <c r="F22" t="s">
        <v>244</v>
      </c>
      <c r="G22" t="s">
        <v>49</v>
      </c>
      <c r="H22" t="s">
        <v>50</v>
      </c>
      <c r="I22" s="1">
        <v>46174</v>
      </c>
      <c r="J22" t="s">
        <v>51</v>
      </c>
      <c r="K22" t="s">
        <v>52</v>
      </c>
      <c r="L22" s="2">
        <v>175</v>
      </c>
      <c r="M22">
        <v>1</v>
      </c>
      <c r="N22" s="2">
        <v>175</v>
      </c>
      <c r="O22" s="2">
        <v>175</v>
      </c>
      <c r="Q22" t="s">
        <v>242</v>
      </c>
    </row>
    <row r="23" spans="1:17" x14ac:dyDescent="0.25">
      <c r="A23" s="8" t="s">
        <v>256</v>
      </c>
      <c r="B23" s="8" t="str">
        <f t="shared" si="0"/>
        <v>00026507242KOVR</v>
      </c>
      <c r="C23" t="s">
        <v>54</v>
      </c>
      <c r="D23" t="s">
        <v>46</v>
      </c>
      <c r="E23">
        <v>20411454</v>
      </c>
      <c r="F23" t="s">
        <v>244</v>
      </c>
      <c r="G23" t="s">
        <v>49</v>
      </c>
      <c r="H23" t="s">
        <v>50</v>
      </c>
      <c r="I23" s="1">
        <v>46235</v>
      </c>
      <c r="J23" t="s">
        <v>51</v>
      </c>
      <c r="K23" t="s">
        <v>52</v>
      </c>
      <c r="L23" s="2">
        <v>175</v>
      </c>
      <c r="M23">
        <v>1</v>
      </c>
      <c r="N23" s="2">
        <v>175</v>
      </c>
      <c r="O23" s="2">
        <v>175</v>
      </c>
      <c r="Q23" t="s">
        <v>242</v>
      </c>
    </row>
    <row r="24" spans="1:17" x14ac:dyDescent="0.25">
      <c r="A24" s="8" t="s">
        <v>257</v>
      </c>
      <c r="B24" s="8" t="str">
        <f t="shared" si="0"/>
        <v>00026507474KOVR</v>
      </c>
      <c r="C24" t="s">
        <v>58</v>
      </c>
      <c r="D24" t="s">
        <v>46</v>
      </c>
      <c r="E24">
        <v>20411454</v>
      </c>
      <c r="F24" t="s">
        <v>244</v>
      </c>
      <c r="G24" t="s">
        <v>49</v>
      </c>
      <c r="H24" t="s">
        <v>50</v>
      </c>
      <c r="I24" s="1">
        <v>46204</v>
      </c>
      <c r="J24" t="s">
        <v>51</v>
      </c>
      <c r="K24" t="s">
        <v>52</v>
      </c>
      <c r="L24" s="2">
        <v>175</v>
      </c>
      <c r="M24">
        <v>1</v>
      </c>
      <c r="N24" s="2">
        <v>175</v>
      </c>
      <c r="O24" s="2">
        <v>175</v>
      </c>
      <c r="Q24" t="s">
        <v>242</v>
      </c>
    </row>
    <row r="25" spans="1:17" x14ac:dyDescent="0.25">
      <c r="A25" s="8" t="s">
        <v>258</v>
      </c>
      <c r="B25" s="8" t="str">
        <f t="shared" si="0"/>
        <v>00026508775KOVR</v>
      </c>
      <c r="C25" t="s">
        <v>60</v>
      </c>
      <c r="D25" t="s">
        <v>46</v>
      </c>
      <c r="E25">
        <v>20411454</v>
      </c>
      <c r="F25" t="s">
        <v>244</v>
      </c>
      <c r="G25" t="s">
        <v>49</v>
      </c>
      <c r="H25" t="s">
        <v>50</v>
      </c>
      <c r="I25" s="1">
        <v>46174</v>
      </c>
      <c r="J25" t="s">
        <v>51</v>
      </c>
      <c r="K25" t="s">
        <v>52</v>
      </c>
      <c r="L25" s="2">
        <v>175</v>
      </c>
      <c r="M25">
        <v>1</v>
      </c>
      <c r="N25" s="2">
        <v>175</v>
      </c>
      <c r="O25" s="2">
        <v>175</v>
      </c>
      <c r="Q25" t="s">
        <v>242</v>
      </c>
    </row>
    <row r="26" spans="1:17" x14ac:dyDescent="0.25">
      <c r="A26" s="8" t="s">
        <v>259</v>
      </c>
      <c r="B26" s="8" t="str">
        <f t="shared" si="0"/>
        <v>00026509769KOVR</v>
      </c>
      <c r="C26" t="s">
        <v>64</v>
      </c>
      <c r="D26" t="s">
        <v>46</v>
      </c>
      <c r="E26">
        <v>20411454</v>
      </c>
      <c r="F26" t="s">
        <v>244</v>
      </c>
      <c r="G26" t="s">
        <v>49</v>
      </c>
      <c r="H26" t="s">
        <v>50</v>
      </c>
      <c r="I26" s="1">
        <v>46174</v>
      </c>
      <c r="J26" t="s">
        <v>51</v>
      </c>
      <c r="K26" t="s">
        <v>52</v>
      </c>
      <c r="L26" s="2">
        <v>175</v>
      </c>
      <c r="M26">
        <v>1</v>
      </c>
      <c r="N26" s="2">
        <v>175</v>
      </c>
      <c r="O26" s="2">
        <v>175</v>
      </c>
      <c r="Q26" t="s">
        <v>242</v>
      </c>
    </row>
    <row r="27" spans="1:17" x14ac:dyDescent="0.25">
      <c r="A27" s="8" t="s">
        <v>260</v>
      </c>
      <c r="B27" s="8" t="str">
        <f t="shared" si="0"/>
        <v>00026511866KOVR</v>
      </c>
      <c r="C27" t="s">
        <v>66</v>
      </c>
      <c r="D27" t="s">
        <v>46</v>
      </c>
      <c r="E27">
        <v>20411454</v>
      </c>
      <c r="F27" t="s">
        <v>244</v>
      </c>
      <c r="G27" t="s">
        <v>49</v>
      </c>
      <c r="H27" t="s">
        <v>50</v>
      </c>
      <c r="I27" s="1">
        <v>46174</v>
      </c>
      <c r="J27" t="s">
        <v>51</v>
      </c>
      <c r="K27" t="s">
        <v>52</v>
      </c>
      <c r="L27" s="2">
        <v>175</v>
      </c>
      <c r="M27">
        <v>1</v>
      </c>
      <c r="N27" s="2">
        <v>175</v>
      </c>
      <c r="O27" s="2">
        <v>175</v>
      </c>
      <c r="Q27" t="s">
        <v>242</v>
      </c>
    </row>
    <row r="28" spans="1:17" x14ac:dyDescent="0.25">
      <c r="A28" s="8" t="s">
        <v>261</v>
      </c>
      <c r="B28" s="8" t="str">
        <f t="shared" si="0"/>
        <v>00026512224KOVR</v>
      </c>
      <c r="C28" t="s">
        <v>70</v>
      </c>
      <c r="D28" t="s">
        <v>46</v>
      </c>
      <c r="E28">
        <v>20411454</v>
      </c>
      <c r="F28" t="s">
        <v>244</v>
      </c>
      <c r="G28" t="s">
        <v>49</v>
      </c>
      <c r="H28" t="s">
        <v>50</v>
      </c>
      <c r="I28" s="1">
        <v>46204</v>
      </c>
      <c r="J28" t="s">
        <v>51</v>
      </c>
      <c r="K28" t="s">
        <v>52</v>
      </c>
      <c r="L28" s="2">
        <v>175</v>
      </c>
      <c r="M28">
        <v>1</v>
      </c>
      <c r="N28" s="2">
        <v>175</v>
      </c>
      <c r="O28" s="2">
        <v>175</v>
      </c>
      <c r="Q28" t="s">
        <v>242</v>
      </c>
    </row>
    <row r="29" spans="1:17" x14ac:dyDescent="0.25">
      <c r="A29" s="8" t="s">
        <v>262</v>
      </c>
      <c r="B29" s="8" t="str">
        <f t="shared" si="0"/>
        <v>00026514854KOVR</v>
      </c>
      <c r="C29" t="s">
        <v>74</v>
      </c>
      <c r="D29" t="s">
        <v>75</v>
      </c>
      <c r="E29">
        <v>20411454</v>
      </c>
      <c r="F29" t="s">
        <v>244</v>
      </c>
      <c r="G29" t="s">
        <v>49</v>
      </c>
      <c r="H29" t="s">
        <v>50</v>
      </c>
      <c r="I29" s="1">
        <v>46174</v>
      </c>
      <c r="J29" t="s">
        <v>51</v>
      </c>
      <c r="K29" t="s">
        <v>52</v>
      </c>
      <c r="L29" s="2">
        <v>175</v>
      </c>
      <c r="M29">
        <v>1</v>
      </c>
      <c r="N29" s="2">
        <v>175</v>
      </c>
      <c r="O29" s="2">
        <v>175</v>
      </c>
      <c r="Q29" t="s">
        <v>242</v>
      </c>
    </row>
    <row r="30" spans="1:17" x14ac:dyDescent="0.25">
      <c r="A30" s="8" t="s">
        <v>263</v>
      </c>
      <c r="B30" s="8" t="str">
        <f t="shared" si="0"/>
        <v>00026515084KOVR</v>
      </c>
      <c r="C30" t="s">
        <v>77</v>
      </c>
      <c r="D30" t="s">
        <v>46</v>
      </c>
      <c r="E30">
        <v>20411454</v>
      </c>
      <c r="F30" t="s">
        <v>244</v>
      </c>
      <c r="G30" t="s">
        <v>49</v>
      </c>
      <c r="H30" t="s">
        <v>50</v>
      </c>
      <c r="I30" s="1">
        <v>46235</v>
      </c>
      <c r="J30" t="s">
        <v>51</v>
      </c>
      <c r="K30" t="s">
        <v>52</v>
      </c>
      <c r="L30" s="2">
        <v>175</v>
      </c>
      <c r="M30">
        <v>1</v>
      </c>
      <c r="N30" s="2">
        <v>175</v>
      </c>
      <c r="O30" s="2">
        <v>175</v>
      </c>
      <c r="Q30" t="s">
        <v>242</v>
      </c>
    </row>
    <row r="31" spans="1:17" x14ac:dyDescent="0.25">
      <c r="A31" s="8" t="s">
        <v>264</v>
      </c>
      <c r="B31" s="8" t="str">
        <f t="shared" si="0"/>
        <v>00026515350KOVR</v>
      </c>
      <c r="C31" t="s">
        <v>81</v>
      </c>
      <c r="D31" t="s">
        <v>46</v>
      </c>
      <c r="E31">
        <v>20411454</v>
      </c>
      <c r="F31" t="s">
        <v>244</v>
      </c>
      <c r="G31" t="s">
        <v>49</v>
      </c>
      <c r="H31" t="s">
        <v>50</v>
      </c>
      <c r="I31" s="1">
        <v>46174</v>
      </c>
      <c r="J31" t="s">
        <v>51</v>
      </c>
      <c r="K31" t="s">
        <v>52</v>
      </c>
      <c r="L31" s="2">
        <v>175</v>
      </c>
      <c r="M31">
        <v>1</v>
      </c>
      <c r="N31" s="2">
        <v>175</v>
      </c>
      <c r="O31" s="2">
        <v>175</v>
      </c>
      <c r="Q31" t="s">
        <v>242</v>
      </c>
    </row>
    <row r="32" spans="1:17" x14ac:dyDescent="0.25">
      <c r="A32" s="8" t="s">
        <v>265</v>
      </c>
      <c r="B32" s="8" t="str">
        <f t="shared" si="0"/>
        <v>00026517362KOVR</v>
      </c>
      <c r="C32" t="s">
        <v>83</v>
      </c>
      <c r="D32" t="s">
        <v>75</v>
      </c>
      <c r="E32">
        <v>20411454</v>
      </c>
      <c r="F32" t="s">
        <v>244</v>
      </c>
      <c r="G32" t="s">
        <v>49</v>
      </c>
      <c r="H32" t="s">
        <v>50</v>
      </c>
      <c r="I32" s="1">
        <v>46235</v>
      </c>
      <c r="J32" t="s">
        <v>51</v>
      </c>
      <c r="K32" t="s">
        <v>52</v>
      </c>
      <c r="L32" s="2">
        <v>175</v>
      </c>
      <c r="M32">
        <v>1</v>
      </c>
      <c r="N32" s="2">
        <v>175</v>
      </c>
      <c r="O32" s="2">
        <v>175</v>
      </c>
      <c r="Q32" t="s">
        <v>242</v>
      </c>
    </row>
    <row r="33" spans="1:17" x14ac:dyDescent="0.25">
      <c r="A33" s="8" t="s">
        <v>266</v>
      </c>
      <c r="B33" s="8" t="str">
        <f t="shared" si="0"/>
        <v>00026521652KOVR</v>
      </c>
      <c r="C33" t="s">
        <v>87</v>
      </c>
      <c r="D33" t="s">
        <v>88</v>
      </c>
      <c r="E33">
        <v>20411454</v>
      </c>
      <c r="F33" t="s">
        <v>244</v>
      </c>
      <c r="G33" t="s">
        <v>49</v>
      </c>
      <c r="H33" t="s">
        <v>50</v>
      </c>
      <c r="I33" s="1">
        <v>46174</v>
      </c>
      <c r="J33" t="s">
        <v>51</v>
      </c>
      <c r="K33" t="s">
        <v>52</v>
      </c>
      <c r="L33" s="2">
        <v>175</v>
      </c>
      <c r="M33">
        <v>1</v>
      </c>
      <c r="N33" s="2">
        <v>175</v>
      </c>
      <c r="O33" s="2">
        <v>175</v>
      </c>
      <c r="Q33" t="s">
        <v>242</v>
      </c>
    </row>
    <row r="34" spans="1:17" x14ac:dyDescent="0.25">
      <c r="A34" s="8" t="s">
        <v>267</v>
      </c>
      <c r="B34" s="8" t="str">
        <f t="shared" si="0"/>
        <v>00026524394KOVR</v>
      </c>
      <c r="C34" t="s">
        <v>92</v>
      </c>
      <c r="D34" t="s">
        <v>46</v>
      </c>
      <c r="E34">
        <v>20411454</v>
      </c>
      <c r="F34" t="s">
        <v>244</v>
      </c>
      <c r="G34" t="s">
        <v>49</v>
      </c>
      <c r="H34" t="s">
        <v>50</v>
      </c>
      <c r="I34" s="1">
        <v>46235</v>
      </c>
      <c r="J34" t="s">
        <v>51</v>
      </c>
      <c r="K34" t="s">
        <v>52</v>
      </c>
      <c r="L34" s="2">
        <v>175</v>
      </c>
      <c r="M34">
        <v>1</v>
      </c>
      <c r="N34" s="2">
        <v>175</v>
      </c>
      <c r="O34" s="2">
        <v>175</v>
      </c>
      <c r="Q34" t="s">
        <v>242</v>
      </c>
    </row>
    <row r="35" spans="1:17" x14ac:dyDescent="0.25">
      <c r="A35" s="8" t="s">
        <v>270</v>
      </c>
      <c r="B35" s="8" t="str">
        <f t="shared" si="0"/>
        <v>00013027171KOVR</v>
      </c>
      <c r="C35" t="s">
        <v>198</v>
      </c>
      <c r="D35" t="s">
        <v>199</v>
      </c>
      <c r="E35">
        <v>20411454</v>
      </c>
      <c r="F35" t="s">
        <v>244</v>
      </c>
      <c r="G35" t="s">
        <v>200</v>
      </c>
      <c r="H35" t="s">
        <v>50</v>
      </c>
      <c r="I35" s="1">
        <v>46023</v>
      </c>
      <c r="J35" t="s">
        <v>51</v>
      </c>
      <c r="K35" t="s">
        <v>52</v>
      </c>
      <c r="N35">
        <v>-101.5</v>
      </c>
      <c r="O35">
        <v>-101.5</v>
      </c>
      <c r="Q35" t="s">
        <v>242</v>
      </c>
    </row>
    <row r="36" spans="1:17" x14ac:dyDescent="0.25">
      <c r="A36" s="8" t="s">
        <v>271</v>
      </c>
      <c r="B36" s="8" t="str">
        <f t="shared" si="0"/>
        <v>00020726827KOVR</v>
      </c>
      <c r="C36" t="s">
        <v>202</v>
      </c>
      <c r="D36" t="s">
        <v>46</v>
      </c>
      <c r="E36">
        <v>20411454</v>
      </c>
      <c r="F36" t="s">
        <v>244</v>
      </c>
      <c r="G36" t="s">
        <v>200</v>
      </c>
      <c r="H36" t="s">
        <v>50</v>
      </c>
      <c r="I36" s="1">
        <v>46023</v>
      </c>
      <c r="J36" t="s">
        <v>51</v>
      </c>
      <c r="K36" t="s">
        <v>52</v>
      </c>
      <c r="N36">
        <v>-101.5</v>
      </c>
      <c r="O36">
        <v>-101.5</v>
      </c>
      <c r="Q36" t="s">
        <v>242</v>
      </c>
    </row>
    <row r="37" spans="1:17" x14ac:dyDescent="0.25">
      <c r="A37" s="8" t="s">
        <v>272</v>
      </c>
      <c r="B37" s="8" t="str">
        <f t="shared" si="0"/>
        <v>00025733189KOVR</v>
      </c>
      <c r="C37" t="s">
        <v>217</v>
      </c>
      <c r="D37" t="s">
        <v>175</v>
      </c>
      <c r="E37">
        <v>20411454</v>
      </c>
      <c r="F37" t="s">
        <v>244</v>
      </c>
      <c r="G37" t="s">
        <v>200</v>
      </c>
      <c r="H37" t="s">
        <v>50</v>
      </c>
      <c r="I37" s="1">
        <v>46023</v>
      </c>
      <c r="J37" t="s">
        <v>51</v>
      </c>
      <c r="K37" t="s">
        <v>52</v>
      </c>
      <c r="N37">
        <v>-101.5</v>
      </c>
      <c r="O37">
        <v>-101.5</v>
      </c>
      <c r="Q37" t="s">
        <v>242</v>
      </c>
    </row>
    <row r="38" spans="1:17" x14ac:dyDescent="0.25">
      <c r="A38" s="8" t="s">
        <v>273</v>
      </c>
      <c r="B38" s="8" t="str">
        <f t="shared" si="0"/>
        <v>00025840083KOVR</v>
      </c>
      <c r="C38" t="s">
        <v>219</v>
      </c>
      <c r="D38" t="s">
        <v>220</v>
      </c>
      <c r="E38">
        <v>20411454</v>
      </c>
      <c r="F38" t="s">
        <v>244</v>
      </c>
      <c r="G38" t="s">
        <v>200</v>
      </c>
      <c r="H38" t="s">
        <v>50</v>
      </c>
      <c r="I38" s="1">
        <v>46054</v>
      </c>
      <c r="J38" t="s">
        <v>51</v>
      </c>
      <c r="K38" t="s">
        <v>52</v>
      </c>
      <c r="N38">
        <v>-117.25</v>
      </c>
      <c r="O38">
        <v>-117.25</v>
      </c>
      <c r="Q38" t="s">
        <v>242</v>
      </c>
    </row>
    <row r="39" spans="1:17" x14ac:dyDescent="0.25">
      <c r="A39" s="8" t="s">
        <v>274</v>
      </c>
      <c r="B39" s="8" t="str">
        <f t="shared" si="0"/>
        <v>00026354524KOVR</v>
      </c>
      <c r="C39" t="s">
        <v>222</v>
      </c>
      <c r="D39" t="s">
        <v>46</v>
      </c>
      <c r="E39">
        <v>20411454</v>
      </c>
      <c r="F39" t="s">
        <v>244</v>
      </c>
      <c r="G39" t="s">
        <v>200</v>
      </c>
      <c r="H39" t="s">
        <v>50</v>
      </c>
      <c r="I39" s="1">
        <v>46143</v>
      </c>
      <c r="J39" t="s">
        <v>51</v>
      </c>
      <c r="K39" t="s">
        <v>52</v>
      </c>
      <c r="N39">
        <v>-161</v>
      </c>
      <c r="O39">
        <v>-161</v>
      </c>
      <c r="Q39" t="s">
        <v>242</v>
      </c>
    </row>
    <row r="40" spans="1:17" x14ac:dyDescent="0.25">
      <c r="A40" s="8" t="s">
        <v>276</v>
      </c>
      <c r="B40" s="8" t="str">
        <f t="shared" si="0"/>
        <v>00026502399KOVR</v>
      </c>
      <c r="C40" t="s">
        <v>224</v>
      </c>
      <c r="D40" t="s">
        <v>46</v>
      </c>
      <c r="E40">
        <v>20411454</v>
      </c>
      <c r="F40" t="s">
        <v>244</v>
      </c>
      <c r="G40" t="s">
        <v>200</v>
      </c>
      <c r="H40" t="s">
        <v>50</v>
      </c>
      <c r="I40" s="1">
        <v>46174</v>
      </c>
      <c r="J40" t="s">
        <v>51</v>
      </c>
      <c r="K40" t="s">
        <v>52</v>
      </c>
      <c r="N40">
        <v>-175</v>
      </c>
      <c r="O40">
        <v>-175</v>
      </c>
      <c r="Q40" t="s">
        <v>242</v>
      </c>
    </row>
    <row r="41" spans="1:17" x14ac:dyDescent="0.25">
      <c r="A41" s="8" t="s">
        <v>277</v>
      </c>
      <c r="B41" s="8" t="str">
        <f t="shared" si="0"/>
        <v>00026506360KOVR</v>
      </c>
      <c r="C41" t="s">
        <v>226</v>
      </c>
      <c r="D41" t="s">
        <v>46</v>
      </c>
      <c r="E41">
        <v>20411454</v>
      </c>
      <c r="F41" t="s">
        <v>244</v>
      </c>
      <c r="G41" t="s">
        <v>200</v>
      </c>
      <c r="H41" t="s">
        <v>50</v>
      </c>
      <c r="I41" s="1">
        <v>46174</v>
      </c>
      <c r="J41" t="s">
        <v>51</v>
      </c>
      <c r="K41" t="s">
        <v>52</v>
      </c>
      <c r="N41">
        <v>-175</v>
      </c>
      <c r="O41">
        <v>-175</v>
      </c>
      <c r="Q41" t="s">
        <v>242</v>
      </c>
    </row>
    <row r="42" spans="1:17" x14ac:dyDescent="0.25">
      <c r="A42" s="8" t="s">
        <v>278</v>
      </c>
      <c r="B42" s="8" t="str">
        <f t="shared" si="0"/>
        <v>00022162882KOVR</v>
      </c>
      <c r="C42" t="s">
        <v>206</v>
      </c>
      <c r="D42" t="s">
        <v>46</v>
      </c>
      <c r="E42">
        <v>20411454</v>
      </c>
      <c r="F42" t="s">
        <v>244</v>
      </c>
      <c r="G42" t="s">
        <v>200</v>
      </c>
      <c r="H42" t="s">
        <v>209</v>
      </c>
      <c r="I42" s="1">
        <v>46113</v>
      </c>
      <c r="J42" t="s">
        <v>51</v>
      </c>
      <c r="K42" t="s">
        <v>52</v>
      </c>
      <c r="N42">
        <v>-108</v>
      </c>
      <c r="O42">
        <v>-108</v>
      </c>
      <c r="Q42" t="s">
        <v>242</v>
      </c>
    </row>
    <row r="43" spans="1:17" s="4" customFormat="1" x14ac:dyDescent="0.25">
      <c r="A43" s="9" t="s">
        <v>275</v>
      </c>
      <c r="B43" s="9" t="s">
        <v>275</v>
      </c>
      <c r="C43" s="4" t="s">
        <v>211</v>
      </c>
      <c r="D43" s="4" t="s">
        <v>212</v>
      </c>
      <c r="E43" s="4">
        <v>18142208</v>
      </c>
      <c r="F43" s="4" t="s">
        <v>214</v>
      </c>
      <c r="G43" s="4" t="s">
        <v>200</v>
      </c>
      <c r="H43" s="4" t="s">
        <v>215</v>
      </c>
      <c r="I43" s="5">
        <v>46023</v>
      </c>
      <c r="J43" s="4" t="s">
        <v>51</v>
      </c>
      <c r="K43" s="4" t="s">
        <v>52</v>
      </c>
      <c r="N43" s="4">
        <v>-8.6999999999999993</v>
      </c>
      <c r="O43" s="4">
        <v>-8.6999999999999993</v>
      </c>
      <c r="Q43" s="4" t="s">
        <v>243</v>
      </c>
    </row>
    <row r="44" spans="1:17" s="4" customFormat="1" x14ac:dyDescent="0.25">
      <c r="A44" s="9" t="s">
        <v>268</v>
      </c>
      <c r="B44" s="9" t="str">
        <f>CONCATENATE(A44,1)</f>
        <v>A044761831</v>
      </c>
      <c r="C44" s="4" t="s">
        <v>174</v>
      </c>
      <c r="D44" s="4" t="s">
        <v>175</v>
      </c>
      <c r="E44" s="4">
        <v>16849453</v>
      </c>
      <c r="F44" s="4" t="s">
        <v>177</v>
      </c>
      <c r="G44" s="4" t="s">
        <v>49</v>
      </c>
      <c r="H44" s="4" t="s">
        <v>178</v>
      </c>
      <c r="I44" s="5">
        <v>46174</v>
      </c>
      <c r="J44" s="4" t="s">
        <v>51</v>
      </c>
      <c r="K44" s="4" t="s">
        <v>52</v>
      </c>
      <c r="L44" s="6">
        <v>31.02</v>
      </c>
      <c r="M44" s="4">
        <v>9</v>
      </c>
      <c r="N44" s="4">
        <v>1</v>
      </c>
      <c r="O44" s="6">
        <v>279.18</v>
      </c>
      <c r="Q44" s="4" t="s">
        <v>178</v>
      </c>
    </row>
    <row r="45" spans="1:17" s="4" customFormat="1" x14ac:dyDescent="0.25">
      <c r="A45" s="9" t="s">
        <v>269</v>
      </c>
      <c r="B45" s="9" t="str">
        <f>CONCATENATE(A45,1)</f>
        <v>A044776021</v>
      </c>
      <c r="C45" s="4" t="s">
        <v>180</v>
      </c>
      <c r="D45" s="4" t="s">
        <v>108</v>
      </c>
      <c r="E45" s="4">
        <v>19278370</v>
      </c>
      <c r="F45" s="4" t="s">
        <v>182</v>
      </c>
      <c r="G45" s="4" t="s">
        <v>49</v>
      </c>
      <c r="H45" s="4" t="s">
        <v>183</v>
      </c>
      <c r="I45" s="5">
        <v>46174</v>
      </c>
      <c r="J45" s="4" t="s">
        <v>51</v>
      </c>
      <c r="K45" s="4" t="s">
        <v>52</v>
      </c>
      <c r="L45" s="6">
        <v>36</v>
      </c>
      <c r="M45" s="4">
        <v>9</v>
      </c>
      <c r="N45" s="4">
        <v>1</v>
      </c>
      <c r="O45" s="6">
        <v>324</v>
      </c>
      <c r="Q45" s="4" t="s">
        <v>183</v>
      </c>
    </row>
    <row r="46" spans="1:17" x14ac:dyDescent="0.25">
      <c r="A46" s="8">
        <v>136048357</v>
      </c>
      <c r="B46" s="8" t="str">
        <f t="shared" ref="B46:B50" si="1">CONCATENATE(A46,"OVR")</f>
        <v>136048357OVR</v>
      </c>
      <c r="C46" t="s">
        <v>137</v>
      </c>
      <c r="D46" t="s">
        <v>75</v>
      </c>
      <c r="E46">
        <v>20411454</v>
      </c>
      <c r="F46" t="s">
        <v>244</v>
      </c>
      <c r="G46" t="s">
        <v>49</v>
      </c>
      <c r="H46" t="s">
        <v>140</v>
      </c>
      <c r="I46" s="1">
        <v>46174</v>
      </c>
      <c r="J46" t="s">
        <v>51</v>
      </c>
      <c r="K46" t="s">
        <v>52</v>
      </c>
      <c r="L46" s="2">
        <v>175</v>
      </c>
      <c r="M46">
        <v>1</v>
      </c>
      <c r="N46" s="2">
        <v>175</v>
      </c>
      <c r="O46" s="2">
        <v>175</v>
      </c>
      <c r="Q46" t="s">
        <v>247</v>
      </c>
    </row>
    <row r="47" spans="1:17" x14ac:dyDescent="0.25">
      <c r="A47" s="8">
        <v>925786770</v>
      </c>
      <c r="B47" s="8" t="str">
        <f t="shared" si="1"/>
        <v>925786770OVR</v>
      </c>
      <c r="C47" t="s">
        <v>160</v>
      </c>
      <c r="D47" t="s">
        <v>161</v>
      </c>
      <c r="E47">
        <v>20411454</v>
      </c>
      <c r="F47" t="s">
        <v>244</v>
      </c>
      <c r="G47" t="s">
        <v>49</v>
      </c>
      <c r="H47" t="s">
        <v>140</v>
      </c>
      <c r="I47" s="1">
        <v>46174</v>
      </c>
      <c r="J47" t="s">
        <v>51</v>
      </c>
      <c r="K47" t="s">
        <v>52</v>
      </c>
      <c r="L47" s="2">
        <v>175</v>
      </c>
      <c r="M47">
        <v>1</v>
      </c>
      <c r="N47" s="2">
        <v>175</v>
      </c>
      <c r="O47" s="2">
        <v>175</v>
      </c>
      <c r="Q47" t="s">
        <v>247</v>
      </c>
    </row>
    <row r="48" spans="1:17" x14ac:dyDescent="0.25">
      <c r="A48" s="8">
        <v>934511171</v>
      </c>
      <c r="B48" s="8" t="str">
        <f t="shared" si="1"/>
        <v>934511171OVR</v>
      </c>
      <c r="C48" t="s">
        <v>166</v>
      </c>
      <c r="D48" t="s">
        <v>46</v>
      </c>
      <c r="E48">
        <v>20411454</v>
      </c>
      <c r="F48" t="s">
        <v>244</v>
      </c>
      <c r="G48" t="s">
        <v>49</v>
      </c>
      <c r="H48" t="s">
        <v>140</v>
      </c>
      <c r="I48" s="1">
        <v>46204</v>
      </c>
      <c r="J48" t="s">
        <v>51</v>
      </c>
      <c r="K48" t="s">
        <v>52</v>
      </c>
      <c r="L48" s="2">
        <v>175</v>
      </c>
      <c r="M48">
        <v>1</v>
      </c>
      <c r="N48" s="2">
        <v>175</v>
      </c>
      <c r="O48" s="2">
        <v>175</v>
      </c>
      <c r="Q48" t="s">
        <v>247</v>
      </c>
    </row>
    <row r="49" spans="1:18" x14ac:dyDescent="0.25">
      <c r="A49" s="8">
        <v>974303523</v>
      </c>
      <c r="B49" s="8" t="str">
        <f t="shared" si="1"/>
        <v>974303523OVR</v>
      </c>
      <c r="C49" t="s">
        <v>169</v>
      </c>
      <c r="D49" t="s">
        <v>46</v>
      </c>
      <c r="E49">
        <v>20411454</v>
      </c>
      <c r="F49" t="s">
        <v>244</v>
      </c>
      <c r="G49" t="s">
        <v>49</v>
      </c>
      <c r="H49" t="s">
        <v>140</v>
      </c>
      <c r="I49" s="1">
        <v>46174</v>
      </c>
      <c r="J49" t="s">
        <v>51</v>
      </c>
      <c r="K49" t="s">
        <v>52</v>
      </c>
      <c r="L49" s="2">
        <v>175</v>
      </c>
      <c r="M49">
        <v>1</v>
      </c>
      <c r="N49" s="2">
        <v>175</v>
      </c>
      <c r="O49" s="2">
        <v>175</v>
      </c>
      <c r="Q49" t="s">
        <v>247</v>
      </c>
    </row>
    <row r="50" spans="1:18" x14ac:dyDescent="0.25">
      <c r="A50" s="8">
        <v>916237202</v>
      </c>
      <c r="B50" s="8" t="str">
        <f t="shared" si="1"/>
        <v>916237202OVR</v>
      </c>
      <c r="C50" t="s">
        <v>153</v>
      </c>
      <c r="D50" t="s">
        <v>46</v>
      </c>
      <c r="E50">
        <v>20411454</v>
      </c>
      <c r="F50" t="s">
        <v>244</v>
      </c>
      <c r="G50" t="s">
        <v>49</v>
      </c>
      <c r="H50" t="s">
        <v>158</v>
      </c>
      <c r="I50" s="1">
        <v>46204</v>
      </c>
      <c r="J50" t="s">
        <v>51</v>
      </c>
      <c r="K50" t="s">
        <v>52</v>
      </c>
      <c r="L50" s="2">
        <v>113</v>
      </c>
      <c r="M50">
        <v>1</v>
      </c>
      <c r="N50" s="2">
        <v>113</v>
      </c>
      <c r="O50" s="2">
        <v>113</v>
      </c>
      <c r="Q50" t="s">
        <v>247</v>
      </c>
    </row>
    <row r="51" spans="1:18" s="4" customFormat="1" x14ac:dyDescent="0.25">
      <c r="A51" s="9">
        <v>136048357</v>
      </c>
      <c r="B51" s="9" t="str">
        <f>CONCATENATE(A51,11)</f>
        <v>13604835711</v>
      </c>
      <c r="C51" s="4" t="s">
        <v>137</v>
      </c>
      <c r="D51" s="4" t="s">
        <v>75</v>
      </c>
      <c r="E51" s="4">
        <v>19645587</v>
      </c>
      <c r="F51" s="4" t="s">
        <v>117</v>
      </c>
      <c r="G51" s="4" t="s">
        <v>49</v>
      </c>
      <c r="H51" s="4" t="s">
        <v>138</v>
      </c>
      <c r="I51" s="5">
        <v>46174</v>
      </c>
      <c r="J51" s="4" t="s">
        <v>51</v>
      </c>
      <c r="K51" s="4" t="s">
        <v>52</v>
      </c>
      <c r="L51" s="6">
        <v>202.42</v>
      </c>
      <c r="M51" s="4">
        <v>1</v>
      </c>
      <c r="N51" s="4">
        <v>1</v>
      </c>
      <c r="O51" s="6">
        <v>202.42</v>
      </c>
      <c r="P51" s="4" t="s">
        <v>131</v>
      </c>
      <c r="Q51" s="4" t="s">
        <v>245</v>
      </c>
      <c r="R51" s="4" t="s">
        <v>248</v>
      </c>
    </row>
    <row r="52" spans="1:18" s="4" customFormat="1" x14ac:dyDescent="0.25">
      <c r="A52" s="9">
        <v>925786770</v>
      </c>
      <c r="B52" s="9" t="str">
        <f t="shared" ref="B52:B54" si="2">CONCATENATE(A52,11)</f>
        <v>92578677011</v>
      </c>
      <c r="C52" s="4" t="s">
        <v>160</v>
      </c>
      <c r="D52" s="4" t="s">
        <v>161</v>
      </c>
      <c r="E52" s="4">
        <v>16865615</v>
      </c>
      <c r="F52" s="4" t="s">
        <v>163</v>
      </c>
      <c r="G52" s="4" t="s">
        <v>49</v>
      </c>
      <c r="H52" s="4" t="s">
        <v>138</v>
      </c>
      <c r="I52" s="5">
        <v>46174</v>
      </c>
      <c r="J52" s="4" t="s">
        <v>51</v>
      </c>
      <c r="K52" s="4" t="s">
        <v>52</v>
      </c>
      <c r="L52" s="6">
        <v>202.42</v>
      </c>
      <c r="M52" s="4">
        <v>1</v>
      </c>
      <c r="N52" s="4">
        <v>1</v>
      </c>
      <c r="O52" s="6">
        <v>202.42</v>
      </c>
      <c r="P52" s="4" t="s">
        <v>131</v>
      </c>
      <c r="Q52" s="4" t="s">
        <v>245</v>
      </c>
      <c r="R52" s="4" t="s">
        <v>248</v>
      </c>
    </row>
    <row r="53" spans="1:18" s="4" customFormat="1" x14ac:dyDescent="0.25">
      <c r="A53" s="9">
        <v>934511171</v>
      </c>
      <c r="B53" s="9" t="str">
        <f t="shared" si="2"/>
        <v>93451117111</v>
      </c>
      <c r="C53" s="4" t="s">
        <v>166</v>
      </c>
      <c r="D53" s="4" t="s">
        <v>46</v>
      </c>
      <c r="E53" s="4">
        <v>19200754</v>
      </c>
      <c r="F53" s="4" t="s">
        <v>144</v>
      </c>
      <c r="G53" s="4" t="s">
        <v>49</v>
      </c>
      <c r="H53" s="4" t="s">
        <v>138</v>
      </c>
      <c r="I53" s="5">
        <v>46204</v>
      </c>
      <c r="J53" s="4" t="s">
        <v>51</v>
      </c>
      <c r="K53" s="4" t="s">
        <v>52</v>
      </c>
      <c r="L53" s="6">
        <v>173.5</v>
      </c>
      <c r="M53" s="4">
        <v>1</v>
      </c>
      <c r="N53" s="4">
        <v>1</v>
      </c>
      <c r="O53" s="6">
        <v>173.5</v>
      </c>
      <c r="P53" s="4" t="s">
        <v>122</v>
      </c>
      <c r="Q53" s="4" t="s">
        <v>245</v>
      </c>
      <c r="R53" s="4" t="s">
        <v>249</v>
      </c>
    </row>
    <row r="54" spans="1:18" s="4" customFormat="1" x14ac:dyDescent="0.25">
      <c r="A54" s="9">
        <v>974303523</v>
      </c>
      <c r="B54" s="9" t="str">
        <f t="shared" si="2"/>
        <v>97430352311</v>
      </c>
      <c r="C54" s="4" t="s">
        <v>169</v>
      </c>
      <c r="D54" s="4" t="s">
        <v>46</v>
      </c>
      <c r="E54" s="4">
        <v>21646325</v>
      </c>
      <c r="F54" s="4" t="s">
        <v>171</v>
      </c>
      <c r="G54" s="4" t="s">
        <v>49</v>
      </c>
      <c r="H54" s="4" t="s">
        <v>138</v>
      </c>
      <c r="I54" s="5">
        <v>46174</v>
      </c>
      <c r="J54" s="4" t="s">
        <v>51</v>
      </c>
      <c r="K54" s="4" t="s">
        <v>52</v>
      </c>
      <c r="L54" s="6">
        <v>202.42</v>
      </c>
      <c r="M54" s="4">
        <v>1</v>
      </c>
      <c r="N54" s="4">
        <v>1</v>
      </c>
      <c r="O54" s="6">
        <v>202.42</v>
      </c>
      <c r="P54" s="4" t="s">
        <v>131</v>
      </c>
      <c r="Q54" s="4" t="s">
        <v>245</v>
      </c>
      <c r="R54" s="4" t="s">
        <v>248</v>
      </c>
    </row>
    <row r="55" spans="1:18" s="4" customFormat="1" x14ac:dyDescent="0.25">
      <c r="A55" s="9">
        <v>916237202</v>
      </c>
      <c r="B55" s="9" t="str">
        <f>CONCATENATE(A55,13)</f>
        <v>91623720213</v>
      </c>
      <c r="C55" s="4" t="s">
        <v>153</v>
      </c>
      <c r="D55" s="4" t="s">
        <v>46</v>
      </c>
      <c r="E55" s="4">
        <v>9213293</v>
      </c>
      <c r="F55" s="4" t="s">
        <v>155</v>
      </c>
      <c r="G55" s="4" t="s">
        <v>49</v>
      </c>
      <c r="H55" s="4" t="s">
        <v>156</v>
      </c>
      <c r="I55" s="5">
        <v>46204</v>
      </c>
      <c r="J55" s="4" t="s">
        <v>51</v>
      </c>
      <c r="K55" s="4" t="s">
        <v>52</v>
      </c>
      <c r="L55" s="6">
        <v>101.5</v>
      </c>
      <c r="M55" s="4">
        <v>1</v>
      </c>
      <c r="N55" s="6">
        <v>101.5</v>
      </c>
      <c r="O55" s="6">
        <v>101.5</v>
      </c>
      <c r="P55" s="4" t="s">
        <v>122</v>
      </c>
      <c r="Q55" s="4" t="s">
        <v>246</v>
      </c>
    </row>
    <row r="61" spans="1:18" x14ac:dyDescent="0.25">
      <c r="L61" s="7"/>
    </row>
    <row r="62" spans="1:18" x14ac:dyDescent="0.25">
      <c r="L62" s="7"/>
    </row>
    <row r="63" spans="1:18" x14ac:dyDescent="0.25">
      <c r="L63" s="7"/>
    </row>
  </sheetData>
  <sortState xmlns:xlrd2="http://schemas.microsoft.com/office/spreadsheetml/2017/richdata2" ref="A2:AM55">
    <sortCondition ref="H2:H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2026-05-29T09:43:05Z</dcterms:created>
  <dcterms:modified xsi:type="dcterms:W3CDTF">2026-06-03T19:33:34Z</dcterms:modified>
</cp:coreProperties>
</file>