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6\1-14-26\"/>
    </mc:Choice>
  </mc:AlternateContent>
  <xr:revisionPtr revIDLastSave="0" documentId="13_ncr:1_{1018CBEB-3691-472B-A3F0-BC7183F2C92F}" xr6:coauthVersionLast="47" xr6:coauthVersionMax="47" xr10:uidLastSave="{00000000-0000-0000-0000-000000000000}"/>
  <bookViews>
    <workbookView xWindow="28680" yWindow="-120" windowWidth="29040" windowHeight="16440" activeTab="2" xr2:uid="{80BE2912-F64B-46CC-811C-D5780975EF28}"/>
  </bookViews>
  <sheets>
    <sheet name="New Business Agent Statement - " sheetId="1" r:id="rId1"/>
    <sheet name="Sheet1" sheetId="2" r:id="rId2"/>
    <sheet name="on hold" sheetId="3" r:id="rId3"/>
  </sheets>
  <calcPr calcId="181029"/>
</workbook>
</file>

<file path=xl/calcChain.xml><?xml version="1.0" encoding="utf-8"?>
<calcChain xmlns="http://schemas.openxmlformats.org/spreadsheetml/2006/main">
  <c r="N5" i="3" l="1"/>
  <c r="N4" i="3"/>
  <c r="N3" i="3"/>
  <c r="N2" i="3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1" i="2"/>
  <c r="B200" i="2"/>
  <c r="B203" i="2"/>
  <c r="B202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S246" i="2"/>
  <c r="S209" i="2"/>
  <c r="Q10" i="2"/>
  <c r="S245" i="2"/>
</calcChain>
</file>

<file path=xl/sharedStrings.xml><?xml version="1.0" encoding="utf-8"?>
<sst xmlns="http://schemas.openxmlformats.org/spreadsheetml/2006/main" count="6307" uniqueCount="860">
  <si>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</si>
  <si>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</si>
  <si>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</si>
  <si>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</si>
  <si>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</si>
  <si>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</si>
  <si>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</si>
  <si>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</si>
  <si>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</si>
  <si>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</si>
  <si>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</si>
  <si>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</si>
  <si>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</si>
  <si>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</si>
  <si>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</si>
  <si>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</si>
  <si>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</si>
  <si>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</si>
  <si>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</si>
  <si>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</si>
  <si>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</si>
  <si>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</si>
  <si>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</si>
  <si>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</si>
  <si>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</si>
  <si>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</si>
  <si>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</si>
  <si>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</si>
  <si>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</si>
  <si>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</si>
  <si>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</si>
  <si>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</si>
  <si>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</si>
  <si>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</si>
  <si>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</si>
  <si>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</si>
  <si>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</si>
  <si>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</si>
  <si>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</si>
  <si>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</si>
  <si>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</si>
  <si>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</si>
  <si>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</si>
  <si>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</si>
  <si>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'00000408160I</t>
  </si>
  <si>
    <t>SHARON SONTERRE</t>
  </si>
  <si>
    <t>MT</t>
  </si>
  <si>
    <t>'043682</t>
  </si>
  <si>
    <t>GREGORY TEIPEL</t>
  </si>
  <si>
    <t>ACTIVE</t>
  </si>
  <si>
    <t>Humana MA 2019+ Level 15- 175/108 Repl 2024</t>
  </si>
  <si>
    <t>Monthly</t>
  </si>
  <si>
    <t>AV</t>
  </si>
  <si>
    <t>'00000953613I</t>
  </si>
  <si>
    <t>LILY BUENCILLO</t>
  </si>
  <si>
    <t>IL</t>
  </si>
  <si>
    <t>'045605</t>
  </si>
  <si>
    <t>GARY PORTUGAL</t>
  </si>
  <si>
    <t>Humana MA 2019+ Level 15- 175/108</t>
  </si>
  <si>
    <t>'00005605113K</t>
  </si>
  <si>
    <t>DAVID SMITH</t>
  </si>
  <si>
    <t>MO</t>
  </si>
  <si>
    <t>'045622</t>
  </si>
  <si>
    <t>JACOB YALE</t>
  </si>
  <si>
    <t>'00011577545KPDP</t>
  </si>
  <si>
    <t>KATHY SHELDON</t>
  </si>
  <si>
    <t>PA</t>
  </si>
  <si>
    <t>'043689</t>
  </si>
  <si>
    <t>ANNE MARIE KOZACHECK</t>
  </si>
  <si>
    <t>Humana PDP 2019+ Level 15- 15/0</t>
  </si>
  <si>
    <t>'00011802427KPDP</t>
  </si>
  <si>
    <t>ELAINE LONG</t>
  </si>
  <si>
    <t>NJ</t>
  </si>
  <si>
    <t>'045673</t>
  </si>
  <si>
    <t>MARK ROCCIA</t>
  </si>
  <si>
    <t>'00011805898KPDP</t>
  </si>
  <si>
    <t>EDWARD LONG</t>
  </si>
  <si>
    <t>'00012074039KPDP</t>
  </si>
  <si>
    <t>STEVEN SHELDON</t>
  </si>
  <si>
    <t>'00012387888K</t>
  </si>
  <si>
    <t>ANDREA ESCARPITA</t>
  </si>
  <si>
    <t>'045966</t>
  </si>
  <si>
    <t>ANTONIA NEVAREZ</t>
  </si>
  <si>
    <t>'00013202440KPDP</t>
  </si>
  <si>
    <t>SARAH SULTAN</t>
  </si>
  <si>
    <t>'045601</t>
  </si>
  <si>
    <t>CAROL FOLEY</t>
  </si>
  <si>
    <t>'00013715947KPDP</t>
  </si>
  <si>
    <t>JOYCE ARNOSKY</t>
  </si>
  <si>
    <t>'00014103701KPDP</t>
  </si>
  <si>
    <t>KATHLEEN CALHOON</t>
  </si>
  <si>
    <t>'043611</t>
  </si>
  <si>
    <t>TIMOTHY POWERS</t>
  </si>
  <si>
    <t>'00014409911KPDP</t>
  </si>
  <si>
    <t>JULIE MOUNT</t>
  </si>
  <si>
    <t>'00014636582K</t>
  </si>
  <si>
    <t>LAURA MOORE</t>
  </si>
  <si>
    <t>'043739</t>
  </si>
  <si>
    <t>ANDREA PETRUNGARO</t>
  </si>
  <si>
    <t>'00015818791K</t>
  </si>
  <si>
    <t>WILLIE BOWMAN</t>
  </si>
  <si>
    <t>KY</t>
  </si>
  <si>
    <t>'046040</t>
  </si>
  <si>
    <t>DANIEL CARNEY</t>
  </si>
  <si>
    <t>'00016227908KPDP</t>
  </si>
  <si>
    <t>SHARON FALASCO</t>
  </si>
  <si>
    <t>'00017029001K</t>
  </si>
  <si>
    <t>LUCILLE SHAFFER</t>
  </si>
  <si>
    <t>WA</t>
  </si>
  <si>
    <t>'045896</t>
  </si>
  <si>
    <t>LENSIE GONZALEZ</t>
  </si>
  <si>
    <t>'00021898574KPDP</t>
  </si>
  <si>
    <t>MONICA LENCEWICZ</t>
  </si>
  <si>
    <t>NC</t>
  </si>
  <si>
    <t>'00022598731K</t>
  </si>
  <si>
    <t>IRENE KLOK</t>
  </si>
  <si>
    <t>'045611</t>
  </si>
  <si>
    <t>FRANK LISKOVEC</t>
  </si>
  <si>
    <t>'00022612258KPDP</t>
  </si>
  <si>
    <t>JOHN SPEICHER</t>
  </si>
  <si>
    <t>OH</t>
  </si>
  <si>
    <t>'045684</t>
  </si>
  <si>
    <t>JILL SHEPARD</t>
  </si>
  <si>
    <t>'00023672066K</t>
  </si>
  <si>
    <t>VEDANAND SINGH</t>
  </si>
  <si>
    <t>FL</t>
  </si>
  <si>
    <t>'043969</t>
  </si>
  <si>
    <t>STACEY PORTUGAL</t>
  </si>
  <si>
    <t>'00023803100KPDP</t>
  </si>
  <si>
    <t>ANGELICA LABARBERA</t>
  </si>
  <si>
    <t>'045609</t>
  </si>
  <si>
    <t>MURRAY STERNER</t>
  </si>
  <si>
    <t>'00023826034KPDP</t>
  </si>
  <si>
    <t>JOHN KIEFFER</t>
  </si>
  <si>
    <t>IN</t>
  </si>
  <si>
    <t>'045967</t>
  </si>
  <si>
    <t>DANNA GREEN</t>
  </si>
  <si>
    <t>'00023838833KPDP</t>
  </si>
  <si>
    <t>WEIPO CHESSEN</t>
  </si>
  <si>
    <t>'00023849812KPDP</t>
  </si>
  <si>
    <t>GARY CLAUSON</t>
  </si>
  <si>
    <t>CO</t>
  </si>
  <si>
    <t>'045621</t>
  </si>
  <si>
    <t>HEATHER GESKE</t>
  </si>
  <si>
    <t>'00023872019KPDP</t>
  </si>
  <si>
    <t>LISA OWEN</t>
  </si>
  <si>
    <t>'00023872489KPDP</t>
  </si>
  <si>
    <t>DAVID DEAN</t>
  </si>
  <si>
    <t>'00023872952KPDP</t>
  </si>
  <si>
    <t>TERRY DEAN</t>
  </si>
  <si>
    <t>'00023877609KPDP</t>
  </si>
  <si>
    <t>ELIZABETH GALLANT</t>
  </si>
  <si>
    <t>'00023881069KPDP</t>
  </si>
  <si>
    <t>FRANK OWEN</t>
  </si>
  <si>
    <t>'00023881289KPDP</t>
  </si>
  <si>
    <t>ERNEST GALLANT</t>
  </si>
  <si>
    <t>'00023884910KPDP</t>
  </si>
  <si>
    <t>JOHN ITALIANO</t>
  </si>
  <si>
    <t>'00023892110KPDP</t>
  </si>
  <si>
    <t>ELIZABETH PEROTTI</t>
  </si>
  <si>
    <t>'00023907619KPDP</t>
  </si>
  <si>
    <t>DONNA DOUGLASS</t>
  </si>
  <si>
    <t>'00023928531KPDP</t>
  </si>
  <si>
    <t>JOHN MOSS</t>
  </si>
  <si>
    <t>'00023943280KPDP</t>
  </si>
  <si>
    <t>STEVEN SHAUL</t>
  </si>
  <si>
    <t>'00023944909KPDP</t>
  </si>
  <si>
    <t>LAURA BOCK</t>
  </si>
  <si>
    <t>'00023954321KPDP</t>
  </si>
  <si>
    <t>KIMBERLY MOONEY</t>
  </si>
  <si>
    <t>'00024016896KPDP</t>
  </si>
  <si>
    <t>ALMA SHAUL</t>
  </si>
  <si>
    <t>'00024026041KPDP</t>
  </si>
  <si>
    <t>SUSAN POLLARD</t>
  </si>
  <si>
    <t>'043691</t>
  </si>
  <si>
    <t>MICHELLE MCCORKLE</t>
  </si>
  <si>
    <t>'00024051383KPDP</t>
  </si>
  <si>
    <t>ROBERT ARNOSKY</t>
  </si>
  <si>
    <t>'00024057190KPDP</t>
  </si>
  <si>
    <t>RICHARD KORB</t>
  </si>
  <si>
    <t>'00024069373KPDP</t>
  </si>
  <si>
    <t>DAVID EYRE</t>
  </si>
  <si>
    <t>UT</t>
  </si>
  <si>
    <t>'043678</t>
  </si>
  <si>
    <t>MATTHEW DAUGHERTY</t>
  </si>
  <si>
    <t>'00024073391KPDP</t>
  </si>
  <si>
    <t>ARGYLE AMUNDSON</t>
  </si>
  <si>
    <t>WI</t>
  </si>
  <si>
    <t>'00024088645KPDP</t>
  </si>
  <si>
    <t>BARTHOLOMEW CORSARO</t>
  </si>
  <si>
    <t>'00024161677KPDP</t>
  </si>
  <si>
    <t>LORI DOYLE</t>
  </si>
  <si>
    <t>'00024161693KPDP</t>
  </si>
  <si>
    <t>JOSEPH DOYLE</t>
  </si>
  <si>
    <t>'00024163679KPDP</t>
  </si>
  <si>
    <t>PAULA SAUERS REHN</t>
  </si>
  <si>
    <t>'043679</t>
  </si>
  <si>
    <t>DEBORAH INSKIPT</t>
  </si>
  <si>
    <t>'00024168849KPDP</t>
  </si>
  <si>
    <t>JOANNE MANCINI</t>
  </si>
  <si>
    <t>'00024250484KPDP</t>
  </si>
  <si>
    <t>DEAN WOOD</t>
  </si>
  <si>
    <t>'00024260974KPDP</t>
  </si>
  <si>
    <t>KEVIN TEREK</t>
  </si>
  <si>
    <t>'00024264685KPDP</t>
  </si>
  <si>
    <t>BRENDA MAHAN</t>
  </si>
  <si>
    <t>'00024267611KPDP</t>
  </si>
  <si>
    <t>CATHY WOOD</t>
  </si>
  <si>
    <t>'00024271252KPDP</t>
  </si>
  <si>
    <t>CHERYL GOLATO</t>
  </si>
  <si>
    <t>'043585</t>
  </si>
  <si>
    <t>PETER RICHTER</t>
  </si>
  <si>
    <t>'00024276927KPDP</t>
  </si>
  <si>
    <t>ANGELO GOLATO</t>
  </si>
  <si>
    <t>'00024300159KPDP</t>
  </si>
  <si>
    <t>PHYLLIS PHILLEY</t>
  </si>
  <si>
    <t>'045885</t>
  </si>
  <si>
    <t>CHAD BENDER</t>
  </si>
  <si>
    <t>'00024348668KPDP</t>
  </si>
  <si>
    <t>KIMBERLY KINER</t>
  </si>
  <si>
    <t>'045712</t>
  </si>
  <si>
    <t>GREGORY HANSFORD</t>
  </si>
  <si>
    <t>'00024506657K</t>
  </si>
  <si>
    <t>ROBERT POSS</t>
  </si>
  <si>
    <t>'045612</t>
  </si>
  <si>
    <t>ANTHONY HUNSBERGER</t>
  </si>
  <si>
    <t>'00024511076K</t>
  </si>
  <si>
    <t>TIMOTHY COX</t>
  </si>
  <si>
    <t>'043705</t>
  </si>
  <si>
    <t>MICHAEL DUNAVANT</t>
  </si>
  <si>
    <t>'00024511852K</t>
  </si>
  <si>
    <t>NANCY COX</t>
  </si>
  <si>
    <t>'00024518237KPDP</t>
  </si>
  <si>
    <t>JOHN SPEARS</t>
  </si>
  <si>
    <t>'00024518245KPDP</t>
  </si>
  <si>
    <t>DEBORAH BURGESS</t>
  </si>
  <si>
    <t>'00024538926KPDP</t>
  </si>
  <si>
    <t>ROSE SNYDER</t>
  </si>
  <si>
    <t>'045634</t>
  </si>
  <si>
    <t>PATRICIA LONG</t>
  </si>
  <si>
    <t>'00024593643KPDP</t>
  </si>
  <si>
    <t>ALICE MARKELONIS</t>
  </si>
  <si>
    <t>'00024618318KPDP</t>
  </si>
  <si>
    <t>JOHNNY BERARDUCCI</t>
  </si>
  <si>
    <t>'00024659260KPDP</t>
  </si>
  <si>
    <t>TINA SALAZAR</t>
  </si>
  <si>
    <t>'043713</t>
  </si>
  <si>
    <t>JOEL LEE</t>
  </si>
  <si>
    <t>'00024730380KPDP</t>
  </si>
  <si>
    <t>KIM BAILEY</t>
  </si>
  <si>
    <t>'00024737321KPDP</t>
  </si>
  <si>
    <t>JAMES PHILLEY</t>
  </si>
  <si>
    <t>'00024744031KPDP</t>
  </si>
  <si>
    <t>SUSAN BOLLIG</t>
  </si>
  <si>
    <t>'00025840083K</t>
  </si>
  <si>
    <t>TERESA HOBDEN</t>
  </si>
  <si>
    <t>ID</t>
  </si>
  <si>
    <t>'00025843251K</t>
  </si>
  <si>
    <t>ROSA VIQUEZ</t>
  </si>
  <si>
    <t>'00025844848K</t>
  </si>
  <si>
    <t>MICHAEL DAVEY</t>
  </si>
  <si>
    <t>'043618</t>
  </si>
  <si>
    <t>SAADIA ABDUL</t>
  </si>
  <si>
    <t>'00025848402K</t>
  </si>
  <si>
    <t>NATALIE HARDY</t>
  </si>
  <si>
    <t>'045613</t>
  </si>
  <si>
    <t>RICARDO SANTOS</t>
  </si>
  <si>
    <t>'00025848481K</t>
  </si>
  <si>
    <t>MICHAEL AYARES</t>
  </si>
  <si>
    <t>'045639</t>
  </si>
  <si>
    <t>STEVEN WERNER</t>
  </si>
  <si>
    <t>'00025849155K</t>
  </si>
  <si>
    <t>CANDY BOSSO</t>
  </si>
  <si>
    <t>'00025849253K</t>
  </si>
  <si>
    <t>ARTHUR BOSSO</t>
  </si>
  <si>
    <t>'00025850742K</t>
  </si>
  <si>
    <t>SCOTT SKOWRON</t>
  </si>
  <si>
    <t>'00025851862K</t>
  </si>
  <si>
    <t>ALI AL SHEMARY</t>
  </si>
  <si>
    <t>'00025852118K</t>
  </si>
  <si>
    <t>JOANNE CHAMBERS</t>
  </si>
  <si>
    <t>'00025856242K</t>
  </si>
  <si>
    <t>ARACELY VARGAS</t>
  </si>
  <si>
    <t>'00025857241K</t>
  </si>
  <si>
    <t>JOHN RICE</t>
  </si>
  <si>
    <t>'041686</t>
  </si>
  <si>
    <t>DALE WALENGA</t>
  </si>
  <si>
    <t>'00025857878K</t>
  </si>
  <si>
    <t>KIMBERLEY LYNNE</t>
  </si>
  <si>
    <t>MD</t>
  </si>
  <si>
    <t>'045904</t>
  </si>
  <si>
    <t>BRITTANY OLIVER</t>
  </si>
  <si>
    <t>'00025858343K</t>
  </si>
  <si>
    <t>PAMELA LITTMANN</t>
  </si>
  <si>
    <t>'00025858758K</t>
  </si>
  <si>
    <t>BRIAN HOLMSTROM</t>
  </si>
  <si>
    <t>'00025858859K</t>
  </si>
  <si>
    <t>KAY KENDALL</t>
  </si>
  <si>
    <t>'043637</t>
  </si>
  <si>
    <t>CHRISTIAN TAUGNER</t>
  </si>
  <si>
    <t>'00025858972K</t>
  </si>
  <si>
    <t>LANE SHELDON</t>
  </si>
  <si>
    <t>'00025859574K</t>
  </si>
  <si>
    <t>MARY SHELDON</t>
  </si>
  <si>
    <t>'00025859887K</t>
  </si>
  <si>
    <t>RUSSELL GRANDE</t>
  </si>
  <si>
    <t>'045603</t>
  </si>
  <si>
    <t>ANDREW CHOI</t>
  </si>
  <si>
    <t>'00025860315K</t>
  </si>
  <si>
    <t>MARY WAWAK</t>
  </si>
  <si>
    <t>'00025861349K</t>
  </si>
  <si>
    <t>VICKIE HOLTZCLAW</t>
  </si>
  <si>
    <t>'00025861440K</t>
  </si>
  <si>
    <t>REYNALDO LAROCO</t>
  </si>
  <si>
    <t>'00025864032K</t>
  </si>
  <si>
    <t>RICHARD WAWAK</t>
  </si>
  <si>
    <t>'00025866584K</t>
  </si>
  <si>
    <t>WILLIAM SWANSON</t>
  </si>
  <si>
    <t>'00025866840K</t>
  </si>
  <si>
    <t>FRUMA GOFMAN</t>
  </si>
  <si>
    <t>'00025868210K</t>
  </si>
  <si>
    <t>MARY MADDOCK</t>
  </si>
  <si>
    <t>'045604</t>
  </si>
  <si>
    <t>JEFFREY HORN</t>
  </si>
  <si>
    <t>'00025868413K</t>
  </si>
  <si>
    <t>ELIZABETH SHUKAS</t>
  </si>
  <si>
    <t>'045618</t>
  </si>
  <si>
    <t>STEPHANIE DRAPAC</t>
  </si>
  <si>
    <t>'00025871591K</t>
  </si>
  <si>
    <t>JORGE MARTINEZ</t>
  </si>
  <si>
    <t>'00025871719K</t>
  </si>
  <si>
    <t>PENNY NAPORA</t>
  </si>
  <si>
    <t>'00025875361K</t>
  </si>
  <si>
    <t>CHRISTOPHER LUNDBERG</t>
  </si>
  <si>
    <t>'043644</t>
  </si>
  <si>
    <t>TIMOTHY HODGMAN</t>
  </si>
  <si>
    <t>'00025877480K</t>
  </si>
  <si>
    <t>PANLILIO ILANGA</t>
  </si>
  <si>
    <t>'00025877491K</t>
  </si>
  <si>
    <t>MARIA MARTINEZ PEREZ</t>
  </si>
  <si>
    <t>'043589</t>
  </si>
  <si>
    <t>JOSE TORRES</t>
  </si>
  <si>
    <t>'00025878157K</t>
  </si>
  <si>
    <t>DEBORA KOONS</t>
  </si>
  <si>
    <t>'00025879268K</t>
  </si>
  <si>
    <t>CECILY DALTON WEINRIB</t>
  </si>
  <si>
    <t>'045709</t>
  </si>
  <si>
    <t>ESTHER HERRERA-LARSEN</t>
  </si>
  <si>
    <t>'00025881946K</t>
  </si>
  <si>
    <t>JOSE GONZALEZ</t>
  </si>
  <si>
    <t>TX</t>
  </si>
  <si>
    <t>'00025882217K</t>
  </si>
  <si>
    <t>VICKI GONZALEZ</t>
  </si>
  <si>
    <t>'00025883039K</t>
  </si>
  <si>
    <t>DANIEL NUTTLE</t>
  </si>
  <si>
    <t>'00025885165K</t>
  </si>
  <si>
    <t>LAURA TURANSICK</t>
  </si>
  <si>
    <t>'045638</t>
  </si>
  <si>
    <t>RICHARD YALE</t>
  </si>
  <si>
    <t>'00025886258K</t>
  </si>
  <si>
    <t>BETTY NICHOLAS</t>
  </si>
  <si>
    <t>'00025892964K</t>
  </si>
  <si>
    <t>PAMELA LARSON</t>
  </si>
  <si>
    <t>'00025892982K</t>
  </si>
  <si>
    <t>DEBORAH SKENDER</t>
  </si>
  <si>
    <t>'101233160000</t>
  </si>
  <si>
    <t>YVONNE JETT</t>
  </si>
  <si>
    <t>Aetna MAPD NMO to MMO - 2025+ New E-App</t>
  </si>
  <si>
    <t>'101337060300</t>
  </si>
  <si>
    <t>TONIA GORGES</t>
  </si>
  <si>
    <t>'101472475600</t>
  </si>
  <si>
    <t>CONNIE MAIER</t>
  </si>
  <si>
    <t>'101480107500</t>
  </si>
  <si>
    <t>DEBORAH BRENNAN</t>
  </si>
  <si>
    <t>'101543709200</t>
  </si>
  <si>
    <t>SHARON GERALD</t>
  </si>
  <si>
    <t>NY</t>
  </si>
  <si>
    <t>'045591</t>
  </si>
  <si>
    <t>CHRISTOPHER BROUSSEAU</t>
  </si>
  <si>
    <t>'102197207300</t>
  </si>
  <si>
    <t>MARK JOHNSON</t>
  </si>
  <si>
    <t>'045670</t>
  </si>
  <si>
    <t>STEVEN BRANDT</t>
  </si>
  <si>
    <t>'102255068300</t>
  </si>
  <si>
    <t>BARBARA BOYD</t>
  </si>
  <si>
    <t>Aetna MAPD NMO to MMO - 2025+ Replace E-App</t>
  </si>
  <si>
    <t>11/12 PRORATE</t>
  </si>
  <si>
    <t>'102255132900</t>
  </si>
  <si>
    <t>SANDRA JOHNSTON</t>
  </si>
  <si>
    <t>'045421</t>
  </si>
  <si>
    <t>MATTHEW SHERMAN</t>
  </si>
  <si>
    <t>'102255161600</t>
  </si>
  <si>
    <t>MONICA MANSOUR</t>
  </si>
  <si>
    <t>'102255421500</t>
  </si>
  <si>
    <t>JAMES HARVEY</t>
  </si>
  <si>
    <t>'102255459200</t>
  </si>
  <si>
    <t>DEBORAH CIAFREI</t>
  </si>
  <si>
    <t>'043610</t>
  </si>
  <si>
    <t>KLAUS HERCHENRODER</t>
  </si>
  <si>
    <t>Aetna MAPD NMO to MMO - 2025+ New Paper</t>
  </si>
  <si>
    <t>'102255620200</t>
  </si>
  <si>
    <t>JANICE WALSH</t>
  </si>
  <si>
    <t>SC</t>
  </si>
  <si>
    <t>'045607</t>
  </si>
  <si>
    <t>PAMELA DEATON</t>
  </si>
  <si>
    <t>'102255631500</t>
  </si>
  <si>
    <t>RAYMOND DIMATTEO</t>
  </si>
  <si>
    <t>'102255647600</t>
  </si>
  <si>
    <t>JOHN WALSH</t>
  </si>
  <si>
    <t>'102255651000</t>
  </si>
  <si>
    <t>MARIE DIMATTEO</t>
  </si>
  <si>
    <t>'102255688500</t>
  </si>
  <si>
    <t>CAROLYN ERCOLE</t>
  </si>
  <si>
    <t>'102255823700</t>
  </si>
  <si>
    <t>MICHAEL MORROW</t>
  </si>
  <si>
    <t>'102256074200</t>
  </si>
  <si>
    <t>SANDRA LEFEVER</t>
  </si>
  <si>
    <t>'102256083100</t>
  </si>
  <si>
    <t>GLORIA BRYAN</t>
  </si>
  <si>
    <t>'102256109600</t>
  </si>
  <si>
    <t>DENNIS BRYAN</t>
  </si>
  <si>
    <t>'102256266800</t>
  </si>
  <si>
    <t>BRYCE JONES</t>
  </si>
  <si>
    <t>'102256466200</t>
  </si>
  <si>
    <t>JEFFREY SIMMS</t>
  </si>
  <si>
    <t>'102256472800</t>
  </si>
  <si>
    <t>EVELYN VEGA</t>
  </si>
  <si>
    <t>'102256555900</t>
  </si>
  <si>
    <t>DEBRA HEALY</t>
  </si>
  <si>
    <t>'135010181</t>
  </si>
  <si>
    <t>MIRIAM WADE</t>
  </si>
  <si>
    <t>'045717</t>
  </si>
  <si>
    <t>RONALD MAX</t>
  </si>
  <si>
    <t>UHC MAPD Street payable to upline - 2026 New</t>
  </si>
  <si>
    <t>'901566459</t>
  </si>
  <si>
    <t>CHRISTINE SCHWANBECK</t>
  </si>
  <si>
    <t>'045632</t>
  </si>
  <si>
    <t>BARRY SCHUMANN</t>
  </si>
  <si>
    <t>UHC MAPD Street payable to upline- 2026 Pro New</t>
  </si>
  <si>
    <t>12/12 PRORATE</t>
  </si>
  <si>
    <t>'901566459OV</t>
  </si>
  <si>
    <t>UHC MA Direct 2025 New Prorated</t>
  </si>
  <si>
    <t>'905009866</t>
  </si>
  <si>
    <t>JOHN ALBERT</t>
  </si>
  <si>
    <t>'905283105</t>
  </si>
  <si>
    <t>DAVID HILFIKER</t>
  </si>
  <si>
    <t>'046026</t>
  </si>
  <si>
    <t>JARED KINYUA</t>
  </si>
  <si>
    <t>'905287605</t>
  </si>
  <si>
    <t>RUSSELL SETTLE</t>
  </si>
  <si>
    <t>'908745437</t>
  </si>
  <si>
    <t>THOMAS HOFFMAN</t>
  </si>
  <si>
    <t>'908745437OV</t>
  </si>
  <si>
    <t>'908826935</t>
  </si>
  <si>
    <t>JOHN DALY</t>
  </si>
  <si>
    <t>UHC MAPD Street payable to upline - 2026 New - Other</t>
  </si>
  <si>
    <t>'910479691</t>
  </si>
  <si>
    <t>CHRISTINE SHAW</t>
  </si>
  <si>
    <t>'914188230</t>
  </si>
  <si>
    <t>DANIEL SUMNER</t>
  </si>
  <si>
    <t>OR</t>
  </si>
  <si>
    <t>'914374312</t>
  </si>
  <si>
    <t>PAULETTA GARDNER</t>
  </si>
  <si>
    <t>'043718</t>
  </si>
  <si>
    <t>CHAD YALE</t>
  </si>
  <si>
    <t>'917471347</t>
  </si>
  <si>
    <t>WILLIAM ANDERSON</t>
  </si>
  <si>
    <t>'917929060</t>
  </si>
  <si>
    <t>BARBARA KNEPPLE</t>
  </si>
  <si>
    <t>'922935380</t>
  </si>
  <si>
    <t>DIANE GILE</t>
  </si>
  <si>
    <t>'047621</t>
  </si>
  <si>
    <t>TOM SERIO</t>
  </si>
  <si>
    <t>'925781093</t>
  </si>
  <si>
    <t>EDWARD BAUER</t>
  </si>
  <si>
    <t>'926371909</t>
  </si>
  <si>
    <t>CHERI PENNY</t>
  </si>
  <si>
    <t>VA</t>
  </si>
  <si>
    <t>'043692</t>
  </si>
  <si>
    <t>ADAM RICHTER</t>
  </si>
  <si>
    <t>'927977925</t>
  </si>
  <si>
    <t>SANDRA MILLER</t>
  </si>
  <si>
    <t>UHC MA Direct 2025 New Full</t>
  </si>
  <si>
    <t>'927977925OV</t>
  </si>
  <si>
    <t>UHC MAPD Street payable to upline- 2026 Replace</t>
  </si>
  <si>
    <t>9/12 PRORATE</t>
  </si>
  <si>
    <t>'928198692</t>
  </si>
  <si>
    <t>REBECCA DIETZ</t>
  </si>
  <si>
    <t>'928872953</t>
  </si>
  <si>
    <t>MICHELLE PERRY</t>
  </si>
  <si>
    <t>CA</t>
  </si>
  <si>
    <t>UHC MAPD Street payable to upline NJ- 2026 New</t>
  </si>
  <si>
    <t>'930179026</t>
  </si>
  <si>
    <t>DANIEL KYLE</t>
  </si>
  <si>
    <t>'930773109</t>
  </si>
  <si>
    <t>DEBRA GORDON</t>
  </si>
  <si>
    <t>'932172054</t>
  </si>
  <si>
    <t>STEPHEN ECKERT</t>
  </si>
  <si>
    <t>UHC MAPD Street payable to upline PA/CT- 2026 New</t>
  </si>
  <si>
    <t>'932826929</t>
  </si>
  <si>
    <t>JOHN GERHARDT</t>
  </si>
  <si>
    <t>'936896337</t>
  </si>
  <si>
    <t>SABRINA AMAYA</t>
  </si>
  <si>
    <t>UHC MAPD Street payable to upline - 2025 New</t>
  </si>
  <si>
    <t>'939353500</t>
  </si>
  <si>
    <t>TOMMY MCCORMICK</t>
  </si>
  <si>
    <t>'045642</t>
  </si>
  <si>
    <t>JONATHAN ALOFF</t>
  </si>
  <si>
    <t>'940482810</t>
  </si>
  <si>
    <t>GREGORY STRUNK</t>
  </si>
  <si>
    <t>'943440592</t>
  </si>
  <si>
    <t>JONES ATTERBERRY</t>
  </si>
  <si>
    <t>'943723547</t>
  </si>
  <si>
    <t>DEBORAH CHAPMAN</t>
  </si>
  <si>
    <t>'949404698</t>
  </si>
  <si>
    <t>MARGUERITE ECKERT</t>
  </si>
  <si>
    <t>'953114727</t>
  </si>
  <si>
    <t>JAMES RHODES</t>
  </si>
  <si>
    <t>'045937</t>
  </si>
  <si>
    <t>MARSHA SANDEROCK</t>
  </si>
  <si>
    <t>'955290691</t>
  </si>
  <si>
    <t>GAIL ADAIR</t>
  </si>
  <si>
    <t>'955290691OV</t>
  </si>
  <si>
    <t>UHC MA Direct 2025 New Initial Prorated</t>
  </si>
  <si>
    <t>'956030204</t>
  </si>
  <si>
    <t>MAVERICK ALBERT</t>
  </si>
  <si>
    <t>'960900496</t>
  </si>
  <si>
    <t>TODD MARKO</t>
  </si>
  <si>
    <t>'961535224</t>
  </si>
  <si>
    <t>JAMES MEASIMER</t>
  </si>
  <si>
    <t>'962362898</t>
  </si>
  <si>
    <t>ERICA SMITH</t>
  </si>
  <si>
    <t>'967298395</t>
  </si>
  <si>
    <t>ROBERT DICK</t>
  </si>
  <si>
    <t>UHC MAPD Street payable to upline- 2026 Replace - Other</t>
  </si>
  <si>
    <t>'967298395OV</t>
  </si>
  <si>
    <t>UHC MA Direct 2025 New Initial Prorated - Other</t>
  </si>
  <si>
    <t>'967878737</t>
  </si>
  <si>
    <t>STEVEN GABEL</t>
  </si>
  <si>
    <t>'043974</t>
  </si>
  <si>
    <t>JENNIFER HALSAVER</t>
  </si>
  <si>
    <t>'967982621</t>
  </si>
  <si>
    <t>VERONICA JONES</t>
  </si>
  <si>
    <t>'970254922</t>
  </si>
  <si>
    <t>MARJORIE HARMS</t>
  </si>
  <si>
    <t>'970893671</t>
  </si>
  <si>
    <t>JANICE FELTON</t>
  </si>
  <si>
    <t>'971783268</t>
  </si>
  <si>
    <t>JANET FRAZIER</t>
  </si>
  <si>
    <t>'972530567</t>
  </si>
  <si>
    <t>GREGORY GASKIN</t>
  </si>
  <si>
    <t>'973756831</t>
  </si>
  <si>
    <t>INPENG OBMALAY</t>
  </si>
  <si>
    <t>'043625</t>
  </si>
  <si>
    <t>PATSAMON THANADABOUTH</t>
  </si>
  <si>
    <t>'975511320</t>
  </si>
  <si>
    <t>STEVEN CHRISTENSEN</t>
  </si>
  <si>
    <t>'979478312</t>
  </si>
  <si>
    <t>THERESA ANDERSON</t>
  </si>
  <si>
    <t>'979600179</t>
  </si>
  <si>
    <t>MARK BERNARDI</t>
  </si>
  <si>
    <t>'981059533</t>
  </si>
  <si>
    <t>ROBERT JURAN</t>
  </si>
  <si>
    <t>'981059533OV</t>
  </si>
  <si>
    <t>'982804488</t>
  </si>
  <si>
    <t>EDWARD GESKE</t>
  </si>
  <si>
    <t>UHC MAPD Street payable to upline- 2025 Replace</t>
  </si>
  <si>
    <t>'982804488OV</t>
  </si>
  <si>
    <t>'989382891</t>
  </si>
  <si>
    <t>MARIA PEREZ</t>
  </si>
  <si>
    <t>'046028</t>
  </si>
  <si>
    <t>TAWIAH TRENT</t>
  </si>
  <si>
    <t>'994055549</t>
  </si>
  <si>
    <t>GLORIA GESKE</t>
  </si>
  <si>
    <t>'994055549OV</t>
  </si>
  <si>
    <t>'995516659</t>
  </si>
  <si>
    <t>BESS ADAIR</t>
  </si>
  <si>
    <t>'995516659OV</t>
  </si>
  <si>
    <t>'996231312</t>
  </si>
  <si>
    <t>KEVIN CORNISH</t>
  </si>
  <si>
    <t>UHC MAPD Street payable to upline PA/CT- 2025 Replace</t>
  </si>
  <si>
    <t>'996231312OV</t>
  </si>
  <si>
    <t>'A04410163</t>
  </si>
  <si>
    <t>GANESH NATARAJA</t>
  </si>
  <si>
    <t>'043800</t>
  </si>
  <si>
    <t>BARRY BRENNER</t>
  </si>
  <si>
    <t>UHC AARP Med Supp 2026+ AR AZ IL KS MS NC NJ PA SC - Plans F G</t>
  </si>
  <si>
    <t>'A04410236</t>
  </si>
  <si>
    <t>WILLIAM VONDERAHE</t>
  </si>
  <si>
    <t>UHC AARP Med Supp 2026+ AZ IL KS ME NC TN WV Plan B C D F G</t>
  </si>
  <si>
    <t>'A04413067</t>
  </si>
  <si>
    <t>JANICE BUCHANAN</t>
  </si>
  <si>
    <t>MS</t>
  </si>
  <si>
    <t>CB</t>
  </si>
  <si>
    <t>'00000181806HCB</t>
  </si>
  <si>
    <t>CHARGEBACK</t>
  </si>
  <si>
    <t>'00000989823DCB</t>
  </si>
  <si>
    <t>FLORENCE MOSLEY</t>
  </si>
  <si>
    <t>'046024</t>
  </si>
  <si>
    <t>LATESHA (TC) ROSE</t>
  </si>
  <si>
    <t>'00002055299KPC</t>
  </si>
  <si>
    <t>JAMES HARTER</t>
  </si>
  <si>
    <t>'00010216897KPC</t>
  </si>
  <si>
    <t>LUCINDA HARTER</t>
  </si>
  <si>
    <t>'00014349742KCB</t>
  </si>
  <si>
    <t>SHIRLEY FLEMING JONES</t>
  </si>
  <si>
    <t>'00020136249KCB</t>
  </si>
  <si>
    <t>KIMBERLY MCBRIDE</t>
  </si>
  <si>
    <t>'00021204922KCB</t>
  </si>
  <si>
    <t>KAREN BOURNE</t>
  </si>
  <si>
    <t>'00022178549KCB</t>
  </si>
  <si>
    <t>SOMPHETH VISAYSOUK</t>
  </si>
  <si>
    <t>'00022550284KCB</t>
  </si>
  <si>
    <t>PAMELA SCHIEWE</t>
  </si>
  <si>
    <t>'00022558806KCB</t>
  </si>
  <si>
    <t>RICHARD CHAMBERS</t>
  </si>
  <si>
    <t>'00022826430KCB</t>
  </si>
  <si>
    <t>EILEEN SHAPIRO</t>
  </si>
  <si>
    <t>'045671</t>
  </si>
  <si>
    <t>ROBERT SHAPIRO</t>
  </si>
  <si>
    <t>'00023898228KCB</t>
  </si>
  <si>
    <t>LINDA MEGLEO</t>
  </si>
  <si>
    <t>'00024101017KCB</t>
  </si>
  <si>
    <t>RONALD SNODDY</t>
  </si>
  <si>
    <t>'00024300263KCB</t>
  </si>
  <si>
    <t>BILLIE WOODYATT</t>
  </si>
  <si>
    <t>'00024459001KCB</t>
  </si>
  <si>
    <t>LUKE PLANINIC</t>
  </si>
  <si>
    <t>'00024590403KCB</t>
  </si>
  <si>
    <t>'00025761952KCB</t>
  </si>
  <si>
    <t>THERESA CRAWLEY</t>
  </si>
  <si>
    <t>AZ</t>
  </si>
  <si>
    <t>'00025831526KCB</t>
  </si>
  <si>
    <t>MARVIN MARTIN</t>
  </si>
  <si>
    <t>'101085313800CB</t>
  </si>
  <si>
    <t>DIANE MONTELEONE</t>
  </si>
  <si>
    <t>Aetna MAPD NMO to GMO - 4-1-23+  New Paper</t>
  </si>
  <si>
    <t>'135010181CB</t>
  </si>
  <si>
    <t>'901566459CB</t>
  </si>
  <si>
    <t>'901566459OVCB</t>
  </si>
  <si>
    <t>'905009866CB</t>
  </si>
  <si>
    <t>'905283105CB</t>
  </si>
  <si>
    <t>'905287605CB</t>
  </si>
  <si>
    <t>'908745437CB</t>
  </si>
  <si>
    <t>'908745437OVCB</t>
  </si>
  <si>
    <t>'908826935CB</t>
  </si>
  <si>
    <t>'910479691CB</t>
  </si>
  <si>
    <t>'914188230CB</t>
  </si>
  <si>
    <t>'914374312CB</t>
  </si>
  <si>
    <t>'917471347CB</t>
  </si>
  <si>
    <t>'917929060CB</t>
  </si>
  <si>
    <t>'922935380CB</t>
  </si>
  <si>
    <t>'925781093CB</t>
  </si>
  <si>
    <t>'926371909CB</t>
  </si>
  <si>
    <t>'928198692CB</t>
  </si>
  <si>
    <t>'928872953CB</t>
  </si>
  <si>
    <t>UHC MAPD Street payable to upline NJ- 2026 Replace</t>
  </si>
  <si>
    <t>'930179026CB</t>
  </si>
  <si>
    <t>'930773109CB</t>
  </si>
  <si>
    <t>'932172054CB</t>
  </si>
  <si>
    <t>UHC MAPD Street payable to upline PA/CT- 2026 Replace</t>
  </si>
  <si>
    <t>'932826929CB</t>
  </si>
  <si>
    <t>'935295130CB</t>
  </si>
  <si>
    <t>DEBRA VALENTINO</t>
  </si>
  <si>
    <t>'935295130OVCB</t>
  </si>
  <si>
    <t>'936896337CB</t>
  </si>
  <si>
    <t>'939353500CB</t>
  </si>
  <si>
    <t>'940482810CB</t>
  </si>
  <si>
    <t>'943440592CB</t>
  </si>
  <si>
    <t>'943723547CB</t>
  </si>
  <si>
    <t>'949404698CB</t>
  </si>
  <si>
    <t>'953114727CB</t>
  </si>
  <si>
    <t>'956030204CB</t>
  </si>
  <si>
    <t>'960900496CB</t>
  </si>
  <si>
    <t>'961535224CB</t>
  </si>
  <si>
    <t>'962362898CB</t>
  </si>
  <si>
    <t>'967878737CB</t>
  </si>
  <si>
    <t>'967982621CB</t>
  </si>
  <si>
    <t>'970254922CB</t>
  </si>
  <si>
    <t>'970893671CB</t>
  </si>
  <si>
    <t>'971783268CB</t>
  </si>
  <si>
    <t>'972530567CB</t>
  </si>
  <si>
    <t>'973756831CB</t>
  </si>
  <si>
    <t>'975511320CB</t>
  </si>
  <si>
    <t>'979478312CB</t>
  </si>
  <si>
    <t>'979600179CB</t>
  </si>
  <si>
    <t>'982804488CB</t>
  </si>
  <si>
    <t>'982804488OVCB</t>
  </si>
  <si>
    <t>'989382891CB</t>
  </si>
  <si>
    <t>'994055549CB</t>
  </si>
  <si>
    <t>'994055549OVCB</t>
  </si>
  <si>
    <t>'A01895480CB</t>
  </si>
  <si>
    <t>PATRICIA STEPHENSON</t>
  </si>
  <si>
    <t>UHC AARP Med Supp 2025+ IN All Plans</t>
  </si>
  <si>
    <t>'A04401707CB</t>
  </si>
  <si>
    <t>BEVERLY HENDERSON</t>
  </si>
  <si>
    <t>AL</t>
  </si>
  <si>
    <t>UHC AARP Med Supp 2026+ AL GU HI PR RI SD UT VT -Plans B C F G</t>
  </si>
  <si>
    <t>Aetna MAPD OVR</t>
  </si>
  <si>
    <t>Humana OVR</t>
  </si>
  <si>
    <t>Humana PDP</t>
  </si>
  <si>
    <t>00000953613I</t>
  </si>
  <si>
    <t>00014636582K</t>
  </si>
  <si>
    <t>00017029001K</t>
  </si>
  <si>
    <t>00022598731K</t>
  </si>
  <si>
    <t>00024506657K</t>
  </si>
  <si>
    <t>00024511076K</t>
  </si>
  <si>
    <t>00024511852K</t>
  </si>
  <si>
    <t>00025840083K</t>
  </si>
  <si>
    <t>00025843251K</t>
  </si>
  <si>
    <t>00025844848K</t>
  </si>
  <si>
    <t>00025848402K</t>
  </si>
  <si>
    <t>00025848481K</t>
  </si>
  <si>
    <t>00025849155K</t>
  </si>
  <si>
    <t>00025849253K</t>
  </si>
  <si>
    <t>00025850742K</t>
  </si>
  <si>
    <t>00025851862K</t>
  </si>
  <si>
    <t>00025852118K</t>
  </si>
  <si>
    <t>00025856242K</t>
  </si>
  <si>
    <t>00025857241K</t>
  </si>
  <si>
    <t>00025857878K</t>
  </si>
  <si>
    <t>00025858343K</t>
  </si>
  <si>
    <t>00025858758K</t>
  </si>
  <si>
    <t>00025858859K</t>
  </si>
  <si>
    <t>00025858972K</t>
  </si>
  <si>
    <t>00025859574K</t>
  </si>
  <si>
    <t>00025859887K</t>
  </si>
  <si>
    <t>00025860315K</t>
  </si>
  <si>
    <t>00025861349K</t>
  </si>
  <si>
    <t>00025861440K</t>
  </si>
  <si>
    <t>00025864032K</t>
  </si>
  <si>
    <t>00025866584K</t>
  </si>
  <si>
    <t>00025866840K</t>
  </si>
  <si>
    <t>00025868210K</t>
  </si>
  <si>
    <t>00025868413K</t>
  </si>
  <si>
    <t>00025871591K</t>
  </si>
  <si>
    <t>00025871719K</t>
  </si>
  <si>
    <t>00025875361K</t>
  </si>
  <si>
    <t>00025877480K</t>
  </si>
  <si>
    <t>00025877491K</t>
  </si>
  <si>
    <t>00025878157K</t>
  </si>
  <si>
    <t>00025879268K</t>
  </si>
  <si>
    <t>00025881946K</t>
  </si>
  <si>
    <t>00025882217K</t>
  </si>
  <si>
    <t>00025883039K</t>
  </si>
  <si>
    <t>00025885165K</t>
  </si>
  <si>
    <t>00025886258K</t>
  </si>
  <si>
    <t>00025892964K</t>
  </si>
  <si>
    <t>00025892982K</t>
  </si>
  <si>
    <t>00000408160I</t>
  </si>
  <si>
    <t>00005605113K</t>
  </si>
  <si>
    <t>00012387888K</t>
  </si>
  <si>
    <t>00015818791K</t>
  </si>
  <si>
    <t>00023672066K</t>
  </si>
  <si>
    <t>00011577545KPDP</t>
  </si>
  <si>
    <t>00011802427KPDP</t>
  </si>
  <si>
    <t>00011805898KPDP</t>
  </si>
  <si>
    <t>00012074039KPDP</t>
  </si>
  <si>
    <t>00013202440KPDP</t>
  </si>
  <si>
    <t>00013715947KPDP</t>
  </si>
  <si>
    <t>00014103701KPDP</t>
  </si>
  <si>
    <t>00014409911KPDP</t>
  </si>
  <si>
    <t>00016227908KPDP</t>
  </si>
  <si>
    <t>00021898574KPDP</t>
  </si>
  <si>
    <t>00022612258KPDP</t>
  </si>
  <si>
    <t>00023803100KPDP</t>
  </si>
  <si>
    <t>00023826034KPDP</t>
  </si>
  <si>
    <t>00023838833KPDP</t>
  </si>
  <si>
    <t>00023849812KPDP</t>
  </si>
  <si>
    <t>00023872019KPDP</t>
  </si>
  <si>
    <t>00023872489KPDP</t>
  </si>
  <si>
    <t>00023872952KPDP</t>
  </si>
  <si>
    <t>00023877609KPDP</t>
  </si>
  <si>
    <t>00023881069KPDP</t>
  </si>
  <si>
    <t>00023881289KPDP</t>
  </si>
  <si>
    <t>00023884910KPDP</t>
  </si>
  <si>
    <t>00023892110KPDP</t>
  </si>
  <si>
    <t>00023907619KPDP</t>
  </si>
  <si>
    <t>00023928531KPDP</t>
  </si>
  <si>
    <t>00023943280KPDP</t>
  </si>
  <si>
    <t>00023944909KPDP</t>
  </si>
  <si>
    <t>00023954321KPDP</t>
  </si>
  <si>
    <t>00024016896KPDP</t>
  </si>
  <si>
    <t>00024026041KPDP</t>
  </si>
  <si>
    <t>00024051383KPDP</t>
  </si>
  <si>
    <t>00024057190KPDP</t>
  </si>
  <si>
    <t>00024069373KPDP</t>
  </si>
  <si>
    <t>00024073391KPDP</t>
  </si>
  <si>
    <t>00024088645KPDP</t>
  </si>
  <si>
    <t>00024161677KPDP</t>
  </si>
  <si>
    <t>00024161693KPDP</t>
  </si>
  <si>
    <t>00024163679KPDP</t>
  </si>
  <si>
    <t>00024168849KPDP</t>
  </si>
  <si>
    <t>00024250484KPDP</t>
  </si>
  <si>
    <t>00024260974KPDP</t>
  </si>
  <si>
    <t>00024264685KPDP</t>
  </si>
  <si>
    <t>00024267611KPDP</t>
  </si>
  <si>
    <t>00024271252KPDP</t>
  </si>
  <si>
    <t>00024276927KPDP</t>
  </si>
  <si>
    <t>00024300159KPDP</t>
  </si>
  <si>
    <t>00024348668KPDP</t>
  </si>
  <si>
    <t>00024518237KPDP</t>
  </si>
  <si>
    <t>00024518245KPDP</t>
  </si>
  <si>
    <t>00024538926KPDP</t>
  </si>
  <si>
    <t>00024593643KPDP</t>
  </si>
  <si>
    <t>00024618318KPDP</t>
  </si>
  <si>
    <t>00024659260KPDP</t>
  </si>
  <si>
    <t>00024730380KPDP</t>
  </si>
  <si>
    <t>00024737321KPDP</t>
  </si>
  <si>
    <t>00024744031KPDP</t>
  </si>
  <si>
    <t>A04401707CB</t>
  </si>
  <si>
    <t>A04410163</t>
  </si>
  <si>
    <t>A04413067</t>
  </si>
  <si>
    <t>A04410236</t>
  </si>
  <si>
    <t>UHC MAPD Ovr</t>
  </si>
  <si>
    <t>UHC 2025</t>
  </si>
  <si>
    <t>2026 UHC MAPD National</t>
  </si>
  <si>
    <t>UHC MAPD 2026*</t>
  </si>
  <si>
    <t>UHC 2025 CT, PA, DC *</t>
  </si>
  <si>
    <t>UHC 2026 CT, PA, DC *</t>
  </si>
  <si>
    <t>UHC 2026 CA, NJ*</t>
  </si>
  <si>
    <t>2026 UHC MAPD National*</t>
  </si>
  <si>
    <t>UHC MAPD 2025*</t>
  </si>
  <si>
    <t>UHC 2026</t>
  </si>
  <si>
    <t>UHC 2026 CA, NJ</t>
  </si>
  <si>
    <t>UHC 2026 CT, PA, DC</t>
  </si>
  <si>
    <t>[%/$=347][prorate=12/12]</t>
  </si>
  <si>
    <t>[%/$=347][prorate=10/12]</t>
  </si>
  <si>
    <t>[%/$=391][prorate=12/12]</t>
  </si>
  <si>
    <t>[%/$=432][prorate=12/12]</t>
  </si>
  <si>
    <t>[%/$=353][prorate=12/12]</t>
  </si>
  <si>
    <t>[%/$=313][prorate=11/12]</t>
  </si>
  <si>
    <t>[%/$=313][prorate=1/12]</t>
  </si>
  <si>
    <t>[%/$=347][prorate=9/12]</t>
  </si>
  <si>
    <t>[%/$=347][prorate=11/12]</t>
  </si>
  <si>
    <t>[%/$=203][prorate=11/12]</t>
  </si>
  <si>
    <t>[%/$=626]</t>
  </si>
  <si>
    <t>[%/$=694]</t>
  </si>
  <si>
    <t>[%/$=864]</t>
  </si>
  <si>
    <t>[%/$=781]</t>
  </si>
  <si>
    <t>Main Line Benefits</t>
  </si>
  <si>
    <t>00000181806H</t>
  </si>
  <si>
    <t>00000989823D</t>
  </si>
  <si>
    <t>00014349742K</t>
  </si>
  <si>
    <t>00023898228K</t>
  </si>
  <si>
    <t>00024101017K</t>
  </si>
  <si>
    <t>00024300263K</t>
  </si>
  <si>
    <t>00024459001K</t>
  </si>
  <si>
    <t>00024590403K</t>
  </si>
  <si>
    <t>00025761952K</t>
  </si>
  <si>
    <t>00025831526K</t>
  </si>
  <si>
    <t>00020136249K</t>
  </si>
  <si>
    <t>00021204922K</t>
  </si>
  <si>
    <t>00022178549K</t>
  </si>
  <si>
    <t>00022550284K</t>
  </si>
  <si>
    <t>00022558806K</t>
  </si>
  <si>
    <t>00022826430K</t>
  </si>
  <si>
    <t>A01895480</t>
  </si>
  <si>
    <t>00002055299K</t>
  </si>
  <si>
    <t>00010216897K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</si>
</sst>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1" fontId="0" fillId="34" borderId="0" xfId="0" applyNumberFormat="1" applyFill="1" applyAlignment="1">
      <alignment horizontal="left"/>
    </xf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10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1581C-5C67-4A45-961E-EFFC4E601684}">
  <dimension ref="A1:AL270"/>
  <sheetViews>
    <sheetView topLeftCell="A176" workbookViewId="0">
      <selection activeCell="A198" sqref="A198:XFD198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46036</v>
      </c>
      <c r="B2" s="1">
        <v>46036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46023</v>
      </c>
      <c r="U2" t="s">
        <v>51</v>
      </c>
      <c r="X2" t="s">
        <v>52</v>
      </c>
      <c r="Y2" s="2">
        <v>0</v>
      </c>
      <c r="Z2" s="2">
        <v>108</v>
      </c>
      <c r="AA2">
        <v>1</v>
      </c>
      <c r="AB2" s="3">
        <v>1</v>
      </c>
      <c r="AC2" s="2">
        <v>108</v>
      </c>
      <c r="AD2" s="3">
        <v>0</v>
      </c>
      <c r="AE2" s="2">
        <v>0</v>
      </c>
      <c r="AF2" s="2">
        <v>108</v>
      </c>
      <c r="AK2">
        <v>6123759</v>
      </c>
    </row>
    <row r="3" spans="1:38" x14ac:dyDescent="0.25">
      <c r="A3" s="1">
        <v>46036</v>
      </c>
      <c r="B3" s="1">
        <v>46036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58</v>
      </c>
      <c r="S3" s="1">
        <v>46023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6123885</v>
      </c>
    </row>
    <row r="4" spans="1:38" x14ac:dyDescent="0.25">
      <c r="A4" s="1">
        <v>46036</v>
      </c>
      <c r="B4" s="1">
        <v>46036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59</v>
      </c>
      <c r="J4" t="s">
        <v>60</v>
      </c>
      <c r="M4" t="s">
        <v>61</v>
      </c>
      <c r="O4" t="s">
        <v>62</v>
      </c>
      <c r="P4" t="s">
        <v>63</v>
      </c>
      <c r="Q4" t="s">
        <v>49</v>
      </c>
      <c r="R4" t="s">
        <v>50</v>
      </c>
      <c r="S4" s="1">
        <v>46023</v>
      </c>
      <c r="U4" t="s">
        <v>51</v>
      </c>
      <c r="X4" t="s">
        <v>52</v>
      </c>
      <c r="Y4" s="2">
        <v>0</v>
      </c>
      <c r="Z4" s="2">
        <v>108</v>
      </c>
      <c r="AA4">
        <v>1</v>
      </c>
      <c r="AB4" s="3">
        <v>1</v>
      </c>
      <c r="AC4" s="2">
        <v>108</v>
      </c>
      <c r="AD4" s="3">
        <v>0</v>
      </c>
      <c r="AE4" s="2">
        <v>0</v>
      </c>
      <c r="AF4" s="2">
        <v>108</v>
      </c>
      <c r="AK4">
        <v>6123760</v>
      </c>
    </row>
    <row r="5" spans="1:38" x14ac:dyDescent="0.25">
      <c r="A5" s="1">
        <v>46036</v>
      </c>
      <c r="B5" s="1">
        <v>46036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66</v>
      </c>
      <c r="O5" t="s">
        <v>67</v>
      </c>
      <c r="P5" t="s">
        <v>68</v>
      </c>
      <c r="Q5" t="s">
        <v>49</v>
      </c>
      <c r="R5" t="s">
        <v>69</v>
      </c>
      <c r="S5" s="1">
        <v>46023</v>
      </c>
      <c r="U5" t="s">
        <v>51</v>
      </c>
      <c r="X5" t="s">
        <v>52</v>
      </c>
      <c r="Y5" s="2">
        <v>0</v>
      </c>
      <c r="Z5" s="2">
        <v>15</v>
      </c>
      <c r="AA5">
        <v>1</v>
      </c>
      <c r="AB5" s="3">
        <v>1</v>
      </c>
      <c r="AC5" s="2">
        <v>15</v>
      </c>
      <c r="AD5" s="3">
        <v>0</v>
      </c>
      <c r="AE5" s="2">
        <v>0</v>
      </c>
      <c r="AF5" s="2">
        <v>15</v>
      </c>
      <c r="AK5">
        <v>6123602</v>
      </c>
    </row>
    <row r="6" spans="1:38" x14ac:dyDescent="0.25">
      <c r="A6" s="1">
        <v>46036</v>
      </c>
      <c r="B6" s="1">
        <v>46036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70</v>
      </c>
      <c r="J6" t="s">
        <v>71</v>
      </c>
      <c r="M6" t="s">
        <v>72</v>
      </c>
      <c r="O6" t="s">
        <v>73</v>
      </c>
      <c r="P6" t="s">
        <v>74</v>
      </c>
      <c r="Q6" t="s">
        <v>49</v>
      </c>
      <c r="R6" t="s">
        <v>69</v>
      </c>
      <c r="S6" s="1">
        <v>46023</v>
      </c>
      <c r="U6" t="s">
        <v>51</v>
      </c>
      <c r="X6" t="s">
        <v>52</v>
      </c>
      <c r="Y6" s="2">
        <v>0</v>
      </c>
      <c r="Z6" s="2">
        <v>15</v>
      </c>
      <c r="AA6">
        <v>1</v>
      </c>
      <c r="AB6" s="3">
        <v>1</v>
      </c>
      <c r="AC6" s="2">
        <v>15</v>
      </c>
      <c r="AD6" s="3">
        <v>0</v>
      </c>
      <c r="AE6" s="2">
        <v>0</v>
      </c>
      <c r="AF6" s="2">
        <v>15</v>
      </c>
      <c r="AK6">
        <v>6123603</v>
      </c>
    </row>
    <row r="7" spans="1:38" x14ac:dyDescent="0.25">
      <c r="A7" s="1">
        <v>46036</v>
      </c>
      <c r="B7" s="1">
        <v>46036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75</v>
      </c>
      <c r="J7" t="s">
        <v>76</v>
      </c>
      <c r="M7" t="s">
        <v>72</v>
      </c>
      <c r="O7" t="s">
        <v>73</v>
      </c>
      <c r="P7" t="s">
        <v>74</v>
      </c>
      <c r="Q7" t="s">
        <v>49</v>
      </c>
      <c r="R7" t="s">
        <v>69</v>
      </c>
      <c r="S7" s="1">
        <v>46023</v>
      </c>
      <c r="U7" t="s">
        <v>51</v>
      </c>
      <c r="X7" t="s">
        <v>52</v>
      </c>
      <c r="Y7" s="2">
        <v>0</v>
      </c>
      <c r="Z7" s="2">
        <v>15</v>
      </c>
      <c r="AA7">
        <v>1</v>
      </c>
      <c r="AB7" s="3">
        <v>1</v>
      </c>
      <c r="AC7" s="2">
        <v>15</v>
      </c>
      <c r="AD7" s="3">
        <v>0</v>
      </c>
      <c r="AE7" s="2">
        <v>0</v>
      </c>
      <c r="AF7" s="2">
        <v>15</v>
      </c>
      <c r="AK7">
        <v>6123604</v>
      </c>
    </row>
    <row r="8" spans="1:38" x14ac:dyDescent="0.25">
      <c r="A8" s="1">
        <v>46036</v>
      </c>
      <c r="B8" s="1">
        <v>46036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77</v>
      </c>
      <c r="J8" t="s">
        <v>78</v>
      </c>
      <c r="M8" t="s">
        <v>66</v>
      </c>
      <c r="O8" t="s">
        <v>67</v>
      </c>
      <c r="P8" t="s">
        <v>68</v>
      </c>
      <c r="Q8" t="s">
        <v>49</v>
      </c>
      <c r="R8" t="s">
        <v>69</v>
      </c>
      <c r="S8" s="1">
        <v>46023</v>
      </c>
      <c r="U8" t="s">
        <v>51</v>
      </c>
      <c r="X8" t="s">
        <v>52</v>
      </c>
      <c r="Y8" s="2">
        <v>0</v>
      </c>
      <c r="Z8" s="2">
        <v>15</v>
      </c>
      <c r="AA8">
        <v>1</v>
      </c>
      <c r="AB8" s="3">
        <v>1</v>
      </c>
      <c r="AC8" s="2">
        <v>15</v>
      </c>
      <c r="AD8" s="3">
        <v>0</v>
      </c>
      <c r="AE8" s="2">
        <v>0</v>
      </c>
      <c r="AF8" s="2">
        <v>15</v>
      </c>
      <c r="AK8">
        <v>6123605</v>
      </c>
    </row>
    <row r="9" spans="1:38" x14ac:dyDescent="0.25">
      <c r="A9" s="1">
        <v>46036</v>
      </c>
      <c r="B9" s="1">
        <v>46036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79</v>
      </c>
      <c r="J9" t="s">
        <v>80</v>
      </c>
      <c r="M9" t="s">
        <v>55</v>
      </c>
      <c r="O9" t="s">
        <v>81</v>
      </c>
      <c r="P9" t="s">
        <v>82</v>
      </c>
      <c r="Q9" t="s">
        <v>49</v>
      </c>
      <c r="R9" t="s">
        <v>50</v>
      </c>
      <c r="S9" s="1">
        <v>46023</v>
      </c>
      <c r="U9" t="s">
        <v>51</v>
      </c>
      <c r="X9" t="s">
        <v>52</v>
      </c>
      <c r="Y9" s="2">
        <v>0</v>
      </c>
      <c r="Z9" s="2">
        <v>108</v>
      </c>
      <c r="AA9">
        <v>1</v>
      </c>
      <c r="AB9" s="3">
        <v>1</v>
      </c>
      <c r="AC9" s="2">
        <v>108</v>
      </c>
      <c r="AD9" s="3">
        <v>0</v>
      </c>
      <c r="AE9" s="2">
        <v>0</v>
      </c>
      <c r="AF9" s="2">
        <v>108</v>
      </c>
      <c r="AK9">
        <v>6123761</v>
      </c>
    </row>
    <row r="10" spans="1:38" x14ac:dyDescent="0.25">
      <c r="A10" s="1">
        <v>46036</v>
      </c>
      <c r="B10" s="1">
        <v>46036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83</v>
      </c>
      <c r="J10" t="s">
        <v>84</v>
      </c>
      <c r="M10" t="s">
        <v>66</v>
      </c>
      <c r="O10" t="s">
        <v>85</v>
      </c>
      <c r="P10" t="s">
        <v>86</v>
      </c>
      <c r="Q10" t="s">
        <v>49</v>
      </c>
      <c r="R10" t="s">
        <v>69</v>
      </c>
      <c r="S10" s="1">
        <v>46023</v>
      </c>
      <c r="U10" t="s">
        <v>51</v>
      </c>
      <c r="X10" t="s">
        <v>52</v>
      </c>
      <c r="Y10" s="2">
        <v>0</v>
      </c>
      <c r="Z10" s="2">
        <v>15</v>
      </c>
      <c r="AA10">
        <v>1</v>
      </c>
      <c r="AB10" s="3">
        <v>1</v>
      </c>
      <c r="AC10" s="2">
        <v>15</v>
      </c>
      <c r="AD10" s="3">
        <v>0</v>
      </c>
      <c r="AE10" s="2">
        <v>0</v>
      </c>
      <c r="AF10" s="2">
        <v>15</v>
      </c>
      <c r="AK10">
        <v>6123606</v>
      </c>
    </row>
    <row r="11" spans="1:38" x14ac:dyDescent="0.25">
      <c r="A11" s="1">
        <v>46036</v>
      </c>
      <c r="B11" s="1">
        <v>46036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87</v>
      </c>
      <c r="J11" t="s">
        <v>88</v>
      </c>
      <c r="M11" t="s">
        <v>66</v>
      </c>
      <c r="O11" t="s">
        <v>67</v>
      </c>
      <c r="P11" t="s">
        <v>68</v>
      </c>
      <c r="Q11" t="s">
        <v>49</v>
      </c>
      <c r="R11" t="s">
        <v>69</v>
      </c>
      <c r="S11" s="1">
        <v>46023</v>
      </c>
      <c r="U11" t="s">
        <v>51</v>
      </c>
      <c r="X11" t="s">
        <v>52</v>
      </c>
      <c r="Y11" s="2">
        <v>0</v>
      </c>
      <c r="Z11" s="2">
        <v>15</v>
      </c>
      <c r="AA11">
        <v>1</v>
      </c>
      <c r="AB11" s="3">
        <v>1</v>
      </c>
      <c r="AC11" s="2">
        <v>15</v>
      </c>
      <c r="AD11" s="3">
        <v>0</v>
      </c>
      <c r="AE11" s="2">
        <v>0</v>
      </c>
      <c r="AF11" s="2">
        <v>15</v>
      </c>
      <c r="AK11">
        <v>6123607</v>
      </c>
    </row>
    <row r="12" spans="1:38" x14ac:dyDescent="0.25">
      <c r="A12" s="1">
        <v>46036</v>
      </c>
      <c r="B12" s="1">
        <v>46036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89</v>
      </c>
      <c r="J12" t="s">
        <v>90</v>
      </c>
      <c r="M12" t="s">
        <v>66</v>
      </c>
      <c r="O12" t="s">
        <v>91</v>
      </c>
      <c r="P12" t="s">
        <v>92</v>
      </c>
      <c r="Q12" t="s">
        <v>49</v>
      </c>
      <c r="R12" t="s">
        <v>69</v>
      </c>
      <c r="S12" s="1">
        <v>46023</v>
      </c>
      <c r="U12" t="s">
        <v>51</v>
      </c>
      <c r="X12" t="s">
        <v>52</v>
      </c>
      <c r="Y12" s="2">
        <v>0</v>
      </c>
      <c r="Z12" s="2">
        <v>15</v>
      </c>
      <c r="AA12">
        <v>1</v>
      </c>
      <c r="AB12" s="3">
        <v>1</v>
      </c>
      <c r="AC12" s="2">
        <v>15</v>
      </c>
      <c r="AD12" s="3">
        <v>0</v>
      </c>
      <c r="AE12" s="2">
        <v>0</v>
      </c>
      <c r="AF12" s="2">
        <v>15</v>
      </c>
      <c r="AK12">
        <v>6123592</v>
      </c>
    </row>
    <row r="13" spans="1:38" x14ac:dyDescent="0.25">
      <c r="A13" s="1">
        <v>46036</v>
      </c>
      <c r="B13" s="1">
        <v>46036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93</v>
      </c>
      <c r="J13" t="s">
        <v>94</v>
      </c>
      <c r="M13" t="s">
        <v>66</v>
      </c>
      <c r="O13" t="s">
        <v>85</v>
      </c>
      <c r="P13" t="s">
        <v>86</v>
      </c>
      <c r="Q13" t="s">
        <v>49</v>
      </c>
      <c r="R13" t="s">
        <v>69</v>
      </c>
      <c r="S13" s="1">
        <v>46023</v>
      </c>
      <c r="U13" t="s">
        <v>51</v>
      </c>
      <c r="X13" t="s">
        <v>52</v>
      </c>
      <c r="Y13" s="2">
        <v>0</v>
      </c>
      <c r="Z13" s="2">
        <v>15</v>
      </c>
      <c r="AA13">
        <v>1</v>
      </c>
      <c r="AB13" s="3">
        <v>1</v>
      </c>
      <c r="AC13" s="2">
        <v>15</v>
      </c>
      <c r="AD13" s="3">
        <v>0</v>
      </c>
      <c r="AE13" s="2">
        <v>0</v>
      </c>
      <c r="AF13" s="2">
        <v>15</v>
      </c>
      <c r="AK13">
        <v>6123608</v>
      </c>
    </row>
    <row r="14" spans="1:38" x14ac:dyDescent="0.25">
      <c r="A14" s="1">
        <v>46036</v>
      </c>
      <c r="B14" s="1">
        <v>46036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95</v>
      </c>
      <c r="J14" t="s">
        <v>96</v>
      </c>
      <c r="M14" t="s">
        <v>55</v>
      </c>
      <c r="O14" t="s">
        <v>97</v>
      </c>
      <c r="P14" t="s">
        <v>98</v>
      </c>
      <c r="Q14" t="s">
        <v>49</v>
      </c>
      <c r="R14" t="s">
        <v>58</v>
      </c>
      <c r="S14" s="1">
        <v>46023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6123886</v>
      </c>
    </row>
    <row r="15" spans="1:38" x14ac:dyDescent="0.25">
      <c r="A15" s="1">
        <v>46036</v>
      </c>
      <c r="B15" s="1">
        <v>46036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99</v>
      </c>
      <c r="J15" t="s">
        <v>100</v>
      </c>
      <c r="M15" t="s">
        <v>101</v>
      </c>
      <c r="O15" t="s">
        <v>102</v>
      </c>
      <c r="P15" t="s">
        <v>103</v>
      </c>
      <c r="Q15" t="s">
        <v>49</v>
      </c>
      <c r="R15" t="s">
        <v>50</v>
      </c>
      <c r="S15" s="1">
        <v>46023</v>
      </c>
      <c r="U15" t="s">
        <v>51</v>
      </c>
      <c r="X15" t="s">
        <v>52</v>
      </c>
      <c r="Y15" s="2">
        <v>0</v>
      </c>
      <c r="Z15" s="2">
        <v>108</v>
      </c>
      <c r="AA15">
        <v>1</v>
      </c>
      <c r="AB15" s="3">
        <v>1</v>
      </c>
      <c r="AC15" s="2">
        <v>108</v>
      </c>
      <c r="AD15" s="3">
        <v>0</v>
      </c>
      <c r="AE15" s="2">
        <v>0</v>
      </c>
      <c r="AF15" s="2">
        <v>108</v>
      </c>
      <c r="AK15">
        <v>6123751</v>
      </c>
    </row>
    <row r="16" spans="1:38" x14ac:dyDescent="0.25">
      <c r="A16" s="1">
        <v>46036</v>
      </c>
      <c r="B16" s="1">
        <v>46036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104</v>
      </c>
      <c r="J16" t="s">
        <v>105</v>
      </c>
      <c r="M16" t="s">
        <v>66</v>
      </c>
      <c r="O16" t="s">
        <v>85</v>
      </c>
      <c r="P16" t="s">
        <v>86</v>
      </c>
      <c r="Q16" t="s">
        <v>49</v>
      </c>
      <c r="R16" t="s">
        <v>69</v>
      </c>
      <c r="S16" s="1">
        <v>46023</v>
      </c>
      <c r="U16" t="s">
        <v>51</v>
      </c>
      <c r="X16" t="s">
        <v>52</v>
      </c>
      <c r="Y16" s="2">
        <v>0</v>
      </c>
      <c r="Z16" s="2">
        <v>15</v>
      </c>
      <c r="AA16">
        <v>1</v>
      </c>
      <c r="AB16" s="3">
        <v>1</v>
      </c>
      <c r="AC16" s="2">
        <v>15</v>
      </c>
      <c r="AD16" s="3">
        <v>0</v>
      </c>
      <c r="AE16" s="2">
        <v>0</v>
      </c>
      <c r="AF16" s="2">
        <v>15</v>
      </c>
      <c r="AK16">
        <v>6123609</v>
      </c>
    </row>
    <row r="17" spans="1:37" x14ac:dyDescent="0.25">
      <c r="A17" s="1">
        <v>46036</v>
      </c>
      <c r="B17" s="1">
        <v>46036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106</v>
      </c>
      <c r="J17" t="s">
        <v>107</v>
      </c>
      <c r="M17" t="s">
        <v>108</v>
      </c>
      <c r="O17" t="s">
        <v>109</v>
      </c>
      <c r="P17" t="s">
        <v>110</v>
      </c>
      <c r="Q17" t="s">
        <v>49</v>
      </c>
      <c r="R17" t="s">
        <v>58</v>
      </c>
      <c r="S17" s="1">
        <v>46023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6123887</v>
      </c>
    </row>
    <row r="18" spans="1:37" x14ac:dyDescent="0.25">
      <c r="A18" s="1">
        <v>46036</v>
      </c>
      <c r="B18" s="1">
        <v>46036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111</v>
      </c>
      <c r="J18" t="s">
        <v>112</v>
      </c>
      <c r="M18" t="s">
        <v>113</v>
      </c>
      <c r="O18" t="s">
        <v>85</v>
      </c>
      <c r="P18" t="s">
        <v>86</v>
      </c>
      <c r="Q18" t="s">
        <v>49</v>
      </c>
      <c r="R18" t="s">
        <v>69</v>
      </c>
      <c r="S18" s="1">
        <v>46023</v>
      </c>
      <c r="U18" t="s">
        <v>51</v>
      </c>
      <c r="X18" t="s">
        <v>52</v>
      </c>
      <c r="Y18" s="2">
        <v>0</v>
      </c>
      <c r="Z18" s="2">
        <v>15</v>
      </c>
      <c r="AA18">
        <v>1</v>
      </c>
      <c r="AB18" s="3">
        <v>1</v>
      </c>
      <c r="AC18" s="2">
        <v>15</v>
      </c>
      <c r="AD18" s="3">
        <v>0</v>
      </c>
      <c r="AE18" s="2">
        <v>0</v>
      </c>
      <c r="AF18" s="2">
        <v>15</v>
      </c>
      <c r="AK18">
        <v>6123610</v>
      </c>
    </row>
    <row r="19" spans="1:37" x14ac:dyDescent="0.25">
      <c r="A19" s="1">
        <v>46036</v>
      </c>
      <c r="B19" s="1">
        <v>46036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114</v>
      </c>
      <c r="J19" t="s">
        <v>115</v>
      </c>
      <c r="M19" t="s">
        <v>55</v>
      </c>
      <c r="O19" t="s">
        <v>116</v>
      </c>
      <c r="P19" t="s">
        <v>117</v>
      </c>
      <c r="Q19" t="s">
        <v>49</v>
      </c>
      <c r="R19" t="s">
        <v>58</v>
      </c>
      <c r="S19" s="1">
        <v>46054</v>
      </c>
      <c r="U19" t="s">
        <v>51</v>
      </c>
      <c r="X19" t="s">
        <v>52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6123888</v>
      </c>
    </row>
    <row r="20" spans="1:37" x14ac:dyDescent="0.25">
      <c r="A20" s="1">
        <v>46036</v>
      </c>
      <c r="B20" s="1">
        <v>46036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118</v>
      </c>
      <c r="J20" t="s">
        <v>119</v>
      </c>
      <c r="M20" t="s">
        <v>120</v>
      </c>
      <c r="O20" t="s">
        <v>121</v>
      </c>
      <c r="P20" t="s">
        <v>122</v>
      </c>
      <c r="Q20" t="s">
        <v>49</v>
      </c>
      <c r="R20" t="s">
        <v>69</v>
      </c>
      <c r="S20" s="1">
        <v>46023</v>
      </c>
      <c r="U20" t="s">
        <v>51</v>
      </c>
      <c r="X20" t="s">
        <v>52</v>
      </c>
      <c r="Y20" s="2">
        <v>0</v>
      </c>
      <c r="Z20" s="2">
        <v>15</v>
      </c>
      <c r="AA20">
        <v>1</v>
      </c>
      <c r="AB20" s="3">
        <v>1</v>
      </c>
      <c r="AC20" s="2">
        <v>15</v>
      </c>
      <c r="AD20" s="3">
        <v>0</v>
      </c>
      <c r="AE20" s="2">
        <v>0</v>
      </c>
      <c r="AF20" s="2">
        <v>15</v>
      </c>
      <c r="AK20">
        <v>6123593</v>
      </c>
    </row>
    <row r="21" spans="1:37" x14ac:dyDescent="0.25">
      <c r="A21" s="1">
        <v>46036</v>
      </c>
      <c r="B21" s="1">
        <v>46036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123</v>
      </c>
      <c r="J21" t="s">
        <v>124</v>
      </c>
      <c r="M21" t="s">
        <v>125</v>
      </c>
      <c r="O21" t="s">
        <v>126</v>
      </c>
      <c r="P21" t="s">
        <v>127</v>
      </c>
      <c r="Q21" t="s">
        <v>49</v>
      </c>
      <c r="R21" t="s">
        <v>50</v>
      </c>
      <c r="S21" s="1">
        <v>46023</v>
      </c>
      <c r="U21" t="s">
        <v>51</v>
      </c>
      <c r="X21" t="s">
        <v>52</v>
      </c>
      <c r="Y21" s="2">
        <v>0</v>
      </c>
      <c r="Z21" s="2">
        <v>108</v>
      </c>
      <c r="AA21">
        <v>1</v>
      </c>
      <c r="AB21" s="3">
        <v>1</v>
      </c>
      <c r="AC21" s="2">
        <v>108</v>
      </c>
      <c r="AD21" s="3">
        <v>0</v>
      </c>
      <c r="AE21" s="2">
        <v>0</v>
      </c>
      <c r="AF21" s="2">
        <v>108</v>
      </c>
      <c r="AK21">
        <v>6123762</v>
      </c>
    </row>
    <row r="22" spans="1:37" x14ac:dyDescent="0.25">
      <c r="A22" s="1">
        <v>46036</v>
      </c>
      <c r="B22" s="1">
        <v>46036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128</v>
      </c>
      <c r="J22" t="s">
        <v>129</v>
      </c>
      <c r="M22" t="s">
        <v>72</v>
      </c>
      <c r="O22" t="s">
        <v>130</v>
      </c>
      <c r="P22" t="s">
        <v>131</v>
      </c>
      <c r="Q22" t="s">
        <v>49</v>
      </c>
      <c r="R22" t="s">
        <v>69</v>
      </c>
      <c r="S22" s="1">
        <v>46023</v>
      </c>
      <c r="U22" t="s">
        <v>51</v>
      </c>
      <c r="X22" t="s">
        <v>52</v>
      </c>
      <c r="Y22" s="2">
        <v>0</v>
      </c>
      <c r="Z22" s="2">
        <v>15</v>
      </c>
      <c r="AA22">
        <v>1</v>
      </c>
      <c r="AB22" s="3">
        <v>1</v>
      </c>
      <c r="AC22" s="2">
        <v>15</v>
      </c>
      <c r="AD22" s="3">
        <v>0</v>
      </c>
      <c r="AE22" s="2">
        <v>0</v>
      </c>
      <c r="AF22" s="2">
        <v>15</v>
      </c>
      <c r="AK22">
        <v>6123611</v>
      </c>
    </row>
    <row r="23" spans="1:37" x14ac:dyDescent="0.25">
      <c r="A23" s="1">
        <v>46036</v>
      </c>
      <c r="B23" s="1">
        <v>46036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132</v>
      </c>
      <c r="J23" t="s">
        <v>133</v>
      </c>
      <c r="M23" t="s">
        <v>134</v>
      </c>
      <c r="O23" t="s">
        <v>135</v>
      </c>
      <c r="P23" t="s">
        <v>136</v>
      </c>
      <c r="Q23" t="s">
        <v>49</v>
      </c>
      <c r="R23" t="s">
        <v>69</v>
      </c>
      <c r="S23" s="1">
        <v>46023</v>
      </c>
      <c r="U23" t="s">
        <v>51</v>
      </c>
      <c r="X23" t="s">
        <v>52</v>
      </c>
      <c r="Y23" s="2">
        <v>0</v>
      </c>
      <c r="Z23" s="2">
        <v>15</v>
      </c>
      <c r="AA23">
        <v>1</v>
      </c>
      <c r="AB23" s="3">
        <v>1</v>
      </c>
      <c r="AC23" s="2">
        <v>15</v>
      </c>
      <c r="AD23" s="3">
        <v>0</v>
      </c>
      <c r="AE23" s="2">
        <v>0</v>
      </c>
      <c r="AF23" s="2">
        <v>15</v>
      </c>
      <c r="AK23">
        <v>6123612</v>
      </c>
    </row>
    <row r="24" spans="1:37" x14ac:dyDescent="0.25">
      <c r="A24" s="1">
        <v>46036</v>
      </c>
      <c r="B24" s="1">
        <v>46036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137</v>
      </c>
      <c r="J24" t="s">
        <v>138</v>
      </c>
      <c r="M24" t="s">
        <v>66</v>
      </c>
      <c r="O24" t="s">
        <v>85</v>
      </c>
      <c r="P24" t="s">
        <v>86</v>
      </c>
      <c r="Q24" t="s">
        <v>49</v>
      </c>
      <c r="R24" t="s">
        <v>69</v>
      </c>
      <c r="S24" s="1">
        <v>46023</v>
      </c>
      <c r="U24" t="s">
        <v>51</v>
      </c>
      <c r="X24" t="s">
        <v>52</v>
      </c>
      <c r="Y24" s="2">
        <v>0</v>
      </c>
      <c r="Z24" s="2">
        <v>15</v>
      </c>
      <c r="AA24">
        <v>1</v>
      </c>
      <c r="AB24" s="3">
        <v>1</v>
      </c>
      <c r="AC24" s="2">
        <v>15</v>
      </c>
      <c r="AD24" s="3">
        <v>0</v>
      </c>
      <c r="AE24" s="2">
        <v>0</v>
      </c>
      <c r="AF24" s="2">
        <v>15</v>
      </c>
      <c r="AK24">
        <v>6123613</v>
      </c>
    </row>
    <row r="25" spans="1:37" x14ac:dyDescent="0.25">
      <c r="A25" s="1">
        <v>46036</v>
      </c>
      <c r="B25" s="1">
        <v>46036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139</v>
      </c>
      <c r="J25" t="s">
        <v>140</v>
      </c>
      <c r="M25" t="s">
        <v>141</v>
      </c>
      <c r="O25" t="s">
        <v>142</v>
      </c>
      <c r="P25" t="s">
        <v>143</v>
      </c>
      <c r="Q25" t="s">
        <v>49</v>
      </c>
      <c r="R25" t="s">
        <v>69</v>
      </c>
      <c r="S25" s="1">
        <v>46023</v>
      </c>
      <c r="U25" t="s">
        <v>51</v>
      </c>
      <c r="X25" t="s">
        <v>52</v>
      </c>
      <c r="Y25" s="2">
        <v>0</v>
      </c>
      <c r="Z25" s="2">
        <v>15</v>
      </c>
      <c r="AA25">
        <v>1</v>
      </c>
      <c r="AB25" s="3">
        <v>1</v>
      </c>
      <c r="AC25" s="2">
        <v>15</v>
      </c>
      <c r="AD25" s="3">
        <v>0</v>
      </c>
      <c r="AE25" s="2">
        <v>0</v>
      </c>
      <c r="AF25" s="2">
        <v>15</v>
      </c>
      <c r="AK25">
        <v>6123614</v>
      </c>
    </row>
    <row r="26" spans="1:37" x14ac:dyDescent="0.25">
      <c r="A26" s="1">
        <v>46036</v>
      </c>
      <c r="B26" s="1">
        <v>46036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144</v>
      </c>
      <c r="J26" t="s">
        <v>145</v>
      </c>
      <c r="M26" t="s">
        <v>66</v>
      </c>
      <c r="O26" t="s">
        <v>73</v>
      </c>
      <c r="P26" t="s">
        <v>74</v>
      </c>
      <c r="Q26" t="s">
        <v>49</v>
      </c>
      <c r="R26" t="s">
        <v>69</v>
      </c>
      <c r="S26" s="1">
        <v>46023</v>
      </c>
      <c r="U26" t="s">
        <v>51</v>
      </c>
      <c r="X26" t="s">
        <v>52</v>
      </c>
      <c r="Y26" s="2">
        <v>0</v>
      </c>
      <c r="Z26" s="2">
        <v>15</v>
      </c>
      <c r="AA26">
        <v>1</v>
      </c>
      <c r="AB26" s="3">
        <v>1</v>
      </c>
      <c r="AC26" s="2">
        <v>15</v>
      </c>
      <c r="AD26" s="3">
        <v>0</v>
      </c>
      <c r="AE26" s="2">
        <v>0</v>
      </c>
      <c r="AF26" s="2">
        <v>15</v>
      </c>
      <c r="AK26">
        <v>6123615</v>
      </c>
    </row>
    <row r="27" spans="1:37" x14ac:dyDescent="0.25">
      <c r="A27" s="1">
        <v>46036</v>
      </c>
      <c r="B27" s="1">
        <v>46036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146</v>
      </c>
      <c r="J27" t="s">
        <v>147</v>
      </c>
      <c r="M27" t="s">
        <v>66</v>
      </c>
      <c r="O27" t="s">
        <v>91</v>
      </c>
      <c r="P27" t="s">
        <v>92</v>
      </c>
      <c r="Q27" t="s">
        <v>49</v>
      </c>
      <c r="R27" t="s">
        <v>69</v>
      </c>
      <c r="S27" s="1">
        <v>46023</v>
      </c>
      <c r="U27" t="s">
        <v>51</v>
      </c>
      <c r="X27" t="s">
        <v>52</v>
      </c>
      <c r="Y27" s="2">
        <v>0</v>
      </c>
      <c r="Z27" s="2">
        <v>15</v>
      </c>
      <c r="AA27">
        <v>1</v>
      </c>
      <c r="AB27" s="3">
        <v>1</v>
      </c>
      <c r="AC27" s="2">
        <v>15</v>
      </c>
      <c r="AD27" s="3">
        <v>0</v>
      </c>
      <c r="AE27" s="2">
        <v>0</v>
      </c>
      <c r="AF27" s="2">
        <v>15</v>
      </c>
      <c r="AK27">
        <v>6123594</v>
      </c>
    </row>
    <row r="28" spans="1:37" x14ac:dyDescent="0.25">
      <c r="A28" s="1">
        <v>46036</v>
      </c>
      <c r="B28" s="1">
        <v>46036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148</v>
      </c>
      <c r="J28" t="s">
        <v>149</v>
      </c>
      <c r="M28" t="s">
        <v>66</v>
      </c>
      <c r="O28" t="s">
        <v>91</v>
      </c>
      <c r="P28" t="s">
        <v>92</v>
      </c>
      <c r="Q28" t="s">
        <v>49</v>
      </c>
      <c r="R28" t="s">
        <v>69</v>
      </c>
      <c r="S28" s="1">
        <v>46023</v>
      </c>
      <c r="U28" t="s">
        <v>51</v>
      </c>
      <c r="X28" t="s">
        <v>52</v>
      </c>
      <c r="Y28" s="2">
        <v>0</v>
      </c>
      <c r="Z28" s="2">
        <v>15</v>
      </c>
      <c r="AA28">
        <v>1</v>
      </c>
      <c r="AB28" s="3">
        <v>1</v>
      </c>
      <c r="AC28" s="2">
        <v>15</v>
      </c>
      <c r="AD28" s="3">
        <v>0</v>
      </c>
      <c r="AE28" s="2">
        <v>0</v>
      </c>
      <c r="AF28" s="2">
        <v>15</v>
      </c>
      <c r="AK28">
        <v>6123595</v>
      </c>
    </row>
    <row r="29" spans="1:37" x14ac:dyDescent="0.25">
      <c r="A29" s="1">
        <v>46036</v>
      </c>
      <c r="B29" s="1">
        <v>46036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150</v>
      </c>
      <c r="J29" t="s">
        <v>151</v>
      </c>
      <c r="M29" t="s">
        <v>72</v>
      </c>
      <c r="O29" t="s">
        <v>130</v>
      </c>
      <c r="P29" t="s">
        <v>131</v>
      </c>
      <c r="Q29" t="s">
        <v>49</v>
      </c>
      <c r="R29" t="s">
        <v>69</v>
      </c>
      <c r="S29" s="1">
        <v>46023</v>
      </c>
      <c r="U29" t="s">
        <v>51</v>
      </c>
      <c r="X29" t="s">
        <v>52</v>
      </c>
      <c r="Y29" s="2">
        <v>0</v>
      </c>
      <c r="Z29" s="2">
        <v>15</v>
      </c>
      <c r="AA29">
        <v>1</v>
      </c>
      <c r="AB29" s="3">
        <v>1</v>
      </c>
      <c r="AC29" s="2">
        <v>15</v>
      </c>
      <c r="AD29" s="3">
        <v>0</v>
      </c>
      <c r="AE29" s="2">
        <v>0</v>
      </c>
      <c r="AF29" s="2">
        <v>15</v>
      </c>
      <c r="AK29">
        <v>6123616</v>
      </c>
    </row>
    <row r="30" spans="1:37" x14ac:dyDescent="0.25">
      <c r="A30" s="1">
        <v>46036</v>
      </c>
      <c r="B30" s="1">
        <v>46036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152</v>
      </c>
      <c r="J30" t="s">
        <v>153</v>
      </c>
      <c r="M30" t="s">
        <v>66</v>
      </c>
      <c r="O30" t="s">
        <v>73</v>
      </c>
      <c r="P30" t="s">
        <v>74</v>
      </c>
      <c r="Q30" t="s">
        <v>49</v>
      </c>
      <c r="R30" t="s">
        <v>69</v>
      </c>
      <c r="S30" s="1">
        <v>46023</v>
      </c>
      <c r="U30" t="s">
        <v>51</v>
      </c>
      <c r="X30" t="s">
        <v>52</v>
      </c>
      <c r="Y30" s="2">
        <v>0</v>
      </c>
      <c r="Z30" s="2">
        <v>15</v>
      </c>
      <c r="AA30">
        <v>1</v>
      </c>
      <c r="AB30" s="3">
        <v>1</v>
      </c>
      <c r="AC30" s="2">
        <v>15</v>
      </c>
      <c r="AD30" s="3">
        <v>0</v>
      </c>
      <c r="AE30" s="2">
        <v>0</v>
      </c>
      <c r="AF30" s="2">
        <v>15</v>
      </c>
      <c r="AK30">
        <v>6123617</v>
      </c>
    </row>
    <row r="31" spans="1:37" x14ac:dyDescent="0.25">
      <c r="A31" s="1">
        <v>46036</v>
      </c>
      <c r="B31" s="1">
        <v>46036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154</v>
      </c>
      <c r="J31" t="s">
        <v>155</v>
      </c>
      <c r="M31" t="s">
        <v>72</v>
      </c>
      <c r="O31" t="s">
        <v>130</v>
      </c>
      <c r="P31" t="s">
        <v>131</v>
      </c>
      <c r="Q31" t="s">
        <v>49</v>
      </c>
      <c r="R31" t="s">
        <v>69</v>
      </c>
      <c r="S31" s="1">
        <v>46023</v>
      </c>
      <c r="U31" t="s">
        <v>51</v>
      </c>
      <c r="X31" t="s">
        <v>52</v>
      </c>
      <c r="Y31" s="2">
        <v>0</v>
      </c>
      <c r="Z31" s="2">
        <v>15</v>
      </c>
      <c r="AA31">
        <v>1</v>
      </c>
      <c r="AB31" s="3">
        <v>1</v>
      </c>
      <c r="AC31" s="2">
        <v>15</v>
      </c>
      <c r="AD31" s="3">
        <v>0</v>
      </c>
      <c r="AE31" s="2">
        <v>0</v>
      </c>
      <c r="AF31" s="2">
        <v>15</v>
      </c>
      <c r="AK31">
        <v>6123618</v>
      </c>
    </row>
    <row r="32" spans="1:37" x14ac:dyDescent="0.25">
      <c r="A32" s="1">
        <v>46036</v>
      </c>
      <c r="B32" s="1">
        <v>46036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156</v>
      </c>
      <c r="J32" t="s">
        <v>157</v>
      </c>
      <c r="M32" t="s">
        <v>66</v>
      </c>
      <c r="O32" t="s">
        <v>67</v>
      </c>
      <c r="P32" t="s">
        <v>68</v>
      </c>
      <c r="Q32" t="s">
        <v>49</v>
      </c>
      <c r="R32" t="s">
        <v>69</v>
      </c>
      <c r="S32" s="1">
        <v>46023</v>
      </c>
      <c r="U32" t="s">
        <v>51</v>
      </c>
      <c r="X32" t="s">
        <v>52</v>
      </c>
      <c r="Y32" s="2">
        <v>0</v>
      </c>
      <c r="Z32" s="2">
        <v>15</v>
      </c>
      <c r="AA32">
        <v>1</v>
      </c>
      <c r="AB32" s="3">
        <v>1</v>
      </c>
      <c r="AC32" s="2">
        <v>15</v>
      </c>
      <c r="AD32" s="3">
        <v>0</v>
      </c>
      <c r="AE32" s="2">
        <v>0</v>
      </c>
      <c r="AF32" s="2">
        <v>15</v>
      </c>
      <c r="AK32">
        <v>6123619</v>
      </c>
    </row>
    <row r="33" spans="1:37" x14ac:dyDescent="0.25">
      <c r="A33" s="1">
        <v>46036</v>
      </c>
      <c r="B33" s="1">
        <v>46036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158</v>
      </c>
      <c r="J33" t="s">
        <v>159</v>
      </c>
      <c r="M33" t="s">
        <v>113</v>
      </c>
      <c r="O33" t="s">
        <v>85</v>
      </c>
      <c r="P33" t="s">
        <v>86</v>
      </c>
      <c r="Q33" t="s">
        <v>49</v>
      </c>
      <c r="R33" t="s">
        <v>69</v>
      </c>
      <c r="S33" s="1">
        <v>46023</v>
      </c>
      <c r="U33" t="s">
        <v>51</v>
      </c>
      <c r="X33" t="s">
        <v>52</v>
      </c>
      <c r="Y33" s="2">
        <v>0</v>
      </c>
      <c r="Z33" s="2">
        <v>15</v>
      </c>
      <c r="AA33">
        <v>1</v>
      </c>
      <c r="AB33" s="3">
        <v>1</v>
      </c>
      <c r="AC33" s="2">
        <v>15</v>
      </c>
      <c r="AD33" s="3">
        <v>0</v>
      </c>
      <c r="AE33" s="2">
        <v>0</v>
      </c>
      <c r="AF33" s="2">
        <v>15</v>
      </c>
      <c r="AK33">
        <v>6123620</v>
      </c>
    </row>
    <row r="34" spans="1:37" x14ac:dyDescent="0.25">
      <c r="A34" s="1">
        <v>46036</v>
      </c>
      <c r="B34" s="1">
        <v>46036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160</v>
      </c>
      <c r="J34" t="s">
        <v>161</v>
      </c>
      <c r="M34" t="s">
        <v>66</v>
      </c>
      <c r="O34" t="s">
        <v>67</v>
      </c>
      <c r="P34" t="s">
        <v>68</v>
      </c>
      <c r="Q34" t="s">
        <v>49</v>
      </c>
      <c r="R34" t="s">
        <v>69</v>
      </c>
      <c r="S34" s="1">
        <v>46023</v>
      </c>
      <c r="U34" t="s">
        <v>51</v>
      </c>
      <c r="X34" t="s">
        <v>52</v>
      </c>
      <c r="Y34" s="2">
        <v>0</v>
      </c>
      <c r="Z34" s="2">
        <v>15</v>
      </c>
      <c r="AA34">
        <v>1</v>
      </c>
      <c r="AB34" s="3">
        <v>1</v>
      </c>
      <c r="AC34" s="2">
        <v>15</v>
      </c>
      <c r="AD34" s="3">
        <v>0</v>
      </c>
      <c r="AE34" s="2">
        <v>0</v>
      </c>
      <c r="AF34" s="2">
        <v>15</v>
      </c>
      <c r="AK34">
        <v>6123621</v>
      </c>
    </row>
    <row r="35" spans="1:37" x14ac:dyDescent="0.25">
      <c r="A35" s="1">
        <v>46036</v>
      </c>
      <c r="B35" s="1">
        <v>46036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162</v>
      </c>
      <c r="J35" t="s">
        <v>163</v>
      </c>
      <c r="M35" t="s">
        <v>66</v>
      </c>
      <c r="O35" t="s">
        <v>85</v>
      </c>
      <c r="P35" t="s">
        <v>86</v>
      </c>
      <c r="Q35" t="s">
        <v>49</v>
      </c>
      <c r="R35" t="s">
        <v>69</v>
      </c>
      <c r="S35" s="1">
        <v>46023</v>
      </c>
      <c r="U35" t="s">
        <v>51</v>
      </c>
      <c r="X35" t="s">
        <v>52</v>
      </c>
      <c r="Y35" s="2">
        <v>0</v>
      </c>
      <c r="Z35" s="2">
        <v>15</v>
      </c>
      <c r="AA35">
        <v>1</v>
      </c>
      <c r="AB35" s="3">
        <v>1</v>
      </c>
      <c r="AC35" s="2">
        <v>15</v>
      </c>
      <c r="AD35" s="3">
        <v>0</v>
      </c>
      <c r="AE35" s="2">
        <v>0</v>
      </c>
      <c r="AF35" s="2">
        <v>15</v>
      </c>
      <c r="AK35">
        <v>6123622</v>
      </c>
    </row>
    <row r="36" spans="1:37" x14ac:dyDescent="0.25">
      <c r="A36" s="1">
        <v>46036</v>
      </c>
      <c r="B36" s="1">
        <v>46036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164</v>
      </c>
      <c r="J36" t="s">
        <v>165</v>
      </c>
      <c r="M36" t="s">
        <v>134</v>
      </c>
      <c r="O36" t="s">
        <v>135</v>
      </c>
      <c r="P36" t="s">
        <v>136</v>
      </c>
      <c r="Q36" t="s">
        <v>49</v>
      </c>
      <c r="R36" t="s">
        <v>69</v>
      </c>
      <c r="S36" s="1">
        <v>46023</v>
      </c>
      <c r="U36" t="s">
        <v>51</v>
      </c>
      <c r="X36" t="s">
        <v>52</v>
      </c>
      <c r="Y36" s="2">
        <v>0</v>
      </c>
      <c r="Z36" s="2">
        <v>15</v>
      </c>
      <c r="AA36">
        <v>1</v>
      </c>
      <c r="AB36" s="3">
        <v>1</v>
      </c>
      <c r="AC36" s="2">
        <v>15</v>
      </c>
      <c r="AD36" s="3">
        <v>0</v>
      </c>
      <c r="AE36" s="2">
        <v>0</v>
      </c>
      <c r="AF36" s="2">
        <v>15</v>
      </c>
      <c r="AK36">
        <v>6123623</v>
      </c>
    </row>
    <row r="37" spans="1:37" x14ac:dyDescent="0.25">
      <c r="A37" s="1">
        <v>46036</v>
      </c>
      <c r="B37" s="1">
        <v>46036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166</v>
      </c>
      <c r="J37" t="s">
        <v>167</v>
      </c>
      <c r="M37" t="s">
        <v>66</v>
      </c>
      <c r="O37" t="s">
        <v>67</v>
      </c>
      <c r="P37" t="s">
        <v>68</v>
      </c>
      <c r="Q37" t="s">
        <v>49</v>
      </c>
      <c r="R37" t="s">
        <v>69</v>
      </c>
      <c r="S37" s="1">
        <v>46023</v>
      </c>
      <c r="U37" t="s">
        <v>51</v>
      </c>
      <c r="X37" t="s">
        <v>52</v>
      </c>
      <c r="Y37" s="2">
        <v>0</v>
      </c>
      <c r="Z37" s="2">
        <v>15</v>
      </c>
      <c r="AA37">
        <v>1</v>
      </c>
      <c r="AB37" s="3">
        <v>1</v>
      </c>
      <c r="AC37" s="2">
        <v>15</v>
      </c>
      <c r="AD37" s="3">
        <v>0</v>
      </c>
      <c r="AE37" s="2">
        <v>0</v>
      </c>
      <c r="AF37" s="2">
        <v>15</v>
      </c>
      <c r="AK37">
        <v>6123624</v>
      </c>
    </row>
    <row r="38" spans="1:37" x14ac:dyDescent="0.25">
      <c r="A38" s="1">
        <v>46036</v>
      </c>
      <c r="B38" s="1">
        <v>46036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168</v>
      </c>
      <c r="J38" t="s">
        <v>169</v>
      </c>
      <c r="M38" t="s">
        <v>66</v>
      </c>
      <c r="O38" t="s">
        <v>85</v>
      </c>
      <c r="P38" t="s">
        <v>86</v>
      </c>
      <c r="Q38" t="s">
        <v>49</v>
      </c>
      <c r="R38" t="s">
        <v>69</v>
      </c>
      <c r="S38" s="1">
        <v>46023</v>
      </c>
      <c r="U38" t="s">
        <v>51</v>
      </c>
      <c r="X38" t="s">
        <v>52</v>
      </c>
      <c r="Y38" s="2">
        <v>0</v>
      </c>
      <c r="Z38" s="2">
        <v>15</v>
      </c>
      <c r="AA38">
        <v>1</v>
      </c>
      <c r="AB38" s="3">
        <v>1</v>
      </c>
      <c r="AC38" s="2">
        <v>15</v>
      </c>
      <c r="AD38" s="3">
        <v>0</v>
      </c>
      <c r="AE38" s="2">
        <v>0</v>
      </c>
      <c r="AF38" s="2">
        <v>15</v>
      </c>
      <c r="AK38">
        <v>6123625</v>
      </c>
    </row>
    <row r="39" spans="1:37" x14ac:dyDescent="0.25">
      <c r="A39" s="1">
        <v>46036</v>
      </c>
      <c r="B39" s="1">
        <v>46036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170</v>
      </c>
      <c r="J39" t="s">
        <v>171</v>
      </c>
      <c r="M39" t="s">
        <v>134</v>
      </c>
      <c r="O39" t="s">
        <v>135</v>
      </c>
      <c r="P39" t="s">
        <v>136</v>
      </c>
      <c r="Q39" t="s">
        <v>49</v>
      </c>
      <c r="R39" t="s">
        <v>69</v>
      </c>
      <c r="S39" s="1">
        <v>46023</v>
      </c>
      <c r="U39" t="s">
        <v>51</v>
      </c>
      <c r="X39" t="s">
        <v>52</v>
      </c>
      <c r="Y39" s="2">
        <v>0</v>
      </c>
      <c r="Z39" s="2">
        <v>15</v>
      </c>
      <c r="AA39">
        <v>1</v>
      </c>
      <c r="AB39" s="3">
        <v>1</v>
      </c>
      <c r="AC39" s="2">
        <v>15</v>
      </c>
      <c r="AD39" s="3">
        <v>0</v>
      </c>
      <c r="AE39" s="2">
        <v>0</v>
      </c>
      <c r="AF39" s="2">
        <v>15</v>
      </c>
      <c r="AK39">
        <v>6123626</v>
      </c>
    </row>
    <row r="40" spans="1:37" x14ac:dyDescent="0.25">
      <c r="A40" s="1">
        <v>46036</v>
      </c>
      <c r="B40" s="1">
        <v>46036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172</v>
      </c>
      <c r="J40" t="s">
        <v>173</v>
      </c>
      <c r="M40" t="s">
        <v>66</v>
      </c>
      <c r="O40" t="s">
        <v>174</v>
      </c>
      <c r="P40" t="s">
        <v>175</v>
      </c>
      <c r="Q40" t="s">
        <v>49</v>
      </c>
      <c r="R40" t="s">
        <v>69</v>
      </c>
      <c r="S40" s="1">
        <v>46023</v>
      </c>
      <c r="U40" t="s">
        <v>51</v>
      </c>
      <c r="X40" t="s">
        <v>52</v>
      </c>
      <c r="Y40" s="2">
        <v>0</v>
      </c>
      <c r="Z40" s="2">
        <v>15</v>
      </c>
      <c r="AA40">
        <v>1</v>
      </c>
      <c r="AB40" s="3">
        <v>1</v>
      </c>
      <c r="AC40" s="2">
        <v>15</v>
      </c>
      <c r="AD40" s="3">
        <v>0</v>
      </c>
      <c r="AE40" s="2">
        <v>0</v>
      </c>
      <c r="AF40" s="2">
        <v>15</v>
      </c>
      <c r="AK40">
        <v>6123627</v>
      </c>
    </row>
    <row r="41" spans="1:37" x14ac:dyDescent="0.25">
      <c r="A41" s="1">
        <v>46036</v>
      </c>
      <c r="B41" s="1">
        <v>46036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176</v>
      </c>
      <c r="J41" t="s">
        <v>177</v>
      </c>
      <c r="M41" t="s">
        <v>66</v>
      </c>
      <c r="O41" t="s">
        <v>67</v>
      </c>
      <c r="P41" t="s">
        <v>68</v>
      </c>
      <c r="Q41" t="s">
        <v>49</v>
      </c>
      <c r="R41" t="s">
        <v>69</v>
      </c>
      <c r="S41" s="1">
        <v>46023</v>
      </c>
      <c r="U41" t="s">
        <v>51</v>
      </c>
      <c r="X41" t="s">
        <v>52</v>
      </c>
      <c r="Y41" s="2">
        <v>0</v>
      </c>
      <c r="Z41" s="2">
        <v>15</v>
      </c>
      <c r="AA41">
        <v>1</v>
      </c>
      <c r="AB41" s="3">
        <v>1</v>
      </c>
      <c r="AC41" s="2">
        <v>15</v>
      </c>
      <c r="AD41" s="3">
        <v>0</v>
      </c>
      <c r="AE41" s="2">
        <v>0</v>
      </c>
      <c r="AF41" s="2">
        <v>15</v>
      </c>
      <c r="AK41">
        <v>6123628</v>
      </c>
    </row>
    <row r="42" spans="1:37" x14ac:dyDescent="0.25">
      <c r="A42" s="1">
        <v>46036</v>
      </c>
      <c r="B42" s="1">
        <v>46036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178</v>
      </c>
      <c r="J42" t="s">
        <v>179</v>
      </c>
      <c r="M42" t="s">
        <v>72</v>
      </c>
      <c r="O42" t="s">
        <v>85</v>
      </c>
      <c r="P42" t="s">
        <v>86</v>
      </c>
      <c r="Q42" t="s">
        <v>49</v>
      </c>
      <c r="R42" t="s">
        <v>69</v>
      </c>
      <c r="S42" s="1">
        <v>46023</v>
      </c>
      <c r="U42" t="s">
        <v>51</v>
      </c>
      <c r="X42" t="s">
        <v>52</v>
      </c>
      <c r="Y42" s="2">
        <v>0</v>
      </c>
      <c r="Z42" s="2">
        <v>15</v>
      </c>
      <c r="AA42">
        <v>1</v>
      </c>
      <c r="AB42" s="3">
        <v>1</v>
      </c>
      <c r="AC42" s="2">
        <v>15</v>
      </c>
      <c r="AD42" s="3">
        <v>0</v>
      </c>
      <c r="AE42" s="2">
        <v>0</v>
      </c>
      <c r="AF42" s="2">
        <v>15</v>
      </c>
      <c r="AK42">
        <v>6123629</v>
      </c>
    </row>
    <row r="43" spans="1:37" x14ac:dyDescent="0.25">
      <c r="A43" s="1">
        <v>46036</v>
      </c>
      <c r="B43" s="1">
        <v>46036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180</v>
      </c>
      <c r="J43" t="s">
        <v>181</v>
      </c>
      <c r="M43" t="s">
        <v>182</v>
      </c>
      <c r="O43" t="s">
        <v>183</v>
      </c>
      <c r="P43" t="s">
        <v>184</v>
      </c>
      <c r="Q43" t="s">
        <v>49</v>
      </c>
      <c r="R43" t="s">
        <v>69</v>
      </c>
      <c r="S43" s="1">
        <v>46023</v>
      </c>
      <c r="U43" t="s">
        <v>51</v>
      </c>
      <c r="X43" t="s">
        <v>52</v>
      </c>
      <c r="Y43" s="2">
        <v>0</v>
      </c>
      <c r="Z43" s="2">
        <v>15</v>
      </c>
      <c r="AA43">
        <v>1</v>
      </c>
      <c r="AB43" s="3">
        <v>1</v>
      </c>
      <c r="AC43" s="2">
        <v>15</v>
      </c>
      <c r="AD43" s="3">
        <v>0</v>
      </c>
      <c r="AE43" s="2">
        <v>0</v>
      </c>
      <c r="AF43" s="2">
        <v>15</v>
      </c>
      <c r="AK43">
        <v>6123630</v>
      </c>
    </row>
    <row r="44" spans="1:37" x14ac:dyDescent="0.25">
      <c r="A44" s="1">
        <v>46036</v>
      </c>
      <c r="B44" s="1">
        <v>46036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185</v>
      </c>
      <c r="J44" t="s">
        <v>186</v>
      </c>
      <c r="M44" t="s">
        <v>187</v>
      </c>
      <c r="O44" t="s">
        <v>126</v>
      </c>
      <c r="P44" t="s">
        <v>127</v>
      </c>
      <c r="Q44" t="s">
        <v>49</v>
      </c>
      <c r="R44" t="s">
        <v>69</v>
      </c>
      <c r="S44" s="1">
        <v>46023</v>
      </c>
      <c r="U44" t="s">
        <v>51</v>
      </c>
      <c r="X44" t="s">
        <v>52</v>
      </c>
      <c r="Y44" s="2">
        <v>0</v>
      </c>
      <c r="Z44" s="2">
        <v>15</v>
      </c>
      <c r="AA44">
        <v>1</v>
      </c>
      <c r="AB44" s="3">
        <v>1</v>
      </c>
      <c r="AC44" s="2">
        <v>15</v>
      </c>
      <c r="AD44" s="3">
        <v>0</v>
      </c>
      <c r="AE44" s="2">
        <v>0</v>
      </c>
      <c r="AF44" s="2">
        <v>15</v>
      </c>
      <c r="AK44">
        <v>6123631</v>
      </c>
    </row>
    <row r="45" spans="1:37" x14ac:dyDescent="0.25">
      <c r="A45" s="1">
        <v>46036</v>
      </c>
      <c r="B45" s="1">
        <v>46036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188</v>
      </c>
      <c r="J45" t="s">
        <v>189</v>
      </c>
      <c r="M45" t="s">
        <v>66</v>
      </c>
      <c r="O45" t="s">
        <v>73</v>
      </c>
      <c r="P45" t="s">
        <v>74</v>
      </c>
      <c r="Q45" t="s">
        <v>49</v>
      </c>
      <c r="R45" t="s">
        <v>69</v>
      </c>
      <c r="S45" s="1">
        <v>46023</v>
      </c>
      <c r="U45" t="s">
        <v>51</v>
      </c>
      <c r="X45" t="s">
        <v>52</v>
      </c>
      <c r="Y45" s="2">
        <v>0</v>
      </c>
      <c r="Z45" s="2">
        <v>15</v>
      </c>
      <c r="AA45">
        <v>1</v>
      </c>
      <c r="AB45" s="3">
        <v>1</v>
      </c>
      <c r="AC45" s="2">
        <v>15</v>
      </c>
      <c r="AD45" s="3">
        <v>0</v>
      </c>
      <c r="AE45" s="2">
        <v>0</v>
      </c>
      <c r="AF45" s="2">
        <v>15</v>
      </c>
      <c r="AK45">
        <v>6123632</v>
      </c>
    </row>
    <row r="46" spans="1:37" x14ac:dyDescent="0.25">
      <c r="A46" s="1">
        <v>46036</v>
      </c>
      <c r="B46" s="1">
        <v>46036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190</v>
      </c>
      <c r="J46" t="s">
        <v>191</v>
      </c>
      <c r="M46" t="s">
        <v>66</v>
      </c>
      <c r="O46" t="s">
        <v>67</v>
      </c>
      <c r="P46" t="s">
        <v>68</v>
      </c>
      <c r="Q46" t="s">
        <v>49</v>
      </c>
      <c r="R46" t="s">
        <v>69</v>
      </c>
      <c r="S46" s="1">
        <v>46023</v>
      </c>
      <c r="U46" t="s">
        <v>51</v>
      </c>
      <c r="X46" t="s">
        <v>52</v>
      </c>
      <c r="Y46" s="2">
        <v>0</v>
      </c>
      <c r="Z46" s="2">
        <v>15</v>
      </c>
      <c r="AA46">
        <v>1</v>
      </c>
      <c r="AB46" s="3">
        <v>1</v>
      </c>
      <c r="AC46" s="2">
        <v>15</v>
      </c>
      <c r="AD46" s="3">
        <v>0</v>
      </c>
      <c r="AE46" s="2">
        <v>0</v>
      </c>
      <c r="AF46" s="2">
        <v>15</v>
      </c>
      <c r="AK46">
        <v>6123633</v>
      </c>
    </row>
    <row r="47" spans="1:37" x14ac:dyDescent="0.25">
      <c r="A47" s="1">
        <v>46036</v>
      </c>
      <c r="B47" s="1">
        <v>46036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192</v>
      </c>
      <c r="J47" t="s">
        <v>193</v>
      </c>
      <c r="M47" t="s">
        <v>66</v>
      </c>
      <c r="O47" t="s">
        <v>67</v>
      </c>
      <c r="P47" t="s">
        <v>68</v>
      </c>
      <c r="Q47" t="s">
        <v>49</v>
      </c>
      <c r="R47" t="s">
        <v>69</v>
      </c>
      <c r="S47" s="1">
        <v>46023</v>
      </c>
      <c r="U47" t="s">
        <v>51</v>
      </c>
      <c r="X47" t="s">
        <v>52</v>
      </c>
      <c r="Y47" s="2">
        <v>0</v>
      </c>
      <c r="Z47" s="2">
        <v>15</v>
      </c>
      <c r="AA47">
        <v>1</v>
      </c>
      <c r="AB47" s="3">
        <v>1</v>
      </c>
      <c r="AC47" s="2">
        <v>15</v>
      </c>
      <c r="AD47" s="3">
        <v>0</v>
      </c>
      <c r="AE47" s="2">
        <v>0</v>
      </c>
      <c r="AF47" s="2">
        <v>15</v>
      </c>
      <c r="AK47">
        <v>6123634</v>
      </c>
    </row>
    <row r="48" spans="1:37" x14ac:dyDescent="0.25">
      <c r="A48" s="1">
        <v>46036</v>
      </c>
      <c r="B48" s="1">
        <v>46036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194</v>
      </c>
      <c r="J48" t="s">
        <v>195</v>
      </c>
      <c r="M48" t="s">
        <v>66</v>
      </c>
      <c r="O48" t="s">
        <v>196</v>
      </c>
      <c r="P48" t="s">
        <v>197</v>
      </c>
      <c r="Q48" t="s">
        <v>49</v>
      </c>
      <c r="R48" t="s">
        <v>69</v>
      </c>
      <c r="S48" s="1">
        <v>46023</v>
      </c>
      <c r="U48" t="s">
        <v>51</v>
      </c>
      <c r="X48" t="s">
        <v>52</v>
      </c>
      <c r="Y48" s="2">
        <v>0</v>
      </c>
      <c r="Z48" s="2">
        <v>15</v>
      </c>
      <c r="AA48">
        <v>1</v>
      </c>
      <c r="AB48" s="3">
        <v>1</v>
      </c>
      <c r="AC48" s="2">
        <v>15</v>
      </c>
      <c r="AD48" s="3">
        <v>0</v>
      </c>
      <c r="AE48" s="2">
        <v>0</v>
      </c>
      <c r="AF48" s="2">
        <v>15</v>
      </c>
      <c r="AK48">
        <v>6123635</v>
      </c>
    </row>
    <row r="49" spans="1:37" x14ac:dyDescent="0.25">
      <c r="A49" s="1">
        <v>46036</v>
      </c>
      <c r="B49" s="1">
        <v>46036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198</v>
      </c>
      <c r="J49" t="s">
        <v>199</v>
      </c>
      <c r="M49" t="s">
        <v>66</v>
      </c>
      <c r="O49" t="s">
        <v>85</v>
      </c>
      <c r="P49" t="s">
        <v>86</v>
      </c>
      <c r="Q49" t="s">
        <v>49</v>
      </c>
      <c r="R49" t="s">
        <v>69</v>
      </c>
      <c r="S49" s="1">
        <v>46023</v>
      </c>
      <c r="U49" t="s">
        <v>51</v>
      </c>
      <c r="X49" t="s">
        <v>52</v>
      </c>
      <c r="Y49" s="2">
        <v>0</v>
      </c>
      <c r="Z49" s="2">
        <v>15</v>
      </c>
      <c r="AA49">
        <v>1</v>
      </c>
      <c r="AB49" s="3">
        <v>1</v>
      </c>
      <c r="AC49" s="2">
        <v>15</v>
      </c>
      <c r="AD49" s="3">
        <v>0</v>
      </c>
      <c r="AE49" s="2">
        <v>0</v>
      </c>
      <c r="AF49" s="2">
        <v>15</v>
      </c>
      <c r="AK49">
        <v>6123636</v>
      </c>
    </row>
    <row r="50" spans="1:37" x14ac:dyDescent="0.25">
      <c r="A50" s="1">
        <v>46036</v>
      </c>
      <c r="B50" s="1">
        <v>46036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200</v>
      </c>
      <c r="J50" t="s">
        <v>201</v>
      </c>
      <c r="M50" t="s">
        <v>134</v>
      </c>
      <c r="O50" t="s">
        <v>135</v>
      </c>
      <c r="P50" t="s">
        <v>136</v>
      </c>
      <c r="Q50" t="s">
        <v>49</v>
      </c>
      <c r="R50" t="s">
        <v>69</v>
      </c>
      <c r="S50" s="1">
        <v>46023</v>
      </c>
      <c r="U50" t="s">
        <v>51</v>
      </c>
      <c r="X50" t="s">
        <v>52</v>
      </c>
      <c r="Y50" s="2">
        <v>0</v>
      </c>
      <c r="Z50" s="2">
        <v>15</v>
      </c>
      <c r="AA50">
        <v>1</v>
      </c>
      <c r="AB50" s="3">
        <v>1</v>
      </c>
      <c r="AC50" s="2">
        <v>15</v>
      </c>
      <c r="AD50" s="3">
        <v>0</v>
      </c>
      <c r="AE50" s="2">
        <v>0</v>
      </c>
      <c r="AF50" s="2">
        <v>15</v>
      </c>
      <c r="AK50">
        <v>6123637</v>
      </c>
    </row>
    <row r="51" spans="1:37" x14ac:dyDescent="0.25">
      <c r="A51" s="1">
        <v>46036</v>
      </c>
      <c r="B51" s="1">
        <v>46036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202</v>
      </c>
      <c r="J51" t="s">
        <v>203</v>
      </c>
      <c r="M51" t="s">
        <v>134</v>
      </c>
      <c r="O51" t="s">
        <v>135</v>
      </c>
      <c r="P51" t="s">
        <v>136</v>
      </c>
      <c r="Q51" t="s">
        <v>49</v>
      </c>
      <c r="R51" t="s">
        <v>69</v>
      </c>
      <c r="S51" s="1">
        <v>46023</v>
      </c>
      <c r="U51" t="s">
        <v>51</v>
      </c>
      <c r="X51" t="s">
        <v>52</v>
      </c>
      <c r="Y51" s="2">
        <v>0</v>
      </c>
      <c r="Z51" s="2">
        <v>15</v>
      </c>
      <c r="AA51">
        <v>1</v>
      </c>
      <c r="AB51" s="3">
        <v>1</v>
      </c>
      <c r="AC51" s="2">
        <v>15</v>
      </c>
      <c r="AD51" s="3">
        <v>0</v>
      </c>
      <c r="AE51" s="2">
        <v>0</v>
      </c>
      <c r="AF51" s="2">
        <v>15</v>
      </c>
      <c r="AK51">
        <v>6123638</v>
      </c>
    </row>
    <row r="52" spans="1:37" x14ac:dyDescent="0.25">
      <c r="A52" s="1">
        <v>46036</v>
      </c>
      <c r="B52" s="1">
        <v>46036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204</v>
      </c>
      <c r="J52" t="s">
        <v>205</v>
      </c>
      <c r="M52" t="s">
        <v>66</v>
      </c>
      <c r="O52" t="s">
        <v>67</v>
      </c>
      <c r="P52" t="s">
        <v>68</v>
      </c>
      <c r="Q52" t="s">
        <v>49</v>
      </c>
      <c r="R52" t="s">
        <v>69</v>
      </c>
      <c r="S52" s="1">
        <v>46023</v>
      </c>
      <c r="U52" t="s">
        <v>51</v>
      </c>
      <c r="X52" t="s">
        <v>52</v>
      </c>
      <c r="Y52" s="2">
        <v>0</v>
      </c>
      <c r="Z52" s="2">
        <v>15</v>
      </c>
      <c r="AA52">
        <v>1</v>
      </c>
      <c r="AB52" s="3">
        <v>1</v>
      </c>
      <c r="AC52" s="2">
        <v>15</v>
      </c>
      <c r="AD52" s="3">
        <v>0</v>
      </c>
      <c r="AE52" s="2">
        <v>0</v>
      </c>
      <c r="AF52" s="2">
        <v>15</v>
      </c>
      <c r="AK52">
        <v>6123639</v>
      </c>
    </row>
    <row r="53" spans="1:37" x14ac:dyDescent="0.25">
      <c r="A53" s="1">
        <v>46036</v>
      </c>
      <c r="B53" s="1">
        <v>46036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206</v>
      </c>
      <c r="J53" t="s">
        <v>207</v>
      </c>
      <c r="M53" t="s">
        <v>134</v>
      </c>
      <c r="O53" t="s">
        <v>135</v>
      </c>
      <c r="P53" t="s">
        <v>136</v>
      </c>
      <c r="Q53" t="s">
        <v>49</v>
      </c>
      <c r="R53" t="s">
        <v>69</v>
      </c>
      <c r="S53" s="1">
        <v>46023</v>
      </c>
      <c r="U53" t="s">
        <v>51</v>
      </c>
      <c r="X53" t="s">
        <v>52</v>
      </c>
      <c r="Y53" s="2">
        <v>0</v>
      </c>
      <c r="Z53" s="2">
        <v>15</v>
      </c>
      <c r="AA53">
        <v>1</v>
      </c>
      <c r="AB53" s="3">
        <v>1</v>
      </c>
      <c r="AC53" s="2">
        <v>15</v>
      </c>
      <c r="AD53" s="3">
        <v>0</v>
      </c>
      <c r="AE53" s="2">
        <v>0</v>
      </c>
      <c r="AF53" s="2">
        <v>15</v>
      </c>
      <c r="AK53">
        <v>6123640</v>
      </c>
    </row>
    <row r="54" spans="1:37" x14ac:dyDescent="0.25">
      <c r="A54" s="1">
        <v>46036</v>
      </c>
      <c r="B54" s="1">
        <v>46036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208</v>
      </c>
      <c r="J54" t="s">
        <v>209</v>
      </c>
      <c r="M54" t="s">
        <v>66</v>
      </c>
      <c r="O54" t="s">
        <v>210</v>
      </c>
      <c r="P54" t="s">
        <v>211</v>
      </c>
      <c r="Q54" t="s">
        <v>49</v>
      </c>
      <c r="R54" t="s">
        <v>69</v>
      </c>
      <c r="S54" s="1">
        <v>46023</v>
      </c>
      <c r="U54" t="s">
        <v>51</v>
      </c>
      <c r="X54" t="s">
        <v>52</v>
      </c>
      <c r="Y54" s="2">
        <v>0</v>
      </c>
      <c r="Z54" s="2">
        <v>15</v>
      </c>
      <c r="AA54">
        <v>1</v>
      </c>
      <c r="AB54" s="3">
        <v>1</v>
      </c>
      <c r="AC54" s="2">
        <v>15</v>
      </c>
      <c r="AD54" s="3">
        <v>0</v>
      </c>
      <c r="AE54" s="2">
        <v>0</v>
      </c>
      <c r="AF54" s="2">
        <v>15</v>
      </c>
      <c r="AK54">
        <v>6123641</v>
      </c>
    </row>
    <row r="55" spans="1:37" x14ac:dyDescent="0.25">
      <c r="A55" s="1">
        <v>46036</v>
      </c>
      <c r="B55" s="1">
        <v>46036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212</v>
      </c>
      <c r="J55" t="s">
        <v>213</v>
      </c>
      <c r="M55" t="s">
        <v>66</v>
      </c>
      <c r="O55" t="s">
        <v>210</v>
      </c>
      <c r="P55" t="s">
        <v>211</v>
      </c>
      <c r="Q55" t="s">
        <v>49</v>
      </c>
      <c r="R55" t="s">
        <v>69</v>
      </c>
      <c r="S55" s="1">
        <v>46023</v>
      </c>
      <c r="U55" t="s">
        <v>51</v>
      </c>
      <c r="X55" t="s">
        <v>52</v>
      </c>
      <c r="Y55" s="2">
        <v>0</v>
      </c>
      <c r="Z55" s="2">
        <v>15</v>
      </c>
      <c r="AA55">
        <v>1</v>
      </c>
      <c r="AB55" s="3">
        <v>1</v>
      </c>
      <c r="AC55" s="2">
        <v>15</v>
      </c>
      <c r="AD55" s="3">
        <v>0</v>
      </c>
      <c r="AE55" s="2">
        <v>0</v>
      </c>
      <c r="AF55" s="2">
        <v>15</v>
      </c>
      <c r="AK55">
        <v>6123642</v>
      </c>
    </row>
    <row r="56" spans="1:37" x14ac:dyDescent="0.25">
      <c r="A56" s="1">
        <v>46036</v>
      </c>
      <c r="B56" s="1">
        <v>46036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214</v>
      </c>
      <c r="J56" t="s">
        <v>215</v>
      </c>
      <c r="M56" t="s">
        <v>120</v>
      </c>
      <c r="O56" t="s">
        <v>216</v>
      </c>
      <c r="P56" t="s">
        <v>217</v>
      </c>
      <c r="Q56" t="s">
        <v>49</v>
      </c>
      <c r="R56" t="s">
        <v>69</v>
      </c>
      <c r="S56" s="1">
        <v>46023</v>
      </c>
      <c r="U56" t="s">
        <v>51</v>
      </c>
      <c r="X56" t="s">
        <v>52</v>
      </c>
      <c r="Y56" s="2">
        <v>0</v>
      </c>
      <c r="Z56" s="2">
        <v>15</v>
      </c>
      <c r="AA56">
        <v>1</v>
      </c>
      <c r="AB56" s="3">
        <v>1</v>
      </c>
      <c r="AC56" s="2">
        <v>15</v>
      </c>
      <c r="AD56" s="3">
        <v>0</v>
      </c>
      <c r="AE56" s="2">
        <v>0</v>
      </c>
      <c r="AF56" s="2">
        <v>15</v>
      </c>
      <c r="AK56">
        <v>6123643</v>
      </c>
    </row>
    <row r="57" spans="1:37" x14ac:dyDescent="0.25">
      <c r="A57" s="1">
        <v>46036</v>
      </c>
      <c r="B57" s="1">
        <v>46036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218</v>
      </c>
      <c r="J57" t="s">
        <v>219</v>
      </c>
      <c r="M57" t="s">
        <v>141</v>
      </c>
      <c r="O57" t="s">
        <v>220</v>
      </c>
      <c r="P57" t="s">
        <v>221</v>
      </c>
      <c r="Q57" t="s">
        <v>49</v>
      </c>
      <c r="R57" t="s">
        <v>69</v>
      </c>
      <c r="S57" s="1">
        <v>46023</v>
      </c>
      <c r="U57" t="s">
        <v>51</v>
      </c>
      <c r="X57" t="s">
        <v>52</v>
      </c>
      <c r="Y57" s="2">
        <v>0</v>
      </c>
      <c r="Z57" s="2">
        <v>15</v>
      </c>
      <c r="AA57">
        <v>1</v>
      </c>
      <c r="AB57" s="3">
        <v>1</v>
      </c>
      <c r="AC57" s="2">
        <v>15</v>
      </c>
      <c r="AD57" s="3">
        <v>0</v>
      </c>
      <c r="AE57" s="2">
        <v>0</v>
      </c>
      <c r="AF57" s="2">
        <v>15</v>
      </c>
      <c r="AK57">
        <v>6123644</v>
      </c>
    </row>
    <row r="58" spans="1:37" x14ac:dyDescent="0.25">
      <c r="A58" s="1">
        <v>46036</v>
      </c>
      <c r="B58" s="1">
        <v>46036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222</v>
      </c>
      <c r="J58" t="s">
        <v>223</v>
      </c>
      <c r="M58" t="s">
        <v>55</v>
      </c>
      <c r="O58" t="s">
        <v>224</v>
      </c>
      <c r="P58" t="s">
        <v>225</v>
      </c>
      <c r="Q58" t="s">
        <v>49</v>
      </c>
      <c r="R58" t="s">
        <v>58</v>
      </c>
      <c r="S58" s="1">
        <v>46023</v>
      </c>
      <c r="U58" t="s">
        <v>51</v>
      </c>
      <c r="X58" t="s">
        <v>52</v>
      </c>
      <c r="Y58" s="2">
        <v>0</v>
      </c>
      <c r="Z58" s="2">
        <v>175</v>
      </c>
      <c r="AA58">
        <v>1</v>
      </c>
      <c r="AB58" s="3">
        <v>1</v>
      </c>
      <c r="AC58" s="2">
        <v>175</v>
      </c>
      <c r="AD58" s="3">
        <v>0</v>
      </c>
      <c r="AE58" s="2">
        <v>0</v>
      </c>
      <c r="AF58" s="2">
        <v>175</v>
      </c>
      <c r="AK58">
        <v>6123889</v>
      </c>
    </row>
    <row r="59" spans="1:37" x14ac:dyDescent="0.25">
      <c r="A59" s="1">
        <v>46036</v>
      </c>
      <c r="B59" s="1">
        <v>46036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226</v>
      </c>
      <c r="J59" t="s">
        <v>227</v>
      </c>
      <c r="M59" t="s">
        <v>55</v>
      </c>
      <c r="O59" t="s">
        <v>228</v>
      </c>
      <c r="P59" t="s">
        <v>229</v>
      </c>
      <c r="Q59" t="s">
        <v>49</v>
      </c>
      <c r="R59" t="s">
        <v>58</v>
      </c>
      <c r="S59" s="1">
        <v>46023</v>
      </c>
      <c r="U59" t="s">
        <v>51</v>
      </c>
      <c r="X59" t="s">
        <v>52</v>
      </c>
      <c r="Y59" s="2">
        <v>0</v>
      </c>
      <c r="Z59" s="2">
        <v>175</v>
      </c>
      <c r="AA59">
        <v>1</v>
      </c>
      <c r="AB59" s="3">
        <v>1</v>
      </c>
      <c r="AC59" s="2">
        <v>175</v>
      </c>
      <c r="AD59" s="3">
        <v>0</v>
      </c>
      <c r="AE59" s="2">
        <v>0</v>
      </c>
      <c r="AF59" s="2">
        <v>175</v>
      </c>
      <c r="AK59">
        <v>6123890</v>
      </c>
    </row>
    <row r="60" spans="1:37" x14ac:dyDescent="0.25">
      <c r="A60" s="1">
        <v>46036</v>
      </c>
      <c r="B60" s="1">
        <v>46036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230</v>
      </c>
      <c r="J60" t="s">
        <v>231</v>
      </c>
      <c r="M60" t="s">
        <v>55</v>
      </c>
      <c r="O60" t="s">
        <v>228</v>
      </c>
      <c r="P60" t="s">
        <v>229</v>
      </c>
      <c r="Q60" t="s">
        <v>49</v>
      </c>
      <c r="R60" t="s">
        <v>58</v>
      </c>
      <c r="S60" s="1">
        <v>46023</v>
      </c>
      <c r="U60" t="s">
        <v>51</v>
      </c>
      <c r="X60" t="s">
        <v>52</v>
      </c>
      <c r="Y60" s="2">
        <v>0</v>
      </c>
      <c r="Z60" s="2">
        <v>175</v>
      </c>
      <c r="AA60">
        <v>1</v>
      </c>
      <c r="AB60" s="3">
        <v>1</v>
      </c>
      <c r="AC60" s="2">
        <v>175</v>
      </c>
      <c r="AD60" s="3">
        <v>0</v>
      </c>
      <c r="AE60" s="2">
        <v>0</v>
      </c>
      <c r="AF60" s="2">
        <v>175</v>
      </c>
      <c r="AK60">
        <v>6123891</v>
      </c>
    </row>
    <row r="61" spans="1:37" x14ac:dyDescent="0.25">
      <c r="A61" s="1">
        <v>46036</v>
      </c>
      <c r="B61" s="1">
        <v>46036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232</v>
      </c>
      <c r="J61" t="s">
        <v>233</v>
      </c>
      <c r="M61" t="s">
        <v>72</v>
      </c>
      <c r="O61" t="s">
        <v>130</v>
      </c>
      <c r="P61" t="s">
        <v>131</v>
      </c>
      <c r="Q61" t="s">
        <v>49</v>
      </c>
      <c r="R61" t="s">
        <v>69</v>
      </c>
      <c r="S61" s="1">
        <v>46023</v>
      </c>
      <c r="U61" t="s">
        <v>51</v>
      </c>
      <c r="X61" t="s">
        <v>52</v>
      </c>
      <c r="Y61" s="2">
        <v>0</v>
      </c>
      <c r="Z61" s="2">
        <v>15</v>
      </c>
      <c r="AA61">
        <v>1</v>
      </c>
      <c r="AB61" s="3">
        <v>1</v>
      </c>
      <c r="AC61" s="2">
        <v>15</v>
      </c>
      <c r="AD61" s="3">
        <v>0</v>
      </c>
      <c r="AE61" s="2">
        <v>0</v>
      </c>
      <c r="AF61" s="2">
        <v>15</v>
      </c>
      <c r="AK61">
        <v>6123645</v>
      </c>
    </row>
    <row r="62" spans="1:37" x14ac:dyDescent="0.25">
      <c r="A62" s="1">
        <v>46036</v>
      </c>
      <c r="B62" s="1">
        <v>46036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234</v>
      </c>
      <c r="J62" t="s">
        <v>235</v>
      </c>
      <c r="M62" t="s">
        <v>66</v>
      </c>
      <c r="O62" t="s">
        <v>73</v>
      </c>
      <c r="P62" t="s">
        <v>74</v>
      </c>
      <c r="Q62" t="s">
        <v>49</v>
      </c>
      <c r="R62" t="s">
        <v>69</v>
      </c>
      <c r="S62" s="1">
        <v>46023</v>
      </c>
      <c r="U62" t="s">
        <v>51</v>
      </c>
      <c r="X62" t="s">
        <v>52</v>
      </c>
      <c r="Y62" s="2">
        <v>0</v>
      </c>
      <c r="Z62" s="2">
        <v>15</v>
      </c>
      <c r="AA62">
        <v>1</v>
      </c>
      <c r="AB62" s="3">
        <v>1</v>
      </c>
      <c r="AC62" s="2">
        <v>15</v>
      </c>
      <c r="AD62" s="3">
        <v>0</v>
      </c>
      <c r="AE62" s="2">
        <v>0</v>
      </c>
      <c r="AF62" s="2">
        <v>15</v>
      </c>
      <c r="AK62">
        <v>6123646</v>
      </c>
    </row>
    <row r="63" spans="1:37" x14ac:dyDescent="0.25">
      <c r="A63" s="1">
        <v>46036</v>
      </c>
      <c r="B63" s="1">
        <v>46036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236</v>
      </c>
      <c r="J63" t="s">
        <v>237</v>
      </c>
      <c r="M63" t="s">
        <v>66</v>
      </c>
      <c r="O63" t="s">
        <v>238</v>
      </c>
      <c r="P63" t="s">
        <v>239</v>
      </c>
      <c r="Q63" t="s">
        <v>49</v>
      </c>
      <c r="R63" t="s">
        <v>69</v>
      </c>
      <c r="S63" s="1">
        <v>46023</v>
      </c>
      <c r="U63" t="s">
        <v>51</v>
      </c>
      <c r="X63" t="s">
        <v>52</v>
      </c>
      <c r="Y63" s="2">
        <v>0</v>
      </c>
      <c r="Z63" s="2">
        <v>15</v>
      </c>
      <c r="AA63">
        <v>1</v>
      </c>
      <c r="AB63" s="3">
        <v>1</v>
      </c>
      <c r="AC63" s="2">
        <v>15</v>
      </c>
      <c r="AD63" s="3">
        <v>0</v>
      </c>
      <c r="AE63" s="2">
        <v>0</v>
      </c>
      <c r="AF63" s="2">
        <v>15</v>
      </c>
      <c r="AK63">
        <v>6123647</v>
      </c>
    </row>
    <row r="64" spans="1:37" x14ac:dyDescent="0.25">
      <c r="A64" s="1">
        <v>46036</v>
      </c>
      <c r="B64" s="1">
        <v>46036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240</v>
      </c>
      <c r="J64" t="s">
        <v>241</v>
      </c>
      <c r="M64" t="s">
        <v>120</v>
      </c>
      <c r="O64" t="s">
        <v>121</v>
      </c>
      <c r="P64" t="s">
        <v>122</v>
      </c>
      <c r="Q64" t="s">
        <v>49</v>
      </c>
      <c r="R64" t="s">
        <v>69</v>
      </c>
      <c r="S64" s="1">
        <v>46023</v>
      </c>
      <c r="U64" t="s">
        <v>51</v>
      </c>
      <c r="X64" t="s">
        <v>52</v>
      </c>
      <c r="Y64" s="2">
        <v>0</v>
      </c>
      <c r="Z64" s="2">
        <v>15</v>
      </c>
      <c r="AA64">
        <v>1</v>
      </c>
      <c r="AB64" s="3">
        <v>1</v>
      </c>
      <c r="AC64" s="2">
        <v>15</v>
      </c>
      <c r="AD64" s="3">
        <v>0</v>
      </c>
      <c r="AE64" s="2">
        <v>0</v>
      </c>
      <c r="AF64" s="2">
        <v>15</v>
      </c>
      <c r="AK64">
        <v>6123596</v>
      </c>
    </row>
    <row r="65" spans="1:37" x14ac:dyDescent="0.25">
      <c r="A65" s="1">
        <v>46036</v>
      </c>
      <c r="B65" s="1">
        <v>46036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242</v>
      </c>
      <c r="J65" t="s">
        <v>243</v>
      </c>
      <c r="M65" t="s">
        <v>66</v>
      </c>
      <c r="O65" t="s">
        <v>91</v>
      </c>
      <c r="P65" t="s">
        <v>92</v>
      </c>
      <c r="Q65" t="s">
        <v>49</v>
      </c>
      <c r="R65" t="s">
        <v>69</v>
      </c>
      <c r="S65" s="1">
        <v>46023</v>
      </c>
      <c r="U65" t="s">
        <v>51</v>
      </c>
      <c r="X65" t="s">
        <v>52</v>
      </c>
      <c r="Y65" s="2">
        <v>0</v>
      </c>
      <c r="Z65" s="2">
        <v>15</v>
      </c>
      <c r="AA65">
        <v>1</v>
      </c>
      <c r="AB65" s="3">
        <v>1</v>
      </c>
      <c r="AC65" s="2">
        <v>15</v>
      </c>
      <c r="AD65" s="3">
        <v>0</v>
      </c>
      <c r="AE65" s="2">
        <v>0</v>
      </c>
      <c r="AF65" s="2">
        <v>15</v>
      </c>
      <c r="AK65">
        <v>6123597</v>
      </c>
    </row>
    <row r="66" spans="1:37" x14ac:dyDescent="0.25">
      <c r="A66" s="1">
        <v>46036</v>
      </c>
      <c r="B66" s="1">
        <v>46036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244</v>
      </c>
      <c r="J66" t="s">
        <v>245</v>
      </c>
      <c r="M66" t="s">
        <v>141</v>
      </c>
      <c r="O66" t="s">
        <v>246</v>
      </c>
      <c r="P66" t="s">
        <v>247</v>
      </c>
      <c r="Q66" t="s">
        <v>49</v>
      </c>
      <c r="R66" t="s">
        <v>69</v>
      </c>
      <c r="S66" s="1">
        <v>46023</v>
      </c>
      <c r="U66" t="s">
        <v>51</v>
      </c>
      <c r="X66" t="s">
        <v>52</v>
      </c>
      <c r="Y66" s="2">
        <v>0</v>
      </c>
      <c r="Z66" s="2">
        <v>15</v>
      </c>
      <c r="AA66">
        <v>1</v>
      </c>
      <c r="AB66" s="3">
        <v>1</v>
      </c>
      <c r="AC66" s="2">
        <v>15</v>
      </c>
      <c r="AD66" s="3">
        <v>0</v>
      </c>
      <c r="AE66" s="2">
        <v>0</v>
      </c>
      <c r="AF66" s="2">
        <v>15</v>
      </c>
      <c r="AK66">
        <v>6123598</v>
      </c>
    </row>
    <row r="67" spans="1:37" x14ac:dyDescent="0.25">
      <c r="A67" s="1">
        <v>46036</v>
      </c>
      <c r="B67" s="1">
        <v>46036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248</v>
      </c>
      <c r="J67" t="s">
        <v>249</v>
      </c>
      <c r="M67" t="s">
        <v>141</v>
      </c>
      <c r="O67" t="s">
        <v>56</v>
      </c>
      <c r="P67" t="s">
        <v>57</v>
      </c>
      <c r="Q67" t="s">
        <v>49</v>
      </c>
      <c r="R67" t="s">
        <v>69</v>
      </c>
      <c r="S67" s="1">
        <v>46054</v>
      </c>
      <c r="U67" t="s">
        <v>51</v>
      </c>
      <c r="X67" t="s">
        <v>52</v>
      </c>
      <c r="Y67" s="2">
        <v>0</v>
      </c>
      <c r="Z67" s="2">
        <v>15</v>
      </c>
      <c r="AA67">
        <v>1</v>
      </c>
      <c r="AB67" s="3">
        <v>1</v>
      </c>
      <c r="AC67" s="2">
        <v>15</v>
      </c>
      <c r="AD67" s="3">
        <v>0</v>
      </c>
      <c r="AE67" s="2">
        <v>0</v>
      </c>
      <c r="AF67" s="2">
        <v>15</v>
      </c>
      <c r="AK67">
        <v>6123648</v>
      </c>
    </row>
    <row r="68" spans="1:37" x14ac:dyDescent="0.25">
      <c r="A68" s="1">
        <v>46036</v>
      </c>
      <c r="B68" s="1">
        <v>46036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250</v>
      </c>
      <c r="J68" t="s">
        <v>251</v>
      </c>
      <c r="M68" t="s">
        <v>120</v>
      </c>
      <c r="O68" t="s">
        <v>216</v>
      </c>
      <c r="P68" t="s">
        <v>217</v>
      </c>
      <c r="Q68" t="s">
        <v>49</v>
      </c>
      <c r="R68" t="s">
        <v>69</v>
      </c>
      <c r="S68" s="1">
        <v>46023</v>
      </c>
      <c r="U68" t="s">
        <v>51</v>
      </c>
      <c r="X68" t="s">
        <v>52</v>
      </c>
      <c r="Y68" s="2">
        <v>0</v>
      </c>
      <c r="Z68" s="2">
        <v>15</v>
      </c>
      <c r="AA68">
        <v>1</v>
      </c>
      <c r="AB68" s="3">
        <v>1</v>
      </c>
      <c r="AC68" s="2">
        <v>15</v>
      </c>
      <c r="AD68" s="3">
        <v>0</v>
      </c>
      <c r="AE68" s="2">
        <v>0</v>
      </c>
      <c r="AF68" s="2">
        <v>15</v>
      </c>
      <c r="AK68">
        <v>6123649</v>
      </c>
    </row>
    <row r="69" spans="1:37" x14ac:dyDescent="0.25">
      <c r="A69" s="1">
        <v>46036</v>
      </c>
      <c r="B69" s="1">
        <v>46036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252</v>
      </c>
      <c r="J69" t="s">
        <v>253</v>
      </c>
      <c r="M69" t="s">
        <v>141</v>
      </c>
      <c r="O69" t="s">
        <v>142</v>
      </c>
      <c r="P69" t="s">
        <v>143</v>
      </c>
      <c r="Q69" t="s">
        <v>49</v>
      </c>
      <c r="R69" t="s">
        <v>69</v>
      </c>
      <c r="S69" s="1">
        <v>46054</v>
      </c>
      <c r="U69" t="s">
        <v>51</v>
      </c>
      <c r="X69" t="s">
        <v>52</v>
      </c>
      <c r="Y69" s="2">
        <v>0</v>
      </c>
      <c r="Z69" s="2">
        <v>15</v>
      </c>
      <c r="AA69">
        <v>1</v>
      </c>
      <c r="AB69" s="3">
        <v>1</v>
      </c>
      <c r="AC69" s="2">
        <v>15</v>
      </c>
      <c r="AD69" s="3">
        <v>0</v>
      </c>
      <c r="AE69" s="2">
        <v>0</v>
      </c>
      <c r="AF69" s="2">
        <v>15</v>
      </c>
      <c r="AK69">
        <v>6123650</v>
      </c>
    </row>
    <row r="70" spans="1:37" x14ac:dyDescent="0.25">
      <c r="A70" s="1">
        <v>46036</v>
      </c>
      <c r="B70" s="1">
        <v>46036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254</v>
      </c>
      <c r="J70" t="s">
        <v>255</v>
      </c>
      <c r="M70" t="s">
        <v>256</v>
      </c>
      <c r="O70" t="s">
        <v>47</v>
      </c>
      <c r="P70" t="s">
        <v>48</v>
      </c>
      <c r="Q70" t="s">
        <v>49</v>
      </c>
      <c r="R70" t="s">
        <v>58</v>
      </c>
      <c r="S70" s="1">
        <v>46054</v>
      </c>
      <c r="U70" t="s">
        <v>51</v>
      </c>
      <c r="X70" t="s">
        <v>52</v>
      </c>
      <c r="Y70" s="2">
        <v>0</v>
      </c>
      <c r="Z70" s="2">
        <v>175</v>
      </c>
      <c r="AA70">
        <v>1</v>
      </c>
      <c r="AB70" s="3">
        <v>1</v>
      </c>
      <c r="AC70" s="2">
        <v>175</v>
      </c>
      <c r="AD70" s="3">
        <v>0</v>
      </c>
      <c r="AE70" s="2">
        <v>0</v>
      </c>
      <c r="AF70" s="2">
        <v>175</v>
      </c>
      <c r="AK70">
        <v>6123892</v>
      </c>
    </row>
    <row r="71" spans="1:37" x14ac:dyDescent="0.25">
      <c r="A71" s="1">
        <v>46036</v>
      </c>
      <c r="B71" s="1">
        <v>46036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257</v>
      </c>
      <c r="J71" t="s">
        <v>258</v>
      </c>
      <c r="M71" t="s">
        <v>55</v>
      </c>
      <c r="O71" t="s">
        <v>81</v>
      </c>
      <c r="P71" t="s">
        <v>82</v>
      </c>
      <c r="Q71" t="s">
        <v>49</v>
      </c>
      <c r="R71" t="s">
        <v>58</v>
      </c>
      <c r="S71" s="1">
        <v>46023</v>
      </c>
      <c r="U71" t="s">
        <v>51</v>
      </c>
      <c r="X71" t="s">
        <v>52</v>
      </c>
      <c r="Y71" s="2">
        <v>0</v>
      </c>
      <c r="Z71" s="2">
        <v>175</v>
      </c>
      <c r="AA71">
        <v>1</v>
      </c>
      <c r="AB71" s="3">
        <v>1</v>
      </c>
      <c r="AC71" s="2">
        <v>175</v>
      </c>
      <c r="AD71" s="3">
        <v>0</v>
      </c>
      <c r="AE71" s="2">
        <v>0</v>
      </c>
      <c r="AF71" s="2">
        <v>175</v>
      </c>
      <c r="AK71">
        <v>6123893</v>
      </c>
    </row>
    <row r="72" spans="1:37" x14ac:dyDescent="0.25">
      <c r="A72" s="1">
        <v>46036</v>
      </c>
      <c r="B72" s="1">
        <v>46036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259</v>
      </c>
      <c r="J72" t="s">
        <v>260</v>
      </c>
      <c r="M72" t="s">
        <v>55</v>
      </c>
      <c r="O72" t="s">
        <v>261</v>
      </c>
      <c r="P72" t="s">
        <v>262</v>
      </c>
      <c r="Q72" t="s">
        <v>49</v>
      </c>
      <c r="R72" t="s">
        <v>58</v>
      </c>
      <c r="S72" s="1">
        <v>46023</v>
      </c>
      <c r="U72" t="s">
        <v>51</v>
      </c>
      <c r="X72" t="s">
        <v>52</v>
      </c>
      <c r="Y72" s="2">
        <v>0</v>
      </c>
      <c r="Z72" s="2">
        <v>175</v>
      </c>
      <c r="AA72">
        <v>1</v>
      </c>
      <c r="AB72" s="3">
        <v>1</v>
      </c>
      <c r="AC72" s="2">
        <v>175</v>
      </c>
      <c r="AD72" s="3">
        <v>0</v>
      </c>
      <c r="AE72" s="2">
        <v>0</v>
      </c>
      <c r="AF72" s="2">
        <v>175</v>
      </c>
      <c r="AK72">
        <v>6123894</v>
      </c>
    </row>
    <row r="73" spans="1:37" x14ac:dyDescent="0.25">
      <c r="A73" s="1">
        <v>46036</v>
      </c>
      <c r="B73" s="1">
        <v>46036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263</v>
      </c>
      <c r="J73" t="s">
        <v>264</v>
      </c>
      <c r="M73" t="s">
        <v>55</v>
      </c>
      <c r="O73" t="s">
        <v>265</v>
      </c>
      <c r="P73" t="s">
        <v>266</v>
      </c>
      <c r="Q73" t="s">
        <v>49</v>
      </c>
      <c r="R73" t="s">
        <v>58</v>
      </c>
      <c r="S73" s="1">
        <v>46023</v>
      </c>
      <c r="U73" t="s">
        <v>51</v>
      </c>
      <c r="X73" t="s">
        <v>52</v>
      </c>
      <c r="Y73" s="2">
        <v>0</v>
      </c>
      <c r="Z73" s="2">
        <v>175</v>
      </c>
      <c r="AA73">
        <v>1</v>
      </c>
      <c r="AB73" s="3">
        <v>1</v>
      </c>
      <c r="AC73" s="2">
        <v>175</v>
      </c>
      <c r="AD73" s="3">
        <v>0</v>
      </c>
      <c r="AE73" s="2">
        <v>0</v>
      </c>
      <c r="AF73" s="2">
        <v>175</v>
      </c>
      <c r="AK73">
        <v>6123895</v>
      </c>
    </row>
    <row r="74" spans="1:37" x14ac:dyDescent="0.25">
      <c r="A74" s="1">
        <v>46036</v>
      </c>
      <c r="B74" s="1">
        <v>46036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267</v>
      </c>
      <c r="J74" t="s">
        <v>268</v>
      </c>
      <c r="M74" t="s">
        <v>125</v>
      </c>
      <c r="O74" t="s">
        <v>269</v>
      </c>
      <c r="P74" t="s">
        <v>270</v>
      </c>
      <c r="Q74" t="s">
        <v>49</v>
      </c>
      <c r="R74" t="s">
        <v>58</v>
      </c>
      <c r="S74" s="1">
        <v>46023</v>
      </c>
      <c r="U74" t="s">
        <v>51</v>
      </c>
      <c r="X74" t="s">
        <v>52</v>
      </c>
      <c r="Y74" s="2">
        <v>0</v>
      </c>
      <c r="Z74" s="2">
        <v>175</v>
      </c>
      <c r="AA74">
        <v>1</v>
      </c>
      <c r="AB74" s="3">
        <v>1</v>
      </c>
      <c r="AC74" s="2">
        <v>175</v>
      </c>
      <c r="AD74" s="3">
        <v>0</v>
      </c>
      <c r="AE74" s="2">
        <v>0</v>
      </c>
      <c r="AF74" s="2">
        <v>175</v>
      </c>
      <c r="AK74">
        <v>6123896</v>
      </c>
    </row>
    <row r="75" spans="1:37" x14ac:dyDescent="0.25">
      <c r="A75" s="1">
        <v>46036</v>
      </c>
      <c r="B75" s="1">
        <v>46036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271</v>
      </c>
      <c r="J75" t="s">
        <v>272</v>
      </c>
      <c r="M75" t="s">
        <v>55</v>
      </c>
      <c r="O75" t="s">
        <v>56</v>
      </c>
      <c r="P75" t="s">
        <v>57</v>
      </c>
      <c r="Q75" t="s">
        <v>49</v>
      </c>
      <c r="R75" t="s">
        <v>58</v>
      </c>
      <c r="S75" s="1">
        <v>46023</v>
      </c>
      <c r="U75" t="s">
        <v>51</v>
      </c>
      <c r="X75" t="s">
        <v>52</v>
      </c>
      <c r="Y75" s="2">
        <v>0</v>
      </c>
      <c r="Z75" s="2">
        <v>175</v>
      </c>
      <c r="AA75">
        <v>1</v>
      </c>
      <c r="AB75" s="3">
        <v>1</v>
      </c>
      <c r="AC75" s="2">
        <v>175</v>
      </c>
      <c r="AD75" s="3">
        <v>0</v>
      </c>
      <c r="AE75" s="2">
        <v>0</v>
      </c>
      <c r="AF75" s="2">
        <v>175</v>
      </c>
      <c r="AK75">
        <v>6123897</v>
      </c>
    </row>
    <row r="76" spans="1:37" x14ac:dyDescent="0.25">
      <c r="A76" s="1">
        <v>46036</v>
      </c>
      <c r="B76" s="1">
        <v>46036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273</v>
      </c>
      <c r="J76" t="s">
        <v>274</v>
      </c>
      <c r="M76" t="s">
        <v>55</v>
      </c>
      <c r="O76" t="s">
        <v>56</v>
      </c>
      <c r="P76" t="s">
        <v>57</v>
      </c>
      <c r="Q76" t="s">
        <v>49</v>
      </c>
      <c r="R76" t="s">
        <v>58</v>
      </c>
      <c r="S76" s="1">
        <v>46023</v>
      </c>
      <c r="U76" t="s">
        <v>51</v>
      </c>
      <c r="X76" t="s">
        <v>52</v>
      </c>
      <c r="Y76" s="2">
        <v>0</v>
      </c>
      <c r="Z76" s="2">
        <v>175</v>
      </c>
      <c r="AA76">
        <v>1</v>
      </c>
      <c r="AB76" s="3">
        <v>1</v>
      </c>
      <c r="AC76" s="2">
        <v>175</v>
      </c>
      <c r="AD76" s="3">
        <v>0</v>
      </c>
      <c r="AE76" s="2">
        <v>0</v>
      </c>
      <c r="AF76" s="2">
        <v>175</v>
      </c>
      <c r="AK76">
        <v>6123898</v>
      </c>
    </row>
    <row r="77" spans="1:37" x14ac:dyDescent="0.25">
      <c r="A77" s="1">
        <v>46036</v>
      </c>
      <c r="B77" s="1">
        <v>46036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275</v>
      </c>
      <c r="J77" t="s">
        <v>276</v>
      </c>
      <c r="M77" t="s">
        <v>55</v>
      </c>
      <c r="O77" t="s">
        <v>81</v>
      </c>
      <c r="P77" t="s">
        <v>82</v>
      </c>
      <c r="Q77" t="s">
        <v>49</v>
      </c>
      <c r="R77" t="s">
        <v>58</v>
      </c>
      <c r="S77" s="1">
        <v>46023</v>
      </c>
      <c r="U77" t="s">
        <v>51</v>
      </c>
      <c r="X77" t="s">
        <v>52</v>
      </c>
      <c r="Y77" s="2">
        <v>0</v>
      </c>
      <c r="Z77" s="2">
        <v>175</v>
      </c>
      <c r="AA77">
        <v>1</v>
      </c>
      <c r="AB77" s="3">
        <v>1</v>
      </c>
      <c r="AC77" s="2">
        <v>175</v>
      </c>
      <c r="AD77" s="3">
        <v>0</v>
      </c>
      <c r="AE77" s="2">
        <v>0</v>
      </c>
      <c r="AF77" s="2">
        <v>175</v>
      </c>
      <c r="AK77">
        <v>6123899</v>
      </c>
    </row>
    <row r="78" spans="1:37" x14ac:dyDescent="0.25">
      <c r="A78" s="1">
        <v>46036</v>
      </c>
      <c r="B78" s="1">
        <v>46036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277</v>
      </c>
      <c r="J78" t="s">
        <v>278</v>
      </c>
      <c r="M78" t="s">
        <v>55</v>
      </c>
      <c r="O78" t="s">
        <v>81</v>
      </c>
      <c r="P78" t="s">
        <v>82</v>
      </c>
      <c r="Q78" t="s">
        <v>49</v>
      </c>
      <c r="R78" t="s">
        <v>58</v>
      </c>
      <c r="S78" s="1">
        <v>46023</v>
      </c>
      <c r="U78" t="s">
        <v>51</v>
      </c>
      <c r="X78" t="s">
        <v>52</v>
      </c>
      <c r="Y78" s="2">
        <v>0</v>
      </c>
      <c r="Z78" s="2">
        <v>175</v>
      </c>
      <c r="AA78">
        <v>1</v>
      </c>
      <c r="AB78" s="3">
        <v>1</v>
      </c>
      <c r="AC78" s="2">
        <v>175</v>
      </c>
      <c r="AD78" s="3">
        <v>0</v>
      </c>
      <c r="AE78" s="2">
        <v>0</v>
      </c>
      <c r="AF78" s="2">
        <v>175</v>
      </c>
      <c r="AK78">
        <v>6123900</v>
      </c>
    </row>
    <row r="79" spans="1:37" x14ac:dyDescent="0.25">
      <c r="A79" s="1">
        <v>46036</v>
      </c>
      <c r="B79" s="1">
        <v>46036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279</v>
      </c>
      <c r="J79" t="s">
        <v>280</v>
      </c>
      <c r="M79" t="s">
        <v>55</v>
      </c>
      <c r="O79" t="s">
        <v>228</v>
      </c>
      <c r="P79" t="s">
        <v>229</v>
      </c>
      <c r="Q79" t="s">
        <v>49</v>
      </c>
      <c r="R79" t="s">
        <v>58</v>
      </c>
      <c r="S79" s="1">
        <v>46082</v>
      </c>
      <c r="U79" t="s">
        <v>51</v>
      </c>
      <c r="X79" t="s">
        <v>52</v>
      </c>
      <c r="Y79" s="2">
        <v>0</v>
      </c>
      <c r="Z79" s="2">
        <v>175</v>
      </c>
      <c r="AA79">
        <v>1</v>
      </c>
      <c r="AB79" s="3">
        <v>1</v>
      </c>
      <c r="AC79" s="2">
        <v>175</v>
      </c>
      <c r="AD79" s="3">
        <v>0</v>
      </c>
      <c r="AE79" s="2">
        <v>0</v>
      </c>
      <c r="AF79" s="2">
        <v>175</v>
      </c>
      <c r="AK79">
        <v>6123901</v>
      </c>
    </row>
    <row r="80" spans="1:37" x14ac:dyDescent="0.25">
      <c r="A80" s="1">
        <v>46036</v>
      </c>
      <c r="B80" s="1">
        <v>46036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281</v>
      </c>
      <c r="J80" t="s">
        <v>282</v>
      </c>
      <c r="M80" t="s">
        <v>55</v>
      </c>
      <c r="O80" t="s">
        <v>81</v>
      </c>
      <c r="P80" t="s">
        <v>82</v>
      </c>
      <c r="Q80" t="s">
        <v>49</v>
      </c>
      <c r="R80" t="s">
        <v>58</v>
      </c>
      <c r="S80" s="1">
        <v>46023</v>
      </c>
      <c r="U80" t="s">
        <v>51</v>
      </c>
      <c r="X80" t="s">
        <v>52</v>
      </c>
      <c r="Y80" s="2">
        <v>0</v>
      </c>
      <c r="Z80" s="2">
        <v>175</v>
      </c>
      <c r="AA80">
        <v>1</v>
      </c>
      <c r="AB80" s="3">
        <v>1</v>
      </c>
      <c r="AC80" s="2">
        <v>175</v>
      </c>
      <c r="AD80" s="3">
        <v>0</v>
      </c>
      <c r="AE80" s="2">
        <v>0</v>
      </c>
      <c r="AF80" s="2">
        <v>175</v>
      </c>
      <c r="AK80">
        <v>6123902</v>
      </c>
    </row>
    <row r="81" spans="1:37" x14ac:dyDescent="0.25">
      <c r="A81" s="1">
        <v>46036</v>
      </c>
      <c r="B81" s="1">
        <v>46036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283</v>
      </c>
      <c r="J81" t="s">
        <v>284</v>
      </c>
      <c r="M81" t="s">
        <v>55</v>
      </c>
      <c r="O81" t="s">
        <v>285</v>
      </c>
      <c r="P81" t="s">
        <v>286</v>
      </c>
      <c r="Q81" t="s">
        <v>49</v>
      </c>
      <c r="R81" t="s">
        <v>58</v>
      </c>
      <c r="S81" s="1">
        <v>46023</v>
      </c>
      <c r="U81" t="s">
        <v>51</v>
      </c>
      <c r="X81" t="s">
        <v>52</v>
      </c>
      <c r="Y81" s="2">
        <v>0</v>
      </c>
      <c r="Z81" s="2">
        <v>175</v>
      </c>
      <c r="AA81">
        <v>1</v>
      </c>
      <c r="AB81" s="3">
        <v>1</v>
      </c>
      <c r="AC81" s="2">
        <v>175</v>
      </c>
      <c r="AD81" s="3">
        <v>0</v>
      </c>
      <c r="AE81" s="2">
        <v>0</v>
      </c>
      <c r="AF81" s="2">
        <v>175</v>
      </c>
      <c r="AK81">
        <v>6123903</v>
      </c>
    </row>
    <row r="82" spans="1:37" x14ac:dyDescent="0.25">
      <c r="A82" s="1">
        <v>46036</v>
      </c>
      <c r="B82" s="1">
        <v>46036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287</v>
      </c>
      <c r="J82" t="s">
        <v>288</v>
      </c>
      <c r="M82" t="s">
        <v>289</v>
      </c>
      <c r="O82" t="s">
        <v>290</v>
      </c>
      <c r="P82" t="s">
        <v>291</v>
      </c>
      <c r="Q82" t="s">
        <v>49</v>
      </c>
      <c r="R82" t="s">
        <v>58</v>
      </c>
      <c r="S82" s="1">
        <v>46023</v>
      </c>
      <c r="U82" t="s">
        <v>51</v>
      </c>
      <c r="X82" t="s">
        <v>52</v>
      </c>
      <c r="Y82" s="2">
        <v>0</v>
      </c>
      <c r="Z82" s="2">
        <v>175</v>
      </c>
      <c r="AA82">
        <v>1</v>
      </c>
      <c r="AB82" s="3">
        <v>1</v>
      </c>
      <c r="AC82" s="2">
        <v>175</v>
      </c>
      <c r="AD82" s="3">
        <v>0</v>
      </c>
      <c r="AE82" s="2">
        <v>0</v>
      </c>
      <c r="AF82" s="2">
        <v>175</v>
      </c>
      <c r="AK82">
        <v>6123904</v>
      </c>
    </row>
    <row r="83" spans="1:37" x14ac:dyDescent="0.25">
      <c r="A83" s="1">
        <v>46036</v>
      </c>
      <c r="B83" s="1">
        <v>46036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292</v>
      </c>
      <c r="J83" t="s">
        <v>293</v>
      </c>
      <c r="M83" t="s">
        <v>55</v>
      </c>
      <c r="O83" t="s">
        <v>224</v>
      </c>
      <c r="P83" t="s">
        <v>225</v>
      </c>
      <c r="Q83" t="s">
        <v>49</v>
      </c>
      <c r="R83" t="s">
        <v>58</v>
      </c>
      <c r="S83" s="1">
        <v>46023</v>
      </c>
      <c r="U83" t="s">
        <v>51</v>
      </c>
      <c r="X83" t="s">
        <v>52</v>
      </c>
      <c r="Y83" s="2">
        <v>0</v>
      </c>
      <c r="Z83" s="2">
        <v>175</v>
      </c>
      <c r="AA83">
        <v>1</v>
      </c>
      <c r="AB83" s="3">
        <v>1</v>
      </c>
      <c r="AC83" s="2">
        <v>175</v>
      </c>
      <c r="AD83" s="3">
        <v>0</v>
      </c>
      <c r="AE83" s="2">
        <v>0</v>
      </c>
      <c r="AF83" s="2">
        <v>175</v>
      </c>
      <c r="AK83">
        <v>6123905</v>
      </c>
    </row>
    <row r="84" spans="1:37" x14ac:dyDescent="0.25">
      <c r="A84" s="1">
        <v>46036</v>
      </c>
      <c r="B84" s="1">
        <v>46036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294</v>
      </c>
      <c r="J84" t="s">
        <v>295</v>
      </c>
      <c r="M84" t="s">
        <v>187</v>
      </c>
      <c r="O84" t="s">
        <v>47</v>
      </c>
      <c r="P84" t="s">
        <v>48</v>
      </c>
      <c r="Q84" t="s">
        <v>49</v>
      </c>
      <c r="R84" t="s">
        <v>58</v>
      </c>
      <c r="S84" s="1">
        <v>46023</v>
      </c>
      <c r="U84" t="s">
        <v>51</v>
      </c>
      <c r="X84" t="s">
        <v>52</v>
      </c>
      <c r="Y84" s="2">
        <v>0</v>
      </c>
      <c r="Z84" s="2">
        <v>175</v>
      </c>
      <c r="AA84">
        <v>1</v>
      </c>
      <c r="AB84" s="3">
        <v>1</v>
      </c>
      <c r="AC84" s="2">
        <v>175</v>
      </c>
      <c r="AD84" s="3">
        <v>0</v>
      </c>
      <c r="AE84" s="2">
        <v>0</v>
      </c>
      <c r="AF84" s="2">
        <v>175</v>
      </c>
      <c r="AK84">
        <v>6123906</v>
      </c>
    </row>
    <row r="85" spans="1:37" x14ac:dyDescent="0.25">
      <c r="A85" s="1">
        <v>46036</v>
      </c>
      <c r="B85" s="1">
        <v>46036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296</v>
      </c>
      <c r="J85" t="s">
        <v>297</v>
      </c>
      <c r="M85" t="s">
        <v>55</v>
      </c>
      <c r="O85" t="s">
        <v>298</v>
      </c>
      <c r="P85" t="s">
        <v>299</v>
      </c>
      <c r="Q85" t="s">
        <v>49</v>
      </c>
      <c r="R85" t="s">
        <v>58</v>
      </c>
      <c r="S85" s="1">
        <v>46023</v>
      </c>
      <c r="U85" t="s">
        <v>51</v>
      </c>
      <c r="X85" t="s">
        <v>52</v>
      </c>
      <c r="Y85" s="2">
        <v>0</v>
      </c>
      <c r="Z85" s="2">
        <v>175</v>
      </c>
      <c r="AA85">
        <v>1</v>
      </c>
      <c r="AB85" s="3">
        <v>1</v>
      </c>
      <c r="AC85" s="2">
        <v>175</v>
      </c>
      <c r="AD85" s="3">
        <v>0</v>
      </c>
      <c r="AE85" s="2">
        <v>0</v>
      </c>
      <c r="AF85" s="2">
        <v>175</v>
      </c>
      <c r="AK85">
        <v>6123868</v>
      </c>
    </row>
    <row r="86" spans="1:37" x14ac:dyDescent="0.25">
      <c r="A86" s="1">
        <v>46036</v>
      </c>
      <c r="B86" s="1">
        <v>46036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300</v>
      </c>
      <c r="J86" t="s">
        <v>301</v>
      </c>
      <c r="M86" t="s">
        <v>55</v>
      </c>
      <c r="O86" t="s">
        <v>224</v>
      </c>
      <c r="P86" t="s">
        <v>225</v>
      </c>
      <c r="Q86" t="s">
        <v>49</v>
      </c>
      <c r="R86" t="s">
        <v>58</v>
      </c>
      <c r="S86" s="1">
        <v>46023</v>
      </c>
      <c r="U86" t="s">
        <v>51</v>
      </c>
      <c r="X86" t="s">
        <v>52</v>
      </c>
      <c r="Y86" s="2">
        <v>0</v>
      </c>
      <c r="Z86" s="2">
        <v>175</v>
      </c>
      <c r="AA86">
        <v>1</v>
      </c>
      <c r="AB86" s="3">
        <v>1</v>
      </c>
      <c r="AC86" s="2">
        <v>175</v>
      </c>
      <c r="AD86" s="3">
        <v>0</v>
      </c>
      <c r="AE86" s="2">
        <v>0</v>
      </c>
      <c r="AF86" s="2">
        <v>175</v>
      </c>
      <c r="AK86">
        <v>6123907</v>
      </c>
    </row>
    <row r="87" spans="1:37" x14ac:dyDescent="0.25">
      <c r="A87" s="1">
        <v>46036</v>
      </c>
      <c r="B87" s="1">
        <v>46036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302</v>
      </c>
      <c r="J87" t="s">
        <v>303</v>
      </c>
      <c r="M87" t="s">
        <v>55</v>
      </c>
      <c r="O87" t="s">
        <v>224</v>
      </c>
      <c r="P87" t="s">
        <v>225</v>
      </c>
      <c r="Q87" t="s">
        <v>49</v>
      </c>
      <c r="R87" t="s">
        <v>58</v>
      </c>
      <c r="S87" s="1">
        <v>46023</v>
      </c>
      <c r="U87" t="s">
        <v>51</v>
      </c>
      <c r="X87" t="s">
        <v>52</v>
      </c>
      <c r="Y87" s="2">
        <v>0</v>
      </c>
      <c r="Z87" s="2">
        <v>175</v>
      </c>
      <c r="AA87">
        <v>1</v>
      </c>
      <c r="AB87" s="3">
        <v>1</v>
      </c>
      <c r="AC87" s="2">
        <v>175</v>
      </c>
      <c r="AD87" s="3">
        <v>0</v>
      </c>
      <c r="AE87" s="2">
        <v>0</v>
      </c>
      <c r="AF87" s="2">
        <v>175</v>
      </c>
      <c r="AK87">
        <v>6123908</v>
      </c>
    </row>
    <row r="88" spans="1:37" x14ac:dyDescent="0.25">
      <c r="A88" s="1">
        <v>46036</v>
      </c>
      <c r="B88" s="1">
        <v>46036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304</v>
      </c>
      <c r="J88" t="s">
        <v>305</v>
      </c>
      <c r="M88" t="s">
        <v>55</v>
      </c>
      <c r="O88" t="s">
        <v>306</v>
      </c>
      <c r="P88" t="s">
        <v>307</v>
      </c>
      <c r="Q88" t="s">
        <v>49</v>
      </c>
      <c r="R88" t="s">
        <v>58</v>
      </c>
      <c r="S88" s="1">
        <v>46023</v>
      </c>
      <c r="U88" t="s">
        <v>51</v>
      </c>
      <c r="X88" t="s">
        <v>52</v>
      </c>
      <c r="Y88" s="2">
        <v>0</v>
      </c>
      <c r="Z88" s="2">
        <v>175</v>
      </c>
      <c r="AA88">
        <v>1</v>
      </c>
      <c r="AB88" s="3">
        <v>1</v>
      </c>
      <c r="AC88" s="2">
        <v>175</v>
      </c>
      <c r="AD88" s="3">
        <v>0</v>
      </c>
      <c r="AE88" s="2">
        <v>0</v>
      </c>
      <c r="AF88" s="2">
        <v>175</v>
      </c>
      <c r="AK88">
        <v>6123909</v>
      </c>
    </row>
    <row r="89" spans="1:37" x14ac:dyDescent="0.25">
      <c r="A89" s="1">
        <v>46036</v>
      </c>
      <c r="B89" s="1">
        <v>46036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308</v>
      </c>
      <c r="J89" t="s">
        <v>309</v>
      </c>
      <c r="M89" t="s">
        <v>55</v>
      </c>
      <c r="O89" t="s">
        <v>224</v>
      </c>
      <c r="P89" t="s">
        <v>225</v>
      </c>
      <c r="Q89" t="s">
        <v>49</v>
      </c>
      <c r="R89" t="s">
        <v>58</v>
      </c>
      <c r="S89" s="1">
        <v>46023</v>
      </c>
      <c r="U89" t="s">
        <v>51</v>
      </c>
      <c r="X89" t="s">
        <v>52</v>
      </c>
      <c r="Y89" s="2">
        <v>0</v>
      </c>
      <c r="Z89" s="2">
        <v>175</v>
      </c>
      <c r="AA89">
        <v>1</v>
      </c>
      <c r="AB89" s="3">
        <v>1</v>
      </c>
      <c r="AC89" s="2">
        <v>175</v>
      </c>
      <c r="AD89" s="3">
        <v>0</v>
      </c>
      <c r="AE89" s="2">
        <v>0</v>
      </c>
      <c r="AF89" s="2">
        <v>175</v>
      </c>
      <c r="AK89">
        <v>6123910</v>
      </c>
    </row>
    <row r="90" spans="1:37" x14ac:dyDescent="0.25">
      <c r="A90" s="1">
        <v>46036</v>
      </c>
      <c r="B90" s="1">
        <v>46036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310</v>
      </c>
      <c r="J90" t="s">
        <v>311</v>
      </c>
      <c r="M90" t="s">
        <v>134</v>
      </c>
      <c r="O90" t="s">
        <v>135</v>
      </c>
      <c r="P90" t="s">
        <v>136</v>
      </c>
      <c r="Q90" t="s">
        <v>49</v>
      </c>
      <c r="R90" t="s">
        <v>58</v>
      </c>
      <c r="S90" s="1">
        <v>46023</v>
      </c>
      <c r="U90" t="s">
        <v>51</v>
      </c>
      <c r="X90" t="s">
        <v>52</v>
      </c>
      <c r="Y90" s="2">
        <v>0</v>
      </c>
      <c r="Z90" s="2">
        <v>175</v>
      </c>
      <c r="AA90">
        <v>1</v>
      </c>
      <c r="AB90" s="3">
        <v>1</v>
      </c>
      <c r="AC90" s="2">
        <v>175</v>
      </c>
      <c r="AD90" s="3">
        <v>0</v>
      </c>
      <c r="AE90" s="2">
        <v>0</v>
      </c>
      <c r="AF90" s="2">
        <v>175</v>
      </c>
      <c r="AK90">
        <v>6123911</v>
      </c>
    </row>
    <row r="91" spans="1:37" x14ac:dyDescent="0.25">
      <c r="A91" s="1">
        <v>46036</v>
      </c>
      <c r="B91" s="1">
        <v>46036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312</v>
      </c>
      <c r="J91" t="s">
        <v>313</v>
      </c>
      <c r="M91" t="s">
        <v>55</v>
      </c>
      <c r="O91" t="s">
        <v>265</v>
      </c>
      <c r="P91" t="s">
        <v>266</v>
      </c>
      <c r="Q91" t="s">
        <v>49</v>
      </c>
      <c r="R91" t="s">
        <v>58</v>
      </c>
      <c r="S91" s="1">
        <v>46023</v>
      </c>
      <c r="U91" t="s">
        <v>51</v>
      </c>
      <c r="X91" t="s">
        <v>52</v>
      </c>
      <c r="Y91" s="2">
        <v>0</v>
      </c>
      <c r="Z91" s="2">
        <v>175</v>
      </c>
      <c r="AA91">
        <v>1</v>
      </c>
      <c r="AB91" s="3">
        <v>1</v>
      </c>
      <c r="AC91" s="2">
        <v>175</v>
      </c>
      <c r="AD91" s="3">
        <v>0</v>
      </c>
      <c r="AE91" s="2">
        <v>0</v>
      </c>
      <c r="AF91" s="2">
        <v>175</v>
      </c>
      <c r="AK91">
        <v>6123912</v>
      </c>
    </row>
    <row r="92" spans="1:37" x14ac:dyDescent="0.25">
      <c r="A92" s="1">
        <v>46036</v>
      </c>
      <c r="B92" s="1">
        <v>46036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314</v>
      </c>
      <c r="J92" t="s">
        <v>315</v>
      </c>
      <c r="M92" t="s">
        <v>55</v>
      </c>
      <c r="O92" t="s">
        <v>224</v>
      </c>
      <c r="P92" t="s">
        <v>225</v>
      </c>
      <c r="Q92" t="s">
        <v>49</v>
      </c>
      <c r="R92" t="s">
        <v>58</v>
      </c>
      <c r="S92" s="1">
        <v>46023</v>
      </c>
      <c r="U92" t="s">
        <v>51</v>
      </c>
      <c r="X92" t="s">
        <v>52</v>
      </c>
      <c r="Y92" s="2">
        <v>0</v>
      </c>
      <c r="Z92" s="2">
        <v>175</v>
      </c>
      <c r="AA92">
        <v>1</v>
      </c>
      <c r="AB92" s="3">
        <v>1</v>
      </c>
      <c r="AC92" s="2">
        <v>175</v>
      </c>
      <c r="AD92" s="3">
        <v>0</v>
      </c>
      <c r="AE92" s="2">
        <v>0</v>
      </c>
      <c r="AF92" s="2">
        <v>175</v>
      </c>
      <c r="AK92">
        <v>6123913</v>
      </c>
    </row>
    <row r="93" spans="1:37" x14ac:dyDescent="0.25">
      <c r="A93" s="1">
        <v>46036</v>
      </c>
      <c r="B93" s="1">
        <v>46036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316</v>
      </c>
      <c r="J93" t="s">
        <v>317</v>
      </c>
      <c r="M93" t="s">
        <v>187</v>
      </c>
      <c r="O93" t="s">
        <v>298</v>
      </c>
      <c r="P93" t="s">
        <v>299</v>
      </c>
      <c r="Q93" t="s">
        <v>49</v>
      </c>
      <c r="R93" t="s">
        <v>58</v>
      </c>
      <c r="S93" s="1">
        <v>46023</v>
      </c>
      <c r="U93" t="s">
        <v>51</v>
      </c>
      <c r="X93" t="s">
        <v>52</v>
      </c>
      <c r="Y93" s="2">
        <v>0</v>
      </c>
      <c r="Z93" s="2">
        <v>175</v>
      </c>
      <c r="AA93">
        <v>1</v>
      </c>
      <c r="AB93" s="3">
        <v>1</v>
      </c>
      <c r="AC93" s="2">
        <v>175</v>
      </c>
      <c r="AD93" s="3">
        <v>0</v>
      </c>
      <c r="AE93" s="2">
        <v>0</v>
      </c>
      <c r="AF93" s="2">
        <v>175</v>
      </c>
      <c r="AK93">
        <v>6123869</v>
      </c>
    </row>
    <row r="94" spans="1:37" x14ac:dyDescent="0.25">
      <c r="A94" s="1">
        <v>46036</v>
      </c>
      <c r="B94" s="1">
        <v>46036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318</v>
      </c>
      <c r="J94" t="s">
        <v>319</v>
      </c>
      <c r="M94" t="s">
        <v>125</v>
      </c>
      <c r="O94" t="s">
        <v>85</v>
      </c>
      <c r="P94" t="s">
        <v>86</v>
      </c>
      <c r="Q94" t="s">
        <v>49</v>
      </c>
      <c r="R94" t="s">
        <v>58</v>
      </c>
      <c r="S94" s="1">
        <v>46023</v>
      </c>
      <c r="U94" t="s">
        <v>51</v>
      </c>
      <c r="X94" t="s">
        <v>52</v>
      </c>
      <c r="Y94" s="2">
        <v>0</v>
      </c>
      <c r="Z94" s="2">
        <v>175</v>
      </c>
      <c r="AA94">
        <v>1</v>
      </c>
      <c r="AB94" s="3">
        <v>1</v>
      </c>
      <c r="AC94" s="2">
        <v>175</v>
      </c>
      <c r="AD94" s="3">
        <v>0</v>
      </c>
      <c r="AE94" s="2">
        <v>0</v>
      </c>
      <c r="AF94" s="2">
        <v>175</v>
      </c>
      <c r="AK94">
        <v>6123914</v>
      </c>
    </row>
    <row r="95" spans="1:37" x14ac:dyDescent="0.25">
      <c r="A95" s="1">
        <v>46036</v>
      </c>
      <c r="B95" s="1">
        <v>46036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320</v>
      </c>
      <c r="J95" t="s">
        <v>321</v>
      </c>
      <c r="M95" t="s">
        <v>55</v>
      </c>
      <c r="O95" t="s">
        <v>322</v>
      </c>
      <c r="P95" t="s">
        <v>323</v>
      </c>
      <c r="Q95" t="s">
        <v>49</v>
      </c>
      <c r="R95" t="s">
        <v>58</v>
      </c>
      <c r="S95" s="1">
        <v>46023</v>
      </c>
      <c r="U95" t="s">
        <v>51</v>
      </c>
      <c r="X95" t="s">
        <v>52</v>
      </c>
      <c r="Y95" s="2">
        <v>0</v>
      </c>
      <c r="Z95" s="2">
        <v>175</v>
      </c>
      <c r="AA95">
        <v>1</v>
      </c>
      <c r="AB95" s="3">
        <v>1</v>
      </c>
      <c r="AC95" s="2">
        <v>175</v>
      </c>
      <c r="AD95" s="3">
        <v>0</v>
      </c>
      <c r="AE95" s="2">
        <v>0</v>
      </c>
      <c r="AF95" s="2">
        <v>175</v>
      </c>
      <c r="AK95">
        <v>6123915</v>
      </c>
    </row>
    <row r="96" spans="1:37" x14ac:dyDescent="0.25">
      <c r="A96" s="1">
        <v>46036</v>
      </c>
      <c r="B96" s="1">
        <v>46036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324</v>
      </c>
      <c r="J96" t="s">
        <v>325</v>
      </c>
      <c r="M96" t="s">
        <v>55</v>
      </c>
      <c r="O96" t="s">
        <v>326</v>
      </c>
      <c r="P96" t="s">
        <v>327</v>
      </c>
      <c r="Q96" t="s">
        <v>49</v>
      </c>
      <c r="R96" t="s">
        <v>58</v>
      </c>
      <c r="S96" s="1">
        <v>46023</v>
      </c>
      <c r="U96" t="s">
        <v>51</v>
      </c>
      <c r="X96" t="s">
        <v>52</v>
      </c>
      <c r="Y96" s="2">
        <v>0</v>
      </c>
      <c r="Z96" s="2">
        <v>175</v>
      </c>
      <c r="AA96">
        <v>1</v>
      </c>
      <c r="AB96" s="3">
        <v>1</v>
      </c>
      <c r="AC96" s="2">
        <v>175</v>
      </c>
      <c r="AD96" s="3">
        <v>0</v>
      </c>
      <c r="AE96" s="2">
        <v>0</v>
      </c>
      <c r="AF96" s="2">
        <v>175</v>
      </c>
      <c r="AK96">
        <v>6123916</v>
      </c>
    </row>
    <row r="97" spans="1:37" x14ac:dyDescent="0.25">
      <c r="A97" s="1">
        <v>46036</v>
      </c>
      <c r="B97" s="1">
        <v>46036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328</v>
      </c>
      <c r="J97" t="s">
        <v>329</v>
      </c>
      <c r="M97" t="s">
        <v>55</v>
      </c>
      <c r="O97" t="s">
        <v>265</v>
      </c>
      <c r="P97" t="s">
        <v>266</v>
      </c>
      <c r="Q97" t="s">
        <v>49</v>
      </c>
      <c r="R97" t="s">
        <v>58</v>
      </c>
      <c r="S97" s="1">
        <v>46023</v>
      </c>
      <c r="U97" t="s">
        <v>51</v>
      </c>
      <c r="X97" t="s">
        <v>52</v>
      </c>
      <c r="Y97" s="2">
        <v>0</v>
      </c>
      <c r="Z97" s="2">
        <v>175</v>
      </c>
      <c r="AA97">
        <v>1</v>
      </c>
      <c r="AB97" s="3">
        <v>1</v>
      </c>
      <c r="AC97" s="2">
        <v>175</v>
      </c>
      <c r="AD97" s="3">
        <v>0</v>
      </c>
      <c r="AE97" s="2">
        <v>0</v>
      </c>
      <c r="AF97" s="2">
        <v>175</v>
      </c>
      <c r="AK97">
        <v>6123917</v>
      </c>
    </row>
    <row r="98" spans="1:37" x14ac:dyDescent="0.25">
      <c r="A98" s="1">
        <v>46036</v>
      </c>
      <c r="B98" s="1">
        <v>46036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330</v>
      </c>
      <c r="J98" t="s">
        <v>331</v>
      </c>
      <c r="M98" t="s">
        <v>55</v>
      </c>
      <c r="O98" t="s">
        <v>224</v>
      </c>
      <c r="P98" t="s">
        <v>225</v>
      </c>
      <c r="Q98" t="s">
        <v>49</v>
      </c>
      <c r="R98" t="s">
        <v>58</v>
      </c>
      <c r="S98" s="1">
        <v>46023</v>
      </c>
      <c r="U98" t="s">
        <v>51</v>
      </c>
      <c r="X98" t="s">
        <v>52</v>
      </c>
      <c r="Y98" s="2">
        <v>0</v>
      </c>
      <c r="Z98" s="2">
        <v>175</v>
      </c>
      <c r="AA98">
        <v>1</v>
      </c>
      <c r="AB98" s="3">
        <v>1</v>
      </c>
      <c r="AC98" s="2">
        <v>175</v>
      </c>
      <c r="AD98" s="3">
        <v>0</v>
      </c>
      <c r="AE98" s="2">
        <v>0</v>
      </c>
      <c r="AF98" s="2">
        <v>175</v>
      </c>
      <c r="AK98">
        <v>6123918</v>
      </c>
    </row>
    <row r="99" spans="1:37" x14ac:dyDescent="0.25">
      <c r="A99" s="1">
        <v>46036</v>
      </c>
      <c r="B99" s="1">
        <v>46036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332</v>
      </c>
      <c r="J99" t="s">
        <v>333</v>
      </c>
      <c r="M99" t="s">
        <v>187</v>
      </c>
      <c r="O99" t="s">
        <v>334</v>
      </c>
      <c r="P99" t="s">
        <v>335</v>
      </c>
      <c r="Q99" t="s">
        <v>49</v>
      </c>
      <c r="R99" t="s">
        <v>58</v>
      </c>
      <c r="S99" s="1">
        <v>46023</v>
      </c>
      <c r="U99" t="s">
        <v>51</v>
      </c>
      <c r="X99" t="s">
        <v>52</v>
      </c>
      <c r="Y99" s="2">
        <v>0</v>
      </c>
      <c r="Z99" s="2">
        <v>175</v>
      </c>
      <c r="AA99">
        <v>1</v>
      </c>
      <c r="AB99" s="3">
        <v>1</v>
      </c>
      <c r="AC99" s="2">
        <v>175</v>
      </c>
      <c r="AD99" s="3">
        <v>0</v>
      </c>
      <c r="AE99" s="2">
        <v>0</v>
      </c>
      <c r="AF99" s="2">
        <v>175</v>
      </c>
      <c r="AK99">
        <v>6123919</v>
      </c>
    </row>
    <row r="100" spans="1:37" x14ac:dyDescent="0.25">
      <c r="A100" s="1">
        <v>46036</v>
      </c>
      <c r="B100" s="1">
        <v>46036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336</v>
      </c>
      <c r="J100" t="s">
        <v>337</v>
      </c>
      <c r="M100" t="s">
        <v>55</v>
      </c>
      <c r="O100" t="s">
        <v>265</v>
      </c>
      <c r="P100" t="s">
        <v>266</v>
      </c>
      <c r="Q100" t="s">
        <v>49</v>
      </c>
      <c r="R100" t="s">
        <v>58</v>
      </c>
      <c r="S100" s="1">
        <v>46023</v>
      </c>
      <c r="U100" t="s">
        <v>51</v>
      </c>
      <c r="X100" t="s">
        <v>52</v>
      </c>
      <c r="Y100" s="2">
        <v>0</v>
      </c>
      <c r="Z100" s="2">
        <v>175</v>
      </c>
      <c r="AA100">
        <v>1</v>
      </c>
      <c r="AB100" s="3">
        <v>1</v>
      </c>
      <c r="AC100" s="2">
        <v>175</v>
      </c>
      <c r="AD100" s="3">
        <v>0</v>
      </c>
      <c r="AE100" s="2">
        <v>0</v>
      </c>
      <c r="AF100" s="2">
        <v>175</v>
      </c>
      <c r="AK100">
        <v>6123920</v>
      </c>
    </row>
    <row r="101" spans="1:37" x14ac:dyDescent="0.25">
      <c r="A101" s="1">
        <v>46036</v>
      </c>
      <c r="B101" s="1">
        <v>46036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338</v>
      </c>
      <c r="J101" t="s">
        <v>339</v>
      </c>
      <c r="M101" t="s">
        <v>55</v>
      </c>
      <c r="O101" t="s">
        <v>340</v>
      </c>
      <c r="P101" t="s">
        <v>341</v>
      </c>
      <c r="Q101" t="s">
        <v>49</v>
      </c>
      <c r="R101" t="s">
        <v>58</v>
      </c>
      <c r="S101" s="1">
        <v>46023</v>
      </c>
      <c r="U101" t="s">
        <v>51</v>
      </c>
      <c r="X101" t="s">
        <v>52</v>
      </c>
      <c r="Y101" s="2">
        <v>0</v>
      </c>
      <c r="Z101" s="2">
        <v>175</v>
      </c>
      <c r="AA101">
        <v>1</v>
      </c>
      <c r="AB101" s="3">
        <v>1</v>
      </c>
      <c r="AC101" s="2">
        <v>175</v>
      </c>
      <c r="AD101" s="3">
        <v>0</v>
      </c>
      <c r="AE101" s="2">
        <v>0</v>
      </c>
      <c r="AF101" s="2">
        <v>175</v>
      </c>
      <c r="AK101">
        <v>6123870</v>
      </c>
    </row>
    <row r="102" spans="1:37" x14ac:dyDescent="0.25">
      <c r="A102" s="1">
        <v>46036</v>
      </c>
      <c r="B102" s="1">
        <v>46036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342</v>
      </c>
      <c r="J102" t="s">
        <v>343</v>
      </c>
      <c r="M102" t="s">
        <v>289</v>
      </c>
      <c r="O102" t="s">
        <v>290</v>
      </c>
      <c r="P102" t="s">
        <v>291</v>
      </c>
      <c r="Q102" t="s">
        <v>49</v>
      </c>
      <c r="R102" t="s">
        <v>58</v>
      </c>
      <c r="S102" s="1">
        <v>46023</v>
      </c>
      <c r="U102" t="s">
        <v>51</v>
      </c>
      <c r="X102" t="s">
        <v>52</v>
      </c>
      <c r="Y102" s="2">
        <v>0</v>
      </c>
      <c r="Z102" s="2">
        <v>175</v>
      </c>
      <c r="AA102">
        <v>1</v>
      </c>
      <c r="AB102" s="3">
        <v>1</v>
      </c>
      <c r="AC102" s="2">
        <v>175</v>
      </c>
      <c r="AD102" s="3">
        <v>0</v>
      </c>
      <c r="AE102" s="2">
        <v>0</v>
      </c>
      <c r="AF102" s="2">
        <v>175</v>
      </c>
      <c r="AK102">
        <v>6123921</v>
      </c>
    </row>
    <row r="103" spans="1:37" x14ac:dyDescent="0.25">
      <c r="A103" s="1">
        <v>46036</v>
      </c>
      <c r="B103" s="1">
        <v>46036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344</v>
      </c>
      <c r="J103" t="s">
        <v>345</v>
      </c>
      <c r="M103" t="s">
        <v>55</v>
      </c>
      <c r="O103" t="s">
        <v>346</v>
      </c>
      <c r="P103" t="s">
        <v>347</v>
      </c>
      <c r="Q103" t="s">
        <v>49</v>
      </c>
      <c r="R103" t="s">
        <v>58</v>
      </c>
      <c r="S103" s="1">
        <v>46023</v>
      </c>
      <c r="U103" t="s">
        <v>51</v>
      </c>
      <c r="X103" t="s">
        <v>52</v>
      </c>
      <c r="Y103" s="2">
        <v>0</v>
      </c>
      <c r="Z103" s="2">
        <v>175</v>
      </c>
      <c r="AA103">
        <v>1</v>
      </c>
      <c r="AB103" s="3">
        <v>1</v>
      </c>
      <c r="AC103" s="2">
        <v>175</v>
      </c>
      <c r="AD103" s="3">
        <v>0</v>
      </c>
      <c r="AE103" s="2">
        <v>0</v>
      </c>
      <c r="AF103" s="2">
        <v>175</v>
      </c>
      <c r="AK103">
        <v>6123922</v>
      </c>
    </row>
    <row r="104" spans="1:37" x14ac:dyDescent="0.25">
      <c r="A104" s="1">
        <v>46036</v>
      </c>
      <c r="B104" s="1">
        <v>46036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348</v>
      </c>
      <c r="J104" t="s">
        <v>349</v>
      </c>
      <c r="M104" t="s">
        <v>350</v>
      </c>
      <c r="O104" t="s">
        <v>85</v>
      </c>
      <c r="P104" t="s">
        <v>86</v>
      </c>
      <c r="Q104" t="s">
        <v>49</v>
      </c>
      <c r="R104" t="s">
        <v>58</v>
      </c>
      <c r="S104" s="1">
        <v>46054</v>
      </c>
      <c r="U104" t="s">
        <v>51</v>
      </c>
      <c r="X104" t="s">
        <v>52</v>
      </c>
      <c r="Y104" s="2">
        <v>0</v>
      </c>
      <c r="Z104" s="2">
        <v>175</v>
      </c>
      <c r="AA104">
        <v>1</v>
      </c>
      <c r="AB104" s="3">
        <v>1</v>
      </c>
      <c r="AC104" s="2">
        <v>175</v>
      </c>
      <c r="AD104" s="3">
        <v>0</v>
      </c>
      <c r="AE104" s="2">
        <v>0</v>
      </c>
      <c r="AF104" s="2">
        <v>175</v>
      </c>
      <c r="AK104">
        <v>6123923</v>
      </c>
    </row>
    <row r="105" spans="1:37" x14ac:dyDescent="0.25">
      <c r="A105" s="1">
        <v>46036</v>
      </c>
      <c r="B105" s="1">
        <v>46036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351</v>
      </c>
      <c r="J105" t="s">
        <v>352</v>
      </c>
      <c r="M105" t="s">
        <v>350</v>
      </c>
      <c r="O105" t="s">
        <v>85</v>
      </c>
      <c r="P105" t="s">
        <v>86</v>
      </c>
      <c r="Q105" t="s">
        <v>49</v>
      </c>
      <c r="R105" t="s">
        <v>58</v>
      </c>
      <c r="S105" s="1">
        <v>46054</v>
      </c>
      <c r="U105" t="s">
        <v>51</v>
      </c>
      <c r="X105" t="s">
        <v>52</v>
      </c>
      <c r="Y105" s="2">
        <v>0</v>
      </c>
      <c r="Z105" s="2">
        <v>175</v>
      </c>
      <c r="AA105">
        <v>1</v>
      </c>
      <c r="AB105" s="3">
        <v>1</v>
      </c>
      <c r="AC105" s="2">
        <v>175</v>
      </c>
      <c r="AD105" s="3">
        <v>0</v>
      </c>
      <c r="AE105" s="2">
        <v>0</v>
      </c>
      <c r="AF105" s="2">
        <v>175</v>
      </c>
      <c r="AK105">
        <v>6123924</v>
      </c>
    </row>
    <row r="106" spans="1:37" x14ac:dyDescent="0.25">
      <c r="A106" s="1">
        <v>46036</v>
      </c>
      <c r="B106" s="1">
        <v>46036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353</v>
      </c>
      <c r="J106" t="s">
        <v>354</v>
      </c>
      <c r="M106" t="s">
        <v>55</v>
      </c>
      <c r="O106" t="s">
        <v>306</v>
      </c>
      <c r="P106" t="s">
        <v>307</v>
      </c>
      <c r="Q106" t="s">
        <v>49</v>
      </c>
      <c r="R106" t="s">
        <v>58</v>
      </c>
      <c r="S106" s="1">
        <v>46054</v>
      </c>
      <c r="U106" t="s">
        <v>51</v>
      </c>
      <c r="X106" t="s">
        <v>52</v>
      </c>
      <c r="Y106" s="2">
        <v>0</v>
      </c>
      <c r="Z106" s="2">
        <v>175</v>
      </c>
      <c r="AA106">
        <v>1</v>
      </c>
      <c r="AB106" s="3">
        <v>1</v>
      </c>
      <c r="AC106" s="2">
        <v>175</v>
      </c>
      <c r="AD106" s="3">
        <v>0</v>
      </c>
      <c r="AE106" s="2">
        <v>0</v>
      </c>
      <c r="AF106" s="2">
        <v>175</v>
      </c>
      <c r="AK106">
        <v>6123925</v>
      </c>
    </row>
    <row r="107" spans="1:37" x14ac:dyDescent="0.25">
      <c r="A107" s="1">
        <v>46036</v>
      </c>
      <c r="B107" s="1">
        <v>46036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355</v>
      </c>
      <c r="J107" t="s">
        <v>356</v>
      </c>
      <c r="M107" t="s">
        <v>55</v>
      </c>
      <c r="O107" t="s">
        <v>357</v>
      </c>
      <c r="P107" t="s">
        <v>358</v>
      </c>
      <c r="Q107" t="s">
        <v>49</v>
      </c>
      <c r="R107" t="s">
        <v>58</v>
      </c>
      <c r="S107" s="1">
        <v>46054</v>
      </c>
      <c r="U107" t="s">
        <v>51</v>
      </c>
      <c r="X107" t="s">
        <v>52</v>
      </c>
      <c r="Y107" s="2">
        <v>0</v>
      </c>
      <c r="Z107" s="2">
        <v>175</v>
      </c>
      <c r="AA107">
        <v>1</v>
      </c>
      <c r="AB107" s="3">
        <v>1</v>
      </c>
      <c r="AC107" s="2">
        <v>175</v>
      </c>
      <c r="AD107" s="3">
        <v>0</v>
      </c>
      <c r="AE107" s="2">
        <v>0</v>
      </c>
      <c r="AF107" s="2">
        <v>175</v>
      </c>
      <c r="AK107">
        <v>6123926</v>
      </c>
    </row>
    <row r="108" spans="1:37" x14ac:dyDescent="0.25">
      <c r="A108" s="1">
        <v>46036</v>
      </c>
      <c r="B108" s="1">
        <v>46036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359</v>
      </c>
      <c r="J108" t="s">
        <v>360</v>
      </c>
      <c r="M108" t="s">
        <v>55</v>
      </c>
      <c r="O108" t="s">
        <v>306</v>
      </c>
      <c r="P108" t="s">
        <v>307</v>
      </c>
      <c r="Q108" t="s">
        <v>49</v>
      </c>
      <c r="R108" t="s">
        <v>58</v>
      </c>
      <c r="S108" s="1">
        <v>46082</v>
      </c>
      <c r="U108" t="s">
        <v>51</v>
      </c>
      <c r="X108" t="s">
        <v>52</v>
      </c>
      <c r="Y108" s="2">
        <v>0</v>
      </c>
      <c r="Z108" s="2">
        <v>175</v>
      </c>
      <c r="AA108">
        <v>1</v>
      </c>
      <c r="AB108" s="3">
        <v>1</v>
      </c>
      <c r="AC108" s="2">
        <v>175</v>
      </c>
      <c r="AD108" s="3">
        <v>0</v>
      </c>
      <c r="AE108" s="2">
        <v>0</v>
      </c>
      <c r="AF108" s="2">
        <v>175</v>
      </c>
      <c r="AK108">
        <v>6123927</v>
      </c>
    </row>
    <row r="109" spans="1:37" x14ac:dyDescent="0.25">
      <c r="A109" s="1">
        <v>46036</v>
      </c>
      <c r="B109" s="1">
        <v>46036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361</v>
      </c>
      <c r="J109" t="s">
        <v>362</v>
      </c>
      <c r="M109" t="s">
        <v>55</v>
      </c>
      <c r="O109" t="s">
        <v>56</v>
      </c>
      <c r="P109" t="s">
        <v>57</v>
      </c>
      <c r="Q109" t="s">
        <v>49</v>
      </c>
      <c r="R109" t="s">
        <v>58</v>
      </c>
      <c r="S109" s="1">
        <v>46054</v>
      </c>
      <c r="U109" t="s">
        <v>51</v>
      </c>
      <c r="X109" t="s">
        <v>52</v>
      </c>
      <c r="Y109" s="2">
        <v>0</v>
      </c>
      <c r="Z109" s="2">
        <v>175</v>
      </c>
      <c r="AA109">
        <v>1</v>
      </c>
      <c r="AB109" s="3">
        <v>1</v>
      </c>
      <c r="AC109" s="2">
        <v>175</v>
      </c>
      <c r="AD109" s="3">
        <v>0</v>
      </c>
      <c r="AE109" s="2">
        <v>0</v>
      </c>
      <c r="AF109" s="2">
        <v>175</v>
      </c>
      <c r="AK109">
        <v>6123928</v>
      </c>
    </row>
    <row r="110" spans="1:37" x14ac:dyDescent="0.25">
      <c r="A110" s="1">
        <v>46036</v>
      </c>
      <c r="B110" s="1">
        <v>46036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363</v>
      </c>
      <c r="J110" t="s">
        <v>364</v>
      </c>
      <c r="M110" t="s">
        <v>55</v>
      </c>
      <c r="O110" t="s">
        <v>306</v>
      </c>
      <c r="P110" t="s">
        <v>307</v>
      </c>
      <c r="Q110" t="s">
        <v>49</v>
      </c>
      <c r="R110" t="s">
        <v>58</v>
      </c>
      <c r="S110" s="1">
        <v>46054</v>
      </c>
      <c r="U110" t="s">
        <v>51</v>
      </c>
      <c r="X110" t="s">
        <v>52</v>
      </c>
      <c r="Y110" s="2">
        <v>0</v>
      </c>
      <c r="Z110" s="2">
        <v>175</v>
      </c>
      <c r="AA110">
        <v>1</v>
      </c>
      <c r="AB110" s="3">
        <v>1</v>
      </c>
      <c r="AC110" s="2">
        <v>175</v>
      </c>
      <c r="AD110" s="3">
        <v>0</v>
      </c>
      <c r="AE110" s="2">
        <v>0</v>
      </c>
      <c r="AF110" s="2">
        <v>175</v>
      </c>
      <c r="AK110">
        <v>6123929</v>
      </c>
    </row>
    <row r="111" spans="1:37" x14ac:dyDescent="0.25">
      <c r="A111" s="1">
        <v>46036</v>
      </c>
      <c r="B111" s="1">
        <v>46036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365</v>
      </c>
      <c r="J111" t="s">
        <v>366</v>
      </c>
      <c r="M111" t="s">
        <v>125</v>
      </c>
      <c r="O111" t="s">
        <v>62</v>
      </c>
      <c r="P111" t="s">
        <v>63</v>
      </c>
      <c r="Q111" t="s">
        <v>49</v>
      </c>
      <c r="R111" t="s">
        <v>367</v>
      </c>
      <c r="S111" s="1">
        <v>46023</v>
      </c>
      <c r="U111" t="s">
        <v>51</v>
      </c>
      <c r="X111" t="s">
        <v>52</v>
      </c>
      <c r="Y111" s="2">
        <v>0</v>
      </c>
      <c r="Z111" s="2">
        <v>25</v>
      </c>
      <c r="AA111">
        <v>1</v>
      </c>
      <c r="AB111" s="3">
        <v>1</v>
      </c>
      <c r="AC111" s="2">
        <v>25</v>
      </c>
      <c r="AD111" s="3">
        <v>0</v>
      </c>
      <c r="AE111" s="2">
        <v>0</v>
      </c>
      <c r="AF111" s="2">
        <v>25</v>
      </c>
      <c r="AK111">
        <v>6123514</v>
      </c>
    </row>
    <row r="112" spans="1:37" x14ac:dyDescent="0.25">
      <c r="A112" s="1">
        <v>46036</v>
      </c>
      <c r="B112" s="1">
        <v>46036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368</v>
      </c>
      <c r="J112" t="s">
        <v>369</v>
      </c>
      <c r="M112" t="s">
        <v>55</v>
      </c>
      <c r="O112" t="s">
        <v>322</v>
      </c>
      <c r="P112" t="s">
        <v>323</v>
      </c>
      <c r="Q112" t="s">
        <v>49</v>
      </c>
      <c r="R112" t="s">
        <v>367</v>
      </c>
      <c r="S112" s="1">
        <v>46023</v>
      </c>
      <c r="U112" t="s">
        <v>51</v>
      </c>
      <c r="X112" t="s">
        <v>52</v>
      </c>
      <c r="Y112" s="2">
        <v>0</v>
      </c>
      <c r="Z112" s="2">
        <v>25</v>
      </c>
      <c r="AA112">
        <v>1</v>
      </c>
      <c r="AB112" s="3">
        <v>1</v>
      </c>
      <c r="AC112" s="2">
        <v>25</v>
      </c>
      <c r="AD112" s="3">
        <v>0</v>
      </c>
      <c r="AE112" s="2">
        <v>0</v>
      </c>
      <c r="AF112" s="2">
        <v>25</v>
      </c>
      <c r="AK112">
        <v>6123501</v>
      </c>
    </row>
    <row r="113" spans="1:38" x14ac:dyDescent="0.25">
      <c r="A113" s="1">
        <v>46036</v>
      </c>
      <c r="B113" s="1">
        <v>46036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370</v>
      </c>
      <c r="J113" t="s">
        <v>371</v>
      </c>
      <c r="M113" t="s">
        <v>120</v>
      </c>
      <c r="O113" t="s">
        <v>121</v>
      </c>
      <c r="P113" t="s">
        <v>122</v>
      </c>
      <c r="Q113" t="s">
        <v>49</v>
      </c>
      <c r="R113" t="s">
        <v>367</v>
      </c>
      <c r="S113" s="1">
        <v>46023</v>
      </c>
      <c r="U113" t="s">
        <v>51</v>
      </c>
      <c r="X113" t="s">
        <v>52</v>
      </c>
      <c r="Y113" s="2">
        <v>0</v>
      </c>
      <c r="Z113" s="2">
        <v>25</v>
      </c>
      <c r="AA113">
        <v>1</v>
      </c>
      <c r="AB113" s="3">
        <v>1</v>
      </c>
      <c r="AC113" s="2">
        <v>25</v>
      </c>
      <c r="AD113" s="3">
        <v>0</v>
      </c>
      <c r="AE113" s="2">
        <v>0</v>
      </c>
      <c r="AF113" s="2">
        <v>25</v>
      </c>
      <c r="AK113">
        <v>6123524</v>
      </c>
    </row>
    <row r="114" spans="1:38" x14ac:dyDescent="0.25">
      <c r="A114" s="1">
        <v>46036</v>
      </c>
      <c r="B114" s="1">
        <v>46036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372</v>
      </c>
      <c r="J114" t="s">
        <v>373</v>
      </c>
      <c r="M114" t="s">
        <v>66</v>
      </c>
      <c r="O114" t="s">
        <v>91</v>
      </c>
      <c r="P114" t="s">
        <v>92</v>
      </c>
      <c r="Q114" t="s">
        <v>49</v>
      </c>
      <c r="R114" t="s">
        <v>367</v>
      </c>
      <c r="S114" s="1">
        <v>46023</v>
      </c>
      <c r="U114" t="s">
        <v>51</v>
      </c>
      <c r="X114" t="s">
        <v>52</v>
      </c>
      <c r="Y114" s="2">
        <v>0</v>
      </c>
      <c r="Z114" s="2">
        <v>25</v>
      </c>
      <c r="AA114">
        <v>1</v>
      </c>
      <c r="AB114" s="3">
        <v>1</v>
      </c>
      <c r="AC114" s="2">
        <v>25</v>
      </c>
      <c r="AD114" s="3">
        <v>0</v>
      </c>
      <c r="AE114" s="2">
        <v>0</v>
      </c>
      <c r="AF114" s="2">
        <v>25</v>
      </c>
      <c r="AK114">
        <v>6123474</v>
      </c>
    </row>
    <row r="115" spans="1:38" x14ac:dyDescent="0.25">
      <c r="A115" s="1">
        <v>46036</v>
      </c>
      <c r="B115" s="1">
        <v>46036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374</v>
      </c>
      <c r="J115" t="s">
        <v>375</v>
      </c>
      <c r="M115" t="s">
        <v>376</v>
      </c>
      <c r="O115" t="s">
        <v>377</v>
      </c>
      <c r="P115" t="s">
        <v>378</v>
      </c>
      <c r="Q115" t="s">
        <v>49</v>
      </c>
      <c r="R115" t="s">
        <v>367</v>
      </c>
      <c r="S115" s="1">
        <v>46023</v>
      </c>
      <c r="U115" t="s">
        <v>51</v>
      </c>
      <c r="X115" t="s">
        <v>52</v>
      </c>
      <c r="Y115" s="2">
        <v>0</v>
      </c>
      <c r="Z115" s="2">
        <v>25</v>
      </c>
      <c r="AA115">
        <v>1</v>
      </c>
      <c r="AB115" s="3">
        <v>1</v>
      </c>
      <c r="AC115" s="2">
        <v>25</v>
      </c>
      <c r="AD115" s="3">
        <v>0</v>
      </c>
      <c r="AE115" s="2">
        <v>0</v>
      </c>
      <c r="AF115" s="2">
        <v>25</v>
      </c>
      <c r="AK115">
        <v>6123498</v>
      </c>
    </row>
    <row r="116" spans="1:38" x14ac:dyDescent="0.25">
      <c r="A116" s="1">
        <v>46036</v>
      </c>
      <c r="B116" s="1">
        <v>46036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379</v>
      </c>
      <c r="J116" t="s">
        <v>380</v>
      </c>
      <c r="M116" t="s">
        <v>120</v>
      </c>
      <c r="O116" t="s">
        <v>381</v>
      </c>
      <c r="P116" t="s">
        <v>382</v>
      </c>
      <c r="Q116" t="s">
        <v>49</v>
      </c>
      <c r="R116" t="s">
        <v>367</v>
      </c>
      <c r="S116" s="1">
        <v>46023</v>
      </c>
      <c r="U116" t="s">
        <v>51</v>
      </c>
      <c r="X116" t="s">
        <v>52</v>
      </c>
      <c r="Y116" s="2">
        <v>0</v>
      </c>
      <c r="Z116" s="2">
        <v>25</v>
      </c>
      <c r="AA116">
        <v>1</v>
      </c>
      <c r="AB116" s="3">
        <v>1</v>
      </c>
      <c r="AC116" s="2">
        <v>25</v>
      </c>
      <c r="AD116" s="3">
        <v>0</v>
      </c>
      <c r="AE116" s="2">
        <v>0</v>
      </c>
      <c r="AF116" s="2">
        <v>25</v>
      </c>
      <c r="AK116">
        <v>6123515</v>
      </c>
    </row>
    <row r="117" spans="1:38" x14ac:dyDescent="0.25">
      <c r="A117" s="1">
        <v>46036</v>
      </c>
      <c r="B117" s="1">
        <v>46036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383</v>
      </c>
      <c r="J117" t="s">
        <v>384</v>
      </c>
      <c r="M117" t="s">
        <v>66</v>
      </c>
      <c r="O117" t="s">
        <v>196</v>
      </c>
      <c r="P117" t="s">
        <v>197</v>
      </c>
      <c r="Q117" t="s">
        <v>49</v>
      </c>
      <c r="R117" t="s">
        <v>385</v>
      </c>
      <c r="S117" s="1">
        <v>46054</v>
      </c>
      <c r="U117" t="s">
        <v>51</v>
      </c>
      <c r="X117" t="s">
        <v>52</v>
      </c>
      <c r="Y117" s="2">
        <v>0</v>
      </c>
      <c r="Z117" s="2">
        <v>22.92</v>
      </c>
      <c r="AA117">
        <v>1</v>
      </c>
      <c r="AB117" s="3">
        <v>1</v>
      </c>
      <c r="AC117" s="2">
        <v>22.92</v>
      </c>
      <c r="AD117" s="3">
        <v>0</v>
      </c>
      <c r="AE117" s="2">
        <v>0</v>
      </c>
      <c r="AF117" s="2">
        <v>22.92</v>
      </c>
      <c r="AK117">
        <v>6123472</v>
      </c>
      <c r="AL117" t="s">
        <v>386</v>
      </c>
    </row>
    <row r="118" spans="1:38" x14ac:dyDescent="0.25">
      <c r="A118" s="1">
        <v>46036</v>
      </c>
      <c r="B118" s="1">
        <v>46036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387</v>
      </c>
      <c r="J118" t="s">
        <v>388</v>
      </c>
      <c r="M118" t="s">
        <v>55</v>
      </c>
      <c r="O118" t="s">
        <v>389</v>
      </c>
      <c r="P118" t="s">
        <v>390</v>
      </c>
      <c r="Q118" t="s">
        <v>49</v>
      </c>
      <c r="R118" t="s">
        <v>385</v>
      </c>
      <c r="S118" s="1">
        <v>46054</v>
      </c>
      <c r="U118" t="s">
        <v>51</v>
      </c>
      <c r="X118" t="s">
        <v>52</v>
      </c>
      <c r="Y118" s="2">
        <v>0</v>
      </c>
      <c r="Z118" s="2">
        <v>22.92</v>
      </c>
      <c r="AA118">
        <v>1</v>
      </c>
      <c r="AB118" s="3">
        <v>1</v>
      </c>
      <c r="AC118" s="2">
        <v>22.92</v>
      </c>
      <c r="AD118" s="3">
        <v>0</v>
      </c>
      <c r="AE118" s="2">
        <v>0</v>
      </c>
      <c r="AF118" s="2">
        <v>22.92</v>
      </c>
      <c r="AK118">
        <v>6123516</v>
      </c>
      <c r="AL118" t="s">
        <v>386</v>
      </c>
    </row>
    <row r="119" spans="1:38" x14ac:dyDescent="0.25">
      <c r="A119" s="1">
        <v>46036</v>
      </c>
      <c r="B119" s="1">
        <v>46036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391</v>
      </c>
      <c r="J119" t="s">
        <v>392</v>
      </c>
      <c r="M119" t="s">
        <v>66</v>
      </c>
      <c r="O119" t="s">
        <v>196</v>
      </c>
      <c r="P119" t="s">
        <v>197</v>
      </c>
      <c r="Q119" t="s">
        <v>49</v>
      </c>
      <c r="R119" t="s">
        <v>367</v>
      </c>
      <c r="S119" s="1">
        <v>46023</v>
      </c>
      <c r="U119" t="s">
        <v>51</v>
      </c>
      <c r="X119" t="s">
        <v>52</v>
      </c>
      <c r="Y119" s="2">
        <v>0</v>
      </c>
      <c r="Z119" s="2">
        <v>25</v>
      </c>
      <c r="AA119">
        <v>1</v>
      </c>
      <c r="AB119" s="3">
        <v>1</v>
      </c>
      <c r="AC119" s="2">
        <v>25</v>
      </c>
      <c r="AD119" s="3">
        <v>0</v>
      </c>
      <c r="AE119" s="2">
        <v>0</v>
      </c>
      <c r="AF119" s="2">
        <v>25</v>
      </c>
      <c r="AK119">
        <v>6123525</v>
      </c>
    </row>
    <row r="120" spans="1:38" x14ac:dyDescent="0.25">
      <c r="A120" s="1">
        <v>46036</v>
      </c>
      <c r="B120" s="1">
        <v>46036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393</v>
      </c>
      <c r="J120" t="s">
        <v>394</v>
      </c>
      <c r="M120" t="s">
        <v>66</v>
      </c>
      <c r="O120" t="s">
        <v>91</v>
      </c>
      <c r="P120" t="s">
        <v>92</v>
      </c>
      <c r="Q120" t="s">
        <v>49</v>
      </c>
      <c r="R120" t="s">
        <v>367</v>
      </c>
      <c r="S120" s="1">
        <v>46023</v>
      </c>
      <c r="U120" t="s">
        <v>51</v>
      </c>
      <c r="X120" t="s">
        <v>52</v>
      </c>
      <c r="Y120" s="2">
        <v>0</v>
      </c>
      <c r="Z120" s="2">
        <v>25</v>
      </c>
      <c r="AA120">
        <v>1</v>
      </c>
      <c r="AB120" s="3">
        <v>1</v>
      </c>
      <c r="AC120" s="2">
        <v>25</v>
      </c>
      <c r="AD120" s="3">
        <v>0</v>
      </c>
      <c r="AE120" s="2">
        <v>0</v>
      </c>
      <c r="AF120" s="2">
        <v>25</v>
      </c>
      <c r="AK120">
        <v>6123505</v>
      </c>
    </row>
    <row r="121" spans="1:38" x14ac:dyDescent="0.25">
      <c r="A121" s="1">
        <v>46036</v>
      </c>
      <c r="B121" s="1">
        <v>46036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395</v>
      </c>
      <c r="J121" t="s">
        <v>396</v>
      </c>
      <c r="M121" t="s">
        <v>66</v>
      </c>
      <c r="O121" t="s">
        <v>397</v>
      </c>
      <c r="P121" t="s">
        <v>398</v>
      </c>
      <c r="Q121" t="s">
        <v>49</v>
      </c>
      <c r="R121" t="s">
        <v>399</v>
      </c>
      <c r="S121" s="1">
        <v>46023</v>
      </c>
      <c r="U121" t="s">
        <v>51</v>
      </c>
      <c r="X121" t="s">
        <v>52</v>
      </c>
      <c r="Y121" s="2">
        <v>0</v>
      </c>
      <c r="Z121" s="2">
        <v>15</v>
      </c>
      <c r="AA121">
        <v>1</v>
      </c>
      <c r="AB121" s="3">
        <v>1</v>
      </c>
      <c r="AC121" s="2">
        <v>15</v>
      </c>
      <c r="AD121" s="3">
        <v>0</v>
      </c>
      <c r="AE121" s="2">
        <v>0</v>
      </c>
      <c r="AF121" s="2">
        <v>15</v>
      </c>
      <c r="AK121">
        <v>6123481</v>
      </c>
    </row>
    <row r="122" spans="1:38" x14ac:dyDescent="0.25">
      <c r="A122" s="1">
        <v>46036</v>
      </c>
      <c r="B122" s="1">
        <v>46036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400</v>
      </c>
      <c r="J122" t="s">
        <v>401</v>
      </c>
      <c r="M122" t="s">
        <v>402</v>
      </c>
      <c r="O122" t="s">
        <v>403</v>
      </c>
      <c r="P122" t="s">
        <v>404</v>
      </c>
      <c r="Q122" t="s">
        <v>49</v>
      </c>
      <c r="R122" t="s">
        <v>367</v>
      </c>
      <c r="S122" s="1">
        <v>46023</v>
      </c>
      <c r="U122" t="s">
        <v>51</v>
      </c>
      <c r="X122" t="s">
        <v>52</v>
      </c>
      <c r="Y122" s="2">
        <v>0</v>
      </c>
      <c r="Z122" s="2">
        <v>25</v>
      </c>
      <c r="AA122">
        <v>1</v>
      </c>
      <c r="AB122" s="3">
        <v>1</v>
      </c>
      <c r="AC122" s="2">
        <v>25</v>
      </c>
      <c r="AD122" s="3">
        <v>0</v>
      </c>
      <c r="AE122" s="2">
        <v>0</v>
      </c>
      <c r="AF122" s="2">
        <v>25</v>
      </c>
      <c r="AK122">
        <v>6123555</v>
      </c>
    </row>
    <row r="123" spans="1:38" x14ac:dyDescent="0.25">
      <c r="A123" s="1">
        <v>46036</v>
      </c>
      <c r="B123" s="1">
        <v>46036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405</v>
      </c>
      <c r="J123" t="s">
        <v>406</v>
      </c>
      <c r="M123" t="s">
        <v>120</v>
      </c>
      <c r="O123" t="s">
        <v>121</v>
      </c>
      <c r="P123" t="s">
        <v>122</v>
      </c>
      <c r="Q123" t="s">
        <v>49</v>
      </c>
      <c r="R123" t="s">
        <v>367</v>
      </c>
      <c r="S123" s="1">
        <v>46023</v>
      </c>
      <c r="U123" t="s">
        <v>51</v>
      </c>
      <c r="X123" t="s">
        <v>52</v>
      </c>
      <c r="Y123" s="2">
        <v>0</v>
      </c>
      <c r="Z123" s="2">
        <v>25</v>
      </c>
      <c r="AA123">
        <v>1</v>
      </c>
      <c r="AB123" s="3">
        <v>1</v>
      </c>
      <c r="AC123" s="2">
        <v>25</v>
      </c>
      <c r="AD123" s="3">
        <v>0</v>
      </c>
      <c r="AE123" s="2">
        <v>0</v>
      </c>
      <c r="AF123" s="2">
        <v>25</v>
      </c>
      <c r="AK123">
        <v>6123490</v>
      </c>
    </row>
    <row r="124" spans="1:38" x14ac:dyDescent="0.25">
      <c r="A124" s="1">
        <v>46036</v>
      </c>
      <c r="B124" s="1">
        <v>46036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407</v>
      </c>
      <c r="J124" t="s">
        <v>408</v>
      </c>
      <c r="M124" t="s">
        <v>402</v>
      </c>
      <c r="O124" t="s">
        <v>403</v>
      </c>
      <c r="P124" t="s">
        <v>404</v>
      </c>
      <c r="Q124" t="s">
        <v>49</v>
      </c>
      <c r="R124" t="s">
        <v>367</v>
      </c>
      <c r="S124" s="1">
        <v>46023</v>
      </c>
      <c r="U124" t="s">
        <v>51</v>
      </c>
      <c r="X124" t="s">
        <v>52</v>
      </c>
      <c r="Y124" s="2">
        <v>0</v>
      </c>
      <c r="Z124" s="2">
        <v>25</v>
      </c>
      <c r="AA124">
        <v>1</v>
      </c>
      <c r="AB124" s="3">
        <v>1</v>
      </c>
      <c r="AC124" s="2">
        <v>25</v>
      </c>
      <c r="AD124" s="3">
        <v>0</v>
      </c>
      <c r="AE124" s="2">
        <v>0</v>
      </c>
      <c r="AF124" s="2">
        <v>25</v>
      </c>
      <c r="AK124">
        <v>6123556</v>
      </c>
    </row>
    <row r="125" spans="1:38" x14ac:dyDescent="0.25">
      <c r="A125" s="1">
        <v>46036</v>
      </c>
      <c r="B125" s="1">
        <v>46036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409</v>
      </c>
      <c r="J125" t="s">
        <v>410</v>
      </c>
      <c r="M125" t="s">
        <v>120</v>
      </c>
      <c r="O125" t="s">
        <v>121</v>
      </c>
      <c r="P125" t="s">
        <v>122</v>
      </c>
      <c r="Q125" t="s">
        <v>49</v>
      </c>
      <c r="R125" t="s">
        <v>367</v>
      </c>
      <c r="S125" s="1">
        <v>46023</v>
      </c>
      <c r="U125" t="s">
        <v>51</v>
      </c>
      <c r="X125" t="s">
        <v>52</v>
      </c>
      <c r="Y125" s="2">
        <v>0</v>
      </c>
      <c r="Z125" s="2">
        <v>25</v>
      </c>
      <c r="AA125">
        <v>1</v>
      </c>
      <c r="AB125" s="3">
        <v>1</v>
      </c>
      <c r="AC125" s="2">
        <v>25</v>
      </c>
      <c r="AD125" s="3">
        <v>0</v>
      </c>
      <c r="AE125" s="2">
        <v>0</v>
      </c>
      <c r="AF125" s="2">
        <v>25</v>
      </c>
      <c r="AK125">
        <v>6123491</v>
      </c>
    </row>
    <row r="126" spans="1:38" x14ac:dyDescent="0.25">
      <c r="A126" s="1">
        <v>46036</v>
      </c>
      <c r="B126" s="1">
        <v>46036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411</v>
      </c>
      <c r="J126" t="s">
        <v>412</v>
      </c>
      <c r="M126" t="s">
        <v>66</v>
      </c>
      <c r="O126" t="s">
        <v>397</v>
      </c>
      <c r="P126" t="s">
        <v>398</v>
      </c>
      <c r="Q126" t="s">
        <v>49</v>
      </c>
      <c r="R126" t="s">
        <v>399</v>
      </c>
      <c r="S126" s="1">
        <v>46023</v>
      </c>
      <c r="U126" t="s">
        <v>51</v>
      </c>
      <c r="X126" t="s">
        <v>52</v>
      </c>
      <c r="Y126" s="2">
        <v>0</v>
      </c>
      <c r="Z126" s="2">
        <v>15</v>
      </c>
      <c r="AA126">
        <v>1</v>
      </c>
      <c r="AB126" s="3">
        <v>1</v>
      </c>
      <c r="AC126" s="2">
        <v>15</v>
      </c>
      <c r="AD126" s="3">
        <v>0</v>
      </c>
      <c r="AE126" s="2">
        <v>0</v>
      </c>
      <c r="AF126" s="2">
        <v>15</v>
      </c>
      <c r="AK126">
        <v>6123494</v>
      </c>
    </row>
    <row r="127" spans="1:38" x14ac:dyDescent="0.25">
      <c r="A127" s="1">
        <v>46036</v>
      </c>
      <c r="B127" s="1">
        <v>46036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413</v>
      </c>
      <c r="J127" t="s">
        <v>414</v>
      </c>
      <c r="M127" t="s">
        <v>141</v>
      </c>
      <c r="O127" t="s">
        <v>246</v>
      </c>
      <c r="P127" t="s">
        <v>247</v>
      </c>
      <c r="Q127" t="s">
        <v>49</v>
      </c>
      <c r="R127" t="s">
        <v>367</v>
      </c>
      <c r="S127" s="1">
        <v>46023</v>
      </c>
      <c r="U127" t="s">
        <v>51</v>
      </c>
      <c r="X127" t="s">
        <v>52</v>
      </c>
      <c r="Y127" s="2">
        <v>0</v>
      </c>
      <c r="Z127" s="2">
        <v>25</v>
      </c>
      <c r="AA127">
        <v>1</v>
      </c>
      <c r="AB127" s="3">
        <v>1</v>
      </c>
      <c r="AC127" s="2">
        <v>25</v>
      </c>
      <c r="AD127" s="3">
        <v>0</v>
      </c>
      <c r="AE127" s="2">
        <v>0</v>
      </c>
      <c r="AF127" s="2">
        <v>25</v>
      </c>
      <c r="AK127">
        <v>6123531</v>
      </c>
    </row>
    <row r="128" spans="1:38" x14ac:dyDescent="0.25">
      <c r="A128" s="1">
        <v>46036</v>
      </c>
      <c r="B128" s="1">
        <v>46036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415</v>
      </c>
      <c r="J128" t="s">
        <v>416</v>
      </c>
      <c r="M128" t="s">
        <v>66</v>
      </c>
      <c r="O128" t="s">
        <v>91</v>
      </c>
      <c r="P128" t="s">
        <v>92</v>
      </c>
      <c r="Q128" t="s">
        <v>49</v>
      </c>
      <c r="R128" t="s">
        <v>367</v>
      </c>
      <c r="S128" s="1">
        <v>46023</v>
      </c>
      <c r="U128" t="s">
        <v>51</v>
      </c>
      <c r="X128" t="s">
        <v>52</v>
      </c>
      <c r="Y128" s="2">
        <v>0</v>
      </c>
      <c r="Z128" s="2">
        <v>25</v>
      </c>
      <c r="AA128">
        <v>1</v>
      </c>
      <c r="AB128" s="3">
        <v>1</v>
      </c>
      <c r="AC128" s="2">
        <v>25</v>
      </c>
      <c r="AD128" s="3">
        <v>0</v>
      </c>
      <c r="AE128" s="2">
        <v>0</v>
      </c>
      <c r="AF128" s="2">
        <v>25</v>
      </c>
      <c r="AK128">
        <v>6123521</v>
      </c>
    </row>
    <row r="129" spans="1:38" x14ac:dyDescent="0.25">
      <c r="A129" s="1">
        <v>46036</v>
      </c>
      <c r="B129" s="1">
        <v>46036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417</v>
      </c>
      <c r="J129" t="s">
        <v>418</v>
      </c>
      <c r="M129" t="s">
        <v>66</v>
      </c>
      <c r="O129" t="s">
        <v>91</v>
      </c>
      <c r="P129" t="s">
        <v>92</v>
      </c>
      <c r="Q129" t="s">
        <v>49</v>
      </c>
      <c r="R129" t="s">
        <v>385</v>
      </c>
      <c r="S129" s="1">
        <v>46054</v>
      </c>
      <c r="U129" t="s">
        <v>51</v>
      </c>
      <c r="X129" t="s">
        <v>52</v>
      </c>
      <c r="Y129" s="2">
        <v>0</v>
      </c>
      <c r="Z129" s="2">
        <v>22.92</v>
      </c>
      <c r="AA129">
        <v>1</v>
      </c>
      <c r="AB129" s="3">
        <v>1</v>
      </c>
      <c r="AC129" s="2">
        <v>22.92</v>
      </c>
      <c r="AD129" s="3">
        <v>0</v>
      </c>
      <c r="AE129" s="2">
        <v>0</v>
      </c>
      <c r="AF129" s="2">
        <v>22.92</v>
      </c>
      <c r="AK129">
        <v>6123476</v>
      </c>
      <c r="AL129" t="s">
        <v>386</v>
      </c>
    </row>
    <row r="130" spans="1:38" x14ac:dyDescent="0.25">
      <c r="A130" s="1">
        <v>46036</v>
      </c>
      <c r="B130" s="1">
        <v>46036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419</v>
      </c>
      <c r="J130" t="s">
        <v>420</v>
      </c>
      <c r="M130" t="s">
        <v>66</v>
      </c>
      <c r="O130" t="s">
        <v>91</v>
      </c>
      <c r="P130" t="s">
        <v>92</v>
      </c>
      <c r="Q130" t="s">
        <v>49</v>
      </c>
      <c r="R130" t="s">
        <v>367</v>
      </c>
      <c r="S130" s="1">
        <v>46023</v>
      </c>
      <c r="U130" t="s">
        <v>51</v>
      </c>
      <c r="X130" t="s">
        <v>52</v>
      </c>
      <c r="Y130" s="2">
        <v>0</v>
      </c>
      <c r="Z130" s="2">
        <v>25</v>
      </c>
      <c r="AA130">
        <v>1</v>
      </c>
      <c r="AB130" s="3">
        <v>1</v>
      </c>
      <c r="AC130" s="2">
        <v>25</v>
      </c>
      <c r="AD130" s="3">
        <v>0</v>
      </c>
      <c r="AE130" s="2">
        <v>0</v>
      </c>
      <c r="AF130" s="2">
        <v>25</v>
      </c>
      <c r="AK130">
        <v>6123477</v>
      </c>
    </row>
    <row r="131" spans="1:38" x14ac:dyDescent="0.25">
      <c r="A131" s="1">
        <v>46036</v>
      </c>
      <c r="B131" s="1">
        <v>46036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421</v>
      </c>
      <c r="J131" t="s">
        <v>422</v>
      </c>
      <c r="M131" t="s">
        <v>55</v>
      </c>
      <c r="O131" t="s">
        <v>228</v>
      </c>
      <c r="P131" t="s">
        <v>229</v>
      </c>
      <c r="Q131" t="s">
        <v>49</v>
      </c>
      <c r="R131" t="s">
        <v>385</v>
      </c>
      <c r="S131" s="1">
        <v>46054</v>
      </c>
      <c r="U131" t="s">
        <v>51</v>
      </c>
      <c r="X131" t="s">
        <v>52</v>
      </c>
      <c r="Y131" s="2">
        <v>0</v>
      </c>
      <c r="Z131" s="2">
        <v>22.92</v>
      </c>
      <c r="AA131">
        <v>1</v>
      </c>
      <c r="AB131" s="3">
        <v>1</v>
      </c>
      <c r="AC131" s="2">
        <v>22.92</v>
      </c>
      <c r="AD131" s="3">
        <v>0</v>
      </c>
      <c r="AE131" s="2">
        <v>0</v>
      </c>
      <c r="AF131" s="2">
        <v>22.92</v>
      </c>
      <c r="AK131">
        <v>6123518</v>
      </c>
      <c r="AL131" t="s">
        <v>386</v>
      </c>
    </row>
    <row r="132" spans="1:38" x14ac:dyDescent="0.25">
      <c r="A132" s="1">
        <v>46036</v>
      </c>
      <c r="B132" s="1">
        <v>46036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423</v>
      </c>
      <c r="J132" t="s">
        <v>424</v>
      </c>
      <c r="M132" t="s">
        <v>55</v>
      </c>
      <c r="O132" t="s">
        <v>47</v>
      </c>
      <c r="P132" t="s">
        <v>48</v>
      </c>
      <c r="Q132" t="s">
        <v>49</v>
      </c>
      <c r="R132" t="s">
        <v>367</v>
      </c>
      <c r="S132" s="1">
        <v>46023</v>
      </c>
      <c r="U132" t="s">
        <v>51</v>
      </c>
      <c r="X132" t="s">
        <v>52</v>
      </c>
      <c r="Y132" s="2">
        <v>0</v>
      </c>
      <c r="Z132" s="2">
        <v>25</v>
      </c>
      <c r="AA132">
        <v>1</v>
      </c>
      <c r="AB132" s="3">
        <v>1</v>
      </c>
      <c r="AC132" s="2">
        <v>25</v>
      </c>
      <c r="AD132" s="3">
        <v>0</v>
      </c>
      <c r="AE132" s="2">
        <v>0</v>
      </c>
      <c r="AF132" s="2">
        <v>25</v>
      </c>
      <c r="AK132">
        <v>6123543</v>
      </c>
    </row>
    <row r="133" spans="1:38" x14ac:dyDescent="0.25">
      <c r="A133" s="1">
        <v>46036</v>
      </c>
      <c r="B133" s="1">
        <v>46036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425</v>
      </c>
      <c r="J133" t="s">
        <v>426</v>
      </c>
      <c r="M133" t="s">
        <v>55</v>
      </c>
      <c r="O133" t="s">
        <v>228</v>
      </c>
      <c r="P133" t="s">
        <v>229</v>
      </c>
      <c r="Q133" t="s">
        <v>49</v>
      </c>
      <c r="R133" t="s">
        <v>367</v>
      </c>
      <c r="S133" s="1">
        <v>46023</v>
      </c>
      <c r="U133" t="s">
        <v>51</v>
      </c>
      <c r="X133" t="s">
        <v>52</v>
      </c>
      <c r="Y133" s="2">
        <v>0</v>
      </c>
      <c r="Z133" s="2">
        <v>25</v>
      </c>
      <c r="AA133">
        <v>1</v>
      </c>
      <c r="AB133" s="3">
        <v>1</v>
      </c>
      <c r="AC133" s="2">
        <v>25</v>
      </c>
      <c r="AD133" s="3">
        <v>0</v>
      </c>
      <c r="AE133" s="2">
        <v>0</v>
      </c>
      <c r="AF133" s="2">
        <v>25</v>
      </c>
      <c r="AK133">
        <v>6123554</v>
      </c>
    </row>
    <row r="134" spans="1:38" x14ac:dyDescent="0.25">
      <c r="A134" s="1">
        <v>46036</v>
      </c>
      <c r="B134" s="1">
        <v>46036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427</v>
      </c>
      <c r="J134" t="s">
        <v>428</v>
      </c>
      <c r="M134" t="s">
        <v>66</v>
      </c>
      <c r="O134" t="s">
        <v>238</v>
      </c>
      <c r="P134" t="s">
        <v>239</v>
      </c>
      <c r="Q134" t="s">
        <v>49</v>
      </c>
      <c r="R134" t="s">
        <v>367</v>
      </c>
      <c r="S134" s="1">
        <v>46023</v>
      </c>
      <c r="U134" t="s">
        <v>51</v>
      </c>
      <c r="X134" t="s">
        <v>52</v>
      </c>
      <c r="Y134" s="2">
        <v>0</v>
      </c>
      <c r="Z134" s="2">
        <v>25</v>
      </c>
      <c r="AA134">
        <v>1</v>
      </c>
      <c r="AB134" s="3">
        <v>1</v>
      </c>
      <c r="AC134" s="2">
        <v>25</v>
      </c>
      <c r="AD134" s="3">
        <v>0</v>
      </c>
      <c r="AE134" s="2">
        <v>0</v>
      </c>
      <c r="AF134" s="2">
        <v>25</v>
      </c>
      <c r="AK134">
        <v>6123506</v>
      </c>
    </row>
    <row r="135" spans="1:38" x14ac:dyDescent="0.25">
      <c r="A135" s="1">
        <v>46036</v>
      </c>
      <c r="B135" s="1">
        <v>46036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429</v>
      </c>
      <c r="J135" t="s">
        <v>430</v>
      </c>
      <c r="M135" t="s">
        <v>289</v>
      </c>
      <c r="O135" t="s">
        <v>431</v>
      </c>
      <c r="P135" t="s">
        <v>432</v>
      </c>
      <c r="Q135" t="s">
        <v>49</v>
      </c>
      <c r="R135" t="s">
        <v>433</v>
      </c>
      <c r="S135" s="1">
        <v>46023</v>
      </c>
      <c r="U135" t="s">
        <v>51</v>
      </c>
      <c r="X135" t="s">
        <v>52</v>
      </c>
      <c r="Y135" s="2">
        <v>0</v>
      </c>
      <c r="Z135" s="2">
        <v>694</v>
      </c>
      <c r="AA135">
        <v>1</v>
      </c>
      <c r="AB135" s="3">
        <v>1</v>
      </c>
      <c r="AC135" s="2">
        <v>694</v>
      </c>
      <c r="AD135" s="3">
        <v>0</v>
      </c>
      <c r="AE135" s="2">
        <v>0</v>
      </c>
      <c r="AF135" s="2">
        <v>694</v>
      </c>
      <c r="AK135">
        <v>6124220</v>
      </c>
    </row>
    <row r="136" spans="1:38" x14ac:dyDescent="0.25">
      <c r="A136" s="1">
        <v>46036</v>
      </c>
      <c r="B136" s="1">
        <v>46036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434</v>
      </c>
      <c r="J136" t="s">
        <v>435</v>
      </c>
      <c r="M136" t="s">
        <v>55</v>
      </c>
      <c r="O136" t="s">
        <v>436</v>
      </c>
      <c r="P136" t="s">
        <v>437</v>
      </c>
      <c r="Q136" t="s">
        <v>49</v>
      </c>
      <c r="R136" t="s">
        <v>438</v>
      </c>
      <c r="S136" s="1">
        <v>46023</v>
      </c>
      <c r="U136" t="s">
        <v>51</v>
      </c>
      <c r="X136" t="s">
        <v>52</v>
      </c>
      <c r="Y136" s="2">
        <v>0</v>
      </c>
      <c r="Z136" s="2">
        <v>694</v>
      </c>
      <c r="AA136">
        <v>1</v>
      </c>
      <c r="AB136" s="3">
        <v>1</v>
      </c>
      <c r="AC136" s="2">
        <v>694</v>
      </c>
      <c r="AD136" s="3">
        <v>0</v>
      </c>
      <c r="AE136" s="2">
        <v>0</v>
      </c>
      <c r="AF136" s="2">
        <v>694</v>
      </c>
      <c r="AK136">
        <v>6124212</v>
      </c>
      <c r="AL136" t="s">
        <v>439</v>
      </c>
    </row>
    <row r="137" spans="1:38" x14ac:dyDescent="0.25">
      <c r="A137" s="1">
        <v>46036</v>
      </c>
      <c r="B137" s="1">
        <v>46036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440</v>
      </c>
      <c r="J137" t="s">
        <v>435</v>
      </c>
      <c r="M137" t="s">
        <v>55</v>
      </c>
      <c r="O137" t="s">
        <v>436</v>
      </c>
      <c r="P137" t="s">
        <v>437</v>
      </c>
      <c r="Q137" t="s">
        <v>49</v>
      </c>
      <c r="R137" t="s">
        <v>441</v>
      </c>
      <c r="S137" s="1">
        <v>46023</v>
      </c>
      <c r="U137" t="s">
        <v>51</v>
      </c>
      <c r="X137" t="s">
        <v>52</v>
      </c>
      <c r="Y137" s="2">
        <v>0</v>
      </c>
      <c r="Z137" s="2">
        <v>175</v>
      </c>
      <c r="AA137">
        <v>1</v>
      </c>
      <c r="AB137" s="3">
        <v>1</v>
      </c>
      <c r="AC137" s="2">
        <v>175</v>
      </c>
      <c r="AD137" s="3">
        <v>0</v>
      </c>
      <c r="AE137" s="2">
        <v>0</v>
      </c>
      <c r="AF137" s="2">
        <v>175</v>
      </c>
      <c r="AK137">
        <v>6124211</v>
      </c>
      <c r="AL137" t="s">
        <v>439</v>
      </c>
    </row>
    <row r="138" spans="1:38" x14ac:dyDescent="0.25">
      <c r="A138" s="1">
        <v>46036</v>
      </c>
      <c r="B138" s="1">
        <v>46036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442</v>
      </c>
      <c r="J138" t="s">
        <v>443</v>
      </c>
      <c r="M138" t="s">
        <v>376</v>
      </c>
      <c r="O138" t="s">
        <v>377</v>
      </c>
      <c r="P138" t="s">
        <v>378</v>
      </c>
      <c r="Q138" t="s">
        <v>49</v>
      </c>
      <c r="R138" t="s">
        <v>433</v>
      </c>
      <c r="S138" s="1">
        <v>46023</v>
      </c>
      <c r="U138" t="s">
        <v>51</v>
      </c>
      <c r="X138" t="s">
        <v>52</v>
      </c>
      <c r="Y138" s="2">
        <v>0</v>
      </c>
      <c r="Z138" s="2">
        <v>694</v>
      </c>
      <c r="AA138">
        <v>1</v>
      </c>
      <c r="AB138" s="3">
        <v>1</v>
      </c>
      <c r="AC138" s="2">
        <v>694</v>
      </c>
      <c r="AD138" s="3">
        <v>0</v>
      </c>
      <c r="AE138" s="2">
        <v>0</v>
      </c>
      <c r="AF138" s="2">
        <v>694</v>
      </c>
      <c r="AK138">
        <v>6124221</v>
      </c>
    </row>
    <row r="139" spans="1:38" x14ac:dyDescent="0.25">
      <c r="A139" s="1">
        <v>46036</v>
      </c>
      <c r="B139" s="1">
        <v>46036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444</v>
      </c>
      <c r="J139" t="s">
        <v>445</v>
      </c>
      <c r="M139" t="s">
        <v>108</v>
      </c>
      <c r="O139" t="s">
        <v>446</v>
      </c>
      <c r="P139" t="s">
        <v>447</v>
      </c>
      <c r="Q139" t="s">
        <v>49</v>
      </c>
      <c r="R139" t="s">
        <v>433</v>
      </c>
      <c r="S139" s="1">
        <v>46023</v>
      </c>
      <c r="U139" t="s">
        <v>51</v>
      </c>
      <c r="X139" t="s">
        <v>52</v>
      </c>
      <c r="Y139" s="2">
        <v>0</v>
      </c>
      <c r="Z139" s="2">
        <v>694</v>
      </c>
      <c r="AA139">
        <v>1</v>
      </c>
      <c r="AB139" s="3">
        <v>1</v>
      </c>
      <c r="AC139" s="2">
        <v>694</v>
      </c>
      <c r="AD139" s="3">
        <v>0</v>
      </c>
      <c r="AE139" s="2">
        <v>0</v>
      </c>
      <c r="AF139" s="2">
        <v>694</v>
      </c>
      <c r="AK139">
        <v>6124222</v>
      </c>
    </row>
    <row r="140" spans="1:38" x14ac:dyDescent="0.25">
      <c r="A140" s="1">
        <v>46036</v>
      </c>
      <c r="B140" s="1">
        <v>46036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448</v>
      </c>
      <c r="J140" t="s">
        <v>449</v>
      </c>
      <c r="M140" t="s">
        <v>55</v>
      </c>
      <c r="O140" t="s">
        <v>403</v>
      </c>
      <c r="P140" t="s">
        <v>404</v>
      </c>
      <c r="Q140" t="s">
        <v>49</v>
      </c>
      <c r="R140" t="s">
        <v>433</v>
      </c>
      <c r="S140" s="1">
        <v>46023</v>
      </c>
      <c r="U140" t="s">
        <v>51</v>
      </c>
      <c r="X140" t="s">
        <v>52</v>
      </c>
      <c r="Y140" s="2">
        <v>0</v>
      </c>
      <c r="Z140" s="2">
        <v>694</v>
      </c>
      <c r="AA140">
        <v>1</v>
      </c>
      <c r="AB140" s="3">
        <v>1</v>
      </c>
      <c r="AC140" s="2">
        <v>694</v>
      </c>
      <c r="AD140" s="3">
        <v>0</v>
      </c>
      <c r="AE140" s="2">
        <v>0</v>
      </c>
      <c r="AF140" s="2">
        <v>694</v>
      </c>
      <c r="AK140">
        <v>6124223</v>
      </c>
    </row>
    <row r="141" spans="1:38" x14ac:dyDescent="0.25">
      <c r="A141" s="1">
        <v>46036</v>
      </c>
      <c r="B141" s="1">
        <v>46036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450</v>
      </c>
      <c r="J141" t="s">
        <v>451</v>
      </c>
      <c r="M141" t="s">
        <v>55</v>
      </c>
      <c r="O141" t="s">
        <v>142</v>
      </c>
      <c r="P141" t="s">
        <v>143</v>
      </c>
      <c r="Q141" t="s">
        <v>49</v>
      </c>
      <c r="R141" t="s">
        <v>438</v>
      </c>
      <c r="S141" s="1">
        <v>46023</v>
      </c>
      <c r="U141" t="s">
        <v>51</v>
      </c>
      <c r="X141" t="s">
        <v>52</v>
      </c>
      <c r="Y141" s="2">
        <v>0</v>
      </c>
      <c r="Z141" s="2">
        <v>694</v>
      </c>
      <c r="AA141">
        <v>1</v>
      </c>
      <c r="AB141" s="3">
        <v>1</v>
      </c>
      <c r="AC141" s="2">
        <v>694</v>
      </c>
      <c r="AD141" s="3">
        <v>0</v>
      </c>
      <c r="AE141" s="2">
        <v>0</v>
      </c>
      <c r="AF141" s="2">
        <v>694</v>
      </c>
      <c r="AK141">
        <v>6124214</v>
      </c>
      <c r="AL141" t="s">
        <v>439</v>
      </c>
    </row>
    <row r="142" spans="1:38" x14ac:dyDescent="0.25">
      <c r="A142" s="1">
        <v>46036</v>
      </c>
      <c r="B142" s="1">
        <v>46036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452</v>
      </c>
      <c r="J142" t="s">
        <v>435</v>
      </c>
      <c r="M142" t="s">
        <v>55</v>
      </c>
      <c r="O142" t="s">
        <v>436</v>
      </c>
      <c r="P142" t="s">
        <v>437</v>
      </c>
      <c r="Q142" t="s">
        <v>49</v>
      </c>
      <c r="R142" t="s">
        <v>441</v>
      </c>
      <c r="S142" s="1">
        <v>46023</v>
      </c>
      <c r="U142" t="s">
        <v>51</v>
      </c>
      <c r="X142" t="s">
        <v>52</v>
      </c>
      <c r="Y142" s="2">
        <v>0</v>
      </c>
      <c r="Z142" s="2">
        <v>175</v>
      </c>
      <c r="AA142">
        <v>1</v>
      </c>
      <c r="AB142" s="3">
        <v>1</v>
      </c>
      <c r="AC142" s="2">
        <v>175</v>
      </c>
      <c r="AD142" s="3">
        <v>0</v>
      </c>
      <c r="AE142" s="2">
        <v>0</v>
      </c>
      <c r="AF142" s="2">
        <v>175</v>
      </c>
      <c r="AK142">
        <v>6124213</v>
      </c>
      <c r="AL142" t="s">
        <v>439</v>
      </c>
    </row>
    <row r="143" spans="1:38" x14ac:dyDescent="0.25">
      <c r="A143" s="1">
        <v>46036</v>
      </c>
      <c r="B143" s="1">
        <v>46036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453</v>
      </c>
      <c r="J143" t="s">
        <v>454</v>
      </c>
      <c r="M143" t="s">
        <v>350</v>
      </c>
      <c r="O143" t="s">
        <v>377</v>
      </c>
      <c r="P143" t="s">
        <v>378</v>
      </c>
      <c r="Q143" t="s">
        <v>49</v>
      </c>
      <c r="R143" t="s">
        <v>455</v>
      </c>
      <c r="S143" s="1">
        <v>46023</v>
      </c>
      <c r="U143" t="s">
        <v>51</v>
      </c>
      <c r="X143" t="s">
        <v>52</v>
      </c>
      <c r="Y143" s="2">
        <v>0</v>
      </c>
      <c r="Z143" s="2">
        <v>406</v>
      </c>
      <c r="AA143">
        <v>1</v>
      </c>
      <c r="AB143" s="3">
        <v>1</v>
      </c>
      <c r="AC143" s="2">
        <v>406</v>
      </c>
      <c r="AD143" s="3">
        <v>0</v>
      </c>
      <c r="AE143" s="2">
        <v>0</v>
      </c>
      <c r="AF143" s="2">
        <v>406</v>
      </c>
      <c r="AK143">
        <v>6124215</v>
      </c>
    </row>
    <row r="144" spans="1:38" x14ac:dyDescent="0.25">
      <c r="A144" s="1">
        <v>46036</v>
      </c>
      <c r="B144" s="1">
        <v>46036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456</v>
      </c>
      <c r="J144" t="s">
        <v>457</v>
      </c>
      <c r="M144" t="s">
        <v>350</v>
      </c>
      <c r="O144" t="s">
        <v>265</v>
      </c>
      <c r="P144" t="s">
        <v>266</v>
      </c>
      <c r="Q144" t="s">
        <v>49</v>
      </c>
      <c r="R144" t="s">
        <v>433</v>
      </c>
      <c r="S144" s="1">
        <v>46023</v>
      </c>
      <c r="U144" t="s">
        <v>51</v>
      </c>
      <c r="X144" t="s">
        <v>52</v>
      </c>
      <c r="Y144" s="2">
        <v>0</v>
      </c>
      <c r="Z144" s="2">
        <v>694</v>
      </c>
      <c r="AA144">
        <v>1</v>
      </c>
      <c r="AB144" s="3">
        <v>1</v>
      </c>
      <c r="AC144" s="2">
        <v>694</v>
      </c>
      <c r="AD144" s="3">
        <v>0</v>
      </c>
      <c r="AE144" s="2">
        <v>0</v>
      </c>
      <c r="AF144" s="2">
        <v>694</v>
      </c>
      <c r="AK144">
        <v>6124224</v>
      </c>
    </row>
    <row r="145" spans="1:38" x14ac:dyDescent="0.25">
      <c r="A145" s="1">
        <v>46036</v>
      </c>
      <c r="B145" s="1">
        <v>46036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458</v>
      </c>
      <c r="J145" t="s">
        <v>459</v>
      </c>
      <c r="M145" t="s">
        <v>460</v>
      </c>
      <c r="O145" t="s">
        <v>377</v>
      </c>
      <c r="P145" t="s">
        <v>378</v>
      </c>
      <c r="Q145" t="s">
        <v>49</v>
      </c>
      <c r="R145" t="s">
        <v>433</v>
      </c>
      <c r="S145" s="1">
        <v>46023</v>
      </c>
      <c r="U145" t="s">
        <v>51</v>
      </c>
      <c r="X145" t="s">
        <v>52</v>
      </c>
      <c r="Y145" s="2">
        <v>0</v>
      </c>
      <c r="Z145" s="2">
        <v>694</v>
      </c>
      <c r="AA145">
        <v>1</v>
      </c>
      <c r="AB145" s="3">
        <v>1</v>
      </c>
      <c r="AC145" s="2">
        <v>694</v>
      </c>
      <c r="AD145" s="3">
        <v>0</v>
      </c>
      <c r="AE145" s="2">
        <v>0</v>
      </c>
      <c r="AF145" s="2">
        <v>694</v>
      </c>
      <c r="AK145">
        <v>6124225</v>
      </c>
    </row>
    <row r="146" spans="1:38" x14ac:dyDescent="0.25">
      <c r="A146" s="1">
        <v>46036</v>
      </c>
      <c r="B146" s="1">
        <v>46036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461</v>
      </c>
      <c r="J146" t="s">
        <v>462</v>
      </c>
      <c r="M146" t="s">
        <v>350</v>
      </c>
      <c r="O146" t="s">
        <v>463</v>
      </c>
      <c r="P146" t="s">
        <v>464</v>
      </c>
      <c r="Q146" t="s">
        <v>49</v>
      </c>
      <c r="R146" t="s">
        <v>433</v>
      </c>
      <c r="S146" s="1">
        <v>46023</v>
      </c>
      <c r="U146" t="s">
        <v>51</v>
      </c>
      <c r="X146" t="s">
        <v>52</v>
      </c>
      <c r="Y146" s="2">
        <v>0</v>
      </c>
      <c r="Z146" s="2">
        <v>694</v>
      </c>
      <c r="AA146">
        <v>1</v>
      </c>
      <c r="AB146" s="3">
        <v>1</v>
      </c>
      <c r="AC146" s="2">
        <v>694</v>
      </c>
      <c r="AD146" s="3">
        <v>0</v>
      </c>
      <c r="AE146" s="2">
        <v>0</v>
      </c>
      <c r="AF146" s="2">
        <v>694</v>
      </c>
      <c r="AK146">
        <v>6124226</v>
      </c>
    </row>
    <row r="147" spans="1:38" x14ac:dyDescent="0.25">
      <c r="A147" s="1">
        <v>46036</v>
      </c>
      <c r="B147" s="1">
        <v>46036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465</v>
      </c>
      <c r="J147" t="s">
        <v>466</v>
      </c>
      <c r="M147" t="s">
        <v>108</v>
      </c>
      <c r="O147" t="s">
        <v>377</v>
      </c>
      <c r="P147" t="s">
        <v>378</v>
      </c>
      <c r="Q147" t="s">
        <v>49</v>
      </c>
      <c r="R147" t="s">
        <v>433</v>
      </c>
      <c r="S147" s="1">
        <v>46023</v>
      </c>
      <c r="U147" t="s">
        <v>51</v>
      </c>
      <c r="X147" t="s">
        <v>52</v>
      </c>
      <c r="Y147" s="2">
        <v>0</v>
      </c>
      <c r="Z147" s="2">
        <v>694</v>
      </c>
      <c r="AA147">
        <v>1</v>
      </c>
      <c r="AB147" s="3">
        <v>1</v>
      </c>
      <c r="AC147" s="2">
        <v>694</v>
      </c>
      <c r="AD147" s="3">
        <v>0</v>
      </c>
      <c r="AE147" s="2">
        <v>0</v>
      </c>
      <c r="AF147" s="2">
        <v>694</v>
      </c>
      <c r="AK147">
        <v>6124227</v>
      </c>
    </row>
    <row r="148" spans="1:38" x14ac:dyDescent="0.25">
      <c r="A148" s="1">
        <v>46036</v>
      </c>
      <c r="B148" s="1">
        <v>46036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467</v>
      </c>
      <c r="J148" t="s">
        <v>468</v>
      </c>
      <c r="M148" t="s">
        <v>134</v>
      </c>
      <c r="O148" t="s">
        <v>56</v>
      </c>
      <c r="P148" t="s">
        <v>57</v>
      </c>
      <c r="Q148" t="s">
        <v>49</v>
      </c>
      <c r="R148" t="s">
        <v>433</v>
      </c>
      <c r="S148" s="1">
        <v>46023</v>
      </c>
      <c r="U148" t="s">
        <v>51</v>
      </c>
      <c r="X148" t="s">
        <v>52</v>
      </c>
      <c r="Y148" s="2">
        <v>0</v>
      </c>
      <c r="Z148" s="2">
        <v>694</v>
      </c>
      <c r="AA148">
        <v>1</v>
      </c>
      <c r="AB148" s="3">
        <v>1</v>
      </c>
      <c r="AC148" s="2">
        <v>694</v>
      </c>
      <c r="AD148" s="3">
        <v>0</v>
      </c>
      <c r="AE148" s="2">
        <v>0</v>
      </c>
      <c r="AF148" s="2">
        <v>694</v>
      </c>
      <c r="AK148">
        <v>6124228</v>
      </c>
    </row>
    <row r="149" spans="1:38" x14ac:dyDescent="0.25">
      <c r="A149" s="1">
        <v>46036</v>
      </c>
      <c r="B149" s="1">
        <v>46036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469</v>
      </c>
      <c r="J149" t="s">
        <v>470</v>
      </c>
      <c r="M149" t="s">
        <v>55</v>
      </c>
      <c r="O149" t="s">
        <v>471</v>
      </c>
      <c r="P149" t="s">
        <v>472</v>
      </c>
      <c r="Q149" t="s">
        <v>49</v>
      </c>
      <c r="R149" t="s">
        <v>455</v>
      </c>
      <c r="S149" s="1">
        <v>46023</v>
      </c>
      <c r="U149" t="s">
        <v>51</v>
      </c>
      <c r="X149" t="s">
        <v>52</v>
      </c>
      <c r="Y149" s="2">
        <v>0</v>
      </c>
      <c r="Z149" s="2">
        <v>406</v>
      </c>
      <c r="AA149">
        <v>1</v>
      </c>
      <c r="AB149" s="3">
        <v>1</v>
      </c>
      <c r="AC149" s="2">
        <v>406</v>
      </c>
      <c r="AD149" s="3">
        <v>0</v>
      </c>
      <c r="AE149" s="2">
        <v>0</v>
      </c>
      <c r="AF149" s="2">
        <v>406</v>
      </c>
      <c r="AK149">
        <v>6124216</v>
      </c>
    </row>
    <row r="150" spans="1:38" x14ac:dyDescent="0.25">
      <c r="A150" s="1">
        <v>46036</v>
      </c>
      <c r="B150" s="1">
        <v>46036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473</v>
      </c>
      <c r="J150" t="s">
        <v>474</v>
      </c>
      <c r="M150" t="s">
        <v>55</v>
      </c>
      <c r="O150" t="s">
        <v>285</v>
      </c>
      <c r="P150" t="s">
        <v>286</v>
      </c>
      <c r="Q150" t="s">
        <v>49</v>
      </c>
      <c r="R150" t="s">
        <v>433</v>
      </c>
      <c r="S150" s="1">
        <v>46023</v>
      </c>
      <c r="U150" t="s">
        <v>51</v>
      </c>
      <c r="X150" t="s">
        <v>52</v>
      </c>
      <c r="Y150" s="2">
        <v>0</v>
      </c>
      <c r="Z150" s="2">
        <v>694</v>
      </c>
      <c r="AA150">
        <v>1</v>
      </c>
      <c r="AB150" s="3">
        <v>1</v>
      </c>
      <c r="AC150" s="2">
        <v>694</v>
      </c>
      <c r="AD150" s="3">
        <v>0</v>
      </c>
      <c r="AE150" s="2">
        <v>0</v>
      </c>
      <c r="AF150" s="2">
        <v>694</v>
      </c>
      <c r="AK150">
        <v>6124229</v>
      </c>
    </row>
    <row r="151" spans="1:38" x14ac:dyDescent="0.25">
      <c r="A151" s="1">
        <v>46036</v>
      </c>
      <c r="B151" s="1">
        <v>46036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475</v>
      </c>
      <c r="J151" t="s">
        <v>476</v>
      </c>
      <c r="M151" t="s">
        <v>477</v>
      </c>
      <c r="O151" t="s">
        <v>478</v>
      </c>
      <c r="P151" t="s">
        <v>479</v>
      </c>
      <c r="Q151" t="s">
        <v>49</v>
      </c>
      <c r="R151" t="s">
        <v>433</v>
      </c>
      <c r="S151" s="1">
        <v>46082</v>
      </c>
      <c r="U151" t="s">
        <v>51</v>
      </c>
      <c r="X151" t="s">
        <v>52</v>
      </c>
      <c r="Y151" s="2">
        <v>0</v>
      </c>
      <c r="Z151" s="2">
        <v>694</v>
      </c>
      <c r="AA151">
        <v>1</v>
      </c>
      <c r="AB151" s="3">
        <v>1</v>
      </c>
      <c r="AC151" s="2">
        <v>694</v>
      </c>
      <c r="AD151" s="3">
        <v>0</v>
      </c>
      <c r="AE151" s="2">
        <v>0</v>
      </c>
      <c r="AF151" s="2">
        <v>694</v>
      </c>
      <c r="AK151">
        <v>6124230</v>
      </c>
    </row>
    <row r="152" spans="1:38" x14ac:dyDescent="0.25">
      <c r="A152" s="1">
        <v>46036</v>
      </c>
      <c r="B152" s="1">
        <v>46036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480</v>
      </c>
      <c r="J152" t="s">
        <v>481</v>
      </c>
      <c r="M152" t="s">
        <v>55</v>
      </c>
      <c r="O152" t="s">
        <v>56</v>
      </c>
      <c r="P152" t="s">
        <v>57</v>
      </c>
      <c r="Q152" t="s">
        <v>49</v>
      </c>
      <c r="R152" t="s">
        <v>482</v>
      </c>
      <c r="S152" s="1">
        <v>46113</v>
      </c>
      <c r="U152" t="s">
        <v>51</v>
      </c>
      <c r="X152" t="s">
        <v>52</v>
      </c>
      <c r="Y152" s="2">
        <v>0</v>
      </c>
      <c r="Z152" s="2">
        <v>175</v>
      </c>
      <c r="AA152">
        <v>1</v>
      </c>
      <c r="AB152" s="3">
        <v>1</v>
      </c>
      <c r="AC152" s="2">
        <v>175</v>
      </c>
      <c r="AD152" s="3">
        <v>0</v>
      </c>
      <c r="AE152" s="2">
        <v>0</v>
      </c>
      <c r="AF152" s="2">
        <v>175</v>
      </c>
      <c r="AK152">
        <v>6124255</v>
      </c>
    </row>
    <row r="153" spans="1:38" x14ac:dyDescent="0.25">
      <c r="A153" s="1">
        <v>46036</v>
      </c>
      <c r="B153" s="1">
        <v>46036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483</v>
      </c>
      <c r="J153" t="s">
        <v>481</v>
      </c>
      <c r="M153" t="s">
        <v>55</v>
      </c>
      <c r="O153" t="s">
        <v>56</v>
      </c>
      <c r="P153" t="s">
        <v>57</v>
      </c>
      <c r="Q153" t="s">
        <v>49</v>
      </c>
      <c r="R153" t="s">
        <v>484</v>
      </c>
      <c r="S153" s="1">
        <v>46113</v>
      </c>
      <c r="U153" t="s">
        <v>51</v>
      </c>
      <c r="X153" t="s">
        <v>52</v>
      </c>
      <c r="Y153" s="2">
        <v>0</v>
      </c>
      <c r="Z153" s="2">
        <v>260.25</v>
      </c>
      <c r="AA153">
        <v>1</v>
      </c>
      <c r="AB153" s="3">
        <v>1</v>
      </c>
      <c r="AC153" s="2">
        <v>260.25</v>
      </c>
      <c r="AD153" s="3">
        <v>0</v>
      </c>
      <c r="AE153" s="2">
        <v>0</v>
      </c>
      <c r="AF153" s="2">
        <v>260.25</v>
      </c>
      <c r="AK153">
        <v>6124256</v>
      </c>
      <c r="AL153" t="s">
        <v>485</v>
      </c>
    </row>
    <row r="154" spans="1:38" x14ac:dyDescent="0.25">
      <c r="A154" s="1">
        <v>46036</v>
      </c>
      <c r="B154" s="1">
        <v>46036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486</v>
      </c>
      <c r="J154" t="s">
        <v>487</v>
      </c>
      <c r="M154" t="s">
        <v>61</v>
      </c>
      <c r="O154" t="s">
        <v>377</v>
      </c>
      <c r="P154" t="s">
        <v>378</v>
      </c>
      <c r="Q154" t="s">
        <v>49</v>
      </c>
      <c r="R154" t="s">
        <v>433</v>
      </c>
      <c r="S154" s="1">
        <v>46023</v>
      </c>
      <c r="U154" t="s">
        <v>51</v>
      </c>
      <c r="X154" t="s">
        <v>52</v>
      </c>
      <c r="Y154" s="2">
        <v>0</v>
      </c>
      <c r="Z154" s="2">
        <v>694</v>
      </c>
      <c r="AA154">
        <v>1</v>
      </c>
      <c r="AB154" s="3">
        <v>1</v>
      </c>
      <c r="AC154" s="2">
        <v>694</v>
      </c>
      <c r="AD154" s="3">
        <v>0</v>
      </c>
      <c r="AE154" s="2">
        <v>0</v>
      </c>
      <c r="AF154" s="2">
        <v>694</v>
      </c>
      <c r="AK154">
        <v>6124231</v>
      </c>
    </row>
    <row r="155" spans="1:38" x14ac:dyDescent="0.25">
      <c r="A155" s="1">
        <v>46036</v>
      </c>
      <c r="B155" s="1">
        <v>46036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488</v>
      </c>
      <c r="J155" t="s">
        <v>489</v>
      </c>
      <c r="M155" t="s">
        <v>490</v>
      </c>
      <c r="O155" t="s">
        <v>126</v>
      </c>
      <c r="P155" t="s">
        <v>127</v>
      </c>
      <c r="Q155" t="s">
        <v>49</v>
      </c>
      <c r="R155" t="s">
        <v>491</v>
      </c>
      <c r="S155" s="1">
        <v>46023</v>
      </c>
      <c r="U155" t="s">
        <v>51</v>
      </c>
      <c r="X155" t="s">
        <v>52</v>
      </c>
      <c r="Y155" s="2">
        <v>0</v>
      </c>
      <c r="Z155" s="2">
        <v>864</v>
      </c>
      <c r="AA155">
        <v>1</v>
      </c>
      <c r="AB155" s="3">
        <v>1</v>
      </c>
      <c r="AC155" s="2">
        <v>864</v>
      </c>
      <c r="AD155" s="3">
        <v>0</v>
      </c>
      <c r="AE155" s="2">
        <v>0</v>
      </c>
      <c r="AF155" s="2">
        <v>864</v>
      </c>
      <c r="AK155">
        <v>6124253</v>
      </c>
    </row>
    <row r="156" spans="1:38" x14ac:dyDescent="0.25">
      <c r="A156" s="1">
        <v>46036</v>
      </c>
      <c r="B156" s="1">
        <v>46036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492</v>
      </c>
      <c r="J156" t="s">
        <v>493</v>
      </c>
      <c r="M156" t="s">
        <v>141</v>
      </c>
      <c r="O156" t="s">
        <v>142</v>
      </c>
      <c r="P156" t="s">
        <v>143</v>
      </c>
      <c r="Q156" t="s">
        <v>49</v>
      </c>
      <c r="R156" t="s">
        <v>433</v>
      </c>
      <c r="S156" s="1">
        <v>46023</v>
      </c>
      <c r="U156" t="s">
        <v>51</v>
      </c>
      <c r="X156" t="s">
        <v>52</v>
      </c>
      <c r="Y156" s="2">
        <v>0</v>
      </c>
      <c r="Z156" s="2">
        <v>694</v>
      </c>
      <c r="AA156">
        <v>1</v>
      </c>
      <c r="AB156" s="3">
        <v>1</v>
      </c>
      <c r="AC156" s="2">
        <v>694</v>
      </c>
      <c r="AD156" s="3">
        <v>0</v>
      </c>
      <c r="AE156" s="2">
        <v>0</v>
      </c>
      <c r="AF156" s="2">
        <v>694</v>
      </c>
      <c r="AK156">
        <v>6124232</v>
      </c>
    </row>
    <row r="157" spans="1:38" x14ac:dyDescent="0.25">
      <c r="A157" s="1">
        <v>46036</v>
      </c>
      <c r="B157" s="1">
        <v>46036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494</v>
      </c>
      <c r="J157" t="s">
        <v>495</v>
      </c>
      <c r="M157" t="s">
        <v>350</v>
      </c>
      <c r="O157" t="s">
        <v>377</v>
      </c>
      <c r="P157" t="s">
        <v>378</v>
      </c>
      <c r="Q157" t="s">
        <v>49</v>
      </c>
      <c r="R157" t="s">
        <v>433</v>
      </c>
      <c r="S157" s="1">
        <v>46023</v>
      </c>
      <c r="U157" t="s">
        <v>51</v>
      </c>
      <c r="X157" t="s">
        <v>52</v>
      </c>
      <c r="Y157" s="2">
        <v>0</v>
      </c>
      <c r="Z157" s="2">
        <v>694</v>
      </c>
      <c r="AA157">
        <v>1</v>
      </c>
      <c r="AB157" s="3">
        <v>1</v>
      </c>
      <c r="AC157" s="2">
        <v>694</v>
      </c>
      <c r="AD157" s="3">
        <v>0</v>
      </c>
      <c r="AE157" s="2">
        <v>0</v>
      </c>
      <c r="AF157" s="2">
        <v>694</v>
      </c>
      <c r="AK157">
        <v>6124233</v>
      </c>
    </row>
    <row r="158" spans="1:38" x14ac:dyDescent="0.25">
      <c r="A158" s="1">
        <v>46036</v>
      </c>
      <c r="B158" s="1">
        <v>46036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496</v>
      </c>
      <c r="J158" t="s">
        <v>497</v>
      </c>
      <c r="M158" t="s">
        <v>66</v>
      </c>
      <c r="O158" t="s">
        <v>196</v>
      </c>
      <c r="P158" t="s">
        <v>197</v>
      </c>
      <c r="Q158" t="s">
        <v>49</v>
      </c>
      <c r="R158" t="s">
        <v>498</v>
      </c>
      <c r="S158" s="1">
        <v>46023</v>
      </c>
      <c r="U158" t="s">
        <v>51</v>
      </c>
      <c r="X158" t="s">
        <v>52</v>
      </c>
      <c r="Y158" s="2">
        <v>0</v>
      </c>
      <c r="Z158" s="2">
        <v>781</v>
      </c>
      <c r="AA158">
        <v>1</v>
      </c>
      <c r="AB158" s="3">
        <v>1</v>
      </c>
      <c r="AC158" s="2">
        <v>781</v>
      </c>
      <c r="AD158" s="3">
        <v>0</v>
      </c>
      <c r="AE158" s="2">
        <v>0</v>
      </c>
      <c r="AF158" s="2">
        <v>781</v>
      </c>
      <c r="AK158">
        <v>6124251</v>
      </c>
    </row>
    <row r="159" spans="1:38" x14ac:dyDescent="0.25">
      <c r="A159" s="1">
        <v>46036</v>
      </c>
      <c r="B159" s="1">
        <v>46036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499</v>
      </c>
      <c r="J159" t="s">
        <v>500</v>
      </c>
      <c r="M159" t="s">
        <v>350</v>
      </c>
      <c r="O159" t="s">
        <v>463</v>
      </c>
      <c r="P159" t="s">
        <v>464</v>
      </c>
      <c r="Q159" t="s">
        <v>49</v>
      </c>
      <c r="R159" t="s">
        <v>433</v>
      </c>
      <c r="S159" s="1">
        <v>46023</v>
      </c>
      <c r="U159" t="s">
        <v>51</v>
      </c>
      <c r="X159" t="s">
        <v>52</v>
      </c>
      <c r="Y159" s="2">
        <v>0</v>
      </c>
      <c r="Z159" s="2">
        <v>694</v>
      </c>
      <c r="AA159">
        <v>1</v>
      </c>
      <c r="AB159" s="3">
        <v>1</v>
      </c>
      <c r="AC159" s="2">
        <v>694</v>
      </c>
      <c r="AD159" s="3">
        <v>0</v>
      </c>
      <c r="AE159" s="2">
        <v>0</v>
      </c>
      <c r="AF159" s="2">
        <v>694</v>
      </c>
      <c r="AK159">
        <v>6124234</v>
      </c>
    </row>
    <row r="160" spans="1:38" x14ac:dyDescent="0.25">
      <c r="A160" s="1">
        <v>46036</v>
      </c>
      <c r="B160" s="1">
        <v>46036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501</v>
      </c>
      <c r="J160" t="s">
        <v>502</v>
      </c>
      <c r="M160" t="s">
        <v>350</v>
      </c>
      <c r="O160" t="s">
        <v>463</v>
      </c>
      <c r="P160" t="s">
        <v>464</v>
      </c>
      <c r="Q160" t="s">
        <v>49</v>
      </c>
      <c r="R160" t="s">
        <v>503</v>
      </c>
      <c r="S160" s="1">
        <v>45992</v>
      </c>
      <c r="U160" t="s">
        <v>51</v>
      </c>
      <c r="X160" t="s">
        <v>52</v>
      </c>
      <c r="Y160" s="2">
        <v>0</v>
      </c>
      <c r="Z160" s="2">
        <v>626</v>
      </c>
      <c r="AA160">
        <v>1</v>
      </c>
      <c r="AB160" s="3">
        <v>1</v>
      </c>
      <c r="AC160" s="2">
        <v>626</v>
      </c>
      <c r="AD160" s="3">
        <v>0</v>
      </c>
      <c r="AE160" s="2">
        <v>0</v>
      </c>
      <c r="AF160" s="2">
        <v>626</v>
      </c>
      <c r="AK160">
        <v>6124219</v>
      </c>
    </row>
    <row r="161" spans="1:38" x14ac:dyDescent="0.25">
      <c r="A161" s="1">
        <v>46036</v>
      </c>
      <c r="B161" s="1">
        <v>46036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504</v>
      </c>
      <c r="J161" t="s">
        <v>505</v>
      </c>
      <c r="M161" t="s">
        <v>460</v>
      </c>
      <c r="O161" t="s">
        <v>506</v>
      </c>
      <c r="P161" t="s">
        <v>507</v>
      </c>
      <c r="Q161" t="s">
        <v>49</v>
      </c>
      <c r="R161" t="s">
        <v>433</v>
      </c>
      <c r="S161" s="1">
        <v>46023</v>
      </c>
      <c r="U161" t="s">
        <v>51</v>
      </c>
      <c r="X161" t="s">
        <v>52</v>
      </c>
      <c r="Y161" s="2">
        <v>0</v>
      </c>
      <c r="Z161" s="2">
        <v>694</v>
      </c>
      <c r="AA161">
        <v>1</v>
      </c>
      <c r="AB161" s="3">
        <v>1</v>
      </c>
      <c r="AC161" s="2">
        <v>694</v>
      </c>
      <c r="AD161" s="3">
        <v>0</v>
      </c>
      <c r="AE161" s="2">
        <v>0</v>
      </c>
      <c r="AF161" s="2">
        <v>694</v>
      </c>
      <c r="AK161">
        <v>6124235</v>
      </c>
    </row>
    <row r="162" spans="1:38" x14ac:dyDescent="0.25">
      <c r="A162" s="1">
        <v>46036</v>
      </c>
      <c r="B162" s="1">
        <v>46036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508</v>
      </c>
      <c r="J162" t="s">
        <v>509</v>
      </c>
      <c r="M162" t="s">
        <v>490</v>
      </c>
      <c r="O162" t="s">
        <v>85</v>
      </c>
      <c r="P162" t="s">
        <v>86</v>
      </c>
      <c r="Q162" t="s">
        <v>49</v>
      </c>
      <c r="R162" t="s">
        <v>491</v>
      </c>
      <c r="S162" s="1">
        <v>46023</v>
      </c>
      <c r="U162" t="s">
        <v>51</v>
      </c>
      <c r="X162" t="s">
        <v>52</v>
      </c>
      <c r="Y162" s="2">
        <v>0</v>
      </c>
      <c r="Z162" s="2">
        <v>864</v>
      </c>
      <c r="AA162">
        <v>1</v>
      </c>
      <c r="AB162" s="3">
        <v>1</v>
      </c>
      <c r="AC162" s="2">
        <v>864</v>
      </c>
      <c r="AD162" s="3">
        <v>0</v>
      </c>
      <c r="AE162" s="2">
        <v>0</v>
      </c>
      <c r="AF162" s="2">
        <v>864</v>
      </c>
      <c r="AK162">
        <v>6124254</v>
      </c>
    </row>
    <row r="163" spans="1:38" x14ac:dyDescent="0.25">
      <c r="A163" s="1">
        <v>46036</v>
      </c>
      <c r="B163" s="1">
        <v>46036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510</v>
      </c>
      <c r="J163" t="s">
        <v>511</v>
      </c>
      <c r="M163" t="s">
        <v>108</v>
      </c>
      <c r="O163" t="s">
        <v>377</v>
      </c>
      <c r="P163" t="s">
        <v>378</v>
      </c>
      <c r="Q163" t="s">
        <v>49</v>
      </c>
      <c r="R163" t="s">
        <v>433</v>
      </c>
      <c r="S163" s="1">
        <v>46023</v>
      </c>
      <c r="U163" t="s">
        <v>51</v>
      </c>
      <c r="X163" t="s">
        <v>52</v>
      </c>
      <c r="Y163" s="2">
        <v>0</v>
      </c>
      <c r="Z163" s="2">
        <v>694</v>
      </c>
      <c r="AA163">
        <v>1</v>
      </c>
      <c r="AB163" s="3">
        <v>1</v>
      </c>
      <c r="AC163" s="2">
        <v>694</v>
      </c>
      <c r="AD163" s="3">
        <v>0</v>
      </c>
      <c r="AE163" s="2">
        <v>0</v>
      </c>
      <c r="AF163" s="2">
        <v>694</v>
      </c>
      <c r="AK163">
        <v>6124236</v>
      </c>
    </row>
    <row r="164" spans="1:38" x14ac:dyDescent="0.25">
      <c r="A164" s="1">
        <v>46036</v>
      </c>
      <c r="B164" s="1">
        <v>46036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512</v>
      </c>
      <c r="J164" t="s">
        <v>513</v>
      </c>
      <c r="M164" t="s">
        <v>108</v>
      </c>
      <c r="O164" t="s">
        <v>377</v>
      </c>
      <c r="P164" t="s">
        <v>378</v>
      </c>
      <c r="Q164" t="s">
        <v>49</v>
      </c>
      <c r="R164" t="s">
        <v>433</v>
      </c>
      <c r="S164" s="1">
        <v>46023</v>
      </c>
      <c r="U164" t="s">
        <v>51</v>
      </c>
      <c r="X164" t="s">
        <v>52</v>
      </c>
      <c r="Y164" s="2">
        <v>0</v>
      </c>
      <c r="Z164" s="2">
        <v>694</v>
      </c>
      <c r="AA164">
        <v>1</v>
      </c>
      <c r="AB164" s="3">
        <v>1</v>
      </c>
      <c r="AC164" s="2">
        <v>694</v>
      </c>
      <c r="AD164" s="3">
        <v>0</v>
      </c>
      <c r="AE164" s="2">
        <v>0</v>
      </c>
      <c r="AF164" s="2">
        <v>694</v>
      </c>
      <c r="AK164">
        <v>6124237</v>
      </c>
    </row>
    <row r="165" spans="1:38" x14ac:dyDescent="0.25">
      <c r="A165" s="1">
        <v>46036</v>
      </c>
      <c r="B165" s="1">
        <v>46036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514</v>
      </c>
      <c r="J165" t="s">
        <v>515</v>
      </c>
      <c r="M165" t="s">
        <v>66</v>
      </c>
      <c r="O165" t="s">
        <v>196</v>
      </c>
      <c r="P165" t="s">
        <v>197</v>
      </c>
      <c r="Q165" t="s">
        <v>49</v>
      </c>
      <c r="R165" t="s">
        <v>498</v>
      </c>
      <c r="S165" s="1">
        <v>46023</v>
      </c>
      <c r="U165" t="s">
        <v>51</v>
      </c>
      <c r="X165" t="s">
        <v>52</v>
      </c>
      <c r="Y165" s="2">
        <v>0</v>
      </c>
      <c r="Z165" s="2">
        <v>781</v>
      </c>
      <c r="AA165">
        <v>1</v>
      </c>
      <c r="AB165" s="3">
        <v>1</v>
      </c>
      <c r="AC165" s="2">
        <v>781</v>
      </c>
      <c r="AD165" s="3">
        <v>0</v>
      </c>
      <c r="AE165" s="2">
        <v>0</v>
      </c>
      <c r="AF165" s="2">
        <v>781</v>
      </c>
      <c r="AK165">
        <v>6124252</v>
      </c>
    </row>
    <row r="166" spans="1:38" x14ac:dyDescent="0.25">
      <c r="A166" s="1">
        <v>46036</v>
      </c>
      <c r="B166" s="1">
        <v>46036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516</v>
      </c>
      <c r="J166" t="s">
        <v>517</v>
      </c>
      <c r="M166" t="s">
        <v>134</v>
      </c>
      <c r="O166" t="s">
        <v>518</v>
      </c>
      <c r="P166" t="s">
        <v>519</v>
      </c>
      <c r="Q166" t="s">
        <v>49</v>
      </c>
      <c r="R166" t="s">
        <v>455</v>
      </c>
      <c r="S166" s="1">
        <v>46023</v>
      </c>
      <c r="U166" t="s">
        <v>51</v>
      </c>
      <c r="X166" t="s">
        <v>52</v>
      </c>
      <c r="Y166" s="2">
        <v>0</v>
      </c>
      <c r="Z166" s="2">
        <v>406</v>
      </c>
      <c r="AA166">
        <v>1</v>
      </c>
      <c r="AB166" s="3">
        <v>1</v>
      </c>
      <c r="AC166" s="2">
        <v>406</v>
      </c>
      <c r="AD166" s="3">
        <v>0</v>
      </c>
      <c r="AE166" s="2">
        <v>0</v>
      </c>
      <c r="AF166" s="2">
        <v>406</v>
      </c>
      <c r="AK166">
        <v>6124217</v>
      </c>
    </row>
    <row r="167" spans="1:38" x14ac:dyDescent="0.25">
      <c r="A167" s="1">
        <v>46036</v>
      </c>
      <c r="B167" s="1">
        <v>46036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520</v>
      </c>
      <c r="J167" t="s">
        <v>521</v>
      </c>
      <c r="M167" t="s">
        <v>55</v>
      </c>
      <c r="O167" t="s">
        <v>265</v>
      </c>
      <c r="P167" t="s">
        <v>266</v>
      </c>
      <c r="Q167" t="s">
        <v>49</v>
      </c>
      <c r="R167" t="s">
        <v>484</v>
      </c>
      <c r="S167" s="1">
        <v>46054</v>
      </c>
      <c r="U167" t="s">
        <v>51</v>
      </c>
      <c r="X167" t="s">
        <v>52</v>
      </c>
      <c r="Y167" s="2">
        <v>0</v>
      </c>
      <c r="Z167" s="2">
        <v>318.08</v>
      </c>
      <c r="AA167">
        <v>1</v>
      </c>
      <c r="AB167" s="3">
        <v>1</v>
      </c>
      <c r="AC167" s="2">
        <v>318.08</v>
      </c>
      <c r="AD167" s="3">
        <v>0</v>
      </c>
      <c r="AE167" s="2">
        <v>0</v>
      </c>
      <c r="AF167" s="2">
        <v>318.08</v>
      </c>
      <c r="AK167">
        <v>6124258</v>
      </c>
      <c r="AL167" t="s">
        <v>386</v>
      </c>
    </row>
    <row r="168" spans="1:38" x14ac:dyDescent="0.25">
      <c r="A168" s="1">
        <v>46036</v>
      </c>
      <c r="B168" s="1">
        <v>46036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522</v>
      </c>
      <c r="J168" t="s">
        <v>521</v>
      </c>
      <c r="M168" t="s">
        <v>55</v>
      </c>
      <c r="O168" t="s">
        <v>265</v>
      </c>
      <c r="P168" t="s">
        <v>266</v>
      </c>
      <c r="Q168" t="s">
        <v>49</v>
      </c>
      <c r="R168" t="s">
        <v>523</v>
      </c>
      <c r="S168" s="1">
        <v>46054</v>
      </c>
      <c r="U168" t="s">
        <v>51</v>
      </c>
      <c r="X168" t="s">
        <v>52</v>
      </c>
      <c r="Y168" s="2">
        <v>0</v>
      </c>
      <c r="Z168" s="2">
        <v>66</v>
      </c>
      <c r="AA168">
        <v>1</v>
      </c>
      <c r="AB168" s="3">
        <v>1</v>
      </c>
      <c r="AC168" s="2">
        <v>66</v>
      </c>
      <c r="AD168" s="3">
        <v>0</v>
      </c>
      <c r="AE168" s="2">
        <v>0</v>
      </c>
      <c r="AF168" s="2">
        <v>66</v>
      </c>
      <c r="AK168">
        <v>6124257</v>
      </c>
      <c r="AL168" t="s">
        <v>386</v>
      </c>
    </row>
    <row r="169" spans="1:38" x14ac:dyDescent="0.25">
      <c r="A169" s="1">
        <v>46036</v>
      </c>
      <c r="B169" s="1">
        <v>46036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524</v>
      </c>
      <c r="J169" t="s">
        <v>525</v>
      </c>
      <c r="M169" t="s">
        <v>350</v>
      </c>
      <c r="O169" t="s">
        <v>436</v>
      </c>
      <c r="P169" t="s">
        <v>437</v>
      </c>
      <c r="Q169" t="s">
        <v>49</v>
      </c>
      <c r="R169" t="s">
        <v>433</v>
      </c>
      <c r="S169" s="1">
        <v>46023</v>
      </c>
      <c r="U169" t="s">
        <v>51</v>
      </c>
      <c r="X169" t="s">
        <v>52</v>
      </c>
      <c r="Y169" s="2">
        <v>0</v>
      </c>
      <c r="Z169" s="2">
        <v>694</v>
      </c>
      <c r="AA169">
        <v>1</v>
      </c>
      <c r="AB169" s="3">
        <v>1</v>
      </c>
      <c r="AC169" s="2">
        <v>694</v>
      </c>
      <c r="AD169" s="3">
        <v>0</v>
      </c>
      <c r="AE169" s="2">
        <v>0</v>
      </c>
      <c r="AF169" s="2">
        <v>694</v>
      </c>
      <c r="AK169">
        <v>6124238</v>
      </c>
    </row>
    <row r="170" spans="1:38" x14ac:dyDescent="0.25">
      <c r="A170" s="1">
        <v>46036</v>
      </c>
      <c r="B170" s="1">
        <v>46036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526</v>
      </c>
      <c r="J170" t="s">
        <v>527</v>
      </c>
      <c r="M170" t="s">
        <v>55</v>
      </c>
      <c r="O170" t="s">
        <v>228</v>
      </c>
      <c r="P170" t="s">
        <v>229</v>
      </c>
      <c r="Q170" t="s">
        <v>49</v>
      </c>
      <c r="R170" t="s">
        <v>433</v>
      </c>
      <c r="S170" s="1">
        <v>46023</v>
      </c>
      <c r="U170" t="s">
        <v>51</v>
      </c>
      <c r="X170" t="s">
        <v>52</v>
      </c>
      <c r="Y170" s="2">
        <v>0</v>
      </c>
      <c r="Z170" s="2">
        <v>694</v>
      </c>
      <c r="AA170">
        <v>1</v>
      </c>
      <c r="AB170" s="3">
        <v>1</v>
      </c>
      <c r="AC170" s="2">
        <v>694</v>
      </c>
      <c r="AD170" s="3">
        <v>0</v>
      </c>
      <c r="AE170" s="2">
        <v>0</v>
      </c>
      <c r="AF170" s="2">
        <v>694</v>
      </c>
      <c r="AK170">
        <v>6124239</v>
      </c>
    </row>
    <row r="171" spans="1:38" x14ac:dyDescent="0.25">
      <c r="A171" s="1">
        <v>46036</v>
      </c>
      <c r="B171" s="1">
        <v>46036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528</v>
      </c>
      <c r="J171" t="s">
        <v>529</v>
      </c>
      <c r="M171" t="s">
        <v>55</v>
      </c>
      <c r="O171" t="s">
        <v>403</v>
      </c>
      <c r="P171" t="s">
        <v>404</v>
      </c>
      <c r="Q171" t="s">
        <v>49</v>
      </c>
      <c r="R171" t="s">
        <v>433</v>
      </c>
      <c r="S171" s="1">
        <v>46023</v>
      </c>
      <c r="U171" t="s">
        <v>51</v>
      </c>
      <c r="X171" t="s">
        <v>52</v>
      </c>
      <c r="Y171" s="2">
        <v>0</v>
      </c>
      <c r="Z171" s="2">
        <v>694</v>
      </c>
      <c r="AA171">
        <v>1</v>
      </c>
      <c r="AB171" s="3">
        <v>1</v>
      </c>
      <c r="AC171" s="2">
        <v>694</v>
      </c>
      <c r="AD171" s="3">
        <v>0</v>
      </c>
      <c r="AE171" s="2">
        <v>0</v>
      </c>
      <c r="AF171" s="2">
        <v>694</v>
      </c>
      <c r="AK171">
        <v>6124240</v>
      </c>
    </row>
    <row r="172" spans="1:38" x14ac:dyDescent="0.25">
      <c r="A172" s="1">
        <v>46036</v>
      </c>
      <c r="B172" s="1">
        <v>46036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530</v>
      </c>
      <c r="J172" t="s">
        <v>531</v>
      </c>
      <c r="M172" t="s">
        <v>125</v>
      </c>
      <c r="O172" t="s">
        <v>97</v>
      </c>
      <c r="P172" t="s">
        <v>98</v>
      </c>
      <c r="Q172" t="s">
        <v>49</v>
      </c>
      <c r="R172" t="s">
        <v>433</v>
      </c>
      <c r="S172" s="1">
        <v>46023</v>
      </c>
      <c r="U172" t="s">
        <v>51</v>
      </c>
      <c r="X172" t="s">
        <v>52</v>
      </c>
      <c r="Y172" s="2">
        <v>0</v>
      </c>
      <c r="Z172" s="2">
        <v>694</v>
      </c>
      <c r="AA172">
        <v>1</v>
      </c>
      <c r="AB172" s="3">
        <v>1</v>
      </c>
      <c r="AC172" s="2">
        <v>694</v>
      </c>
      <c r="AD172" s="3">
        <v>0</v>
      </c>
      <c r="AE172" s="2">
        <v>0</v>
      </c>
      <c r="AF172" s="2">
        <v>694</v>
      </c>
      <c r="AK172">
        <v>6124241</v>
      </c>
    </row>
    <row r="173" spans="1:38" x14ac:dyDescent="0.25">
      <c r="A173" s="1">
        <v>46036</v>
      </c>
      <c r="B173" s="1">
        <v>46036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532</v>
      </c>
      <c r="J173" t="s">
        <v>533</v>
      </c>
      <c r="M173" t="s">
        <v>55</v>
      </c>
      <c r="O173" t="s">
        <v>116</v>
      </c>
      <c r="P173" t="s">
        <v>117</v>
      </c>
      <c r="Q173" t="s">
        <v>49</v>
      </c>
      <c r="R173" t="s">
        <v>534</v>
      </c>
      <c r="S173" s="1">
        <v>46054</v>
      </c>
      <c r="U173" t="s">
        <v>51</v>
      </c>
      <c r="X173" t="s">
        <v>52</v>
      </c>
      <c r="Y173" s="2">
        <v>0</v>
      </c>
      <c r="Z173" s="2">
        <v>186.08</v>
      </c>
      <c r="AA173">
        <v>1</v>
      </c>
      <c r="AB173" s="3">
        <v>1</v>
      </c>
      <c r="AC173" s="2">
        <v>186.08</v>
      </c>
      <c r="AD173" s="3">
        <v>0</v>
      </c>
      <c r="AE173" s="2">
        <v>0</v>
      </c>
      <c r="AF173" s="2">
        <v>186.08</v>
      </c>
      <c r="AK173">
        <v>6124260</v>
      </c>
      <c r="AL173" t="s">
        <v>386</v>
      </c>
    </row>
    <row r="174" spans="1:38" x14ac:dyDescent="0.25">
      <c r="A174" s="1">
        <v>46036</v>
      </c>
      <c r="B174" s="1">
        <v>46036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535</v>
      </c>
      <c r="J174" t="s">
        <v>533</v>
      </c>
      <c r="M174" t="s">
        <v>55</v>
      </c>
      <c r="O174" t="s">
        <v>116</v>
      </c>
      <c r="P174" t="s">
        <v>117</v>
      </c>
      <c r="Q174" t="s">
        <v>49</v>
      </c>
      <c r="R174" t="s">
        <v>536</v>
      </c>
      <c r="S174" s="1">
        <v>46054</v>
      </c>
      <c r="U174" t="s">
        <v>51</v>
      </c>
      <c r="X174" t="s">
        <v>52</v>
      </c>
      <c r="Y174" s="2">
        <v>0</v>
      </c>
      <c r="Z174" s="2">
        <v>45.83</v>
      </c>
      <c r="AA174">
        <v>1</v>
      </c>
      <c r="AB174" s="3">
        <v>1</v>
      </c>
      <c r="AC174" s="2">
        <v>45.83</v>
      </c>
      <c r="AD174" s="3">
        <v>0</v>
      </c>
      <c r="AE174" s="2">
        <v>0</v>
      </c>
      <c r="AF174" s="2">
        <v>45.83</v>
      </c>
      <c r="AK174">
        <v>6124259</v>
      </c>
      <c r="AL174" t="s">
        <v>386</v>
      </c>
    </row>
    <row r="175" spans="1:38" x14ac:dyDescent="0.25">
      <c r="A175" s="1">
        <v>46036</v>
      </c>
      <c r="B175" s="1">
        <v>46036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537</v>
      </c>
      <c r="J175" t="s">
        <v>538</v>
      </c>
      <c r="M175" t="s">
        <v>120</v>
      </c>
      <c r="O175" t="s">
        <v>539</v>
      </c>
      <c r="P175" t="s">
        <v>540</v>
      </c>
      <c r="Q175" t="s">
        <v>49</v>
      </c>
      <c r="R175" t="s">
        <v>438</v>
      </c>
      <c r="S175" s="1">
        <v>46023</v>
      </c>
      <c r="U175" t="s">
        <v>51</v>
      </c>
      <c r="X175" t="s">
        <v>52</v>
      </c>
      <c r="Y175" s="2">
        <v>0</v>
      </c>
      <c r="Z175" s="2">
        <v>694</v>
      </c>
      <c r="AA175">
        <v>1</v>
      </c>
      <c r="AB175" s="3">
        <v>1</v>
      </c>
      <c r="AC175" s="2">
        <v>694</v>
      </c>
      <c r="AD175" s="3">
        <v>0</v>
      </c>
      <c r="AE175" s="2">
        <v>0</v>
      </c>
      <c r="AF175" s="2">
        <v>694</v>
      </c>
      <c r="AK175">
        <v>6124242</v>
      </c>
      <c r="AL175" t="s">
        <v>439</v>
      </c>
    </row>
    <row r="176" spans="1:38" x14ac:dyDescent="0.25">
      <c r="A176" s="1">
        <v>46036</v>
      </c>
      <c r="B176" s="1">
        <v>46036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541</v>
      </c>
      <c r="J176" t="s">
        <v>542</v>
      </c>
      <c r="M176" t="s">
        <v>134</v>
      </c>
      <c r="O176" t="s">
        <v>126</v>
      </c>
      <c r="P176" t="s">
        <v>127</v>
      </c>
      <c r="Q176" t="s">
        <v>49</v>
      </c>
      <c r="R176" t="s">
        <v>433</v>
      </c>
      <c r="S176" s="1">
        <v>46023</v>
      </c>
      <c r="U176" t="s">
        <v>51</v>
      </c>
      <c r="X176" t="s">
        <v>52</v>
      </c>
      <c r="Y176" s="2">
        <v>0</v>
      </c>
      <c r="Z176" s="2">
        <v>694</v>
      </c>
      <c r="AA176">
        <v>1</v>
      </c>
      <c r="AB176" s="3">
        <v>1</v>
      </c>
      <c r="AC176" s="2">
        <v>694</v>
      </c>
      <c r="AD176" s="3">
        <v>0</v>
      </c>
      <c r="AE176" s="2">
        <v>0</v>
      </c>
      <c r="AF176" s="2">
        <v>694</v>
      </c>
      <c r="AK176">
        <v>6124243</v>
      </c>
    </row>
    <row r="177" spans="1:38" x14ac:dyDescent="0.25">
      <c r="A177" s="1">
        <v>46036</v>
      </c>
      <c r="B177" s="1">
        <v>46036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543</v>
      </c>
      <c r="J177" t="s">
        <v>544</v>
      </c>
      <c r="M177" t="s">
        <v>55</v>
      </c>
      <c r="O177" t="s">
        <v>322</v>
      </c>
      <c r="P177" t="s">
        <v>323</v>
      </c>
      <c r="Q177" t="s">
        <v>49</v>
      </c>
      <c r="R177" t="s">
        <v>433</v>
      </c>
      <c r="S177" s="1">
        <v>46023</v>
      </c>
      <c r="U177" t="s">
        <v>51</v>
      </c>
      <c r="X177" t="s">
        <v>52</v>
      </c>
      <c r="Y177" s="2">
        <v>0</v>
      </c>
      <c r="Z177" s="2">
        <v>694</v>
      </c>
      <c r="AA177">
        <v>1</v>
      </c>
      <c r="AB177" s="3">
        <v>1</v>
      </c>
      <c r="AC177" s="2">
        <v>694</v>
      </c>
      <c r="AD177" s="3">
        <v>0</v>
      </c>
      <c r="AE177" s="2">
        <v>0</v>
      </c>
      <c r="AF177" s="2">
        <v>694</v>
      </c>
      <c r="AK177">
        <v>6124244</v>
      </c>
    </row>
    <row r="178" spans="1:38" x14ac:dyDescent="0.25">
      <c r="A178" s="1">
        <v>46036</v>
      </c>
      <c r="B178" s="1">
        <v>46036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545</v>
      </c>
      <c r="J178" t="s">
        <v>546</v>
      </c>
      <c r="M178" t="s">
        <v>125</v>
      </c>
      <c r="O178" t="s">
        <v>97</v>
      </c>
      <c r="P178" t="s">
        <v>98</v>
      </c>
      <c r="Q178" t="s">
        <v>49</v>
      </c>
      <c r="R178" t="s">
        <v>433</v>
      </c>
      <c r="S178" s="1">
        <v>46023</v>
      </c>
      <c r="U178" t="s">
        <v>51</v>
      </c>
      <c r="X178" t="s">
        <v>52</v>
      </c>
      <c r="Y178" s="2">
        <v>0</v>
      </c>
      <c r="Z178" s="2">
        <v>694</v>
      </c>
      <c r="AA178">
        <v>1</v>
      </c>
      <c r="AB178" s="3">
        <v>1</v>
      </c>
      <c r="AC178" s="2">
        <v>694</v>
      </c>
      <c r="AD178" s="3">
        <v>0</v>
      </c>
      <c r="AE178" s="2">
        <v>0</v>
      </c>
      <c r="AF178" s="2">
        <v>694</v>
      </c>
      <c r="AK178">
        <v>6124245</v>
      </c>
    </row>
    <row r="179" spans="1:38" x14ac:dyDescent="0.25">
      <c r="A179" s="1">
        <v>46036</v>
      </c>
      <c r="B179" s="1">
        <v>46036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547</v>
      </c>
      <c r="J179" t="s">
        <v>548</v>
      </c>
      <c r="M179" t="s">
        <v>55</v>
      </c>
      <c r="O179" t="s">
        <v>126</v>
      </c>
      <c r="P179" t="s">
        <v>127</v>
      </c>
      <c r="Q179" t="s">
        <v>49</v>
      </c>
      <c r="R179" t="s">
        <v>455</v>
      </c>
      <c r="S179" s="1">
        <v>46023</v>
      </c>
      <c r="U179" t="s">
        <v>51</v>
      </c>
      <c r="X179" t="s">
        <v>52</v>
      </c>
      <c r="Y179" s="2">
        <v>0</v>
      </c>
      <c r="Z179" s="2">
        <v>406</v>
      </c>
      <c r="AA179">
        <v>1</v>
      </c>
      <c r="AB179" s="3">
        <v>1</v>
      </c>
      <c r="AC179" s="2">
        <v>406</v>
      </c>
      <c r="AD179" s="3">
        <v>0</v>
      </c>
      <c r="AE179" s="2">
        <v>0</v>
      </c>
      <c r="AF179" s="2">
        <v>406</v>
      </c>
      <c r="AK179">
        <v>6124218</v>
      </c>
    </row>
    <row r="180" spans="1:38" x14ac:dyDescent="0.25">
      <c r="A180" s="1">
        <v>46036</v>
      </c>
      <c r="B180" s="1">
        <v>46036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549</v>
      </c>
      <c r="J180" t="s">
        <v>550</v>
      </c>
      <c r="M180" t="s">
        <v>120</v>
      </c>
      <c r="O180" t="s">
        <v>121</v>
      </c>
      <c r="P180" t="s">
        <v>122</v>
      </c>
      <c r="Q180" t="s">
        <v>49</v>
      </c>
      <c r="R180" t="s">
        <v>433</v>
      </c>
      <c r="S180" s="1">
        <v>46023</v>
      </c>
      <c r="U180" t="s">
        <v>51</v>
      </c>
      <c r="X180" t="s">
        <v>52</v>
      </c>
      <c r="Y180" s="2">
        <v>0</v>
      </c>
      <c r="Z180" s="2">
        <v>694</v>
      </c>
      <c r="AA180">
        <v>1</v>
      </c>
      <c r="AB180" s="3">
        <v>1</v>
      </c>
      <c r="AC180" s="2">
        <v>694</v>
      </c>
      <c r="AD180" s="3">
        <v>0</v>
      </c>
      <c r="AE180" s="2">
        <v>0</v>
      </c>
      <c r="AF180" s="2">
        <v>694</v>
      </c>
      <c r="AK180">
        <v>6124246</v>
      </c>
    </row>
    <row r="181" spans="1:38" x14ac:dyDescent="0.25">
      <c r="A181" s="1">
        <v>46036</v>
      </c>
      <c r="B181" s="1">
        <v>46036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551</v>
      </c>
      <c r="J181" t="s">
        <v>552</v>
      </c>
      <c r="M181" t="s">
        <v>55</v>
      </c>
      <c r="O181" t="s">
        <v>553</v>
      </c>
      <c r="P181" t="s">
        <v>554</v>
      </c>
      <c r="Q181" t="s">
        <v>49</v>
      </c>
      <c r="R181" t="s">
        <v>433</v>
      </c>
      <c r="S181" s="1">
        <v>46023</v>
      </c>
      <c r="U181" t="s">
        <v>51</v>
      </c>
      <c r="X181" t="s">
        <v>52</v>
      </c>
      <c r="Y181" s="2">
        <v>0</v>
      </c>
      <c r="Z181" s="2">
        <v>694</v>
      </c>
      <c r="AA181">
        <v>1</v>
      </c>
      <c r="AB181" s="3">
        <v>1</v>
      </c>
      <c r="AC181" s="2">
        <v>694</v>
      </c>
      <c r="AD181" s="3">
        <v>0</v>
      </c>
      <c r="AE181" s="2">
        <v>0</v>
      </c>
      <c r="AF181" s="2">
        <v>694</v>
      </c>
      <c r="AK181">
        <v>6124247</v>
      </c>
    </row>
    <row r="182" spans="1:38" x14ac:dyDescent="0.25">
      <c r="A182" s="1">
        <v>46036</v>
      </c>
      <c r="B182" s="1">
        <v>46036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555</v>
      </c>
      <c r="J182" t="s">
        <v>556</v>
      </c>
      <c r="M182" t="s">
        <v>134</v>
      </c>
      <c r="O182" t="s">
        <v>135</v>
      </c>
      <c r="P182" t="s">
        <v>136</v>
      </c>
      <c r="Q182" t="s">
        <v>49</v>
      </c>
      <c r="R182" t="s">
        <v>433</v>
      </c>
      <c r="S182" s="1">
        <v>46023</v>
      </c>
      <c r="U182" t="s">
        <v>51</v>
      </c>
      <c r="X182" t="s">
        <v>52</v>
      </c>
      <c r="Y182" s="2">
        <v>0</v>
      </c>
      <c r="Z182" s="2">
        <v>694</v>
      </c>
      <c r="AA182">
        <v>1</v>
      </c>
      <c r="AB182" s="3">
        <v>1</v>
      </c>
      <c r="AC182" s="2">
        <v>694</v>
      </c>
      <c r="AD182" s="3">
        <v>0</v>
      </c>
      <c r="AE182" s="2">
        <v>0</v>
      </c>
      <c r="AF182" s="2">
        <v>694</v>
      </c>
      <c r="AK182">
        <v>6124248</v>
      </c>
    </row>
    <row r="183" spans="1:38" x14ac:dyDescent="0.25">
      <c r="A183" s="1">
        <v>46036</v>
      </c>
      <c r="B183" s="1">
        <v>46036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557</v>
      </c>
      <c r="J183" t="s">
        <v>558</v>
      </c>
      <c r="M183" t="s">
        <v>108</v>
      </c>
      <c r="O183" t="s">
        <v>377</v>
      </c>
      <c r="P183" t="s">
        <v>378</v>
      </c>
      <c r="Q183" t="s">
        <v>49</v>
      </c>
      <c r="R183" t="s">
        <v>433</v>
      </c>
      <c r="S183" s="1">
        <v>46023</v>
      </c>
      <c r="U183" t="s">
        <v>51</v>
      </c>
      <c r="X183" t="s">
        <v>52</v>
      </c>
      <c r="Y183" s="2">
        <v>0</v>
      </c>
      <c r="Z183" s="2">
        <v>694</v>
      </c>
      <c r="AA183">
        <v>1</v>
      </c>
      <c r="AB183" s="3">
        <v>1</v>
      </c>
      <c r="AC183" s="2">
        <v>694</v>
      </c>
      <c r="AD183" s="3">
        <v>0</v>
      </c>
      <c r="AE183" s="2">
        <v>0</v>
      </c>
      <c r="AF183" s="2">
        <v>694</v>
      </c>
      <c r="AK183">
        <v>6124249</v>
      </c>
    </row>
    <row r="184" spans="1:38" x14ac:dyDescent="0.25">
      <c r="A184" s="1">
        <v>46036</v>
      </c>
      <c r="B184" s="1">
        <v>46036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559</v>
      </c>
      <c r="J184" t="s">
        <v>560</v>
      </c>
      <c r="M184" t="s">
        <v>61</v>
      </c>
      <c r="O184" t="s">
        <v>377</v>
      </c>
      <c r="P184" t="s">
        <v>378</v>
      </c>
      <c r="Q184" t="s">
        <v>49</v>
      </c>
      <c r="R184" t="s">
        <v>433</v>
      </c>
      <c r="S184" s="1">
        <v>46023</v>
      </c>
      <c r="U184" t="s">
        <v>51</v>
      </c>
      <c r="X184" t="s">
        <v>52</v>
      </c>
      <c r="Y184" s="2">
        <v>0</v>
      </c>
      <c r="Z184" s="2">
        <v>694</v>
      </c>
      <c r="AA184">
        <v>1</v>
      </c>
      <c r="AB184" s="3">
        <v>1</v>
      </c>
      <c r="AC184" s="2">
        <v>694</v>
      </c>
      <c r="AD184" s="3">
        <v>0</v>
      </c>
      <c r="AE184" s="2">
        <v>0</v>
      </c>
      <c r="AF184" s="2">
        <v>694</v>
      </c>
      <c r="AK184">
        <v>6124250</v>
      </c>
    </row>
    <row r="185" spans="1:38" x14ac:dyDescent="0.25">
      <c r="A185" s="1">
        <v>46036</v>
      </c>
      <c r="B185" s="1">
        <v>46036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561</v>
      </c>
      <c r="J185" t="s">
        <v>562</v>
      </c>
      <c r="M185" t="s">
        <v>55</v>
      </c>
      <c r="O185" t="s">
        <v>62</v>
      </c>
      <c r="P185" t="s">
        <v>63</v>
      </c>
      <c r="Q185" t="s">
        <v>49</v>
      </c>
      <c r="R185" t="s">
        <v>484</v>
      </c>
      <c r="S185" s="1">
        <v>46054</v>
      </c>
      <c r="U185" t="s">
        <v>51</v>
      </c>
      <c r="X185" t="s">
        <v>52</v>
      </c>
      <c r="Y185" s="2">
        <v>0</v>
      </c>
      <c r="Z185" s="2">
        <v>318.08</v>
      </c>
      <c r="AA185">
        <v>1</v>
      </c>
      <c r="AB185" s="3">
        <v>1</v>
      </c>
      <c r="AC185" s="2">
        <v>318.08</v>
      </c>
      <c r="AD185" s="3">
        <v>0</v>
      </c>
      <c r="AE185" s="2">
        <v>0</v>
      </c>
      <c r="AF185" s="2">
        <v>318.08</v>
      </c>
      <c r="AK185">
        <v>6124262</v>
      </c>
      <c r="AL185" t="s">
        <v>386</v>
      </c>
    </row>
    <row r="186" spans="1:38" x14ac:dyDescent="0.25">
      <c r="A186" s="1">
        <v>46036</v>
      </c>
      <c r="B186" s="1">
        <v>46036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563</v>
      </c>
      <c r="J186" t="s">
        <v>562</v>
      </c>
      <c r="M186" t="s">
        <v>55</v>
      </c>
      <c r="O186" t="s">
        <v>62</v>
      </c>
      <c r="P186" t="s">
        <v>63</v>
      </c>
      <c r="Q186" t="s">
        <v>49</v>
      </c>
      <c r="R186" t="s">
        <v>523</v>
      </c>
      <c r="S186" s="1">
        <v>46054</v>
      </c>
      <c r="U186" t="s">
        <v>51</v>
      </c>
      <c r="X186" t="s">
        <v>52</v>
      </c>
      <c r="Y186" s="2">
        <v>0</v>
      </c>
      <c r="Z186" s="2">
        <v>66</v>
      </c>
      <c r="AA186">
        <v>1</v>
      </c>
      <c r="AB186" s="3">
        <v>1</v>
      </c>
      <c r="AC186" s="2">
        <v>66</v>
      </c>
      <c r="AD186" s="3">
        <v>0</v>
      </c>
      <c r="AE186" s="2">
        <v>0</v>
      </c>
      <c r="AF186" s="2">
        <v>66</v>
      </c>
      <c r="AK186">
        <v>6124261</v>
      </c>
      <c r="AL186" t="s">
        <v>386</v>
      </c>
    </row>
    <row r="187" spans="1:38" x14ac:dyDescent="0.25">
      <c r="A187" s="1">
        <v>46036</v>
      </c>
      <c r="B187" s="1">
        <v>46036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564</v>
      </c>
      <c r="J187" t="s">
        <v>565</v>
      </c>
      <c r="M187" t="s">
        <v>55</v>
      </c>
      <c r="O187" t="s">
        <v>142</v>
      </c>
      <c r="P187" t="s">
        <v>143</v>
      </c>
      <c r="Q187" t="s">
        <v>49</v>
      </c>
      <c r="R187" t="s">
        <v>566</v>
      </c>
      <c r="S187" s="1">
        <v>46054</v>
      </c>
      <c r="U187" t="s">
        <v>51</v>
      </c>
      <c r="X187" t="s">
        <v>52</v>
      </c>
      <c r="Y187" s="2">
        <v>0</v>
      </c>
      <c r="Z187" s="2">
        <v>286.92</v>
      </c>
      <c r="AA187">
        <v>1</v>
      </c>
      <c r="AB187" s="3">
        <v>1</v>
      </c>
      <c r="AC187" s="2">
        <v>286.92</v>
      </c>
      <c r="AD187" s="3">
        <v>0</v>
      </c>
      <c r="AE187" s="2">
        <v>0</v>
      </c>
      <c r="AF187" s="2">
        <v>286.92</v>
      </c>
      <c r="AK187">
        <v>6124029</v>
      </c>
      <c r="AL187" t="s">
        <v>386</v>
      </c>
    </row>
    <row r="188" spans="1:38" x14ac:dyDescent="0.25">
      <c r="A188" s="1">
        <v>46036</v>
      </c>
      <c r="B188" s="1">
        <v>46036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567</v>
      </c>
      <c r="J188" t="s">
        <v>565</v>
      </c>
      <c r="M188" t="s">
        <v>55</v>
      </c>
      <c r="O188" t="s">
        <v>142</v>
      </c>
      <c r="P188" t="s">
        <v>143</v>
      </c>
      <c r="Q188" t="s">
        <v>49</v>
      </c>
      <c r="R188" t="s">
        <v>536</v>
      </c>
      <c r="S188" s="1">
        <v>46054</v>
      </c>
      <c r="U188" t="s">
        <v>51</v>
      </c>
      <c r="X188" t="s">
        <v>52</v>
      </c>
      <c r="Y188" s="2">
        <v>0</v>
      </c>
      <c r="Z188" s="2">
        <v>45.83</v>
      </c>
      <c r="AA188">
        <v>1</v>
      </c>
      <c r="AB188" s="3">
        <v>1</v>
      </c>
      <c r="AC188" s="2">
        <v>45.83</v>
      </c>
      <c r="AD188" s="3">
        <v>0</v>
      </c>
      <c r="AE188" s="2">
        <v>0</v>
      </c>
      <c r="AF188" s="2">
        <v>45.83</v>
      </c>
      <c r="AK188">
        <v>6124030</v>
      </c>
      <c r="AL188" t="s">
        <v>386</v>
      </c>
    </row>
    <row r="189" spans="1:38" x14ac:dyDescent="0.25">
      <c r="A189" s="1">
        <v>46036</v>
      </c>
      <c r="B189" s="1">
        <v>46036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568</v>
      </c>
      <c r="J189" t="s">
        <v>569</v>
      </c>
      <c r="M189" t="s">
        <v>55</v>
      </c>
      <c r="O189" t="s">
        <v>570</v>
      </c>
      <c r="P189" t="s">
        <v>571</v>
      </c>
      <c r="Q189" t="s">
        <v>49</v>
      </c>
      <c r="R189" t="s">
        <v>523</v>
      </c>
      <c r="S189" s="1">
        <v>46054</v>
      </c>
      <c r="U189" t="s">
        <v>51</v>
      </c>
      <c r="X189" t="s">
        <v>52</v>
      </c>
      <c r="Y189" s="2">
        <v>0</v>
      </c>
      <c r="Z189" s="2">
        <v>66</v>
      </c>
      <c r="AA189">
        <v>1</v>
      </c>
      <c r="AB189" s="3">
        <v>1</v>
      </c>
      <c r="AC189" s="2">
        <v>66</v>
      </c>
      <c r="AD189" s="3">
        <v>0</v>
      </c>
      <c r="AE189" s="2">
        <v>0</v>
      </c>
      <c r="AF189" s="2">
        <v>66</v>
      </c>
      <c r="AK189">
        <v>6124032</v>
      </c>
      <c r="AL189" t="s">
        <v>386</v>
      </c>
    </row>
    <row r="190" spans="1:38" x14ac:dyDescent="0.25">
      <c r="A190" s="1">
        <v>46036</v>
      </c>
      <c r="B190" s="1">
        <v>46036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572</v>
      </c>
      <c r="J190" t="s">
        <v>573</v>
      </c>
      <c r="M190" t="s">
        <v>55</v>
      </c>
      <c r="O190" t="s">
        <v>142</v>
      </c>
      <c r="P190" t="s">
        <v>143</v>
      </c>
      <c r="Q190" t="s">
        <v>49</v>
      </c>
      <c r="R190" t="s">
        <v>566</v>
      </c>
      <c r="S190" s="1">
        <v>46054</v>
      </c>
      <c r="U190" t="s">
        <v>51</v>
      </c>
      <c r="X190" t="s">
        <v>52</v>
      </c>
      <c r="Y190" s="2">
        <v>0</v>
      </c>
      <c r="Z190" s="2">
        <v>286.92</v>
      </c>
      <c r="AA190">
        <v>1</v>
      </c>
      <c r="AB190" s="3">
        <v>1</v>
      </c>
      <c r="AC190" s="2">
        <v>286.92</v>
      </c>
      <c r="AD190" s="3">
        <v>0</v>
      </c>
      <c r="AE190" s="2">
        <v>0</v>
      </c>
      <c r="AF190" s="2">
        <v>286.92</v>
      </c>
      <c r="AK190">
        <v>6124033</v>
      </c>
      <c r="AL190" t="s">
        <v>386</v>
      </c>
    </row>
    <row r="191" spans="1:38" x14ac:dyDescent="0.25">
      <c r="A191" s="1">
        <v>46036</v>
      </c>
      <c r="B191" s="1">
        <v>46036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574</v>
      </c>
      <c r="J191" t="s">
        <v>573</v>
      </c>
      <c r="M191" t="s">
        <v>55</v>
      </c>
      <c r="O191" t="s">
        <v>142</v>
      </c>
      <c r="P191" t="s">
        <v>143</v>
      </c>
      <c r="Q191" t="s">
        <v>49</v>
      </c>
      <c r="R191" t="s">
        <v>536</v>
      </c>
      <c r="S191" s="1">
        <v>46054</v>
      </c>
      <c r="U191" t="s">
        <v>51</v>
      </c>
      <c r="X191" t="s">
        <v>52</v>
      </c>
      <c r="Y191" s="2">
        <v>0</v>
      </c>
      <c r="Z191" s="2">
        <v>45.83</v>
      </c>
      <c r="AA191">
        <v>1</v>
      </c>
      <c r="AB191" s="3">
        <v>1</v>
      </c>
      <c r="AC191" s="2">
        <v>45.83</v>
      </c>
      <c r="AD191" s="3">
        <v>0</v>
      </c>
      <c r="AE191" s="2">
        <v>0</v>
      </c>
      <c r="AF191" s="2">
        <v>45.83</v>
      </c>
      <c r="AK191">
        <v>6124034</v>
      </c>
      <c r="AL191" t="s">
        <v>386</v>
      </c>
    </row>
    <row r="192" spans="1:38" x14ac:dyDescent="0.25">
      <c r="A192" s="1">
        <v>46036</v>
      </c>
      <c r="B192" s="1">
        <v>46036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575</v>
      </c>
      <c r="J192" t="s">
        <v>576</v>
      </c>
      <c r="M192" t="s">
        <v>55</v>
      </c>
      <c r="O192" t="s">
        <v>265</v>
      </c>
      <c r="P192" t="s">
        <v>266</v>
      </c>
      <c r="Q192" t="s">
        <v>49</v>
      </c>
      <c r="R192" t="s">
        <v>484</v>
      </c>
      <c r="S192" s="1">
        <v>46054</v>
      </c>
      <c r="U192" t="s">
        <v>51</v>
      </c>
      <c r="X192" t="s">
        <v>52</v>
      </c>
      <c r="Y192" s="2">
        <v>0</v>
      </c>
      <c r="Z192" s="2">
        <v>318.08</v>
      </c>
      <c r="AA192">
        <v>1</v>
      </c>
      <c r="AB192" s="3">
        <v>1</v>
      </c>
      <c r="AC192" s="2">
        <v>318.08</v>
      </c>
      <c r="AD192" s="3">
        <v>0</v>
      </c>
      <c r="AE192" s="2">
        <v>0</v>
      </c>
      <c r="AF192" s="2">
        <v>318.08</v>
      </c>
      <c r="AK192">
        <v>6124265</v>
      </c>
      <c r="AL192" t="s">
        <v>386</v>
      </c>
    </row>
    <row r="193" spans="1:38" x14ac:dyDescent="0.25">
      <c r="A193" s="1">
        <v>46036</v>
      </c>
      <c r="B193" s="1">
        <v>46036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577</v>
      </c>
      <c r="J193" t="s">
        <v>576</v>
      </c>
      <c r="M193" t="s">
        <v>55</v>
      </c>
      <c r="O193" t="s">
        <v>265</v>
      </c>
      <c r="P193" t="s">
        <v>266</v>
      </c>
      <c r="Q193" t="s">
        <v>49</v>
      </c>
      <c r="R193" t="s">
        <v>523</v>
      </c>
      <c r="S193" s="1">
        <v>46054</v>
      </c>
      <c r="U193" t="s">
        <v>51</v>
      </c>
      <c r="X193" t="s">
        <v>52</v>
      </c>
      <c r="Y193" s="2">
        <v>0</v>
      </c>
      <c r="Z193" s="2">
        <v>66</v>
      </c>
      <c r="AA193">
        <v>1</v>
      </c>
      <c r="AB193" s="3">
        <v>1</v>
      </c>
      <c r="AC193" s="2">
        <v>66</v>
      </c>
      <c r="AD193" s="3">
        <v>0</v>
      </c>
      <c r="AE193" s="2">
        <v>0</v>
      </c>
      <c r="AF193" s="2">
        <v>66</v>
      </c>
      <c r="AK193">
        <v>6124263</v>
      </c>
      <c r="AL193" t="s">
        <v>386</v>
      </c>
    </row>
    <row r="194" spans="1:38" x14ac:dyDescent="0.25">
      <c r="A194" s="1">
        <v>46036</v>
      </c>
      <c r="B194" s="1">
        <v>46036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578</v>
      </c>
      <c r="J194" t="s">
        <v>579</v>
      </c>
      <c r="M194" t="s">
        <v>66</v>
      </c>
      <c r="O194" t="s">
        <v>67</v>
      </c>
      <c r="P194" t="s">
        <v>68</v>
      </c>
      <c r="Q194" t="s">
        <v>49</v>
      </c>
      <c r="R194" t="s">
        <v>580</v>
      </c>
      <c r="S194" s="1">
        <v>46023</v>
      </c>
      <c r="U194" t="s">
        <v>51</v>
      </c>
      <c r="X194" t="s">
        <v>52</v>
      </c>
      <c r="Y194" s="2">
        <v>0</v>
      </c>
      <c r="Z194" s="2">
        <v>353</v>
      </c>
      <c r="AA194">
        <v>1</v>
      </c>
      <c r="AB194" s="3">
        <v>1</v>
      </c>
      <c r="AC194" s="2">
        <v>353</v>
      </c>
      <c r="AD194" s="3">
        <v>0</v>
      </c>
      <c r="AE194" s="2">
        <v>0</v>
      </c>
      <c r="AF194" s="2">
        <v>353</v>
      </c>
      <c r="AK194">
        <v>6124269</v>
      </c>
      <c r="AL194" t="s">
        <v>439</v>
      </c>
    </row>
    <row r="195" spans="1:38" x14ac:dyDescent="0.25">
      <c r="A195" s="1">
        <v>46036</v>
      </c>
      <c r="B195" s="1">
        <v>46036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581</v>
      </c>
      <c r="J195" t="s">
        <v>579</v>
      </c>
      <c r="M195" t="s">
        <v>66</v>
      </c>
      <c r="O195" t="s">
        <v>67</v>
      </c>
      <c r="P195" t="s">
        <v>68</v>
      </c>
      <c r="Q195" t="s">
        <v>49</v>
      </c>
      <c r="R195" t="s">
        <v>536</v>
      </c>
      <c r="S195" s="1">
        <v>46023</v>
      </c>
      <c r="U195" t="s">
        <v>51</v>
      </c>
      <c r="X195" t="s">
        <v>52</v>
      </c>
      <c r="Y195" s="2">
        <v>0</v>
      </c>
      <c r="Z195" s="2">
        <v>50</v>
      </c>
      <c r="AA195">
        <v>1</v>
      </c>
      <c r="AB195" s="3">
        <v>1</v>
      </c>
      <c r="AC195" s="2">
        <v>50</v>
      </c>
      <c r="AD195" s="3">
        <v>0</v>
      </c>
      <c r="AE195" s="2">
        <v>0</v>
      </c>
      <c r="AF195" s="2">
        <v>50</v>
      </c>
      <c r="AK195">
        <v>6124266</v>
      </c>
      <c r="AL195" t="s">
        <v>439</v>
      </c>
    </row>
    <row r="196" spans="1:38" s="10" customFormat="1" x14ac:dyDescent="0.25">
      <c r="A196" s="11">
        <v>46036</v>
      </c>
      <c r="B196" s="11">
        <v>46036</v>
      </c>
      <c r="C196" s="10" t="s">
        <v>38</v>
      </c>
      <c r="D196" s="10" t="s">
        <v>39</v>
      </c>
      <c r="E196" s="10" t="s">
        <v>40</v>
      </c>
      <c r="F196" s="10" t="s">
        <v>41</v>
      </c>
      <c r="G196" s="10" t="s">
        <v>42</v>
      </c>
      <c r="H196" s="10" t="s">
        <v>43</v>
      </c>
      <c r="I196" s="10" t="s">
        <v>582</v>
      </c>
      <c r="J196" s="10" t="s">
        <v>583</v>
      </c>
      <c r="M196" s="10" t="s">
        <v>55</v>
      </c>
      <c r="O196" s="10" t="s">
        <v>584</v>
      </c>
      <c r="P196" s="10" t="s">
        <v>585</v>
      </c>
      <c r="Q196" s="10" t="s">
        <v>49</v>
      </c>
      <c r="R196" s="10" t="s">
        <v>586</v>
      </c>
      <c r="S196" s="11">
        <v>46023</v>
      </c>
      <c r="U196" s="10" t="s">
        <v>51</v>
      </c>
      <c r="X196" s="10" t="s">
        <v>52</v>
      </c>
      <c r="Y196" s="12">
        <v>0</v>
      </c>
      <c r="Z196" s="12">
        <v>9.83</v>
      </c>
      <c r="AA196" s="10">
        <v>9</v>
      </c>
      <c r="AB196" s="13">
        <v>1</v>
      </c>
      <c r="AC196" s="12">
        <v>88.47</v>
      </c>
      <c r="AD196" s="13">
        <v>0</v>
      </c>
      <c r="AE196" s="12">
        <v>0</v>
      </c>
      <c r="AF196" s="12">
        <v>88.47</v>
      </c>
      <c r="AK196" s="10">
        <v>6124019</v>
      </c>
    </row>
    <row r="197" spans="1:38" x14ac:dyDescent="0.25">
      <c r="A197" s="1">
        <v>46036</v>
      </c>
      <c r="B197" s="1">
        <v>46036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587</v>
      </c>
      <c r="J197" t="s">
        <v>588</v>
      </c>
      <c r="M197" t="s">
        <v>55</v>
      </c>
      <c r="O197" t="s">
        <v>97</v>
      </c>
      <c r="P197" t="s">
        <v>98</v>
      </c>
      <c r="Q197" t="s">
        <v>49</v>
      </c>
      <c r="R197" t="s">
        <v>589</v>
      </c>
      <c r="S197" s="1">
        <v>46023</v>
      </c>
      <c r="U197" t="s">
        <v>51</v>
      </c>
      <c r="X197" t="s">
        <v>52</v>
      </c>
      <c r="Y197" s="2">
        <v>0</v>
      </c>
      <c r="Z197" s="2">
        <v>31.5</v>
      </c>
      <c r="AA197">
        <v>9</v>
      </c>
      <c r="AB197" s="3">
        <v>1</v>
      </c>
      <c r="AC197" s="2">
        <v>283.5</v>
      </c>
      <c r="AD197" s="3">
        <v>0</v>
      </c>
      <c r="AE197" s="2">
        <v>0</v>
      </c>
      <c r="AF197" s="2">
        <v>283.5</v>
      </c>
      <c r="AK197">
        <v>6124018</v>
      </c>
    </row>
    <row r="198" spans="1:38" s="10" customFormat="1" x14ac:dyDescent="0.25">
      <c r="A198" s="11">
        <v>46036</v>
      </c>
      <c r="B198" s="11">
        <v>46036</v>
      </c>
      <c r="C198" s="10" t="s">
        <v>38</v>
      </c>
      <c r="D198" s="10" t="s">
        <v>39</v>
      </c>
      <c r="E198" s="10" t="s">
        <v>40</v>
      </c>
      <c r="F198" s="10" t="s">
        <v>41</v>
      </c>
      <c r="G198" s="10" t="s">
        <v>42</v>
      </c>
      <c r="H198" s="10" t="s">
        <v>43</v>
      </c>
      <c r="I198" s="10" t="s">
        <v>590</v>
      </c>
      <c r="J198" s="10" t="s">
        <v>591</v>
      </c>
      <c r="M198" s="10" t="s">
        <v>592</v>
      </c>
      <c r="O198" s="10" t="s">
        <v>109</v>
      </c>
      <c r="P198" s="10" t="s">
        <v>110</v>
      </c>
      <c r="Q198" s="10" t="s">
        <v>49</v>
      </c>
      <c r="R198" s="10" t="s">
        <v>586</v>
      </c>
      <c r="S198" s="11">
        <v>46023</v>
      </c>
      <c r="U198" s="10" t="s">
        <v>51</v>
      </c>
      <c r="X198" s="10" t="s">
        <v>52</v>
      </c>
      <c r="Y198" s="12">
        <v>0</v>
      </c>
      <c r="Z198" s="12">
        <v>9.83</v>
      </c>
      <c r="AA198" s="10">
        <v>9</v>
      </c>
      <c r="AB198" s="13">
        <v>1</v>
      </c>
      <c r="AC198" s="12">
        <v>88.47</v>
      </c>
      <c r="AD198" s="13">
        <v>0</v>
      </c>
      <c r="AE198" s="12">
        <v>0</v>
      </c>
      <c r="AF198" s="12">
        <v>88.47</v>
      </c>
      <c r="AK198" s="10">
        <v>6124020</v>
      </c>
    </row>
    <row r="199" spans="1:38" x14ac:dyDescent="0.25">
      <c r="A199" s="1">
        <v>46036</v>
      </c>
      <c r="B199" s="1">
        <v>46036</v>
      </c>
      <c r="C199" t="s">
        <v>593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594</v>
      </c>
      <c r="J199" t="s">
        <v>366</v>
      </c>
      <c r="M199" t="s">
        <v>125</v>
      </c>
      <c r="O199" t="s">
        <v>62</v>
      </c>
      <c r="P199" t="s">
        <v>63</v>
      </c>
      <c r="Q199" t="s">
        <v>595</v>
      </c>
      <c r="R199" t="s">
        <v>58</v>
      </c>
      <c r="S199" s="1">
        <v>46023</v>
      </c>
      <c r="U199" t="s">
        <v>51</v>
      </c>
      <c r="X199" t="s">
        <v>52</v>
      </c>
      <c r="AF199" s="2">
        <v>175</v>
      </c>
      <c r="AG199" s="2">
        <v>0</v>
      </c>
      <c r="AJ199" s="2">
        <v>175</v>
      </c>
    </row>
    <row r="200" spans="1:38" x14ac:dyDescent="0.25">
      <c r="A200" s="1">
        <v>46036</v>
      </c>
      <c r="B200" s="1">
        <v>46036</v>
      </c>
      <c r="C200" t="s">
        <v>593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596</v>
      </c>
      <c r="J200" t="s">
        <v>597</v>
      </c>
      <c r="M200" t="s">
        <v>350</v>
      </c>
      <c r="O200" t="s">
        <v>598</v>
      </c>
      <c r="P200" t="s">
        <v>599</v>
      </c>
      <c r="Q200" t="s">
        <v>595</v>
      </c>
      <c r="R200" t="s">
        <v>58</v>
      </c>
      <c r="S200" s="1">
        <v>46023</v>
      </c>
      <c r="U200" t="s">
        <v>51</v>
      </c>
      <c r="X200" t="s">
        <v>52</v>
      </c>
      <c r="AF200" s="2">
        <v>175</v>
      </c>
      <c r="AG200" s="2">
        <v>0</v>
      </c>
      <c r="AJ200" s="2">
        <v>175</v>
      </c>
    </row>
    <row r="201" spans="1:38" x14ac:dyDescent="0.25">
      <c r="A201" s="1">
        <v>46036</v>
      </c>
      <c r="B201" s="1">
        <v>46036</v>
      </c>
      <c r="C201" t="s">
        <v>593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600</v>
      </c>
      <c r="J201" t="s">
        <v>601</v>
      </c>
      <c r="M201" t="s">
        <v>187</v>
      </c>
      <c r="O201" t="s">
        <v>285</v>
      </c>
      <c r="P201" t="s">
        <v>286</v>
      </c>
      <c r="Q201" t="s">
        <v>595</v>
      </c>
      <c r="R201" t="s">
        <v>58</v>
      </c>
      <c r="S201" s="1">
        <v>46023</v>
      </c>
      <c r="U201" t="s">
        <v>51</v>
      </c>
      <c r="X201" t="s">
        <v>52</v>
      </c>
      <c r="AF201" s="2">
        <v>175</v>
      </c>
      <c r="AG201" s="2">
        <v>0</v>
      </c>
      <c r="AJ201" s="2">
        <v>161</v>
      </c>
    </row>
    <row r="202" spans="1:38" x14ac:dyDescent="0.25">
      <c r="A202" s="1">
        <v>46036</v>
      </c>
      <c r="B202" s="1">
        <v>46036</v>
      </c>
      <c r="C202" t="s">
        <v>593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602</v>
      </c>
      <c r="J202" t="s">
        <v>603</v>
      </c>
      <c r="M202" t="s">
        <v>187</v>
      </c>
      <c r="O202" t="s">
        <v>285</v>
      </c>
      <c r="P202" t="s">
        <v>286</v>
      </c>
      <c r="Q202" t="s">
        <v>595</v>
      </c>
      <c r="R202" t="s">
        <v>58</v>
      </c>
      <c r="S202" s="1">
        <v>46023</v>
      </c>
      <c r="U202" t="s">
        <v>51</v>
      </c>
      <c r="X202" t="s">
        <v>52</v>
      </c>
      <c r="AF202" s="2">
        <v>175</v>
      </c>
      <c r="AG202" s="2">
        <v>0</v>
      </c>
      <c r="AJ202" s="2">
        <v>161</v>
      </c>
    </row>
    <row r="203" spans="1:38" x14ac:dyDescent="0.25">
      <c r="A203" s="1">
        <v>46036</v>
      </c>
      <c r="B203" s="1">
        <v>46036</v>
      </c>
      <c r="C203" t="s">
        <v>593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604</v>
      </c>
      <c r="J203" t="s">
        <v>605</v>
      </c>
      <c r="M203" t="s">
        <v>55</v>
      </c>
      <c r="O203" t="s">
        <v>56</v>
      </c>
      <c r="P203" t="s">
        <v>57</v>
      </c>
      <c r="Q203" t="s">
        <v>595</v>
      </c>
      <c r="R203" t="s">
        <v>58</v>
      </c>
      <c r="S203" s="1">
        <v>46023</v>
      </c>
      <c r="U203" t="s">
        <v>51</v>
      </c>
      <c r="X203" t="s">
        <v>52</v>
      </c>
      <c r="AF203" s="2">
        <v>175</v>
      </c>
      <c r="AG203" s="2">
        <v>0</v>
      </c>
      <c r="AJ203" s="2">
        <v>175</v>
      </c>
    </row>
    <row r="204" spans="1:38" x14ac:dyDescent="0.25">
      <c r="A204" s="1">
        <v>46036</v>
      </c>
      <c r="B204" s="1">
        <v>46036</v>
      </c>
      <c r="C204" t="s">
        <v>593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606</v>
      </c>
      <c r="J204" t="s">
        <v>607</v>
      </c>
      <c r="M204" t="s">
        <v>55</v>
      </c>
      <c r="O204" t="s">
        <v>306</v>
      </c>
      <c r="P204" t="s">
        <v>307</v>
      </c>
      <c r="Q204" t="s">
        <v>595</v>
      </c>
      <c r="R204" t="s">
        <v>50</v>
      </c>
      <c r="S204" s="1">
        <v>46023</v>
      </c>
      <c r="U204" t="s">
        <v>51</v>
      </c>
      <c r="X204" t="s">
        <v>52</v>
      </c>
      <c r="AF204" s="2">
        <v>108</v>
      </c>
      <c r="AG204" s="2">
        <v>0</v>
      </c>
      <c r="AJ204" s="2">
        <v>108</v>
      </c>
    </row>
    <row r="205" spans="1:38" x14ac:dyDescent="0.25">
      <c r="A205" s="1">
        <v>46036</v>
      </c>
      <c r="B205" s="1">
        <v>46036</v>
      </c>
      <c r="C205" t="s">
        <v>593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608</v>
      </c>
      <c r="J205" t="s">
        <v>609</v>
      </c>
      <c r="M205" t="s">
        <v>55</v>
      </c>
      <c r="O205" t="s">
        <v>306</v>
      </c>
      <c r="P205" t="s">
        <v>307</v>
      </c>
      <c r="Q205" t="s">
        <v>595</v>
      </c>
      <c r="R205" t="s">
        <v>50</v>
      </c>
      <c r="S205" s="1">
        <v>46023</v>
      </c>
      <c r="U205" t="s">
        <v>51</v>
      </c>
      <c r="X205" t="s">
        <v>52</v>
      </c>
      <c r="AF205" s="2">
        <v>108</v>
      </c>
      <c r="AG205" s="2">
        <v>0</v>
      </c>
      <c r="AJ205" s="2">
        <v>108</v>
      </c>
    </row>
    <row r="206" spans="1:38" x14ac:dyDescent="0.25">
      <c r="A206" s="1">
        <v>46036</v>
      </c>
      <c r="B206" s="1">
        <v>46036</v>
      </c>
      <c r="C206" t="s">
        <v>593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610</v>
      </c>
      <c r="J206" t="s">
        <v>611</v>
      </c>
      <c r="M206" t="s">
        <v>55</v>
      </c>
      <c r="O206" t="s">
        <v>553</v>
      </c>
      <c r="P206" t="s">
        <v>554</v>
      </c>
      <c r="Q206" t="s">
        <v>595</v>
      </c>
      <c r="R206" t="s">
        <v>50</v>
      </c>
      <c r="S206" s="1">
        <v>46023</v>
      </c>
      <c r="U206" t="s">
        <v>51</v>
      </c>
      <c r="X206" t="s">
        <v>52</v>
      </c>
      <c r="AF206" s="2">
        <v>108</v>
      </c>
      <c r="AG206" s="2">
        <v>0</v>
      </c>
      <c r="AJ206" s="2">
        <v>108</v>
      </c>
    </row>
    <row r="207" spans="1:38" x14ac:dyDescent="0.25">
      <c r="A207" s="1">
        <v>46036</v>
      </c>
      <c r="B207" s="1">
        <v>46036</v>
      </c>
      <c r="C207" t="s">
        <v>593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612</v>
      </c>
      <c r="J207" t="s">
        <v>613</v>
      </c>
      <c r="M207" t="s">
        <v>55</v>
      </c>
      <c r="O207" t="s">
        <v>97</v>
      </c>
      <c r="P207" t="s">
        <v>98</v>
      </c>
      <c r="Q207" t="s">
        <v>595</v>
      </c>
      <c r="R207" t="s">
        <v>50</v>
      </c>
      <c r="S207" s="1">
        <v>46023</v>
      </c>
      <c r="U207" t="s">
        <v>51</v>
      </c>
      <c r="X207" t="s">
        <v>52</v>
      </c>
      <c r="AF207" s="2">
        <v>108</v>
      </c>
      <c r="AG207" s="2">
        <v>0</v>
      </c>
      <c r="AJ207" s="2">
        <v>108</v>
      </c>
    </row>
    <row r="208" spans="1:38" x14ac:dyDescent="0.25">
      <c r="A208" s="1">
        <v>46036</v>
      </c>
      <c r="B208" s="1">
        <v>46036</v>
      </c>
      <c r="C208" t="s">
        <v>593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614</v>
      </c>
      <c r="J208" t="s">
        <v>615</v>
      </c>
      <c r="M208" t="s">
        <v>55</v>
      </c>
      <c r="O208" t="s">
        <v>97</v>
      </c>
      <c r="P208" t="s">
        <v>98</v>
      </c>
      <c r="Q208" t="s">
        <v>595</v>
      </c>
      <c r="R208" t="s">
        <v>50</v>
      </c>
      <c r="S208" s="1">
        <v>46023</v>
      </c>
      <c r="U208" t="s">
        <v>51</v>
      </c>
      <c r="X208" t="s">
        <v>52</v>
      </c>
      <c r="AF208" s="2">
        <v>108</v>
      </c>
      <c r="AG208" s="2">
        <v>0</v>
      </c>
      <c r="AJ208" s="2">
        <v>108</v>
      </c>
    </row>
    <row r="209" spans="1:36" x14ac:dyDescent="0.25">
      <c r="A209" s="1">
        <v>46036</v>
      </c>
      <c r="B209" s="1">
        <v>46036</v>
      </c>
      <c r="C209" t="s">
        <v>593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616</v>
      </c>
      <c r="J209" t="s">
        <v>617</v>
      </c>
      <c r="M209" t="s">
        <v>55</v>
      </c>
      <c r="O209" t="s">
        <v>618</v>
      </c>
      <c r="P209" t="s">
        <v>619</v>
      </c>
      <c r="Q209" t="s">
        <v>595</v>
      </c>
      <c r="R209" t="s">
        <v>50</v>
      </c>
      <c r="S209" s="1">
        <v>46023</v>
      </c>
      <c r="U209" t="s">
        <v>51</v>
      </c>
      <c r="X209" t="s">
        <v>52</v>
      </c>
      <c r="AF209" s="2">
        <v>108</v>
      </c>
      <c r="AG209" s="2">
        <v>0</v>
      </c>
      <c r="AJ209" s="2">
        <v>108</v>
      </c>
    </row>
    <row r="210" spans="1:36" x14ac:dyDescent="0.25">
      <c r="A210" s="1">
        <v>46036</v>
      </c>
      <c r="B210" s="1">
        <v>46036</v>
      </c>
      <c r="C210" t="s">
        <v>593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620</v>
      </c>
      <c r="J210" t="s">
        <v>621</v>
      </c>
      <c r="M210" t="s">
        <v>55</v>
      </c>
      <c r="O210" t="s">
        <v>403</v>
      </c>
      <c r="P210" t="s">
        <v>404</v>
      </c>
      <c r="Q210" t="s">
        <v>595</v>
      </c>
      <c r="R210" t="s">
        <v>58</v>
      </c>
      <c r="S210" s="1">
        <v>46023</v>
      </c>
      <c r="U210" t="s">
        <v>51</v>
      </c>
      <c r="X210" t="s">
        <v>52</v>
      </c>
      <c r="AF210" s="2">
        <v>175</v>
      </c>
      <c r="AG210" s="2">
        <v>0</v>
      </c>
      <c r="AJ210" s="2">
        <v>175</v>
      </c>
    </row>
    <row r="211" spans="1:36" x14ac:dyDescent="0.25">
      <c r="A211" s="1">
        <v>46036</v>
      </c>
      <c r="B211" s="1">
        <v>46036</v>
      </c>
      <c r="C211" t="s">
        <v>593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622</v>
      </c>
      <c r="J211" t="s">
        <v>623</v>
      </c>
      <c r="M211" t="s">
        <v>55</v>
      </c>
      <c r="O211" t="s">
        <v>224</v>
      </c>
      <c r="P211" t="s">
        <v>225</v>
      </c>
      <c r="Q211" t="s">
        <v>595</v>
      </c>
      <c r="R211" t="s">
        <v>58</v>
      </c>
      <c r="S211" s="1">
        <v>46023</v>
      </c>
      <c r="U211" t="s">
        <v>51</v>
      </c>
      <c r="X211" t="s">
        <v>52</v>
      </c>
      <c r="AF211" s="2">
        <v>175</v>
      </c>
      <c r="AG211" s="2">
        <v>0</v>
      </c>
      <c r="AJ211" s="2">
        <v>175</v>
      </c>
    </row>
    <row r="212" spans="1:36" x14ac:dyDescent="0.25">
      <c r="A212" s="1">
        <v>46036</v>
      </c>
      <c r="B212" s="1">
        <v>46036</v>
      </c>
      <c r="C212" t="s">
        <v>593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624</v>
      </c>
      <c r="J212" t="s">
        <v>625</v>
      </c>
      <c r="M212" t="s">
        <v>55</v>
      </c>
      <c r="O212" t="s">
        <v>224</v>
      </c>
      <c r="P212" t="s">
        <v>225</v>
      </c>
      <c r="Q212" t="s">
        <v>595</v>
      </c>
      <c r="R212" t="s">
        <v>58</v>
      </c>
      <c r="S212" s="1">
        <v>46023</v>
      </c>
      <c r="U212" t="s">
        <v>51</v>
      </c>
      <c r="X212" t="s">
        <v>52</v>
      </c>
      <c r="AF212" s="2">
        <v>175</v>
      </c>
      <c r="AG212" s="2">
        <v>0</v>
      </c>
      <c r="AJ212" s="2">
        <v>175</v>
      </c>
    </row>
    <row r="213" spans="1:36" x14ac:dyDescent="0.25">
      <c r="A213" s="1">
        <v>46036</v>
      </c>
      <c r="B213" s="1">
        <v>46036</v>
      </c>
      <c r="C213" t="s">
        <v>593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626</v>
      </c>
      <c r="J213" t="s">
        <v>627</v>
      </c>
      <c r="M213" t="s">
        <v>55</v>
      </c>
      <c r="O213" t="s">
        <v>116</v>
      </c>
      <c r="P213" t="s">
        <v>117</v>
      </c>
      <c r="Q213" t="s">
        <v>595</v>
      </c>
      <c r="R213" t="s">
        <v>58</v>
      </c>
      <c r="S213" s="1">
        <v>46023</v>
      </c>
      <c r="U213" t="s">
        <v>51</v>
      </c>
      <c r="X213" t="s">
        <v>52</v>
      </c>
      <c r="AF213" s="2">
        <v>175</v>
      </c>
      <c r="AG213" s="2">
        <v>0</v>
      </c>
      <c r="AJ213" s="2">
        <v>175</v>
      </c>
    </row>
    <row r="214" spans="1:36" x14ac:dyDescent="0.25">
      <c r="A214" s="1">
        <v>46036</v>
      </c>
      <c r="B214" s="1">
        <v>46036</v>
      </c>
      <c r="C214" t="s">
        <v>593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628</v>
      </c>
      <c r="J214" t="s">
        <v>211</v>
      </c>
      <c r="M214" t="s">
        <v>125</v>
      </c>
      <c r="O214" t="s">
        <v>210</v>
      </c>
      <c r="P214" t="s">
        <v>211</v>
      </c>
      <c r="Q214" t="s">
        <v>595</v>
      </c>
      <c r="R214" t="s">
        <v>58</v>
      </c>
      <c r="S214" s="1">
        <v>46023</v>
      </c>
      <c r="U214" t="s">
        <v>51</v>
      </c>
      <c r="X214" t="s">
        <v>52</v>
      </c>
      <c r="AF214" s="2">
        <v>175</v>
      </c>
      <c r="AG214" s="2">
        <v>0</v>
      </c>
      <c r="AJ214" s="2">
        <v>175</v>
      </c>
    </row>
    <row r="215" spans="1:36" x14ac:dyDescent="0.25">
      <c r="A215" s="1">
        <v>46036</v>
      </c>
      <c r="B215" s="1">
        <v>46036</v>
      </c>
      <c r="C215" t="s">
        <v>593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629</v>
      </c>
      <c r="J215" t="s">
        <v>630</v>
      </c>
      <c r="M215" t="s">
        <v>631</v>
      </c>
      <c r="O215" t="s">
        <v>598</v>
      </c>
      <c r="P215" t="s">
        <v>599</v>
      </c>
      <c r="Q215" t="s">
        <v>595</v>
      </c>
      <c r="R215" t="s">
        <v>58</v>
      </c>
      <c r="S215" s="1">
        <v>46023</v>
      </c>
      <c r="U215" t="s">
        <v>51</v>
      </c>
      <c r="X215" t="s">
        <v>52</v>
      </c>
      <c r="AF215" s="2">
        <v>175</v>
      </c>
      <c r="AG215" s="2">
        <v>0</v>
      </c>
      <c r="AJ215" s="2">
        <v>175</v>
      </c>
    </row>
    <row r="216" spans="1:36" x14ac:dyDescent="0.25">
      <c r="A216" s="1">
        <v>46036</v>
      </c>
      <c r="B216" s="1">
        <v>46036</v>
      </c>
      <c r="C216" t="s">
        <v>593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632</v>
      </c>
      <c r="J216" t="s">
        <v>633</v>
      </c>
      <c r="M216" t="s">
        <v>125</v>
      </c>
      <c r="O216" t="s">
        <v>126</v>
      </c>
      <c r="P216" t="s">
        <v>127</v>
      </c>
      <c r="Q216" t="s">
        <v>595</v>
      </c>
      <c r="R216" t="s">
        <v>58</v>
      </c>
      <c r="S216" s="1">
        <v>46023</v>
      </c>
      <c r="U216" t="s">
        <v>51</v>
      </c>
      <c r="X216" t="s">
        <v>52</v>
      </c>
      <c r="AF216" s="2">
        <v>175</v>
      </c>
      <c r="AG216" s="2">
        <v>0</v>
      </c>
      <c r="AJ216" s="2">
        <v>175</v>
      </c>
    </row>
    <row r="217" spans="1:36" x14ac:dyDescent="0.25">
      <c r="A217" s="1">
        <v>46036</v>
      </c>
      <c r="B217" s="1">
        <v>46036</v>
      </c>
      <c r="C217" t="s">
        <v>593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634</v>
      </c>
      <c r="J217" t="s">
        <v>635</v>
      </c>
      <c r="M217" t="s">
        <v>66</v>
      </c>
      <c r="O217" t="s">
        <v>91</v>
      </c>
      <c r="P217" t="s">
        <v>92</v>
      </c>
      <c r="Q217" t="s">
        <v>595</v>
      </c>
      <c r="R217" t="s">
        <v>636</v>
      </c>
      <c r="S217" s="1">
        <v>45658</v>
      </c>
      <c r="U217" t="s">
        <v>51</v>
      </c>
      <c r="X217" t="s">
        <v>52</v>
      </c>
      <c r="AF217" s="2">
        <v>40</v>
      </c>
      <c r="AG217" s="2">
        <v>0</v>
      </c>
      <c r="AJ217" s="2">
        <v>40</v>
      </c>
    </row>
    <row r="218" spans="1:36" x14ac:dyDescent="0.25">
      <c r="A218" s="1">
        <v>46036</v>
      </c>
      <c r="B218" s="1">
        <v>46036</v>
      </c>
      <c r="C218" t="s">
        <v>593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637</v>
      </c>
      <c r="J218" t="s">
        <v>430</v>
      </c>
      <c r="M218" t="s">
        <v>289</v>
      </c>
      <c r="O218" t="s">
        <v>431</v>
      </c>
      <c r="P218" t="s">
        <v>432</v>
      </c>
      <c r="Q218" t="s">
        <v>595</v>
      </c>
      <c r="R218" t="s">
        <v>484</v>
      </c>
      <c r="S218" s="1">
        <v>46023</v>
      </c>
      <c r="U218" t="s">
        <v>51</v>
      </c>
      <c r="X218" t="s">
        <v>52</v>
      </c>
      <c r="AF218" s="2">
        <v>347</v>
      </c>
      <c r="AG218" s="2">
        <v>0</v>
      </c>
      <c r="AJ218" s="2">
        <v>347</v>
      </c>
    </row>
    <row r="219" spans="1:36" x14ac:dyDescent="0.25">
      <c r="A219" s="1">
        <v>46036</v>
      </c>
      <c r="B219" s="1">
        <v>46036</v>
      </c>
      <c r="C219" t="s">
        <v>593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638</v>
      </c>
      <c r="J219" t="s">
        <v>435</v>
      </c>
      <c r="M219" t="s">
        <v>55</v>
      </c>
      <c r="O219" t="s">
        <v>436</v>
      </c>
      <c r="P219" t="s">
        <v>437</v>
      </c>
      <c r="Q219" t="s">
        <v>595</v>
      </c>
      <c r="R219" t="s">
        <v>484</v>
      </c>
      <c r="S219" s="1">
        <v>46023</v>
      </c>
      <c r="U219" t="s">
        <v>51</v>
      </c>
      <c r="X219" t="s">
        <v>52</v>
      </c>
      <c r="AF219" s="2">
        <v>347</v>
      </c>
      <c r="AG219" s="2">
        <v>0</v>
      </c>
      <c r="AJ219" s="2">
        <v>347</v>
      </c>
    </row>
    <row r="220" spans="1:36" x14ac:dyDescent="0.25">
      <c r="A220" s="1">
        <v>46036</v>
      </c>
      <c r="B220" s="1">
        <v>46036</v>
      </c>
      <c r="C220" t="s">
        <v>593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639</v>
      </c>
      <c r="J220" t="s">
        <v>435</v>
      </c>
      <c r="M220" t="s">
        <v>55</v>
      </c>
      <c r="O220" t="s">
        <v>436</v>
      </c>
      <c r="P220" t="s">
        <v>437</v>
      </c>
      <c r="Q220" t="s">
        <v>595</v>
      </c>
      <c r="R220" t="s">
        <v>523</v>
      </c>
      <c r="S220" s="1">
        <v>46023</v>
      </c>
      <c r="U220" t="s">
        <v>51</v>
      </c>
      <c r="X220" t="s">
        <v>52</v>
      </c>
      <c r="AF220" s="2">
        <v>72</v>
      </c>
      <c r="AG220" s="2">
        <v>0</v>
      </c>
      <c r="AJ220" s="2">
        <v>72</v>
      </c>
    </row>
    <row r="221" spans="1:36" x14ac:dyDescent="0.25">
      <c r="A221" s="1">
        <v>46036</v>
      </c>
      <c r="B221" s="1">
        <v>46036</v>
      </c>
      <c r="C221" t="s">
        <v>593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640</v>
      </c>
      <c r="J221" t="s">
        <v>443</v>
      </c>
      <c r="M221" t="s">
        <v>376</v>
      </c>
      <c r="O221" t="s">
        <v>377</v>
      </c>
      <c r="P221" t="s">
        <v>378</v>
      </c>
      <c r="Q221" t="s">
        <v>595</v>
      </c>
      <c r="R221" t="s">
        <v>484</v>
      </c>
      <c r="S221" s="1">
        <v>46023</v>
      </c>
      <c r="U221" t="s">
        <v>51</v>
      </c>
      <c r="X221" t="s">
        <v>52</v>
      </c>
      <c r="AF221" s="2">
        <v>347</v>
      </c>
      <c r="AG221" s="2">
        <v>0</v>
      </c>
      <c r="AJ221" s="2">
        <v>347</v>
      </c>
    </row>
    <row r="222" spans="1:36" x14ac:dyDescent="0.25">
      <c r="A222" s="1">
        <v>46036</v>
      </c>
      <c r="B222" s="1">
        <v>46036</v>
      </c>
      <c r="C222" t="s">
        <v>593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641</v>
      </c>
      <c r="J222" t="s">
        <v>445</v>
      </c>
      <c r="M222" t="s">
        <v>108</v>
      </c>
      <c r="O222" t="s">
        <v>446</v>
      </c>
      <c r="P222" t="s">
        <v>447</v>
      </c>
      <c r="Q222" t="s">
        <v>595</v>
      </c>
      <c r="R222" t="s">
        <v>484</v>
      </c>
      <c r="S222" s="1">
        <v>46023</v>
      </c>
      <c r="U222" t="s">
        <v>51</v>
      </c>
      <c r="X222" t="s">
        <v>52</v>
      </c>
      <c r="AF222" s="2">
        <v>347</v>
      </c>
      <c r="AG222" s="2">
        <v>0</v>
      </c>
      <c r="AJ222" s="2">
        <v>347</v>
      </c>
    </row>
    <row r="223" spans="1:36" x14ac:dyDescent="0.25">
      <c r="A223" s="1">
        <v>46036</v>
      </c>
      <c r="B223" s="1">
        <v>46036</v>
      </c>
      <c r="C223" t="s">
        <v>593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642</v>
      </c>
      <c r="J223" t="s">
        <v>449</v>
      </c>
      <c r="M223" t="s">
        <v>55</v>
      </c>
      <c r="O223" t="s">
        <v>403</v>
      </c>
      <c r="P223" t="s">
        <v>404</v>
      </c>
      <c r="Q223" t="s">
        <v>595</v>
      </c>
      <c r="R223" t="s">
        <v>484</v>
      </c>
      <c r="S223" s="1">
        <v>46023</v>
      </c>
      <c r="U223" t="s">
        <v>51</v>
      </c>
      <c r="X223" t="s">
        <v>52</v>
      </c>
      <c r="AF223" s="2">
        <v>347</v>
      </c>
      <c r="AG223" s="2">
        <v>0</v>
      </c>
      <c r="AJ223" s="2">
        <v>347</v>
      </c>
    </row>
    <row r="224" spans="1:36" x14ac:dyDescent="0.25">
      <c r="A224" s="1">
        <v>46036</v>
      </c>
      <c r="B224" s="1">
        <v>46036</v>
      </c>
      <c r="C224" t="s">
        <v>593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643</v>
      </c>
      <c r="J224" t="s">
        <v>451</v>
      </c>
      <c r="M224" t="s">
        <v>55</v>
      </c>
      <c r="O224" t="s">
        <v>142</v>
      </c>
      <c r="P224" t="s">
        <v>143</v>
      </c>
      <c r="Q224" t="s">
        <v>595</v>
      </c>
      <c r="R224" t="s">
        <v>484</v>
      </c>
      <c r="S224" s="1">
        <v>46023</v>
      </c>
      <c r="U224" t="s">
        <v>51</v>
      </c>
      <c r="X224" t="s">
        <v>52</v>
      </c>
      <c r="AF224" s="2">
        <v>347</v>
      </c>
      <c r="AG224" s="2">
        <v>0</v>
      </c>
      <c r="AJ224" s="2">
        <v>347</v>
      </c>
    </row>
    <row r="225" spans="1:36" x14ac:dyDescent="0.25">
      <c r="A225" s="1">
        <v>46036</v>
      </c>
      <c r="B225" s="1">
        <v>46036</v>
      </c>
      <c r="C225" t="s">
        <v>593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644</v>
      </c>
      <c r="J225" t="s">
        <v>451</v>
      </c>
      <c r="M225" t="s">
        <v>55</v>
      </c>
      <c r="O225" t="s">
        <v>142</v>
      </c>
      <c r="P225" t="s">
        <v>143</v>
      </c>
      <c r="Q225" t="s">
        <v>595</v>
      </c>
      <c r="R225" t="s">
        <v>523</v>
      </c>
      <c r="S225" s="1">
        <v>46023</v>
      </c>
      <c r="U225" t="s">
        <v>51</v>
      </c>
      <c r="X225" t="s">
        <v>52</v>
      </c>
      <c r="AF225" s="2">
        <v>72</v>
      </c>
      <c r="AG225" s="2">
        <v>0</v>
      </c>
      <c r="AJ225" s="2">
        <v>72</v>
      </c>
    </row>
    <row r="226" spans="1:36" x14ac:dyDescent="0.25">
      <c r="A226" s="1">
        <v>46036</v>
      </c>
      <c r="B226" s="1">
        <v>46036</v>
      </c>
      <c r="C226" t="s">
        <v>593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645</v>
      </c>
      <c r="J226" t="s">
        <v>454</v>
      </c>
      <c r="M226" t="s">
        <v>350</v>
      </c>
      <c r="O226" t="s">
        <v>377</v>
      </c>
      <c r="P226" t="s">
        <v>378</v>
      </c>
      <c r="Q226" t="s">
        <v>595</v>
      </c>
      <c r="R226" t="s">
        <v>534</v>
      </c>
      <c r="S226" s="1">
        <v>46023</v>
      </c>
      <c r="U226" t="s">
        <v>51</v>
      </c>
      <c r="X226" t="s">
        <v>52</v>
      </c>
      <c r="AF226" s="2">
        <v>203</v>
      </c>
      <c r="AG226" s="2">
        <v>0</v>
      </c>
      <c r="AJ226" s="2">
        <v>203</v>
      </c>
    </row>
    <row r="227" spans="1:36" x14ac:dyDescent="0.25">
      <c r="A227" s="1">
        <v>46036</v>
      </c>
      <c r="B227" s="1">
        <v>46036</v>
      </c>
      <c r="C227" t="s">
        <v>593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646</v>
      </c>
      <c r="J227" t="s">
        <v>457</v>
      </c>
      <c r="M227" t="s">
        <v>350</v>
      </c>
      <c r="O227" t="s">
        <v>265</v>
      </c>
      <c r="P227" t="s">
        <v>266</v>
      </c>
      <c r="Q227" t="s">
        <v>595</v>
      </c>
      <c r="R227" t="s">
        <v>484</v>
      </c>
      <c r="S227" s="1">
        <v>46023</v>
      </c>
      <c r="U227" t="s">
        <v>51</v>
      </c>
      <c r="X227" t="s">
        <v>52</v>
      </c>
      <c r="AF227" s="2">
        <v>347</v>
      </c>
      <c r="AG227" s="2">
        <v>0</v>
      </c>
      <c r="AJ227" s="2">
        <v>347</v>
      </c>
    </row>
    <row r="228" spans="1:36" x14ac:dyDescent="0.25">
      <c r="A228" s="1">
        <v>46036</v>
      </c>
      <c r="B228" s="1">
        <v>46036</v>
      </c>
      <c r="C228" t="s">
        <v>593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647</v>
      </c>
      <c r="J228" t="s">
        <v>459</v>
      </c>
      <c r="M228" t="s">
        <v>460</v>
      </c>
      <c r="O228" t="s">
        <v>377</v>
      </c>
      <c r="P228" t="s">
        <v>378</v>
      </c>
      <c r="Q228" t="s">
        <v>595</v>
      </c>
      <c r="R228" t="s">
        <v>484</v>
      </c>
      <c r="S228" s="1">
        <v>46023</v>
      </c>
      <c r="U228" t="s">
        <v>51</v>
      </c>
      <c r="X228" t="s">
        <v>52</v>
      </c>
      <c r="AF228" s="2">
        <v>347</v>
      </c>
      <c r="AG228" s="2">
        <v>0</v>
      </c>
      <c r="AJ228" s="2">
        <v>347</v>
      </c>
    </row>
    <row r="229" spans="1:36" x14ac:dyDescent="0.25">
      <c r="A229" s="1">
        <v>46036</v>
      </c>
      <c r="B229" s="1">
        <v>46036</v>
      </c>
      <c r="C229" t="s">
        <v>593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648</v>
      </c>
      <c r="J229" t="s">
        <v>462</v>
      </c>
      <c r="M229" t="s">
        <v>350</v>
      </c>
      <c r="O229" t="s">
        <v>463</v>
      </c>
      <c r="P229" t="s">
        <v>464</v>
      </c>
      <c r="Q229" t="s">
        <v>595</v>
      </c>
      <c r="R229" t="s">
        <v>484</v>
      </c>
      <c r="S229" s="1">
        <v>46023</v>
      </c>
      <c r="U229" t="s">
        <v>51</v>
      </c>
      <c r="X229" t="s">
        <v>52</v>
      </c>
      <c r="AF229" s="2">
        <v>347</v>
      </c>
      <c r="AG229" s="2">
        <v>0</v>
      </c>
      <c r="AJ229" s="2">
        <v>347</v>
      </c>
    </row>
    <row r="230" spans="1:36" x14ac:dyDescent="0.25">
      <c r="A230" s="1">
        <v>46036</v>
      </c>
      <c r="B230" s="1">
        <v>46036</v>
      </c>
      <c r="C230" t="s">
        <v>593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649</v>
      </c>
      <c r="J230" t="s">
        <v>466</v>
      </c>
      <c r="M230" t="s">
        <v>108</v>
      </c>
      <c r="O230" t="s">
        <v>377</v>
      </c>
      <c r="P230" t="s">
        <v>378</v>
      </c>
      <c r="Q230" t="s">
        <v>595</v>
      </c>
      <c r="R230" t="s">
        <v>484</v>
      </c>
      <c r="S230" s="1">
        <v>46023</v>
      </c>
      <c r="U230" t="s">
        <v>51</v>
      </c>
      <c r="X230" t="s">
        <v>52</v>
      </c>
      <c r="AF230" s="2">
        <v>347</v>
      </c>
      <c r="AG230" s="2">
        <v>0</v>
      </c>
      <c r="AJ230" s="2">
        <v>347</v>
      </c>
    </row>
    <row r="231" spans="1:36" x14ac:dyDescent="0.25">
      <c r="A231" s="1">
        <v>46036</v>
      </c>
      <c r="B231" s="1">
        <v>46036</v>
      </c>
      <c r="C231" t="s">
        <v>593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650</v>
      </c>
      <c r="J231" t="s">
        <v>468</v>
      </c>
      <c r="M231" t="s">
        <v>134</v>
      </c>
      <c r="O231" t="s">
        <v>56</v>
      </c>
      <c r="P231" t="s">
        <v>57</v>
      </c>
      <c r="Q231" t="s">
        <v>595</v>
      </c>
      <c r="R231" t="s">
        <v>484</v>
      </c>
      <c r="S231" s="1">
        <v>46023</v>
      </c>
      <c r="U231" t="s">
        <v>51</v>
      </c>
      <c r="X231" t="s">
        <v>52</v>
      </c>
      <c r="AF231" s="2">
        <v>347</v>
      </c>
      <c r="AG231" s="2">
        <v>0</v>
      </c>
      <c r="AJ231" s="2">
        <v>347</v>
      </c>
    </row>
    <row r="232" spans="1:36" x14ac:dyDescent="0.25">
      <c r="A232" s="1">
        <v>46036</v>
      </c>
      <c r="B232" s="1">
        <v>46036</v>
      </c>
      <c r="C232" t="s">
        <v>593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651</v>
      </c>
      <c r="J232" t="s">
        <v>470</v>
      </c>
      <c r="M232" t="s">
        <v>55</v>
      </c>
      <c r="O232" t="s">
        <v>471</v>
      </c>
      <c r="P232" t="s">
        <v>472</v>
      </c>
      <c r="Q232" t="s">
        <v>595</v>
      </c>
      <c r="R232" t="s">
        <v>534</v>
      </c>
      <c r="S232" s="1">
        <v>46023</v>
      </c>
      <c r="U232" t="s">
        <v>51</v>
      </c>
      <c r="X232" t="s">
        <v>52</v>
      </c>
      <c r="AF232" s="2">
        <v>203</v>
      </c>
      <c r="AG232" s="2">
        <v>0</v>
      </c>
      <c r="AJ232" s="2">
        <v>203</v>
      </c>
    </row>
    <row r="233" spans="1:36" x14ac:dyDescent="0.25">
      <c r="A233" s="1">
        <v>46036</v>
      </c>
      <c r="B233" s="1">
        <v>46036</v>
      </c>
      <c r="C233" t="s">
        <v>593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652</v>
      </c>
      <c r="J233" t="s">
        <v>474</v>
      </c>
      <c r="M233" t="s">
        <v>55</v>
      </c>
      <c r="O233" t="s">
        <v>285</v>
      </c>
      <c r="P233" t="s">
        <v>286</v>
      </c>
      <c r="Q233" t="s">
        <v>595</v>
      </c>
      <c r="R233" t="s">
        <v>484</v>
      </c>
      <c r="S233" s="1">
        <v>46023</v>
      </c>
      <c r="U233" t="s">
        <v>51</v>
      </c>
      <c r="X233" t="s">
        <v>52</v>
      </c>
      <c r="AF233" s="2">
        <v>347</v>
      </c>
      <c r="AG233" s="2">
        <v>0</v>
      </c>
      <c r="AJ233" s="2">
        <v>347</v>
      </c>
    </row>
    <row r="234" spans="1:36" x14ac:dyDescent="0.25">
      <c r="A234" s="1">
        <v>46036</v>
      </c>
      <c r="B234" s="1">
        <v>46036</v>
      </c>
      <c r="C234" t="s">
        <v>593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653</v>
      </c>
      <c r="J234" t="s">
        <v>476</v>
      </c>
      <c r="M234" t="s">
        <v>477</v>
      </c>
      <c r="O234" t="s">
        <v>478</v>
      </c>
      <c r="P234" t="s">
        <v>479</v>
      </c>
      <c r="Q234" t="s">
        <v>595</v>
      </c>
      <c r="R234" t="s">
        <v>484</v>
      </c>
      <c r="S234" s="1">
        <v>46082</v>
      </c>
      <c r="U234" t="s">
        <v>51</v>
      </c>
      <c r="X234" t="s">
        <v>52</v>
      </c>
      <c r="AF234" s="2">
        <v>289.17</v>
      </c>
      <c r="AG234" s="2">
        <v>0</v>
      </c>
      <c r="AJ234" s="2">
        <v>289.17</v>
      </c>
    </row>
    <row r="235" spans="1:36" x14ac:dyDescent="0.25">
      <c r="A235" s="1">
        <v>46036</v>
      </c>
      <c r="B235" s="1">
        <v>46036</v>
      </c>
      <c r="C235" t="s">
        <v>593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654</v>
      </c>
      <c r="J235" t="s">
        <v>487</v>
      </c>
      <c r="M235" t="s">
        <v>61</v>
      </c>
      <c r="O235" t="s">
        <v>377</v>
      </c>
      <c r="P235" t="s">
        <v>378</v>
      </c>
      <c r="Q235" t="s">
        <v>595</v>
      </c>
      <c r="R235" t="s">
        <v>484</v>
      </c>
      <c r="S235" s="1">
        <v>46023</v>
      </c>
      <c r="U235" t="s">
        <v>51</v>
      </c>
      <c r="X235" t="s">
        <v>52</v>
      </c>
      <c r="AF235" s="2">
        <v>347</v>
      </c>
      <c r="AG235" s="2">
        <v>0</v>
      </c>
      <c r="AJ235" s="2">
        <v>347</v>
      </c>
    </row>
    <row r="236" spans="1:36" x14ac:dyDescent="0.25">
      <c r="A236" s="1">
        <v>46036</v>
      </c>
      <c r="B236" s="1">
        <v>46036</v>
      </c>
      <c r="C236" t="s">
        <v>593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655</v>
      </c>
      <c r="J236" t="s">
        <v>489</v>
      </c>
      <c r="M236" t="s">
        <v>490</v>
      </c>
      <c r="O236" t="s">
        <v>126</v>
      </c>
      <c r="P236" t="s">
        <v>127</v>
      </c>
      <c r="Q236" t="s">
        <v>595</v>
      </c>
      <c r="R236" t="s">
        <v>656</v>
      </c>
      <c r="S236" s="1">
        <v>46023</v>
      </c>
      <c r="U236" t="s">
        <v>51</v>
      </c>
      <c r="X236" t="s">
        <v>52</v>
      </c>
      <c r="AF236" s="2">
        <v>432</v>
      </c>
      <c r="AG236" s="2">
        <v>0</v>
      </c>
      <c r="AJ236" s="2">
        <v>432</v>
      </c>
    </row>
    <row r="237" spans="1:36" x14ac:dyDescent="0.25">
      <c r="A237" s="1">
        <v>46036</v>
      </c>
      <c r="B237" s="1">
        <v>46036</v>
      </c>
      <c r="C237" t="s">
        <v>593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657</v>
      </c>
      <c r="J237" t="s">
        <v>493</v>
      </c>
      <c r="M237" t="s">
        <v>141</v>
      </c>
      <c r="O237" t="s">
        <v>142</v>
      </c>
      <c r="P237" t="s">
        <v>143</v>
      </c>
      <c r="Q237" t="s">
        <v>595</v>
      </c>
      <c r="R237" t="s">
        <v>484</v>
      </c>
      <c r="S237" s="1">
        <v>46023</v>
      </c>
      <c r="U237" t="s">
        <v>51</v>
      </c>
      <c r="X237" t="s">
        <v>52</v>
      </c>
      <c r="AF237" s="2">
        <v>347</v>
      </c>
      <c r="AG237" s="2">
        <v>0</v>
      </c>
      <c r="AJ237" s="2">
        <v>347</v>
      </c>
    </row>
    <row r="238" spans="1:36" x14ac:dyDescent="0.25">
      <c r="A238" s="1">
        <v>46036</v>
      </c>
      <c r="B238" s="1">
        <v>46036</v>
      </c>
      <c r="C238" t="s">
        <v>593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658</v>
      </c>
      <c r="J238" t="s">
        <v>495</v>
      </c>
      <c r="M238" t="s">
        <v>350</v>
      </c>
      <c r="O238" t="s">
        <v>377</v>
      </c>
      <c r="P238" t="s">
        <v>378</v>
      </c>
      <c r="Q238" t="s">
        <v>595</v>
      </c>
      <c r="R238" t="s">
        <v>484</v>
      </c>
      <c r="S238" s="1">
        <v>46023</v>
      </c>
      <c r="U238" t="s">
        <v>51</v>
      </c>
      <c r="X238" t="s">
        <v>52</v>
      </c>
      <c r="AF238" s="2">
        <v>347</v>
      </c>
      <c r="AG238" s="2">
        <v>0</v>
      </c>
      <c r="AJ238" s="2">
        <v>347</v>
      </c>
    </row>
    <row r="239" spans="1:36" x14ac:dyDescent="0.25">
      <c r="A239" s="1">
        <v>46036</v>
      </c>
      <c r="B239" s="1">
        <v>46036</v>
      </c>
      <c r="C239" t="s">
        <v>593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659</v>
      </c>
      <c r="J239" t="s">
        <v>497</v>
      </c>
      <c r="M239" t="s">
        <v>66</v>
      </c>
      <c r="O239" t="s">
        <v>196</v>
      </c>
      <c r="P239" t="s">
        <v>197</v>
      </c>
      <c r="Q239" t="s">
        <v>595</v>
      </c>
      <c r="R239" t="s">
        <v>660</v>
      </c>
      <c r="S239" s="1">
        <v>46023</v>
      </c>
      <c r="U239" t="s">
        <v>51</v>
      </c>
      <c r="X239" t="s">
        <v>52</v>
      </c>
      <c r="AF239" s="2">
        <v>391</v>
      </c>
      <c r="AG239" s="2">
        <v>0</v>
      </c>
      <c r="AJ239" s="2">
        <v>391</v>
      </c>
    </row>
    <row r="240" spans="1:36" x14ac:dyDescent="0.25">
      <c r="A240" s="1">
        <v>46036</v>
      </c>
      <c r="B240" s="1">
        <v>46036</v>
      </c>
      <c r="C240" t="s">
        <v>593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661</v>
      </c>
      <c r="J240" t="s">
        <v>500</v>
      </c>
      <c r="M240" t="s">
        <v>350</v>
      </c>
      <c r="O240" t="s">
        <v>463</v>
      </c>
      <c r="P240" t="s">
        <v>464</v>
      </c>
      <c r="Q240" t="s">
        <v>595</v>
      </c>
      <c r="R240" t="s">
        <v>484</v>
      </c>
      <c r="S240" s="1">
        <v>46023</v>
      </c>
      <c r="U240" t="s">
        <v>51</v>
      </c>
      <c r="X240" t="s">
        <v>52</v>
      </c>
      <c r="AF240" s="2">
        <v>347</v>
      </c>
      <c r="AG240" s="2">
        <v>0</v>
      </c>
      <c r="AJ240" s="2">
        <v>347</v>
      </c>
    </row>
    <row r="241" spans="1:36" x14ac:dyDescent="0.25">
      <c r="A241" s="1">
        <v>46036</v>
      </c>
      <c r="B241" s="1">
        <v>46036</v>
      </c>
      <c r="C241" t="s">
        <v>593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662</v>
      </c>
      <c r="J241" t="s">
        <v>663</v>
      </c>
      <c r="M241" t="s">
        <v>66</v>
      </c>
      <c r="O241" t="s">
        <v>174</v>
      </c>
      <c r="P241" t="s">
        <v>175</v>
      </c>
      <c r="Q241" t="s">
        <v>595</v>
      </c>
      <c r="R241" t="s">
        <v>660</v>
      </c>
      <c r="S241" s="1">
        <v>46023</v>
      </c>
      <c r="U241" t="s">
        <v>51</v>
      </c>
      <c r="X241" t="s">
        <v>52</v>
      </c>
      <c r="AF241" s="2">
        <v>391</v>
      </c>
      <c r="AG241" s="2">
        <v>0</v>
      </c>
      <c r="AJ241" s="2">
        <v>391</v>
      </c>
    </row>
    <row r="242" spans="1:36" x14ac:dyDescent="0.25">
      <c r="A242" s="1">
        <v>46036</v>
      </c>
      <c r="B242" s="1">
        <v>46036</v>
      </c>
      <c r="C242" t="s">
        <v>593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664</v>
      </c>
      <c r="J242" t="s">
        <v>663</v>
      </c>
      <c r="M242" t="s">
        <v>66</v>
      </c>
      <c r="O242" t="s">
        <v>174</v>
      </c>
      <c r="P242" t="s">
        <v>175</v>
      </c>
      <c r="Q242" t="s">
        <v>595</v>
      </c>
      <c r="R242" t="s">
        <v>523</v>
      </c>
      <c r="S242" s="1">
        <v>46023</v>
      </c>
      <c r="U242" t="s">
        <v>51</v>
      </c>
      <c r="X242" t="s">
        <v>52</v>
      </c>
      <c r="AF242" s="2">
        <v>72</v>
      </c>
      <c r="AG242" s="2">
        <v>0</v>
      </c>
      <c r="AJ242" s="2">
        <v>72</v>
      </c>
    </row>
    <row r="243" spans="1:36" x14ac:dyDescent="0.25">
      <c r="A243" s="1">
        <v>46036</v>
      </c>
      <c r="B243" s="1">
        <v>46036</v>
      </c>
      <c r="C243" t="s">
        <v>593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665</v>
      </c>
      <c r="J243" t="s">
        <v>502</v>
      </c>
      <c r="M243" t="s">
        <v>350</v>
      </c>
      <c r="O243" t="s">
        <v>463</v>
      </c>
      <c r="P243" t="s">
        <v>464</v>
      </c>
      <c r="Q243" t="s">
        <v>595</v>
      </c>
      <c r="R243" t="s">
        <v>566</v>
      </c>
      <c r="S243" s="1">
        <v>45992</v>
      </c>
      <c r="U243" t="s">
        <v>51</v>
      </c>
      <c r="X243" t="s">
        <v>52</v>
      </c>
      <c r="AF243" s="2">
        <v>26.08</v>
      </c>
      <c r="AG243" s="2">
        <v>0</v>
      </c>
      <c r="AJ243" s="2">
        <v>26.08</v>
      </c>
    </row>
    <row r="244" spans="1:36" x14ac:dyDescent="0.25">
      <c r="A244" s="1">
        <v>46036</v>
      </c>
      <c r="B244" s="1">
        <v>46036</v>
      </c>
      <c r="C244" t="s">
        <v>593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666</v>
      </c>
      <c r="J244" t="s">
        <v>505</v>
      </c>
      <c r="M244" t="s">
        <v>460</v>
      </c>
      <c r="O244" t="s">
        <v>506</v>
      </c>
      <c r="P244" t="s">
        <v>507</v>
      </c>
      <c r="Q244" t="s">
        <v>595</v>
      </c>
      <c r="R244" t="s">
        <v>484</v>
      </c>
      <c r="S244" s="1">
        <v>46023</v>
      </c>
      <c r="U244" t="s">
        <v>51</v>
      </c>
      <c r="X244" t="s">
        <v>52</v>
      </c>
      <c r="AF244" s="2">
        <v>347</v>
      </c>
      <c r="AG244" s="2">
        <v>0</v>
      </c>
      <c r="AJ244" s="2">
        <v>347</v>
      </c>
    </row>
    <row r="245" spans="1:36" x14ac:dyDescent="0.25">
      <c r="A245" s="1">
        <v>46036</v>
      </c>
      <c r="B245" s="1">
        <v>46036</v>
      </c>
      <c r="C245" t="s">
        <v>593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667</v>
      </c>
      <c r="J245" t="s">
        <v>509</v>
      </c>
      <c r="M245" t="s">
        <v>490</v>
      </c>
      <c r="O245" t="s">
        <v>85</v>
      </c>
      <c r="P245" t="s">
        <v>86</v>
      </c>
      <c r="Q245" t="s">
        <v>595</v>
      </c>
      <c r="R245" t="s">
        <v>656</v>
      </c>
      <c r="S245" s="1">
        <v>46023</v>
      </c>
      <c r="U245" t="s">
        <v>51</v>
      </c>
      <c r="X245" t="s">
        <v>52</v>
      </c>
      <c r="AF245" s="2">
        <v>432</v>
      </c>
      <c r="AG245" s="2">
        <v>0</v>
      </c>
      <c r="AJ245" s="2">
        <v>432</v>
      </c>
    </row>
    <row r="246" spans="1:36" x14ac:dyDescent="0.25">
      <c r="A246" s="1">
        <v>46036</v>
      </c>
      <c r="B246" s="1">
        <v>46036</v>
      </c>
      <c r="C246" t="s">
        <v>593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668</v>
      </c>
      <c r="J246" t="s">
        <v>511</v>
      </c>
      <c r="M246" t="s">
        <v>108</v>
      </c>
      <c r="O246" t="s">
        <v>377</v>
      </c>
      <c r="P246" t="s">
        <v>378</v>
      </c>
      <c r="Q246" t="s">
        <v>595</v>
      </c>
      <c r="R246" t="s">
        <v>484</v>
      </c>
      <c r="S246" s="1">
        <v>46023</v>
      </c>
      <c r="U246" t="s">
        <v>51</v>
      </c>
      <c r="X246" t="s">
        <v>52</v>
      </c>
      <c r="AF246" s="2">
        <v>347</v>
      </c>
      <c r="AG246" s="2">
        <v>0</v>
      </c>
      <c r="AJ246" s="2">
        <v>347</v>
      </c>
    </row>
    <row r="247" spans="1:36" x14ac:dyDescent="0.25">
      <c r="A247" s="1">
        <v>46036</v>
      </c>
      <c r="B247" s="1">
        <v>46036</v>
      </c>
      <c r="C247" t="s">
        <v>593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669</v>
      </c>
      <c r="J247" t="s">
        <v>513</v>
      </c>
      <c r="M247" t="s">
        <v>108</v>
      </c>
      <c r="O247" t="s">
        <v>377</v>
      </c>
      <c r="P247" t="s">
        <v>378</v>
      </c>
      <c r="Q247" t="s">
        <v>595</v>
      </c>
      <c r="R247" t="s">
        <v>484</v>
      </c>
      <c r="S247" s="1">
        <v>46023</v>
      </c>
      <c r="U247" t="s">
        <v>51</v>
      </c>
      <c r="X247" t="s">
        <v>52</v>
      </c>
      <c r="AF247" s="2">
        <v>347</v>
      </c>
      <c r="AG247" s="2">
        <v>0</v>
      </c>
      <c r="AJ247" s="2">
        <v>347</v>
      </c>
    </row>
    <row r="248" spans="1:36" x14ac:dyDescent="0.25">
      <c r="A248" s="1">
        <v>46036</v>
      </c>
      <c r="B248" s="1">
        <v>46036</v>
      </c>
      <c r="C248" t="s">
        <v>593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670</v>
      </c>
      <c r="J248" t="s">
        <v>515</v>
      </c>
      <c r="M248" t="s">
        <v>66</v>
      </c>
      <c r="O248" t="s">
        <v>196</v>
      </c>
      <c r="P248" t="s">
        <v>197</v>
      </c>
      <c r="Q248" t="s">
        <v>595</v>
      </c>
      <c r="R248" t="s">
        <v>660</v>
      </c>
      <c r="S248" s="1">
        <v>46023</v>
      </c>
      <c r="U248" t="s">
        <v>51</v>
      </c>
      <c r="X248" t="s">
        <v>52</v>
      </c>
      <c r="AF248" s="2">
        <v>391</v>
      </c>
      <c r="AG248" s="2">
        <v>0</v>
      </c>
      <c r="AJ248" s="2">
        <v>391</v>
      </c>
    </row>
    <row r="249" spans="1:36" x14ac:dyDescent="0.25">
      <c r="A249" s="1">
        <v>46036</v>
      </c>
      <c r="B249" s="1">
        <v>46036</v>
      </c>
      <c r="C249" t="s">
        <v>593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671</v>
      </c>
      <c r="J249" t="s">
        <v>517</v>
      </c>
      <c r="M249" t="s">
        <v>134</v>
      </c>
      <c r="O249" t="s">
        <v>518</v>
      </c>
      <c r="P249" t="s">
        <v>519</v>
      </c>
      <c r="Q249" t="s">
        <v>595</v>
      </c>
      <c r="R249" t="s">
        <v>534</v>
      </c>
      <c r="S249" s="1">
        <v>46023</v>
      </c>
      <c r="U249" t="s">
        <v>51</v>
      </c>
      <c r="X249" t="s">
        <v>52</v>
      </c>
      <c r="AF249" s="2">
        <v>203</v>
      </c>
      <c r="AG249" s="2">
        <v>0</v>
      </c>
      <c r="AJ249" s="2">
        <v>203</v>
      </c>
    </row>
    <row r="250" spans="1:36" x14ac:dyDescent="0.25">
      <c r="A250" s="1">
        <v>46036</v>
      </c>
      <c r="B250" s="1">
        <v>46036</v>
      </c>
      <c r="C250" t="s">
        <v>593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672</v>
      </c>
      <c r="J250" t="s">
        <v>525</v>
      </c>
      <c r="M250" t="s">
        <v>350</v>
      </c>
      <c r="O250" t="s">
        <v>436</v>
      </c>
      <c r="P250" t="s">
        <v>437</v>
      </c>
      <c r="Q250" t="s">
        <v>595</v>
      </c>
      <c r="R250" t="s">
        <v>484</v>
      </c>
      <c r="S250" s="1">
        <v>46023</v>
      </c>
      <c r="U250" t="s">
        <v>51</v>
      </c>
      <c r="X250" t="s">
        <v>52</v>
      </c>
      <c r="AF250" s="2">
        <v>347</v>
      </c>
      <c r="AG250" s="2">
        <v>0</v>
      </c>
      <c r="AJ250" s="2">
        <v>347</v>
      </c>
    </row>
    <row r="251" spans="1:36" x14ac:dyDescent="0.25">
      <c r="A251" s="1">
        <v>46036</v>
      </c>
      <c r="B251" s="1">
        <v>46036</v>
      </c>
      <c r="C251" t="s">
        <v>593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673</v>
      </c>
      <c r="J251" t="s">
        <v>527</v>
      </c>
      <c r="M251" t="s">
        <v>55</v>
      </c>
      <c r="O251" t="s">
        <v>228</v>
      </c>
      <c r="P251" t="s">
        <v>229</v>
      </c>
      <c r="Q251" t="s">
        <v>595</v>
      </c>
      <c r="R251" t="s">
        <v>484</v>
      </c>
      <c r="S251" s="1">
        <v>46023</v>
      </c>
      <c r="U251" t="s">
        <v>51</v>
      </c>
      <c r="X251" t="s">
        <v>52</v>
      </c>
      <c r="AF251" s="2">
        <v>347</v>
      </c>
      <c r="AG251" s="2">
        <v>0</v>
      </c>
      <c r="AJ251" s="2">
        <v>347</v>
      </c>
    </row>
    <row r="252" spans="1:36" x14ac:dyDescent="0.25">
      <c r="A252" s="1">
        <v>46036</v>
      </c>
      <c r="B252" s="1">
        <v>46036</v>
      </c>
      <c r="C252" t="s">
        <v>593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674</v>
      </c>
      <c r="J252" t="s">
        <v>529</v>
      </c>
      <c r="M252" t="s">
        <v>55</v>
      </c>
      <c r="O252" t="s">
        <v>403</v>
      </c>
      <c r="P252" t="s">
        <v>404</v>
      </c>
      <c r="Q252" t="s">
        <v>595</v>
      </c>
      <c r="R252" t="s">
        <v>484</v>
      </c>
      <c r="S252" s="1">
        <v>46023</v>
      </c>
      <c r="U252" t="s">
        <v>51</v>
      </c>
      <c r="X252" t="s">
        <v>52</v>
      </c>
      <c r="AF252" s="2">
        <v>347</v>
      </c>
      <c r="AG252" s="2">
        <v>0</v>
      </c>
      <c r="AJ252" s="2">
        <v>347</v>
      </c>
    </row>
    <row r="253" spans="1:36" x14ac:dyDescent="0.25">
      <c r="A253" s="1">
        <v>46036</v>
      </c>
      <c r="B253" s="1">
        <v>46036</v>
      </c>
      <c r="C253" t="s">
        <v>593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675</v>
      </c>
      <c r="J253" t="s">
        <v>531</v>
      </c>
      <c r="M253" t="s">
        <v>125</v>
      </c>
      <c r="O253" t="s">
        <v>97</v>
      </c>
      <c r="P253" t="s">
        <v>98</v>
      </c>
      <c r="Q253" t="s">
        <v>595</v>
      </c>
      <c r="R253" t="s">
        <v>484</v>
      </c>
      <c r="S253" s="1">
        <v>46023</v>
      </c>
      <c r="U253" t="s">
        <v>51</v>
      </c>
      <c r="X253" t="s">
        <v>52</v>
      </c>
      <c r="AF253" s="2">
        <v>347</v>
      </c>
      <c r="AG253" s="2">
        <v>0</v>
      </c>
      <c r="AJ253" s="2">
        <v>347</v>
      </c>
    </row>
    <row r="254" spans="1:36" x14ac:dyDescent="0.25">
      <c r="A254" s="1">
        <v>46036</v>
      </c>
      <c r="B254" s="1">
        <v>46036</v>
      </c>
      <c r="C254" t="s">
        <v>593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676</v>
      </c>
      <c r="J254" t="s">
        <v>538</v>
      </c>
      <c r="M254" t="s">
        <v>120</v>
      </c>
      <c r="O254" t="s">
        <v>539</v>
      </c>
      <c r="P254" t="s">
        <v>540</v>
      </c>
      <c r="Q254" t="s">
        <v>595</v>
      </c>
      <c r="R254" t="s">
        <v>484</v>
      </c>
      <c r="S254" s="1">
        <v>46023</v>
      </c>
      <c r="U254" t="s">
        <v>51</v>
      </c>
      <c r="X254" t="s">
        <v>52</v>
      </c>
      <c r="AF254" s="2">
        <v>347</v>
      </c>
      <c r="AG254" s="2">
        <v>0</v>
      </c>
      <c r="AJ254" s="2">
        <v>347</v>
      </c>
    </row>
    <row r="255" spans="1:36" x14ac:dyDescent="0.25">
      <c r="A255" s="1">
        <v>46036</v>
      </c>
      <c r="B255" s="1">
        <v>46036</v>
      </c>
      <c r="C255" t="s">
        <v>593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677</v>
      </c>
      <c r="J255" t="s">
        <v>542</v>
      </c>
      <c r="M255" t="s">
        <v>134</v>
      </c>
      <c r="O255" t="s">
        <v>126</v>
      </c>
      <c r="P255" t="s">
        <v>127</v>
      </c>
      <c r="Q255" t="s">
        <v>595</v>
      </c>
      <c r="R255" t="s">
        <v>484</v>
      </c>
      <c r="S255" s="1">
        <v>46023</v>
      </c>
      <c r="U255" t="s">
        <v>51</v>
      </c>
      <c r="X255" t="s">
        <v>52</v>
      </c>
      <c r="AF255" s="2">
        <v>347</v>
      </c>
      <c r="AG255" s="2">
        <v>0</v>
      </c>
      <c r="AJ255" s="2">
        <v>347</v>
      </c>
    </row>
    <row r="256" spans="1:36" x14ac:dyDescent="0.25">
      <c r="A256" s="1">
        <v>46036</v>
      </c>
      <c r="B256" s="1">
        <v>46036</v>
      </c>
      <c r="C256" t="s">
        <v>593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678</v>
      </c>
      <c r="J256" t="s">
        <v>544</v>
      </c>
      <c r="M256" t="s">
        <v>55</v>
      </c>
      <c r="O256" t="s">
        <v>322</v>
      </c>
      <c r="P256" t="s">
        <v>323</v>
      </c>
      <c r="Q256" t="s">
        <v>595</v>
      </c>
      <c r="R256" t="s">
        <v>484</v>
      </c>
      <c r="S256" s="1">
        <v>46023</v>
      </c>
      <c r="U256" t="s">
        <v>51</v>
      </c>
      <c r="X256" t="s">
        <v>52</v>
      </c>
      <c r="AF256" s="2">
        <v>347</v>
      </c>
      <c r="AG256" s="2">
        <v>0</v>
      </c>
      <c r="AJ256" s="2">
        <v>347</v>
      </c>
    </row>
    <row r="257" spans="1:36" x14ac:dyDescent="0.25">
      <c r="A257" s="1">
        <v>46036</v>
      </c>
      <c r="B257" s="1">
        <v>46036</v>
      </c>
      <c r="C257" t="s">
        <v>593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679</v>
      </c>
      <c r="J257" t="s">
        <v>546</v>
      </c>
      <c r="M257" t="s">
        <v>125</v>
      </c>
      <c r="O257" t="s">
        <v>97</v>
      </c>
      <c r="P257" t="s">
        <v>98</v>
      </c>
      <c r="Q257" t="s">
        <v>595</v>
      </c>
      <c r="R257" t="s">
        <v>484</v>
      </c>
      <c r="S257" s="1">
        <v>46023</v>
      </c>
      <c r="U257" t="s">
        <v>51</v>
      </c>
      <c r="X257" t="s">
        <v>52</v>
      </c>
      <c r="AF257" s="2">
        <v>347</v>
      </c>
      <c r="AG257" s="2">
        <v>0</v>
      </c>
      <c r="AJ257" s="2">
        <v>347</v>
      </c>
    </row>
    <row r="258" spans="1:36" x14ac:dyDescent="0.25">
      <c r="A258" s="1">
        <v>46036</v>
      </c>
      <c r="B258" s="1">
        <v>46036</v>
      </c>
      <c r="C258" t="s">
        <v>593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680</v>
      </c>
      <c r="J258" t="s">
        <v>548</v>
      </c>
      <c r="M258" t="s">
        <v>55</v>
      </c>
      <c r="O258" t="s">
        <v>126</v>
      </c>
      <c r="P258" t="s">
        <v>127</v>
      </c>
      <c r="Q258" t="s">
        <v>595</v>
      </c>
      <c r="R258" t="s">
        <v>534</v>
      </c>
      <c r="S258" s="1">
        <v>46023</v>
      </c>
      <c r="U258" t="s">
        <v>51</v>
      </c>
      <c r="X258" t="s">
        <v>52</v>
      </c>
      <c r="AF258" s="2">
        <v>203</v>
      </c>
      <c r="AG258" s="2">
        <v>0</v>
      </c>
      <c r="AJ258" s="2">
        <v>203</v>
      </c>
    </row>
    <row r="259" spans="1:36" x14ac:dyDescent="0.25">
      <c r="A259" s="1">
        <v>46036</v>
      </c>
      <c r="B259" s="1">
        <v>46036</v>
      </c>
      <c r="C259" t="s">
        <v>593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681</v>
      </c>
      <c r="J259" t="s">
        <v>550</v>
      </c>
      <c r="M259" t="s">
        <v>120</v>
      </c>
      <c r="O259" t="s">
        <v>121</v>
      </c>
      <c r="P259" t="s">
        <v>122</v>
      </c>
      <c r="Q259" t="s">
        <v>595</v>
      </c>
      <c r="R259" t="s">
        <v>484</v>
      </c>
      <c r="S259" s="1">
        <v>46023</v>
      </c>
      <c r="U259" t="s">
        <v>51</v>
      </c>
      <c r="X259" t="s">
        <v>52</v>
      </c>
      <c r="AF259" s="2">
        <v>347</v>
      </c>
      <c r="AG259" s="2">
        <v>0</v>
      </c>
      <c r="AJ259" s="2">
        <v>347</v>
      </c>
    </row>
    <row r="260" spans="1:36" x14ac:dyDescent="0.25">
      <c r="A260" s="1">
        <v>46036</v>
      </c>
      <c r="B260" s="1">
        <v>46036</v>
      </c>
      <c r="C260" t="s">
        <v>593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682</v>
      </c>
      <c r="J260" t="s">
        <v>552</v>
      </c>
      <c r="M260" t="s">
        <v>55</v>
      </c>
      <c r="O260" t="s">
        <v>553</v>
      </c>
      <c r="P260" t="s">
        <v>554</v>
      </c>
      <c r="Q260" t="s">
        <v>595</v>
      </c>
      <c r="R260" t="s">
        <v>484</v>
      </c>
      <c r="S260" s="1">
        <v>46023</v>
      </c>
      <c r="U260" t="s">
        <v>51</v>
      </c>
      <c r="X260" t="s">
        <v>52</v>
      </c>
      <c r="AF260" s="2">
        <v>347</v>
      </c>
      <c r="AG260" s="2">
        <v>0</v>
      </c>
      <c r="AJ260" s="2">
        <v>347</v>
      </c>
    </row>
    <row r="261" spans="1:36" x14ac:dyDescent="0.25">
      <c r="A261" s="1">
        <v>46036</v>
      </c>
      <c r="B261" s="1">
        <v>46036</v>
      </c>
      <c r="C261" t="s">
        <v>593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683</v>
      </c>
      <c r="J261" t="s">
        <v>556</v>
      </c>
      <c r="M261" t="s">
        <v>134</v>
      </c>
      <c r="O261" t="s">
        <v>135</v>
      </c>
      <c r="P261" t="s">
        <v>136</v>
      </c>
      <c r="Q261" t="s">
        <v>595</v>
      </c>
      <c r="R261" t="s">
        <v>484</v>
      </c>
      <c r="S261" s="1">
        <v>46023</v>
      </c>
      <c r="U261" t="s">
        <v>51</v>
      </c>
      <c r="X261" t="s">
        <v>52</v>
      </c>
      <c r="AF261" s="2">
        <v>347</v>
      </c>
      <c r="AG261" s="2">
        <v>0</v>
      </c>
      <c r="AJ261" s="2">
        <v>347</v>
      </c>
    </row>
    <row r="262" spans="1:36" x14ac:dyDescent="0.25">
      <c r="A262" s="1">
        <v>46036</v>
      </c>
      <c r="B262" s="1">
        <v>46036</v>
      </c>
      <c r="C262" t="s">
        <v>593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684</v>
      </c>
      <c r="J262" t="s">
        <v>558</v>
      </c>
      <c r="M262" t="s">
        <v>108</v>
      </c>
      <c r="O262" t="s">
        <v>377</v>
      </c>
      <c r="P262" t="s">
        <v>378</v>
      </c>
      <c r="Q262" t="s">
        <v>595</v>
      </c>
      <c r="R262" t="s">
        <v>484</v>
      </c>
      <c r="S262" s="1">
        <v>46023</v>
      </c>
      <c r="U262" t="s">
        <v>51</v>
      </c>
      <c r="X262" t="s">
        <v>52</v>
      </c>
      <c r="AF262" s="2">
        <v>347</v>
      </c>
      <c r="AG262" s="2">
        <v>0</v>
      </c>
      <c r="AJ262" s="2">
        <v>347</v>
      </c>
    </row>
    <row r="263" spans="1:36" x14ac:dyDescent="0.25">
      <c r="A263" s="1">
        <v>46036</v>
      </c>
      <c r="B263" s="1">
        <v>46036</v>
      </c>
      <c r="C263" t="s">
        <v>593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685</v>
      </c>
      <c r="J263" t="s">
        <v>560</v>
      </c>
      <c r="M263" t="s">
        <v>61</v>
      </c>
      <c r="O263" t="s">
        <v>377</v>
      </c>
      <c r="P263" t="s">
        <v>378</v>
      </c>
      <c r="Q263" t="s">
        <v>595</v>
      </c>
      <c r="R263" t="s">
        <v>484</v>
      </c>
      <c r="S263" s="1">
        <v>46023</v>
      </c>
      <c r="U263" t="s">
        <v>51</v>
      </c>
      <c r="X263" t="s">
        <v>52</v>
      </c>
      <c r="AF263" s="2">
        <v>347</v>
      </c>
      <c r="AG263" s="2">
        <v>0</v>
      </c>
      <c r="AJ263" s="2">
        <v>347</v>
      </c>
    </row>
    <row r="264" spans="1:36" x14ac:dyDescent="0.25">
      <c r="A264" s="1">
        <v>46036</v>
      </c>
      <c r="B264" s="1">
        <v>46036</v>
      </c>
      <c r="C264" t="s">
        <v>593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686</v>
      </c>
      <c r="J264" t="s">
        <v>565</v>
      </c>
      <c r="M264" t="s">
        <v>55</v>
      </c>
      <c r="O264" t="s">
        <v>142</v>
      </c>
      <c r="P264" t="s">
        <v>143</v>
      </c>
      <c r="Q264" t="s">
        <v>595</v>
      </c>
      <c r="R264" t="s">
        <v>484</v>
      </c>
      <c r="S264" s="1">
        <v>46023</v>
      </c>
      <c r="U264" t="s">
        <v>51</v>
      </c>
      <c r="X264" t="s">
        <v>52</v>
      </c>
      <c r="AF264" s="2">
        <v>347</v>
      </c>
      <c r="AG264" s="2">
        <v>0</v>
      </c>
      <c r="AJ264" s="2">
        <v>347</v>
      </c>
    </row>
    <row r="265" spans="1:36" x14ac:dyDescent="0.25">
      <c r="A265" s="1">
        <v>46036</v>
      </c>
      <c r="B265" s="1">
        <v>46036</v>
      </c>
      <c r="C265" t="s">
        <v>593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687</v>
      </c>
      <c r="J265" t="s">
        <v>565</v>
      </c>
      <c r="M265" t="s">
        <v>55</v>
      </c>
      <c r="O265" t="s">
        <v>142</v>
      </c>
      <c r="P265" t="s">
        <v>143</v>
      </c>
      <c r="Q265" t="s">
        <v>595</v>
      </c>
      <c r="R265" t="s">
        <v>523</v>
      </c>
      <c r="S265" s="1">
        <v>46023</v>
      </c>
      <c r="U265" t="s">
        <v>51</v>
      </c>
      <c r="X265" t="s">
        <v>52</v>
      </c>
      <c r="AF265" s="2">
        <v>72</v>
      </c>
      <c r="AG265" s="2">
        <v>0</v>
      </c>
      <c r="AJ265" s="2">
        <v>72</v>
      </c>
    </row>
    <row r="266" spans="1:36" x14ac:dyDescent="0.25">
      <c r="A266" s="1">
        <v>46036</v>
      </c>
      <c r="B266" s="1">
        <v>46036</v>
      </c>
      <c r="C266" t="s">
        <v>593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688</v>
      </c>
      <c r="J266" t="s">
        <v>569</v>
      </c>
      <c r="M266" t="s">
        <v>55</v>
      </c>
      <c r="O266" t="s">
        <v>570</v>
      </c>
      <c r="P266" t="s">
        <v>571</v>
      </c>
      <c r="Q266" t="s">
        <v>595</v>
      </c>
      <c r="R266" t="s">
        <v>523</v>
      </c>
      <c r="S266" s="1">
        <v>46023</v>
      </c>
      <c r="U266" t="s">
        <v>51</v>
      </c>
      <c r="X266" t="s">
        <v>52</v>
      </c>
      <c r="AF266" s="2">
        <v>72</v>
      </c>
      <c r="AG266" s="2">
        <v>0</v>
      </c>
      <c r="AJ266" s="2">
        <v>72</v>
      </c>
    </row>
    <row r="267" spans="1:36" x14ac:dyDescent="0.25">
      <c r="A267" s="1">
        <v>46036</v>
      </c>
      <c r="B267" s="1">
        <v>46036</v>
      </c>
      <c r="C267" t="s">
        <v>593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689</v>
      </c>
      <c r="J267" t="s">
        <v>573</v>
      </c>
      <c r="M267" t="s">
        <v>55</v>
      </c>
      <c r="O267" t="s">
        <v>142</v>
      </c>
      <c r="P267" t="s">
        <v>143</v>
      </c>
      <c r="Q267" t="s">
        <v>595</v>
      </c>
      <c r="R267" t="s">
        <v>484</v>
      </c>
      <c r="S267" s="1">
        <v>46023</v>
      </c>
      <c r="U267" t="s">
        <v>51</v>
      </c>
      <c r="X267" t="s">
        <v>52</v>
      </c>
      <c r="AF267" s="2">
        <v>347</v>
      </c>
      <c r="AG267" s="2">
        <v>0</v>
      </c>
      <c r="AJ267" s="2">
        <v>347</v>
      </c>
    </row>
    <row r="268" spans="1:36" x14ac:dyDescent="0.25">
      <c r="A268" s="1">
        <v>46036</v>
      </c>
      <c r="B268" s="1">
        <v>46036</v>
      </c>
      <c r="C268" t="s">
        <v>593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690</v>
      </c>
      <c r="J268" t="s">
        <v>573</v>
      </c>
      <c r="M268" t="s">
        <v>55</v>
      </c>
      <c r="O268" t="s">
        <v>142</v>
      </c>
      <c r="P268" t="s">
        <v>143</v>
      </c>
      <c r="Q268" t="s">
        <v>595</v>
      </c>
      <c r="R268" t="s">
        <v>523</v>
      </c>
      <c r="S268" s="1">
        <v>46023</v>
      </c>
      <c r="U268" t="s">
        <v>51</v>
      </c>
      <c r="X268" t="s">
        <v>52</v>
      </c>
      <c r="AF268" s="2">
        <v>72</v>
      </c>
      <c r="AG268" s="2">
        <v>0</v>
      </c>
      <c r="AJ268" s="2">
        <v>72</v>
      </c>
    </row>
    <row r="269" spans="1:36" x14ac:dyDescent="0.25">
      <c r="A269" s="1">
        <v>46036</v>
      </c>
      <c r="B269" s="1">
        <v>46036</v>
      </c>
      <c r="C269" t="s">
        <v>593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691</v>
      </c>
      <c r="J269" t="s">
        <v>692</v>
      </c>
      <c r="M269" t="s">
        <v>134</v>
      </c>
      <c r="O269" t="s">
        <v>135</v>
      </c>
      <c r="P269" t="s">
        <v>136</v>
      </c>
      <c r="Q269" t="s">
        <v>595</v>
      </c>
      <c r="R269" t="s">
        <v>693</v>
      </c>
      <c r="S269" s="1">
        <v>46023</v>
      </c>
      <c r="U269" t="s">
        <v>51</v>
      </c>
      <c r="X269" t="s">
        <v>52</v>
      </c>
      <c r="AF269" s="2">
        <v>279.18</v>
      </c>
      <c r="AG269" s="2">
        <v>0</v>
      </c>
      <c r="AJ269" s="2">
        <v>279.18</v>
      </c>
    </row>
    <row r="270" spans="1:36" x14ac:dyDescent="0.25">
      <c r="A270" s="1">
        <v>46036</v>
      </c>
      <c r="B270" s="1">
        <v>46036</v>
      </c>
      <c r="C270" t="s">
        <v>593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694</v>
      </c>
      <c r="J270" t="s">
        <v>695</v>
      </c>
      <c r="M270" t="s">
        <v>696</v>
      </c>
      <c r="O270" t="s">
        <v>109</v>
      </c>
      <c r="P270" t="s">
        <v>110</v>
      </c>
      <c r="Q270" t="s">
        <v>595</v>
      </c>
      <c r="R270" t="s">
        <v>697</v>
      </c>
      <c r="S270" s="1">
        <v>46023</v>
      </c>
      <c r="U270" t="s">
        <v>51</v>
      </c>
      <c r="X270" t="s">
        <v>52</v>
      </c>
      <c r="AF270" s="2">
        <v>189</v>
      </c>
      <c r="AG270" s="2">
        <v>0</v>
      </c>
      <c r="AJ270" s="2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7B2E-B5D9-44BE-9933-3F13CE979D5E}">
  <dimension ref="A1:S267"/>
  <sheetViews>
    <sheetView topLeftCell="A243" workbookViewId="0">
      <selection activeCell="P2" sqref="P2:P249"/>
    </sheetView>
  </sheetViews>
  <sheetFormatPr defaultRowHeight="15" x14ac:dyDescent="0.25"/>
  <cols>
    <col min="1" max="1" width="17.42578125" bestFit="1" customWidth="1"/>
    <col min="2" max="2" width="17.42578125" customWidth="1"/>
    <col min="3" max="3" width="24" bestFit="1" customWidth="1"/>
    <col min="6" max="6" width="26.42578125" bestFit="1" customWidth="1"/>
    <col min="8" max="8" width="24.42578125" customWidth="1"/>
    <col min="14" max="14" width="16.28515625" bestFit="1" customWidth="1"/>
    <col min="15" max="15" width="35.5703125" bestFit="1" customWidth="1"/>
    <col min="16" max="16" width="23.140625" bestFit="1" customWidth="1"/>
  </cols>
  <sheetData>
    <row r="1" spans="1:19" x14ac:dyDescent="0.25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23</v>
      </c>
      <c r="K1" t="s">
        <v>25</v>
      </c>
      <c r="L1" t="s">
        <v>26</v>
      </c>
      <c r="M1" t="s">
        <v>28</v>
      </c>
      <c r="N1" t="s">
        <v>37</v>
      </c>
    </row>
    <row r="2" spans="1:19" x14ac:dyDescent="0.25">
      <c r="A2" s="8">
        <v>908826935</v>
      </c>
      <c r="B2" s="8" t="str">
        <f>CONCATENATE(A2,12)</f>
        <v>90882693512</v>
      </c>
      <c r="C2" s="4" t="s">
        <v>454</v>
      </c>
      <c r="D2" s="4" t="s">
        <v>350</v>
      </c>
      <c r="E2" s="4">
        <v>21435997</v>
      </c>
      <c r="F2" s="4" t="s">
        <v>378</v>
      </c>
      <c r="G2" s="4" t="s">
        <v>49</v>
      </c>
      <c r="H2" s="4" t="s">
        <v>455</v>
      </c>
      <c r="I2" s="5">
        <v>46023</v>
      </c>
      <c r="J2" s="4" t="s">
        <v>52</v>
      </c>
      <c r="K2" s="6">
        <v>406</v>
      </c>
      <c r="L2" s="4">
        <v>1</v>
      </c>
      <c r="M2" s="6">
        <v>406</v>
      </c>
      <c r="N2" s="4"/>
      <c r="O2" s="4" t="s">
        <v>816</v>
      </c>
      <c r="P2" s="4"/>
      <c r="Q2" s="4"/>
      <c r="R2" s="4"/>
      <c r="S2" s="4"/>
    </row>
    <row r="3" spans="1:19" x14ac:dyDescent="0.25">
      <c r="A3" s="8">
        <v>922935380</v>
      </c>
      <c r="B3" s="8" t="str">
        <f t="shared" ref="B3:B5" si="0">CONCATENATE(A3,12)</f>
        <v>92293538012</v>
      </c>
      <c r="C3" s="4" t="s">
        <v>470</v>
      </c>
      <c r="D3" s="4" t="s">
        <v>55</v>
      </c>
      <c r="E3" s="4">
        <v>20490188</v>
      </c>
      <c r="F3" s="4" t="s">
        <v>472</v>
      </c>
      <c r="G3" s="4" t="s">
        <v>49</v>
      </c>
      <c r="H3" s="4" t="s">
        <v>455</v>
      </c>
      <c r="I3" s="5">
        <v>46023</v>
      </c>
      <c r="J3" s="4" t="s">
        <v>52</v>
      </c>
      <c r="K3" s="6">
        <v>406</v>
      </c>
      <c r="L3" s="4">
        <v>1</v>
      </c>
      <c r="M3" s="6">
        <v>406</v>
      </c>
      <c r="N3" s="4"/>
      <c r="O3" s="4" t="s">
        <v>816</v>
      </c>
      <c r="P3" s="4"/>
      <c r="Q3" s="4"/>
      <c r="R3" s="4"/>
      <c r="S3" s="4"/>
    </row>
    <row r="4" spans="1:19" x14ac:dyDescent="0.25">
      <c r="A4" s="8">
        <v>953114727</v>
      </c>
      <c r="B4" s="8" t="str">
        <f t="shared" si="0"/>
        <v>95311472712</v>
      </c>
      <c r="C4" s="4" t="s">
        <v>517</v>
      </c>
      <c r="D4" s="4" t="s">
        <v>134</v>
      </c>
      <c r="E4" s="4">
        <v>20724564</v>
      </c>
      <c r="F4" s="4" t="s">
        <v>519</v>
      </c>
      <c r="G4" s="4" t="s">
        <v>49</v>
      </c>
      <c r="H4" s="4" t="s">
        <v>455</v>
      </c>
      <c r="I4" s="5">
        <v>46023</v>
      </c>
      <c r="J4" s="4" t="s">
        <v>52</v>
      </c>
      <c r="K4" s="6">
        <v>406</v>
      </c>
      <c r="L4" s="4">
        <v>1</v>
      </c>
      <c r="M4" s="6">
        <v>406</v>
      </c>
      <c r="N4" s="4"/>
      <c r="O4" s="4" t="s">
        <v>816</v>
      </c>
      <c r="P4" s="4"/>
      <c r="Q4" s="4"/>
      <c r="R4" s="4"/>
      <c r="S4" s="4"/>
    </row>
    <row r="5" spans="1:19" x14ac:dyDescent="0.25">
      <c r="A5" s="8">
        <v>971783268</v>
      </c>
      <c r="B5" s="8" t="str">
        <f t="shared" si="0"/>
        <v>97178326812</v>
      </c>
      <c r="C5" s="4" t="s">
        <v>548</v>
      </c>
      <c r="D5" s="4" t="s">
        <v>55</v>
      </c>
      <c r="E5" s="4">
        <v>19645587</v>
      </c>
      <c r="F5" s="4" t="s">
        <v>127</v>
      </c>
      <c r="G5" s="4" t="s">
        <v>49</v>
      </c>
      <c r="H5" s="4" t="s">
        <v>455</v>
      </c>
      <c r="I5" s="5">
        <v>46023</v>
      </c>
      <c r="J5" s="4" t="s">
        <v>52</v>
      </c>
      <c r="K5" s="6">
        <v>406</v>
      </c>
      <c r="L5" s="4">
        <v>1</v>
      </c>
      <c r="M5" s="6">
        <v>406</v>
      </c>
      <c r="N5" s="4"/>
      <c r="O5" s="4" t="s">
        <v>816</v>
      </c>
      <c r="P5" s="4"/>
      <c r="Q5" s="4"/>
      <c r="R5" s="4"/>
      <c r="S5" s="4"/>
    </row>
    <row r="6" spans="1:19" x14ac:dyDescent="0.25">
      <c r="A6" s="8">
        <v>908826935</v>
      </c>
      <c r="B6" s="8" t="str">
        <f>CONCATENATE(A6,13)</f>
        <v>90882693513</v>
      </c>
      <c r="C6" s="4" t="s">
        <v>454</v>
      </c>
      <c r="D6" s="4" t="s">
        <v>350</v>
      </c>
      <c r="E6" s="4">
        <v>21435997</v>
      </c>
      <c r="F6" s="4" t="s">
        <v>378</v>
      </c>
      <c r="G6" s="4" t="s">
        <v>595</v>
      </c>
      <c r="H6" s="4" t="s">
        <v>534</v>
      </c>
      <c r="I6" s="5">
        <v>46023</v>
      </c>
      <c r="J6" s="4" t="s">
        <v>52</v>
      </c>
      <c r="K6" s="4"/>
      <c r="L6" s="4"/>
      <c r="M6" s="4">
        <v>-203</v>
      </c>
      <c r="N6" s="4"/>
      <c r="O6" s="4" t="s">
        <v>821</v>
      </c>
      <c r="P6" s="4"/>
      <c r="Q6" s="4"/>
      <c r="R6" s="4"/>
      <c r="S6" s="4"/>
    </row>
    <row r="7" spans="1:19" x14ac:dyDescent="0.25">
      <c r="A7" s="8">
        <v>922935380</v>
      </c>
      <c r="B7" s="8" t="str">
        <f t="shared" ref="B7:B10" si="1">CONCATENATE(A7,13)</f>
        <v>92293538013</v>
      </c>
      <c r="C7" s="4" t="s">
        <v>470</v>
      </c>
      <c r="D7" s="4" t="s">
        <v>55</v>
      </c>
      <c r="E7" s="4">
        <v>20490188</v>
      </c>
      <c r="F7" s="4" t="s">
        <v>472</v>
      </c>
      <c r="G7" s="4" t="s">
        <v>595</v>
      </c>
      <c r="H7" s="4" t="s">
        <v>534</v>
      </c>
      <c r="I7" s="5">
        <v>46023</v>
      </c>
      <c r="J7" s="4" t="s">
        <v>52</v>
      </c>
      <c r="K7" s="4"/>
      <c r="L7" s="4"/>
      <c r="M7" s="4">
        <v>-203</v>
      </c>
      <c r="N7" s="4"/>
      <c r="O7" s="4" t="s">
        <v>821</v>
      </c>
      <c r="P7" s="4"/>
      <c r="Q7" s="4"/>
      <c r="R7" s="4"/>
      <c r="S7" s="4"/>
    </row>
    <row r="8" spans="1:19" x14ac:dyDescent="0.25">
      <c r="A8" s="8">
        <v>953114727</v>
      </c>
      <c r="B8" s="8" t="str">
        <f t="shared" si="1"/>
        <v>95311472713</v>
      </c>
      <c r="C8" s="4" t="s">
        <v>517</v>
      </c>
      <c r="D8" s="4" t="s">
        <v>134</v>
      </c>
      <c r="E8" s="4">
        <v>20724564</v>
      </c>
      <c r="F8" s="4" t="s">
        <v>519</v>
      </c>
      <c r="G8" s="4" t="s">
        <v>595</v>
      </c>
      <c r="H8" s="4" t="s">
        <v>534</v>
      </c>
      <c r="I8" s="5">
        <v>46023</v>
      </c>
      <c r="J8" s="4" t="s">
        <v>52</v>
      </c>
      <c r="K8" s="4"/>
      <c r="L8" s="4"/>
      <c r="M8" s="4">
        <v>-203</v>
      </c>
      <c r="N8" s="4"/>
      <c r="O8" s="4" t="s">
        <v>821</v>
      </c>
      <c r="P8" s="4"/>
      <c r="Q8" s="4"/>
      <c r="R8" s="4"/>
      <c r="S8" s="4"/>
    </row>
    <row r="9" spans="1:19" x14ac:dyDescent="0.25">
      <c r="A9" s="8">
        <v>971783268</v>
      </c>
      <c r="B9" s="8" t="str">
        <f t="shared" si="1"/>
        <v>97178326813</v>
      </c>
      <c r="C9" s="4" t="s">
        <v>548</v>
      </c>
      <c r="D9" s="4" t="s">
        <v>55</v>
      </c>
      <c r="E9" s="4">
        <v>19645587</v>
      </c>
      <c r="F9" s="4" t="s">
        <v>127</v>
      </c>
      <c r="G9" s="4" t="s">
        <v>595</v>
      </c>
      <c r="H9" s="4" t="s">
        <v>534</v>
      </c>
      <c r="I9" s="5">
        <v>46023</v>
      </c>
      <c r="J9" s="4" t="s">
        <v>52</v>
      </c>
      <c r="K9" s="4"/>
      <c r="L9" s="4"/>
      <c r="M9" s="4">
        <v>-203</v>
      </c>
      <c r="N9" s="4"/>
      <c r="O9" s="4" t="s">
        <v>821</v>
      </c>
      <c r="P9" s="4"/>
      <c r="Q9" s="4"/>
      <c r="R9" s="4"/>
      <c r="S9" s="4"/>
    </row>
    <row r="10" spans="1:19" x14ac:dyDescent="0.25">
      <c r="A10" s="8">
        <v>967298395</v>
      </c>
      <c r="B10" s="8" t="str">
        <f t="shared" si="1"/>
        <v>96729839513</v>
      </c>
      <c r="C10" s="4" t="s">
        <v>533</v>
      </c>
      <c r="D10" s="4" t="s">
        <v>55</v>
      </c>
      <c r="E10" s="4">
        <v>8814784</v>
      </c>
      <c r="F10" s="4" t="s">
        <v>117</v>
      </c>
      <c r="G10" s="4" t="s">
        <v>49</v>
      </c>
      <c r="H10" s="4" t="s">
        <v>534</v>
      </c>
      <c r="I10" s="5">
        <v>46054</v>
      </c>
      <c r="J10" s="4" t="s">
        <v>52</v>
      </c>
      <c r="K10" s="6">
        <v>186.08</v>
      </c>
      <c r="L10" s="4">
        <v>1</v>
      </c>
      <c r="M10" s="6">
        <v>186.08</v>
      </c>
      <c r="N10" s="4" t="s">
        <v>386</v>
      </c>
      <c r="O10" s="4" t="s">
        <v>821</v>
      </c>
      <c r="P10" s="4" t="s">
        <v>835</v>
      </c>
      <c r="Q10" s="4">
        <f>203/12*11</f>
        <v>186.08333333333334</v>
      </c>
      <c r="R10" s="4"/>
      <c r="S10" s="4"/>
    </row>
    <row r="11" spans="1:19" x14ac:dyDescent="0.25">
      <c r="A11" s="7">
        <v>101085313800</v>
      </c>
      <c r="B11" s="7" t="str">
        <f>CONCATENATE(A11,"OVR")</f>
        <v>101085313800OVR</v>
      </c>
      <c r="C11" t="s">
        <v>635</v>
      </c>
      <c r="D11" t="s">
        <v>66</v>
      </c>
      <c r="E11">
        <v>20411454</v>
      </c>
      <c r="F11" t="s">
        <v>840</v>
      </c>
      <c r="G11" t="s">
        <v>595</v>
      </c>
      <c r="H11" t="s">
        <v>636</v>
      </c>
      <c r="I11" s="1">
        <v>45658</v>
      </c>
      <c r="J11" t="s">
        <v>52</v>
      </c>
      <c r="M11">
        <v>-40</v>
      </c>
      <c r="O11" t="s">
        <v>698</v>
      </c>
    </row>
    <row r="12" spans="1:19" x14ac:dyDescent="0.25">
      <c r="A12" s="7">
        <v>102255459200</v>
      </c>
      <c r="B12" s="7" t="str">
        <f t="shared" ref="B12:B75" si="2">CONCATENATE(A12,"OVR")</f>
        <v>102255459200OVR</v>
      </c>
      <c r="C12" t="s">
        <v>396</v>
      </c>
      <c r="D12" t="s">
        <v>66</v>
      </c>
      <c r="E12">
        <v>20411454</v>
      </c>
      <c r="F12" t="s">
        <v>840</v>
      </c>
      <c r="G12" t="s">
        <v>49</v>
      </c>
      <c r="H12" t="s">
        <v>399</v>
      </c>
      <c r="I12" s="1">
        <v>46023</v>
      </c>
      <c r="J12" t="s">
        <v>52</v>
      </c>
      <c r="K12" s="2">
        <v>15</v>
      </c>
      <c r="L12">
        <v>1</v>
      </c>
      <c r="M12" s="2">
        <v>15</v>
      </c>
      <c r="O12" t="s">
        <v>698</v>
      </c>
    </row>
    <row r="13" spans="1:19" x14ac:dyDescent="0.25">
      <c r="A13" s="7">
        <v>102255688500</v>
      </c>
      <c r="B13" s="7" t="str">
        <f t="shared" si="2"/>
        <v>102255688500OVR</v>
      </c>
      <c r="C13" t="s">
        <v>412</v>
      </c>
      <c r="D13" t="s">
        <v>66</v>
      </c>
      <c r="E13">
        <v>20411454</v>
      </c>
      <c r="F13" t="s">
        <v>840</v>
      </c>
      <c r="G13" t="s">
        <v>49</v>
      </c>
      <c r="H13" t="s">
        <v>399</v>
      </c>
      <c r="I13" s="1">
        <v>46023</v>
      </c>
      <c r="J13" t="s">
        <v>52</v>
      </c>
      <c r="K13" s="2">
        <v>15</v>
      </c>
      <c r="L13">
        <v>1</v>
      </c>
      <c r="M13" s="2">
        <v>15</v>
      </c>
      <c r="O13" t="s">
        <v>698</v>
      </c>
    </row>
    <row r="14" spans="1:19" x14ac:dyDescent="0.25">
      <c r="A14" s="7">
        <v>102255068300</v>
      </c>
      <c r="B14" s="7" t="str">
        <f t="shared" si="2"/>
        <v>102255068300OVR</v>
      </c>
      <c r="C14" t="s">
        <v>384</v>
      </c>
      <c r="D14" t="s">
        <v>66</v>
      </c>
      <c r="E14">
        <v>20411454</v>
      </c>
      <c r="F14" t="s">
        <v>840</v>
      </c>
      <c r="G14" t="s">
        <v>49</v>
      </c>
      <c r="H14" t="s">
        <v>385</v>
      </c>
      <c r="I14" s="1">
        <v>46054</v>
      </c>
      <c r="J14" t="s">
        <v>52</v>
      </c>
      <c r="K14" s="2">
        <v>22.92</v>
      </c>
      <c r="L14">
        <v>1</v>
      </c>
      <c r="M14" s="2">
        <v>22.92</v>
      </c>
      <c r="N14" t="s">
        <v>386</v>
      </c>
      <c r="O14" t="s">
        <v>698</v>
      </c>
    </row>
    <row r="15" spans="1:19" x14ac:dyDescent="0.25">
      <c r="A15" s="7">
        <v>102255132900</v>
      </c>
      <c r="B15" s="7" t="str">
        <f t="shared" si="2"/>
        <v>102255132900OVR</v>
      </c>
      <c r="C15" t="s">
        <v>388</v>
      </c>
      <c r="D15" t="s">
        <v>55</v>
      </c>
      <c r="E15">
        <v>20411454</v>
      </c>
      <c r="F15" t="s">
        <v>840</v>
      </c>
      <c r="G15" t="s">
        <v>49</v>
      </c>
      <c r="H15" t="s">
        <v>385</v>
      </c>
      <c r="I15" s="1">
        <v>46054</v>
      </c>
      <c r="J15" t="s">
        <v>52</v>
      </c>
      <c r="K15" s="2">
        <v>22.92</v>
      </c>
      <c r="L15">
        <v>1</v>
      </c>
      <c r="M15" s="2">
        <v>22.92</v>
      </c>
      <c r="N15" t="s">
        <v>386</v>
      </c>
      <c r="O15" t="s">
        <v>698</v>
      </c>
    </row>
    <row r="16" spans="1:19" x14ac:dyDescent="0.25">
      <c r="A16" s="7">
        <v>102256083100</v>
      </c>
      <c r="B16" s="7" t="str">
        <f t="shared" si="2"/>
        <v>102256083100OVR</v>
      </c>
      <c r="C16" t="s">
        <v>418</v>
      </c>
      <c r="D16" t="s">
        <v>66</v>
      </c>
      <c r="E16">
        <v>20411454</v>
      </c>
      <c r="F16" t="s">
        <v>840</v>
      </c>
      <c r="G16" t="s">
        <v>49</v>
      </c>
      <c r="H16" t="s">
        <v>385</v>
      </c>
      <c r="I16" s="1">
        <v>46054</v>
      </c>
      <c r="J16" t="s">
        <v>52</v>
      </c>
      <c r="K16" s="2">
        <v>22.92</v>
      </c>
      <c r="L16">
        <v>1</v>
      </c>
      <c r="M16" s="2">
        <v>22.92</v>
      </c>
      <c r="N16" t="s">
        <v>386</v>
      </c>
      <c r="O16" t="s">
        <v>698</v>
      </c>
    </row>
    <row r="17" spans="1:15" x14ac:dyDescent="0.25">
      <c r="A17" s="7">
        <v>102256266800</v>
      </c>
      <c r="B17" s="7" t="str">
        <f t="shared" si="2"/>
        <v>102256266800OVR</v>
      </c>
      <c r="C17" t="s">
        <v>422</v>
      </c>
      <c r="D17" t="s">
        <v>55</v>
      </c>
      <c r="E17">
        <v>20411454</v>
      </c>
      <c r="F17" t="s">
        <v>840</v>
      </c>
      <c r="G17" t="s">
        <v>49</v>
      </c>
      <c r="H17" t="s">
        <v>385</v>
      </c>
      <c r="I17" s="1">
        <v>46054</v>
      </c>
      <c r="J17" t="s">
        <v>52</v>
      </c>
      <c r="K17" s="2">
        <v>22.92</v>
      </c>
      <c r="L17">
        <v>1</v>
      </c>
      <c r="M17" s="2">
        <v>22.92</v>
      </c>
      <c r="N17" t="s">
        <v>386</v>
      </c>
      <c r="O17" t="s">
        <v>698</v>
      </c>
    </row>
    <row r="18" spans="1:15" x14ac:dyDescent="0.25">
      <c r="A18" s="7">
        <v>101233160000</v>
      </c>
      <c r="B18" s="7" t="str">
        <f t="shared" si="2"/>
        <v>101233160000OVR</v>
      </c>
      <c r="C18" t="s">
        <v>366</v>
      </c>
      <c r="D18" t="s">
        <v>125</v>
      </c>
      <c r="E18">
        <v>20411454</v>
      </c>
      <c r="F18" t="s">
        <v>840</v>
      </c>
      <c r="G18" t="s">
        <v>49</v>
      </c>
      <c r="H18" t="s">
        <v>367</v>
      </c>
      <c r="I18" s="1">
        <v>46023</v>
      </c>
      <c r="J18" t="s">
        <v>52</v>
      </c>
      <c r="K18" s="2">
        <v>25</v>
      </c>
      <c r="L18">
        <v>1</v>
      </c>
      <c r="M18" s="2">
        <v>25</v>
      </c>
      <c r="O18" t="s">
        <v>698</v>
      </c>
    </row>
    <row r="19" spans="1:15" x14ac:dyDescent="0.25">
      <c r="A19" s="7">
        <v>101337060300</v>
      </c>
      <c r="B19" s="7" t="str">
        <f t="shared" si="2"/>
        <v>101337060300OVR</v>
      </c>
      <c r="C19" t="s">
        <v>369</v>
      </c>
      <c r="D19" t="s">
        <v>55</v>
      </c>
      <c r="E19">
        <v>20411454</v>
      </c>
      <c r="F19" t="s">
        <v>840</v>
      </c>
      <c r="G19" t="s">
        <v>49</v>
      </c>
      <c r="H19" t="s">
        <v>367</v>
      </c>
      <c r="I19" s="1">
        <v>46023</v>
      </c>
      <c r="J19" t="s">
        <v>52</v>
      </c>
      <c r="K19" s="2">
        <v>25</v>
      </c>
      <c r="L19">
        <v>1</v>
      </c>
      <c r="M19" s="2">
        <v>25</v>
      </c>
      <c r="O19" t="s">
        <v>698</v>
      </c>
    </row>
    <row r="20" spans="1:15" x14ac:dyDescent="0.25">
      <c r="A20" s="7">
        <v>101472475600</v>
      </c>
      <c r="B20" s="7" t="str">
        <f t="shared" si="2"/>
        <v>101472475600OVR</v>
      </c>
      <c r="C20" t="s">
        <v>371</v>
      </c>
      <c r="D20" t="s">
        <v>120</v>
      </c>
      <c r="E20">
        <v>20411454</v>
      </c>
      <c r="F20" t="s">
        <v>840</v>
      </c>
      <c r="G20" t="s">
        <v>49</v>
      </c>
      <c r="H20" t="s">
        <v>367</v>
      </c>
      <c r="I20" s="1">
        <v>46023</v>
      </c>
      <c r="J20" t="s">
        <v>52</v>
      </c>
      <c r="K20" s="2">
        <v>25</v>
      </c>
      <c r="L20">
        <v>1</v>
      </c>
      <c r="M20" s="2">
        <v>25</v>
      </c>
      <c r="O20" t="s">
        <v>698</v>
      </c>
    </row>
    <row r="21" spans="1:15" x14ac:dyDescent="0.25">
      <c r="A21" s="7">
        <v>101480107500</v>
      </c>
      <c r="B21" s="7" t="str">
        <f t="shared" si="2"/>
        <v>101480107500OVR</v>
      </c>
      <c r="C21" t="s">
        <v>373</v>
      </c>
      <c r="D21" t="s">
        <v>66</v>
      </c>
      <c r="E21">
        <v>20411454</v>
      </c>
      <c r="F21" t="s">
        <v>840</v>
      </c>
      <c r="G21" t="s">
        <v>49</v>
      </c>
      <c r="H21" t="s">
        <v>367</v>
      </c>
      <c r="I21" s="1">
        <v>46023</v>
      </c>
      <c r="J21" t="s">
        <v>52</v>
      </c>
      <c r="K21" s="2">
        <v>25</v>
      </c>
      <c r="L21">
        <v>1</v>
      </c>
      <c r="M21" s="2">
        <v>25</v>
      </c>
      <c r="O21" t="s">
        <v>698</v>
      </c>
    </row>
    <row r="22" spans="1:15" x14ac:dyDescent="0.25">
      <c r="A22" s="7">
        <v>101543709200</v>
      </c>
      <c r="B22" s="7" t="str">
        <f t="shared" si="2"/>
        <v>101543709200OVR</v>
      </c>
      <c r="C22" t="s">
        <v>375</v>
      </c>
      <c r="D22" t="s">
        <v>376</v>
      </c>
      <c r="E22">
        <v>20411454</v>
      </c>
      <c r="F22" t="s">
        <v>840</v>
      </c>
      <c r="G22" t="s">
        <v>49</v>
      </c>
      <c r="H22" t="s">
        <v>367</v>
      </c>
      <c r="I22" s="1">
        <v>46023</v>
      </c>
      <c r="J22" t="s">
        <v>52</v>
      </c>
      <c r="K22" s="2">
        <v>25</v>
      </c>
      <c r="L22">
        <v>1</v>
      </c>
      <c r="M22" s="2">
        <v>25</v>
      </c>
      <c r="O22" t="s">
        <v>698</v>
      </c>
    </row>
    <row r="23" spans="1:15" x14ac:dyDescent="0.25">
      <c r="A23" s="7">
        <v>102197207300</v>
      </c>
      <c r="B23" s="7" t="str">
        <f t="shared" si="2"/>
        <v>102197207300OVR</v>
      </c>
      <c r="C23" t="s">
        <v>380</v>
      </c>
      <c r="D23" t="s">
        <v>120</v>
      </c>
      <c r="E23">
        <v>20411454</v>
      </c>
      <c r="F23" t="s">
        <v>840</v>
      </c>
      <c r="G23" t="s">
        <v>49</v>
      </c>
      <c r="H23" t="s">
        <v>367</v>
      </c>
      <c r="I23" s="1">
        <v>46023</v>
      </c>
      <c r="J23" t="s">
        <v>52</v>
      </c>
      <c r="K23" s="2">
        <v>25</v>
      </c>
      <c r="L23">
        <v>1</v>
      </c>
      <c r="M23" s="2">
        <v>25</v>
      </c>
      <c r="O23" t="s">
        <v>698</v>
      </c>
    </row>
    <row r="24" spans="1:15" x14ac:dyDescent="0.25">
      <c r="A24" s="7">
        <v>102255161600</v>
      </c>
      <c r="B24" s="7" t="str">
        <f t="shared" si="2"/>
        <v>102255161600OVR</v>
      </c>
      <c r="C24" t="s">
        <v>392</v>
      </c>
      <c r="D24" t="s">
        <v>66</v>
      </c>
      <c r="E24">
        <v>20411454</v>
      </c>
      <c r="F24" t="s">
        <v>840</v>
      </c>
      <c r="G24" t="s">
        <v>49</v>
      </c>
      <c r="H24" t="s">
        <v>367</v>
      </c>
      <c r="I24" s="1">
        <v>46023</v>
      </c>
      <c r="J24" t="s">
        <v>52</v>
      </c>
      <c r="K24" s="2">
        <v>25</v>
      </c>
      <c r="L24">
        <v>1</v>
      </c>
      <c r="M24" s="2">
        <v>25</v>
      </c>
      <c r="O24" t="s">
        <v>698</v>
      </c>
    </row>
    <row r="25" spans="1:15" x14ac:dyDescent="0.25">
      <c r="A25" s="7">
        <v>102255421500</v>
      </c>
      <c r="B25" s="7" t="str">
        <f t="shared" si="2"/>
        <v>102255421500OVR</v>
      </c>
      <c r="C25" t="s">
        <v>394</v>
      </c>
      <c r="D25" t="s">
        <v>66</v>
      </c>
      <c r="E25">
        <v>20411454</v>
      </c>
      <c r="F25" t="s">
        <v>840</v>
      </c>
      <c r="G25" t="s">
        <v>49</v>
      </c>
      <c r="H25" t="s">
        <v>367</v>
      </c>
      <c r="I25" s="1">
        <v>46023</v>
      </c>
      <c r="J25" t="s">
        <v>52</v>
      </c>
      <c r="K25" s="2">
        <v>25</v>
      </c>
      <c r="L25">
        <v>1</v>
      </c>
      <c r="M25" s="2">
        <v>25</v>
      </c>
      <c r="O25" t="s">
        <v>698</v>
      </c>
    </row>
    <row r="26" spans="1:15" x14ac:dyDescent="0.25">
      <c r="A26" s="7">
        <v>102255620200</v>
      </c>
      <c r="B26" s="7" t="str">
        <f t="shared" si="2"/>
        <v>102255620200OVR</v>
      </c>
      <c r="C26" t="s">
        <v>401</v>
      </c>
      <c r="D26" t="s">
        <v>402</v>
      </c>
      <c r="E26">
        <v>20411454</v>
      </c>
      <c r="F26" t="s">
        <v>840</v>
      </c>
      <c r="G26" t="s">
        <v>49</v>
      </c>
      <c r="H26" t="s">
        <v>367</v>
      </c>
      <c r="I26" s="1">
        <v>46023</v>
      </c>
      <c r="J26" t="s">
        <v>52</v>
      </c>
      <c r="K26" s="2">
        <v>25</v>
      </c>
      <c r="L26">
        <v>1</v>
      </c>
      <c r="M26" s="2">
        <v>25</v>
      </c>
      <c r="O26" t="s">
        <v>698</v>
      </c>
    </row>
    <row r="27" spans="1:15" x14ac:dyDescent="0.25">
      <c r="A27" s="7">
        <v>102255631500</v>
      </c>
      <c r="B27" s="7" t="str">
        <f t="shared" si="2"/>
        <v>102255631500OVR</v>
      </c>
      <c r="C27" t="s">
        <v>406</v>
      </c>
      <c r="D27" t="s">
        <v>120</v>
      </c>
      <c r="E27">
        <v>20411454</v>
      </c>
      <c r="F27" t="s">
        <v>840</v>
      </c>
      <c r="G27" t="s">
        <v>49</v>
      </c>
      <c r="H27" t="s">
        <v>367</v>
      </c>
      <c r="I27" s="1">
        <v>46023</v>
      </c>
      <c r="J27" t="s">
        <v>52</v>
      </c>
      <c r="K27" s="2">
        <v>25</v>
      </c>
      <c r="L27">
        <v>1</v>
      </c>
      <c r="M27" s="2">
        <v>25</v>
      </c>
      <c r="O27" t="s">
        <v>698</v>
      </c>
    </row>
    <row r="28" spans="1:15" x14ac:dyDescent="0.25">
      <c r="A28" s="7">
        <v>102255647600</v>
      </c>
      <c r="B28" s="7" t="str">
        <f t="shared" si="2"/>
        <v>102255647600OVR</v>
      </c>
      <c r="C28" t="s">
        <v>408</v>
      </c>
      <c r="D28" t="s">
        <v>402</v>
      </c>
      <c r="E28">
        <v>20411454</v>
      </c>
      <c r="F28" t="s">
        <v>840</v>
      </c>
      <c r="G28" t="s">
        <v>49</v>
      </c>
      <c r="H28" t="s">
        <v>367</v>
      </c>
      <c r="I28" s="1">
        <v>46023</v>
      </c>
      <c r="J28" t="s">
        <v>52</v>
      </c>
      <c r="K28" s="2">
        <v>25</v>
      </c>
      <c r="L28">
        <v>1</v>
      </c>
      <c r="M28" s="2">
        <v>25</v>
      </c>
      <c r="O28" t="s">
        <v>698</v>
      </c>
    </row>
    <row r="29" spans="1:15" x14ac:dyDescent="0.25">
      <c r="A29" s="7">
        <v>102255651000</v>
      </c>
      <c r="B29" s="7" t="str">
        <f t="shared" si="2"/>
        <v>102255651000OVR</v>
      </c>
      <c r="C29" t="s">
        <v>410</v>
      </c>
      <c r="D29" t="s">
        <v>120</v>
      </c>
      <c r="E29">
        <v>20411454</v>
      </c>
      <c r="F29" t="s">
        <v>840</v>
      </c>
      <c r="G29" t="s">
        <v>49</v>
      </c>
      <c r="H29" t="s">
        <v>367</v>
      </c>
      <c r="I29" s="1">
        <v>46023</v>
      </c>
      <c r="J29" t="s">
        <v>52</v>
      </c>
      <c r="K29" s="2">
        <v>25</v>
      </c>
      <c r="L29">
        <v>1</v>
      </c>
      <c r="M29" s="2">
        <v>25</v>
      </c>
      <c r="O29" t="s">
        <v>698</v>
      </c>
    </row>
    <row r="30" spans="1:15" x14ac:dyDescent="0.25">
      <c r="A30" s="7">
        <v>102255823700</v>
      </c>
      <c r="B30" s="7" t="str">
        <f t="shared" si="2"/>
        <v>102255823700OVR</v>
      </c>
      <c r="C30" t="s">
        <v>414</v>
      </c>
      <c r="D30" t="s">
        <v>141</v>
      </c>
      <c r="E30">
        <v>20411454</v>
      </c>
      <c r="F30" t="s">
        <v>840</v>
      </c>
      <c r="G30" t="s">
        <v>49</v>
      </c>
      <c r="H30" t="s">
        <v>367</v>
      </c>
      <c r="I30" s="1">
        <v>46023</v>
      </c>
      <c r="J30" t="s">
        <v>52</v>
      </c>
      <c r="K30" s="2">
        <v>25</v>
      </c>
      <c r="L30">
        <v>1</v>
      </c>
      <c r="M30" s="2">
        <v>25</v>
      </c>
      <c r="O30" t="s">
        <v>698</v>
      </c>
    </row>
    <row r="31" spans="1:15" x14ac:dyDescent="0.25">
      <c r="A31" s="7">
        <v>102256074200</v>
      </c>
      <c r="B31" s="7" t="str">
        <f t="shared" si="2"/>
        <v>102256074200OVR</v>
      </c>
      <c r="C31" t="s">
        <v>416</v>
      </c>
      <c r="D31" t="s">
        <v>66</v>
      </c>
      <c r="E31">
        <v>20411454</v>
      </c>
      <c r="F31" t="s">
        <v>840</v>
      </c>
      <c r="G31" t="s">
        <v>49</v>
      </c>
      <c r="H31" t="s">
        <v>367</v>
      </c>
      <c r="I31" s="1">
        <v>46023</v>
      </c>
      <c r="J31" t="s">
        <v>52</v>
      </c>
      <c r="K31" s="2">
        <v>25</v>
      </c>
      <c r="L31">
        <v>1</v>
      </c>
      <c r="M31" s="2">
        <v>25</v>
      </c>
      <c r="O31" t="s">
        <v>698</v>
      </c>
    </row>
    <row r="32" spans="1:15" x14ac:dyDescent="0.25">
      <c r="A32" s="7">
        <v>102256109600</v>
      </c>
      <c r="B32" s="7" t="str">
        <f t="shared" si="2"/>
        <v>102256109600OVR</v>
      </c>
      <c r="C32" t="s">
        <v>420</v>
      </c>
      <c r="D32" t="s">
        <v>66</v>
      </c>
      <c r="E32">
        <v>20411454</v>
      </c>
      <c r="F32" t="s">
        <v>840</v>
      </c>
      <c r="G32" t="s">
        <v>49</v>
      </c>
      <c r="H32" t="s">
        <v>367</v>
      </c>
      <c r="I32" s="1">
        <v>46023</v>
      </c>
      <c r="J32" t="s">
        <v>52</v>
      </c>
      <c r="K32" s="2">
        <v>25</v>
      </c>
      <c r="L32">
        <v>1</v>
      </c>
      <c r="M32" s="2">
        <v>25</v>
      </c>
      <c r="O32" t="s">
        <v>698</v>
      </c>
    </row>
    <row r="33" spans="1:15" x14ac:dyDescent="0.25">
      <c r="A33" s="7">
        <v>102256466200</v>
      </c>
      <c r="B33" s="7" t="str">
        <f t="shared" si="2"/>
        <v>102256466200OVR</v>
      </c>
      <c r="C33" t="s">
        <v>424</v>
      </c>
      <c r="D33" t="s">
        <v>55</v>
      </c>
      <c r="E33">
        <v>20411454</v>
      </c>
      <c r="F33" t="s">
        <v>840</v>
      </c>
      <c r="G33" t="s">
        <v>49</v>
      </c>
      <c r="H33" t="s">
        <v>367</v>
      </c>
      <c r="I33" s="1">
        <v>46023</v>
      </c>
      <c r="J33" t="s">
        <v>52</v>
      </c>
      <c r="K33" s="2">
        <v>25</v>
      </c>
      <c r="L33">
        <v>1</v>
      </c>
      <c r="M33" s="2">
        <v>25</v>
      </c>
      <c r="O33" t="s">
        <v>698</v>
      </c>
    </row>
    <row r="34" spans="1:15" x14ac:dyDescent="0.25">
      <c r="A34" s="7">
        <v>102256472800</v>
      </c>
      <c r="B34" s="7" t="str">
        <f t="shared" si="2"/>
        <v>102256472800OVR</v>
      </c>
      <c r="C34" t="s">
        <v>426</v>
      </c>
      <c r="D34" t="s">
        <v>55</v>
      </c>
      <c r="E34">
        <v>20411454</v>
      </c>
      <c r="F34" t="s">
        <v>840</v>
      </c>
      <c r="G34" t="s">
        <v>49</v>
      </c>
      <c r="H34" t="s">
        <v>367</v>
      </c>
      <c r="I34" s="1">
        <v>46023</v>
      </c>
      <c r="J34" t="s">
        <v>52</v>
      </c>
      <c r="K34" s="2">
        <v>25</v>
      </c>
      <c r="L34">
        <v>1</v>
      </c>
      <c r="M34" s="2">
        <v>25</v>
      </c>
      <c r="O34" t="s">
        <v>698</v>
      </c>
    </row>
    <row r="35" spans="1:15" x14ac:dyDescent="0.25">
      <c r="A35" s="7">
        <v>102256555900</v>
      </c>
      <c r="B35" s="7" t="str">
        <f t="shared" si="2"/>
        <v>102256555900OVR</v>
      </c>
      <c r="C35" t="s">
        <v>428</v>
      </c>
      <c r="D35" t="s">
        <v>66</v>
      </c>
      <c r="E35">
        <v>20411454</v>
      </c>
      <c r="F35" t="s">
        <v>840</v>
      </c>
      <c r="G35" t="s">
        <v>49</v>
      </c>
      <c r="H35" t="s">
        <v>367</v>
      </c>
      <c r="I35" s="1">
        <v>46023</v>
      </c>
      <c r="J35" t="s">
        <v>52</v>
      </c>
      <c r="K35" s="2">
        <v>25</v>
      </c>
      <c r="L35">
        <v>1</v>
      </c>
      <c r="M35" s="2">
        <v>25</v>
      </c>
      <c r="O35" t="s">
        <v>698</v>
      </c>
    </row>
    <row r="36" spans="1:15" x14ac:dyDescent="0.25">
      <c r="A36" s="7" t="s">
        <v>841</v>
      </c>
      <c r="B36" s="7" t="str">
        <f t="shared" si="2"/>
        <v>00000181806HOVR</v>
      </c>
      <c r="C36" t="s">
        <v>366</v>
      </c>
      <c r="D36" t="s">
        <v>125</v>
      </c>
      <c r="E36">
        <v>20411454</v>
      </c>
      <c r="F36" t="s">
        <v>840</v>
      </c>
      <c r="G36" t="s">
        <v>595</v>
      </c>
      <c r="H36" t="s">
        <v>58</v>
      </c>
      <c r="I36" s="1">
        <v>46023</v>
      </c>
      <c r="J36" t="s">
        <v>52</v>
      </c>
      <c r="M36">
        <v>-175</v>
      </c>
      <c r="O36" t="s">
        <v>699</v>
      </c>
    </row>
    <row r="37" spans="1:15" x14ac:dyDescent="0.25">
      <c r="A37" s="7" t="s">
        <v>842</v>
      </c>
      <c r="B37" s="7" t="str">
        <f t="shared" si="2"/>
        <v>00000989823DOVR</v>
      </c>
      <c r="C37" t="s">
        <v>597</v>
      </c>
      <c r="D37" t="s">
        <v>350</v>
      </c>
      <c r="E37">
        <v>20411454</v>
      </c>
      <c r="F37" t="s">
        <v>840</v>
      </c>
      <c r="G37" t="s">
        <v>595</v>
      </c>
      <c r="H37" t="s">
        <v>58</v>
      </c>
      <c r="I37" s="1">
        <v>46023</v>
      </c>
      <c r="J37" t="s">
        <v>52</v>
      </c>
      <c r="M37">
        <v>-175</v>
      </c>
      <c r="O37" t="s">
        <v>699</v>
      </c>
    </row>
    <row r="38" spans="1:15" x14ac:dyDescent="0.25">
      <c r="A38" s="7" t="s">
        <v>843</v>
      </c>
      <c r="B38" s="7" t="str">
        <f t="shared" si="2"/>
        <v>00014349742KOVR</v>
      </c>
      <c r="C38" t="s">
        <v>605</v>
      </c>
      <c r="D38" t="s">
        <v>55</v>
      </c>
      <c r="E38">
        <v>20411454</v>
      </c>
      <c r="F38" t="s">
        <v>840</v>
      </c>
      <c r="G38" t="s">
        <v>595</v>
      </c>
      <c r="H38" t="s">
        <v>58</v>
      </c>
      <c r="I38" s="1">
        <v>46023</v>
      </c>
      <c r="J38" t="s">
        <v>52</v>
      </c>
      <c r="M38">
        <v>-175</v>
      </c>
      <c r="O38" t="s">
        <v>699</v>
      </c>
    </row>
    <row r="39" spans="1:15" x14ac:dyDescent="0.25">
      <c r="A39" s="7" t="s">
        <v>844</v>
      </c>
      <c r="B39" s="7" t="str">
        <f t="shared" si="2"/>
        <v>00023898228KOVR</v>
      </c>
      <c r="C39" t="s">
        <v>621</v>
      </c>
      <c r="D39" t="s">
        <v>55</v>
      </c>
      <c r="E39">
        <v>20411454</v>
      </c>
      <c r="F39" t="s">
        <v>840</v>
      </c>
      <c r="G39" t="s">
        <v>595</v>
      </c>
      <c r="H39" t="s">
        <v>58</v>
      </c>
      <c r="I39" s="1">
        <v>46023</v>
      </c>
      <c r="J39" t="s">
        <v>52</v>
      </c>
      <c r="M39">
        <v>-175</v>
      </c>
      <c r="O39" t="s">
        <v>699</v>
      </c>
    </row>
    <row r="40" spans="1:15" x14ac:dyDescent="0.25">
      <c r="A40" s="7" t="s">
        <v>845</v>
      </c>
      <c r="B40" s="7" t="str">
        <f t="shared" si="2"/>
        <v>00024101017KOVR</v>
      </c>
      <c r="C40" t="s">
        <v>623</v>
      </c>
      <c r="D40" t="s">
        <v>55</v>
      </c>
      <c r="E40">
        <v>20411454</v>
      </c>
      <c r="F40" t="s">
        <v>840</v>
      </c>
      <c r="G40" t="s">
        <v>595</v>
      </c>
      <c r="H40" t="s">
        <v>58</v>
      </c>
      <c r="I40" s="1">
        <v>46023</v>
      </c>
      <c r="J40" t="s">
        <v>52</v>
      </c>
      <c r="M40">
        <v>-175</v>
      </c>
      <c r="O40" t="s">
        <v>699</v>
      </c>
    </row>
    <row r="41" spans="1:15" x14ac:dyDescent="0.25">
      <c r="A41" s="7" t="s">
        <v>846</v>
      </c>
      <c r="B41" s="7" t="str">
        <f t="shared" si="2"/>
        <v>00024300263KOVR</v>
      </c>
      <c r="C41" t="s">
        <v>625</v>
      </c>
      <c r="D41" t="s">
        <v>55</v>
      </c>
      <c r="E41">
        <v>20411454</v>
      </c>
      <c r="F41" t="s">
        <v>840</v>
      </c>
      <c r="G41" t="s">
        <v>595</v>
      </c>
      <c r="H41" t="s">
        <v>58</v>
      </c>
      <c r="I41" s="1">
        <v>46023</v>
      </c>
      <c r="J41" t="s">
        <v>52</v>
      </c>
      <c r="M41">
        <v>-175</v>
      </c>
      <c r="O41" t="s">
        <v>699</v>
      </c>
    </row>
    <row r="42" spans="1:15" x14ac:dyDescent="0.25">
      <c r="A42" s="7" t="s">
        <v>847</v>
      </c>
      <c r="B42" s="7" t="str">
        <f t="shared" si="2"/>
        <v>00024459001KOVR</v>
      </c>
      <c r="C42" t="s">
        <v>627</v>
      </c>
      <c r="D42" t="s">
        <v>55</v>
      </c>
      <c r="E42">
        <v>20411454</v>
      </c>
      <c r="F42" t="s">
        <v>840</v>
      </c>
      <c r="G42" t="s">
        <v>595</v>
      </c>
      <c r="H42" t="s">
        <v>58</v>
      </c>
      <c r="I42" s="1">
        <v>46023</v>
      </c>
      <c r="J42" t="s">
        <v>52</v>
      </c>
      <c r="M42">
        <v>-175</v>
      </c>
      <c r="O42" t="s">
        <v>699</v>
      </c>
    </row>
    <row r="43" spans="1:15" x14ac:dyDescent="0.25">
      <c r="A43" s="7" t="s">
        <v>848</v>
      </c>
      <c r="B43" s="7" t="str">
        <f t="shared" si="2"/>
        <v>00024590403KOVR</v>
      </c>
      <c r="C43" t="s">
        <v>211</v>
      </c>
      <c r="D43" t="s">
        <v>125</v>
      </c>
      <c r="E43">
        <v>20411454</v>
      </c>
      <c r="F43" t="s">
        <v>840</v>
      </c>
      <c r="G43" t="s">
        <v>595</v>
      </c>
      <c r="H43" t="s">
        <v>58</v>
      </c>
      <c r="I43" s="1">
        <v>46023</v>
      </c>
      <c r="J43" t="s">
        <v>52</v>
      </c>
      <c r="M43">
        <v>-175</v>
      </c>
      <c r="O43" t="s">
        <v>699</v>
      </c>
    </row>
    <row r="44" spans="1:15" x14ac:dyDescent="0.25">
      <c r="A44" s="7" t="s">
        <v>849</v>
      </c>
      <c r="B44" s="7" t="str">
        <f t="shared" si="2"/>
        <v>00025761952KOVR</v>
      </c>
      <c r="C44" t="s">
        <v>630</v>
      </c>
      <c r="D44" t="s">
        <v>631</v>
      </c>
      <c r="E44">
        <v>20411454</v>
      </c>
      <c r="F44" t="s">
        <v>840</v>
      </c>
      <c r="G44" t="s">
        <v>595</v>
      </c>
      <c r="H44" t="s">
        <v>58</v>
      </c>
      <c r="I44" s="1">
        <v>46023</v>
      </c>
      <c r="J44" t="s">
        <v>52</v>
      </c>
      <c r="M44">
        <v>-175</v>
      </c>
      <c r="O44" t="s">
        <v>699</v>
      </c>
    </row>
    <row r="45" spans="1:15" x14ac:dyDescent="0.25">
      <c r="A45" s="7" t="s">
        <v>850</v>
      </c>
      <c r="B45" s="7" t="str">
        <f t="shared" si="2"/>
        <v>00025831526KOVR</v>
      </c>
      <c r="C45" t="s">
        <v>633</v>
      </c>
      <c r="D45" t="s">
        <v>125</v>
      </c>
      <c r="E45">
        <v>20411454</v>
      </c>
      <c r="F45" t="s">
        <v>840</v>
      </c>
      <c r="G45" t="s">
        <v>595</v>
      </c>
      <c r="H45" t="s">
        <v>58</v>
      </c>
      <c r="I45" s="1">
        <v>46023</v>
      </c>
      <c r="J45" t="s">
        <v>52</v>
      </c>
      <c r="M45">
        <v>-175</v>
      </c>
      <c r="O45" t="s">
        <v>699</v>
      </c>
    </row>
    <row r="46" spans="1:15" x14ac:dyDescent="0.25">
      <c r="A46" s="7" t="s">
        <v>858</v>
      </c>
      <c r="B46" s="7" t="str">
        <f t="shared" si="2"/>
        <v>00002055299KOVR</v>
      </c>
      <c r="C46" t="s">
        <v>601</v>
      </c>
      <c r="D46" t="s">
        <v>187</v>
      </c>
      <c r="E46">
        <v>20411454</v>
      </c>
      <c r="F46" t="s">
        <v>840</v>
      </c>
      <c r="G46" t="s">
        <v>595</v>
      </c>
      <c r="H46" t="s">
        <v>58</v>
      </c>
      <c r="I46" s="1">
        <v>46023</v>
      </c>
      <c r="J46" t="s">
        <v>52</v>
      </c>
      <c r="M46">
        <v>-161</v>
      </c>
      <c r="O46" t="s">
        <v>699</v>
      </c>
    </row>
    <row r="47" spans="1:15" x14ac:dyDescent="0.25">
      <c r="A47" s="7" t="s">
        <v>859</v>
      </c>
      <c r="B47" s="7" t="str">
        <f t="shared" si="2"/>
        <v>00010216897KOVR</v>
      </c>
      <c r="C47" t="s">
        <v>603</v>
      </c>
      <c r="D47" t="s">
        <v>187</v>
      </c>
      <c r="E47">
        <v>20411454</v>
      </c>
      <c r="F47" t="s">
        <v>840</v>
      </c>
      <c r="G47" t="s">
        <v>595</v>
      </c>
      <c r="H47" t="s">
        <v>58</v>
      </c>
      <c r="I47" s="1">
        <v>46023</v>
      </c>
      <c r="J47" t="s">
        <v>52</v>
      </c>
      <c r="M47">
        <v>-161</v>
      </c>
      <c r="O47" t="s">
        <v>699</v>
      </c>
    </row>
    <row r="48" spans="1:15" x14ac:dyDescent="0.25">
      <c r="A48" s="7" t="s">
        <v>851</v>
      </c>
      <c r="B48" s="7" t="str">
        <f t="shared" si="2"/>
        <v>00020136249KOVR</v>
      </c>
      <c r="C48" t="s">
        <v>607</v>
      </c>
      <c r="D48" t="s">
        <v>55</v>
      </c>
      <c r="E48">
        <v>20411454</v>
      </c>
      <c r="F48" t="s">
        <v>840</v>
      </c>
      <c r="G48" t="s">
        <v>595</v>
      </c>
      <c r="H48" t="s">
        <v>50</v>
      </c>
      <c r="I48" s="1">
        <v>46023</v>
      </c>
      <c r="J48" t="s">
        <v>52</v>
      </c>
      <c r="M48">
        <v>-108</v>
      </c>
      <c r="O48" t="s">
        <v>699</v>
      </c>
    </row>
    <row r="49" spans="1:15" x14ac:dyDescent="0.25">
      <c r="A49" s="7" t="s">
        <v>852</v>
      </c>
      <c r="B49" s="7" t="str">
        <f t="shared" si="2"/>
        <v>00021204922KOVR</v>
      </c>
      <c r="C49" t="s">
        <v>609</v>
      </c>
      <c r="D49" t="s">
        <v>55</v>
      </c>
      <c r="E49">
        <v>20411454</v>
      </c>
      <c r="F49" t="s">
        <v>840</v>
      </c>
      <c r="G49" t="s">
        <v>595</v>
      </c>
      <c r="H49" t="s">
        <v>50</v>
      </c>
      <c r="I49" s="1">
        <v>46023</v>
      </c>
      <c r="J49" t="s">
        <v>52</v>
      </c>
      <c r="M49">
        <v>-108</v>
      </c>
      <c r="O49" t="s">
        <v>699</v>
      </c>
    </row>
    <row r="50" spans="1:15" x14ac:dyDescent="0.25">
      <c r="A50" s="7" t="s">
        <v>853</v>
      </c>
      <c r="B50" s="7" t="str">
        <f t="shared" si="2"/>
        <v>00022178549KOVR</v>
      </c>
      <c r="C50" t="s">
        <v>611</v>
      </c>
      <c r="D50" t="s">
        <v>55</v>
      </c>
      <c r="E50">
        <v>20411454</v>
      </c>
      <c r="F50" t="s">
        <v>840</v>
      </c>
      <c r="G50" t="s">
        <v>595</v>
      </c>
      <c r="H50" t="s">
        <v>50</v>
      </c>
      <c r="I50" s="1">
        <v>46023</v>
      </c>
      <c r="J50" t="s">
        <v>52</v>
      </c>
      <c r="M50">
        <v>-108</v>
      </c>
      <c r="O50" t="s">
        <v>699</v>
      </c>
    </row>
    <row r="51" spans="1:15" x14ac:dyDescent="0.25">
      <c r="A51" s="7" t="s">
        <v>854</v>
      </c>
      <c r="B51" s="7" t="str">
        <f t="shared" si="2"/>
        <v>00022550284KOVR</v>
      </c>
      <c r="C51" t="s">
        <v>613</v>
      </c>
      <c r="D51" t="s">
        <v>55</v>
      </c>
      <c r="E51">
        <v>20411454</v>
      </c>
      <c r="F51" t="s">
        <v>840</v>
      </c>
      <c r="G51" t="s">
        <v>595</v>
      </c>
      <c r="H51" t="s">
        <v>50</v>
      </c>
      <c r="I51" s="1">
        <v>46023</v>
      </c>
      <c r="J51" t="s">
        <v>52</v>
      </c>
      <c r="M51">
        <v>-108</v>
      </c>
      <c r="O51" t="s">
        <v>699</v>
      </c>
    </row>
    <row r="52" spans="1:15" x14ac:dyDescent="0.25">
      <c r="A52" s="7" t="s">
        <v>855</v>
      </c>
      <c r="B52" s="7" t="str">
        <f t="shared" si="2"/>
        <v>00022558806KOVR</v>
      </c>
      <c r="C52" t="s">
        <v>615</v>
      </c>
      <c r="D52" t="s">
        <v>55</v>
      </c>
      <c r="E52">
        <v>20411454</v>
      </c>
      <c r="F52" t="s">
        <v>840</v>
      </c>
      <c r="G52" t="s">
        <v>595</v>
      </c>
      <c r="H52" t="s">
        <v>50</v>
      </c>
      <c r="I52" s="1">
        <v>46023</v>
      </c>
      <c r="J52" t="s">
        <v>52</v>
      </c>
      <c r="M52">
        <v>-108</v>
      </c>
      <c r="O52" t="s">
        <v>699</v>
      </c>
    </row>
    <row r="53" spans="1:15" x14ac:dyDescent="0.25">
      <c r="A53" s="7" t="s">
        <v>856</v>
      </c>
      <c r="B53" s="7" t="str">
        <f t="shared" si="2"/>
        <v>00022826430KOVR</v>
      </c>
      <c r="C53" t="s">
        <v>617</v>
      </c>
      <c r="D53" t="s">
        <v>55</v>
      </c>
      <c r="E53">
        <v>20411454</v>
      </c>
      <c r="F53" t="s">
        <v>840</v>
      </c>
      <c r="G53" t="s">
        <v>595</v>
      </c>
      <c r="H53" t="s">
        <v>50</v>
      </c>
      <c r="I53" s="1">
        <v>46023</v>
      </c>
      <c r="J53" t="s">
        <v>52</v>
      </c>
      <c r="M53">
        <v>-108</v>
      </c>
      <c r="O53" t="s">
        <v>699</v>
      </c>
    </row>
    <row r="54" spans="1:15" x14ac:dyDescent="0.25">
      <c r="A54" s="7" t="s">
        <v>749</v>
      </c>
      <c r="B54" s="7" t="str">
        <f t="shared" si="2"/>
        <v>00000408160IOVR</v>
      </c>
      <c r="C54" t="s">
        <v>45</v>
      </c>
      <c r="D54" t="s">
        <v>46</v>
      </c>
      <c r="E54">
        <v>20411454</v>
      </c>
      <c r="F54" t="s">
        <v>840</v>
      </c>
      <c r="G54" t="s">
        <v>49</v>
      </c>
      <c r="H54" t="s">
        <v>50</v>
      </c>
      <c r="I54" s="1">
        <v>46023</v>
      </c>
      <c r="J54" t="s">
        <v>52</v>
      </c>
      <c r="K54" s="2">
        <v>108</v>
      </c>
      <c r="L54">
        <v>1</v>
      </c>
      <c r="M54" s="2">
        <v>108</v>
      </c>
      <c r="O54" t="s">
        <v>699</v>
      </c>
    </row>
    <row r="55" spans="1:15" x14ac:dyDescent="0.25">
      <c r="A55" s="7" t="s">
        <v>750</v>
      </c>
      <c r="B55" s="7" t="str">
        <f t="shared" si="2"/>
        <v>00005605113KOVR</v>
      </c>
      <c r="C55" t="s">
        <v>60</v>
      </c>
      <c r="D55" t="s">
        <v>61</v>
      </c>
      <c r="E55">
        <v>20411454</v>
      </c>
      <c r="F55" t="s">
        <v>840</v>
      </c>
      <c r="G55" t="s">
        <v>49</v>
      </c>
      <c r="H55" t="s">
        <v>50</v>
      </c>
      <c r="I55" s="1">
        <v>46023</v>
      </c>
      <c r="J55" t="s">
        <v>52</v>
      </c>
      <c r="K55" s="2">
        <v>108</v>
      </c>
      <c r="L55">
        <v>1</v>
      </c>
      <c r="M55" s="2">
        <v>108</v>
      </c>
      <c r="O55" t="s">
        <v>699</v>
      </c>
    </row>
    <row r="56" spans="1:15" x14ac:dyDescent="0.25">
      <c r="A56" s="7" t="s">
        <v>751</v>
      </c>
      <c r="B56" s="7" t="str">
        <f t="shared" si="2"/>
        <v>00012387888KOVR</v>
      </c>
      <c r="C56" t="s">
        <v>80</v>
      </c>
      <c r="D56" t="s">
        <v>55</v>
      </c>
      <c r="E56">
        <v>20411454</v>
      </c>
      <c r="F56" t="s">
        <v>840</v>
      </c>
      <c r="G56" t="s">
        <v>49</v>
      </c>
      <c r="H56" t="s">
        <v>50</v>
      </c>
      <c r="I56" s="1">
        <v>46023</v>
      </c>
      <c r="J56" t="s">
        <v>52</v>
      </c>
      <c r="K56" s="2">
        <v>108</v>
      </c>
      <c r="L56">
        <v>1</v>
      </c>
      <c r="M56" s="2">
        <v>108</v>
      </c>
      <c r="O56" t="s">
        <v>699</v>
      </c>
    </row>
    <row r="57" spans="1:15" x14ac:dyDescent="0.25">
      <c r="A57" s="7" t="s">
        <v>752</v>
      </c>
      <c r="B57" s="7" t="str">
        <f t="shared" si="2"/>
        <v>00015818791KOVR</v>
      </c>
      <c r="C57" t="s">
        <v>100</v>
      </c>
      <c r="D57" t="s">
        <v>101</v>
      </c>
      <c r="E57">
        <v>20411454</v>
      </c>
      <c r="F57" t="s">
        <v>840</v>
      </c>
      <c r="G57" t="s">
        <v>49</v>
      </c>
      <c r="H57" t="s">
        <v>50</v>
      </c>
      <c r="I57" s="1">
        <v>46023</v>
      </c>
      <c r="J57" t="s">
        <v>52</v>
      </c>
      <c r="K57" s="2">
        <v>108</v>
      </c>
      <c r="L57">
        <v>1</v>
      </c>
      <c r="M57" s="2">
        <v>108</v>
      </c>
      <c r="O57" t="s">
        <v>699</v>
      </c>
    </row>
    <row r="58" spans="1:15" x14ac:dyDescent="0.25">
      <c r="A58" s="7" t="s">
        <v>753</v>
      </c>
      <c r="B58" s="7" t="str">
        <f t="shared" si="2"/>
        <v>00023672066KOVR</v>
      </c>
      <c r="C58" t="s">
        <v>124</v>
      </c>
      <c r="D58" t="s">
        <v>125</v>
      </c>
      <c r="E58">
        <v>20411454</v>
      </c>
      <c r="F58" t="s">
        <v>840</v>
      </c>
      <c r="G58" t="s">
        <v>49</v>
      </c>
      <c r="H58" t="s">
        <v>50</v>
      </c>
      <c r="I58" s="1">
        <v>46023</v>
      </c>
      <c r="J58" t="s">
        <v>52</v>
      </c>
      <c r="K58" s="2">
        <v>108</v>
      </c>
      <c r="L58">
        <v>1</v>
      </c>
      <c r="M58" s="2">
        <v>108</v>
      </c>
      <c r="O58" t="s">
        <v>699</v>
      </c>
    </row>
    <row r="59" spans="1:15" x14ac:dyDescent="0.25">
      <c r="A59" s="7" t="s">
        <v>701</v>
      </c>
      <c r="B59" s="7" t="str">
        <f t="shared" si="2"/>
        <v>00000953613IOVR</v>
      </c>
      <c r="C59" t="s">
        <v>54</v>
      </c>
      <c r="D59" t="s">
        <v>55</v>
      </c>
      <c r="E59">
        <v>20411454</v>
      </c>
      <c r="F59" t="s">
        <v>840</v>
      </c>
      <c r="G59" t="s">
        <v>49</v>
      </c>
      <c r="H59" t="s">
        <v>58</v>
      </c>
      <c r="I59" s="1">
        <v>46023</v>
      </c>
      <c r="J59" t="s">
        <v>52</v>
      </c>
      <c r="K59" s="2">
        <v>175</v>
      </c>
      <c r="L59">
        <v>1</v>
      </c>
      <c r="M59" s="2">
        <v>175</v>
      </c>
      <c r="O59" t="s">
        <v>699</v>
      </c>
    </row>
    <row r="60" spans="1:15" x14ac:dyDescent="0.25">
      <c r="A60" s="7" t="s">
        <v>702</v>
      </c>
      <c r="B60" s="7" t="str">
        <f t="shared" si="2"/>
        <v>00014636582KOVR</v>
      </c>
      <c r="C60" t="s">
        <v>96</v>
      </c>
      <c r="D60" t="s">
        <v>55</v>
      </c>
      <c r="E60">
        <v>20411454</v>
      </c>
      <c r="F60" t="s">
        <v>840</v>
      </c>
      <c r="G60" t="s">
        <v>49</v>
      </c>
      <c r="H60" t="s">
        <v>58</v>
      </c>
      <c r="I60" s="1">
        <v>46023</v>
      </c>
      <c r="J60" t="s">
        <v>52</v>
      </c>
      <c r="K60" s="2">
        <v>175</v>
      </c>
      <c r="L60">
        <v>1</v>
      </c>
      <c r="M60" s="2">
        <v>175</v>
      </c>
      <c r="O60" t="s">
        <v>699</v>
      </c>
    </row>
    <row r="61" spans="1:15" x14ac:dyDescent="0.25">
      <c r="A61" s="7" t="s">
        <v>703</v>
      </c>
      <c r="B61" s="7" t="str">
        <f t="shared" si="2"/>
        <v>00017029001KOVR</v>
      </c>
      <c r="C61" t="s">
        <v>107</v>
      </c>
      <c r="D61" t="s">
        <v>108</v>
      </c>
      <c r="E61">
        <v>20411454</v>
      </c>
      <c r="F61" t="s">
        <v>840</v>
      </c>
      <c r="G61" t="s">
        <v>49</v>
      </c>
      <c r="H61" t="s">
        <v>58</v>
      </c>
      <c r="I61" s="1">
        <v>46023</v>
      </c>
      <c r="J61" t="s">
        <v>52</v>
      </c>
      <c r="K61" s="2">
        <v>175</v>
      </c>
      <c r="L61">
        <v>1</v>
      </c>
      <c r="M61" s="2">
        <v>175</v>
      </c>
      <c r="O61" t="s">
        <v>699</v>
      </c>
    </row>
    <row r="62" spans="1:15" x14ac:dyDescent="0.25">
      <c r="A62" s="7" t="s">
        <v>704</v>
      </c>
      <c r="B62" s="7" t="str">
        <f t="shared" si="2"/>
        <v>00022598731KOVR</v>
      </c>
      <c r="C62" t="s">
        <v>115</v>
      </c>
      <c r="D62" t="s">
        <v>55</v>
      </c>
      <c r="E62">
        <v>20411454</v>
      </c>
      <c r="F62" t="s">
        <v>840</v>
      </c>
      <c r="G62" t="s">
        <v>49</v>
      </c>
      <c r="H62" t="s">
        <v>58</v>
      </c>
      <c r="I62" s="1">
        <v>46054</v>
      </c>
      <c r="J62" t="s">
        <v>52</v>
      </c>
      <c r="K62" s="2">
        <v>175</v>
      </c>
      <c r="L62">
        <v>1</v>
      </c>
      <c r="M62" s="2">
        <v>175</v>
      </c>
      <c r="O62" t="s">
        <v>699</v>
      </c>
    </row>
    <row r="63" spans="1:15" x14ac:dyDescent="0.25">
      <c r="A63" s="7" t="s">
        <v>705</v>
      </c>
      <c r="B63" s="7" t="str">
        <f t="shared" si="2"/>
        <v>00024506657KOVR</v>
      </c>
      <c r="C63" t="s">
        <v>223</v>
      </c>
      <c r="D63" t="s">
        <v>55</v>
      </c>
      <c r="E63">
        <v>20411454</v>
      </c>
      <c r="F63" t="s">
        <v>840</v>
      </c>
      <c r="G63" t="s">
        <v>49</v>
      </c>
      <c r="H63" t="s">
        <v>58</v>
      </c>
      <c r="I63" s="1">
        <v>46023</v>
      </c>
      <c r="J63" t="s">
        <v>52</v>
      </c>
      <c r="K63" s="2">
        <v>175</v>
      </c>
      <c r="L63">
        <v>1</v>
      </c>
      <c r="M63" s="2">
        <v>175</v>
      </c>
      <c r="O63" t="s">
        <v>699</v>
      </c>
    </row>
    <row r="64" spans="1:15" x14ac:dyDescent="0.25">
      <c r="A64" s="7" t="s">
        <v>706</v>
      </c>
      <c r="B64" s="7" t="str">
        <f t="shared" si="2"/>
        <v>00024511076KOVR</v>
      </c>
      <c r="C64" t="s">
        <v>227</v>
      </c>
      <c r="D64" t="s">
        <v>55</v>
      </c>
      <c r="E64">
        <v>20411454</v>
      </c>
      <c r="F64" t="s">
        <v>840</v>
      </c>
      <c r="G64" t="s">
        <v>49</v>
      </c>
      <c r="H64" t="s">
        <v>58</v>
      </c>
      <c r="I64" s="1">
        <v>46023</v>
      </c>
      <c r="J64" t="s">
        <v>52</v>
      </c>
      <c r="K64" s="2">
        <v>175</v>
      </c>
      <c r="L64">
        <v>1</v>
      </c>
      <c r="M64" s="2">
        <v>175</v>
      </c>
      <c r="O64" t="s">
        <v>699</v>
      </c>
    </row>
    <row r="65" spans="1:15" x14ac:dyDescent="0.25">
      <c r="A65" s="7" t="s">
        <v>707</v>
      </c>
      <c r="B65" s="7" t="str">
        <f t="shared" si="2"/>
        <v>00024511852KOVR</v>
      </c>
      <c r="C65" t="s">
        <v>231</v>
      </c>
      <c r="D65" t="s">
        <v>55</v>
      </c>
      <c r="E65">
        <v>20411454</v>
      </c>
      <c r="F65" t="s">
        <v>840</v>
      </c>
      <c r="G65" t="s">
        <v>49</v>
      </c>
      <c r="H65" t="s">
        <v>58</v>
      </c>
      <c r="I65" s="1">
        <v>46023</v>
      </c>
      <c r="J65" t="s">
        <v>52</v>
      </c>
      <c r="K65" s="2">
        <v>175</v>
      </c>
      <c r="L65">
        <v>1</v>
      </c>
      <c r="M65" s="2">
        <v>175</v>
      </c>
      <c r="O65" t="s">
        <v>699</v>
      </c>
    </row>
    <row r="66" spans="1:15" x14ac:dyDescent="0.25">
      <c r="A66" s="7" t="s">
        <v>708</v>
      </c>
      <c r="B66" s="7" t="str">
        <f t="shared" si="2"/>
        <v>00025840083KOVR</v>
      </c>
      <c r="C66" t="s">
        <v>255</v>
      </c>
      <c r="D66" t="s">
        <v>256</v>
      </c>
      <c r="E66">
        <v>20411454</v>
      </c>
      <c r="F66" t="s">
        <v>840</v>
      </c>
      <c r="G66" t="s">
        <v>49</v>
      </c>
      <c r="H66" t="s">
        <v>58</v>
      </c>
      <c r="I66" s="1">
        <v>46054</v>
      </c>
      <c r="J66" t="s">
        <v>52</v>
      </c>
      <c r="K66" s="2">
        <v>175</v>
      </c>
      <c r="L66">
        <v>1</v>
      </c>
      <c r="M66" s="2">
        <v>175</v>
      </c>
      <c r="O66" t="s">
        <v>699</v>
      </c>
    </row>
    <row r="67" spans="1:15" x14ac:dyDescent="0.25">
      <c r="A67" s="7" t="s">
        <v>709</v>
      </c>
      <c r="B67" s="7" t="str">
        <f t="shared" si="2"/>
        <v>00025843251KOVR</v>
      </c>
      <c r="C67" t="s">
        <v>258</v>
      </c>
      <c r="D67" t="s">
        <v>55</v>
      </c>
      <c r="E67">
        <v>20411454</v>
      </c>
      <c r="F67" t="s">
        <v>840</v>
      </c>
      <c r="G67" t="s">
        <v>49</v>
      </c>
      <c r="H67" t="s">
        <v>58</v>
      </c>
      <c r="I67" s="1">
        <v>46023</v>
      </c>
      <c r="J67" t="s">
        <v>52</v>
      </c>
      <c r="K67" s="2">
        <v>175</v>
      </c>
      <c r="L67">
        <v>1</v>
      </c>
      <c r="M67" s="2">
        <v>175</v>
      </c>
      <c r="O67" t="s">
        <v>699</v>
      </c>
    </row>
    <row r="68" spans="1:15" x14ac:dyDescent="0.25">
      <c r="A68" s="7" t="s">
        <v>710</v>
      </c>
      <c r="B68" s="7" t="str">
        <f t="shared" si="2"/>
        <v>00025844848KOVR</v>
      </c>
      <c r="C68" t="s">
        <v>260</v>
      </c>
      <c r="D68" t="s">
        <v>55</v>
      </c>
      <c r="E68">
        <v>20411454</v>
      </c>
      <c r="F68" t="s">
        <v>840</v>
      </c>
      <c r="G68" t="s">
        <v>49</v>
      </c>
      <c r="H68" t="s">
        <v>58</v>
      </c>
      <c r="I68" s="1">
        <v>46023</v>
      </c>
      <c r="J68" t="s">
        <v>52</v>
      </c>
      <c r="K68" s="2">
        <v>175</v>
      </c>
      <c r="L68">
        <v>1</v>
      </c>
      <c r="M68" s="2">
        <v>175</v>
      </c>
      <c r="O68" t="s">
        <v>699</v>
      </c>
    </row>
    <row r="69" spans="1:15" x14ac:dyDescent="0.25">
      <c r="A69" s="7" t="s">
        <v>711</v>
      </c>
      <c r="B69" s="7" t="str">
        <f t="shared" si="2"/>
        <v>00025848402KOVR</v>
      </c>
      <c r="C69" t="s">
        <v>264</v>
      </c>
      <c r="D69" t="s">
        <v>55</v>
      </c>
      <c r="E69">
        <v>20411454</v>
      </c>
      <c r="F69" t="s">
        <v>840</v>
      </c>
      <c r="G69" t="s">
        <v>49</v>
      </c>
      <c r="H69" t="s">
        <v>58</v>
      </c>
      <c r="I69" s="1">
        <v>46023</v>
      </c>
      <c r="J69" t="s">
        <v>52</v>
      </c>
      <c r="K69" s="2">
        <v>175</v>
      </c>
      <c r="L69">
        <v>1</v>
      </c>
      <c r="M69" s="2">
        <v>175</v>
      </c>
      <c r="O69" t="s">
        <v>699</v>
      </c>
    </row>
    <row r="70" spans="1:15" x14ac:dyDescent="0.25">
      <c r="A70" s="7" t="s">
        <v>712</v>
      </c>
      <c r="B70" s="7" t="str">
        <f t="shared" si="2"/>
        <v>00025848481KOVR</v>
      </c>
      <c r="C70" t="s">
        <v>268</v>
      </c>
      <c r="D70" t="s">
        <v>125</v>
      </c>
      <c r="E70">
        <v>20411454</v>
      </c>
      <c r="F70" t="s">
        <v>840</v>
      </c>
      <c r="G70" t="s">
        <v>49</v>
      </c>
      <c r="H70" t="s">
        <v>58</v>
      </c>
      <c r="I70" s="1">
        <v>46023</v>
      </c>
      <c r="J70" t="s">
        <v>52</v>
      </c>
      <c r="K70" s="2">
        <v>175</v>
      </c>
      <c r="L70">
        <v>1</v>
      </c>
      <c r="M70" s="2">
        <v>175</v>
      </c>
      <c r="O70" t="s">
        <v>699</v>
      </c>
    </row>
    <row r="71" spans="1:15" x14ac:dyDescent="0.25">
      <c r="A71" s="7" t="s">
        <v>713</v>
      </c>
      <c r="B71" s="7" t="str">
        <f t="shared" si="2"/>
        <v>00025849155KOVR</v>
      </c>
      <c r="C71" t="s">
        <v>272</v>
      </c>
      <c r="D71" t="s">
        <v>55</v>
      </c>
      <c r="E71">
        <v>20411454</v>
      </c>
      <c r="F71" t="s">
        <v>840</v>
      </c>
      <c r="G71" t="s">
        <v>49</v>
      </c>
      <c r="H71" t="s">
        <v>58</v>
      </c>
      <c r="I71" s="1">
        <v>46023</v>
      </c>
      <c r="J71" t="s">
        <v>52</v>
      </c>
      <c r="K71" s="2">
        <v>175</v>
      </c>
      <c r="L71">
        <v>1</v>
      </c>
      <c r="M71" s="2">
        <v>175</v>
      </c>
      <c r="O71" t="s">
        <v>699</v>
      </c>
    </row>
    <row r="72" spans="1:15" x14ac:dyDescent="0.25">
      <c r="A72" s="7" t="s">
        <v>714</v>
      </c>
      <c r="B72" s="7" t="str">
        <f t="shared" si="2"/>
        <v>00025849253KOVR</v>
      </c>
      <c r="C72" t="s">
        <v>274</v>
      </c>
      <c r="D72" t="s">
        <v>55</v>
      </c>
      <c r="E72">
        <v>20411454</v>
      </c>
      <c r="F72" t="s">
        <v>840</v>
      </c>
      <c r="G72" t="s">
        <v>49</v>
      </c>
      <c r="H72" t="s">
        <v>58</v>
      </c>
      <c r="I72" s="1">
        <v>46023</v>
      </c>
      <c r="J72" t="s">
        <v>52</v>
      </c>
      <c r="K72" s="2">
        <v>175</v>
      </c>
      <c r="L72">
        <v>1</v>
      </c>
      <c r="M72" s="2">
        <v>175</v>
      </c>
      <c r="O72" t="s">
        <v>699</v>
      </c>
    </row>
    <row r="73" spans="1:15" x14ac:dyDescent="0.25">
      <c r="A73" s="7" t="s">
        <v>715</v>
      </c>
      <c r="B73" s="7" t="str">
        <f t="shared" si="2"/>
        <v>00025850742KOVR</v>
      </c>
      <c r="C73" t="s">
        <v>276</v>
      </c>
      <c r="D73" t="s">
        <v>55</v>
      </c>
      <c r="E73">
        <v>20411454</v>
      </c>
      <c r="F73" t="s">
        <v>840</v>
      </c>
      <c r="G73" t="s">
        <v>49</v>
      </c>
      <c r="H73" t="s">
        <v>58</v>
      </c>
      <c r="I73" s="1">
        <v>46023</v>
      </c>
      <c r="J73" t="s">
        <v>52</v>
      </c>
      <c r="K73" s="2">
        <v>175</v>
      </c>
      <c r="L73">
        <v>1</v>
      </c>
      <c r="M73" s="2">
        <v>175</v>
      </c>
      <c r="O73" t="s">
        <v>699</v>
      </c>
    </row>
    <row r="74" spans="1:15" x14ac:dyDescent="0.25">
      <c r="A74" s="7" t="s">
        <v>716</v>
      </c>
      <c r="B74" s="7" t="str">
        <f t="shared" si="2"/>
        <v>00025851862KOVR</v>
      </c>
      <c r="C74" t="s">
        <v>278</v>
      </c>
      <c r="D74" t="s">
        <v>55</v>
      </c>
      <c r="E74">
        <v>20411454</v>
      </c>
      <c r="F74" t="s">
        <v>840</v>
      </c>
      <c r="G74" t="s">
        <v>49</v>
      </c>
      <c r="H74" t="s">
        <v>58</v>
      </c>
      <c r="I74" s="1">
        <v>46023</v>
      </c>
      <c r="J74" t="s">
        <v>52</v>
      </c>
      <c r="K74" s="2">
        <v>175</v>
      </c>
      <c r="L74">
        <v>1</v>
      </c>
      <c r="M74" s="2">
        <v>175</v>
      </c>
      <c r="O74" t="s">
        <v>699</v>
      </c>
    </row>
    <row r="75" spans="1:15" x14ac:dyDescent="0.25">
      <c r="A75" s="7" t="s">
        <v>717</v>
      </c>
      <c r="B75" s="7" t="str">
        <f t="shared" si="2"/>
        <v>00025852118KOVR</v>
      </c>
      <c r="C75" t="s">
        <v>280</v>
      </c>
      <c r="D75" t="s">
        <v>55</v>
      </c>
      <c r="E75">
        <v>20411454</v>
      </c>
      <c r="F75" t="s">
        <v>840</v>
      </c>
      <c r="G75" t="s">
        <v>49</v>
      </c>
      <c r="H75" t="s">
        <v>58</v>
      </c>
      <c r="I75" s="1">
        <v>46082</v>
      </c>
      <c r="J75" t="s">
        <v>52</v>
      </c>
      <c r="K75" s="2">
        <v>175</v>
      </c>
      <c r="L75">
        <v>1</v>
      </c>
      <c r="M75" s="2">
        <v>175</v>
      </c>
      <c r="O75" t="s">
        <v>699</v>
      </c>
    </row>
    <row r="76" spans="1:15" x14ac:dyDescent="0.25">
      <c r="A76" s="7" t="s">
        <v>718</v>
      </c>
      <c r="B76" s="7" t="str">
        <f t="shared" ref="B76:B106" si="3">CONCATENATE(A76,"OVR")</f>
        <v>00025856242KOVR</v>
      </c>
      <c r="C76" t="s">
        <v>282</v>
      </c>
      <c r="D76" t="s">
        <v>55</v>
      </c>
      <c r="E76">
        <v>20411454</v>
      </c>
      <c r="F76" t="s">
        <v>840</v>
      </c>
      <c r="G76" t="s">
        <v>49</v>
      </c>
      <c r="H76" t="s">
        <v>58</v>
      </c>
      <c r="I76" s="1">
        <v>46023</v>
      </c>
      <c r="J76" t="s">
        <v>52</v>
      </c>
      <c r="K76" s="2">
        <v>175</v>
      </c>
      <c r="L76">
        <v>1</v>
      </c>
      <c r="M76" s="2">
        <v>175</v>
      </c>
      <c r="O76" t="s">
        <v>699</v>
      </c>
    </row>
    <row r="77" spans="1:15" x14ac:dyDescent="0.25">
      <c r="A77" s="7" t="s">
        <v>719</v>
      </c>
      <c r="B77" s="7" t="str">
        <f t="shared" si="3"/>
        <v>00025857241KOVR</v>
      </c>
      <c r="C77" t="s">
        <v>284</v>
      </c>
      <c r="D77" t="s">
        <v>55</v>
      </c>
      <c r="E77">
        <v>20411454</v>
      </c>
      <c r="F77" t="s">
        <v>840</v>
      </c>
      <c r="G77" t="s">
        <v>49</v>
      </c>
      <c r="H77" t="s">
        <v>58</v>
      </c>
      <c r="I77" s="1">
        <v>46023</v>
      </c>
      <c r="J77" t="s">
        <v>52</v>
      </c>
      <c r="K77" s="2">
        <v>175</v>
      </c>
      <c r="L77">
        <v>1</v>
      </c>
      <c r="M77" s="2">
        <v>175</v>
      </c>
      <c r="O77" t="s">
        <v>699</v>
      </c>
    </row>
    <row r="78" spans="1:15" x14ac:dyDescent="0.25">
      <c r="A78" s="7" t="s">
        <v>720</v>
      </c>
      <c r="B78" s="7" t="str">
        <f t="shared" si="3"/>
        <v>00025857878KOVR</v>
      </c>
      <c r="C78" t="s">
        <v>288</v>
      </c>
      <c r="D78" t="s">
        <v>289</v>
      </c>
      <c r="E78">
        <v>20411454</v>
      </c>
      <c r="F78" t="s">
        <v>840</v>
      </c>
      <c r="G78" t="s">
        <v>49</v>
      </c>
      <c r="H78" t="s">
        <v>58</v>
      </c>
      <c r="I78" s="1">
        <v>46023</v>
      </c>
      <c r="J78" t="s">
        <v>52</v>
      </c>
      <c r="K78" s="2">
        <v>175</v>
      </c>
      <c r="L78">
        <v>1</v>
      </c>
      <c r="M78" s="2">
        <v>175</v>
      </c>
      <c r="O78" t="s">
        <v>699</v>
      </c>
    </row>
    <row r="79" spans="1:15" x14ac:dyDescent="0.25">
      <c r="A79" s="7" t="s">
        <v>721</v>
      </c>
      <c r="B79" s="7" t="str">
        <f t="shared" si="3"/>
        <v>00025858343KOVR</v>
      </c>
      <c r="C79" t="s">
        <v>293</v>
      </c>
      <c r="D79" t="s">
        <v>55</v>
      </c>
      <c r="E79">
        <v>20411454</v>
      </c>
      <c r="F79" t="s">
        <v>840</v>
      </c>
      <c r="G79" t="s">
        <v>49</v>
      </c>
      <c r="H79" t="s">
        <v>58</v>
      </c>
      <c r="I79" s="1">
        <v>46023</v>
      </c>
      <c r="J79" t="s">
        <v>52</v>
      </c>
      <c r="K79" s="2">
        <v>175</v>
      </c>
      <c r="L79">
        <v>1</v>
      </c>
      <c r="M79" s="2">
        <v>175</v>
      </c>
      <c r="O79" t="s">
        <v>699</v>
      </c>
    </row>
    <row r="80" spans="1:15" x14ac:dyDescent="0.25">
      <c r="A80" s="7" t="s">
        <v>722</v>
      </c>
      <c r="B80" s="7" t="str">
        <f t="shared" si="3"/>
        <v>00025858758KOVR</v>
      </c>
      <c r="C80" t="s">
        <v>295</v>
      </c>
      <c r="D80" t="s">
        <v>187</v>
      </c>
      <c r="E80">
        <v>20411454</v>
      </c>
      <c r="F80" t="s">
        <v>840</v>
      </c>
      <c r="G80" t="s">
        <v>49</v>
      </c>
      <c r="H80" t="s">
        <v>58</v>
      </c>
      <c r="I80" s="1">
        <v>46023</v>
      </c>
      <c r="J80" t="s">
        <v>52</v>
      </c>
      <c r="K80" s="2">
        <v>175</v>
      </c>
      <c r="L80">
        <v>1</v>
      </c>
      <c r="M80" s="2">
        <v>175</v>
      </c>
      <c r="O80" t="s">
        <v>699</v>
      </c>
    </row>
    <row r="81" spans="1:15" x14ac:dyDescent="0.25">
      <c r="A81" s="7" t="s">
        <v>723</v>
      </c>
      <c r="B81" s="7" t="str">
        <f t="shared" si="3"/>
        <v>00025858859KOVR</v>
      </c>
      <c r="C81" t="s">
        <v>297</v>
      </c>
      <c r="D81" t="s">
        <v>55</v>
      </c>
      <c r="E81">
        <v>20411454</v>
      </c>
      <c r="F81" t="s">
        <v>840</v>
      </c>
      <c r="G81" t="s">
        <v>49</v>
      </c>
      <c r="H81" t="s">
        <v>58</v>
      </c>
      <c r="I81" s="1">
        <v>46023</v>
      </c>
      <c r="J81" t="s">
        <v>52</v>
      </c>
      <c r="K81" s="2">
        <v>175</v>
      </c>
      <c r="L81">
        <v>1</v>
      </c>
      <c r="M81" s="2">
        <v>175</v>
      </c>
      <c r="O81" t="s">
        <v>699</v>
      </c>
    </row>
    <row r="82" spans="1:15" x14ac:dyDescent="0.25">
      <c r="A82" s="7" t="s">
        <v>724</v>
      </c>
      <c r="B82" s="7" t="str">
        <f t="shared" si="3"/>
        <v>00025858972KOVR</v>
      </c>
      <c r="C82" t="s">
        <v>301</v>
      </c>
      <c r="D82" t="s">
        <v>55</v>
      </c>
      <c r="E82">
        <v>20411454</v>
      </c>
      <c r="F82" t="s">
        <v>840</v>
      </c>
      <c r="G82" t="s">
        <v>49</v>
      </c>
      <c r="H82" t="s">
        <v>58</v>
      </c>
      <c r="I82" s="1">
        <v>46023</v>
      </c>
      <c r="J82" t="s">
        <v>52</v>
      </c>
      <c r="K82" s="2">
        <v>175</v>
      </c>
      <c r="L82">
        <v>1</v>
      </c>
      <c r="M82" s="2">
        <v>175</v>
      </c>
      <c r="O82" t="s">
        <v>699</v>
      </c>
    </row>
    <row r="83" spans="1:15" x14ac:dyDescent="0.25">
      <c r="A83" s="7" t="s">
        <v>725</v>
      </c>
      <c r="B83" s="7" t="str">
        <f t="shared" si="3"/>
        <v>00025859574KOVR</v>
      </c>
      <c r="C83" t="s">
        <v>303</v>
      </c>
      <c r="D83" t="s">
        <v>55</v>
      </c>
      <c r="E83">
        <v>20411454</v>
      </c>
      <c r="F83" t="s">
        <v>840</v>
      </c>
      <c r="G83" t="s">
        <v>49</v>
      </c>
      <c r="H83" t="s">
        <v>58</v>
      </c>
      <c r="I83" s="1">
        <v>46023</v>
      </c>
      <c r="J83" t="s">
        <v>52</v>
      </c>
      <c r="K83" s="2">
        <v>175</v>
      </c>
      <c r="L83">
        <v>1</v>
      </c>
      <c r="M83" s="2">
        <v>175</v>
      </c>
      <c r="O83" t="s">
        <v>699</v>
      </c>
    </row>
    <row r="84" spans="1:15" x14ac:dyDescent="0.25">
      <c r="A84" s="7" t="s">
        <v>726</v>
      </c>
      <c r="B84" s="7" t="str">
        <f t="shared" si="3"/>
        <v>00025859887KOVR</v>
      </c>
      <c r="C84" t="s">
        <v>305</v>
      </c>
      <c r="D84" t="s">
        <v>55</v>
      </c>
      <c r="E84">
        <v>20411454</v>
      </c>
      <c r="F84" t="s">
        <v>840</v>
      </c>
      <c r="G84" t="s">
        <v>49</v>
      </c>
      <c r="H84" t="s">
        <v>58</v>
      </c>
      <c r="I84" s="1">
        <v>46023</v>
      </c>
      <c r="J84" t="s">
        <v>52</v>
      </c>
      <c r="K84" s="2">
        <v>175</v>
      </c>
      <c r="L84">
        <v>1</v>
      </c>
      <c r="M84" s="2">
        <v>175</v>
      </c>
      <c r="O84" t="s">
        <v>699</v>
      </c>
    </row>
    <row r="85" spans="1:15" x14ac:dyDescent="0.25">
      <c r="A85" s="7" t="s">
        <v>727</v>
      </c>
      <c r="B85" s="7" t="str">
        <f t="shared" si="3"/>
        <v>00025860315KOVR</v>
      </c>
      <c r="C85" t="s">
        <v>309</v>
      </c>
      <c r="D85" t="s">
        <v>55</v>
      </c>
      <c r="E85">
        <v>20411454</v>
      </c>
      <c r="F85" t="s">
        <v>840</v>
      </c>
      <c r="G85" t="s">
        <v>49</v>
      </c>
      <c r="H85" t="s">
        <v>58</v>
      </c>
      <c r="I85" s="1">
        <v>46023</v>
      </c>
      <c r="J85" t="s">
        <v>52</v>
      </c>
      <c r="K85" s="2">
        <v>175</v>
      </c>
      <c r="L85">
        <v>1</v>
      </c>
      <c r="M85" s="2">
        <v>175</v>
      </c>
      <c r="O85" t="s">
        <v>699</v>
      </c>
    </row>
    <row r="86" spans="1:15" x14ac:dyDescent="0.25">
      <c r="A86" s="7" t="s">
        <v>728</v>
      </c>
      <c r="B86" s="7" t="str">
        <f t="shared" si="3"/>
        <v>00025861349KOVR</v>
      </c>
      <c r="C86" t="s">
        <v>311</v>
      </c>
      <c r="D86" t="s">
        <v>134</v>
      </c>
      <c r="E86">
        <v>20411454</v>
      </c>
      <c r="F86" t="s">
        <v>840</v>
      </c>
      <c r="G86" t="s">
        <v>49</v>
      </c>
      <c r="H86" t="s">
        <v>58</v>
      </c>
      <c r="I86" s="1">
        <v>46023</v>
      </c>
      <c r="J86" t="s">
        <v>52</v>
      </c>
      <c r="K86" s="2">
        <v>175</v>
      </c>
      <c r="L86">
        <v>1</v>
      </c>
      <c r="M86" s="2">
        <v>175</v>
      </c>
      <c r="O86" t="s">
        <v>699</v>
      </c>
    </row>
    <row r="87" spans="1:15" x14ac:dyDescent="0.25">
      <c r="A87" s="7" t="s">
        <v>729</v>
      </c>
      <c r="B87" s="7" t="str">
        <f t="shared" si="3"/>
        <v>00025861440KOVR</v>
      </c>
      <c r="C87" t="s">
        <v>313</v>
      </c>
      <c r="D87" t="s">
        <v>55</v>
      </c>
      <c r="E87">
        <v>20411454</v>
      </c>
      <c r="F87" t="s">
        <v>840</v>
      </c>
      <c r="G87" t="s">
        <v>49</v>
      </c>
      <c r="H87" t="s">
        <v>58</v>
      </c>
      <c r="I87" s="1">
        <v>46023</v>
      </c>
      <c r="J87" t="s">
        <v>52</v>
      </c>
      <c r="K87" s="2">
        <v>175</v>
      </c>
      <c r="L87">
        <v>1</v>
      </c>
      <c r="M87" s="2">
        <v>175</v>
      </c>
      <c r="O87" t="s">
        <v>699</v>
      </c>
    </row>
    <row r="88" spans="1:15" x14ac:dyDescent="0.25">
      <c r="A88" s="7" t="s">
        <v>730</v>
      </c>
      <c r="B88" s="7" t="str">
        <f t="shared" si="3"/>
        <v>00025864032KOVR</v>
      </c>
      <c r="C88" t="s">
        <v>315</v>
      </c>
      <c r="D88" t="s">
        <v>55</v>
      </c>
      <c r="E88">
        <v>20411454</v>
      </c>
      <c r="F88" t="s">
        <v>840</v>
      </c>
      <c r="G88" t="s">
        <v>49</v>
      </c>
      <c r="H88" t="s">
        <v>58</v>
      </c>
      <c r="I88" s="1">
        <v>46023</v>
      </c>
      <c r="J88" t="s">
        <v>52</v>
      </c>
      <c r="K88" s="2">
        <v>175</v>
      </c>
      <c r="L88">
        <v>1</v>
      </c>
      <c r="M88" s="2">
        <v>175</v>
      </c>
      <c r="O88" t="s">
        <v>699</v>
      </c>
    </row>
    <row r="89" spans="1:15" x14ac:dyDescent="0.25">
      <c r="A89" s="7" t="s">
        <v>731</v>
      </c>
      <c r="B89" s="7" t="str">
        <f t="shared" si="3"/>
        <v>00025866584KOVR</v>
      </c>
      <c r="C89" t="s">
        <v>317</v>
      </c>
      <c r="D89" t="s">
        <v>187</v>
      </c>
      <c r="E89">
        <v>20411454</v>
      </c>
      <c r="F89" t="s">
        <v>840</v>
      </c>
      <c r="G89" t="s">
        <v>49</v>
      </c>
      <c r="H89" t="s">
        <v>58</v>
      </c>
      <c r="I89" s="1">
        <v>46023</v>
      </c>
      <c r="J89" t="s">
        <v>52</v>
      </c>
      <c r="K89" s="2">
        <v>175</v>
      </c>
      <c r="L89">
        <v>1</v>
      </c>
      <c r="M89" s="2">
        <v>175</v>
      </c>
      <c r="O89" t="s">
        <v>699</v>
      </c>
    </row>
    <row r="90" spans="1:15" x14ac:dyDescent="0.25">
      <c r="A90" s="7" t="s">
        <v>732</v>
      </c>
      <c r="B90" s="7" t="str">
        <f t="shared" si="3"/>
        <v>00025866840KOVR</v>
      </c>
      <c r="C90" t="s">
        <v>319</v>
      </c>
      <c r="D90" t="s">
        <v>125</v>
      </c>
      <c r="E90">
        <v>20411454</v>
      </c>
      <c r="F90" t="s">
        <v>840</v>
      </c>
      <c r="G90" t="s">
        <v>49</v>
      </c>
      <c r="H90" t="s">
        <v>58</v>
      </c>
      <c r="I90" s="1">
        <v>46023</v>
      </c>
      <c r="J90" t="s">
        <v>52</v>
      </c>
      <c r="K90" s="2">
        <v>175</v>
      </c>
      <c r="L90">
        <v>1</v>
      </c>
      <c r="M90" s="2">
        <v>175</v>
      </c>
      <c r="O90" t="s">
        <v>699</v>
      </c>
    </row>
    <row r="91" spans="1:15" x14ac:dyDescent="0.25">
      <c r="A91" s="7" t="s">
        <v>733</v>
      </c>
      <c r="B91" s="7" t="str">
        <f t="shared" si="3"/>
        <v>00025868210KOVR</v>
      </c>
      <c r="C91" t="s">
        <v>321</v>
      </c>
      <c r="D91" t="s">
        <v>55</v>
      </c>
      <c r="E91">
        <v>20411454</v>
      </c>
      <c r="F91" t="s">
        <v>840</v>
      </c>
      <c r="G91" t="s">
        <v>49</v>
      </c>
      <c r="H91" t="s">
        <v>58</v>
      </c>
      <c r="I91" s="1">
        <v>46023</v>
      </c>
      <c r="J91" t="s">
        <v>52</v>
      </c>
      <c r="K91" s="2">
        <v>175</v>
      </c>
      <c r="L91">
        <v>1</v>
      </c>
      <c r="M91" s="2">
        <v>175</v>
      </c>
      <c r="O91" t="s">
        <v>699</v>
      </c>
    </row>
    <row r="92" spans="1:15" x14ac:dyDescent="0.25">
      <c r="A92" s="7" t="s">
        <v>734</v>
      </c>
      <c r="B92" s="7" t="str">
        <f t="shared" si="3"/>
        <v>00025868413KOVR</v>
      </c>
      <c r="C92" t="s">
        <v>325</v>
      </c>
      <c r="D92" t="s">
        <v>55</v>
      </c>
      <c r="E92">
        <v>20411454</v>
      </c>
      <c r="F92" t="s">
        <v>840</v>
      </c>
      <c r="G92" t="s">
        <v>49</v>
      </c>
      <c r="H92" t="s">
        <v>58</v>
      </c>
      <c r="I92" s="1">
        <v>46023</v>
      </c>
      <c r="J92" t="s">
        <v>52</v>
      </c>
      <c r="K92" s="2">
        <v>175</v>
      </c>
      <c r="L92">
        <v>1</v>
      </c>
      <c r="M92" s="2">
        <v>175</v>
      </c>
      <c r="O92" t="s">
        <v>699</v>
      </c>
    </row>
    <row r="93" spans="1:15" x14ac:dyDescent="0.25">
      <c r="A93" s="7" t="s">
        <v>735</v>
      </c>
      <c r="B93" s="7" t="str">
        <f t="shared" si="3"/>
        <v>00025871591KOVR</v>
      </c>
      <c r="C93" t="s">
        <v>329</v>
      </c>
      <c r="D93" t="s">
        <v>55</v>
      </c>
      <c r="E93">
        <v>20411454</v>
      </c>
      <c r="F93" t="s">
        <v>840</v>
      </c>
      <c r="G93" t="s">
        <v>49</v>
      </c>
      <c r="H93" t="s">
        <v>58</v>
      </c>
      <c r="I93" s="1">
        <v>46023</v>
      </c>
      <c r="J93" t="s">
        <v>52</v>
      </c>
      <c r="K93" s="2">
        <v>175</v>
      </c>
      <c r="L93">
        <v>1</v>
      </c>
      <c r="M93" s="2">
        <v>175</v>
      </c>
      <c r="O93" t="s">
        <v>699</v>
      </c>
    </row>
    <row r="94" spans="1:15" x14ac:dyDescent="0.25">
      <c r="A94" s="7" t="s">
        <v>736</v>
      </c>
      <c r="B94" s="7" t="str">
        <f t="shared" si="3"/>
        <v>00025871719KOVR</v>
      </c>
      <c r="C94" t="s">
        <v>331</v>
      </c>
      <c r="D94" t="s">
        <v>55</v>
      </c>
      <c r="E94">
        <v>20411454</v>
      </c>
      <c r="F94" t="s">
        <v>840</v>
      </c>
      <c r="G94" t="s">
        <v>49</v>
      </c>
      <c r="H94" t="s">
        <v>58</v>
      </c>
      <c r="I94" s="1">
        <v>46023</v>
      </c>
      <c r="J94" t="s">
        <v>52</v>
      </c>
      <c r="K94" s="2">
        <v>175</v>
      </c>
      <c r="L94">
        <v>1</v>
      </c>
      <c r="M94" s="2">
        <v>175</v>
      </c>
      <c r="O94" t="s">
        <v>699</v>
      </c>
    </row>
    <row r="95" spans="1:15" x14ac:dyDescent="0.25">
      <c r="A95" s="7" t="s">
        <v>737</v>
      </c>
      <c r="B95" s="7" t="str">
        <f t="shared" si="3"/>
        <v>00025875361KOVR</v>
      </c>
      <c r="C95" t="s">
        <v>333</v>
      </c>
      <c r="D95" t="s">
        <v>187</v>
      </c>
      <c r="E95">
        <v>20411454</v>
      </c>
      <c r="F95" t="s">
        <v>840</v>
      </c>
      <c r="G95" t="s">
        <v>49</v>
      </c>
      <c r="H95" t="s">
        <v>58</v>
      </c>
      <c r="I95" s="1">
        <v>46023</v>
      </c>
      <c r="J95" t="s">
        <v>52</v>
      </c>
      <c r="K95" s="2">
        <v>175</v>
      </c>
      <c r="L95">
        <v>1</v>
      </c>
      <c r="M95" s="2">
        <v>175</v>
      </c>
      <c r="O95" t="s">
        <v>699</v>
      </c>
    </row>
    <row r="96" spans="1:15" x14ac:dyDescent="0.25">
      <c r="A96" s="7" t="s">
        <v>738</v>
      </c>
      <c r="B96" s="7" t="str">
        <f t="shared" si="3"/>
        <v>00025877480KOVR</v>
      </c>
      <c r="C96" t="s">
        <v>337</v>
      </c>
      <c r="D96" t="s">
        <v>55</v>
      </c>
      <c r="E96">
        <v>20411454</v>
      </c>
      <c r="F96" t="s">
        <v>840</v>
      </c>
      <c r="G96" t="s">
        <v>49</v>
      </c>
      <c r="H96" t="s">
        <v>58</v>
      </c>
      <c r="I96" s="1">
        <v>46023</v>
      </c>
      <c r="J96" t="s">
        <v>52</v>
      </c>
      <c r="K96" s="2">
        <v>175</v>
      </c>
      <c r="L96">
        <v>1</v>
      </c>
      <c r="M96" s="2">
        <v>175</v>
      </c>
      <c r="O96" t="s">
        <v>699</v>
      </c>
    </row>
    <row r="97" spans="1:19" x14ac:dyDescent="0.25">
      <c r="A97" s="7" t="s">
        <v>739</v>
      </c>
      <c r="B97" s="7" t="str">
        <f t="shared" si="3"/>
        <v>00025877491KOVR</v>
      </c>
      <c r="C97" t="s">
        <v>339</v>
      </c>
      <c r="D97" t="s">
        <v>55</v>
      </c>
      <c r="E97">
        <v>20411454</v>
      </c>
      <c r="F97" t="s">
        <v>840</v>
      </c>
      <c r="G97" t="s">
        <v>49</v>
      </c>
      <c r="H97" t="s">
        <v>58</v>
      </c>
      <c r="I97" s="1">
        <v>46023</v>
      </c>
      <c r="J97" t="s">
        <v>52</v>
      </c>
      <c r="K97" s="2">
        <v>175</v>
      </c>
      <c r="L97">
        <v>1</v>
      </c>
      <c r="M97" s="2">
        <v>175</v>
      </c>
      <c r="O97" t="s">
        <v>699</v>
      </c>
    </row>
    <row r="98" spans="1:19" s="4" customFormat="1" x14ac:dyDescent="0.25">
      <c r="A98" s="7" t="s">
        <v>740</v>
      </c>
      <c r="B98" s="7" t="str">
        <f t="shared" si="3"/>
        <v>00025878157KOVR</v>
      </c>
      <c r="C98" t="s">
        <v>343</v>
      </c>
      <c r="D98" t="s">
        <v>289</v>
      </c>
      <c r="E98">
        <v>20411454</v>
      </c>
      <c r="F98" t="s">
        <v>840</v>
      </c>
      <c r="G98" t="s">
        <v>49</v>
      </c>
      <c r="H98" t="s">
        <v>58</v>
      </c>
      <c r="I98" s="1">
        <v>46023</v>
      </c>
      <c r="J98" t="s">
        <v>52</v>
      </c>
      <c r="K98" s="2">
        <v>175</v>
      </c>
      <c r="L98">
        <v>1</v>
      </c>
      <c r="M98" s="2">
        <v>175</v>
      </c>
      <c r="N98"/>
      <c r="O98" t="s">
        <v>699</v>
      </c>
      <c r="P98"/>
      <c r="Q98"/>
      <c r="R98"/>
      <c r="S98"/>
    </row>
    <row r="99" spans="1:19" s="4" customFormat="1" x14ac:dyDescent="0.25">
      <c r="A99" s="7" t="s">
        <v>741</v>
      </c>
      <c r="B99" s="7" t="str">
        <f t="shared" si="3"/>
        <v>00025879268KOVR</v>
      </c>
      <c r="C99" t="s">
        <v>345</v>
      </c>
      <c r="D99" t="s">
        <v>55</v>
      </c>
      <c r="E99">
        <v>20411454</v>
      </c>
      <c r="F99" t="s">
        <v>840</v>
      </c>
      <c r="G99" t="s">
        <v>49</v>
      </c>
      <c r="H99" t="s">
        <v>58</v>
      </c>
      <c r="I99" s="1">
        <v>46023</v>
      </c>
      <c r="J99" t="s">
        <v>52</v>
      </c>
      <c r="K99" s="2">
        <v>175</v>
      </c>
      <c r="L99">
        <v>1</v>
      </c>
      <c r="M99" s="2">
        <v>175</v>
      </c>
      <c r="N99"/>
      <c r="O99" t="s">
        <v>699</v>
      </c>
      <c r="P99"/>
      <c r="Q99"/>
      <c r="R99"/>
      <c r="S99"/>
    </row>
    <row r="100" spans="1:19" s="4" customFormat="1" x14ac:dyDescent="0.25">
      <c r="A100" s="7" t="s">
        <v>742</v>
      </c>
      <c r="B100" s="7" t="str">
        <f t="shared" si="3"/>
        <v>00025881946KOVR</v>
      </c>
      <c r="C100" t="s">
        <v>349</v>
      </c>
      <c r="D100" t="s">
        <v>350</v>
      </c>
      <c r="E100">
        <v>20411454</v>
      </c>
      <c r="F100" t="s">
        <v>840</v>
      </c>
      <c r="G100" t="s">
        <v>49</v>
      </c>
      <c r="H100" t="s">
        <v>58</v>
      </c>
      <c r="I100" s="1">
        <v>46054</v>
      </c>
      <c r="J100" t="s">
        <v>52</v>
      </c>
      <c r="K100" s="2">
        <v>175</v>
      </c>
      <c r="L100">
        <v>1</v>
      </c>
      <c r="M100" s="2">
        <v>175</v>
      </c>
      <c r="N100"/>
      <c r="O100" t="s">
        <v>699</v>
      </c>
      <c r="P100"/>
      <c r="Q100"/>
      <c r="R100"/>
      <c r="S100"/>
    </row>
    <row r="101" spans="1:19" s="4" customFormat="1" x14ac:dyDescent="0.25">
      <c r="A101" s="7" t="s">
        <v>743</v>
      </c>
      <c r="B101" s="7" t="str">
        <f t="shared" si="3"/>
        <v>00025882217KOVR</v>
      </c>
      <c r="C101" t="s">
        <v>352</v>
      </c>
      <c r="D101" t="s">
        <v>350</v>
      </c>
      <c r="E101">
        <v>20411454</v>
      </c>
      <c r="F101" t="s">
        <v>840</v>
      </c>
      <c r="G101" t="s">
        <v>49</v>
      </c>
      <c r="H101" t="s">
        <v>58</v>
      </c>
      <c r="I101" s="1">
        <v>46054</v>
      </c>
      <c r="J101" t="s">
        <v>52</v>
      </c>
      <c r="K101" s="2">
        <v>175</v>
      </c>
      <c r="L101">
        <v>1</v>
      </c>
      <c r="M101" s="2">
        <v>175</v>
      </c>
      <c r="N101"/>
      <c r="O101" t="s">
        <v>699</v>
      </c>
      <c r="P101"/>
      <c r="Q101"/>
      <c r="R101"/>
      <c r="S101"/>
    </row>
    <row r="102" spans="1:19" s="4" customFormat="1" x14ac:dyDescent="0.25">
      <c r="A102" s="7" t="s">
        <v>744</v>
      </c>
      <c r="B102" s="7" t="str">
        <f t="shared" si="3"/>
        <v>00025883039KOVR</v>
      </c>
      <c r="C102" t="s">
        <v>354</v>
      </c>
      <c r="D102" t="s">
        <v>55</v>
      </c>
      <c r="E102">
        <v>20411454</v>
      </c>
      <c r="F102" t="s">
        <v>840</v>
      </c>
      <c r="G102" t="s">
        <v>49</v>
      </c>
      <c r="H102" t="s">
        <v>58</v>
      </c>
      <c r="I102" s="1">
        <v>46054</v>
      </c>
      <c r="J102" t="s">
        <v>52</v>
      </c>
      <c r="K102" s="2">
        <v>175</v>
      </c>
      <c r="L102">
        <v>1</v>
      </c>
      <c r="M102" s="2">
        <v>175</v>
      </c>
      <c r="N102"/>
      <c r="O102" t="s">
        <v>699</v>
      </c>
      <c r="P102"/>
      <c r="Q102"/>
      <c r="R102"/>
      <c r="S102"/>
    </row>
    <row r="103" spans="1:19" s="4" customFormat="1" x14ac:dyDescent="0.25">
      <c r="A103" s="7" t="s">
        <v>745</v>
      </c>
      <c r="B103" s="7" t="str">
        <f t="shared" si="3"/>
        <v>00025885165KOVR</v>
      </c>
      <c r="C103" t="s">
        <v>356</v>
      </c>
      <c r="D103" t="s">
        <v>55</v>
      </c>
      <c r="E103">
        <v>20411454</v>
      </c>
      <c r="F103" t="s">
        <v>840</v>
      </c>
      <c r="G103" t="s">
        <v>49</v>
      </c>
      <c r="H103" t="s">
        <v>58</v>
      </c>
      <c r="I103" s="1">
        <v>46054</v>
      </c>
      <c r="J103" t="s">
        <v>52</v>
      </c>
      <c r="K103" s="2">
        <v>175</v>
      </c>
      <c r="L103">
        <v>1</v>
      </c>
      <c r="M103" s="2">
        <v>175</v>
      </c>
      <c r="N103"/>
      <c r="O103" t="s">
        <v>699</v>
      </c>
      <c r="P103"/>
      <c r="Q103"/>
      <c r="R103"/>
      <c r="S103"/>
    </row>
    <row r="104" spans="1:19" s="4" customFormat="1" x14ac:dyDescent="0.25">
      <c r="A104" s="7" t="s">
        <v>746</v>
      </c>
      <c r="B104" s="7" t="str">
        <f t="shared" si="3"/>
        <v>00025886258KOVR</v>
      </c>
      <c r="C104" t="s">
        <v>360</v>
      </c>
      <c r="D104" t="s">
        <v>55</v>
      </c>
      <c r="E104">
        <v>20411454</v>
      </c>
      <c r="F104" t="s">
        <v>840</v>
      </c>
      <c r="G104" t="s">
        <v>49</v>
      </c>
      <c r="H104" t="s">
        <v>58</v>
      </c>
      <c r="I104" s="1">
        <v>46082</v>
      </c>
      <c r="J104" t="s">
        <v>52</v>
      </c>
      <c r="K104" s="2">
        <v>175</v>
      </c>
      <c r="L104">
        <v>1</v>
      </c>
      <c r="M104" s="2">
        <v>175</v>
      </c>
      <c r="N104"/>
      <c r="O104" t="s">
        <v>699</v>
      </c>
      <c r="P104"/>
      <c r="Q104"/>
      <c r="R104"/>
      <c r="S104"/>
    </row>
    <row r="105" spans="1:19" s="4" customFormat="1" x14ac:dyDescent="0.25">
      <c r="A105" s="7" t="s">
        <v>747</v>
      </c>
      <c r="B105" s="7" t="str">
        <f t="shared" si="3"/>
        <v>00025892964KOVR</v>
      </c>
      <c r="C105" t="s">
        <v>362</v>
      </c>
      <c r="D105" t="s">
        <v>55</v>
      </c>
      <c r="E105">
        <v>20411454</v>
      </c>
      <c r="F105" t="s">
        <v>840</v>
      </c>
      <c r="G105" t="s">
        <v>49</v>
      </c>
      <c r="H105" t="s">
        <v>58</v>
      </c>
      <c r="I105" s="1">
        <v>46054</v>
      </c>
      <c r="J105" t="s">
        <v>52</v>
      </c>
      <c r="K105" s="2">
        <v>175</v>
      </c>
      <c r="L105">
        <v>1</v>
      </c>
      <c r="M105" s="2">
        <v>175</v>
      </c>
      <c r="N105"/>
      <c r="O105" t="s">
        <v>699</v>
      </c>
      <c r="P105"/>
      <c r="Q105"/>
      <c r="R105"/>
      <c r="S105"/>
    </row>
    <row r="106" spans="1:19" s="4" customFormat="1" x14ac:dyDescent="0.25">
      <c r="A106" s="7" t="s">
        <v>748</v>
      </c>
      <c r="B106" s="7" t="str">
        <f t="shared" si="3"/>
        <v>00025892982KOVR</v>
      </c>
      <c r="C106" t="s">
        <v>364</v>
      </c>
      <c r="D106" t="s">
        <v>55</v>
      </c>
      <c r="E106">
        <v>20411454</v>
      </c>
      <c r="F106" t="s">
        <v>840</v>
      </c>
      <c r="G106" t="s">
        <v>49</v>
      </c>
      <c r="H106" t="s">
        <v>58</v>
      </c>
      <c r="I106" s="1">
        <v>46054</v>
      </c>
      <c r="J106" t="s">
        <v>52</v>
      </c>
      <c r="K106" s="2">
        <v>175</v>
      </c>
      <c r="L106">
        <v>1</v>
      </c>
      <c r="M106" s="2">
        <v>175</v>
      </c>
      <c r="N106"/>
      <c r="O106" t="s">
        <v>699</v>
      </c>
      <c r="P106"/>
      <c r="Q106"/>
      <c r="R106"/>
      <c r="S106"/>
    </row>
    <row r="107" spans="1:19" s="4" customFormat="1" x14ac:dyDescent="0.25">
      <c r="A107" s="8" t="s">
        <v>754</v>
      </c>
      <c r="B107" s="8" t="s">
        <v>754</v>
      </c>
      <c r="C107" s="4" t="s">
        <v>65</v>
      </c>
      <c r="D107" s="4" t="s">
        <v>66</v>
      </c>
      <c r="E107" s="4">
        <v>19278370</v>
      </c>
      <c r="F107" s="4" t="s">
        <v>68</v>
      </c>
      <c r="G107" s="4" t="s">
        <v>49</v>
      </c>
      <c r="H107" s="4" t="s">
        <v>69</v>
      </c>
      <c r="I107" s="5">
        <v>46023</v>
      </c>
      <c r="J107" s="4" t="s">
        <v>52</v>
      </c>
      <c r="K107" s="6">
        <v>15</v>
      </c>
      <c r="L107" s="4">
        <v>1</v>
      </c>
      <c r="M107" s="6">
        <v>15</v>
      </c>
      <c r="O107" s="4" t="s">
        <v>700</v>
      </c>
    </row>
    <row r="108" spans="1:19" s="4" customFormat="1" x14ac:dyDescent="0.25">
      <c r="A108" s="8" t="s">
        <v>755</v>
      </c>
      <c r="B108" s="8" t="s">
        <v>755</v>
      </c>
      <c r="C108" s="4" t="s">
        <v>71</v>
      </c>
      <c r="D108" s="4" t="s">
        <v>72</v>
      </c>
      <c r="E108" s="4">
        <v>21618313</v>
      </c>
      <c r="F108" s="4" t="s">
        <v>74</v>
      </c>
      <c r="G108" s="4" t="s">
        <v>49</v>
      </c>
      <c r="H108" s="4" t="s">
        <v>69</v>
      </c>
      <c r="I108" s="5">
        <v>46023</v>
      </c>
      <c r="J108" s="4" t="s">
        <v>52</v>
      </c>
      <c r="K108" s="6">
        <v>15</v>
      </c>
      <c r="L108" s="4">
        <v>1</v>
      </c>
      <c r="M108" s="6">
        <v>15</v>
      </c>
      <c r="O108" s="4" t="s">
        <v>700</v>
      </c>
    </row>
    <row r="109" spans="1:19" s="4" customFormat="1" x14ac:dyDescent="0.25">
      <c r="A109" s="8" t="s">
        <v>756</v>
      </c>
      <c r="B109" s="8" t="s">
        <v>756</v>
      </c>
      <c r="C109" s="4" t="s">
        <v>76</v>
      </c>
      <c r="D109" s="4" t="s">
        <v>72</v>
      </c>
      <c r="E109" s="4">
        <v>21618313</v>
      </c>
      <c r="F109" s="4" t="s">
        <v>74</v>
      </c>
      <c r="G109" s="4" t="s">
        <v>49</v>
      </c>
      <c r="H109" s="4" t="s">
        <v>69</v>
      </c>
      <c r="I109" s="5">
        <v>46023</v>
      </c>
      <c r="J109" s="4" t="s">
        <v>52</v>
      </c>
      <c r="K109" s="6">
        <v>15</v>
      </c>
      <c r="L109" s="4">
        <v>1</v>
      </c>
      <c r="M109" s="6">
        <v>15</v>
      </c>
      <c r="O109" s="4" t="s">
        <v>700</v>
      </c>
    </row>
    <row r="110" spans="1:19" s="4" customFormat="1" x14ac:dyDescent="0.25">
      <c r="A110" s="8" t="s">
        <v>757</v>
      </c>
      <c r="B110" s="8" t="s">
        <v>757</v>
      </c>
      <c r="C110" s="4" t="s">
        <v>78</v>
      </c>
      <c r="D110" s="4" t="s">
        <v>66</v>
      </c>
      <c r="E110" s="4">
        <v>19278370</v>
      </c>
      <c r="F110" s="4" t="s">
        <v>68</v>
      </c>
      <c r="G110" s="4" t="s">
        <v>49</v>
      </c>
      <c r="H110" s="4" t="s">
        <v>69</v>
      </c>
      <c r="I110" s="5">
        <v>46023</v>
      </c>
      <c r="J110" s="4" t="s">
        <v>52</v>
      </c>
      <c r="K110" s="6">
        <v>15</v>
      </c>
      <c r="L110" s="4">
        <v>1</v>
      </c>
      <c r="M110" s="6">
        <v>15</v>
      </c>
      <c r="O110" s="4" t="s">
        <v>700</v>
      </c>
    </row>
    <row r="111" spans="1:19" s="4" customFormat="1" x14ac:dyDescent="0.25">
      <c r="A111" s="8" t="s">
        <v>758</v>
      </c>
      <c r="B111" s="8" t="s">
        <v>758</v>
      </c>
      <c r="C111" s="4" t="s">
        <v>84</v>
      </c>
      <c r="D111" s="4" t="s">
        <v>66</v>
      </c>
      <c r="E111" s="4">
        <v>17425766</v>
      </c>
      <c r="F111" s="4" t="s">
        <v>86</v>
      </c>
      <c r="G111" s="4" t="s">
        <v>49</v>
      </c>
      <c r="H111" s="4" t="s">
        <v>69</v>
      </c>
      <c r="I111" s="5">
        <v>46023</v>
      </c>
      <c r="J111" s="4" t="s">
        <v>52</v>
      </c>
      <c r="K111" s="6">
        <v>15</v>
      </c>
      <c r="L111" s="4">
        <v>1</v>
      </c>
      <c r="M111" s="6">
        <v>15</v>
      </c>
      <c r="O111" s="4" t="s">
        <v>700</v>
      </c>
    </row>
    <row r="112" spans="1:19" s="4" customFormat="1" x14ac:dyDescent="0.25">
      <c r="A112" s="8" t="s">
        <v>759</v>
      </c>
      <c r="B112" s="8" t="s">
        <v>759</v>
      </c>
      <c r="C112" s="4" t="s">
        <v>88</v>
      </c>
      <c r="D112" s="4" t="s">
        <v>66</v>
      </c>
      <c r="E112" s="4">
        <v>19278370</v>
      </c>
      <c r="F112" s="4" t="s">
        <v>68</v>
      </c>
      <c r="G112" s="4" t="s">
        <v>49</v>
      </c>
      <c r="H112" s="4" t="s">
        <v>69</v>
      </c>
      <c r="I112" s="5">
        <v>46023</v>
      </c>
      <c r="J112" s="4" t="s">
        <v>52</v>
      </c>
      <c r="K112" s="6">
        <v>15</v>
      </c>
      <c r="L112" s="4">
        <v>1</v>
      </c>
      <c r="M112" s="6">
        <v>15</v>
      </c>
      <c r="O112" s="4" t="s">
        <v>700</v>
      </c>
    </row>
    <row r="113" spans="1:15" s="4" customFormat="1" x14ac:dyDescent="0.25">
      <c r="A113" s="8" t="s">
        <v>760</v>
      </c>
      <c r="B113" s="8" t="s">
        <v>760</v>
      </c>
      <c r="C113" s="4" t="s">
        <v>90</v>
      </c>
      <c r="D113" s="4" t="s">
        <v>66</v>
      </c>
      <c r="E113" s="4">
        <v>17886092</v>
      </c>
      <c r="F113" s="4" t="s">
        <v>92</v>
      </c>
      <c r="G113" s="4" t="s">
        <v>49</v>
      </c>
      <c r="H113" s="4" t="s">
        <v>69</v>
      </c>
      <c r="I113" s="5">
        <v>46023</v>
      </c>
      <c r="J113" s="4" t="s">
        <v>52</v>
      </c>
      <c r="K113" s="6">
        <v>15</v>
      </c>
      <c r="L113" s="4">
        <v>1</v>
      </c>
      <c r="M113" s="6">
        <v>15</v>
      </c>
      <c r="O113" s="4" t="s">
        <v>700</v>
      </c>
    </row>
    <row r="114" spans="1:15" s="4" customFormat="1" x14ac:dyDescent="0.25">
      <c r="A114" s="8" t="s">
        <v>761</v>
      </c>
      <c r="B114" s="8" t="s">
        <v>761</v>
      </c>
      <c r="C114" s="4" t="s">
        <v>94</v>
      </c>
      <c r="D114" s="4" t="s">
        <v>66</v>
      </c>
      <c r="E114" s="4">
        <v>17425766</v>
      </c>
      <c r="F114" s="4" t="s">
        <v>86</v>
      </c>
      <c r="G114" s="4" t="s">
        <v>49</v>
      </c>
      <c r="H114" s="4" t="s">
        <v>69</v>
      </c>
      <c r="I114" s="5">
        <v>46023</v>
      </c>
      <c r="J114" s="4" t="s">
        <v>52</v>
      </c>
      <c r="K114" s="6">
        <v>15</v>
      </c>
      <c r="L114" s="4">
        <v>1</v>
      </c>
      <c r="M114" s="6">
        <v>15</v>
      </c>
      <c r="O114" s="4" t="s">
        <v>700</v>
      </c>
    </row>
    <row r="115" spans="1:15" s="4" customFormat="1" x14ac:dyDescent="0.25">
      <c r="A115" s="8" t="s">
        <v>762</v>
      </c>
      <c r="B115" s="8" t="s">
        <v>762</v>
      </c>
      <c r="C115" s="4" t="s">
        <v>105</v>
      </c>
      <c r="D115" s="4" t="s">
        <v>66</v>
      </c>
      <c r="E115" s="4">
        <v>17425766</v>
      </c>
      <c r="F115" s="4" t="s">
        <v>86</v>
      </c>
      <c r="G115" s="4" t="s">
        <v>49</v>
      </c>
      <c r="H115" s="4" t="s">
        <v>69</v>
      </c>
      <c r="I115" s="5">
        <v>46023</v>
      </c>
      <c r="J115" s="4" t="s">
        <v>52</v>
      </c>
      <c r="K115" s="6">
        <v>15</v>
      </c>
      <c r="L115" s="4">
        <v>1</v>
      </c>
      <c r="M115" s="6">
        <v>15</v>
      </c>
      <c r="O115" s="4" t="s">
        <v>700</v>
      </c>
    </row>
    <row r="116" spans="1:15" s="4" customFormat="1" x14ac:dyDescent="0.25">
      <c r="A116" s="8" t="s">
        <v>763</v>
      </c>
      <c r="B116" s="8" t="s">
        <v>763</v>
      </c>
      <c r="C116" s="4" t="s">
        <v>112</v>
      </c>
      <c r="D116" s="4" t="s">
        <v>113</v>
      </c>
      <c r="E116" s="4">
        <v>17425766</v>
      </c>
      <c r="F116" s="4" t="s">
        <v>86</v>
      </c>
      <c r="G116" s="4" t="s">
        <v>49</v>
      </c>
      <c r="H116" s="4" t="s">
        <v>69</v>
      </c>
      <c r="I116" s="5">
        <v>46023</v>
      </c>
      <c r="J116" s="4" t="s">
        <v>52</v>
      </c>
      <c r="K116" s="6">
        <v>15</v>
      </c>
      <c r="L116" s="4">
        <v>1</v>
      </c>
      <c r="M116" s="6">
        <v>15</v>
      </c>
      <c r="O116" s="4" t="s">
        <v>700</v>
      </c>
    </row>
    <row r="117" spans="1:15" s="4" customFormat="1" x14ac:dyDescent="0.25">
      <c r="A117" s="8" t="s">
        <v>764</v>
      </c>
      <c r="B117" s="8" t="s">
        <v>764</v>
      </c>
      <c r="C117" s="4" t="s">
        <v>119</v>
      </c>
      <c r="D117" s="4" t="s">
        <v>120</v>
      </c>
      <c r="E117" s="4">
        <v>18142208</v>
      </c>
      <c r="F117" s="4" t="s">
        <v>122</v>
      </c>
      <c r="G117" s="4" t="s">
        <v>49</v>
      </c>
      <c r="H117" s="4" t="s">
        <v>69</v>
      </c>
      <c r="I117" s="5">
        <v>46023</v>
      </c>
      <c r="J117" s="4" t="s">
        <v>52</v>
      </c>
      <c r="K117" s="6">
        <v>15</v>
      </c>
      <c r="L117" s="4">
        <v>1</v>
      </c>
      <c r="M117" s="6">
        <v>15</v>
      </c>
      <c r="O117" s="4" t="s">
        <v>700</v>
      </c>
    </row>
    <row r="118" spans="1:15" s="4" customFormat="1" x14ac:dyDescent="0.25">
      <c r="A118" s="8" t="s">
        <v>765</v>
      </c>
      <c r="B118" s="8" t="s">
        <v>765</v>
      </c>
      <c r="C118" s="4" t="s">
        <v>129</v>
      </c>
      <c r="D118" s="4" t="s">
        <v>72</v>
      </c>
      <c r="E118" s="4">
        <v>16212649</v>
      </c>
      <c r="F118" s="4" t="s">
        <v>131</v>
      </c>
      <c r="G118" s="4" t="s">
        <v>49</v>
      </c>
      <c r="H118" s="4" t="s">
        <v>69</v>
      </c>
      <c r="I118" s="5">
        <v>46023</v>
      </c>
      <c r="J118" s="4" t="s">
        <v>52</v>
      </c>
      <c r="K118" s="6">
        <v>15</v>
      </c>
      <c r="L118" s="4">
        <v>1</v>
      </c>
      <c r="M118" s="6">
        <v>15</v>
      </c>
      <c r="O118" s="4" t="s">
        <v>700</v>
      </c>
    </row>
    <row r="119" spans="1:15" s="4" customFormat="1" x14ac:dyDescent="0.25">
      <c r="A119" s="8" t="s">
        <v>766</v>
      </c>
      <c r="B119" s="8" t="s">
        <v>766</v>
      </c>
      <c r="C119" s="4" t="s">
        <v>133</v>
      </c>
      <c r="D119" s="4" t="s">
        <v>134</v>
      </c>
      <c r="E119" s="4">
        <v>16849453</v>
      </c>
      <c r="F119" s="4" t="s">
        <v>136</v>
      </c>
      <c r="G119" s="4" t="s">
        <v>49</v>
      </c>
      <c r="H119" s="4" t="s">
        <v>69</v>
      </c>
      <c r="I119" s="5">
        <v>46023</v>
      </c>
      <c r="J119" s="4" t="s">
        <v>52</v>
      </c>
      <c r="K119" s="6">
        <v>15</v>
      </c>
      <c r="L119" s="4">
        <v>1</v>
      </c>
      <c r="M119" s="6">
        <v>15</v>
      </c>
      <c r="O119" s="4" t="s">
        <v>700</v>
      </c>
    </row>
    <row r="120" spans="1:15" s="4" customFormat="1" x14ac:dyDescent="0.25">
      <c r="A120" s="8" t="s">
        <v>767</v>
      </c>
      <c r="B120" s="8" t="s">
        <v>767</v>
      </c>
      <c r="C120" s="4" t="s">
        <v>138</v>
      </c>
      <c r="D120" s="4" t="s">
        <v>66</v>
      </c>
      <c r="E120" s="4">
        <v>17425766</v>
      </c>
      <c r="F120" s="4" t="s">
        <v>86</v>
      </c>
      <c r="G120" s="4" t="s">
        <v>49</v>
      </c>
      <c r="H120" s="4" t="s">
        <v>69</v>
      </c>
      <c r="I120" s="5">
        <v>46023</v>
      </c>
      <c r="J120" s="4" t="s">
        <v>52</v>
      </c>
      <c r="K120" s="6">
        <v>15</v>
      </c>
      <c r="L120" s="4">
        <v>1</v>
      </c>
      <c r="M120" s="6">
        <v>15</v>
      </c>
      <c r="O120" s="4" t="s">
        <v>700</v>
      </c>
    </row>
    <row r="121" spans="1:15" s="4" customFormat="1" x14ac:dyDescent="0.25">
      <c r="A121" s="8" t="s">
        <v>768</v>
      </c>
      <c r="B121" s="8" t="s">
        <v>768</v>
      </c>
      <c r="C121" s="4" t="s">
        <v>140</v>
      </c>
      <c r="D121" s="4" t="s">
        <v>141</v>
      </c>
      <c r="E121" s="4">
        <v>16865615</v>
      </c>
      <c r="F121" s="4" t="s">
        <v>143</v>
      </c>
      <c r="G121" s="4" t="s">
        <v>49</v>
      </c>
      <c r="H121" s="4" t="s">
        <v>69</v>
      </c>
      <c r="I121" s="5">
        <v>46023</v>
      </c>
      <c r="J121" s="4" t="s">
        <v>52</v>
      </c>
      <c r="K121" s="6">
        <v>15</v>
      </c>
      <c r="L121" s="4">
        <v>1</v>
      </c>
      <c r="M121" s="6">
        <v>15</v>
      </c>
      <c r="O121" s="4" t="s">
        <v>700</v>
      </c>
    </row>
    <row r="122" spans="1:15" s="4" customFormat="1" x14ac:dyDescent="0.25">
      <c r="A122" s="8" t="s">
        <v>769</v>
      </c>
      <c r="B122" s="8" t="s">
        <v>769</v>
      </c>
      <c r="C122" s="4" t="s">
        <v>145</v>
      </c>
      <c r="D122" s="4" t="s">
        <v>66</v>
      </c>
      <c r="E122" s="4">
        <v>21618313</v>
      </c>
      <c r="F122" s="4" t="s">
        <v>74</v>
      </c>
      <c r="G122" s="4" t="s">
        <v>49</v>
      </c>
      <c r="H122" s="4" t="s">
        <v>69</v>
      </c>
      <c r="I122" s="5">
        <v>46023</v>
      </c>
      <c r="J122" s="4" t="s">
        <v>52</v>
      </c>
      <c r="K122" s="6">
        <v>15</v>
      </c>
      <c r="L122" s="4">
        <v>1</v>
      </c>
      <c r="M122" s="6">
        <v>15</v>
      </c>
      <c r="O122" s="4" t="s">
        <v>700</v>
      </c>
    </row>
    <row r="123" spans="1:15" s="4" customFormat="1" x14ac:dyDescent="0.25">
      <c r="A123" s="8" t="s">
        <v>770</v>
      </c>
      <c r="B123" s="8" t="s">
        <v>770</v>
      </c>
      <c r="C123" s="4" t="s">
        <v>147</v>
      </c>
      <c r="D123" s="4" t="s">
        <v>66</v>
      </c>
      <c r="E123" s="4">
        <v>17886092</v>
      </c>
      <c r="F123" s="4" t="s">
        <v>92</v>
      </c>
      <c r="G123" s="4" t="s">
        <v>49</v>
      </c>
      <c r="H123" s="4" t="s">
        <v>69</v>
      </c>
      <c r="I123" s="5">
        <v>46023</v>
      </c>
      <c r="J123" s="4" t="s">
        <v>52</v>
      </c>
      <c r="K123" s="6">
        <v>15</v>
      </c>
      <c r="L123" s="4">
        <v>1</v>
      </c>
      <c r="M123" s="6">
        <v>15</v>
      </c>
      <c r="O123" s="4" t="s">
        <v>700</v>
      </c>
    </row>
    <row r="124" spans="1:15" s="4" customFormat="1" x14ac:dyDescent="0.25">
      <c r="A124" s="8" t="s">
        <v>771</v>
      </c>
      <c r="B124" s="8" t="s">
        <v>771</v>
      </c>
      <c r="C124" s="4" t="s">
        <v>149</v>
      </c>
      <c r="D124" s="4" t="s">
        <v>66</v>
      </c>
      <c r="E124" s="4">
        <v>17886092</v>
      </c>
      <c r="F124" s="4" t="s">
        <v>92</v>
      </c>
      <c r="G124" s="4" t="s">
        <v>49</v>
      </c>
      <c r="H124" s="4" t="s">
        <v>69</v>
      </c>
      <c r="I124" s="5">
        <v>46023</v>
      </c>
      <c r="J124" s="4" t="s">
        <v>52</v>
      </c>
      <c r="K124" s="6">
        <v>15</v>
      </c>
      <c r="L124" s="4">
        <v>1</v>
      </c>
      <c r="M124" s="6">
        <v>15</v>
      </c>
      <c r="O124" s="4" t="s">
        <v>700</v>
      </c>
    </row>
    <row r="125" spans="1:15" s="4" customFormat="1" x14ac:dyDescent="0.25">
      <c r="A125" s="8" t="s">
        <v>772</v>
      </c>
      <c r="B125" s="8" t="s">
        <v>772</v>
      </c>
      <c r="C125" s="4" t="s">
        <v>151</v>
      </c>
      <c r="D125" s="4" t="s">
        <v>72</v>
      </c>
      <c r="E125" s="4">
        <v>16212649</v>
      </c>
      <c r="F125" s="4" t="s">
        <v>131</v>
      </c>
      <c r="G125" s="4" t="s">
        <v>49</v>
      </c>
      <c r="H125" s="4" t="s">
        <v>69</v>
      </c>
      <c r="I125" s="5">
        <v>46023</v>
      </c>
      <c r="J125" s="4" t="s">
        <v>52</v>
      </c>
      <c r="K125" s="6">
        <v>15</v>
      </c>
      <c r="L125" s="4">
        <v>1</v>
      </c>
      <c r="M125" s="6">
        <v>15</v>
      </c>
      <c r="O125" s="4" t="s">
        <v>700</v>
      </c>
    </row>
    <row r="126" spans="1:15" s="4" customFormat="1" x14ac:dyDescent="0.25">
      <c r="A126" s="8" t="s">
        <v>773</v>
      </c>
      <c r="B126" s="8" t="s">
        <v>773</v>
      </c>
      <c r="C126" s="4" t="s">
        <v>153</v>
      </c>
      <c r="D126" s="4" t="s">
        <v>66</v>
      </c>
      <c r="E126" s="4">
        <v>21618313</v>
      </c>
      <c r="F126" s="4" t="s">
        <v>74</v>
      </c>
      <c r="G126" s="4" t="s">
        <v>49</v>
      </c>
      <c r="H126" s="4" t="s">
        <v>69</v>
      </c>
      <c r="I126" s="5">
        <v>46023</v>
      </c>
      <c r="J126" s="4" t="s">
        <v>52</v>
      </c>
      <c r="K126" s="6">
        <v>15</v>
      </c>
      <c r="L126" s="4">
        <v>1</v>
      </c>
      <c r="M126" s="6">
        <v>15</v>
      </c>
      <c r="O126" s="4" t="s">
        <v>700</v>
      </c>
    </row>
    <row r="127" spans="1:15" s="4" customFormat="1" x14ac:dyDescent="0.25">
      <c r="A127" s="8" t="s">
        <v>774</v>
      </c>
      <c r="B127" s="8" t="s">
        <v>774</v>
      </c>
      <c r="C127" s="4" t="s">
        <v>155</v>
      </c>
      <c r="D127" s="4" t="s">
        <v>72</v>
      </c>
      <c r="E127" s="4">
        <v>16212649</v>
      </c>
      <c r="F127" s="4" t="s">
        <v>131</v>
      </c>
      <c r="G127" s="4" t="s">
        <v>49</v>
      </c>
      <c r="H127" s="4" t="s">
        <v>69</v>
      </c>
      <c r="I127" s="5">
        <v>46023</v>
      </c>
      <c r="J127" s="4" t="s">
        <v>52</v>
      </c>
      <c r="K127" s="6">
        <v>15</v>
      </c>
      <c r="L127" s="4">
        <v>1</v>
      </c>
      <c r="M127" s="6">
        <v>15</v>
      </c>
      <c r="O127" s="4" t="s">
        <v>700</v>
      </c>
    </row>
    <row r="128" spans="1:15" s="4" customFormat="1" x14ac:dyDescent="0.25">
      <c r="A128" s="8" t="s">
        <v>775</v>
      </c>
      <c r="B128" s="8" t="s">
        <v>775</v>
      </c>
      <c r="C128" s="4" t="s">
        <v>157</v>
      </c>
      <c r="D128" s="4" t="s">
        <v>66</v>
      </c>
      <c r="E128" s="4">
        <v>19278370</v>
      </c>
      <c r="F128" s="4" t="s">
        <v>68</v>
      </c>
      <c r="G128" s="4" t="s">
        <v>49</v>
      </c>
      <c r="H128" s="4" t="s">
        <v>69</v>
      </c>
      <c r="I128" s="5">
        <v>46023</v>
      </c>
      <c r="J128" s="4" t="s">
        <v>52</v>
      </c>
      <c r="K128" s="6">
        <v>15</v>
      </c>
      <c r="L128" s="4">
        <v>1</v>
      </c>
      <c r="M128" s="6">
        <v>15</v>
      </c>
      <c r="O128" s="4" t="s">
        <v>700</v>
      </c>
    </row>
    <row r="129" spans="1:15" s="4" customFormat="1" x14ac:dyDescent="0.25">
      <c r="A129" s="8" t="s">
        <v>776</v>
      </c>
      <c r="B129" s="8" t="s">
        <v>776</v>
      </c>
      <c r="C129" s="4" t="s">
        <v>159</v>
      </c>
      <c r="D129" s="4" t="s">
        <v>113</v>
      </c>
      <c r="E129" s="4">
        <v>17425766</v>
      </c>
      <c r="F129" s="4" t="s">
        <v>86</v>
      </c>
      <c r="G129" s="4" t="s">
        <v>49</v>
      </c>
      <c r="H129" s="4" t="s">
        <v>69</v>
      </c>
      <c r="I129" s="5">
        <v>46023</v>
      </c>
      <c r="J129" s="4" t="s">
        <v>52</v>
      </c>
      <c r="K129" s="6">
        <v>15</v>
      </c>
      <c r="L129" s="4">
        <v>1</v>
      </c>
      <c r="M129" s="6">
        <v>15</v>
      </c>
      <c r="O129" s="4" t="s">
        <v>700</v>
      </c>
    </row>
    <row r="130" spans="1:15" s="4" customFormat="1" x14ac:dyDescent="0.25">
      <c r="A130" s="8" t="s">
        <v>777</v>
      </c>
      <c r="B130" s="8" t="s">
        <v>777</v>
      </c>
      <c r="C130" s="4" t="s">
        <v>161</v>
      </c>
      <c r="D130" s="4" t="s">
        <v>66</v>
      </c>
      <c r="E130" s="4">
        <v>19278370</v>
      </c>
      <c r="F130" s="4" t="s">
        <v>68</v>
      </c>
      <c r="G130" s="4" t="s">
        <v>49</v>
      </c>
      <c r="H130" s="4" t="s">
        <v>69</v>
      </c>
      <c r="I130" s="5">
        <v>46023</v>
      </c>
      <c r="J130" s="4" t="s">
        <v>52</v>
      </c>
      <c r="K130" s="6">
        <v>15</v>
      </c>
      <c r="L130" s="4">
        <v>1</v>
      </c>
      <c r="M130" s="6">
        <v>15</v>
      </c>
      <c r="O130" s="4" t="s">
        <v>700</v>
      </c>
    </row>
    <row r="131" spans="1:15" s="4" customFormat="1" x14ac:dyDescent="0.25">
      <c r="A131" s="8" t="s">
        <v>778</v>
      </c>
      <c r="B131" s="8" t="s">
        <v>778</v>
      </c>
      <c r="C131" s="4" t="s">
        <v>163</v>
      </c>
      <c r="D131" s="4" t="s">
        <v>66</v>
      </c>
      <c r="E131" s="4">
        <v>17425766</v>
      </c>
      <c r="F131" s="4" t="s">
        <v>86</v>
      </c>
      <c r="G131" s="4" t="s">
        <v>49</v>
      </c>
      <c r="H131" s="4" t="s">
        <v>69</v>
      </c>
      <c r="I131" s="5">
        <v>46023</v>
      </c>
      <c r="J131" s="4" t="s">
        <v>52</v>
      </c>
      <c r="K131" s="6">
        <v>15</v>
      </c>
      <c r="L131" s="4">
        <v>1</v>
      </c>
      <c r="M131" s="6">
        <v>15</v>
      </c>
      <c r="O131" s="4" t="s">
        <v>700</v>
      </c>
    </row>
    <row r="132" spans="1:15" s="4" customFormat="1" x14ac:dyDescent="0.25">
      <c r="A132" s="8" t="s">
        <v>779</v>
      </c>
      <c r="B132" s="8" t="s">
        <v>779</v>
      </c>
      <c r="C132" s="4" t="s">
        <v>165</v>
      </c>
      <c r="D132" s="4" t="s">
        <v>134</v>
      </c>
      <c r="E132" s="4">
        <v>16849453</v>
      </c>
      <c r="F132" s="4" t="s">
        <v>136</v>
      </c>
      <c r="G132" s="4" t="s">
        <v>49</v>
      </c>
      <c r="H132" s="4" t="s">
        <v>69</v>
      </c>
      <c r="I132" s="5">
        <v>46023</v>
      </c>
      <c r="J132" s="4" t="s">
        <v>52</v>
      </c>
      <c r="K132" s="6">
        <v>15</v>
      </c>
      <c r="L132" s="4">
        <v>1</v>
      </c>
      <c r="M132" s="6">
        <v>15</v>
      </c>
      <c r="O132" s="4" t="s">
        <v>700</v>
      </c>
    </row>
    <row r="133" spans="1:15" s="4" customFormat="1" x14ac:dyDescent="0.25">
      <c r="A133" s="8" t="s">
        <v>780</v>
      </c>
      <c r="B133" s="8" t="s">
        <v>780</v>
      </c>
      <c r="C133" s="4" t="s">
        <v>167</v>
      </c>
      <c r="D133" s="4" t="s">
        <v>66</v>
      </c>
      <c r="E133" s="4">
        <v>19278370</v>
      </c>
      <c r="F133" s="4" t="s">
        <v>68</v>
      </c>
      <c r="G133" s="4" t="s">
        <v>49</v>
      </c>
      <c r="H133" s="4" t="s">
        <v>69</v>
      </c>
      <c r="I133" s="5">
        <v>46023</v>
      </c>
      <c r="J133" s="4" t="s">
        <v>52</v>
      </c>
      <c r="K133" s="6">
        <v>15</v>
      </c>
      <c r="L133" s="4">
        <v>1</v>
      </c>
      <c r="M133" s="6">
        <v>15</v>
      </c>
      <c r="O133" s="4" t="s">
        <v>700</v>
      </c>
    </row>
    <row r="134" spans="1:15" s="4" customFormat="1" x14ac:dyDescent="0.25">
      <c r="A134" s="8" t="s">
        <v>781</v>
      </c>
      <c r="B134" s="8" t="s">
        <v>781</v>
      </c>
      <c r="C134" s="4" t="s">
        <v>169</v>
      </c>
      <c r="D134" s="4" t="s">
        <v>66</v>
      </c>
      <c r="E134" s="4">
        <v>17425766</v>
      </c>
      <c r="F134" s="4" t="s">
        <v>86</v>
      </c>
      <c r="G134" s="4" t="s">
        <v>49</v>
      </c>
      <c r="H134" s="4" t="s">
        <v>69</v>
      </c>
      <c r="I134" s="5">
        <v>46023</v>
      </c>
      <c r="J134" s="4" t="s">
        <v>52</v>
      </c>
      <c r="K134" s="6">
        <v>15</v>
      </c>
      <c r="L134" s="4">
        <v>1</v>
      </c>
      <c r="M134" s="6">
        <v>15</v>
      </c>
      <c r="O134" s="4" t="s">
        <v>700</v>
      </c>
    </row>
    <row r="135" spans="1:15" s="4" customFormat="1" x14ac:dyDescent="0.25">
      <c r="A135" s="8" t="s">
        <v>782</v>
      </c>
      <c r="B135" s="8" t="s">
        <v>782</v>
      </c>
      <c r="C135" s="4" t="s">
        <v>171</v>
      </c>
      <c r="D135" s="4" t="s">
        <v>134</v>
      </c>
      <c r="E135" s="4">
        <v>16849453</v>
      </c>
      <c r="F135" s="4" t="s">
        <v>136</v>
      </c>
      <c r="G135" s="4" t="s">
        <v>49</v>
      </c>
      <c r="H135" s="4" t="s">
        <v>69</v>
      </c>
      <c r="I135" s="5">
        <v>46023</v>
      </c>
      <c r="J135" s="4" t="s">
        <v>52</v>
      </c>
      <c r="K135" s="6">
        <v>15</v>
      </c>
      <c r="L135" s="4">
        <v>1</v>
      </c>
      <c r="M135" s="6">
        <v>15</v>
      </c>
      <c r="O135" s="4" t="s">
        <v>700</v>
      </c>
    </row>
    <row r="136" spans="1:15" s="4" customFormat="1" x14ac:dyDescent="0.25">
      <c r="A136" s="8" t="s">
        <v>783</v>
      </c>
      <c r="B136" s="8" t="s">
        <v>783</v>
      </c>
      <c r="C136" s="4" t="s">
        <v>173</v>
      </c>
      <c r="D136" s="4" t="s">
        <v>66</v>
      </c>
      <c r="E136" s="4">
        <v>18710070</v>
      </c>
      <c r="F136" s="4" t="s">
        <v>175</v>
      </c>
      <c r="G136" s="4" t="s">
        <v>49</v>
      </c>
      <c r="H136" s="4" t="s">
        <v>69</v>
      </c>
      <c r="I136" s="5">
        <v>46023</v>
      </c>
      <c r="J136" s="4" t="s">
        <v>52</v>
      </c>
      <c r="K136" s="6">
        <v>15</v>
      </c>
      <c r="L136" s="4">
        <v>1</v>
      </c>
      <c r="M136" s="6">
        <v>15</v>
      </c>
      <c r="O136" s="4" t="s">
        <v>700</v>
      </c>
    </row>
    <row r="137" spans="1:15" s="4" customFormat="1" x14ac:dyDescent="0.25">
      <c r="A137" s="8" t="s">
        <v>784</v>
      </c>
      <c r="B137" s="8" t="s">
        <v>784</v>
      </c>
      <c r="C137" s="4" t="s">
        <v>177</v>
      </c>
      <c r="D137" s="4" t="s">
        <v>66</v>
      </c>
      <c r="E137" s="4">
        <v>19278370</v>
      </c>
      <c r="F137" s="4" t="s">
        <v>68</v>
      </c>
      <c r="G137" s="4" t="s">
        <v>49</v>
      </c>
      <c r="H137" s="4" t="s">
        <v>69</v>
      </c>
      <c r="I137" s="5">
        <v>46023</v>
      </c>
      <c r="J137" s="4" t="s">
        <v>52</v>
      </c>
      <c r="K137" s="6">
        <v>15</v>
      </c>
      <c r="L137" s="4">
        <v>1</v>
      </c>
      <c r="M137" s="6">
        <v>15</v>
      </c>
      <c r="O137" s="4" t="s">
        <v>700</v>
      </c>
    </row>
    <row r="138" spans="1:15" s="4" customFormat="1" x14ac:dyDescent="0.25">
      <c r="A138" s="8" t="s">
        <v>785</v>
      </c>
      <c r="B138" s="8" t="s">
        <v>785</v>
      </c>
      <c r="C138" s="4" t="s">
        <v>179</v>
      </c>
      <c r="D138" s="4" t="s">
        <v>72</v>
      </c>
      <c r="E138" s="4">
        <v>17425766</v>
      </c>
      <c r="F138" s="4" t="s">
        <v>86</v>
      </c>
      <c r="G138" s="4" t="s">
        <v>49</v>
      </c>
      <c r="H138" s="4" t="s">
        <v>69</v>
      </c>
      <c r="I138" s="5">
        <v>46023</v>
      </c>
      <c r="J138" s="4" t="s">
        <v>52</v>
      </c>
      <c r="K138" s="6">
        <v>15</v>
      </c>
      <c r="L138" s="4">
        <v>1</v>
      </c>
      <c r="M138" s="6">
        <v>15</v>
      </c>
      <c r="O138" s="4" t="s">
        <v>700</v>
      </c>
    </row>
    <row r="139" spans="1:15" s="4" customFormat="1" x14ac:dyDescent="0.25">
      <c r="A139" s="8" t="s">
        <v>786</v>
      </c>
      <c r="B139" s="8" t="s">
        <v>786</v>
      </c>
      <c r="C139" s="4" t="s">
        <v>181</v>
      </c>
      <c r="D139" s="4" t="s">
        <v>182</v>
      </c>
      <c r="E139" s="4">
        <v>1706194</v>
      </c>
      <c r="F139" s="4" t="s">
        <v>184</v>
      </c>
      <c r="G139" s="4" t="s">
        <v>49</v>
      </c>
      <c r="H139" s="4" t="s">
        <v>69</v>
      </c>
      <c r="I139" s="5">
        <v>46023</v>
      </c>
      <c r="J139" s="4" t="s">
        <v>52</v>
      </c>
      <c r="K139" s="6">
        <v>15</v>
      </c>
      <c r="L139" s="4">
        <v>1</v>
      </c>
      <c r="M139" s="6">
        <v>15</v>
      </c>
      <c r="O139" s="4" t="s">
        <v>700</v>
      </c>
    </row>
    <row r="140" spans="1:15" s="4" customFormat="1" x14ac:dyDescent="0.25">
      <c r="A140" s="8" t="s">
        <v>787</v>
      </c>
      <c r="B140" s="8" t="s">
        <v>787</v>
      </c>
      <c r="C140" s="4" t="s">
        <v>186</v>
      </c>
      <c r="D140" s="4" t="s">
        <v>187</v>
      </c>
      <c r="E140" s="4">
        <v>19645587</v>
      </c>
      <c r="F140" s="4" t="s">
        <v>127</v>
      </c>
      <c r="G140" s="4" t="s">
        <v>49</v>
      </c>
      <c r="H140" s="4" t="s">
        <v>69</v>
      </c>
      <c r="I140" s="5">
        <v>46023</v>
      </c>
      <c r="J140" s="4" t="s">
        <v>52</v>
      </c>
      <c r="K140" s="6">
        <v>15</v>
      </c>
      <c r="L140" s="4">
        <v>1</v>
      </c>
      <c r="M140" s="6">
        <v>15</v>
      </c>
      <c r="O140" s="4" t="s">
        <v>700</v>
      </c>
    </row>
    <row r="141" spans="1:15" s="4" customFormat="1" x14ac:dyDescent="0.25">
      <c r="A141" s="8" t="s">
        <v>788</v>
      </c>
      <c r="B141" s="8" t="s">
        <v>788</v>
      </c>
      <c r="C141" s="4" t="s">
        <v>189</v>
      </c>
      <c r="D141" s="4" t="s">
        <v>66</v>
      </c>
      <c r="E141" s="4">
        <v>21618313</v>
      </c>
      <c r="F141" s="4" t="s">
        <v>74</v>
      </c>
      <c r="G141" s="4" t="s">
        <v>49</v>
      </c>
      <c r="H141" s="4" t="s">
        <v>69</v>
      </c>
      <c r="I141" s="5">
        <v>46023</v>
      </c>
      <c r="J141" s="4" t="s">
        <v>52</v>
      </c>
      <c r="K141" s="6">
        <v>15</v>
      </c>
      <c r="L141" s="4">
        <v>1</v>
      </c>
      <c r="M141" s="6">
        <v>15</v>
      </c>
      <c r="O141" s="4" t="s">
        <v>700</v>
      </c>
    </row>
    <row r="142" spans="1:15" s="4" customFormat="1" x14ac:dyDescent="0.25">
      <c r="A142" s="8" t="s">
        <v>789</v>
      </c>
      <c r="B142" s="8" t="s">
        <v>789</v>
      </c>
      <c r="C142" s="4" t="s">
        <v>191</v>
      </c>
      <c r="D142" s="4" t="s">
        <v>66</v>
      </c>
      <c r="E142" s="4">
        <v>19278370</v>
      </c>
      <c r="F142" s="4" t="s">
        <v>68</v>
      </c>
      <c r="G142" s="4" t="s">
        <v>49</v>
      </c>
      <c r="H142" s="4" t="s">
        <v>69</v>
      </c>
      <c r="I142" s="5">
        <v>46023</v>
      </c>
      <c r="J142" s="4" t="s">
        <v>52</v>
      </c>
      <c r="K142" s="6">
        <v>15</v>
      </c>
      <c r="L142" s="4">
        <v>1</v>
      </c>
      <c r="M142" s="6">
        <v>15</v>
      </c>
      <c r="O142" s="4" t="s">
        <v>700</v>
      </c>
    </row>
    <row r="143" spans="1:15" s="4" customFormat="1" x14ac:dyDescent="0.25">
      <c r="A143" s="8" t="s">
        <v>790</v>
      </c>
      <c r="B143" s="8" t="s">
        <v>790</v>
      </c>
      <c r="C143" s="4" t="s">
        <v>193</v>
      </c>
      <c r="D143" s="4" t="s">
        <v>66</v>
      </c>
      <c r="E143" s="4">
        <v>19278370</v>
      </c>
      <c r="F143" s="4" t="s">
        <v>68</v>
      </c>
      <c r="G143" s="4" t="s">
        <v>49</v>
      </c>
      <c r="H143" s="4" t="s">
        <v>69</v>
      </c>
      <c r="I143" s="5">
        <v>46023</v>
      </c>
      <c r="J143" s="4" t="s">
        <v>52</v>
      </c>
      <c r="K143" s="6">
        <v>15</v>
      </c>
      <c r="L143" s="4">
        <v>1</v>
      </c>
      <c r="M143" s="6">
        <v>15</v>
      </c>
      <c r="O143" s="4" t="s">
        <v>700</v>
      </c>
    </row>
    <row r="144" spans="1:15" s="4" customFormat="1" x14ac:dyDescent="0.25">
      <c r="A144" s="8" t="s">
        <v>791</v>
      </c>
      <c r="B144" s="8" t="s">
        <v>791</v>
      </c>
      <c r="C144" s="4" t="s">
        <v>195</v>
      </c>
      <c r="D144" s="4" t="s">
        <v>66</v>
      </c>
      <c r="E144" s="4">
        <v>17528908</v>
      </c>
      <c r="F144" s="4" t="s">
        <v>197</v>
      </c>
      <c r="G144" s="4" t="s">
        <v>49</v>
      </c>
      <c r="H144" s="4" t="s">
        <v>69</v>
      </c>
      <c r="I144" s="5">
        <v>46023</v>
      </c>
      <c r="J144" s="4" t="s">
        <v>52</v>
      </c>
      <c r="K144" s="6">
        <v>15</v>
      </c>
      <c r="L144" s="4">
        <v>1</v>
      </c>
      <c r="M144" s="6">
        <v>15</v>
      </c>
      <c r="O144" s="4" t="s">
        <v>700</v>
      </c>
    </row>
    <row r="145" spans="1:19" s="4" customFormat="1" x14ac:dyDescent="0.25">
      <c r="A145" s="8" t="s">
        <v>792</v>
      </c>
      <c r="B145" s="8" t="s">
        <v>792</v>
      </c>
      <c r="C145" s="4" t="s">
        <v>199</v>
      </c>
      <c r="D145" s="4" t="s">
        <v>66</v>
      </c>
      <c r="E145" s="4">
        <v>17425766</v>
      </c>
      <c r="F145" s="4" t="s">
        <v>86</v>
      </c>
      <c r="G145" s="4" t="s">
        <v>49</v>
      </c>
      <c r="H145" s="4" t="s">
        <v>69</v>
      </c>
      <c r="I145" s="5">
        <v>46023</v>
      </c>
      <c r="J145" s="4" t="s">
        <v>52</v>
      </c>
      <c r="K145" s="6">
        <v>15</v>
      </c>
      <c r="L145" s="4">
        <v>1</v>
      </c>
      <c r="M145" s="6">
        <v>15</v>
      </c>
      <c r="O145" s="4" t="s">
        <v>700</v>
      </c>
    </row>
    <row r="146" spans="1:19" s="4" customFormat="1" x14ac:dyDescent="0.25">
      <c r="A146" s="8" t="s">
        <v>793</v>
      </c>
      <c r="B146" s="8" t="s">
        <v>793</v>
      </c>
      <c r="C146" s="4" t="s">
        <v>201</v>
      </c>
      <c r="D146" s="4" t="s">
        <v>134</v>
      </c>
      <c r="E146" s="4">
        <v>16849453</v>
      </c>
      <c r="F146" s="4" t="s">
        <v>136</v>
      </c>
      <c r="G146" s="4" t="s">
        <v>49</v>
      </c>
      <c r="H146" s="4" t="s">
        <v>69</v>
      </c>
      <c r="I146" s="5">
        <v>46023</v>
      </c>
      <c r="J146" s="4" t="s">
        <v>52</v>
      </c>
      <c r="K146" s="6">
        <v>15</v>
      </c>
      <c r="L146" s="4">
        <v>1</v>
      </c>
      <c r="M146" s="6">
        <v>15</v>
      </c>
      <c r="O146" s="4" t="s">
        <v>700</v>
      </c>
    </row>
    <row r="147" spans="1:19" s="4" customFormat="1" x14ac:dyDescent="0.25">
      <c r="A147" s="8" t="s">
        <v>794</v>
      </c>
      <c r="B147" s="8" t="s">
        <v>794</v>
      </c>
      <c r="C147" s="4" t="s">
        <v>203</v>
      </c>
      <c r="D147" s="4" t="s">
        <v>134</v>
      </c>
      <c r="E147" s="4">
        <v>16849453</v>
      </c>
      <c r="F147" s="4" t="s">
        <v>136</v>
      </c>
      <c r="G147" s="4" t="s">
        <v>49</v>
      </c>
      <c r="H147" s="4" t="s">
        <v>69</v>
      </c>
      <c r="I147" s="5">
        <v>46023</v>
      </c>
      <c r="J147" s="4" t="s">
        <v>52</v>
      </c>
      <c r="K147" s="6">
        <v>15</v>
      </c>
      <c r="L147" s="4">
        <v>1</v>
      </c>
      <c r="M147" s="6">
        <v>15</v>
      </c>
      <c r="O147" s="4" t="s">
        <v>700</v>
      </c>
    </row>
    <row r="148" spans="1:19" s="4" customFormat="1" x14ac:dyDescent="0.25">
      <c r="A148" s="8" t="s">
        <v>795</v>
      </c>
      <c r="B148" s="8" t="s">
        <v>795</v>
      </c>
      <c r="C148" s="4" t="s">
        <v>205</v>
      </c>
      <c r="D148" s="4" t="s">
        <v>66</v>
      </c>
      <c r="E148" s="4">
        <v>19278370</v>
      </c>
      <c r="F148" s="4" t="s">
        <v>68</v>
      </c>
      <c r="G148" s="4" t="s">
        <v>49</v>
      </c>
      <c r="H148" s="4" t="s">
        <v>69</v>
      </c>
      <c r="I148" s="5">
        <v>46023</v>
      </c>
      <c r="J148" s="4" t="s">
        <v>52</v>
      </c>
      <c r="K148" s="6">
        <v>15</v>
      </c>
      <c r="L148" s="4">
        <v>1</v>
      </c>
      <c r="M148" s="6">
        <v>15</v>
      </c>
      <c r="O148" s="4" t="s">
        <v>700</v>
      </c>
    </row>
    <row r="149" spans="1:19" s="4" customFormat="1" x14ac:dyDescent="0.25">
      <c r="A149" s="8" t="s">
        <v>796</v>
      </c>
      <c r="B149" s="8" t="s">
        <v>796</v>
      </c>
      <c r="C149" s="4" t="s">
        <v>207</v>
      </c>
      <c r="D149" s="4" t="s">
        <v>134</v>
      </c>
      <c r="E149" s="4">
        <v>16849453</v>
      </c>
      <c r="F149" s="4" t="s">
        <v>136</v>
      </c>
      <c r="G149" s="4" t="s">
        <v>49</v>
      </c>
      <c r="H149" s="4" t="s">
        <v>69</v>
      </c>
      <c r="I149" s="5">
        <v>46023</v>
      </c>
      <c r="J149" s="4" t="s">
        <v>52</v>
      </c>
      <c r="K149" s="6">
        <v>15</v>
      </c>
      <c r="L149" s="4">
        <v>1</v>
      </c>
      <c r="M149" s="6">
        <v>15</v>
      </c>
      <c r="O149" s="4" t="s">
        <v>700</v>
      </c>
    </row>
    <row r="150" spans="1:19" s="4" customFormat="1" x14ac:dyDescent="0.25">
      <c r="A150" s="8" t="s">
        <v>797</v>
      </c>
      <c r="B150" s="8" t="s">
        <v>797</v>
      </c>
      <c r="C150" s="4" t="s">
        <v>209</v>
      </c>
      <c r="D150" s="4" t="s">
        <v>66</v>
      </c>
      <c r="E150" s="4">
        <v>16509456</v>
      </c>
      <c r="F150" s="4" t="s">
        <v>211</v>
      </c>
      <c r="G150" s="4" t="s">
        <v>49</v>
      </c>
      <c r="H150" s="4" t="s">
        <v>69</v>
      </c>
      <c r="I150" s="5">
        <v>46023</v>
      </c>
      <c r="J150" s="4" t="s">
        <v>52</v>
      </c>
      <c r="K150" s="6">
        <v>15</v>
      </c>
      <c r="L150" s="4">
        <v>1</v>
      </c>
      <c r="M150" s="6">
        <v>15</v>
      </c>
      <c r="O150" s="4" t="s">
        <v>700</v>
      </c>
    </row>
    <row r="151" spans="1:19" s="4" customFormat="1" x14ac:dyDescent="0.25">
      <c r="A151" s="8" t="s">
        <v>798</v>
      </c>
      <c r="B151" s="8" t="s">
        <v>798</v>
      </c>
      <c r="C151" s="4" t="s">
        <v>213</v>
      </c>
      <c r="D151" s="4" t="s">
        <v>66</v>
      </c>
      <c r="E151" s="4">
        <v>16509456</v>
      </c>
      <c r="F151" s="4" t="s">
        <v>211</v>
      </c>
      <c r="G151" s="4" t="s">
        <v>49</v>
      </c>
      <c r="H151" s="4" t="s">
        <v>69</v>
      </c>
      <c r="I151" s="5">
        <v>46023</v>
      </c>
      <c r="J151" s="4" t="s">
        <v>52</v>
      </c>
      <c r="K151" s="6">
        <v>15</v>
      </c>
      <c r="L151" s="4">
        <v>1</v>
      </c>
      <c r="M151" s="6">
        <v>15</v>
      </c>
      <c r="O151" s="4" t="s">
        <v>700</v>
      </c>
    </row>
    <row r="152" spans="1:19" s="4" customFormat="1" x14ac:dyDescent="0.25">
      <c r="A152" s="8" t="s">
        <v>799</v>
      </c>
      <c r="B152" s="8" t="s">
        <v>799</v>
      </c>
      <c r="C152" s="4" t="s">
        <v>215</v>
      </c>
      <c r="D152" s="4" t="s">
        <v>120</v>
      </c>
      <c r="E152" s="4">
        <v>18598357</v>
      </c>
      <c r="F152" s="4" t="s">
        <v>217</v>
      </c>
      <c r="G152" s="4" t="s">
        <v>49</v>
      </c>
      <c r="H152" s="4" t="s">
        <v>69</v>
      </c>
      <c r="I152" s="5">
        <v>46023</v>
      </c>
      <c r="J152" s="4" t="s">
        <v>52</v>
      </c>
      <c r="K152" s="6">
        <v>15</v>
      </c>
      <c r="L152" s="4">
        <v>1</v>
      </c>
      <c r="M152" s="6">
        <v>15</v>
      </c>
      <c r="O152" s="4" t="s">
        <v>700</v>
      </c>
    </row>
    <row r="153" spans="1:19" s="4" customFormat="1" x14ac:dyDescent="0.25">
      <c r="A153" s="8" t="s">
        <v>800</v>
      </c>
      <c r="B153" s="8" t="s">
        <v>800</v>
      </c>
      <c r="C153" s="4" t="s">
        <v>219</v>
      </c>
      <c r="D153" s="4" t="s">
        <v>141</v>
      </c>
      <c r="E153" s="4">
        <v>17094718</v>
      </c>
      <c r="F153" s="4" t="s">
        <v>221</v>
      </c>
      <c r="G153" s="4" t="s">
        <v>49</v>
      </c>
      <c r="H153" s="4" t="s">
        <v>69</v>
      </c>
      <c r="I153" s="5">
        <v>46023</v>
      </c>
      <c r="J153" s="4" t="s">
        <v>52</v>
      </c>
      <c r="K153" s="6">
        <v>15</v>
      </c>
      <c r="L153" s="4">
        <v>1</v>
      </c>
      <c r="M153" s="6">
        <v>15</v>
      </c>
      <c r="O153" s="4" t="s">
        <v>700</v>
      </c>
    </row>
    <row r="154" spans="1:19" s="4" customFormat="1" x14ac:dyDescent="0.25">
      <c r="A154" s="8" t="s">
        <v>801</v>
      </c>
      <c r="B154" s="8" t="s">
        <v>801</v>
      </c>
      <c r="C154" s="4" t="s">
        <v>233</v>
      </c>
      <c r="D154" s="4" t="s">
        <v>72</v>
      </c>
      <c r="E154" s="4">
        <v>16212649</v>
      </c>
      <c r="F154" s="4" t="s">
        <v>131</v>
      </c>
      <c r="G154" s="4" t="s">
        <v>49</v>
      </c>
      <c r="H154" s="4" t="s">
        <v>69</v>
      </c>
      <c r="I154" s="5">
        <v>46023</v>
      </c>
      <c r="J154" s="4" t="s">
        <v>52</v>
      </c>
      <c r="K154" s="6">
        <v>15</v>
      </c>
      <c r="L154" s="4">
        <v>1</v>
      </c>
      <c r="M154" s="6">
        <v>15</v>
      </c>
      <c r="O154" s="4" t="s">
        <v>700</v>
      </c>
    </row>
    <row r="155" spans="1:19" x14ac:dyDescent="0.25">
      <c r="A155" s="8" t="s">
        <v>802</v>
      </c>
      <c r="B155" s="8" t="s">
        <v>802</v>
      </c>
      <c r="C155" s="4" t="s">
        <v>235</v>
      </c>
      <c r="D155" s="4" t="s">
        <v>66</v>
      </c>
      <c r="E155" s="4">
        <v>21618313</v>
      </c>
      <c r="F155" s="4" t="s">
        <v>74</v>
      </c>
      <c r="G155" s="4" t="s">
        <v>49</v>
      </c>
      <c r="H155" s="4" t="s">
        <v>69</v>
      </c>
      <c r="I155" s="5">
        <v>46023</v>
      </c>
      <c r="J155" s="4" t="s">
        <v>52</v>
      </c>
      <c r="K155" s="6">
        <v>15</v>
      </c>
      <c r="L155" s="4">
        <v>1</v>
      </c>
      <c r="M155" s="6">
        <v>15</v>
      </c>
      <c r="N155" s="4"/>
      <c r="O155" s="4" t="s">
        <v>700</v>
      </c>
      <c r="P155" s="4"/>
      <c r="Q155" s="4"/>
      <c r="R155" s="4"/>
      <c r="S155" s="4"/>
    </row>
    <row r="156" spans="1:19" x14ac:dyDescent="0.25">
      <c r="A156" s="8" t="s">
        <v>803</v>
      </c>
      <c r="B156" s="8" t="s">
        <v>803</v>
      </c>
      <c r="C156" s="4" t="s">
        <v>237</v>
      </c>
      <c r="D156" s="4" t="s">
        <v>66</v>
      </c>
      <c r="E156" s="4">
        <v>18794740</v>
      </c>
      <c r="F156" s="4" t="s">
        <v>239</v>
      </c>
      <c r="G156" s="4" t="s">
        <v>49</v>
      </c>
      <c r="H156" s="4" t="s">
        <v>69</v>
      </c>
      <c r="I156" s="5">
        <v>46023</v>
      </c>
      <c r="J156" s="4" t="s">
        <v>52</v>
      </c>
      <c r="K156" s="6">
        <v>15</v>
      </c>
      <c r="L156" s="4">
        <v>1</v>
      </c>
      <c r="M156" s="6">
        <v>15</v>
      </c>
      <c r="N156" s="4"/>
      <c r="O156" s="4" t="s">
        <v>700</v>
      </c>
      <c r="P156" s="4"/>
      <c r="Q156" s="4"/>
      <c r="R156" s="4"/>
      <c r="S156" s="4"/>
    </row>
    <row r="157" spans="1:19" x14ac:dyDescent="0.25">
      <c r="A157" s="8" t="s">
        <v>804</v>
      </c>
      <c r="B157" s="8" t="s">
        <v>804</v>
      </c>
      <c r="C157" s="4" t="s">
        <v>241</v>
      </c>
      <c r="D157" s="4" t="s">
        <v>120</v>
      </c>
      <c r="E157" s="4">
        <v>18142208</v>
      </c>
      <c r="F157" s="4" t="s">
        <v>122</v>
      </c>
      <c r="G157" s="4" t="s">
        <v>49</v>
      </c>
      <c r="H157" s="4" t="s">
        <v>69</v>
      </c>
      <c r="I157" s="5">
        <v>46023</v>
      </c>
      <c r="J157" s="4" t="s">
        <v>52</v>
      </c>
      <c r="K157" s="6">
        <v>15</v>
      </c>
      <c r="L157" s="4">
        <v>1</v>
      </c>
      <c r="M157" s="6">
        <v>15</v>
      </c>
      <c r="N157" s="4"/>
      <c r="O157" s="4" t="s">
        <v>700</v>
      </c>
      <c r="P157" s="4"/>
      <c r="Q157" s="4"/>
      <c r="R157" s="4"/>
      <c r="S157" s="4"/>
    </row>
    <row r="158" spans="1:19" x14ac:dyDescent="0.25">
      <c r="A158" s="8" t="s">
        <v>805</v>
      </c>
      <c r="B158" s="8" t="s">
        <v>805</v>
      </c>
      <c r="C158" s="4" t="s">
        <v>243</v>
      </c>
      <c r="D158" s="4" t="s">
        <v>66</v>
      </c>
      <c r="E158" s="4">
        <v>17886092</v>
      </c>
      <c r="F158" s="4" t="s">
        <v>92</v>
      </c>
      <c r="G158" s="4" t="s">
        <v>49</v>
      </c>
      <c r="H158" s="4" t="s">
        <v>69</v>
      </c>
      <c r="I158" s="5">
        <v>46023</v>
      </c>
      <c r="J158" s="4" t="s">
        <v>52</v>
      </c>
      <c r="K158" s="6">
        <v>15</v>
      </c>
      <c r="L158" s="4">
        <v>1</v>
      </c>
      <c r="M158" s="6">
        <v>15</v>
      </c>
      <c r="N158" s="4"/>
      <c r="O158" s="4" t="s">
        <v>700</v>
      </c>
      <c r="P158" s="4"/>
      <c r="Q158" s="4"/>
      <c r="R158" s="4"/>
      <c r="S158" s="4"/>
    </row>
    <row r="159" spans="1:19" x14ac:dyDescent="0.25">
      <c r="A159" s="8" t="s">
        <v>806</v>
      </c>
      <c r="B159" s="8" t="s">
        <v>806</v>
      </c>
      <c r="C159" s="4" t="s">
        <v>245</v>
      </c>
      <c r="D159" s="4" t="s">
        <v>141</v>
      </c>
      <c r="E159" s="4">
        <v>6634327</v>
      </c>
      <c r="F159" s="4" t="s">
        <v>247</v>
      </c>
      <c r="G159" s="4" t="s">
        <v>49</v>
      </c>
      <c r="H159" s="4" t="s">
        <v>69</v>
      </c>
      <c r="I159" s="5">
        <v>46023</v>
      </c>
      <c r="J159" s="4" t="s">
        <v>52</v>
      </c>
      <c r="K159" s="6">
        <v>15</v>
      </c>
      <c r="L159" s="4">
        <v>1</v>
      </c>
      <c r="M159" s="6">
        <v>15</v>
      </c>
      <c r="N159" s="4"/>
      <c r="O159" s="4" t="s">
        <v>700</v>
      </c>
      <c r="P159" s="4"/>
      <c r="Q159" s="4"/>
      <c r="R159" s="4"/>
      <c r="S159" s="4"/>
    </row>
    <row r="160" spans="1:19" x14ac:dyDescent="0.25">
      <c r="A160" s="8" t="s">
        <v>807</v>
      </c>
      <c r="B160" s="8" t="s">
        <v>807</v>
      </c>
      <c r="C160" s="4" t="s">
        <v>249</v>
      </c>
      <c r="D160" s="4" t="s">
        <v>141</v>
      </c>
      <c r="E160" s="4">
        <v>9213293</v>
      </c>
      <c r="F160" s="4" t="s">
        <v>57</v>
      </c>
      <c r="G160" s="4" t="s">
        <v>49</v>
      </c>
      <c r="H160" s="4" t="s">
        <v>69</v>
      </c>
      <c r="I160" s="5">
        <v>46054</v>
      </c>
      <c r="J160" s="4" t="s">
        <v>52</v>
      </c>
      <c r="K160" s="6">
        <v>15</v>
      </c>
      <c r="L160" s="4">
        <v>1</v>
      </c>
      <c r="M160" s="6">
        <v>15</v>
      </c>
      <c r="N160" s="4"/>
      <c r="O160" s="4" t="s">
        <v>700</v>
      </c>
      <c r="P160" s="4"/>
      <c r="Q160" s="4"/>
      <c r="R160" s="4"/>
      <c r="S160" s="4"/>
    </row>
    <row r="161" spans="1:19" x14ac:dyDescent="0.25">
      <c r="A161" s="8" t="s">
        <v>808</v>
      </c>
      <c r="B161" s="8" t="s">
        <v>808</v>
      </c>
      <c r="C161" s="4" t="s">
        <v>251</v>
      </c>
      <c r="D161" s="4" t="s">
        <v>120</v>
      </c>
      <c r="E161" s="4">
        <v>18598357</v>
      </c>
      <c r="F161" s="4" t="s">
        <v>217</v>
      </c>
      <c r="G161" s="4" t="s">
        <v>49</v>
      </c>
      <c r="H161" s="4" t="s">
        <v>69</v>
      </c>
      <c r="I161" s="5">
        <v>46023</v>
      </c>
      <c r="J161" s="4" t="s">
        <v>52</v>
      </c>
      <c r="K161" s="6">
        <v>15</v>
      </c>
      <c r="L161" s="4">
        <v>1</v>
      </c>
      <c r="M161" s="6">
        <v>15</v>
      </c>
      <c r="N161" s="4"/>
      <c r="O161" s="4" t="s">
        <v>700</v>
      </c>
      <c r="P161" s="4"/>
      <c r="Q161" s="4"/>
      <c r="R161" s="4"/>
      <c r="S161" s="4"/>
    </row>
    <row r="162" spans="1:19" x14ac:dyDescent="0.25">
      <c r="A162" s="8" t="s">
        <v>809</v>
      </c>
      <c r="B162" s="8" t="s">
        <v>809</v>
      </c>
      <c r="C162" s="4" t="s">
        <v>253</v>
      </c>
      <c r="D162" s="4" t="s">
        <v>141</v>
      </c>
      <c r="E162" s="4">
        <v>16865615</v>
      </c>
      <c r="F162" s="4" t="s">
        <v>143</v>
      </c>
      <c r="G162" s="4" t="s">
        <v>49</v>
      </c>
      <c r="H162" s="4" t="s">
        <v>69</v>
      </c>
      <c r="I162" s="5">
        <v>46054</v>
      </c>
      <c r="J162" s="4" t="s">
        <v>52</v>
      </c>
      <c r="K162" s="6">
        <v>15</v>
      </c>
      <c r="L162" s="4">
        <v>1</v>
      </c>
      <c r="M162" s="6">
        <v>15</v>
      </c>
      <c r="N162" s="4"/>
      <c r="O162" s="4" t="s">
        <v>700</v>
      </c>
      <c r="P162" s="4"/>
      <c r="Q162" s="4"/>
      <c r="R162" s="4"/>
      <c r="S162" s="4"/>
    </row>
    <row r="163" spans="1:19" x14ac:dyDescent="0.25">
      <c r="A163" s="8">
        <v>936896337</v>
      </c>
      <c r="B163" s="8" t="str">
        <f>CONCATENATE(A163,98)</f>
        <v>93689633798</v>
      </c>
      <c r="C163" s="4" t="s">
        <v>502</v>
      </c>
      <c r="D163" s="4" t="s">
        <v>350</v>
      </c>
      <c r="E163" s="4">
        <v>20003537</v>
      </c>
      <c r="F163" s="4" t="s">
        <v>464</v>
      </c>
      <c r="G163" s="4" t="s">
        <v>49</v>
      </c>
      <c r="H163" s="4" t="s">
        <v>503</v>
      </c>
      <c r="I163" s="5">
        <v>45992</v>
      </c>
      <c r="J163" s="4" t="s">
        <v>52</v>
      </c>
      <c r="K163" s="6">
        <v>626</v>
      </c>
      <c r="L163" s="4">
        <v>1</v>
      </c>
      <c r="M163" s="6">
        <v>626</v>
      </c>
      <c r="N163" s="4"/>
      <c r="O163" s="4" t="s">
        <v>815</v>
      </c>
      <c r="P163" s="4" t="s">
        <v>836</v>
      </c>
      <c r="Q163" s="4"/>
      <c r="R163" s="4"/>
      <c r="S163" s="4"/>
    </row>
    <row r="164" spans="1:19" x14ac:dyDescent="0.25">
      <c r="A164" s="8">
        <v>996231312</v>
      </c>
      <c r="B164" s="8" t="str">
        <f>CONCATENATE(A164,1)</f>
        <v>9962313121</v>
      </c>
      <c r="C164" s="4" t="s">
        <v>579</v>
      </c>
      <c r="D164" s="4" t="s">
        <v>66</v>
      </c>
      <c r="E164" s="4">
        <v>19278370</v>
      </c>
      <c r="F164" s="4" t="s">
        <v>68</v>
      </c>
      <c r="G164" s="4" t="s">
        <v>49</v>
      </c>
      <c r="H164" s="4" t="s">
        <v>580</v>
      </c>
      <c r="I164" s="5">
        <v>46023</v>
      </c>
      <c r="J164" s="4" t="s">
        <v>52</v>
      </c>
      <c r="K164" s="6">
        <v>353</v>
      </c>
      <c r="L164" s="4">
        <v>1</v>
      </c>
      <c r="M164" s="6">
        <v>353</v>
      </c>
      <c r="N164" s="4" t="s">
        <v>439</v>
      </c>
      <c r="O164" s="4" t="s">
        <v>818</v>
      </c>
      <c r="P164" s="4" t="s">
        <v>830</v>
      </c>
      <c r="Q164" s="4"/>
      <c r="R164" s="4"/>
      <c r="S164" s="4"/>
    </row>
    <row r="165" spans="1:19" x14ac:dyDescent="0.25">
      <c r="A165" s="8">
        <v>135010181</v>
      </c>
      <c r="B165" s="8" t="str">
        <f>CONCATENATE(A165,12)</f>
        <v>13501018112</v>
      </c>
      <c r="C165" s="4" t="s">
        <v>430</v>
      </c>
      <c r="D165" s="4" t="s">
        <v>289</v>
      </c>
      <c r="E165" s="4">
        <v>5442438</v>
      </c>
      <c r="F165" s="4" t="s">
        <v>432</v>
      </c>
      <c r="G165" s="4" t="s">
        <v>49</v>
      </c>
      <c r="H165" s="4" t="s">
        <v>433</v>
      </c>
      <c r="I165" s="5">
        <v>46023</v>
      </c>
      <c r="J165" s="4" t="s">
        <v>52</v>
      </c>
      <c r="K165" s="6">
        <v>694</v>
      </c>
      <c r="L165" s="4">
        <v>1</v>
      </c>
      <c r="M165" s="6">
        <v>694</v>
      </c>
      <c r="N165" s="4"/>
      <c r="O165" s="4" t="s">
        <v>823</v>
      </c>
      <c r="P165" s="4" t="s">
        <v>837</v>
      </c>
      <c r="Q165" s="4"/>
      <c r="R165" s="4"/>
      <c r="S165" s="4"/>
    </row>
    <row r="166" spans="1:19" x14ac:dyDescent="0.25">
      <c r="A166" s="8">
        <v>905009866</v>
      </c>
      <c r="B166" s="8" t="str">
        <f t="shared" ref="B166:B199" si="4">CONCATENATE(A166,12)</f>
        <v>90500986612</v>
      </c>
      <c r="C166" s="4" t="s">
        <v>443</v>
      </c>
      <c r="D166" s="4" t="s">
        <v>376</v>
      </c>
      <c r="E166" s="4">
        <v>21435997</v>
      </c>
      <c r="F166" s="4" t="s">
        <v>378</v>
      </c>
      <c r="G166" s="4" t="s">
        <v>49</v>
      </c>
      <c r="H166" s="4" t="s">
        <v>433</v>
      </c>
      <c r="I166" s="5">
        <v>46023</v>
      </c>
      <c r="J166" s="4" t="s">
        <v>52</v>
      </c>
      <c r="K166" s="6">
        <v>694</v>
      </c>
      <c r="L166" s="4">
        <v>1</v>
      </c>
      <c r="M166" s="6">
        <v>694</v>
      </c>
      <c r="N166" s="4"/>
      <c r="O166" s="4" t="s">
        <v>823</v>
      </c>
      <c r="P166" s="4" t="s">
        <v>837</v>
      </c>
      <c r="Q166" s="4"/>
      <c r="R166" s="4"/>
      <c r="S166" s="4"/>
    </row>
    <row r="167" spans="1:19" x14ac:dyDescent="0.25">
      <c r="A167" s="8">
        <v>905283105</v>
      </c>
      <c r="B167" s="8" t="str">
        <f t="shared" si="4"/>
        <v>90528310512</v>
      </c>
      <c r="C167" s="4" t="s">
        <v>445</v>
      </c>
      <c r="D167" s="4" t="s">
        <v>108</v>
      </c>
      <c r="E167" s="4">
        <v>19279958</v>
      </c>
      <c r="F167" s="4" t="s">
        <v>447</v>
      </c>
      <c r="G167" s="4" t="s">
        <v>49</v>
      </c>
      <c r="H167" s="4" t="s">
        <v>433</v>
      </c>
      <c r="I167" s="5">
        <v>46023</v>
      </c>
      <c r="J167" s="4" t="s">
        <v>52</v>
      </c>
      <c r="K167" s="6">
        <v>694</v>
      </c>
      <c r="L167" s="4">
        <v>1</v>
      </c>
      <c r="M167" s="6">
        <v>694</v>
      </c>
      <c r="N167" s="4"/>
      <c r="O167" s="4" t="s">
        <v>823</v>
      </c>
      <c r="P167" s="4" t="s">
        <v>837</v>
      </c>
      <c r="Q167" s="4"/>
      <c r="R167" s="4"/>
      <c r="S167" s="4"/>
    </row>
    <row r="168" spans="1:19" x14ac:dyDescent="0.25">
      <c r="A168" s="8">
        <v>905287605</v>
      </c>
      <c r="B168" s="8" t="str">
        <f t="shared" si="4"/>
        <v>90528760512</v>
      </c>
      <c r="C168" s="4" t="s">
        <v>449</v>
      </c>
      <c r="D168" s="4" t="s">
        <v>55</v>
      </c>
      <c r="E168" s="4">
        <v>8244481</v>
      </c>
      <c r="F168" s="4" t="s">
        <v>404</v>
      </c>
      <c r="G168" s="4" t="s">
        <v>49</v>
      </c>
      <c r="H168" s="4" t="s">
        <v>433</v>
      </c>
      <c r="I168" s="5">
        <v>46023</v>
      </c>
      <c r="J168" s="4" t="s">
        <v>52</v>
      </c>
      <c r="K168" s="6">
        <v>694</v>
      </c>
      <c r="L168" s="4">
        <v>1</v>
      </c>
      <c r="M168" s="6">
        <v>694</v>
      </c>
      <c r="N168" s="4"/>
      <c r="O168" s="4" t="s">
        <v>823</v>
      </c>
      <c r="P168" s="4" t="s">
        <v>837</v>
      </c>
      <c r="Q168" s="4"/>
      <c r="R168" s="4"/>
      <c r="S168" s="4"/>
    </row>
    <row r="169" spans="1:19" x14ac:dyDescent="0.25">
      <c r="A169" s="8">
        <v>910479691</v>
      </c>
      <c r="B169" s="8" t="str">
        <f t="shared" si="4"/>
        <v>91047969112</v>
      </c>
      <c r="C169" s="4" t="s">
        <v>457</v>
      </c>
      <c r="D169" s="4" t="s">
        <v>350</v>
      </c>
      <c r="E169" s="4">
        <v>19200754</v>
      </c>
      <c r="F169" s="4" t="s">
        <v>266</v>
      </c>
      <c r="G169" s="4" t="s">
        <v>49</v>
      </c>
      <c r="H169" s="4" t="s">
        <v>433</v>
      </c>
      <c r="I169" s="5">
        <v>46023</v>
      </c>
      <c r="J169" s="4" t="s">
        <v>52</v>
      </c>
      <c r="K169" s="6">
        <v>694</v>
      </c>
      <c r="L169" s="4">
        <v>1</v>
      </c>
      <c r="M169" s="6">
        <v>694</v>
      </c>
      <c r="N169" s="4"/>
      <c r="O169" s="4" t="s">
        <v>823</v>
      </c>
      <c r="P169" s="4" t="s">
        <v>837</v>
      </c>
      <c r="Q169" s="4"/>
      <c r="R169" s="4"/>
      <c r="S169" s="4"/>
    </row>
    <row r="170" spans="1:19" x14ac:dyDescent="0.25">
      <c r="A170" s="8">
        <v>914188230</v>
      </c>
      <c r="B170" s="8" t="str">
        <f t="shared" si="4"/>
        <v>91418823012</v>
      </c>
      <c r="C170" s="4" t="s">
        <v>459</v>
      </c>
      <c r="D170" s="4" t="s">
        <v>460</v>
      </c>
      <c r="E170" s="4">
        <v>21435997</v>
      </c>
      <c r="F170" s="4" t="s">
        <v>378</v>
      </c>
      <c r="G170" s="4" t="s">
        <v>49</v>
      </c>
      <c r="H170" s="4" t="s">
        <v>433</v>
      </c>
      <c r="I170" s="5">
        <v>46023</v>
      </c>
      <c r="J170" s="4" t="s">
        <v>52</v>
      </c>
      <c r="K170" s="6">
        <v>694</v>
      </c>
      <c r="L170" s="4">
        <v>1</v>
      </c>
      <c r="M170" s="6">
        <v>694</v>
      </c>
      <c r="N170" s="4"/>
      <c r="O170" s="4" t="s">
        <v>823</v>
      </c>
      <c r="P170" s="4" t="s">
        <v>837</v>
      </c>
      <c r="Q170" s="4"/>
      <c r="R170" s="4"/>
      <c r="S170" s="4"/>
    </row>
    <row r="171" spans="1:19" x14ac:dyDescent="0.25">
      <c r="A171" s="8">
        <v>914374312</v>
      </c>
      <c r="B171" s="8" t="str">
        <f t="shared" si="4"/>
        <v>91437431212</v>
      </c>
      <c r="C171" s="4" t="s">
        <v>462</v>
      </c>
      <c r="D171" s="4" t="s">
        <v>350</v>
      </c>
      <c r="E171" s="4">
        <v>20003537</v>
      </c>
      <c r="F171" s="4" t="s">
        <v>464</v>
      </c>
      <c r="G171" s="4" t="s">
        <v>49</v>
      </c>
      <c r="H171" s="4" t="s">
        <v>433</v>
      </c>
      <c r="I171" s="5">
        <v>46023</v>
      </c>
      <c r="J171" s="4" t="s">
        <v>52</v>
      </c>
      <c r="K171" s="6">
        <v>694</v>
      </c>
      <c r="L171" s="4">
        <v>1</v>
      </c>
      <c r="M171" s="6">
        <v>694</v>
      </c>
      <c r="N171" s="4"/>
      <c r="O171" s="4" t="s">
        <v>823</v>
      </c>
      <c r="P171" s="4" t="s">
        <v>837</v>
      </c>
      <c r="Q171" s="4"/>
      <c r="R171" s="4"/>
      <c r="S171" s="4"/>
    </row>
    <row r="172" spans="1:19" s="4" customFormat="1" x14ac:dyDescent="0.25">
      <c r="A172" s="8">
        <v>917471347</v>
      </c>
      <c r="B172" s="8" t="str">
        <f t="shared" si="4"/>
        <v>91747134712</v>
      </c>
      <c r="C172" s="4" t="s">
        <v>466</v>
      </c>
      <c r="D172" s="4" t="s">
        <v>108</v>
      </c>
      <c r="E172" s="4">
        <v>21435997</v>
      </c>
      <c r="F172" s="4" t="s">
        <v>378</v>
      </c>
      <c r="G172" s="4" t="s">
        <v>49</v>
      </c>
      <c r="H172" s="4" t="s">
        <v>433</v>
      </c>
      <c r="I172" s="5">
        <v>46023</v>
      </c>
      <c r="J172" s="4" t="s">
        <v>52</v>
      </c>
      <c r="K172" s="6">
        <v>694</v>
      </c>
      <c r="L172" s="4">
        <v>1</v>
      </c>
      <c r="M172" s="6">
        <v>694</v>
      </c>
      <c r="O172" s="4" t="s">
        <v>823</v>
      </c>
      <c r="P172" s="4" t="s">
        <v>837</v>
      </c>
    </row>
    <row r="173" spans="1:19" s="4" customFormat="1" x14ac:dyDescent="0.25">
      <c r="A173" s="8">
        <v>917929060</v>
      </c>
      <c r="B173" s="8" t="str">
        <f t="shared" si="4"/>
        <v>91792906012</v>
      </c>
      <c r="C173" s="4" t="s">
        <v>468</v>
      </c>
      <c r="D173" s="4" t="s">
        <v>134</v>
      </c>
      <c r="E173" s="4">
        <v>9213293</v>
      </c>
      <c r="F173" s="4" t="s">
        <v>57</v>
      </c>
      <c r="G173" s="4" t="s">
        <v>49</v>
      </c>
      <c r="H173" s="4" t="s">
        <v>433</v>
      </c>
      <c r="I173" s="5">
        <v>46023</v>
      </c>
      <c r="J173" s="4" t="s">
        <v>52</v>
      </c>
      <c r="K173" s="6">
        <v>694</v>
      </c>
      <c r="L173" s="4">
        <v>1</v>
      </c>
      <c r="M173" s="6">
        <v>694</v>
      </c>
      <c r="O173" s="4" t="s">
        <v>823</v>
      </c>
      <c r="P173" s="4" t="s">
        <v>837</v>
      </c>
    </row>
    <row r="174" spans="1:19" s="4" customFormat="1" x14ac:dyDescent="0.25">
      <c r="A174" s="8">
        <v>925781093</v>
      </c>
      <c r="B174" s="8" t="str">
        <f t="shared" si="4"/>
        <v>92578109312</v>
      </c>
      <c r="C174" s="4" t="s">
        <v>474</v>
      </c>
      <c r="D174" s="4" t="s">
        <v>55</v>
      </c>
      <c r="E174" s="4">
        <v>8325282</v>
      </c>
      <c r="F174" s="4" t="s">
        <v>286</v>
      </c>
      <c r="G174" s="4" t="s">
        <v>49</v>
      </c>
      <c r="H174" s="4" t="s">
        <v>433</v>
      </c>
      <c r="I174" s="5">
        <v>46023</v>
      </c>
      <c r="J174" s="4" t="s">
        <v>52</v>
      </c>
      <c r="K174" s="6">
        <v>694</v>
      </c>
      <c r="L174" s="4">
        <v>1</v>
      </c>
      <c r="M174" s="6">
        <v>694</v>
      </c>
      <c r="O174" s="4" t="s">
        <v>823</v>
      </c>
      <c r="P174" s="4" t="s">
        <v>837</v>
      </c>
    </row>
    <row r="175" spans="1:19" s="4" customFormat="1" x14ac:dyDescent="0.25">
      <c r="A175" s="8">
        <v>926371909</v>
      </c>
      <c r="B175" s="8" t="str">
        <f t="shared" si="4"/>
        <v>92637190912</v>
      </c>
      <c r="C175" s="4" t="s">
        <v>476</v>
      </c>
      <c r="D175" s="4" t="s">
        <v>477</v>
      </c>
      <c r="E175" s="4">
        <v>9079571</v>
      </c>
      <c r="F175" s="4" t="s">
        <v>479</v>
      </c>
      <c r="G175" s="4" t="s">
        <v>49</v>
      </c>
      <c r="H175" s="4" t="s">
        <v>433</v>
      </c>
      <c r="I175" s="5">
        <v>46082</v>
      </c>
      <c r="J175" s="4" t="s">
        <v>52</v>
      </c>
      <c r="K175" s="6">
        <v>694</v>
      </c>
      <c r="L175" s="4">
        <v>1</v>
      </c>
      <c r="M175" s="6">
        <v>694</v>
      </c>
      <c r="O175" s="4" t="s">
        <v>823</v>
      </c>
      <c r="P175" s="4" t="s">
        <v>837</v>
      </c>
    </row>
    <row r="176" spans="1:19" s="4" customFormat="1" x14ac:dyDescent="0.25">
      <c r="A176" s="8">
        <v>928198692</v>
      </c>
      <c r="B176" s="8" t="str">
        <f t="shared" si="4"/>
        <v>92819869212</v>
      </c>
      <c r="C176" s="4" t="s">
        <v>487</v>
      </c>
      <c r="D176" s="4" t="s">
        <v>61</v>
      </c>
      <c r="E176" s="4">
        <v>21435997</v>
      </c>
      <c r="F176" s="4" t="s">
        <v>378</v>
      </c>
      <c r="G176" s="4" t="s">
        <v>49</v>
      </c>
      <c r="H176" s="4" t="s">
        <v>433</v>
      </c>
      <c r="I176" s="5">
        <v>46023</v>
      </c>
      <c r="J176" s="4" t="s">
        <v>52</v>
      </c>
      <c r="K176" s="6">
        <v>694</v>
      </c>
      <c r="L176" s="4">
        <v>1</v>
      </c>
      <c r="M176" s="6">
        <v>694</v>
      </c>
      <c r="O176" s="4" t="s">
        <v>823</v>
      </c>
      <c r="P176" s="4" t="s">
        <v>837</v>
      </c>
    </row>
    <row r="177" spans="1:16" s="4" customFormat="1" x14ac:dyDescent="0.25">
      <c r="A177" s="8">
        <v>930179026</v>
      </c>
      <c r="B177" s="8" t="str">
        <f t="shared" si="4"/>
        <v>93017902612</v>
      </c>
      <c r="C177" s="4" t="s">
        <v>493</v>
      </c>
      <c r="D177" s="4" t="s">
        <v>141</v>
      </c>
      <c r="E177" s="4">
        <v>16865615</v>
      </c>
      <c r="F177" s="4" t="s">
        <v>143</v>
      </c>
      <c r="G177" s="4" t="s">
        <v>49</v>
      </c>
      <c r="H177" s="4" t="s">
        <v>433</v>
      </c>
      <c r="I177" s="5">
        <v>46023</v>
      </c>
      <c r="J177" s="4" t="s">
        <v>52</v>
      </c>
      <c r="K177" s="6">
        <v>694</v>
      </c>
      <c r="L177" s="4">
        <v>1</v>
      </c>
      <c r="M177" s="6">
        <v>694</v>
      </c>
      <c r="O177" s="4" t="s">
        <v>823</v>
      </c>
      <c r="P177" s="4" t="s">
        <v>837</v>
      </c>
    </row>
    <row r="178" spans="1:16" s="4" customFormat="1" x14ac:dyDescent="0.25">
      <c r="A178" s="8">
        <v>930773109</v>
      </c>
      <c r="B178" s="8" t="str">
        <f t="shared" si="4"/>
        <v>93077310912</v>
      </c>
      <c r="C178" s="4" t="s">
        <v>495</v>
      </c>
      <c r="D178" s="4" t="s">
        <v>350</v>
      </c>
      <c r="E178" s="4">
        <v>21435997</v>
      </c>
      <c r="F178" s="4" t="s">
        <v>378</v>
      </c>
      <c r="G178" s="4" t="s">
        <v>49</v>
      </c>
      <c r="H178" s="4" t="s">
        <v>433</v>
      </c>
      <c r="I178" s="5">
        <v>46023</v>
      </c>
      <c r="J178" s="4" t="s">
        <v>52</v>
      </c>
      <c r="K178" s="6">
        <v>694</v>
      </c>
      <c r="L178" s="4">
        <v>1</v>
      </c>
      <c r="M178" s="6">
        <v>694</v>
      </c>
      <c r="O178" s="4" t="s">
        <v>823</v>
      </c>
      <c r="P178" s="4" t="s">
        <v>837</v>
      </c>
    </row>
    <row r="179" spans="1:16" s="4" customFormat="1" x14ac:dyDescent="0.25">
      <c r="A179" s="8">
        <v>932826929</v>
      </c>
      <c r="B179" s="8" t="str">
        <f t="shared" si="4"/>
        <v>93282692912</v>
      </c>
      <c r="C179" s="4" t="s">
        <v>500</v>
      </c>
      <c r="D179" s="4" t="s">
        <v>350</v>
      </c>
      <c r="E179" s="4">
        <v>20003537</v>
      </c>
      <c r="F179" s="4" t="s">
        <v>464</v>
      </c>
      <c r="G179" s="4" t="s">
        <v>49</v>
      </c>
      <c r="H179" s="4" t="s">
        <v>433</v>
      </c>
      <c r="I179" s="5">
        <v>46023</v>
      </c>
      <c r="J179" s="4" t="s">
        <v>52</v>
      </c>
      <c r="K179" s="6">
        <v>694</v>
      </c>
      <c r="L179" s="4">
        <v>1</v>
      </c>
      <c r="M179" s="6">
        <v>694</v>
      </c>
      <c r="O179" s="4" t="s">
        <v>823</v>
      </c>
      <c r="P179" s="4" t="s">
        <v>837</v>
      </c>
    </row>
    <row r="180" spans="1:16" s="4" customFormat="1" x14ac:dyDescent="0.25">
      <c r="A180" s="8">
        <v>939353500</v>
      </c>
      <c r="B180" s="8" t="str">
        <f t="shared" si="4"/>
        <v>93935350012</v>
      </c>
      <c r="C180" s="4" t="s">
        <v>505</v>
      </c>
      <c r="D180" s="4" t="s">
        <v>460</v>
      </c>
      <c r="E180" s="4">
        <v>16683808</v>
      </c>
      <c r="F180" s="4" t="s">
        <v>507</v>
      </c>
      <c r="G180" s="4" t="s">
        <v>49</v>
      </c>
      <c r="H180" s="4" t="s">
        <v>433</v>
      </c>
      <c r="I180" s="5">
        <v>46023</v>
      </c>
      <c r="J180" s="4" t="s">
        <v>52</v>
      </c>
      <c r="K180" s="6">
        <v>694</v>
      </c>
      <c r="L180" s="4">
        <v>1</v>
      </c>
      <c r="M180" s="6">
        <v>694</v>
      </c>
      <c r="O180" s="4" t="s">
        <v>823</v>
      </c>
      <c r="P180" s="4" t="s">
        <v>837</v>
      </c>
    </row>
    <row r="181" spans="1:16" s="4" customFormat="1" x14ac:dyDescent="0.25">
      <c r="A181" s="8">
        <v>943440592</v>
      </c>
      <c r="B181" s="8" t="str">
        <f t="shared" si="4"/>
        <v>94344059212</v>
      </c>
      <c r="C181" s="4" t="s">
        <v>511</v>
      </c>
      <c r="D181" s="4" t="s">
        <v>108</v>
      </c>
      <c r="E181" s="4">
        <v>21435997</v>
      </c>
      <c r="F181" s="4" t="s">
        <v>378</v>
      </c>
      <c r="G181" s="4" t="s">
        <v>49</v>
      </c>
      <c r="H181" s="4" t="s">
        <v>433</v>
      </c>
      <c r="I181" s="5">
        <v>46023</v>
      </c>
      <c r="J181" s="4" t="s">
        <v>52</v>
      </c>
      <c r="K181" s="6">
        <v>694</v>
      </c>
      <c r="L181" s="4">
        <v>1</v>
      </c>
      <c r="M181" s="6">
        <v>694</v>
      </c>
      <c r="O181" s="4" t="s">
        <v>823</v>
      </c>
      <c r="P181" s="4" t="s">
        <v>837</v>
      </c>
    </row>
    <row r="182" spans="1:16" s="4" customFormat="1" x14ac:dyDescent="0.25">
      <c r="A182" s="8">
        <v>943723547</v>
      </c>
      <c r="B182" s="8" t="str">
        <f t="shared" si="4"/>
        <v>94372354712</v>
      </c>
      <c r="C182" s="4" t="s">
        <v>513</v>
      </c>
      <c r="D182" s="4" t="s">
        <v>108</v>
      </c>
      <c r="E182" s="4">
        <v>21435997</v>
      </c>
      <c r="F182" s="4" t="s">
        <v>378</v>
      </c>
      <c r="G182" s="4" t="s">
        <v>49</v>
      </c>
      <c r="H182" s="4" t="s">
        <v>433</v>
      </c>
      <c r="I182" s="5">
        <v>46023</v>
      </c>
      <c r="J182" s="4" t="s">
        <v>52</v>
      </c>
      <c r="K182" s="6">
        <v>694</v>
      </c>
      <c r="L182" s="4">
        <v>1</v>
      </c>
      <c r="M182" s="6">
        <v>694</v>
      </c>
      <c r="O182" s="4" t="s">
        <v>823</v>
      </c>
      <c r="P182" s="4" t="s">
        <v>837</v>
      </c>
    </row>
    <row r="183" spans="1:16" s="4" customFormat="1" x14ac:dyDescent="0.25">
      <c r="A183" s="8">
        <v>956030204</v>
      </c>
      <c r="B183" s="8" t="str">
        <f t="shared" si="4"/>
        <v>95603020412</v>
      </c>
      <c r="C183" s="4" t="s">
        <v>525</v>
      </c>
      <c r="D183" s="4" t="s">
        <v>350</v>
      </c>
      <c r="E183" s="4">
        <v>19586992</v>
      </c>
      <c r="F183" s="4" t="s">
        <v>437</v>
      </c>
      <c r="G183" s="4" t="s">
        <v>49</v>
      </c>
      <c r="H183" s="4" t="s">
        <v>433</v>
      </c>
      <c r="I183" s="5">
        <v>46023</v>
      </c>
      <c r="J183" s="4" t="s">
        <v>52</v>
      </c>
      <c r="K183" s="6">
        <v>694</v>
      </c>
      <c r="L183" s="4">
        <v>1</v>
      </c>
      <c r="M183" s="6">
        <v>694</v>
      </c>
      <c r="O183" s="4" t="s">
        <v>823</v>
      </c>
      <c r="P183" s="4" t="s">
        <v>837</v>
      </c>
    </row>
    <row r="184" spans="1:16" s="4" customFormat="1" x14ac:dyDescent="0.25">
      <c r="A184" s="8">
        <v>960900496</v>
      </c>
      <c r="B184" s="8" t="str">
        <f t="shared" si="4"/>
        <v>96090049612</v>
      </c>
      <c r="C184" s="4" t="s">
        <v>527</v>
      </c>
      <c r="D184" s="4" t="s">
        <v>55</v>
      </c>
      <c r="E184" s="4">
        <v>18828278</v>
      </c>
      <c r="F184" s="4" t="s">
        <v>229</v>
      </c>
      <c r="G184" s="4" t="s">
        <v>49</v>
      </c>
      <c r="H184" s="4" t="s">
        <v>433</v>
      </c>
      <c r="I184" s="5">
        <v>46023</v>
      </c>
      <c r="J184" s="4" t="s">
        <v>52</v>
      </c>
      <c r="K184" s="6">
        <v>694</v>
      </c>
      <c r="L184" s="4">
        <v>1</v>
      </c>
      <c r="M184" s="6">
        <v>694</v>
      </c>
      <c r="O184" s="4" t="s">
        <v>823</v>
      </c>
      <c r="P184" s="4" t="s">
        <v>837</v>
      </c>
    </row>
    <row r="185" spans="1:16" s="4" customFormat="1" x14ac:dyDescent="0.25">
      <c r="A185" s="8">
        <v>961535224</v>
      </c>
      <c r="B185" s="8" t="str">
        <f t="shared" si="4"/>
        <v>96153522412</v>
      </c>
      <c r="C185" s="4" t="s">
        <v>529</v>
      </c>
      <c r="D185" s="4" t="s">
        <v>55</v>
      </c>
      <c r="E185" s="4">
        <v>8244481</v>
      </c>
      <c r="F185" s="4" t="s">
        <v>404</v>
      </c>
      <c r="G185" s="4" t="s">
        <v>49</v>
      </c>
      <c r="H185" s="4" t="s">
        <v>433</v>
      </c>
      <c r="I185" s="5">
        <v>46023</v>
      </c>
      <c r="J185" s="4" t="s">
        <v>52</v>
      </c>
      <c r="K185" s="6">
        <v>694</v>
      </c>
      <c r="L185" s="4">
        <v>1</v>
      </c>
      <c r="M185" s="6">
        <v>694</v>
      </c>
      <c r="O185" s="4" t="s">
        <v>823</v>
      </c>
      <c r="P185" s="4" t="s">
        <v>837</v>
      </c>
    </row>
    <row r="186" spans="1:16" s="4" customFormat="1" x14ac:dyDescent="0.25">
      <c r="A186" s="8">
        <v>962362898</v>
      </c>
      <c r="B186" s="8" t="str">
        <f t="shared" si="4"/>
        <v>96236289812</v>
      </c>
      <c r="C186" s="4" t="s">
        <v>531</v>
      </c>
      <c r="D186" s="4" t="s">
        <v>125</v>
      </c>
      <c r="E186" s="4">
        <v>16912722</v>
      </c>
      <c r="F186" s="4" t="s">
        <v>98</v>
      </c>
      <c r="G186" s="4" t="s">
        <v>49</v>
      </c>
      <c r="H186" s="4" t="s">
        <v>433</v>
      </c>
      <c r="I186" s="5">
        <v>46023</v>
      </c>
      <c r="J186" s="4" t="s">
        <v>52</v>
      </c>
      <c r="K186" s="6">
        <v>694</v>
      </c>
      <c r="L186" s="4">
        <v>1</v>
      </c>
      <c r="M186" s="6">
        <v>694</v>
      </c>
      <c r="O186" s="4" t="s">
        <v>823</v>
      </c>
      <c r="P186" s="4" t="s">
        <v>837</v>
      </c>
    </row>
    <row r="187" spans="1:16" s="4" customFormat="1" x14ac:dyDescent="0.25">
      <c r="A187" s="8">
        <v>967982621</v>
      </c>
      <c r="B187" s="8" t="str">
        <f t="shared" si="4"/>
        <v>96798262112</v>
      </c>
      <c r="C187" s="4" t="s">
        <v>542</v>
      </c>
      <c r="D187" s="4" t="s">
        <v>134</v>
      </c>
      <c r="E187" s="4">
        <v>19645587</v>
      </c>
      <c r="F187" s="4" t="s">
        <v>127</v>
      </c>
      <c r="G187" s="4" t="s">
        <v>49</v>
      </c>
      <c r="H187" s="4" t="s">
        <v>433</v>
      </c>
      <c r="I187" s="5">
        <v>46023</v>
      </c>
      <c r="J187" s="4" t="s">
        <v>52</v>
      </c>
      <c r="K187" s="6">
        <v>694</v>
      </c>
      <c r="L187" s="4">
        <v>1</v>
      </c>
      <c r="M187" s="6">
        <v>694</v>
      </c>
      <c r="O187" s="4" t="s">
        <v>823</v>
      </c>
      <c r="P187" s="4" t="s">
        <v>837</v>
      </c>
    </row>
    <row r="188" spans="1:16" s="4" customFormat="1" x14ac:dyDescent="0.25">
      <c r="A188" s="8">
        <v>970254922</v>
      </c>
      <c r="B188" s="8" t="str">
        <f t="shared" si="4"/>
        <v>97025492212</v>
      </c>
      <c r="C188" s="4" t="s">
        <v>544</v>
      </c>
      <c r="D188" s="4" t="s">
        <v>55</v>
      </c>
      <c r="E188" s="4">
        <v>2158366</v>
      </c>
      <c r="F188" s="4" t="s">
        <v>323</v>
      </c>
      <c r="G188" s="4" t="s">
        <v>49</v>
      </c>
      <c r="H188" s="4" t="s">
        <v>433</v>
      </c>
      <c r="I188" s="5">
        <v>46023</v>
      </c>
      <c r="J188" s="4" t="s">
        <v>52</v>
      </c>
      <c r="K188" s="6">
        <v>694</v>
      </c>
      <c r="L188" s="4">
        <v>1</v>
      </c>
      <c r="M188" s="6">
        <v>694</v>
      </c>
      <c r="O188" s="4" t="s">
        <v>823</v>
      </c>
      <c r="P188" s="4" t="s">
        <v>837</v>
      </c>
    </row>
    <row r="189" spans="1:16" s="4" customFormat="1" x14ac:dyDescent="0.25">
      <c r="A189" s="8">
        <v>970893671</v>
      </c>
      <c r="B189" s="8" t="str">
        <f t="shared" si="4"/>
        <v>97089367112</v>
      </c>
      <c r="C189" s="4" t="s">
        <v>546</v>
      </c>
      <c r="D189" s="4" t="s">
        <v>125</v>
      </c>
      <c r="E189" s="4">
        <v>16912722</v>
      </c>
      <c r="F189" s="4" t="s">
        <v>98</v>
      </c>
      <c r="G189" s="4" t="s">
        <v>49</v>
      </c>
      <c r="H189" s="4" t="s">
        <v>433</v>
      </c>
      <c r="I189" s="5">
        <v>46023</v>
      </c>
      <c r="J189" s="4" t="s">
        <v>52</v>
      </c>
      <c r="K189" s="6">
        <v>694</v>
      </c>
      <c r="L189" s="4">
        <v>1</v>
      </c>
      <c r="M189" s="6">
        <v>694</v>
      </c>
      <c r="O189" s="4" t="s">
        <v>823</v>
      </c>
      <c r="P189" s="4" t="s">
        <v>837</v>
      </c>
    </row>
    <row r="190" spans="1:16" s="4" customFormat="1" x14ac:dyDescent="0.25">
      <c r="A190" s="8">
        <v>972530567</v>
      </c>
      <c r="B190" s="8" t="str">
        <f t="shared" si="4"/>
        <v>97253056712</v>
      </c>
      <c r="C190" s="4" t="s">
        <v>550</v>
      </c>
      <c r="D190" s="4" t="s">
        <v>120</v>
      </c>
      <c r="E190" s="4">
        <v>18142208</v>
      </c>
      <c r="F190" s="4" t="s">
        <v>122</v>
      </c>
      <c r="G190" s="4" t="s">
        <v>49</v>
      </c>
      <c r="H190" s="4" t="s">
        <v>433</v>
      </c>
      <c r="I190" s="5">
        <v>46023</v>
      </c>
      <c r="J190" s="4" t="s">
        <v>52</v>
      </c>
      <c r="K190" s="6">
        <v>694</v>
      </c>
      <c r="L190" s="4">
        <v>1</v>
      </c>
      <c r="M190" s="6">
        <v>694</v>
      </c>
      <c r="O190" s="4" t="s">
        <v>823</v>
      </c>
      <c r="P190" s="4" t="s">
        <v>837</v>
      </c>
    </row>
    <row r="191" spans="1:16" s="4" customFormat="1" x14ac:dyDescent="0.25">
      <c r="A191" s="8">
        <v>973756831</v>
      </c>
      <c r="B191" s="8" t="str">
        <f t="shared" si="4"/>
        <v>97375683112</v>
      </c>
      <c r="C191" s="4" t="s">
        <v>552</v>
      </c>
      <c r="D191" s="4" t="s">
        <v>55</v>
      </c>
      <c r="E191" s="4">
        <v>8405446</v>
      </c>
      <c r="F191" s="4" t="s">
        <v>554</v>
      </c>
      <c r="G191" s="4" t="s">
        <v>49</v>
      </c>
      <c r="H191" s="4" t="s">
        <v>433</v>
      </c>
      <c r="I191" s="5">
        <v>46023</v>
      </c>
      <c r="J191" s="4" t="s">
        <v>52</v>
      </c>
      <c r="K191" s="6">
        <v>694</v>
      </c>
      <c r="L191" s="4">
        <v>1</v>
      </c>
      <c r="M191" s="6">
        <v>694</v>
      </c>
      <c r="O191" s="4" t="s">
        <v>823</v>
      </c>
      <c r="P191" s="4" t="s">
        <v>837</v>
      </c>
    </row>
    <row r="192" spans="1:16" s="4" customFormat="1" x14ac:dyDescent="0.25">
      <c r="A192" s="8">
        <v>975511320</v>
      </c>
      <c r="B192" s="8" t="str">
        <f t="shared" si="4"/>
        <v>97551132012</v>
      </c>
      <c r="C192" s="4" t="s">
        <v>556</v>
      </c>
      <c r="D192" s="4" t="s">
        <v>134</v>
      </c>
      <c r="E192" s="4">
        <v>16849453</v>
      </c>
      <c r="F192" s="4" t="s">
        <v>136</v>
      </c>
      <c r="G192" s="4" t="s">
        <v>49</v>
      </c>
      <c r="H192" s="4" t="s">
        <v>433</v>
      </c>
      <c r="I192" s="5">
        <v>46023</v>
      </c>
      <c r="J192" s="4" t="s">
        <v>52</v>
      </c>
      <c r="K192" s="6">
        <v>694</v>
      </c>
      <c r="L192" s="4">
        <v>1</v>
      </c>
      <c r="M192" s="6">
        <v>694</v>
      </c>
      <c r="O192" s="4" t="s">
        <v>823</v>
      </c>
      <c r="P192" s="4" t="s">
        <v>837</v>
      </c>
    </row>
    <row r="193" spans="1:16" s="4" customFormat="1" x14ac:dyDescent="0.25">
      <c r="A193" s="8">
        <v>979478312</v>
      </c>
      <c r="B193" s="8" t="str">
        <f t="shared" si="4"/>
        <v>97947831212</v>
      </c>
      <c r="C193" s="4" t="s">
        <v>558</v>
      </c>
      <c r="D193" s="4" t="s">
        <v>108</v>
      </c>
      <c r="E193" s="4">
        <v>21435997</v>
      </c>
      <c r="F193" s="4" t="s">
        <v>378</v>
      </c>
      <c r="G193" s="4" t="s">
        <v>49</v>
      </c>
      <c r="H193" s="4" t="s">
        <v>433</v>
      </c>
      <c r="I193" s="5">
        <v>46023</v>
      </c>
      <c r="J193" s="4" t="s">
        <v>52</v>
      </c>
      <c r="K193" s="6">
        <v>694</v>
      </c>
      <c r="L193" s="4">
        <v>1</v>
      </c>
      <c r="M193" s="6">
        <v>694</v>
      </c>
      <c r="O193" s="4" t="s">
        <v>823</v>
      </c>
      <c r="P193" s="4" t="s">
        <v>837</v>
      </c>
    </row>
    <row r="194" spans="1:16" s="4" customFormat="1" x14ac:dyDescent="0.25">
      <c r="A194" s="8">
        <v>979600179</v>
      </c>
      <c r="B194" s="8" t="str">
        <f t="shared" si="4"/>
        <v>97960017912</v>
      </c>
      <c r="C194" s="4" t="s">
        <v>560</v>
      </c>
      <c r="D194" s="4" t="s">
        <v>61</v>
      </c>
      <c r="E194" s="4">
        <v>21435997</v>
      </c>
      <c r="F194" s="4" t="s">
        <v>378</v>
      </c>
      <c r="G194" s="4" t="s">
        <v>49</v>
      </c>
      <c r="H194" s="4" t="s">
        <v>433</v>
      </c>
      <c r="I194" s="5">
        <v>46023</v>
      </c>
      <c r="J194" s="4" t="s">
        <v>52</v>
      </c>
      <c r="K194" s="6">
        <v>694</v>
      </c>
      <c r="L194" s="4">
        <v>1</v>
      </c>
      <c r="M194" s="6">
        <v>694</v>
      </c>
      <c r="O194" s="4" t="s">
        <v>823</v>
      </c>
      <c r="P194" s="4" t="s">
        <v>837</v>
      </c>
    </row>
    <row r="195" spans="1:16" s="4" customFormat="1" x14ac:dyDescent="0.25">
      <c r="A195" s="8">
        <v>901566459</v>
      </c>
      <c r="B195" s="8" t="str">
        <f t="shared" si="4"/>
        <v>90156645912</v>
      </c>
      <c r="C195" s="4" t="s">
        <v>435</v>
      </c>
      <c r="D195" s="4" t="s">
        <v>55</v>
      </c>
      <c r="E195" s="4">
        <v>19586992</v>
      </c>
      <c r="F195" s="4" t="s">
        <v>437</v>
      </c>
      <c r="G195" s="4" t="s">
        <v>49</v>
      </c>
      <c r="H195" s="4" t="s">
        <v>438</v>
      </c>
      <c r="I195" s="5">
        <v>46023</v>
      </c>
      <c r="J195" s="4" t="s">
        <v>52</v>
      </c>
      <c r="K195" s="6">
        <v>694</v>
      </c>
      <c r="L195" s="4">
        <v>1</v>
      </c>
      <c r="M195" s="6">
        <v>694</v>
      </c>
      <c r="N195" s="4" t="s">
        <v>439</v>
      </c>
      <c r="O195" s="4" t="s">
        <v>823</v>
      </c>
      <c r="P195" s="4" t="s">
        <v>837</v>
      </c>
    </row>
    <row r="196" spans="1:16" s="4" customFormat="1" x14ac:dyDescent="0.25">
      <c r="A196" s="8">
        <v>908745437</v>
      </c>
      <c r="B196" s="8" t="str">
        <f t="shared" si="4"/>
        <v>90874543712</v>
      </c>
      <c r="C196" s="4" t="s">
        <v>451</v>
      </c>
      <c r="D196" s="4" t="s">
        <v>55</v>
      </c>
      <c r="E196" s="4">
        <v>16865615</v>
      </c>
      <c r="F196" s="4" t="s">
        <v>143</v>
      </c>
      <c r="G196" s="4" t="s">
        <v>49</v>
      </c>
      <c r="H196" s="4" t="s">
        <v>438</v>
      </c>
      <c r="I196" s="5">
        <v>46023</v>
      </c>
      <c r="J196" s="4" t="s">
        <v>52</v>
      </c>
      <c r="K196" s="6">
        <v>694</v>
      </c>
      <c r="L196" s="4">
        <v>1</v>
      </c>
      <c r="M196" s="6">
        <v>694</v>
      </c>
      <c r="N196" s="4" t="s">
        <v>439</v>
      </c>
      <c r="O196" s="4" t="s">
        <v>823</v>
      </c>
      <c r="P196" s="4" t="s">
        <v>837</v>
      </c>
    </row>
    <row r="197" spans="1:16" s="4" customFormat="1" x14ac:dyDescent="0.25">
      <c r="A197" s="8">
        <v>967878737</v>
      </c>
      <c r="B197" s="8" t="str">
        <f t="shared" si="4"/>
        <v>96787873712</v>
      </c>
      <c r="C197" s="4" t="s">
        <v>538</v>
      </c>
      <c r="D197" s="4" t="s">
        <v>120</v>
      </c>
      <c r="E197" s="4">
        <v>21564088</v>
      </c>
      <c r="F197" s="4" t="s">
        <v>540</v>
      </c>
      <c r="G197" s="4" t="s">
        <v>49</v>
      </c>
      <c r="H197" s="4" t="s">
        <v>438</v>
      </c>
      <c r="I197" s="5">
        <v>46023</v>
      </c>
      <c r="J197" s="4" t="s">
        <v>52</v>
      </c>
      <c r="K197" s="6">
        <v>694</v>
      </c>
      <c r="L197" s="4">
        <v>1</v>
      </c>
      <c r="M197" s="6">
        <v>694</v>
      </c>
      <c r="N197" s="4" t="s">
        <v>439</v>
      </c>
      <c r="O197" s="4" t="s">
        <v>823</v>
      </c>
      <c r="P197" s="4" t="s">
        <v>837</v>
      </c>
    </row>
    <row r="198" spans="1:16" s="4" customFormat="1" x14ac:dyDescent="0.25">
      <c r="A198" s="8">
        <v>928872953</v>
      </c>
      <c r="B198" s="8" t="str">
        <f t="shared" si="4"/>
        <v>92887295312</v>
      </c>
      <c r="C198" s="4" t="s">
        <v>489</v>
      </c>
      <c r="D198" s="4" t="s">
        <v>490</v>
      </c>
      <c r="E198" s="4">
        <v>19645587</v>
      </c>
      <c r="F198" s="4" t="s">
        <v>127</v>
      </c>
      <c r="G198" s="4" t="s">
        <v>49</v>
      </c>
      <c r="H198" s="4" t="s">
        <v>491</v>
      </c>
      <c r="I198" s="5">
        <v>46023</v>
      </c>
      <c r="J198" s="4" t="s">
        <v>52</v>
      </c>
      <c r="K198" s="6">
        <v>864</v>
      </c>
      <c r="L198" s="4">
        <v>1</v>
      </c>
      <c r="M198" s="6">
        <v>864</v>
      </c>
      <c r="O198" s="4" t="s">
        <v>824</v>
      </c>
      <c r="P198" s="4" t="s">
        <v>838</v>
      </c>
    </row>
    <row r="199" spans="1:16" s="4" customFormat="1" x14ac:dyDescent="0.25">
      <c r="A199" s="8">
        <v>940482810</v>
      </c>
      <c r="B199" s="8" t="str">
        <f t="shared" si="4"/>
        <v>94048281012</v>
      </c>
      <c r="C199" s="4" t="s">
        <v>509</v>
      </c>
      <c r="D199" s="4" t="s">
        <v>490</v>
      </c>
      <c r="E199" s="4">
        <v>17425766</v>
      </c>
      <c r="F199" s="4" t="s">
        <v>86</v>
      </c>
      <c r="G199" s="4" t="s">
        <v>49</v>
      </c>
      <c r="H199" s="4" t="s">
        <v>491</v>
      </c>
      <c r="I199" s="5">
        <v>46023</v>
      </c>
      <c r="J199" s="4" t="s">
        <v>52</v>
      </c>
      <c r="K199" s="6">
        <v>864</v>
      </c>
      <c r="L199" s="4">
        <v>1</v>
      </c>
      <c r="M199" s="6">
        <v>864</v>
      </c>
      <c r="O199" s="4" t="s">
        <v>824</v>
      </c>
      <c r="P199" s="4" t="s">
        <v>838</v>
      </c>
    </row>
    <row r="200" spans="1:16" s="4" customFormat="1" x14ac:dyDescent="0.25">
      <c r="A200" s="8">
        <v>928872953</v>
      </c>
      <c r="B200" s="8" t="str">
        <f>CONCATENATE(A200,11)</f>
        <v>92887295311</v>
      </c>
      <c r="C200" s="4" t="s">
        <v>489</v>
      </c>
      <c r="D200" s="4" t="s">
        <v>490</v>
      </c>
      <c r="E200" s="4">
        <v>19645587</v>
      </c>
      <c r="F200" s="4" t="s">
        <v>127</v>
      </c>
      <c r="G200" s="4" t="s">
        <v>595</v>
      </c>
      <c r="H200" s="4" t="s">
        <v>656</v>
      </c>
      <c r="I200" s="5">
        <v>46023</v>
      </c>
      <c r="J200" s="4" t="s">
        <v>52</v>
      </c>
      <c r="M200" s="4">
        <v>-432</v>
      </c>
      <c r="O200" s="4" t="s">
        <v>820</v>
      </c>
      <c r="P200" s="4" t="s">
        <v>829</v>
      </c>
    </row>
    <row r="201" spans="1:16" s="4" customFormat="1" x14ac:dyDescent="0.25">
      <c r="A201" s="8">
        <v>940482810</v>
      </c>
      <c r="B201" s="8" t="str">
        <f>CONCATENATE(A201,11)</f>
        <v>94048281011</v>
      </c>
      <c r="C201" s="4" t="s">
        <v>509</v>
      </c>
      <c r="D201" s="4" t="s">
        <v>490</v>
      </c>
      <c r="E201" s="4">
        <v>17425766</v>
      </c>
      <c r="F201" s="4" t="s">
        <v>86</v>
      </c>
      <c r="G201" s="4" t="s">
        <v>595</v>
      </c>
      <c r="H201" s="4" t="s">
        <v>656</v>
      </c>
      <c r="I201" s="5">
        <v>46023</v>
      </c>
      <c r="J201" s="4" t="s">
        <v>52</v>
      </c>
      <c r="M201" s="4">
        <v>-432</v>
      </c>
      <c r="O201" s="4" t="s">
        <v>820</v>
      </c>
      <c r="P201" s="4" t="s">
        <v>829</v>
      </c>
    </row>
    <row r="202" spans="1:16" s="4" customFormat="1" x14ac:dyDescent="0.25">
      <c r="A202" s="8">
        <v>932172054</v>
      </c>
      <c r="B202" s="8" t="str">
        <f t="shared" ref="B202:B203" si="5">CONCATENATE(A202,12)</f>
        <v>93217205412</v>
      </c>
      <c r="C202" s="4" t="s">
        <v>497</v>
      </c>
      <c r="D202" s="4" t="s">
        <v>66</v>
      </c>
      <c r="E202" s="4">
        <v>17528908</v>
      </c>
      <c r="F202" s="4" t="s">
        <v>197</v>
      </c>
      <c r="G202" s="4" t="s">
        <v>49</v>
      </c>
      <c r="H202" s="4" t="s">
        <v>498</v>
      </c>
      <c r="I202" s="5">
        <v>46023</v>
      </c>
      <c r="J202" s="4" t="s">
        <v>52</v>
      </c>
      <c r="K202" s="6">
        <v>781</v>
      </c>
      <c r="L202" s="4">
        <v>1</v>
      </c>
      <c r="M202" s="6">
        <v>781</v>
      </c>
      <c r="O202" s="4" t="s">
        <v>825</v>
      </c>
      <c r="P202" s="4" t="s">
        <v>839</v>
      </c>
    </row>
    <row r="203" spans="1:16" s="4" customFormat="1" x14ac:dyDescent="0.25">
      <c r="A203" s="8">
        <v>949404698</v>
      </c>
      <c r="B203" s="8" t="str">
        <f t="shared" si="5"/>
        <v>94940469812</v>
      </c>
      <c r="C203" s="4" t="s">
        <v>515</v>
      </c>
      <c r="D203" s="4" t="s">
        <v>66</v>
      </c>
      <c r="E203" s="4">
        <v>17528908</v>
      </c>
      <c r="F203" s="4" t="s">
        <v>197</v>
      </c>
      <c r="G203" s="4" t="s">
        <v>49</v>
      </c>
      <c r="H203" s="4" t="s">
        <v>498</v>
      </c>
      <c r="I203" s="5">
        <v>46023</v>
      </c>
      <c r="J203" s="4" t="s">
        <v>52</v>
      </c>
      <c r="K203" s="6">
        <v>781</v>
      </c>
      <c r="L203" s="4">
        <v>1</v>
      </c>
      <c r="M203" s="6">
        <v>781</v>
      </c>
      <c r="O203" s="4" t="s">
        <v>825</v>
      </c>
      <c r="P203" s="4" t="s">
        <v>839</v>
      </c>
    </row>
    <row r="204" spans="1:16" s="4" customFormat="1" x14ac:dyDescent="0.25">
      <c r="A204" s="8">
        <v>932172054</v>
      </c>
      <c r="B204" s="8" t="str">
        <f t="shared" ref="B204:B205" si="6">CONCATENATE(A204,11)</f>
        <v>93217205411</v>
      </c>
      <c r="C204" s="4" t="s">
        <v>497</v>
      </c>
      <c r="D204" s="4" t="s">
        <v>66</v>
      </c>
      <c r="E204" s="4">
        <v>17528908</v>
      </c>
      <c r="F204" s="4" t="s">
        <v>197</v>
      </c>
      <c r="G204" s="4" t="s">
        <v>595</v>
      </c>
      <c r="H204" s="4" t="s">
        <v>660</v>
      </c>
      <c r="I204" s="5">
        <v>46023</v>
      </c>
      <c r="J204" s="4" t="s">
        <v>52</v>
      </c>
      <c r="M204" s="4">
        <v>-391</v>
      </c>
      <c r="O204" s="4" t="s">
        <v>819</v>
      </c>
      <c r="P204" s="4" t="s">
        <v>828</v>
      </c>
    </row>
    <row r="205" spans="1:16" s="4" customFormat="1" x14ac:dyDescent="0.25">
      <c r="A205" s="8">
        <v>935295130</v>
      </c>
      <c r="B205" s="8" t="str">
        <f t="shared" si="6"/>
        <v>93529513011</v>
      </c>
      <c r="C205" s="4" t="s">
        <v>663</v>
      </c>
      <c r="D205" s="4" t="s">
        <v>66</v>
      </c>
      <c r="E205" s="4">
        <v>18710070</v>
      </c>
      <c r="F205" s="4" t="s">
        <v>175</v>
      </c>
      <c r="G205" s="4" t="s">
        <v>595</v>
      </c>
      <c r="H205" s="4" t="s">
        <v>660</v>
      </c>
      <c r="I205" s="5">
        <v>46023</v>
      </c>
      <c r="J205" s="4" t="s">
        <v>52</v>
      </c>
      <c r="M205" s="4">
        <v>-391</v>
      </c>
      <c r="O205" s="4" t="s">
        <v>819</v>
      </c>
      <c r="P205" s="4" t="s">
        <v>828</v>
      </c>
    </row>
    <row r="206" spans="1:16" s="4" customFormat="1" x14ac:dyDescent="0.25">
      <c r="A206" s="8">
        <v>949404698</v>
      </c>
      <c r="B206" s="8" t="str">
        <f>CONCATENATE(A206,11)</f>
        <v>94940469811</v>
      </c>
      <c r="C206" s="4" t="s">
        <v>515</v>
      </c>
      <c r="D206" s="4" t="s">
        <v>66</v>
      </c>
      <c r="E206" s="4">
        <v>17528908</v>
      </c>
      <c r="F206" s="4" t="s">
        <v>197</v>
      </c>
      <c r="G206" s="4" t="s">
        <v>595</v>
      </c>
      <c r="H206" s="4" t="s">
        <v>660</v>
      </c>
      <c r="I206" s="5">
        <v>46023</v>
      </c>
      <c r="J206" s="4" t="s">
        <v>52</v>
      </c>
      <c r="M206" s="4">
        <v>-391</v>
      </c>
      <c r="O206" s="4" t="s">
        <v>819</v>
      </c>
      <c r="P206" s="4" t="s">
        <v>828</v>
      </c>
    </row>
    <row r="207" spans="1:16" s="4" customFormat="1" x14ac:dyDescent="0.25">
      <c r="A207" s="8" t="s">
        <v>857</v>
      </c>
      <c r="B207" s="8" t="str">
        <f>CONCATENATE(A207,1)</f>
        <v>A018954801</v>
      </c>
      <c r="C207" s="4" t="s">
        <v>692</v>
      </c>
      <c r="D207" s="4" t="s">
        <v>134</v>
      </c>
      <c r="E207" s="4">
        <v>16849453</v>
      </c>
      <c r="F207" s="4" t="s">
        <v>136</v>
      </c>
      <c r="G207" s="4" t="s">
        <v>595</v>
      </c>
      <c r="H207" s="4" t="s">
        <v>693</v>
      </c>
      <c r="I207" s="5">
        <v>46023</v>
      </c>
      <c r="J207" s="4" t="s">
        <v>52</v>
      </c>
      <c r="M207" s="4">
        <v>-279.18</v>
      </c>
      <c r="O207" s="4" t="s">
        <v>693</v>
      </c>
    </row>
    <row r="208" spans="1:16" s="4" customFormat="1" x14ac:dyDescent="0.25">
      <c r="A208" s="8">
        <v>936896337</v>
      </c>
      <c r="B208" s="8" t="str">
        <f>CONCATENATE(A208,1)</f>
        <v>9368963371</v>
      </c>
      <c r="C208" s="4" t="s">
        <v>502</v>
      </c>
      <c r="D208" s="4" t="s">
        <v>350</v>
      </c>
      <c r="E208" s="4">
        <v>20003537</v>
      </c>
      <c r="F208" s="4" t="s">
        <v>464</v>
      </c>
      <c r="G208" s="4" t="s">
        <v>595</v>
      </c>
      <c r="H208" s="4" t="s">
        <v>566</v>
      </c>
      <c r="I208" s="5">
        <v>45992</v>
      </c>
      <c r="J208" s="4" t="s">
        <v>52</v>
      </c>
      <c r="M208" s="4">
        <v>-26.08</v>
      </c>
      <c r="O208" s="4" t="s">
        <v>822</v>
      </c>
      <c r="P208" s="4" t="s">
        <v>832</v>
      </c>
    </row>
    <row r="209" spans="1:19" s="4" customFormat="1" x14ac:dyDescent="0.25">
      <c r="A209" s="8">
        <v>982804488</v>
      </c>
      <c r="B209" s="8" t="str">
        <f t="shared" ref="B209:B210" si="7">CONCATENATE(A209,1)</f>
        <v>9828044881</v>
      </c>
      <c r="C209" s="4" t="s">
        <v>565</v>
      </c>
      <c r="D209" s="4" t="s">
        <v>55</v>
      </c>
      <c r="E209" s="4">
        <v>16865615</v>
      </c>
      <c r="F209" s="4" t="s">
        <v>143</v>
      </c>
      <c r="G209" s="4" t="s">
        <v>49</v>
      </c>
      <c r="H209" s="4" t="s">
        <v>566</v>
      </c>
      <c r="I209" s="5">
        <v>46054</v>
      </c>
      <c r="J209" s="4" t="s">
        <v>52</v>
      </c>
      <c r="K209" s="6">
        <v>286.92</v>
      </c>
      <c r="L209" s="4">
        <v>1</v>
      </c>
      <c r="M209" s="6">
        <v>286.92</v>
      </c>
      <c r="N209" s="4" t="s">
        <v>386</v>
      </c>
      <c r="O209" s="4" t="s">
        <v>822</v>
      </c>
      <c r="P209" s="4" t="s">
        <v>831</v>
      </c>
      <c r="S209" s="4">
        <f>313/12*11</f>
        <v>286.91666666666663</v>
      </c>
    </row>
    <row r="210" spans="1:19" s="4" customFormat="1" x14ac:dyDescent="0.25">
      <c r="A210" s="8">
        <v>994055549</v>
      </c>
      <c r="B210" s="8" t="str">
        <f t="shared" si="7"/>
        <v>9940555491</v>
      </c>
      <c r="C210" s="4" t="s">
        <v>573</v>
      </c>
      <c r="D210" s="4" t="s">
        <v>55</v>
      </c>
      <c r="E210" s="4">
        <v>16865615</v>
      </c>
      <c r="F210" s="4" t="s">
        <v>143</v>
      </c>
      <c r="G210" s="4" t="s">
        <v>49</v>
      </c>
      <c r="H210" s="4" t="s">
        <v>566</v>
      </c>
      <c r="I210" s="5">
        <v>46054</v>
      </c>
      <c r="J210" s="4" t="s">
        <v>52</v>
      </c>
      <c r="K210" s="6">
        <v>286.92</v>
      </c>
      <c r="L210" s="4">
        <v>1</v>
      </c>
      <c r="M210" s="6">
        <v>286.92</v>
      </c>
      <c r="N210" s="4" t="s">
        <v>386</v>
      </c>
      <c r="O210" s="4" t="s">
        <v>822</v>
      </c>
      <c r="P210" s="4" t="s">
        <v>831</v>
      </c>
    </row>
    <row r="211" spans="1:19" s="4" customFormat="1" x14ac:dyDescent="0.25">
      <c r="A211" s="8">
        <v>135010181</v>
      </c>
      <c r="B211" s="8" t="str">
        <f>CONCATENATE(A211,11)</f>
        <v>13501018111</v>
      </c>
      <c r="C211" s="4" t="s">
        <v>430</v>
      </c>
      <c r="D211" s="4" t="s">
        <v>289</v>
      </c>
      <c r="E211" s="4">
        <v>5442438</v>
      </c>
      <c r="F211" s="4" t="s">
        <v>432</v>
      </c>
      <c r="G211" s="4" t="s">
        <v>595</v>
      </c>
      <c r="H211" s="4" t="s">
        <v>484</v>
      </c>
      <c r="I211" s="5">
        <v>46023</v>
      </c>
      <c r="J211" s="4" t="s">
        <v>52</v>
      </c>
      <c r="M211" s="4">
        <v>-347</v>
      </c>
      <c r="O211" s="4" t="s">
        <v>817</v>
      </c>
      <c r="P211" s="4" t="s">
        <v>826</v>
      </c>
    </row>
    <row r="212" spans="1:19" s="4" customFormat="1" x14ac:dyDescent="0.25">
      <c r="A212" s="8">
        <v>901566459</v>
      </c>
      <c r="B212" s="8" t="str">
        <f t="shared" ref="B212:B249" si="8">CONCATENATE(A212,11)</f>
        <v>90156645911</v>
      </c>
      <c r="C212" s="4" t="s">
        <v>435</v>
      </c>
      <c r="D212" s="4" t="s">
        <v>55</v>
      </c>
      <c r="E212" s="4">
        <v>19586992</v>
      </c>
      <c r="F212" s="4" t="s">
        <v>437</v>
      </c>
      <c r="G212" s="4" t="s">
        <v>595</v>
      </c>
      <c r="H212" s="4" t="s">
        <v>484</v>
      </c>
      <c r="I212" s="5">
        <v>46023</v>
      </c>
      <c r="J212" s="4" t="s">
        <v>52</v>
      </c>
      <c r="M212" s="4">
        <v>-347</v>
      </c>
      <c r="O212" s="4" t="s">
        <v>817</v>
      </c>
      <c r="P212" s="4" t="s">
        <v>826</v>
      </c>
    </row>
    <row r="213" spans="1:19" s="4" customFormat="1" x14ac:dyDescent="0.25">
      <c r="A213" s="8">
        <v>905009866</v>
      </c>
      <c r="B213" s="8" t="str">
        <f t="shared" si="8"/>
        <v>90500986611</v>
      </c>
      <c r="C213" s="4" t="s">
        <v>443</v>
      </c>
      <c r="D213" s="4" t="s">
        <v>376</v>
      </c>
      <c r="E213" s="4">
        <v>21435997</v>
      </c>
      <c r="F213" s="4" t="s">
        <v>378</v>
      </c>
      <c r="G213" s="4" t="s">
        <v>595</v>
      </c>
      <c r="H213" s="4" t="s">
        <v>484</v>
      </c>
      <c r="I213" s="5">
        <v>46023</v>
      </c>
      <c r="J213" s="4" t="s">
        <v>52</v>
      </c>
      <c r="M213" s="4">
        <v>-347</v>
      </c>
      <c r="O213" s="4" t="s">
        <v>817</v>
      </c>
      <c r="P213" s="4" t="s">
        <v>826</v>
      </c>
    </row>
    <row r="214" spans="1:19" s="4" customFormat="1" x14ac:dyDescent="0.25">
      <c r="A214" s="8">
        <v>905283105</v>
      </c>
      <c r="B214" s="8" t="str">
        <f t="shared" si="8"/>
        <v>90528310511</v>
      </c>
      <c r="C214" s="4" t="s">
        <v>445</v>
      </c>
      <c r="D214" s="4" t="s">
        <v>108</v>
      </c>
      <c r="E214" s="4">
        <v>19279958</v>
      </c>
      <c r="F214" s="4" t="s">
        <v>447</v>
      </c>
      <c r="G214" s="4" t="s">
        <v>595</v>
      </c>
      <c r="H214" s="4" t="s">
        <v>484</v>
      </c>
      <c r="I214" s="5">
        <v>46023</v>
      </c>
      <c r="J214" s="4" t="s">
        <v>52</v>
      </c>
      <c r="M214" s="4">
        <v>-347</v>
      </c>
      <c r="O214" s="4" t="s">
        <v>817</v>
      </c>
      <c r="P214" s="4" t="s">
        <v>826</v>
      </c>
    </row>
    <row r="215" spans="1:19" s="4" customFormat="1" x14ac:dyDescent="0.25">
      <c r="A215" s="8">
        <v>905287605</v>
      </c>
      <c r="B215" s="8" t="str">
        <f t="shared" si="8"/>
        <v>90528760511</v>
      </c>
      <c r="C215" s="4" t="s">
        <v>449</v>
      </c>
      <c r="D215" s="4" t="s">
        <v>55</v>
      </c>
      <c r="E215" s="4">
        <v>8244481</v>
      </c>
      <c r="F215" s="4" t="s">
        <v>404</v>
      </c>
      <c r="G215" s="4" t="s">
        <v>595</v>
      </c>
      <c r="H215" s="4" t="s">
        <v>484</v>
      </c>
      <c r="I215" s="5">
        <v>46023</v>
      </c>
      <c r="J215" s="4" t="s">
        <v>52</v>
      </c>
      <c r="M215" s="4">
        <v>-347</v>
      </c>
      <c r="O215" s="4" t="s">
        <v>817</v>
      </c>
      <c r="P215" s="4" t="s">
        <v>826</v>
      </c>
    </row>
    <row r="216" spans="1:19" s="4" customFormat="1" x14ac:dyDescent="0.25">
      <c r="A216" s="8">
        <v>908745437</v>
      </c>
      <c r="B216" s="8" t="str">
        <f t="shared" si="8"/>
        <v>90874543711</v>
      </c>
      <c r="C216" s="4" t="s">
        <v>451</v>
      </c>
      <c r="D216" s="4" t="s">
        <v>55</v>
      </c>
      <c r="E216" s="4">
        <v>16865615</v>
      </c>
      <c r="F216" s="4" t="s">
        <v>143</v>
      </c>
      <c r="G216" s="4" t="s">
        <v>595</v>
      </c>
      <c r="H216" s="4" t="s">
        <v>484</v>
      </c>
      <c r="I216" s="5">
        <v>46023</v>
      </c>
      <c r="J216" s="4" t="s">
        <v>52</v>
      </c>
      <c r="M216" s="4">
        <v>-347</v>
      </c>
      <c r="O216" s="4" t="s">
        <v>817</v>
      </c>
      <c r="P216" s="4" t="s">
        <v>826</v>
      </c>
    </row>
    <row r="217" spans="1:19" s="4" customFormat="1" x14ac:dyDescent="0.25">
      <c r="A217" s="8">
        <v>910479691</v>
      </c>
      <c r="B217" s="8" t="str">
        <f t="shared" si="8"/>
        <v>91047969111</v>
      </c>
      <c r="C217" s="4" t="s">
        <v>457</v>
      </c>
      <c r="D217" s="4" t="s">
        <v>350</v>
      </c>
      <c r="E217" s="4">
        <v>19200754</v>
      </c>
      <c r="F217" s="4" t="s">
        <v>266</v>
      </c>
      <c r="G217" s="4" t="s">
        <v>595</v>
      </c>
      <c r="H217" s="4" t="s">
        <v>484</v>
      </c>
      <c r="I217" s="5">
        <v>46023</v>
      </c>
      <c r="J217" s="4" t="s">
        <v>52</v>
      </c>
      <c r="M217" s="4">
        <v>-347</v>
      </c>
      <c r="O217" s="4" t="s">
        <v>817</v>
      </c>
      <c r="P217" s="4" t="s">
        <v>826</v>
      </c>
    </row>
    <row r="218" spans="1:19" s="4" customFormat="1" x14ac:dyDescent="0.25">
      <c r="A218" s="8">
        <v>914188230</v>
      </c>
      <c r="B218" s="8" t="str">
        <f t="shared" si="8"/>
        <v>91418823011</v>
      </c>
      <c r="C218" s="4" t="s">
        <v>459</v>
      </c>
      <c r="D218" s="4" t="s">
        <v>460</v>
      </c>
      <c r="E218" s="4">
        <v>21435997</v>
      </c>
      <c r="F218" s="4" t="s">
        <v>378</v>
      </c>
      <c r="G218" s="4" t="s">
        <v>595</v>
      </c>
      <c r="H218" s="4" t="s">
        <v>484</v>
      </c>
      <c r="I218" s="5">
        <v>46023</v>
      </c>
      <c r="J218" s="4" t="s">
        <v>52</v>
      </c>
      <c r="M218" s="4">
        <v>-347</v>
      </c>
      <c r="O218" s="4" t="s">
        <v>817</v>
      </c>
      <c r="P218" s="4" t="s">
        <v>826</v>
      </c>
    </row>
    <row r="219" spans="1:19" s="4" customFormat="1" x14ac:dyDescent="0.25">
      <c r="A219" s="8">
        <v>914374312</v>
      </c>
      <c r="B219" s="8" t="str">
        <f t="shared" si="8"/>
        <v>91437431211</v>
      </c>
      <c r="C219" s="4" t="s">
        <v>462</v>
      </c>
      <c r="D219" s="4" t="s">
        <v>350</v>
      </c>
      <c r="E219" s="4">
        <v>20003537</v>
      </c>
      <c r="F219" s="4" t="s">
        <v>464</v>
      </c>
      <c r="G219" s="4" t="s">
        <v>595</v>
      </c>
      <c r="H219" s="4" t="s">
        <v>484</v>
      </c>
      <c r="I219" s="5">
        <v>46023</v>
      </c>
      <c r="J219" s="4" t="s">
        <v>52</v>
      </c>
      <c r="M219" s="4">
        <v>-347</v>
      </c>
      <c r="O219" s="4" t="s">
        <v>817</v>
      </c>
      <c r="P219" s="4" t="s">
        <v>826</v>
      </c>
    </row>
    <row r="220" spans="1:19" s="4" customFormat="1" x14ac:dyDescent="0.25">
      <c r="A220" s="8">
        <v>917471347</v>
      </c>
      <c r="B220" s="8" t="str">
        <f t="shared" si="8"/>
        <v>91747134711</v>
      </c>
      <c r="C220" s="4" t="s">
        <v>466</v>
      </c>
      <c r="D220" s="4" t="s">
        <v>108</v>
      </c>
      <c r="E220" s="4">
        <v>21435997</v>
      </c>
      <c r="F220" s="4" t="s">
        <v>378</v>
      </c>
      <c r="G220" s="4" t="s">
        <v>595</v>
      </c>
      <c r="H220" s="4" t="s">
        <v>484</v>
      </c>
      <c r="I220" s="5">
        <v>46023</v>
      </c>
      <c r="J220" s="4" t="s">
        <v>52</v>
      </c>
      <c r="M220" s="4">
        <v>-347</v>
      </c>
      <c r="O220" s="4" t="s">
        <v>817</v>
      </c>
      <c r="P220" s="4" t="s">
        <v>826</v>
      </c>
    </row>
    <row r="221" spans="1:19" s="4" customFormat="1" x14ac:dyDescent="0.25">
      <c r="A221" s="8">
        <v>917929060</v>
      </c>
      <c r="B221" s="8" t="str">
        <f t="shared" si="8"/>
        <v>91792906011</v>
      </c>
      <c r="C221" s="4" t="s">
        <v>468</v>
      </c>
      <c r="D221" s="4" t="s">
        <v>134</v>
      </c>
      <c r="E221" s="4">
        <v>9213293</v>
      </c>
      <c r="F221" s="4" t="s">
        <v>57</v>
      </c>
      <c r="G221" s="4" t="s">
        <v>595</v>
      </c>
      <c r="H221" s="4" t="s">
        <v>484</v>
      </c>
      <c r="I221" s="5">
        <v>46023</v>
      </c>
      <c r="J221" s="4" t="s">
        <v>52</v>
      </c>
      <c r="M221" s="4">
        <v>-347</v>
      </c>
      <c r="O221" s="4" t="s">
        <v>817</v>
      </c>
      <c r="P221" s="4" t="s">
        <v>826</v>
      </c>
    </row>
    <row r="222" spans="1:19" s="4" customFormat="1" x14ac:dyDescent="0.25">
      <c r="A222" s="8">
        <v>925781093</v>
      </c>
      <c r="B222" s="8" t="str">
        <f t="shared" si="8"/>
        <v>92578109311</v>
      </c>
      <c r="C222" s="4" t="s">
        <v>474</v>
      </c>
      <c r="D222" s="4" t="s">
        <v>55</v>
      </c>
      <c r="E222" s="4">
        <v>8325282</v>
      </c>
      <c r="F222" s="4" t="s">
        <v>286</v>
      </c>
      <c r="G222" s="4" t="s">
        <v>595</v>
      </c>
      <c r="H222" s="4" t="s">
        <v>484</v>
      </c>
      <c r="I222" s="5">
        <v>46023</v>
      </c>
      <c r="J222" s="4" t="s">
        <v>52</v>
      </c>
      <c r="M222" s="4">
        <v>-347</v>
      </c>
      <c r="O222" s="4" t="s">
        <v>817</v>
      </c>
      <c r="P222" s="4" t="s">
        <v>826</v>
      </c>
    </row>
    <row r="223" spans="1:19" s="4" customFormat="1" x14ac:dyDescent="0.25">
      <c r="A223" s="8">
        <v>928198692</v>
      </c>
      <c r="B223" s="8" t="str">
        <f t="shared" si="8"/>
        <v>92819869211</v>
      </c>
      <c r="C223" s="4" t="s">
        <v>487</v>
      </c>
      <c r="D223" s="4" t="s">
        <v>61</v>
      </c>
      <c r="E223" s="4">
        <v>21435997</v>
      </c>
      <c r="F223" s="4" t="s">
        <v>378</v>
      </c>
      <c r="G223" s="4" t="s">
        <v>595</v>
      </c>
      <c r="H223" s="4" t="s">
        <v>484</v>
      </c>
      <c r="I223" s="5">
        <v>46023</v>
      </c>
      <c r="J223" s="4" t="s">
        <v>52</v>
      </c>
      <c r="M223" s="4">
        <v>-347</v>
      </c>
      <c r="O223" s="4" t="s">
        <v>817</v>
      </c>
      <c r="P223" s="4" t="s">
        <v>826</v>
      </c>
    </row>
    <row r="224" spans="1:19" s="4" customFormat="1" x14ac:dyDescent="0.25">
      <c r="A224" s="8">
        <v>930179026</v>
      </c>
      <c r="B224" s="8" t="str">
        <f t="shared" si="8"/>
        <v>93017902611</v>
      </c>
      <c r="C224" s="4" t="s">
        <v>493</v>
      </c>
      <c r="D224" s="4" t="s">
        <v>141</v>
      </c>
      <c r="E224" s="4">
        <v>16865615</v>
      </c>
      <c r="F224" s="4" t="s">
        <v>143</v>
      </c>
      <c r="G224" s="4" t="s">
        <v>595</v>
      </c>
      <c r="H224" s="4" t="s">
        <v>484</v>
      </c>
      <c r="I224" s="5">
        <v>46023</v>
      </c>
      <c r="J224" s="4" t="s">
        <v>52</v>
      </c>
      <c r="M224" s="4">
        <v>-347</v>
      </c>
      <c r="O224" s="4" t="s">
        <v>817</v>
      </c>
      <c r="P224" s="4" t="s">
        <v>826</v>
      </c>
    </row>
    <row r="225" spans="1:16" s="4" customFormat="1" x14ac:dyDescent="0.25">
      <c r="A225" s="8">
        <v>930773109</v>
      </c>
      <c r="B225" s="8" t="str">
        <f t="shared" si="8"/>
        <v>93077310911</v>
      </c>
      <c r="C225" s="4" t="s">
        <v>495</v>
      </c>
      <c r="D225" s="4" t="s">
        <v>350</v>
      </c>
      <c r="E225" s="4">
        <v>21435997</v>
      </c>
      <c r="F225" s="4" t="s">
        <v>378</v>
      </c>
      <c r="G225" s="4" t="s">
        <v>595</v>
      </c>
      <c r="H225" s="4" t="s">
        <v>484</v>
      </c>
      <c r="I225" s="5">
        <v>46023</v>
      </c>
      <c r="J225" s="4" t="s">
        <v>52</v>
      </c>
      <c r="M225" s="4">
        <v>-347</v>
      </c>
      <c r="O225" s="4" t="s">
        <v>817</v>
      </c>
      <c r="P225" s="4" t="s">
        <v>826</v>
      </c>
    </row>
    <row r="226" spans="1:16" s="4" customFormat="1" x14ac:dyDescent="0.25">
      <c r="A226" s="8">
        <v>932826929</v>
      </c>
      <c r="B226" s="8" t="str">
        <f t="shared" si="8"/>
        <v>93282692911</v>
      </c>
      <c r="C226" s="4" t="s">
        <v>500</v>
      </c>
      <c r="D226" s="4" t="s">
        <v>350</v>
      </c>
      <c r="E226" s="4">
        <v>20003537</v>
      </c>
      <c r="F226" s="4" t="s">
        <v>464</v>
      </c>
      <c r="G226" s="4" t="s">
        <v>595</v>
      </c>
      <c r="H226" s="4" t="s">
        <v>484</v>
      </c>
      <c r="I226" s="5">
        <v>46023</v>
      </c>
      <c r="J226" s="4" t="s">
        <v>52</v>
      </c>
      <c r="M226" s="4">
        <v>-347</v>
      </c>
      <c r="O226" s="4" t="s">
        <v>817</v>
      </c>
      <c r="P226" s="4" t="s">
        <v>826</v>
      </c>
    </row>
    <row r="227" spans="1:16" s="4" customFormat="1" x14ac:dyDescent="0.25">
      <c r="A227" s="8">
        <v>939353500</v>
      </c>
      <c r="B227" s="8" t="str">
        <f t="shared" si="8"/>
        <v>93935350011</v>
      </c>
      <c r="C227" s="4" t="s">
        <v>505</v>
      </c>
      <c r="D227" s="4" t="s">
        <v>460</v>
      </c>
      <c r="E227" s="4">
        <v>16683808</v>
      </c>
      <c r="F227" s="4" t="s">
        <v>507</v>
      </c>
      <c r="G227" s="4" t="s">
        <v>595</v>
      </c>
      <c r="H227" s="4" t="s">
        <v>484</v>
      </c>
      <c r="I227" s="5">
        <v>46023</v>
      </c>
      <c r="J227" s="4" t="s">
        <v>52</v>
      </c>
      <c r="M227" s="4">
        <v>-347</v>
      </c>
      <c r="O227" s="4" t="s">
        <v>817</v>
      </c>
      <c r="P227" s="4" t="s">
        <v>826</v>
      </c>
    </row>
    <row r="228" spans="1:16" s="4" customFormat="1" x14ac:dyDescent="0.25">
      <c r="A228" s="8">
        <v>943440592</v>
      </c>
      <c r="B228" s="8" t="str">
        <f t="shared" si="8"/>
        <v>94344059211</v>
      </c>
      <c r="C228" s="4" t="s">
        <v>511</v>
      </c>
      <c r="D228" s="4" t="s">
        <v>108</v>
      </c>
      <c r="E228" s="4">
        <v>21435997</v>
      </c>
      <c r="F228" s="4" t="s">
        <v>378</v>
      </c>
      <c r="G228" s="4" t="s">
        <v>595</v>
      </c>
      <c r="H228" s="4" t="s">
        <v>484</v>
      </c>
      <c r="I228" s="5">
        <v>46023</v>
      </c>
      <c r="J228" s="4" t="s">
        <v>52</v>
      </c>
      <c r="M228" s="4">
        <v>-347</v>
      </c>
      <c r="O228" s="4" t="s">
        <v>817</v>
      </c>
      <c r="P228" s="4" t="s">
        <v>826</v>
      </c>
    </row>
    <row r="229" spans="1:16" s="4" customFormat="1" x14ac:dyDescent="0.25">
      <c r="A229" s="8">
        <v>943723547</v>
      </c>
      <c r="B229" s="8" t="str">
        <f t="shared" si="8"/>
        <v>94372354711</v>
      </c>
      <c r="C229" s="4" t="s">
        <v>513</v>
      </c>
      <c r="D229" s="4" t="s">
        <v>108</v>
      </c>
      <c r="E229" s="4">
        <v>21435997</v>
      </c>
      <c r="F229" s="4" t="s">
        <v>378</v>
      </c>
      <c r="G229" s="4" t="s">
        <v>595</v>
      </c>
      <c r="H229" s="4" t="s">
        <v>484</v>
      </c>
      <c r="I229" s="5">
        <v>46023</v>
      </c>
      <c r="J229" s="4" t="s">
        <v>52</v>
      </c>
      <c r="M229" s="4">
        <v>-347</v>
      </c>
      <c r="O229" s="4" t="s">
        <v>817</v>
      </c>
      <c r="P229" s="4" t="s">
        <v>826</v>
      </c>
    </row>
    <row r="230" spans="1:16" s="4" customFormat="1" x14ac:dyDescent="0.25">
      <c r="A230" s="8">
        <v>956030204</v>
      </c>
      <c r="B230" s="8" t="str">
        <f t="shared" si="8"/>
        <v>95603020411</v>
      </c>
      <c r="C230" s="4" t="s">
        <v>525</v>
      </c>
      <c r="D230" s="4" t="s">
        <v>350</v>
      </c>
      <c r="E230" s="4">
        <v>19586992</v>
      </c>
      <c r="F230" s="4" t="s">
        <v>437</v>
      </c>
      <c r="G230" s="4" t="s">
        <v>595</v>
      </c>
      <c r="H230" s="4" t="s">
        <v>484</v>
      </c>
      <c r="I230" s="5">
        <v>46023</v>
      </c>
      <c r="J230" s="4" t="s">
        <v>52</v>
      </c>
      <c r="M230" s="4">
        <v>-347</v>
      </c>
      <c r="O230" s="4" t="s">
        <v>817</v>
      </c>
      <c r="P230" s="4" t="s">
        <v>826</v>
      </c>
    </row>
    <row r="231" spans="1:16" s="4" customFormat="1" x14ac:dyDescent="0.25">
      <c r="A231" s="8">
        <v>960900496</v>
      </c>
      <c r="B231" s="8" t="str">
        <f t="shared" si="8"/>
        <v>96090049611</v>
      </c>
      <c r="C231" s="4" t="s">
        <v>527</v>
      </c>
      <c r="D231" s="4" t="s">
        <v>55</v>
      </c>
      <c r="E231" s="4">
        <v>18828278</v>
      </c>
      <c r="F231" s="4" t="s">
        <v>229</v>
      </c>
      <c r="G231" s="4" t="s">
        <v>595</v>
      </c>
      <c r="H231" s="4" t="s">
        <v>484</v>
      </c>
      <c r="I231" s="5">
        <v>46023</v>
      </c>
      <c r="J231" s="4" t="s">
        <v>52</v>
      </c>
      <c r="M231" s="4">
        <v>-347</v>
      </c>
      <c r="O231" s="4" t="s">
        <v>817</v>
      </c>
      <c r="P231" s="4" t="s">
        <v>826</v>
      </c>
    </row>
    <row r="232" spans="1:16" s="4" customFormat="1" x14ac:dyDescent="0.25">
      <c r="A232" s="8">
        <v>961535224</v>
      </c>
      <c r="B232" s="8" t="str">
        <f t="shared" si="8"/>
        <v>96153522411</v>
      </c>
      <c r="C232" s="4" t="s">
        <v>529</v>
      </c>
      <c r="D232" s="4" t="s">
        <v>55</v>
      </c>
      <c r="E232" s="4">
        <v>8244481</v>
      </c>
      <c r="F232" s="4" t="s">
        <v>404</v>
      </c>
      <c r="G232" s="4" t="s">
        <v>595</v>
      </c>
      <c r="H232" s="4" t="s">
        <v>484</v>
      </c>
      <c r="I232" s="5">
        <v>46023</v>
      </c>
      <c r="J232" s="4" t="s">
        <v>52</v>
      </c>
      <c r="M232" s="4">
        <v>-347</v>
      </c>
      <c r="O232" s="4" t="s">
        <v>817</v>
      </c>
      <c r="P232" s="4" t="s">
        <v>826</v>
      </c>
    </row>
    <row r="233" spans="1:16" s="4" customFormat="1" x14ac:dyDescent="0.25">
      <c r="A233" s="8">
        <v>962362898</v>
      </c>
      <c r="B233" s="8" t="str">
        <f t="shared" si="8"/>
        <v>96236289811</v>
      </c>
      <c r="C233" s="4" t="s">
        <v>531</v>
      </c>
      <c r="D233" s="4" t="s">
        <v>125</v>
      </c>
      <c r="E233" s="4">
        <v>16912722</v>
      </c>
      <c r="F233" s="4" t="s">
        <v>98</v>
      </c>
      <c r="G233" s="4" t="s">
        <v>595</v>
      </c>
      <c r="H233" s="4" t="s">
        <v>484</v>
      </c>
      <c r="I233" s="5">
        <v>46023</v>
      </c>
      <c r="J233" s="4" t="s">
        <v>52</v>
      </c>
      <c r="M233" s="4">
        <v>-347</v>
      </c>
      <c r="O233" s="4" t="s">
        <v>817</v>
      </c>
      <c r="P233" s="4" t="s">
        <v>826</v>
      </c>
    </row>
    <row r="234" spans="1:16" s="4" customFormat="1" x14ac:dyDescent="0.25">
      <c r="A234" s="8">
        <v>967878737</v>
      </c>
      <c r="B234" s="8" t="str">
        <f t="shared" si="8"/>
        <v>96787873711</v>
      </c>
      <c r="C234" s="4" t="s">
        <v>538</v>
      </c>
      <c r="D234" s="4" t="s">
        <v>120</v>
      </c>
      <c r="E234" s="4">
        <v>21564088</v>
      </c>
      <c r="F234" s="4" t="s">
        <v>540</v>
      </c>
      <c r="G234" s="4" t="s">
        <v>595</v>
      </c>
      <c r="H234" s="4" t="s">
        <v>484</v>
      </c>
      <c r="I234" s="5">
        <v>46023</v>
      </c>
      <c r="J234" s="4" t="s">
        <v>52</v>
      </c>
      <c r="M234" s="4">
        <v>-347</v>
      </c>
      <c r="O234" s="4" t="s">
        <v>817</v>
      </c>
      <c r="P234" s="4" t="s">
        <v>826</v>
      </c>
    </row>
    <row r="235" spans="1:16" s="4" customFormat="1" x14ac:dyDescent="0.25">
      <c r="A235" s="8">
        <v>967982621</v>
      </c>
      <c r="B235" s="8" t="str">
        <f t="shared" si="8"/>
        <v>96798262111</v>
      </c>
      <c r="C235" s="4" t="s">
        <v>542</v>
      </c>
      <c r="D235" s="4" t="s">
        <v>134</v>
      </c>
      <c r="E235" s="4">
        <v>19645587</v>
      </c>
      <c r="F235" s="4" t="s">
        <v>127</v>
      </c>
      <c r="G235" s="4" t="s">
        <v>595</v>
      </c>
      <c r="H235" s="4" t="s">
        <v>484</v>
      </c>
      <c r="I235" s="5">
        <v>46023</v>
      </c>
      <c r="J235" s="4" t="s">
        <v>52</v>
      </c>
      <c r="M235" s="4">
        <v>-347</v>
      </c>
      <c r="O235" s="4" t="s">
        <v>817</v>
      </c>
      <c r="P235" s="4" t="s">
        <v>826</v>
      </c>
    </row>
    <row r="236" spans="1:16" s="4" customFormat="1" x14ac:dyDescent="0.25">
      <c r="A236" s="8">
        <v>970254922</v>
      </c>
      <c r="B236" s="8" t="str">
        <f t="shared" si="8"/>
        <v>97025492211</v>
      </c>
      <c r="C236" s="4" t="s">
        <v>544</v>
      </c>
      <c r="D236" s="4" t="s">
        <v>55</v>
      </c>
      <c r="E236" s="4">
        <v>2158366</v>
      </c>
      <c r="F236" s="4" t="s">
        <v>323</v>
      </c>
      <c r="G236" s="4" t="s">
        <v>595</v>
      </c>
      <c r="H236" s="4" t="s">
        <v>484</v>
      </c>
      <c r="I236" s="5">
        <v>46023</v>
      </c>
      <c r="J236" s="4" t="s">
        <v>52</v>
      </c>
      <c r="M236" s="4">
        <v>-347</v>
      </c>
      <c r="O236" s="4" t="s">
        <v>817</v>
      </c>
      <c r="P236" s="4" t="s">
        <v>826</v>
      </c>
    </row>
    <row r="237" spans="1:16" s="4" customFormat="1" x14ac:dyDescent="0.25">
      <c r="A237" s="8">
        <v>970893671</v>
      </c>
      <c r="B237" s="8" t="str">
        <f t="shared" si="8"/>
        <v>97089367111</v>
      </c>
      <c r="C237" s="4" t="s">
        <v>546</v>
      </c>
      <c r="D237" s="4" t="s">
        <v>125</v>
      </c>
      <c r="E237" s="4">
        <v>16912722</v>
      </c>
      <c r="F237" s="4" t="s">
        <v>98</v>
      </c>
      <c r="G237" s="4" t="s">
        <v>595</v>
      </c>
      <c r="H237" s="4" t="s">
        <v>484</v>
      </c>
      <c r="I237" s="5">
        <v>46023</v>
      </c>
      <c r="J237" s="4" t="s">
        <v>52</v>
      </c>
      <c r="M237" s="4">
        <v>-347</v>
      </c>
      <c r="O237" s="4" t="s">
        <v>817</v>
      </c>
      <c r="P237" s="4" t="s">
        <v>826</v>
      </c>
    </row>
    <row r="238" spans="1:16" s="4" customFormat="1" x14ac:dyDescent="0.25">
      <c r="A238" s="8">
        <v>972530567</v>
      </c>
      <c r="B238" s="8" t="str">
        <f t="shared" si="8"/>
        <v>97253056711</v>
      </c>
      <c r="C238" s="4" t="s">
        <v>550</v>
      </c>
      <c r="D238" s="4" t="s">
        <v>120</v>
      </c>
      <c r="E238" s="4">
        <v>18142208</v>
      </c>
      <c r="F238" s="4" t="s">
        <v>122</v>
      </c>
      <c r="G238" s="4" t="s">
        <v>595</v>
      </c>
      <c r="H238" s="4" t="s">
        <v>484</v>
      </c>
      <c r="I238" s="5">
        <v>46023</v>
      </c>
      <c r="J238" s="4" t="s">
        <v>52</v>
      </c>
      <c r="M238" s="4">
        <v>-347</v>
      </c>
      <c r="O238" s="4" t="s">
        <v>817</v>
      </c>
      <c r="P238" s="4" t="s">
        <v>826</v>
      </c>
    </row>
    <row r="239" spans="1:16" s="4" customFormat="1" x14ac:dyDescent="0.25">
      <c r="A239" s="8">
        <v>973756831</v>
      </c>
      <c r="B239" s="8" t="str">
        <f t="shared" si="8"/>
        <v>97375683111</v>
      </c>
      <c r="C239" s="4" t="s">
        <v>552</v>
      </c>
      <c r="D239" s="4" t="s">
        <v>55</v>
      </c>
      <c r="E239" s="4">
        <v>8405446</v>
      </c>
      <c r="F239" s="4" t="s">
        <v>554</v>
      </c>
      <c r="G239" s="4" t="s">
        <v>595</v>
      </c>
      <c r="H239" s="4" t="s">
        <v>484</v>
      </c>
      <c r="I239" s="5">
        <v>46023</v>
      </c>
      <c r="J239" s="4" t="s">
        <v>52</v>
      </c>
      <c r="M239" s="4">
        <v>-347</v>
      </c>
      <c r="O239" s="4" t="s">
        <v>817</v>
      </c>
      <c r="P239" s="4" t="s">
        <v>826</v>
      </c>
    </row>
    <row r="240" spans="1:16" s="4" customFormat="1" x14ac:dyDescent="0.25">
      <c r="A240" s="8">
        <v>975511320</v>
      </c>
      <c r="B240" s="8" t="str">
        <f t="shared" si="8"/>
        <v>97551132011</v>
      </c>
      <c r="C240" s="4" t="s">
        <v>556</v>
      </c>
      <c r="D240" s="4" t="s">
        <v>134</v>
      </c>
      <c r="E240" s="4">
        <v>16849453</v>
      </c>
      <c r="F240" s="4" t="s">
        <v>136</v>
      </c>
      <c r="G240" s="4" t="s">
        <v>595</v>
      </c>
      <c r="H240" s="4" t="s">
        <v>484</v>
      </c>
      <c r="I240" s="5">
        <v>46023</v>
      </c>
      <c r="J240" s="4" t="s">
        <v>52</v>
      </c>
      <c r="M240" s="4">
        <v>-347</v>
      </c>
      <c r="O240" s="4" t="s">
        <v>817</v>
      </c>
      <c r="P240" s="4" t="s">
        <v>826</v>
      </c>
    </row>
    <row r="241" spans="1:19" s="4" customFormat="1" x14ac:dyDescent="0.25">
      <c r="A241" s="8">
        <v>979478312</v>
      </c>
      <c r="B241" s="8" t="str">
        <f t="shared" si="8"/>
        <v>97947831211</v>
      </c>
      <c r="C241" s="4" t="s">
        <v>558</v>
      </c>
      <c r="D241" s="4" t="s">
        <v>108</v>
      </c>
      <c r="E241" s="4">
        <v>21435997</v>
      </c>
      <c r="F241" s="4" t="s">
        <v>378</v>
      </c>
      <c r="G241" s="4" t="s">
        <v>595</v>
      </c>
      <c r="H241" s="4" t="s">
        <v>484</v>
      </c>
      <c r="I241" s="5">
        <v>46023</v>
      </c>
      <c r="J241" s="4" t="s">
        <v>52</v>
      </c>
      <c r="M241" s="4">
        <v>-347</v>
      </c>
      <c r="O241" s="4" t="s">
        <v>817</v>
      </c>
      <c r="P241" s="4" t="s">
        <v>826</v>
      </c>
    </row>
    <row r="242" spans="1:19" s="4" customFormat="1" x14ac:dyDescent="0.25">
      <c r="A242" s="8">
        <v>979600179</v>
      </c>
      <c r="B242" s="8" t="str">
        <f t="shared" si="8"/>
        <v>97960017911</v>
      </c>
      <c r="C242" s="4" t="s">
        <v>560</v>
      </c>
      <c r="D242" s="4" t="s">
        <v>61</v>
      </c>
      <c r="E242" s="4">
        <v>21435997</v>
      </c>
      <c r="F242" s="4" t="s">
        <v>378</v>
      </c>
      <c r="G242" s="4" t="s">
        <v>595</v>
      </c>
      <c r="H242" s="4" t="s">
        <v>484</v>
      </c>
      <c r="I242" s="5">
        <v>46023</v>
      </c>
      <c r="J242" s="4" t="s">
        <v>52</v>
      </c>
      <c r="M242" s="4">
        <v>-347</v>
      </c>
      <c r="O242" s="4" t="s">
        <v>817</v>
      </c>
      <c r="P242" s="4" t="s">
        <v>826</v>
      </c>
    </row>
    <row r="243" spans="1:19" s="4" customFormat="1" x14ac:dyDescent="0.25">
      <c r="A243" s="8">
        <v>982804488</v>
      </c>
      <c r="B243" s="8" t="str">
        <f t="shared" si="8"/>
        <v>98280448811</v>
      </c>
      <c r="C243" s="4" t="s">
        <v>565</v>
      </c>
      <c r="D243" s="4" t="s">
        <v>55</v>
      </c>
      <c r="E243" s="4">
        <v>16865615</v>
      </c>
      <c r="F243" s="4" t="s">
        <v>143</v>
      </c>
      <c r="G243" s="4" t="s">
        <v>595</v>
      </c>
      <c r="H243" s="4" t="s">
        <v>484</v>
      </c>
      <c r="I243" s="5">
        <v>46023</v>
      </c>
      <c r="J243" s="4" t="s">
        <v>52</v>
      </c>
      <c r="M243" s="4">
        <v>-347</v>
      </c>
      <c r="O243" s="4" t="s">
        <v>817</v>
      </c>
      <c r="P243" s="4" t="s">
        <v>826</v>
      </c>
    </row>
    <row r="244" spans="1:19" s="4" customFormat="1" x14ac:dyDescent="0.25">
      <c r="A244" s="8">
        <v>994055549</v>
      </c>
      <c r="B244" s="8" t="str">
        <f t="shared" si="8"/>
        <v>99405554911</v>
      </c>
      <c r="C244" s="4" t="s">
        <v>573</v>
      </c>
      <c r="D244" s="4" t="s">
        <v>55</v>
      </c>
      <c r="E244" s="4">
        <v>16865615</v>
      </c>
      <c r="F244" s="4" t="s">
        <v>143</v>
      </c>
      <c r="G244" s="4" t="s">
        <v>595</v>
      </c>
      <c r="H244" s="4" t="s">
        <v>484</v>
      </c>
      <c r="I244" s="5">
        <v>46023</v>
      </c>
      <c r="J244" s="4" t="s">
        <v>52</v>
      </c>
      <c r="M244" s="4">
        <v>-347</v>
      </c>
      <c r="O244" s="4" t="s">
        <v>817</v>
      </c>
      <c r="P244" s="4" t="s">
        <v>826</v>
      </c>
    </row>
    <row r="245" spans="1:19" s="4" customFormat="1" x14ac:dyDescent="0.25">
      <c r="A245" s="8">
        <v>926371909</v>
      </c>
      <c r="B245" s="8" t="str">
        <f t="shared" si="8"/>
        <v>92637190911</v>
      </c>
      <c r="C245" s="4" t="s">
        <v>476</v>
      </c>
      <c r="D245" s="4" t="s">
        <v>477</v>
      </c>
      <c r="E245" s="4">
        <v>9079571</v>
      </c>
      <c r="F245" s="4" t="s">
        <v>479</v>
      </c>
      <c r="G245" s="4" t="s">
        <v>595</v>
      </c>
      <c r="H245" s="4" t="s">
        <v>484</v>
      </c>
      <c r="I245" s="5">
        <v>46082</v>
      </c>
      <c r="J245" s="4" t="s">
        <v>52</v>
      </c>
      <c r="M245" s="4">
        <v>-289.17</v>
      </c>
      <c r="O245" s="4" t="s">
        <v>817</v>
      </c>
      <c r="P245" s="4" t="s">
        <v>827</v>
      </c>
      <c r="S245" s="4">
        <f>347/12*10</f>
        <v>289.16666666666669</v>
      </c>
    </row>
    <row r="246" spans="1:19" s="4" customFormat="1" x14ac:dyDescent="0.25">
      <c r="A246" s="8">
        <v>927977925</v>
      </c>
      <c r="B246" s="8" t="str">
        <f t="shared" si="8"/>
        <v>92797792511</v>
      </c>
      <c r="C246" s="4" t="s">
        <v>481</v>
      </c>
      <c r="D246" s="4" t="s">
        <v>55</v>
      </c>
      <c r="E246" s="4">
        <v>9213293</v>
      </c>
      <c r="F246" s="4" t="s">
        <v>57</v>
      </c>
      <c r="G246" s="4" t="s">
        <v>49</v>
      </c>
      <c r="H246" s="4" t="s">
        <v>484</v>
      </c>
      <c r="I246" s="5">
        <v>46113</v>
      </c>
      <c r="J246" s="4" t="s">
        <v>52</v>
      </c>
      <c r="K246" s="6">
        <v>260.25</v>
      </c>
      <c r="L246" s="4">
        <v>1</v>
      </c>
      <c r="M246" s="6">
        <v>260.25</v>
      </c>
      <c r="N246" s="4" t="s">
        <v>485</v>
      </c>
      <c r="O246" s="4" t="s">
        <v>817</v>
      </c>
      <c r="P246" s="4" t="s">
        <v>833</v>
      </c>
      <c r="S246" s="4">
        <f>347/12*9</f>
        <v>260.25</v>
      </c>
    </row>
    <row r="247" spans="1:19" s="4" customFormat="1" x14ac:dyDescent="0.25">
      <c r="A247" s="8">
        <v>955290691</v>
      </c>
      <c r="B247" s="8" t="str">
        <f t="shared" si="8"/>
        <v>95529069111</v>
      </c>
      <c r="C247" s="4" t="s">
        <v>521</v>
      </c>
      <c r="D247" s="4" t="s">
        <v>55</v>
      </c>
      <c r="E247" s="4">
        <v>19200754</v>
      </c>
      <c r="F247" s="4" t="s">
        <v>266</v>
      </c>
      <c r="G247" s="4" t="s">
        <v>49</v>
      </c>
      <c r="H247" s="4" t="s">
        <v>484</v>
      </c>
      <c r="I247" s="5">
        <v>46054</v>
      </c>
      <c r="J247" s="4" t="s">
        <v>52</v>
      </c>
      <c r="K247" s="6">
        <v>318.08</v>
      </c>
      <c r="L247" s="4">
        <v>1</v>
      </c>
      <c r="M247" s="6">
        <v>318.08</v>
      </c>
      <c r="N247" s="4" t="s">
        <v>386</v>
      </c>
      <c r="O247" s="4" t="s">
        <v>817</v>
      </c>
      <c r="P247" s="4" t="s">
        <v>834</v>
      </c>
    </row>
    <row r="248" spans="1:19" s="4" customFormat="1" x14ac:dyDescent="0.25">
      <c r="A248" s="8">
        <v>981059533</v>
      </c>
      <c r="B248" s="8" t="str">
        <f t="shared" si="8"/>
        <v>98105953311</v>
      </c>
      <c r="C248" s="4" t="s">
        <v>562</v>
      </c>
      <c r="D248" s="4" t="s">
        <v>55</v>
      </c>
      <c r="E248" s="4">
        <v>18754354</v>
      </c>
      <c r="F248" s="4" t="s">
        <v>63</v>
      </c>
      <c r="G248" s="4" t="s">
        <v>49</v>
      </c>
      <c r="H248" s="4" t="s">
        <v>484</v>
      </c>
      <c r="I248" s="5">
        <v>46054</v>
      </c>
      <c r="J248" s="4" t="s">
        <v>52</v>
      </c>
      <c r="K248" s="6">
        <v>318.08</v>
      </c>
      <c r="L248" s="4">
        <v>1</v>
      </c>
      <c r="M248" s="6">
        <v>318.08</v>
      </c>
      <c r="N248" s="4" t="s">
        <v>386</v>
      </c>
      <c r="O248" s="4" t="s">
        <v>817</v>
      </c>
      <c r="P248" s="4" t="s">
        <v>834</v>
      </c>
    </row>
    <row r="249" spans="1:19" s="4" customFormat="1" x14ac:dyDescent="0.25">
      <c r="A249" s="8">
        <v>995516659</v>
      </c>
      <c r="B249" s="8" t="str">
        <f t="shared" si="8"/>
        <v>99551665911</v>
      </c>
      <c r="C249" s="4" t="s">
        <v>576</v>
      </c>
      <c r="D249" s="4" t="s">
        <v>55</v>
      </c>
      <c r="E249" s="4">
        <v>19200754</v>
      </c>
      <c r="F249" s="4" t="s">
        <v>266</v>
      </c>
      <c r="G249" s="4" t="s">
        <v>49</v>
      </c>
      <c r="H249" s="4" t="s">
        <v>484</v>
      </c>
      <c r="I249" s="5">
        <v>46054</v>
      </c>
      <c r="J249" s="4" t="s">
        <v>52</v>
      </c>
      <c r="K249" s="6">
        <v>318.08</v>
      </c>
      <c r="L249" s="4">
        <v>1</v>
      </c>
      <c r="M249" s="6">
        <v>318.08</v>
      </c>
      <c r="N249" s="4" t="s">
        <v>386</v>
      </c>
      <c r="O249" s="4" t="s">
        <v>817</v>
      </c>
      <c r="P249" s="4" t="s">
        <v>834</v>
      </c>
    </row>
    <row r="250" spans="1:19" s="4" customFormat="1" x14ac:dyDescent="0.25">
      <c r="A250" s="7">
        <v>901566459</v>
      </c>
      <c r="B250" s="7" t="str">
        <f t="shared" ref="B250:B266" si="9">CONCATENATE(A250,"OVR")</f>
        <v>901566459OVR</v>
      </c>
      <c r="C250" t="s">
        <v>435</v>
      </c>
      <c r="D250" t="s">
        <v>55</v>
      </c>
      <c r="E250">
        <v>20411454</v>
      </c>
      <c r="F250" t="s">
        <v>840</v>
      </c>
      <c r="G250" t="s">
        <v>595</v>
      </c>
      <c r="H250" t="s">
        <v>523</v>
      </c>
      <c r="I250" s="1">
        <v>46023</v>
      </c>
      <c r="J250" t="s">
        <v>52</v>
      </c>
      <c r="K250"/>
      <c r="L250"/>
      <c r="M250">
        <v>-72</v>
      </c>
      <c r="N250"/>
      <c r="O250" t="s">
        <v>814</v>
      </c>
      <c r="P250"/>
      <c r="Q250"/>
      <c r="R250"/>
      <c r="S250"/>
    </row>
    <row r="251" spans="1:19" s="4" customFormat="1" x14ac:dyDescent="0.25">
      <c r="A251" s="7">
        <v>908745437</v>
      </c>
      <c r="B251" s="7" t="str">
        <f t="shared" si="9"/>
        <v>908745437OVR</v>
      </c>
      <c r="C251" t="s">
        <v>451</v>
      </c>
      <c r="D251" t="s">
        <v>55</v>
      </c>
      <c r="E251">
        <v>20411454</v>
      </c>
      <c r="F251" t="s">
        <v>840</v>
      </c>
      <c r="G251" t="s">
        <v>595</v>
      </c>
      <c r="H251" t="s">
        <v>523</v>
      </c>
      <c r="I251" s="1">
        <v>46023</v>
      </c>
      <c r="J251" t="s">
        <v>52</v>
      </c>
      <c r="K251"/>
      <c r="L251"/>
      <c r="M251">
        <v>-72</v>
      </c>
      <c r="N251"/>
      <c r="O251" t="s">
        <v>814</v>
      </c>
      <c r="P251"/>
      <c r="Q251"/>
      <c r="R251"/>
      <c r="S251"/>
    </row>
    <row r="252" spans="1:19" s="4" customFormat="1" x14ac:dyDescent="0.25">
      <c r="A252" s="7">
        <v>935295130</v>
      </c>
      <c r="B252" s="7" t="str">
        <f t="shared" si="9"/>
        <v>935295130OVR</v>
      </c>
      <c r="C252" t="s">
        <v>663</v>
      </c>
      <c r="D252" t="s">
        <v>66</v>
      </c>
      <c r="E252">
        <v>20411454</v>
      </c>
      <c r="F252" t="s">
        <v>840</v>
      </c>
      <c r="G252" t="s">
        <v>595</v>
      </c>
      <c r="H252" t="s">
        <v>523</v>
      </c>
      <c r="I252" s="1">
        <v>46023</v>
      </c>
      <c r="J252" t="s">
        <v>52</v>
      </c>
      <c r="K252"/>
      <c r="L252"/>
      <c r="M252">
        <v>-72</v>
      </c>
      <c r="N252"/>
      <c r="O252" t="s">
        <v>814</v>
      </c>
      <c r="P252"/>
      <c r="Q252"/>
      <c r="R252"/>
      <c r="S252"/>
    </row>
    <row r="253" spans="1:19" s="4" customFormat="1" x14ac:dyDescent="0.25">
      <c r="A253" s="7">
        <v>982804488</v>
      </c>
      <c r="B253" s="7" t="str">
        <f t="shared" si="9"/>
        <v>982804488OVR</v>
      </c>
      <c r="C253" t="s">
        <v>565</v>
      </c>
      <c r="D253" t="s">
        <v>55</v>
      </c>
      <c r="E253">
        <v>20411454</v>
      </c>
      <c r="F253" t="s">
        <v>840</v>
      </c>
      <c r="G253" t="s">
        <v>595</v>
      </c>
      <c r="H253" t="s">
        <v>523</v>
      </c>
      <c r="I253" s="1">
        <v>46023</v>
      </c>
      <c r="J253" t="s">
        <v>52</v>
      </c>
      <c r="K253"/>
      <c r="L253"/>
      <c r="M253">
        <v>-72</v>
      </c>
      <c r="N253"/>
      <c r="O253" t="s">
        <v>814</v>
      </c>
      <c r="P253"/>
      <c r="Q253"/>
      <c r="R253"/>
      <c r="S253"/>
    </row>
    <row r="254" spans="1:19" s="4" customFormat="1" x14ac:dyDescent="0.25">
      <c r="A254" s="7">
        <v>989382891</v>
      </c>
      <c r="B254" s="7" t="str">
        <f t="shared" si="9"/>
        <v>989382891OVR</v>
      </c>
      <c r="C254" t="s">
        <v>569</v>
      </c>
      <c r="D254" t="s">
        <v>55</v>
      </c>
      <c r="E254">
        <v>20411454</v>
      </c>
      <c r="F254" t="s">
        <v>840</v>
      </c>
      <c r="G254" t="s">
        <v>595</v>
      </c>
      <c r="H254" t="s">
        <v>523</v>
      </c>
      <c r="I254" s="1">
        <v>46023</v>
      </c>
      <c r="J254" t="s">
        <v>52</v>
      </c>
      <c r="K254"/>
      <c r="L254"/>
      <c r="M254">
        <v>-72</v>
      </c>
      <c r="N254"/>
      <c r="O254" t="s">
        <v>814</v>
      </c>
      <c r="P254"/>
      <c r="Q254"/>
      <c r="R254"/>
      <c r="S254"/>
    </row>
    <row r="255" spans="1:19" s="4" customFormat="1" x14ac:dyDescent="0.25">
      <c r="A255" s="7">
        <v>994055549</v>
      </c>
      <c r="B255" s="7" t="str">
        <f t="shared" si="9"/>
        <v>994055549OVR</v>
      </c>
      <c r="C255" t="s">
        <v>573</v>
      </c>
      <c r="D255" t="s">
        <v>55</v>
      </c>
      <c r="E255">
        <v>20411454</v>
      </c>
      <c r="F255" t="s">
        <v>840</v>
      </c>
      <c r="G255" t="s">
        <v>595</v>
      </c>
      <c r="H255" t="s">
        <v>523</v>
      </c>
      <c r="I255" s="1">
        <v>46023</v>
      </c>
      <c r="J255" t="s">
        <v>52</v>
      </c>
      <c r="K255"/>
      <c r="L255"/>
      <c r="M255">
        <v>-72</v>
      </c>
      <c r="N255"/>
      <c r="O255" t="s">
        <v>814</v>
      </c>
      <c r="P255"/>
      <c r="Q255"/>
      <c r="R255"/>
      <c r="S255"/>
    </row>
    <row r="256" spans="1:19" s="4" customFormat="1" x14ac:dyDescent="0.25">
      <c r="A256" s="7">
        <v>967298395</v>
      </c>
      <c r="B256" s="7" t="str">
        <f t="shared" si="9"/>
        <v>967298395OVR</v>
      </c>
      <c r="C256" t="s">
        <v>533</v>
      </c>
      <c r="D256" t="s">
        <v>55</v>
      </c>
      <c r="E256">
        <v>20411454</v>
      </c>
      <c r="F256" t="s">
        <v>840</v>
      </c>
      <c r="G256" t="s">
        <v>49</v>
      </c>
      <c r="H256" t="s">
        <v>536</v>
      </c>
      <c r="I256" s="1">
        <v>46054</v>
      </c>
      <c r="J256" t="s">
        <v>52</v>
      </c>
      <c r="K256" s="2">
        <v>45.83</v>
      </c>
      <c r="L256">
        <v>1</v>
      </c>
      <c r="M256" s="2">
        <v>45.83</v>
      </c>
      <c r="N256" t="s">
        <v>386</v>
      </c>
      <c r="O256" t="s">
        <v>814</v>
      </c>
      <c r="P256"/>
      <c r="Q256"/>
      <c r="R256"/>
      <c r="S256"/>
    </row>
    <row r="257" spans="1:19" s="4" customFormat="1" x14ac:dyDescent="0.25">
      <c r="A257" s="7">
        <v>982804488</v>
      </c>
      <c r="B257" s="7" t="str">
        <f t="shared" si="9"/>
        <v>982804488OVR</v>
      </c>
      <c r="C257" t="s">
        <v>565</v>
      </c>
      <c r="D257" t="s">
        <v>55</v>
      </c>
      <c r="E257">
        <v>20411454</v>
      </c>
      <c r="F257" t="s">
        <v>840</v>
      </c>
      <c r="G257" t="s">
        <v>49</v>
      </c>
      <c r="H257" t="s">
        <v>536</v>
      </c>
      <c r="I257" s="1">
        <v>46054</v>
      </c>
      <c r="J257" t="s">
        <v>52</v>
      </c>
      <c r="K257" s="2">
        <v>45.83</v>
      </c>
      <c r="L257">
        <v>1</v>
      </c>
      <c r="M257" s="2">
        <v>45.83</v>
      </c>
      <c r="N257" t="s">
        <v>386</v>
      </c>
      <c r="O257" t="s">
        <v>814</v>
      </c>
      <c r="P257"/>
      <c r="Q257"/>
      <c r="R257"/>
      <c r="S257"/>
    </row>
    <row r="258" spans="1:19" s="4" customFormat="1" x14ac:dyDescent="0.25">
      <c r="A258" s="7">
        <v>994055549</v>
      </c>
      <c r="B258" s="7" t="str">
        <f t="shared" si="9"/>
        <v>994055549OVR</v>
      </c>
      <c r="C258" t="s">
        <v>573</v>
      </c>
      <c r="D258" t="s">
        <v>55</v>
      </c>
      <c r="E258">
        <v>20411454</v>
      </c>
      <c r="F258" t="s">
        <v>840</v>
      </c>
      <c r="G258" t="s">
        <v>49</v>
      </c>
      <c r="H258" t="s">
        <v>536</v>
      </c>
      <c r="I258" s="1">
        <v>46054</v>
      </c>
      <c r="J258" t="s">
        <v>52</v>
      </c>
      <c r="K258" s="2">
        <v>45.83</v>
      </c>
      <c r="L258">
        <v>1</v>
      </c>
      <c r="M258" s="2">
        <v>45.83</v>
      </c>
      <c r="N258" t="s">
        <v>386</v>
      </c>
      <c r="O258" t="s">
        <v>814</v>
      </c>
      <c r="P258"/>
      <c r="Q258"/>
      <c r="R258"/>
      <c r="S258"/>
    </row>
    <row r="259" spans="1:19" s="4" customFormat="1" x14ac:dyDescent="0.25">
      <c r="A259" s="7">
        <v>996231312</v>
      </c>
      <c r="B259" s="7" t="str">
        <f t="shared" si="9"/>
        <v>996231312OVR</v>
      </c>
      <c r="C259" t="s">
        <v>579</v>
      </c>
      <c r="D259" t="s">
        <v>66</v>
      </c>
      <c r="E259">
        <v>20411454</v>
      </c>
      <c r="F259" t="s">
        <v>840</v>
      </c>
      <c r="G259" t="s">
        <v>49</v>
      </c>
      <c r="H259" t="s">
        <v>536</v>
      </c>
      <c r="I259" s="1">
        <v>46023</v>
      </c>
      <c r="J259" t="s">
        <v>52</v>
      </c>
      <c r="K259" s="2">
        <v>50</v>
      </c>
      <c r="L259">
        <v>1</v>
      </c>
      <c r="M259" s="2">
        <v>50</v>
      </c>
      <c r="N259" t="s">
        <v>439</v>
      </c>
      <c r="O259" t="s">
        <v>814</v>
      </c>
      <c r="P259"/>
      <c r="Q259"/>
      <c r="R259"/>
      <c r="S259"/>
    </row>
    <row r="260" spans="1:19" s="4" customFormat="1" x14ac:dyDescent="0.25">
      <c r="A260" s="7">
        <v>955290691</v>
      </c>
      <c r="B260" s="7" t="str">
        <f t="shared" si="9"/>
        <v>955290691OVR</v>
      </c>
      <c r="C260" t="s">
        <v>521</v>
      </c>
      <c r="D260" t="s">
        <v>55</v>
      </c>
      <c r="E260">
        <v>20411454</v>
      </c>
      <c r="F260" t="s">
        <v>840</v>
      </c>
      <c r="G260" t="s">
        <v>49</v>
      </c>
      <c r="H260" t="s">
        <v>523</v>
      </c>
      <c r="I260" s="1">
        <v>46054</v>
      </c>
      <c r="J260" t="s">
        <v>52</v>
      </c>
      <c r="K260" s="2">
        <v>66</v>
      </c>
      <c r="L260">
        <v>1</v>
      </c>
      <c r="M260" s="2">
        <v>66</v>
      </c>
      <c r="N260" t="s">
        <v>386</v>
      </c>
      <c r="O260" t="s">
        <v>814</v>
      </c>
      <c r="P260"/>
      <c r="Q260"/>
      <c r="R260"/>
      <c r="S260"/>
    </row>
    <row r="261" spans="1:19" s="4" customFormat="1" x14ac:dyDescent="0.25">
      <c r="A261" s="7">
        <v>981059533</v>
      </c>
      <c r="B261" s="7" t="str">
        <f t="shared" si="9"/>
        <v>981059533OVR</v>
      </c>
      <c r="C261" t="s">
        <v>562</v>
      </c>
      <c r="D261" t="s">
        <v>55</v>
      </c>
      <c r="E261">
        <v>20411454</v>
      </c>
      <c r="F261" t="s">
        <v>840</v>
      </c>
      <c r="G261" t="s">
        <v>49</v>
      </c>
      <c r="H261" t="s">
        <v>523</v>
      </c>
      <c r="I261" s="1">
        <v>46054</v>
      </c>
      <c r="J261" t="s">
        <v>52</v>
      </c>
      <c r="K261" s="2">
        <v>66</v>
      </c>
      <c r="L261">
        <v>1</v>
      </c>
      <c r="M261" s="2">
        <v>66</v>
      </c>
      <c r="N261" t="s">
        <v>386</v>
      </c>
      <c r="O261" t="s">
        <v>814</v>
      </c>
      <c r="P261"/>
      <c r="Q261"/>
      <c r="R261"/>
      <c r="S261"/>
    </row>
    <row r="262" spans="1:19" s="4" customFormat="1" x14ac:dyDescent="0.25">
      <c r="A262" s="7">
        <v>989382891</v>
      </c>
      <c r="B262" s="7" t="str">
        <f t="shared" si="9"/>
        <v>989382891OVR</v>
      </c>
      <c r="C262" t="s">
        <v>569</v>
      </c>
      <c r="D262" t="s">
        <v>55</v>
      </c>
      <c r="E262">
        <v>20411454</v>
      </c>
      <c r="F262" t="s">
        <v>840</v>
      </c>
      <c r="G262" t="s">
        <v>49</v>
      </c>
      <c r="H262" t="s">
        <v>523</v>
      </c>
      <c r="I262" s="1">
        <v>46054</v>
      </c>
      <c r="J262" t="s">
        <v>52</v>
      </c>
      <c r="K262" s="2">
        <v>66</v>
      </c>
      <c r="L262">
        <v>1</v>
      </c>
      <c r="M262" s="2">
        <v>66</v>
      </c>
      <c r="N262" t="s">
        <v>386</v>
      </c>
      <c r="O262" t="s">
        <v>814</v>
      </c>
      <c r="P262"/>
      <c r="Q262"/>
      <c r="R262"/>
      <c r="S262"/>
    </row>
    <row r="263" spans="1:19" s="4" customFormat="1" x14ac:dyDescent="0.25">
      <c r="A263" s="7">
        <v>995516659</v>
      </c>
      <c r="B263" s="7" t="str">
        <f t="shared" si="9"/>
        <v>995516659OVR</v>
      </c>
      <c r="C263" t="s">
        <v>576</v>
      </c>
      <c r="D263" t="s">
        <v>55</v>
      </c>
      <c r="E263">
        <v>20411454</v>
      </c>
      <c r="F263" t="s">
        <v>840</v>
      </c>
      <c r="G263" t="s">
        <v>49</v>
      </c>
      <c r="H263" t="s">
        <v>523</v>
      </c>
      <c r="I263" s="1">
        <v>46054</v>
      </c>
      <c r="J263" t="s">
        <v>52</v>
      </c>
      <c r="K263" s="2">
        <v>66</v>
      </c>
      <c r="L263">
        <v>1</v>
      </c>
      <c r="M263" s="2">
        <v>66</v>
      </c>
      <c r="N263" t="s">
        <v>386</v>
      </c>
      <c r="O263" t="s">
        <v>814</v>
      </c>
      <c r="P263"/>
      <c r="Q263"/>
      <c r="R263"/>
      <c r="S263"/>
    </row>
    <row r="264" spans="1:19" s="4" customFormat="1" x14ac:dyDescent="0.25">
      <c r="A264" s="7">
        <v>927977925</v>
      </c>
      <c r="B264" s="7" t="str">
        <f t="shared" si="9"/>
        <v>927977925OVR</v>
      </c>
      <c r="C264" t="s">
        <v>481</v>
      </c>
      <c r="D264" t="s">
        <v>55</v>
      </c>
      <c r="E264">
        <v>20411454</v>
      </c>
      <c r="F264" t="s">
        <v>840</v>
      </c>
      <c r="G264" t="s">
        <v>49</v>
      </c>
      <c r="H264" t="s">
        <v>482</v>
      </c>
      <c r="I264" s="1">
        <v>46113</v>
      </c>
      <c r="J264" t="s">
        <v>52</v>
      </c>
      <c r="K264" s="2">
        <v>175</v>
      </c>
      <c r="L264">
        <v>1</v>
      </c>
      <c r="M264" s="2">
        <v>175</v>
      </c>
      <c r="N264"/>
      <c r="O264" t="s">
        <v>814</v>
      </c>
      <c r="P264"/>
      <c r="Q264"/>
      <c r="R264"/>
      <c r="S264"/>
    </row>
    <row r="265" spans="1:19" s="4" customFormat="1" x14ac:dyDescent="0.25">
      <c r="A265" s="7">
        <v>901566459</v>
      </c>
      <c r="B265" s="7" t="str">
        <f t="shared" si="9"/>
        <v>901566459OVR</v>
      </c>
      <c r="C265" t="s">
        <v>435</v>
      </c>
      <c r="D265" t="s">
        <v>55</v>
      </c>
      <c r="E265">
        <v>20411454</v>
      </c>
      <c r="F265" t="s">
        <v>840</v>
      </c>
      <c r="G265" t="s">
        <v>49</v>
      </c>
      <c r="H265" t="s">
        <v>441</v>
      </c>
      <c r="I265" s="1">
        <v>46023</v>
      </c>
      <c r="J265" t="s">
        <v>52</v>
      </c>
      <c r="K265" s="2">
        <v>175</v>
      </c>
      <c r="L265">
        <v>1</v>
      </c>
      <c r="M265" s="2">
        <v>175</v>
      </c>
      <c r="N265" t="s">
        <v>439</v>
      </c>
      <c r="O265" t="s">
        <v>814</v>
      </c>
      <c r="P265"/>
      <c r="Q265"/>
      <c r="R265"/>
      <c r="S265"/>
    </row>
    <row r="266" spans="1:19" s="4" customFormat="1" x14ac:dyDescent="0.25">
      <c r="A266" s="7">
        <v>908745437</v>
      </c>
      <c r="B266" s="7" t="str">
        <f t="shared" si="9"/>
        <v>908745437OVR</v>
      </c>
      <c r="C266" t="s">
        <v>435</v>
      </c>
      <c r="D266" t="s">
        <v>55</v>
      </c>
      <c r="E266">
        <v>20411454</v>
      </c>
      <c r="F266" t="s">
        <v>840</v>
      </c>
      <c r="G266" t="s">
        <v>49</v>
      </c>
      <c r="H266" t="s">
        <v>441</v>
      </c>
      <c r="I266" s="1">
        <v>46023</v>
      </c>
      <c r="J266" t="s">
        <v>52</v>
      </c>
      <c r="K266" s="2">
        <v>175</v>
      </c>
      <c r="L266">
        <v>1</v>
      </c>
      <c r="M266" s="2">
        <v>175</v>
      </c>
      <c r="N266" t="s">
        <v>439</v>
      </c>
      <c r="O266" t="s">
        <v>814</v>
      </c>
      <c r="P266"/>
      <c r="Q266"/>
      <c r="R266"/>
      <c r="S266"/>
    </row>
    <row r="267" spans="1:19" x14ac:dyDescent="0.25">
      <c r="M267" s="2"/>
    </row>
  </sheetData>
  <sortState xmlns:xlrd2="http://schemas.microsoft.com/office/spreadsheetml/2017/richdata2" ref="A2:S266">
    <sortCondition ref="O2:O266"/>
    <sortCondition ref="M2:M26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C889-878C-4580-9C61-7400F6C18932}">
  <dimension ref="A1:O5"/>
  <sheetViews>
    <sheetView tabSelected="1" workbookViewId="0">
      <selection activeCell="A4" sqref="A4"/>
    </sheetView>
  </sheetViews>
  <sheetFormatPr defaultRowHeight="15" x14ac:dyDescent="0.25"/>
  <cols>
    <col min="5" max="5" width="20.85546875" bestFit="1" customWidth="1"/>
    <col min="7" max="7" width="59.140625" bestFit="1" customWidth="1"/>
  </cols>
  <sheetData>
    <row r="1" spans="1:15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23</v>
      </c>
      <c r="J1" t="s">
        <v>25</v>
      </c>
      <c r="K1" t="s">
        <v>26</v>
      </c>
      <c r="L1" t="s">
        <v>28</v>
      </c>
      <c r="M1" t="s">
        <v>37</v>
      </c>
    </row>
    <row r="2" spans="1:15" s="10" customFormat="1" x14ac:dyDescent="0.25">
      <c r="A2" s="9" t="s">
        <v>810</v>
      </c>
      <c r="B2" s="10" t="s">
        <v>695</v>
      </c>
      <c r="C2" s="10" t="s">
        <v>696</v>
      </c>
      <c r="D2" s="10" t="s">
        <v>109</v>
      </c>
      <c r="E2" s="10" t="s">
        <v>110</v>
      </c>
      <c r="F2" s="10" t="s">
        <v>595</v>
      </c>
      <c r="G2" s="10" t="s">
        <v>697</v>
      </c>
      <c r="H2" s="11">
        <v>46023</v>
      </c>
      <c r="I2" s="10" t="s">
        <v>52</v>
      </c>
      <c r="L2" s="10">
        <v>-189</v>
      </c>
      <c r="N2" s="10">
        <f>31.5+141.75+15.75</f>
        <v>189</v>
      </c>
      <c r="O2" s="10">
        <v>1.31</v>
      </c>
    </row>
    <row r="3" spans="1:15" s="10" customFormat="1" x14ac:dyDescent="0.25">
      <c r="A3" s="9" t="s">
        <v>811</v>
      </c>
      <c r="B3" s="10" t="s">
        <v>583</v>
      </c>
      <c r="C3" s="10" t="s">
        <v>55</v>
      </c>
      <c r="D3" s="10" t="s">
        <v>584</v>
      </c>
      <c r="E3" s="10" t="s">
        <v>585</v>
      </c>
      <c r="F3" s="10" t="s">
        <v>49</v>
      </c>
      <c r="G3" s="10" t="s">
        <v>586</v>
      </c>
      <c r="H3" s="11">
        <v>46023</v>
      </c>
      <c r="I3" s="10" t="s">
        <v>52</v>
      </c>
      <c r="J3" s="12">
        <v>9.83</v>
      </c>
      <c r="K3" s="10">
        <v>9</v>
      </c>
      <c r="L3" s="12">
        <v>88.47</v>
      </c>
      <c r="N3" s="10">
        <f>70.11+14.76+3.6</f>
        <v>88.47</v>
      </c>
    </row>
    <row r="4" spans="1:15" s="10" customFormat="1" x14ac:dyDescent="0.25">
      <c r="A4" s="9" t="s">
        <v>812</v>
      </c>
      <c r="B4" s="10" t="s">
        <v>591</v>
      </c>
      <c r="C4" s="10" t="s">
        <v>592</v>
      </c>
      <c r="D4" s="10" t="s">
        <v>109</v>
      </c>
      <c r="E4" s="10" t="s">
        <v>110</v>
      </c>
      <c r="F4" s="10" t="s">
        <v>49</v>
      </c>
      <c r="G4" s="10" t="s">
        <v>586</v>
      </c>
      <c r="H4" s="11">
        <v>46023</v>
      </c>
      <c r="I4" s="10" t="s">
        <v>52</v>
      </c>
      <c r="J4" s="12">
        <v>9.83</v>
      </c>
      <c r="K4" s="10">
        <v>9</v>
      </c>
      <c r="L4" s="12">
        <v>88.47</v>
      </c>
      <c r="N4" s="10">
        <f>66.42+14.76+7.29</f>
        <v>88.470000000000013</v>
      </c>
    </row>
    <row r="5" spans="1:15" s="10" customFormat="1" x14ac:dyDescent="0.25">
      <c r="A5" s="9" t="s">
        <v>813</v>
      </c>
      <c r="B5" s="10" t="s">
        <v>588</v>
      </c>
      <c r="C5" s="10" t="s">
        <v>55</v>
      </c>
      <c r="D5" s="10" t="s">
        <v>97</v>
      </c>
      <c r="E5" s="10" t="s">
        <v>98</v>
      </c>
      <c r="F5" s="10" t="s">
        <v>49</v>
      </c>
      <c r="G5" s="10" t="s">
        <v>589</v>
      </c>
      <c r="H5" s="11">
        <v>46023</v>
      </c>
      <c r="I5" s="10" t="s">
        <v>52</v>
      </c>
      <c r="J5" s="12">
        <v>31.5</v>
      </c>
      <c r="K5" s="10">
        <v>9</v>
      </c>
      <c r="L5" s="12">
        <v>283.5</v>
      </c>
      <c r="N5" s="10">
        <f>224.46+17.01+42.03</f>
        <v>283.5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2026-01-15T13:50:50Z</dcterms:created>
  <dcterms:modified xsi:type="dcterms:W3CDTF">2026-01-30T18:12:51Z</dcterms:modified>
</cp:coreProperties>
</file>