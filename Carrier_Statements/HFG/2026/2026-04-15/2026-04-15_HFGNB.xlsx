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2026-04-15\"/>
    </mc:Choice>
  </mc:AlternateContent>
  <xr:revisionPtr revIDLastSave="0" documentId="13_ncr:1_{EF129F0B-2EB7-4E4C-8DB1-0D46B1007A9D}" xr6:coauthVersionLast="47" xr6:coauthVersionMax="47" xr10:uidLastSave="{00000000-0000-0000-0000-000000000000}"/>
  <bookViews>
    <workbookView xWindow="-120" yWindow="-120" windowWidth="29040" windowHeight="16440" activeTab="1" xr2:uid="{729B958C-C3D3-49F3-86E7-EB34E9DEF44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0" i="2" l="1"/>
  <c r="B69" i="2"/>
  <c r="B68" i="2"/>
  <c r="B67" i="2"/>
  <c r="B81" i="2"/>
  <c r="B80" i="2"/>
  <c r="B79" i="2"/>
  <c r="B78" i="2"/>
  <c r="B77" i="2"/>
  <c r="B76" i="2"/>
  <c r="B75" i="2"/>
  <c r="B74" i="2"/>
  <c r="B73" i="2"/>
  <c r="B72" i="2"/>
  <c r="B71" i="2"/>
  <c r="B66" i="2"/>
  <c r="B65" i="2"/>
  <c r="B64" i="2"/>
  <c r="B63" i="2"/>
  <c r="B62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<sst xmlns="http://schemas.openxmlformats.org/spreadsheetml/2006/main" count="2239" uniqueCount="397">
  <si>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</si>
  <si>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</si>
  <si>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</si>
  <si>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</si>
  <si>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</si>
  <si>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</si>
  <si>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</si>
  <si>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</si>
  <si>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</si>
  <si>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</si>
  <si>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</si>
  <si>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</si>
  <si>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</si>
  <si>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</si>
  <si>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</si>
  <si>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</si>
  <si>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</si>
  <si>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</si>
  <si>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</si>
  <si>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</si>
  <si>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</si>
  <si>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</si>
  <si>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</si>
  <si>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</si>
  <si>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</si>
  <si>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</si>
  <si>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</si>
  <si>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</si>
  <si>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</si>
  <si>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</si>
  <si>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</si>
  <si>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</si>
  <si>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</si>
  <si>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</si>
  <si>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</si>
  <si>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</si>
  <si>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</si>
  <si>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</si>
  <si>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</si>
  <si>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</si>
  <si>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</si>
  <si>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</si>
  <si>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</si>
  <si>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</si>
  <si>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'00000289066D</t>
  </si>
  <si>
    <t>RAQUEL ESPINOSA</t>
  </si>
  <si>
    <t>IL</t>
  </si>
  <si>
    <t>'045709</t>
  </si>
  <si>
    <t>ESTHER HERRERA-LARSEN</t>
  </si>
  <si>
    <t>ACTIVE</t>
  </si>
  <si>
    <t>Humana MA 2019+ Level 15- 175/108</t>
  </si>
  <si>
    <t>Monthly</t>
  </si>
  <si>
    <t>AV</t>
  </si>
  <si>
    <t>'00000506917D</t>
  </si>
  <si>
    <t>MARGERY WAKEFIELD</t>
  </si>
  <si>
    <t>CO</t>
  </si>
  <si>
    <t>'046124</t>
  </si>
  <si>
    <t>KENNETH WEITZMAN</t>
  </si>
  <si>
    <t>'00001754427K</t>
  </si>
  <si>
    <t>JANET LEVERENZ</t>
  </si>
  <si>
    <t>'043739</t>
  </si>
  <si>
    <t>ANDREA PETRUNGARO</t>
  </si>
  <si>
    <t>Humana MA 2019+ Level 15- 175/108 Repl 2024</t>
  </si>
  <si>
    <t>'00003940693K</t>
  </si>
  <si>
    <t>TANYA ABRAMSON</t>
  </si>
  <si>
    <t>MI</t>
  </si>
  <si>
    <t>'045612</t>
  </si>
  <si>
    <t>ANTHONY HUNSBERGER</t>
  </si>
  <si>
    <t>'00006948323K</t>
  </si>
  <si>
    <t>RICHARD SULLIVAN</t>
  </si>
  <si>
    <t>OH</t>
  </si>
  <si>
    <t>'045684</t>
  </si>
  <si>
    <t>JILL SHEPARD</t>
  </si>
  <si>
    <t>Active</t>
  </si>
  <si>
    <t>Humana MA Bonus Upload 04-15-2026.xlsx</t>
  </si>
  <si>
    <t>'00011005827K</t>
  </si>
  <si>
    <t>SHEILA ELDRIDGE</t>
  </si>
  <si>
    <t>WA</t>
  </si>
  <si>
    <t>'045591</t>
  </si>
  <si>
    <t>CHRISTOPHER BROUSSEAU</t>
  </si>
  <si>
    <t>'00013984201K</t>
  </si>
  <si>
    <t>BONITA MCGOWAN</t>
  </si>
  <si>
    <t>WI</t>
  </si>
  <si>
    <t>'043682</t>
  </si>
  <si>
    <t>GREGORY TEIPEL</t>
  </si>
  <si>
    <t>'00015039523K</t>
  </si>
  <si>
    <t>SUSAN PENA</t>
  </si>
  <si>
    <t>'045671</t>
  </si>
  <si>
    <t>ROBERT SHAPIRO</t>
  </si>
  <si>
    <t>'00015077373K</t>
  </si>
  <si>
    <t>JAMEY MATHENY</t>
  </si>
  <si>
    <t>TN</t>
  </si>
  <si>
    <t>'00016914030K</t>
  </si>
  <si>
    <t>BRIAN FIELDS</t>
  </si>
  <si>
    <t>'045613</t>
  </si>
  <si>
    <t>RICARDO SANTOS</t>
  </si>
  <si>
    <t>'00024869293K</t>
  </si>
  <si>
    <t>JAIRO DUARTE</t>
  </si>
  <si>
    <t>'045966</t>
  </si>
  <si>
    <t>ANTONIA NEVAREZ</t>
  </si>
  <si>
    <t>'00025035914K</t>
  </si>
  <si>
    <t>MIKHAIL GAVRILIOUK</t>
  </si>
  <si>
    <t>'041686</t>
  </si>
  <si>
    <t>DALE WALENGA</t>
  </si>
  <si>
    <t>'00026334031K</t>
  </si>
  <si>
    <t>DENNIS RAPSKI</t>
  </si>
  <si>
    <t>'045603</t>
  </si>
  <si>
    <t>ANDREW CHOI</t>
  </si>
  <si>
    <t>'00026334671K</t>
  </si>
  <si>
    <t>LAURA LOPEZ</t>
  </si>
  <si>
    <t>'045605</t>
  </si>
  <si>
    <t>GARY PORTUGAL</t>
  </si>
  <si>
    <t>'00026336082K</t>
  </si>
  <si>
    <t>VIRGINIA ALVAREZ</t>
  </si>
  <si>
    <t>'00026336266K</t>
  </si>
  <si>
    <t>RAUL ALVAREZ</t>
  </si>
  <si>
    <t>'00026336731K</t>
  </si>
  <si>
    <t>NORINE RYAN ABRAMOVIC</t>
  </si>
  <si>
    <t>'00026338095K</t>
  </si>
  <si>
    <t>FRANCISCA MUNOZ</t>
  </si>
  <si>
    <t>'00026343314K</t>
  </si>
  <si>
    <t>MICHAEL FRICANO</t>
  </si>
  <si>
    <t>'045772</t>
  </si>
  <si>
    <t>JASON ROLLER</t>
  </si>
  <si>
    <t>'00026354524K</t>
  </si>
  <si>
    <t>SANDRA AYKROID</t>
  </si>
  <si>
    <t>'043637</t>
  </si>
  <si>
    <t>CHRISTIAN TAUGNER</t>
  </si>
  <si>
    <t>'00026361573K</t>
  </si>
  <si>
    <t>BRENDA CORN</t>
  </si>
  <si>
    <t>'045670</t>
  </si>
  <si>
    <t>STEVEN BRANDT</t>
  </si>
  <si>
    <t>'00026362781K</t>
  </si>
  <si>
    <t>SARANTUYA DORJDAVGA</t>
  </si>
  <si>
    <t>'043758</t>
  </si>
  <si>
    <t>NASANDELGER ZANA</t>
  </si>
  <si>
    <t>'00026364794K</t>
  </si>
  <si>
    <t>PAUL GOLDBERG</t>
  </si>
  <si>
    <t>'045638</t>
  </si>
  <si>
    <t>RICHARD YALE</t>
  </si>
  <si>
    <t>'00026365803K</t>
  </si>
  <si>
    <t>KATHLEEN CLAYTON</t>
  </si>
  <si>
    <t>'101088108800</t>
  </si>
  <si>
    <t>TINA PIAZZA</t>
  </si>
  <si>
    <t>PA</t>
  </si>
  <si>
    <t>'043679</t>
  </si>
  <si>
    <t>DEBORAH INSKIPT</t>
  </si>
  <si>
    <t>Aetna MAPD NMO to MMO - 2025+ Replace E-App</t>
  </si>
  <si>
    <t>9/12 PRORATE</t>
  </si>
  <si>
    <t>'101211577200</t>
  </si>
  <si>
    <t>ALLAN BULLOCK</t>
  </si>
  <si>
    <t>'101562443500</t>
  </si>
  <si>
    <t>LISA MAJESKY</t>
  </si>
  <si>
    <t>'043611</t>
  </si>
  <si>
    <t>TIMOTHY POWERS</t>
  </si>
  <si>
    <t>'101944921700</t>
  </si>
  <si>
    <t>DOUGLAS DALEY</t>
  </si>
  <si>
    <t>FL</t>
  </si>
  <si>
    <t>'101955463700</t>
  </si>
  <si>
    <t>RICHARD MAJESKY</t>
  </si>
  <si>
    <t>'102058131300</t>
  </si>
  <si>
    <t>BANK JANI</t>
  </si>
  <si>
    <t>10/12 PRORATE</t>
  </si>
  <si>
    <t>'102071127900</t>
  </si>
  <si>
    <t>TINA CURTIS</t>
  </si>
  <si>
    <t>'102206475500</t>
  </si>
  <si>
    <t>CHARLOTTE PAOLELLA</t>
  </si>
  <si>
    <t>'040060</t>
  </si>
  <si>
    <t>RYAN SHEPARD</t>
  </si>
  <si>
    <t>'102224738500PC</t>
  </si>
  <si>
    <t>MOHAMMAD JALLAQ</t>
  </si>
  <si>
    <t>Aetna MAPD NMO to MMO - 2025+ New Paper</t>
  </si>
  <si>
    <t>Aetna MA Bonus Upload 04-15-2026.xlsx</t>
  </si>
  <si>
    <t>'102272313500</t>
  </si>
  <si>
    <t>GARY LAPISKA</t>
  </si>
  <si>
    <t>'045885</t>
  </si>
  <si>
    <t>CHAD BENDER</t>
  </si>
  <si>
    <t>'102272472700</t>
  </si>
  <si>
    <t>SUSAN BANE</t>
  </si>
  <si>
    <t>'043705</t>
  </si>
  <si>
    <t>MICHAEL DUNAVANT</t>
  </si>
  <si>
    <t>8/12 PRORATE</t>
  </si>
  <si>
    <t>'102273082600</t>
  </si>
  <si>
    <t>EARLENE FEDERICI</t>
  </si>
  <si>
    <t>'135835752</t>
  </si>
  <si>
    <t>YAZHOU FU</t>
  </si>
  <si>
    <t>MD</t>
  </si>
  <si>
    <t>'045717</t>
  </si>
  <si>
    <t>RONALD MAX</t>
  </si>
  <si>
    <t>UHC MAPD Street payable to upline- 2026 Replace</t>
  </si>
  <si>
    <t>'135835752OV</t>
  </si>
  <si>
    <t>UHC MA Direct 2025 New Full</t>
  </si>
  <si>
    <t>'38U9F5F62</t>
  </si>
  <si>
    <t>LESSARD ANTHONY</t>
  </si>
  <si>
    <t>NV</t>
  </si>
  <si>
    <t>'045712</t>
  </si>
  <si>
    <t>GREGORY HANSFORD</t>
  </si>
  <si>
    <t>Cigna MAPD FMO to GA 1-1-19+ - New</t>
  </si>
  <si>
    <t>'73L6U3H51</t>
  </si>
  <si>
    <t>PETERS ANNETTE</t>
  </si>
  <si>
    <t>GA</t>
  </si>
  <si>
    <t>'043692</t>
  </si>
  <si>
    <t>ADAM RICHTER</t>
  </si>
  <si>
    <t>'903355671</t>
  </si>
  <si>
    <t>STANTON HEIMSATH</t>
  </si>
  <si>
    <t>IN</t>
  </si>
  <si>
    <t>'045967</t>
  </si>
  <si>
    <t>DANNA GREEN</t>
  </si>
  <si>
    <t>UHC MAPD Street payable to upline - 2026 New - Other</t>
  </si>
  <si>
    <t>'903355671OV</t>
  </si>
  <si>
    <t>UHC MA Direct 2025 New Full - Other</t>
  </si>
  <si>
    <t>'904672379</t>
  </si>
  <si>
    <t>JOSEPH PENTA</t>
  </si>
  <si>
    <t>NJ</t>
  </si>
  <si>
    <t>'045601</t>
  </si>
  <si>
    <t>CAROL FOLEY</t>
  </si>
  <si>
    <t>UHC MAPD Street payable to upline NJ- 2026 Replace</t>
  </si>
  <si>
    <t>'904672379OV</t>
  </si>
  <si>
    <t>'914196025</t>
  </si>
  <si>
    <t>RALPH CHESTER</t>
  </si>
  <si>
    <t>UHC MAPD Street payable to upline - 2026 New</t>
  </si>
  <si>
    <t>'929884922</t>
  </si>
  <si>
    <t>MARILYN PETRICK</t>
  </si>
  <si>
    <t>'939992732</t>
  </si>
  <si>
    <t>MARIANNE ZYGMONT</t>
  </si>
  <si>
    <t>'045673</t>
  </si>
  <si>
    <t>MARK ROCCIA</t>
  </si>
  <si>
    <t>UHC MAPD Street payable to upline PA/CT- 2026 New - Other</t>
  </si>
  <si>
    <t>'939992732OV</t>
  </si>
  <si>
    <t>'940603285</t>
  </si>
  <si>
    <t>PILAR HERNANDEZ</t>
  </si>
  <si>
    <t>'043969</t>
  </si>
  <si>
    <t>STACEY PORTUGAL</t>
  </si>
  <si>
    <t>'947678298</t>
  </si>
  <si>
    <t>VJOLLCA DOMNORI</t>
  </si>
  <si>
    <t>'947678298OV</t>
  </si>
  <si>
    <t>'974660030</t>
  </si>
  <si>
    <t>STEPHEN LUTHGE</t>
  </si>
  <si>
    <t>TX</t>
  </si>
  <si>
    <t>'974660030OV</t>
  </si>
  <si>
    <t>'984357354</t>
  </si>
  <si>
    <t>KATHLEEN LOWE</t>
  </si>
  <si>
    <t>SC</t>
  </si>
  <si>
    <t>'984357354OV</t>
  </si>
  <si>
    <t>UHC MA Direct 2025 New Initial Prorated</t>
  </si>
  <si>
    <t>'A04441639</t>
  </si>
  <si>
    <t>EDNA SCHENKEL</t>
  </si>
  <si>
    <t>UHC AARP Med Supp 2025+ FL Area 1 Plan B C F G</t>
  </si>
  <si>
    <t>UHC AARP MSup Bonus Upload 04-15-2026.xlsx</t>
  </si>
  <si>
    <t>'A04458963</t>
  </si>
  <si>
    <t>KERRY NOTESTINE</t>
  </si>
  <si>
    <t>UHC AARP Med Supp 2025+ IN All Plans</t>
  </si>
  <si>
    <t>'A04459352</t>
  </si>
  <si>
    <t>SCOTT SINGER</t>
  </si>
  <si>
    <t>UHC AARP Med Supp 2025+ FL Area 4 Plan B C F G</t>
  </si>
  <si>
    <t>'A04459938</t>
  </si>
  <si>
    <t>TERESE LEGAN</t>
  </si>
  <si>
    <t>UHC AARP Med Supp 2026+ IL Plan F G</t>
  </si>
  <si>
    <t>'MEQNPDZM00000704876</t>
  </si>
  <si>
    <t>ROCHELLE DAVIS</t>
  </si>
  <si>
    <t>Aetna MAPD NMO to MMO - 2025+ New E-App</t>
  </si>
  <si>
    <t>'MEQNQXIX00001243222</t>
  </si>
  <si>
    <t>MOHAMMED SIDDIQUI</t>
  </si>
  <si>
    <t>'043618</t>
  </si>
  <si>
    <t>SAADIA ABDUL</t>
  </si>
  <si>
    <t>CB</t>
  </si>
  <si>
    <t>'00001754427KPC</t>
  </si>
  <si>
    <t>CHARGEBACK</t>
  </si>
  <si>
    <t>'00015039523KPC</t>
  </si>
  <si>
    <t>'00024818329KPC</t>
  </si>
  <si>
    <t>CRYSTAL SEBALLOS</t>
  </si>
  <si>
    <t>'00024848882KACB</t>
  </si>
  <si>
    <t>JULIETA DUARTE</t>
  </si>
  <si>
    <t>'00025335961KPC</t>
  </si>
  <si>
    <t>TERRY WOODALL</t>
  </si>
  <si>
    <t>'043638</t>
  </si>
  <si>
    <t>THOMAS PARDUE</t>
  </si>
  <si>
    <t>'00026303905KCB</t>
  </si>
  <si>
    <t>JULIANA ANTONIO</t>
  </si>
  <si>
    <t>'043589</t>
  </si>
  <si>
    <t>JOSE TORRES</t>
  </si>
  <si>
    <t>'101052135000APC</t>
  </si>
  <si>
    <t>GERALD KOCHMAR</t>
  </si>
  <si>
    <t>'101083195000APC</t>
  </si>
  <si>
    <t>DOMINICA KOCHMAR</t>
  </si>
  <si>
    <t>'101248501600CB</t>
  </si>
  <si>
    <t>JOHN SEWTER</t>
  </si>
  <si>
    <t>'102229469600CB</t>
  </si>
  <si>
    <t>ROBERT MCCANDLESS</t>
  </si>
  <si>
    <t>'043786</t>
  </si>
  <si>
    <t>MARGARET SMITH</t>
  </si>
  <si>
    <t>'102230808100CB</t>
  </si>
  <si>
    <t>BEVERLY BENTLEY</t>
  </si>
  <si>
    <t>'102269376100CB</t>
  </si>
  <si>
    <t>KEVIN MYERS</t>
  </si>
  <si>
    <t>'21A1X8R95CB</t>
  </si>
  <si>
    <t>TIMOTHY CHADWICK</t>
  </si>
  <si>
    <t>'36864714CB</t>
  </si>
  <si>
    <t>RICKEY YARBROUGH</t>
  </si>
  <si>
    <t>'046040</t>
  </si>
  <si>
    <t>DANIEL CARNEY</t>
  </si>
  <si>
    <t>Cigna MAPD FMO to GA 1-1-19+ - Replacement</t>
  </si>
  <si>
    <t>'38L5L5R55CB</t>
  </si>
  <si>
    <t>ROGER POLONSKY</t>
  </si>
  <si>
    <t>'903355671CB</t>
  </si>
  <si>
    <t>UHC MAPD Street payable to upline- 2026 Replace - Other</t>
  </si>
  <si>
    <t>'903355671OVCB</t>
  </si>
  <si>
    <t>UHC MA Direct 2025 New Initial Prorated - Other</t>
  </si>
  <si>
    <t>'914196025CB</t>
  </si>
  <si>
    <t>'929884922CB</t>
  </si>
  <si>
    <t>'938375183OVPC</t>
  </si>
  <si>
    <t>ROSEANNE KEEFE</t>
  </si>
  <si>
    <t>'938375183PC</t>
  </si>
  <si>
    <t>'939992732CB</t>
  </si>
  <si>
    <t>UHC MAPD Street payable to upline PA/CT- 2026 Replace - Other</t>
  </si>
  <si>
    <t>'939992732OVCB</t>
  </si>
  <si>
    <t>'940603285CB</t>
  </si>
  <si>
    <t>'947312937CB</t>
  </si>
  <si>
    <t>KATHRYN CHAPPELL</t>
  </si>
  <si>
    <t>OR</t>
  </si>
  <si>
    <t>'947312937OVCB</t>
  </si>
  <si>
    <t>'959706673CB</t>
  </si>
  <si>
    <t>CHARLENE JACOBS</t>
  </si>
  <si>
    <t>'959706673OVCB</t>
  </si>
  <si>
    <t>'962753685CB</t>
  </si>
  <si>
    <t>VALERIE FORD</t>
  </si>
  <si>
    <t>'962753685OVCB</t>
  </si>
  <si>
    <t>'980482625CB</t>
  </si>
  <si>
    <t>DAVID CADDY</t>
  </si>
  <si>
    <t>'046034</t>
  </si>
  <si>
    <t>INES BERG</t>
  </si>
  <si>
    <t>UHC MAPD Street payable to upline- 2026 Pro New - Other</t>
  </si>
  <si>
    <t>'980482625OVCB</t>
  </si>
  <si>
    <t>UHC MA Direct 2025 New Prorated - Other</t>
  </si>
  <si>
    <t>'990114406CB</t>
  </si>
  <si>
    <t>WILLIAM NORWOOD</t>
  </si>
  <si>
    <t>'990114406OVCB</t>
  </si>
  <si>
    <t>00000289066D</t>
  </si>
  <si>
    <t>00000506917D</t>
  </si>
  <si>
    <t>00001754427K</t>
  </si>
  <si>
    <t>00003940693K</t>
  </si>
  <si>
    <t>00006948323K</t>
  </si>
  <si>
    <t>00011005827K</t>
  </si>
  <si>
    <t>00013984201K</t>
  </si>
  <si>
    <t>00015039523K</t>
  </si>
  <si>
    <t>00015077373K</t>
  </si>
  <si>
    <t>00016914030K</t>
  </si>
  <si>
    <t>00024869293K</t>
  </si>
  <si>
    <t>00025035914K</t>
  </si>
  <si>
    <t>00026334031K</t>
  </si>
  <si>
    <t>00026334671K</t>
  </si>
  <si>
    <t>00026336082K</t>
  </si>
  <si>
    <t>00026336266K</t>
  </si>
  <si>
    <t>00026336731K</t>
  </si>
  <si>
    <t>00026338095K</t>
  </si>
  <si>
    <t>00026343314K</t>
  </si>
  <si>
    <t>00026354524K</t>
  </si>
  <si>
    <t>00026361573K</t>
  </si>
  <si>
    <t>00026362781K</t>
  </si>
  <si>
    <t>00026364794K</t>
  </si>
  <si>
    <t>00026365803K</t>
  </si>
  <si>
    <t>38U9F5F62</t>
  </si>
  <si>
    <t>73L6U3H51</t>
  </si>
  <si>
    <t>A04441639</t>
  </si>
  <si>
    <t>A04458963</t>
  </si>
  <si>
    <t>A04459352</t>
  </si>
  <si>
    <t>A04459938</t>
  </si>
  <si>
    <t>MEQNPDZM00000704876</t>
  </si>
  <si>
    <t>MEQNQXIX00001243222</t>
  </si>
  <si>
    <t>00024848882KA</t>
  </si>
  <si>
    <t>00026303905K</t>
  </si>
  <si>
    <t>21A1X8R95</t>
  </si>
  <si>
    <t>38L5L5R55</t>
  </si>
  <si>
    <t>00024818329K</t>
  </si>
  <si>
    <t>00025335961K</t>
  </si>
  <si>
    <t>101052135000A</t>
  </si>
  <si>
    <t>101083195000A</t>
  </si>
  <si>
    <t>Aetna MAPD OVR 2026</t>
  </si>
  <si>
    <t>Cigna MAPD Ovr</t>
  </si>
  <si>
    <t>Humana MAPD OVR</t>
  </si>
  <si>
    <t>UHC AARP MS FL Area 1- Plan B C F G</t>
  </si>
  <si>
    <t>UHC AARP MS FL Area 4- Plan B C F G</t>
  </si>
  <si>
    <t>UHC MAPD Ovr 2026</t>
  </si>
  <si>
    <t>UHC 2026</t>
  </si>
  <si>
    <t>2026 UHC non-Special Needs Plans PPOs</t>
  </si>
  <si>
    <t>UHC MAPD 2026*</t>
  </si>
  <si>
    <t>[%/$=347][prorate=11/12]</t>
  </si>
  <si>
    <t>[%/$=347][prorate=12/12]</t>
  </si>
  <si>
    <t>[%/$=347][prorate=9/12]</t>
  </si>
  <si>
    <t>[%/$=347][prorate=8/12]</t>
  </si>
  <si>
    <t>[%/$=203][prorate=9/12]</t>
  </si>
  <si>
    <t>2026 UHC MAPD National*</t>
  </si>
  <si>
    <t>2026 UHC non-Special Needs Plans PPOs Renewal</t>
  </si>
  <si>
    <t>UHC 2026 CA, NJ*</t>
  </si>
  <si>
    <t>[%/$=432][prorate=9/12]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</si>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</sst>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69EE-9E50-4E08-8605-7BCF578D9648}">
  <dimension ref="A1:AL96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5703125" bestFit="1" customWidth="1"/>
    <col min="10" max="10" width="25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59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43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46127</v>
      </c>
      <c r="B2" s="1">
        <v>46127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46113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6606962</v>
      </c>
    </row>
    <row r="3" spans="1:38" x14ac:dyDescent="0.25">
      <c r="A3" s="1">
        <v>46127</v>
      </c>
      <c r="B3" s="1">
        <v>46127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46113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6606943</v>
      </c>
    </row>
    <row r="4" spans="1:38" x14ac:dyDescent="0.25">
      <c r="A4" s="1">
        <v>46127</v>
      </c>
      <c r="B4" s="1">
        <v>46127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62</v>
      </c>
      <c r="S4" s="1">
        <v>46113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6606837</v>
      </c>
    </row>
    <row r="5" spans="1:38" x14ac:dyDescent="0.25">
      <c r="A5" s="1">
        <v>46127</v>
      </c>
      <c r="B5" s="1">
        <v>46127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66</v>
      </c>
      <c r="P5" t="s">
        <v>67</v>
      </c>
      <c r="Q5" t="s">
        <v>49</v>
      </c>
      <c r="R5" t="s">
        <v>50</v>
      </c>
      <c r="S5" s="1">
        <v>46113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6606963</v>
      </c>
    </row>
    <row r="6" spans="1:38" x14ac:dyDescent="0.25">
      <c r="A6" s="1">
        <v>46127</v>
      </c>
      <c r="B6" s="1">
        <v>46127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70</v>
      </c>
      <c r="O6" t="s">
        <v>71</v>
      </c>
      <c r="P6" t="s">
        <v>72</v>
      </c>
      <c r="Q6" t="s">
        <v>73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131.25</v>
      </c>
      <c r="AA6">
        <v>1</v>
      </c>
      <c r="AB6" s="3">
        <v>1</v>
      </c>
      <c r="AC6" s="2">
        <v>131.25</v>
      </c>
      <c r="AD6" s="3">
        <v>0</v>
      </c>
      <c r="AE6" s="2">
        <v>0</v>
      </c>
      <c r="AF6" s="2">
        <v>131.25</v>
      </c>
      <c r="AK6">
        <v>0</v>
      </c>
      <c r="AL6" t="s">
        <v>74</v>
      </c>
    </row>
    <row r="7" spans="1:38" x14ac:dyDescent="0.25">
      <c r="A7" s="1">
        <v>46127</v>
      </c>
      <c r="B7" s="1">
        <v>46127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75</v>
      </c>
      <c r="J7" t="s">
        <v>76</v>
      </c>
      <c r="M7" t="s">
        <v>77</v>
      </c>
      <c r="O7" t="s">
        <v>78</v>
      </c>
      <c r="P7" t="s">
        <v>79</v>
      </c>
      <c r="Q7" t="s">
        <v>73</v>
      </c>
      <c r="R7" t="s">
        <v>62</v>
      </c>
      <c r="S7" s="1">
        <v>46023</v>
      </c>
      <c r="U7" t="s">
        <v>51</v>
      </c>
      <c r="X7" t="s">
        <v>52</v>
      </c>
      <c r="Y7" s="2">
        <v>0</v>
      </c>
      <c r="Z7" s="2">
        <v>81</v>
      </c>
      <c r="AA7">
        <v>1</v>
      </c>
      <c r="AB7" s="3">
        <v>1</v>
      </c>
      <c r="AC7" s="2">
        <v>81</v>
      </c>
      <c r="AD7" s="3">
        <v>0</v>
      </c>
      <c r="AE7" s="2">
        <v>0</v>
      </c>
      <c r="AF7" s="2">
        <v>81</v>
      </c>
      <c r="AK7">
        <v>0</v>
      </c>
      <c r="AL7" t="s">
        <v>74</v>
      </c>
    </row>
    <row r="8" spans="1:38" x14ac:dyDescent="0.25">
      <c r="A8" s="1">
        <v>46127</v>
      </c>
      <c r="B8" s="1">
        <v>46127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80</v>
      </c>
      <c r="J8" t="s">
        <v>81</v>
      </c>
      <c r="M8" t="s">
        <v>82</v>
      </c>
      <c r="O8" t="s">
        <v>83</v>
      </c>
      <c r="P8" t="s">
        <v>84</v>
      </c>
      <c r="Q8" t="s">
        <v>49</v>
      </c>
      <c r="R8" t="s">
        <v>50</v>
      </c>
      <c r="S8" s="1">
        <v>46113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6606964</v>
      </c>
    </row>
    <row r="9" spans="1:38" x14ac:dyDescent="0.25">
      <c r="A9" s="1">
        <v>46127</v>
      </c>
      <c r="B9" s="1">
        <v>46127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85</v>
      </c>
      <c r="J9" t="s">
        <v>86</v>
      </c>
      <c r="M9" t="s">
        <v>46</v>
      </c>
      <c r="O9" t="s">
        <v>87</v>
      </c>
      <c r="P9" t="s">
        <v>88</v>
      </c>
      <c r="Q9" t="s">
        <v>49</v>
      </c>
      <c r="R9" t="s">
        <v>62</v>
      </c>
      <c r="S9" s="1">
        <v>46113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6606838</v>
      </c>
    </row>
    <row r="10" spans="1:38" x14ac:dyDescent="0.25">
      <c r="A10" s="1">
        <v>46127</v>
      </c>
      <c r="B10" s="1">
        <v>46127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89</v>
      </c>
      <c r="J10" t="s">
        <v>90</v>
      </c>
      <c r="M10" t="s">
        <v>91</v>
      </c>
      <c r="O10" t="s">
        <v>71</v>
      </c>
      <c r="P10" t="s">
        <v>72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6606946</v>
      </c>
    </row>
    <row r="11" spans="1:38" x14ac:dyDescent="0.25">
      <c r="A11" s="1">
        <v>46127</v>
      </c>
      <c r="B11" s="1">
        <v>46127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92</v>
      </c>
      <c r="J11" t="s">
        <v>93</v>
      </c>
      <c r="M11" t="s">
        <v>46</v>
      </c>
      <c r="O11" t="s">
        <v>94</v>
      </c>
      <c r="P11" t="s">
        <v>95</v>
      </c>
      <c r="Q11" t="s">
        <v>49</v>
      </c>
      <c r="R11" t="s">
        <v>62</v>
      </c>
      <c r="S11" s="1">
        <v>46113</v>
      </c>
      <c r="U11" t="s">
        <v>51</v>
      </c>
      <c r="X11" t="s">
        <v>52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6606839</v>
      </c>
    </row>
    <row r="12" spans="1:38" x14ac:dyDescent="0.25">
      <c r="A12" s="1">
        <v>46127</v>
      </c>
      <c r="B12" s="1">
        <v>46127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96</v>
      </c>
      <c r="J12" t="s">
        <v>97</v>
      </c>
      <c r="M12" t="s">
        <v>46</v>
      </c>
      <c r="O12" t="s">
        <v>98</v>
      </c>
      <c r="P12" t="s">
        <v>99</v>
      </c>
      <c r="Q12" t="s">
        <v>49</v>
      </c>
      <c r="R12" t="s">
        <v>62</v>
      </c>
      <c r="S12" s="1">
        <v>46113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6606840</v>
      </c>
    </row>
    <row r="13" spans="1:38" x14ac:dyDescent="0.25">
      <c r="A13" s="1">
        <v>46127</v>
      </c>
      <c r="B13" s="1">
        <v>46127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100</v>
      </c>
      <c r="J13" t="s">
        <v>101</v>
      </c>
      <c r="M13" t="s">
        <v>46</v>
      </c>
      <c r="O13" t="s">
        <v>102</v>
      </c>
      <c r="P13" t="s">
        <v>103</v>
      </c>
      <c r="Q13" t="s">
        <v>49</v>
      </c>
      <c r="R13" t="s">
        <v>50</v>
      </c>
      <c r="S13" s="1">
        <v>46113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6606965</v>
      </c>
    </row>
    <row r="14" spans="1:38" x14ac:dyDescent="0.25">
      <c r="A14" s="1">
        <v>46127</v>
      </c>
      <c r="B14" s="1">
        <v>46127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104</v>
      </c>
      <c r="J14" t="s">
        <v>105</v>
      </c>
      <c r="M14" t="s">
        <v>46</v>
      </c>
      <c r="O14" t="s">
        <v>106</v>
      </c>
      <c r="P14" t="s">
        <v>107</v>
      </c>
      <c r="Q14" t="s">
        <v>49</v>
      </c>
      <c r="R14" t="s">
        <v>50</v>
      </c>
      <c r="S14" s="1">
        <v>46113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6606966</v>
      </c>
    </row>
    <row r="15" spans="1:38" x14ac:dyDescent="0.25">
      <c r="A15" s="1">
        <v>46127</v>
      </c>
      <c r="B15" s="1">
        <v>46127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108</v>
      </c>
      <c r="J15" t="s">
        <v>109</v>
      </c>
      <c r="M15" t="s">
        <v>46</v>
      </c>
      <c r="O15" t="s">
        <v>110</v>
      </c>
      <c r="P15" t="s">
        <v>111</v>
      </c>
      <c r="Q15" t="s">
        <v>49</v>
      </c>
      <c r="R15" t="s">
        <v>50</v>
      </c>
      <c r="S15" s="1">
        <v>46113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6606967</v>
      </c>
    </row>
    <row r="16" spans="1:38" x14ac:dyDescent="0.25">
      <c r="A16" s="1">
        <v>46127</v>
      </c>
      <c r="B16" s="1">
        <v>46127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112</v>
      </c>
      <c r="J16" t="s">
        <v>113</v>
      </c>
      <c r="M16" t="s">
        <v>46</v>
      </c>
      <c r="O16" t="s">
        <v>66</v>
      </c>
      <c r="P16" t="s">
        <v>67</v>
      </c>
      <c r="Q16" t="s">
        <v>49</v>
      </c>
      <c r="R16" t="s">
        <v>50</v>
      </c>
      <c r="S16" s="1">
        <v>46113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6606968</v>
      </c>
    </row>
    <row r="17" spans="1:38" x14ac:dyDescent="0.25">
      <c r="A17" s="1">
        <v>46127</v>
      </c>
      <c r="B17" s="1">
        <v>46127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46</v>
      </c>
      <c r="O17" t="s">
        <v>66</v>
      </c>
      <c r="P17" t="s">
        <v>67</v>
      </c>
      <c r="Q17" t="s">
        <v>49</v>
      </c>
      <c r="R17" t="s">
        <v>50</v>
      </c>
      <c r="S17" s="1">
        <v>46113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6606969</v>
      </c>
    </row>
    <row r="18" spans="1:38" x14ac:dyDescent="0.25">
      <c r="A18" s="1">
        <v>46127</v>
      </c>
      <c r="B18" s="1">
        <v>46127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116</v>
      </c>
      <c r="J18" t="s">
        <v>117</v>
      </c>
      <c r="M18" t="s">
        <v>46</v>
      </c>
      <c r="O18" t="s">
        <v>102</v>
      </c>
      <c r="P18" t="s">
        <v>103</v>
      </c>
      <c r="Q18" t="s">
        <v>49</v>
      </c>
      <c r="R18" t="s">
        <v>50</v>
      </c>
      <c r="S18" s="1">
        <v>46113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6606970</v>
      </c>
    </row>
    <row r="19" spans="1:38" x14ac:dyDescent="0.25">
      <c r="A19" s="1">
        <v>46127</v>
      </c>
      <c r="B19" s="1">
        <v>46127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118</v>
      </c>
      <c r="J19" t="s">
        <v>119</v>
      </c>
      <c r="M19" t="s">
        <v>46</v>
      </c>
      <c r="O19" t="s">
        <v>47</v>
      </c>
      <c r="P19" t="s">
        <v>48</v>
      </c>
      <c r="Q19" t="s">
        <v>49</v>
      </c>
      <c r="R19" t="s">
        <v>50</v>
      </c>
      <c r="S19" s="1">
        <v>46113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6606971</v>
      </c>
    </row>
    <row r="20" spans="1:38" x14ac:dyDescent="0.25">
      <c r="A20" s="1">
        <v>46127</v>
      </c>
      <c r="B20" s="1">
        <v>46127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120</v>
      </c>
      <c r="J20" t="s">
        <v>121</v>
      </c>
      <c r="M20" t="s">
        <v>46</v>
      </c>
      <c r="O20" t="s">
        <v>122</v>
      </c>
      <c r="P20" t="s">
        <v>123</v>
      </c>
      <c r="Q20" t="s">
        <v>49</v>
      </c>
      <c r="R20" t="s">
        <v>50</v>
      </c>
      <c r="S20" s="1">
        <v>46143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6606972</v>
      </c>
    </row>
    <row r="21" spans="1:38" x14ac:dyDescent="0.25">
      <c r="A21" s="1">
        <v>46127</v>
      </c>
      <c r="B21" s="1">
        <v>46127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124</v>
      </c>
      <c r="J21" t="s">
        <v>125</v>
      </c>
      <c r="M21" t="s">
        <v>46</v>
      </c>
      <c r="O21" t="s">
        <v>126</v>
      </c>
      <c r="P21" t="s">
        <v>127</v>
      </c>
      <c r="Q21" t="s">
        <v>49</v>
      </c>
      <c r="R21" t="s">
        <v>50</v>
      </c>
      <c r="S21" s="1">
        <v>46143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6606954</v>
      </c>
    </row>
    <row r="22" spans="1:38" x14ac:dyDescent="0.25">
      <c r="A22" s="1">
        <v>46127</v>
      </c>
      <c r="B22" s="1">
        <v>46127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128</v>
      </c>
      <c r="J22" t="s">
        <v>129</v>
      </c>
      <c r="M22" t="s">
        <v>70</v>
      </c>
      <c r="O22" t="s">
        <v>130</v>
      </c>
      <c r="P22" t="s">
        <v>131</v>
      </c>
      <c r="Q22" t="s">
        <v>49</v>
      </c>
      <c r="R22" t="s">
        <v>50</v>
      </c>
      <c r="S22" s="1">
        <v>46204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6606973</v>
      </c>
    </row>
    <row r="23" spans="1:38" x14ac:dyDescent="0.25">
      <c r="A23" s="1">
        <v>46127</v>
      </c>
      <c r="B23" s="1">
        <v>46127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132</v>
      </c>
      <c r="J23" t="s">
        <v>133</v>
      </c>
      <c r="M23" t="s">
        <v>46</v>
      </c>
      <c r="O23" t="s">
        <v>134</v>
      </c>
      <c r="P23" t="s">
        <v>135</v>
      </c>
      <c r="Q23" t="s">
        <v>49</v>
      </c>
      <c r="R23" t="s">
        <v>50</v>
      </c>
      <c r="S23" s="1">
        <v>46143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6606974</v>
      </c>
    </row>
    <row r="24" spans="1:38" x14ac:dyDescent="0.25">
      <c r="A24" s="1">
        <v>46127</v>
      </c>
      <c r="B24" s="1">
        <v>46127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136</v>
      </c>
      <c r="J24" t="s">
        <v>137</v>
      </c>
      <c r="M24" t="s">
        <v>46</v>
      </c>
      <c r="O24" t="s">
        <v>138</v>
      </c>
      <c r="P24" t="s">
        <v>139</v>
      </c>
      <c r="Q24" t="s">
        <v>49</v>
      </c>
      <c r="R24" t="s">
        <v>50</v>
      </c>
      <c r="S24" s="1">
        <v>46143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6606975</v>
      </c>
    </row>
    <row r="25" spans="1:38" x14ac:dyDescent="0.25">
      <c r="A25" s="1">
        <v>46127</v>
      </c>
      <c r="B25" s="1">
        <v>46127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140</v>
      </c>
      <c r="J25" t="s">
        <v>141</v>
      </c>
      <c r="M25" t="s">
        <v>46</v>
      </c>
      <c r="O25" t="s">
        <v>66</v>
      </c>
      <c r="P25" t="s">
        <v>67</v>
      </c>
      <c r="Q25" t="s">
        <v>49</v>
      </c>
      <c r="R25" t="s">
        <v>50</v>
      </c>
      <c r="S25" s="1">
        <v>46143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6606976</v>
      </c>
    </row>
    <row r="26" spans="1:38" x14ac:dyDescent="0.25">
      <c r="A26" s="1">
        <v>46127</v>
      </c>
      <c r="B26" s="1">
        <v>46127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142</v>
      </c>
      <c r="J26" t="s">
        <v>143</v>
      </c>
      <c r="M26" t="s">
        <v>144</v>
      </c>
      <c r="O26" t="s">
        <v>145</v>
      </c>
      <c r="P26" t="s">
        <v>146</v>
      </c>
      <c r="Q26" t="s">
        <v>49</v>
      </c>
      <c r="R26" t="s">
        <v>147</v>
      </c>
      <c r="S26" s="1">
        <v>46113</v>
      </c>
      <c r="U26" t="s">
        <v>51</v>
      </c>
      <c r="X26" t="s">
        <v>52</v>
      </c>
      <c r="Y26" s="2">
        <v>0</v>
      </c>
      <c r="Z26" s="2">
        <v>18.75</v>
      </c>
      <c r="AA26">
        <v>1</v>
      </c>
      <c r="AB26" s="3">
        <v>1</v>
      </c>
      <c r="AC26" s="2">
        <v>18.75</v>
      </c>
      <c r="AD26" s="3">
        <v>0</v>
      </c>
      <c r="AE26" s="2">
        <v>0</v>
      </c>
      <c r="AF26" s="2">
        <v>18.75</v>
      </c>
      <c r="AK26">
        <v>6606298</v>
      </c>
      <c r="AL26" t="s">
        <v>148</v>
      </c>
    </row>
    <row r="27" spans="1:38" x14ac:dyDescent="0.25">
      <c r="A27" s="1">
        <v>46127</v>
      </c>
      <c r="B27" s="1">
        <v>46127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149</v>
      </c>
      <c r="J27" t="s">
        <v>150</v>
      </c>
      <c r="M27" t="s">
        <v>144</v>
      </c>
      <c r="O27" t="s">
        <v>145</v>
      </c>
      <c r="P27" t="s">
        <v>146</v>
      </c>
      <c r="Q27" t="s">
        <v>49</v>
      </c>
      <c r="R27" t="s">
        <v>147</v>
      </c>
      <c r="S27" s="1">
        <v>46113</v>
      </c>
      <c r="U27" t="s">
        <v>51</v>
      </c>
      <c r="X27" t="s">
        <v>52</v>
      </c>
      <c r="Y27" s="2">
        <v>0</v>
      </c>
      <c r="Z27" s="2">
        <v>18.75</v>
      </c>
      <c r="AA27">
        <v>1</v>
      </c>
      <c r="AB27" s="3">
        <v>1</v>
      </c>
      <c r="AC27" s="2">
        <v>18.75</v>
      </c>
      <c r="AD27" s="3">
        <v>0</v>
      </c>
      <c r="AE27" s="2">
        <v>0</v>
      </c>
      <c r="AF27" s="2">
        <v>18.75</v>
      </c>
      <c r="AK27">
        <v>6606300</v>
      </c>
      <c r="AL27" t="s">
        <v>148</v>
      </c>
    </row>
    <row r="28" spans="1:38" x14ac:dyDescent="0.25">
      <c r="A28" s="1">
        <v>46127</v>
      </c>
      <c r="B28" s="1">
        <v>46127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151</v>
      </c>
      <c r="J28" t="s">
        <v>152</v>
      </c>
      <c r="M28" t="s">
        <v>144</v>
      </c>
      <c r="O28" t="s">
        <v>153</v>
      </c>
      <c r="P28" t="s">
        <v>154</v>
      </c>
      <c r="Q28" t="s">
        <v>49</v>
      </c>
      <c r="R28" t="s">
        <v>147</v>
      </c>
      <c r="S28" s="1">
        <v>46113</v>
      </c>
      <c r="U28" t="s">
        <v>51</v>
      </c>
      <c r="X28" t="s">
        <v>52</v>
      </c>
      <c r="Y28" s="2">
        <v>0</v>
      </c>
      <c r="Z28" s="2">
        <v>18.75</v>
      </c>
      <c r="AA28">
        <v>1</v>
      </c>
      <c r="AB28" s="3">
        <v>1</v>
      </c>
      <c r="AC28" s="2">
        <v>18.75</v>
      </c>
      <c r="AD28" s="3">
        <v>0</v>
      </c>
      <c r="AE28" s="2">
        <v>0</v>
      </c>
      <c r="AF28" s="2">
        <v>18.75</v>
      </c>
      <c r="AK28">
        <v>6606310</v>
      </c>
      <c r="AL28" t="s">
        <v>148</v>
      </c>
    </row>
    <row r="29" spans="1:38" x14ac:dyDescent="0.25">
      <c r="A29" s="1">
        <v>46127</v>
      </c>
      <c r="B29" s="1">
        <v>46127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155</v>
      </c>
      <c r="J29" t="s">
        <v>156</v>
      </c>
      <c r="M29" t="s">
        <v>157</v>
      </c>
      <c r="O29" t="s">
        <v>83</v>
      </c>
      <c r="P29" t="s">
        <v>84</v>
      </c>
      <c r="Q29" t="s">
        <v>49</v>
      </c>
      <c r="R29" t="s">
        <v>147</v>
      </c>
      <c r="S29" s="1">
        <v>46113</v>
      </c>
      <c r="U29" t="s">
        <v>51</v>
      </c>
      <c r="X29" t="s">
        <v>52</v>
      </c>
      <c r="Y29" s="2">
        <v>0</v>
      </c>
      <c r="Z29" s="2">
        <v>18.75</v>
      </c>
      <c r="AA29">
        <v>1</v>
      </c>
      <c r="AB29" s="3">
        <v>1</v>
      </c>
      <c r="AC29" s="2">
        <v>18.75</v>
      </c>
      <c r="AD29" s="3">
        <v>0</v>
      </c>
      <c r="AE29" s="2">
        <v>0</v>
      </c>
      <c r="AF29" s="2">
        <v>18.75</v>
      </c>
      <c r="AK29">
        <v>6606317</v>
      </c>
      <c r="AL29" t="s">
        <v>148</v>
      </c>
    </row>
    <row r="30" spans="1:38" x14ac:dyDescent="0.25">
      <c r="A30" s="1">
        <v>46127</v>
      </c>
      <c r="B30" s="1">
        <v>46127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158</v>
      </c>
      <c r="J30" t="s">
        <v>159</v>
      </c>
      <c r="M30" t="s">
        <v>144</v>
      </c>
      <c r="O30" t="s">
        <v>153</v>
      </c>
      <c r="P30" t="s">
        <v>154</v>
      </c>
      <c r="Q30" t="s">
        <v>49</v>
      </c>
      <c r="R30" t="s">
        <v>147</v>
      </c>
      <c r="S30" s="1">
        <v>46113</v>
      </c>
      <c r="U30" t="s">
        <v>51</v>
      </c>
      <c r="X30" t="s">
        <v>52</v>
      </c>
      <c r="Y30" s="2">
        <v>0</v>
      </c>
      <c r="Z30" s="2">
        <v>18.75</v>
      </c>
      <c r="AA30">
        <v>1</v>
      </c>
      <c r="AB30" s="3">
        <v>1</v>
      </c>
      <c r="AC30" s="2">
        <v>18.75</v>
      </c>
      <c r="AD30" s="3">
        <v>0</v>
      </c>
      <c r="AE30" s="2">
        <v>0</v>
      </c>
      <c r="AF30" s="2">
        <v>18.75</v>
      </c>
      <c r="AK30">
        <v>6606320</v>
      </c>
      <c r="AL30" t="s">
        <v>148</v>
      </c>
    </row>
    <row r="31" spans="1:38" x14ac:dyDescent="0.25">
      <c r="A31" s="1">
        <v>46127</v>
      </c>
      <c r="B31" s="1">
        <v>46127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160</v>
      </c>
      <c r="J31" t="s">
        <v>161</v>
      </c>
      <c r="M31" t="s">
        <v>144</v>
      </c>
      <c r="O31" t="s">
        <v>145</v>
      </c>
      <c r="P31" t="s">
        <v>146</v>
      </c>
      <c r="Q31" t="s">
        <v>49</v>
      </c>
      <c r="R31" t="s">
        <v>147</v>
      </c>
      <c r="S31" s="1">
        <v>46082</v>
      </c>
      <c r="U31" t="s">
        <v>51</v>
      </c>
      <c r="X31" t="s">
        <v>52</v>
      </c>
      <c r="Y31" s="2">
        <v>0</v>
      </c>
      <c r="Z31" s="2">
        <v>20.83</v>
      </c>
      <c r="AA31">
        <v>1</v>
      </c>
      <c r="AB31" s="3">
        <v>1</v>
      </c>
      <c r="AC31" s="2">
        <v>20.83</v>
      </c>
      <c r="AD31" s="3">
        <v>0</v>
      </c>
      <c r="AE31" s="2">
        <v>0</v>
      </c>
      <c r="AF31" s="2">
        <v>20.83</v>
      </c>
      <c r="AK31">
        <v>6606321</v>
      </c>
      <c r="AL31" t="s">
        <v>162</v>
      </c>
    </row>
    <row r="32" spans="1:38" x14ac:dyDescent="0.25">
      <c r="A32" s="1">
        <v>46127</v>
      </c>
      <c r="B32" s="1">
        <v>46127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163</v>
      </c>
      <c r="J32" t="s">
        <v>164</v>
      </c>
      <c r="M32" t="s">
        <v>144</v>
      </c>
      <c r="O32" t="s">
        <v>145</v>
      </c>
      <c r="P32" t="s">
        <v>146</v>
      </c>
      <c r="Q32" t="s">
        <v>49</v>
      </c>
      <c r="R32" t="s">
        <v>147</v>
      </c>
      <c r="S32" s="1">
        <v>46113</v>
      </c>
      <c r="U32" t="s">
        <v>51</v>
      </c>
      <c r="X32" t="s">
        <v>52</v>
      </c>
      <c r="Y32" s="2">
        <v>0</v>
      </c>
      <c r="Z32" s="2">
        <v>18.75</v>
      </c>
      <c r="AA32">
        <v>1</v>
      </c>
      <c r="AB32" s="3">
        <v>1</v>
      </c>
      <c r="AC32" s="2">
        <v>18.75</v>
      </c>
      <c r="AD32" s="3">
        <v>0</v>
      </c>
      <c r="AE32" s="2">
        <v>0</v>
      </c>
      <c r="AF32" s="2">
        <v>18.75</v>
      </c>
      <c r="AK32">
        <v>6606322</v>
      </c>
      <c r="AL32" t="s">
        <v>148</v>
      </c>
    </row>
    <row r="33" spans="1:38" x14ac:dyDescent="0.25">
      <c r="A33" s="1">
        <v>46127</v>
      </c>
      <c r="B33" s="1">
        <v>46127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165</v>
      </c>
      <c r="J33" t="s">
        <v>166</v>
      </c>
      <c r="M33" t="s">
        <v>70</v>
      </c>
      <c r="O33" t="s">
        <v>167</v>
      </c>
      <c r="P33" t="s">
        <v>168</v>
      </c>
      <c r="Q33" t="s">
        <v>49</v>
      </c>
      <c r="R33" t="s">
        <v>147</v>
      </c>
      <c r="S33" s="1">
        <v>46113</v>
      </c>
      <c r="U33" t="s">
        <v>51</v>
      </c>
      <c r="X33" t="s">
        <v>52</v>
      </c>
      <c r="Y33" s="2">
        <v>0</v>
      </c>
      <c r="Z33" s="2">
        <v>18.75</v>
      </c>
      <c r="AA33">
        <v>1</v>
      </c>
      <c r="AB33" s="3">
        <v>1</v>
      </c>
      <c r="AC33" s="2">
        <v>18.75</v>
      </c>
      <c r="AD33" s="3">
        <v>0</v>
      </c>
      <c r="AE33" s="2">
        <v>0</v>
      </c>
      <c r="AF33" s="2">
        <v>18.75</v>
      </c>
      <c r="AK33">
        <v>6606329</v>
      </c>
      <c r="AL33" t="s">
        <v>148</v>
      </c>
    </row>
    <row r="34" spans="1:38" x14ac:dyDescent="0.25">
      <c r="A34" s="1">
        <v>46127</v>
      </c>
      <c r="B34" s="1">
        <v>46127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169</v>
      </c>
      <c r="J34" t="s">
        <v>170</v>
      </c>
      <c r="M34" t="s">
        <v>70</v>
      </c>
      <c r="O34" t="s">
        <v>130</v>
      </c>
      <c r="P34" t="s">
        <v>131</v>
      </c>
      <c r="Q34" t="s">
        <v>73</v>
      </c>
      <c r="R34" t="s">
        <v>171</v>
      </c>
      <c r="S34" s="1">
        <v>46023</v>
      </c>
      <c r="U34" t="s">
        <v>51</v>
      </c>
      <c r="X34" t="s">
        <v>52</v>
      </c>
      <c r="Y34" s="2">
        <v>0</v>
      </c>
      <c r="Z34" s="2">
        <v>1.28</v>
      </c>
      <c r="AA34">
        <v>1</v>
      </c>
      <c r="AB34" s="3">
        <v>1</v>
      </c>
      <c r="AC34" s="2">
        <v>1.28</v>
      </c>
      <c r="AD34" s="3">
        <v>0</v>
      </c>
      <c r="AE34" s="2">
        <v>0</v>
      </c>
      <c r="AF34" s="2">
        <v>1.28</v>
      </c>
      <c r="AK34">
        <v>0</v>
      </c>
      <c r="AL34" t="s">
        <v>172</v>
      </c>
    </row>
    <row r="35" spans="1:38" x14ac:dyDescent="0.25">
      <c r="A35" s="1">
        <v>46127</v>
      </c>
      <c r="B35" s="1">
        <v>46127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173</v>
      </c>
      <c r="J35" t="s">
        <v>174</v>
      </c>
      <c r="M35" t="s">
        <v>144</v>
      </c>
      <c r="O35" t="s">
        <v>175</v>
      </c>
      <c r="P35" t="s">
        <v>176</v>
      </c>
      <c r="Q35" t="s">
        <v>49</v>
      </c>
      <c r="R35" t="s">
        <v>147</v>
      </c>
      <c r="S35" s="1">
        <v>46113</v>
      </c>
      <c r="U35" t="s">
        <v>51</v>
      </c>
      <c r="X35" t="s">
        <v>52</v>
      </c>
      <c r="Y35" s="2">
        <v>0</v>
      </c>
      <c r="Z35" s="2">
        <v>18.75</v>
      </c>
      <c r="AA35">
        <v>1</v>
      </c>
      <c r="AB35" s="3">
        <v>1</v>
      </c>
      <c r="AC35" s="2">
        <v>18.75</v>
      </c>
      <c r="AD35" s="3">
        <v>0</v>
      </c>
      <c r="AE35" s="2">
        <v>0</v>
      </c>
      <c r="AF35" s="2">
        <v>18.75</v>
      </c>
      <c r="AK35">
        <v>6606339</v>
      </c>
      <c r="AL35" t="s">
        <v>148</v>
      </c>
    </row>
    <row r="36" spans="1:38" x14ac:dyDescent="0.25">
      <c r="A36" s="1">
        <v>46127</v>
      </c>
      <c r="B36" s="1">
        <v>46127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177</v>
      </c>
      <c r="J36" t="s">
        <v>178</v>
      </c>
      <c r="M36" t="s">
        <v>46</v>
      </c>
      <c r="O36" t="s">
        <v>179</v>
      </c>
      <c r="P36" t="s">
        <v>180</v>
      </c>
      <c r="Q36" t="s">
        <v>49</v>
      </c>
      <c r="R36" t="s">
        <v>147</v>
      </c>
      <c r="S36" s="1">
        <v>46143</v>
      </c>
      <c r="U36" t="s">
        <v>51</v>
      </c>
      <c r="X36" t="s">
        <v>52</v>
      </c>
      <c r="Y36" s="2">
        <v>0</v>
      </c>
      <c r="Z36" s="2">
        <v>16.670000000000002</v>
      </c>
      <c r="AA36">
        <v>1</v>
      </c>
      <c r="AB36" s="3">
        <v>1</v>
      </c>
      <c r="AC36" s="2">
        <v>16.670000000000002</v>
      </c>
      <c r="AD36" s="3">
        <v>0</v>
      </c>
      <c r="AE36" s="2">
        <v>0</v>
      </c>
      <c r="AF36" s="2">
        <v>16.670000000000002</v>
      </c>
      <c r="AK36">
        <v>6606344</v>
      </c>
      <c r="AL36" t="s">
        <v>181</v>
      </c>
    </row>
    <row r="37" spans="1:38" x14ac:dyDescent="0.25">
      <c r="A37" s="1">
        <v>46127</v>
      </c>
      <c r="B37" s="1">
        <v>46127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182</v>
      </c>
      <c r="J37" t="s">
        <v>183</v>
      </c>
      <c r="M37" t="s">
        <v>46</v>
      </c>
      <c r="O37" t="s">
        <v>110</v>
      </c>
      <c r="P37" t="s">
        <v>111</v>
      </c>
      <c r="Q37" t="s">
        <v>49</v>
      </c>
      <c r="R37" t="s">
        <v>147</v>
      </c>
      <c r="S37" s="1">
        <v>46113</v>
      </c>
      <c r="U37" t="s">
        <v>51</v>
      </c>
      <c r="X37" t="s">
        <v>52</v>
      </c>
      <c r="Y37" s="2">
        <v>0</v>
      </c>
      <c r="Z37" s="2">
        <v>18.75</v>
      </c>
      <c r="AA37">
        <v>1</v>
      </c>
      <c r="AB37" s="3">
        <v>1</v>
      </c>
      <c r="AC37" s="2">
        <v>18.75</v>
      </c>
      <c r="AD37" s="3">
        <v>0</v>
      </c>
      <c r="AE37" s="2">
        <v>0</v>
      </c>
      <c r="AF37" s="2">
        <v>18.75</v>
      </c>
      <c r="AK37">
        <v>6606379</v>
      </c>
      <c r="AL37" t="s">
        <v>148</v>
      </c>
    </row>
    <row r="38" spans="1:38" x14ac:dyDescent="0.25">
      <c r="A38" s="1">
        <v>46127</v>
      </c>
      <c r="B38" s="1">
        <v>46127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184</v>
      </c>
      <c r="J38" t="s">
        <v>185</v>
      </c>
      <c r="M38" t="s">
        <v>186</v>
      </c>
      <c r="O38" t="s">
        <v>187</v>
      </c>
      <c r="P38" t="s">
        <v>188</v>
      </c>
      <c r="Q38" t="s">
        <v>49</v>
      </c>
      <c r="R38" t="s">
        <v>189</v>
      </c>
      <c r="S38" s="1">
        <v>46113</v>
      </c>
      <c r="U38" t="s">
        <v>51</v>
      </c>
      <c r="X38" t="s">
        <v>52</v>
      </c>
      <c r="Y38" s="2">
        <v>0</v>
      </c>
      <c r="Z38" s="2">
        <v>260.25</v>
      </c>
      <c r="AA38">
        <v>1</v>
      </c>
      <c r="AB38" s="3">
        <v>1</v>
      </c>
      <c r="AC38" s="2">
        <v>260.25</v>
      </c>
      <c r="AD38" s="3">
        <v>0</v>
      </c>
      <c r="AE38" s="2">
        <v>0</v>
      </c>
      <c r="AF38" s="2">
        <v>260.25</v>
      </c>
      <c r="AK38">
        <v>6607226</v>
      </c>
      <c r="AL38" t="s">
        <v>148</v>
      </c>
    </row>
    <row r="39" spans="1:38" x14ac:dyDescent="0.25">
      <c r="A39" s="1">
        <v>46127</v>
      </c>
      <c r="B39" s="1">
        <v>46127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190</v>
      </c>
      <c r="J39" t="s">
        <v>185</v>
      </c>
      <c r="M39" t="s">
        <v>186</v>
      </c>
      <c r="O39" t="s">
        <v>187</v>
      </c>
      <c r="P39" t="s">
        <v>188</v>
      </c>
      <c r="Q39" t="s">
        <v>49</v>
      </c>
      <c r="R39" t="s">
        <v>191</v>
      </c>
      <c r="S39" s="1">
        <v>46113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6607255</v>
      </c>
    </row>
    <row r="40" spans="1:38" x14ac:dyDescent="0.25">
      <c r="A40" s="1">
        <v>46127</v>
      </c>
      <c r="B40" s="1">
        <v>46127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194</v>
      </c>
      <c r="O40" t="s">
        <v>195</v>
      </c>
      <c r="P40" t="s">
        <v>196</v>
      </c>
      <c r="Q40" t="s">
        <v>49</v>
      </c>
      <c r="R40" t="s">
        <v>197</v>
      </c>
      <c r="S40" s="1">
        <v>46174</v>
      </c>
      <c r="U40" t="s">
        <v>51</v>
      </c>
      <c r="X40" t="s">
        <v>52</v>
      </c>
      <c r="Y40" s="2">
        <v>0</v>
      </c>
      <c r="Z40" s="2">
        <v>100</v>
      </c>
      <c r="AA40">
        <v>1</v>
      </c>
      <c r="AB40" s="3">
        <v>1</v>
      </c>
      <c r="AC40" s="2">
        <v>100</v>
      </c>
      <c r="AD40" s="3">
        <v>0</v>
      </c>
      <c r="AE40" s="2">
        <v>0</v>
      </c>
      <c r="AF40" s="2">
        <v>100</v>
      </c>
      <c r="AK40">
        <v>6606624</v>
      </c>
    </row>
    <row r="41" spans="1:38" x14ac:dyDescent="0.25">
      <c r="A41" s="1">
        <v>46127</v>
      </c>
      <c r="B41" s="1">
        <v>46127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198</v>
      </c>
      <c r="J41" t="s">
        <v>199</v>
      </c>
      <c r="M41" t="s">
        <v>200</v>
      </c>
      <c r="O41" t="s">
        <v>201</v>
      </c>
      <c r="P41" t="s">
        <v>202</v>
      </c>
      <c r="Q41" t="s">
        <v>49</v>
      </c>
      <c r="R41" t="s">
        <v>197</v>
      </c>
      <c r="S41" s="1">
        <v>46113</v>
      </c>
      <c r="U41" t="s">
        <v>51</v>
      </c>
      <c r="X41" t="s">
        <v>52</v>
      </c>
      <c r="Y41" s="2">
        <v>0</v>
      </c>
      <c r="Z41" s="2">
        <v>100</v>
      </c>
      <c r="AA41">
        <v>1</v>
      </c>
      <c r="AB41" s="3">
        <v>1</v>
      </c>
      <c r="AC41" s="2">
        <v>100</v>
      </c>
      <c r="AD41" s="3">
        <v>0</v>
      </c>
      <c r="AE41" s="2">
        <v>0</v>
      </c>
      <c r="AF41" s="2">
        <v>100</v>
      </c>
      <c r="AK41">
        <v>6606625</v>
      </c>
    </row>
    <row r="42" spans="1:38" x14ac:dyDescent="0.25">
      <c r="A42" s="1">
        <v>46127</v>
      </c>
      <c r="B42" s="1">
        <v>46127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203</v>
      </c>
      <c r="J42" t="s">
        <v>204</v>
      </c>
      <c r="M42" t="s">
        <v>205</v>
      </c>
      <c r="O42" t="s">
        <v>206</v>
      </c>
      <c r="P42" t="s">
        <v>207</v>
      </c>
      <c r="Q42" t="s">
        <v>49</v>
      </c>
      <c r="R42" t="s">
        <v>208</v>
      </c>
      <c r="S42" s="1">
        <v>46113</v>
      </c>
      <c r="U42" t="s">
        <v>51</v>
      </c>
      <c r="X42" t="s">
        <v>52</v>
      </c>
      <c r="Y42" s="2">
        <v>0</v>
      </c>
      <c r="Z42" s="2">
        <v>406</v>
      </c>
      <c r="AA42">
        <v>1</v>
      </c>
      <c r="AB42" s="3">
        <v>1</v>
      </c>
      <c r="AC42" s="2">
        <v>406</v>
      </c>
      <c r="AD42" s="3">
        <v>0</v>
      </c>
      <c r="AE42" s="2">
        <v>0</v>
      </c>
      <c r="AF42" s="2">
        <v>406</v>
      </c>
      <c r="AK42">
        <v>6607260</v>
      </c>
    </row>
    <row r="43" spans="1:38" x14ac:dyDescent="0.25">
      <c r="A43" s="1">
        <v>46127</v>
      </c>
      <c r="B43" s="1">
        <v>46127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209</v>
      </c>
      <c r="J43" t="s">
        <v>204</v>
      </c>
      <c r="M43" t="s">
        <v>205</v>
      </c>
      <c r="O43" t="s">
        <v>206</v>
      </c>
      <c r="P43" t="s">
        <v>207</v>
      </c>
      <c r="Q43" t="s">
        <v>49</v>
      </c>
      <c r="R43" t="s">
        <v>210</v>
      </c>
      <c r="S43" s="1">
        <v>46113</v>
      </c>
      <c r="U43" t="s">
        <v>51</v>
      </c>
      <c r="X43" t="s">
        <v>52</v>
      </c>
      <c r="Y43" s="2">
        <v>0</v>
      </c>
      <c r="Z43" s="2">
        <v>113</v>
      </c>
      <c r="AA43">
        <v>1</v>
      </c>
      <c r="AB43" s="3">
        <v>1</v>
      </c>
      <c r="AC43" s="2">
        <v>113</v>
      </c>
      <c r="AD43" s="3">
        <v>0</v>
      </c>
      <c r="AE43" s="2">
        <v>0</v>
      </c>
      <c r="AF43" s="2">
        <v>113</v>
      </c>
      <c r="AK43">
        <v>6607383</v>
      </c>
    </row>
    <row r="44" spans="1:38" x14ac:dyDescent="0.25">
      <c r="A44" s="1">
        <v>46127</v>
      </c>
      <c r="B44" s="1">
        <v>46127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211</v>
      </c>
      <c r="J44" t="s">
        <v>212</v>
      </c>
      <c r="M44" t="s">
        <v>213</v>
      </c>
      <c r="O44" t="s">
        <v>214</v>
      </c>
      <c r="P44" t="s">
        <v>215</v>
      </c>
      <c r="Q44" t="s">
        <v>49</v>
      </c>
      <c r="R44" t="s">
        <v>216</v>
      </c>
      <c r="S44" s="1">
        <v>46113</v>
      </c>
      <c r="U44" t="s">
        <v>51</v>
      </c>
      <c r="X44" t="s">
        <v>52</v>
      </c>
      <c r="Y44" s="2">
        <v>0</v>
      </c>
      <c r="Z44" s="2">
        <v>324</v>
      </c>
      <c r="AA44">
        <v>1</v>
      </c>
      <c r="AB44" s="3">
        <v>1</v>
      </c>
      <c r="AC44" s="2">
        <v>324</v>
      </c>
      <c r="AD44" s="3">
        <v>0</v>
      </c>
      <c r="AE44" s="2">
        <v>0</v>
      </c>
      <c r="AF44" s="2">
        <v>324</v>
      </c>
      <c r="AK44">
        <v>6607483</v>
      </c>
      <c r="AL44" t="s">
        <v>148</v>
      </c>
    </row>
    <row r="45" spans="1:38" x14ac:dyDescent="0.25">
      <c r="A45" s="1">
        <v>46127</v>
      </c>
      <c r="B45" s="1">
        <v>46127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217</v>
      </c>
      <c r="J45" t="s">
        <v>212</v>
      </c>
      <c r="M45" t="s">
        <v>213</v>
      </c>
      <c r="O45" t="s">
        <v>214</v>
      </c>
      <c r="P45" t="s">
        <v>215</v>
      </c>
      <c r="Q45" t="s">
        <v>49</v>
      </c>
      <c r="R45" t="s">
        <v>191</v>
      </c>
      <c r="S45" s="1">
        <v>46113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6607508</v>
      </c>
    </row>
    <row r="46" spans="1:38" x14ac:dyDescent="0.25">
      <c r="A46" s="1">
        <v>46127</v>
      </c>
      <c r="B46" s="1">
        <v>46127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218</v>
      </c>
      <c r="J46" t="s">
        <v>219</v>
      </c>
      <c r="M46" t="s">
        <v>70</v>
      </c>
      <c r="O46" t="s">
        <v>130</v>
      </c>
      <c r="P46" t="s">
        <v>131</v>
      </c>
      <c r="Q46" t="s">
        <v>49</v>
      </c>
      <c r="R46" t="s">
        <v>220</v>
      </c>
      <c r="S46" s="1">
        <v>46113</v>
      </c>
      <c r="U46" t="s">
        <v>51</v>
      </c>
      <c r="X46" t="s">
        <v>52</v>
      </c>
      <c r="Y46" s="2">
        <v>0</v>
      </c>
      <c r="Z46" s="2">
        <v>694</v>
      </c>
      <c r="AA46">
        <v>1</v>
      </c>
      <c r="AB46" s="3">
        <v>1</v>
      </c>
      <c r="AC46" s="2">
        <v>694</v>
      </c>
      <c r="AD46" s="3">
        <v>0</v>
      </c>
      <c r="AE46" s="2">
        <v>0</v>
      </c>
      <c r="AF46" s="2">
        <v>694</v>
      </c>
      <c r="AK46">
        <v>6607293</v>
      </c>
    </row>
    <row r="47" spans="1:38" x14ac:dyDescent="0.25">
      <c r="A47" s="1">
        <v>46127</v>
      </c>
      <c r="B47" s="1">
        <v>46127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221</v>
      </c>
      <c r="J47" t="s">
        <v>222</v>
      </c>
      <c r="M47" t="s">
        <v>46</v>
      </c>
      <c r="O47" t="s">
        <v>110</v>
      </c>
      <c r="P47" t="s">
        <v>111</v>
      </c>
      <c r="Q47" t="s">
        <v>49</v>
      </c>
      <c r="R47" t="s">
        <v>220</v>
      </c>
      <c r="S47" s="1">
        <v>46113</v>
      </c>
      <c r="U47" t="s">
        <v>51</v>
      </c>
      <c r="X47" t="s">
        <v>52</v>
      </c>
      <c r="Y47" s="2">
        <v>0</v>
      </c>
      <c r="Z47" s="2">
        <v>694</v>
      </c>
      <c r="AA47">
        <v>1</v>
      </c>
      <c r="AB47" s="3">
        <v>1</v>
      </c>
      <c r="AC47" s="2">
        <v>694</v>
      </c>
      <c r="AD47" s="3">
        <v>0</v>
      </c>
      <c r="AE47" s="2">
        <v>0</v>
      </c>
      <c r="AF47" s="2">
        <v>694</v>
      </c>
      <c r="AK47">
        <v>6607345</v>
      </c>
    </row>
    <row r="48" spans="1:38" x14ac:dyDescent="0.25">
      <c r="A48" s="1">
        <v>46127</v>
      </c>
      <c r="B48" s="1">
        <v>46127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223</v>
      </c>
      <c r="J48" t="s">
        <v>224</v>
      </c>
      <c r="M48" t="s">
        <v>144</v>
      </c>
      <c r="O48" t="s">
        <v>225</v>
      </c>
      <c r="P48" t="s">
        <v>226</v>
      </c>
      <c r="Q48" t="s">
        <v>49</v>
      </c>
      <c r="R48" t="s">
        <v>227</v>
      </c>
      <c r="S48" s="1">
        <v>46113</v>
      </c>
      <c r="U48" t="s">
        <v>51</v>
      </c>
      <c r="X48" t="s">
        <v>52</v>
      </c>
      <c r="Y48" s="2">
        <v>0</v>
      </c>
      <c r="Z48" s="2">
        <v>465</v>
      </c>
      <c r="AA48">
        <v>1</v>
      </c>
      <c r="AB48" s="3">
        <v>1</v>
      </c>
      <c r="AC48" s="2">
        <v>465</v>
      </c>
      <c r="AD48" s="3">
        <v>0</v>
      </c>
      <c r="AE48" s="2">
        <v>0</v>
      </c>
      <c r="AF48" s="2">
        <v>465</v>
      </c>
      <c r="AK48">
        <v>6607535</v>
      </c>
    </row>
    <row r="49" spans="1:38" x14ac:dyDescent="0.25">
      <c r="A49" s="1">
        <v>46127</v>
      </c>
      <c r="B49" s="1">
        <v>46127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228</v>
      </c>
      <c r="J49" t="s">
        <v>224</v>
      </c>
      <c r="M49" t="s">
        <v>144</v>
      </c>
      <c r="O49" t="s">
        <v>225</v>
      </c>
      <c r="P49" t="s">
        <v>226</v>
      </c>
      <c r="Q49" t="s">
        <v>49</v>
      </c>
      <c r="R49" t="s">
        <v>210</v>
      </c>
      <c r="S49" s="1">
        <v>46113</v>
      </c>
      <c r="U49" t="s">
        <v>51</v>
      </c>
      <c r="X49" t="s">
        <v>52</v>
      </c>
      <c r="Y49" s="2">
        <v>0</v>
      </c>
      <c r="Z49" s="2">
        <v>113</v>
      </c>
      <c r="AA49">
        <v>1</v>
      </c>
      <c r="AB49" s="3">
        <v>1</v>
      </c>
      <c r="AC49" s="2">
        <v>113</v>
      </c>
      <c r="AD49" s="3">
        <v>0</v>
      </c>
      <c r="AE49" s="2">
        <v>0</v>
      </c>
      <c r="AF49" s="2">
        <v>113</v>
      </c>
      <c r="AK49">
        <v>6607536</v>
      </c>
    </row>
    <row r="50" spans="1:38" x14ac:dyDescent="0.25">
      <c r="A50" s="1">
        <v>46127</v>
      </c>
      <c r="B50" s="1">
        <v>46127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229</v>
      </c>
      <c r="J50" t="s">
        <v>230</v>
      </c>
      <c r="M50" t="s">
        <v>82</v>
      </c>
      <c r="O50" t="s">
        <v>231</v>
      </c>
      <c r="P50" t="s">
        <v>232</v>
      </c>
      <c r="Q50" t="s">
        <v>49</v>
      </c>
      <c r="R50" t="s">
        <v>220</v>
      </c>
      <c r="S50" s="1">
        <v>46113</v>
      </c>
      <c r="U50" t="s">
        <v>51</v>
      </c>
      <c r="X50" t="s">
        <v>52</v>
      </c>
      <c r="Y50" s="2">
        <v>0</v>
      </c>
      <c r="Z50" s="2">
        <v>694</v>
      </c>
      <c r="AA50">
        <v>1</v>
      </c>
      <c r="AB50" s="3">
        <v>1</v>
      </c>
      <c r="AC50" s="2">
        <v>694</v>
      </c>
      <c r="AD50" s="3">
        <v>0</v>
      </c>
      <c r="AE50" s="2">
        <v>0</v>
      </c>
      <c r="AF50" s="2">
        <v>694</v>
      </c>
      <c r="AK50">
        <v>6607386</v>
      </c>
    </row>
    <row r="51" spans="1:38" x14ac:dyDescent="0.25">
      <c r="A51" s="1">
        <v>46127</v>
      </c>
      <c r="B51" s="1">
        <v>46127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233</v>
      </c>
      <c r="J51" t="s">
        <v>234</v>
      </c>
      <c r="M51" t="s">
        <v>70</v>
      </c>
      <c r="O51" t="s">
        <v>94</v>
      </c>
      <c r="P51" t="s">
        <v>95</v>
      </c>
      <c r="Q51" t="s">
        <v>49</v>
      </c>
      <c r="R51" t="s">
        <v>220</v>
      </c>
      <c r="S51" s="1">
        <v>46113</v>
      </c>
      <c r="U51" t="s">
        <v>51</v>
      </c>
      <c r="X51" t="s">
        <v>52</v>
      </c>
      <c r="Y51" s="2">
        <v>0</v>
      </c>
      <c r="Z51" s="2">
        <v>694</v>
      </c>
      <c r="AA51">
        <v>1</v>
      </c>
      <c r="AB51" s="3">
        <v>1</v>
      </c>
      <c r="AC51" s="2">
        <v>694</v>
      </c>
      <c r="AD51" s="3">
        <v>0</v>
      </c>
      <c r="AE51" s="2">
        <v>0</v>
      </c>
      <c r="AF51" s="2">
        <v>694</v>
      </c>
      <c r="AK51">
        <v>6607405</v>
      </c>
    </row>
    <row r="52" spans="1:38" x14ac:dyDescent="0.25">
      <c r="A52" s="1">
        <v>46127</v>
      </c>
      <c r="B52" s="1">
        <v>46127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235</v>
      </c>
      <c r="J52" t="s">
        <v>234</v>
      </c>
      <c r="M52" t="s">
        <v>70</v>
      </c>
      <c r="O52" t="s">
        <v>94</v>
      </c>
      <c r="P52" t="s">
        <v>95</v>
      </c>
      <c r="Q52" t="s">
        <v>49</v>
      </c>
      <c r="R52" t="s">
        <v>191</v>
      </c>
      <c r="S52" s="1">
        <v>46113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6607181</v>
      </c>
    </row>
    <row r="53" spans="1:38" x14ac:dyDescent="0.25">
      <c r="A53" s="1">
        <v>46127</v>
      </c>
      <c r="B53" s="1">
        <v>46127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236</v>
      </c>
      <c r="J53" t="s">
        <v>237</v>
      </c>
      <c r="M53" t="s">
        <v>238</v>
      </c>
      <c r="O53" t="s">
        <v>110</v>
      </c>
      <c r="P53" t="s">
        <v>111</v>
      </c>
      <c r="Q53" t="s">
        <v>49</v>
      </c>
      <c r="R53" t="s">
        <v>189</v>
      </c>
      <c r="S53" s="1">
        <v>46143</v>
      </c>
      <c r="U53" t="s">
        <v>51</v>
      </c>
      <c r="X53" t="s">
        <v>52</v>
      </c>
      <c r="Y53" s="2">
        <v>0</v>
      </c>
      <c r="Z53" s="2">
        <v>231.33</v>
      </c>
      <c r="AA53">
        <v>1</v>
      </c>
      <c r="AB53" s="3">
        <v>1</v>
      </c>
      <c r="AC53" s="2">
        <v>231.33</v>
      </c>
      <c r="AD53" s="3">
        <v>0</v>
      </c>
      <c r="AE53" s="2">
        <v>0</v>
      </c>
      <c r="AF53" s="2">
        <v>231.33</v>
      </c>
      <c r="AK53">
        <v>6607537</v>
      </c>
      <c r="AL53" t="s">
        <v>181</v>
      </c>
    </row>
    <row r="54" spans="1:38" x14ac:dyDescent="0.25">
      <c r="A54" s="1">
        <v>46127</v>
      </c>
      <c r="B54" s="1">
        <v>46127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239</v>
      </c>
      <c r="J54" t="s">
        <v>237</v>
      </c>
      <c r="M54" t="s">
        <v>238</v>
      </c>
      <c r="O54" t="s">
        <v>110</v>
      </c>
      <c r="P54" t="s">
        <v>111</v>
      </c>
      <c r="Q54" t="s">
        <v>49</v>
      </c>
      <c r="R54" t="s">
        <v>191</v>
      </c>
      <c r="S54" s="1">
        <v>46143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6607538</v>
      </c>
    </row>
    <row r="55" spans="1:38" x14ac:dyDescent="0.25">
      <c r="A55" s="1">
        <v>46127</v>
      </c>
      <c r="B55" s="1">
        <v>46127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240</v>
      </c>
      <c r="J55" t="s">
        <v>241</v>
      </c>
      <c r="M55" t="s">
        <v>242</v>
      </c>
      <c r="O55" t="s">
        <v>214</v>
      </c>
      <c r="P55" t="s">
        <v>215</v>
      </c>
      <c r="Q55" t="s">
        <v>49</v>
      </c>
      <c r="R55" t="s">
        <v>189</v>
      </c>
      <c r="S55" s="1">
        <v>46143</v>
      </c>
      <c r="U55" t="s">
        <v>51</v>
      </c>
      <c r="X55" t="s">
        <v>52</v>
      </c>
      <c r="Y55" s="2">
        <v>0</v>
      </c>
      <c r="Z55" s="2">
        <v>231.33</v>
      </c>
      <c r="AA55">
        <v>1</v>
      </c>
      <c r="AB55" s="3">
        <v>1</v>
      </c>
      <c r="AC55" s="2">
        <v>231.33</v>
      </c>
      <c r="AD55" s="3">
        <v>0</v>
      </c>
      <c r="AE55" s="2">
        <v>0</v>
      </c>
      <c r="AF55" s="2">
        <v>231.33</v>
      </c>
      <c r="AK55">
        <v>6607539</v>
      </c>
      <c r="AL55" t="s">
        <v>181</v>
      </c>
    </row>
    <row r="56" spans="1:38" x14ac:dyDescent="0.25">
      <c r="A56" s="1">
        <v>46127</v>
      </c>
      <c r="B56" s="1">
        <v>46127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243</v>
      </c>
      <c r="J56" t="s">
        <v>241</v>
      </c>
      <c r="M56" t="s">
        <v>242</v>
      </c>
      <c r="O56" t="s">
        <v>214</v>
      </c>
      <c r="P56" t="s">
        <v>215</v>
      </c>
      <c r="Q56" t="s">
        <v>49</v>
      </c>
      <c r="R56" t="s">
        <v>244</v>
      </c>
      <c r="S56" s="1">
        <v>46143</v>
      </c>
      <c r="U56" t="s">
        <v>51</v>
      </c>
      <c r="X56" t="s">
        <v>52</v>
      </c>
      <c r="Y56" s="2">
        <v>0</v>
      </c>
      <c r="Z56" s="2">
        <v>48</v>
      </c>
      <c r="AA56">
        <v>1</v>
      </c>
      <c r="AB56" s="3">
        <v>1</v>
      </c>
      <c r="AC56" s="2">
        <v>48</v>
      </c>
      <c r="AD56" s="3">
        <v>0</v>
      </c>
      <c r="AE56" s="2">
        <v>0</v>
      </c>
      <c r="AF56" s="2">
        <v>48</v>
      </c>
      <c r="AK56">
        <v>6607540</v>
      </c>
      <c r="AL56" t="s">
        <v>181</v>
      </c>
    </row>
    <row r="57" spans="1:38" x14ac:dyDescent="0.25">
      <c r="A57" s="1">
        <v>46127</v>
      </c>
      <c r="B57" s="1">
        <v>46127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245</v>
      </c>
      <c r="J57" t="s">
        <v>246</v>
      </c>
      <c r="M57" t="s">
        <v>157</v>
      </c>
      <c r="O57" t="s">
        <v>231</v>
      </c>
      <c r="P57" t="s">
        <v>232</v>
      </c>
      <c r="Q57" t="s">
        <v>73</v>
      </c>
      <c r="R57" t="s">
        <v>247</v>
      </c>
      <c r="S57" s="1">
        <v>46082</v>
      </c>
      <c r="U57" t="s">
        <v>51</v>
      </c>
      <c r="X57" t="s">
        <v>52</v>
      </c>
      <c r="Y57" s="2">
        <v>0</v>
      </c>
      <c r="Z57" s="2">
        <v>465.6</v>
      </c>
      <c r="AA57">
        <v>1</v>
      </c>
      <c r="AB57" s="3">
        <v>1</v>
      </c>
      <c r="AC57" s="2">
        <v>465.6</v>
      </c>
      <c r="AD57" s="3">
        <v>0</v>
      </c>
      <c r="AE57" s="2">
        <v>0</v>
      </c>
      <c r="AF57" s="2">
        <v>465.6</v>
      </c>
      <c r="AK57">
        <v>0</v>
      </c>
      <c r="AL57" t="s">
        <v>248</v>
      </c>
    </row>
    <row r="58" spans="1:38" x14ac:dyDescent="0.25">
      <c r="A58" s="1">
        <v>46127</v>
      </c>
      <c r="B58" s="1">
        <v>46127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249</v>
      </c>
      <c r="J58" t="s">
        <v>250</v>
      </c>
      <c r="M58" t="s">
        <v>205</v>
      </c>
      <c r="O58" t="s">
        <v>206</v>
      </c>
      <c r="P58" t="s">
        <v>207</v>
      </c>
      <c r="Q58" t="s">
        <v>49</v>
      </c>
      <c r="R58" t="s">
        <v>251</v>
      </c>
      <c r="S58" s="1">
        <v>46113</v>
      </c>
      <c r="U58" t="s">
        <v>51</v>
      </c>
      <c r="X58" t="s">
        <v>52</v>
      </c>
      <c r="Y58" s="2">
        <v>0</v>
      </c>
      <c r="Z58" s="2">
        <v>31.02</v>
      </c>
      <c r="AA58">
        <v>9</v>
      </c>
      <c r="AB58" s="3">
        <v>1</v>
      </c>
      <c r="AC58" s="2">
        <v>279.18</v>
      </c>
      <c r="AD58" s="3">
        <v>0</v>
      </c>
      <c r="AE58" s="2">
        <v>0</v>
      </c>
      <c r="AF58" s="2">
        <v>279.18</v>
      </c>
      <c r="AK58">
        <v>6607025</v>
      </c>
    </row>
    <row r="59" spans="1:38" x14ac:dyDescent="0.25">
      <c r="A59" s="1">
        <v>46127</v>
      </c>
      <c r="B59" s="1">
        <v>46127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252</v>
      </c>
      <c r="J59" t="s">
        <v>253</v>
      </c>
      <c r="M59" t="s">
        <v>157</v>
      </c>
      <c r="O59" t="s">
        <v>231</v>
      </c>
      <c r="P59" t="s">
        <v>232</v>
      </c>
      <c r="Q59" t="s">
        <v>49</v>
      </c>
      <c r="R59" t="s">
        <v>254</v>
      </c>
      <c r="S59" s="1">
        <v>46143</v>
      </c>
      <c r="U59" t="s">
        <v>51</v>
      </c>
      <c r="X59" t="s">
        <v>52</v>
      </c>
      <c r="Y59" s="2">
        <v>0</v>
      </c>
      <c r="Z59" s="2">
        <v>44.31</v>
      </c>
      <c r="AA59">
        <v>9</v>
      </c>
      <c r="AB59" s="3">
        <v>1</v>
      </c>
      <c r="AC59" s="2">
        <v>398.79</v>
      </c>
      <c r="AD59" s="3">
        <v>0</v>
      </c>
      <c r="AE59" s="2">
        <v>0</v>
      </c>
      <c r="AF59" s="2">
        <v>398.79</v>
      </c>
      <c r="AK59">
        <v>6607026</v>
      </c>
    </row>
    <row r="60" spans="1:38" x14ac:dyDescent="0.25">
      <c r="A60" s="1">
        <v>46127</v>
      </c>
      <c r="B60" s="1">
        <v>46127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255</v>
      </c>
      <c r="J60" t="s">
        <v>256</v>
      </c>
      <c r="M60" t="s">
        <v>46</v>
      </c>
      <c r="O60" t="s">
        <v>102</v>
      </c>
      <c r="P60" t="s">
        <v>103</v>
      </c>
      <c r="Q60" t="s">
        <v>49</v>
      </c>
      <c r="R60" t="s">
        <v>257</v>
      </c>
      <c r="S60" s="1">
        <v>46113</v>
      </c>
      <c r="U60" t="s">
        <v>51</v>
      </c>
      <c r="X60" t="s">
        <v>52</v>
      </c>
      <c r="Y60" s="2">
        <v>0</v>
      </c>
      <c r="Z60" s="2">
        <v>9.83</v>
      </c>
      <c r="AA60">
        <v>9</v>
      </c>
      <c r="AB60" s="3">
        <v>1</v>
      </c>
      <c r="AC60" s="2">
        <v>88.47</v>
      </c>
      <c r="AD60" s="3">
        <v>0</v>
      </c>
      <c r="AE60" s="2">
        <v>0</v>
      </c>
      <c r="AF60" s="2">
        <v>88.47</v>
      </c>
      <c r="AK60">
        <v>6607024</v>
      </c>
    </row>
    <row r="61" spans="1:38" x14ac:dyDescent="0.25">
      <c r="A61" s="1">
        <v>46127</v>
      </c>
      <c r="B61" s="1">
        <v>46127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258</v>
      </c>
      <c r="J61" t="s">
        <v>259</v>
      </c>
      <c r="M61" t="s">
        <v>46</v>
      </c>
      <c r="O61" t="s">
        <v>231</v>
      </c>
      <c r="P61" t="s">
        <v>232</v>
      </c>
      <c r="Q61" t="s">
        <v>49</v>
      </c>
      <c r="R61" t="s">
        <v>260</v>
      </c>
      <c r="S61" s="1">
        <v>46023</v>
      </c>
      <c r="U61" t="s">
        <v>51</v>
      </c>
      <c r="X61" t="s">
        <v>52</v>
      </c>
      <c r="Y61" s="2">
        <v>0</v>
      </c>
      <c r="Z61" s="2">
        <v>25</v>
      </c>
      <c r="AA61">
        <v>1</v>
      </c>
      <c r="AB61" s="3">
        <v>1</v>
      </c>
      <c r="AC61" s="2">
        <v>25</v>
      </c>
      <c r="AD61" s="3">
        <v>0</v>
      </c>
      <c r="AE61" s="2">
        <v>0</v>
      </c>
      <c r="AF61" s="2">
        <v>25</v>
      </c>
      <c r="AK61">
        <v>6606417</v>
      </c>
    </row>
    <row r="62" spans="1:38" x14ac:dyDescent="0.25">
      <c r="A62" s="1">
        <v>46127</v>
      </c>
      <c r="B62" s="1">
        <v>46127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261</v>
      </c>
      <c r="J62" t="s">
        <v>262</v>
      </c>
      <c r="M62" t="s">
        <v>46</v>
      </c>
      <c r="O62" t="s">
        <v>263</v>
      </c>
      <c r="P62" t="s">
        <v>264</v>
      </c>
      <c r="Q62" t="s">
        <v>49</v>
      </c>
      <c r="R62" t="s">
        <v>260</v>
      </c>
      <c r="S62" s="1">
        <v>46023</v>
      </c>
      <c r="U62" t="s">
        <v>51</v>
      </c>
      <c r="X62" t="s">
        <v>52</v>
      </c>
      <c r="Y62" s="2">
        <v>0</v>
      </c>
      <c r="Z62" s="2">
        <v>25</v>
      </c>
      <c r="AA62">
        <v>1</v>
      </c>
      <c r="AB62" s="3">
        <v>1</v>
      </c>
      <c r="AC62" s="2">
        <v>25</v>
      </c>
      <c r="AD62" s="3">
        <v>0</v>
      </c>
      <c r="AE62" s="2">
        <v>0</v>
      </c>
      <c r="AF62" s="2">
        <v>25</v>
      </c>
      <c r="AK62">
        <v>6606425</v>
      </c>
    </row>
    <row r="63" spans="1:38" x14ac:dyDescent="0.25">
      <c r="A63" s="1">
        <v>46127</v>
      </c>
      <c r="B63" s="1">
        <v>46127</v>
      </c>
      <c r="C63" t="s">
        <v>265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266</v>
      </c>
      <c r="J63" t="s">
        <v>59</v>
      </c>
      <c r="M63" t="s">
        <v>46</v>
      </c>
      <c r="O63" t="s">
        <v>60</v>
      </c>
      <c r="P63" t="s">
        <v>61</v>
      </c>
      <c r="Q63" t="s">
        <v>267</v>
      </c>
      <c r="R63" t="s">
        <v>50</v>
      </c>
      <c r="S63" s="1">
        <v>46023</v>
      </c>
      <c r="U63" t="s">
        <v>51</v>
      </c>
      <c r="X63" t="s">
        <v>52</v>
      </c>
      <c r="AF63" s="2">
        <v>175</v>
      </c>
      <c r="AG63" s="2">
        <v>0</v>
      </c>
      <c r="AJ63" s="2">
        <v>90.87</v>
      </c>
    </row>
    <row r="64" spans="1:38" x14ac:dyDescent="0.25">
      <c r="A64" s="1">
        <v>46127</v>
      </c>
      <c r="B64" s="1">
        <v>46127</v>
      </c>
      <c r="C64" t="s">
        <v>265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268</v>
      </c>
      <c r="J64" t="s">
        <v>86</v>
      </c>
      <c r="M64" t="s">
        <v>46</v>
      </c>
      <c r="O64" t="s">
        <v>87</v>
      </c>
      <c r="P64" t="s">
        <v>88</v>
      </c>
      <c r="Q64" t="s">
        <v>267</v>
      </c>
      <c r="R64" t="s">
        <v>50</v>
      </c>
      <c r="S64" s="1">
        <v>46023</v>
      </c>
      <c r="U64" t="s">
        <v>51</v>
      </c>
      <c r="X64" t="s">
        <v>52</v>
      </c>
      <c r="AF64" s="2">
        <v>175</v>
      </c>
      <c r="AG64" s="2">
        <v>0</v>
      </c>
      <c r="AJ64" s="2">
        <v>131.25</v>
      </c>
    </row>
    <row r="65" spans="1:36" x14ac:dyDescent="0.25">
      <c r="A65" s="1">
        <v>46127</v>
      </c>
      <c r="B65" s="1">
        <v>46127</v>
      </c>
      <c r="C65" t="s">
        <v>265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269</v>
      </c>
      <c r="J65" t="s">
        <v>270</v>
      </c>
      <c r="M65" t="s">
        <v>46</v>
      </c>
      <c r="O65" t="s">
        <v>110</v>
      </c>
      <c r="P65" t="s">
        <v>111</v>
      </c>
      <c r="Q65" t="s">
        <v>267</v>
      </c>
      <c r="R65" t="s">
        <v>50</v>
      </c>
      <c r="S65" s="1">
        <v>46023</v>
      </c>
      <c r="U65" t="s">
        <v>51</v>
      </c>
      <c r="X65" t="s">
        <v>52</v>
      </c>
      <c r="AF65" s="2">
        <v>175</v>
      </c>
      <c r="AG65" s="2">
        <v>0</v>
      </c>
      <c r="AJ65" s="2">
        <v>131.25</v>
      </c>
    </row>
    <row r="66" spans="1:36" x14ac:dyDescent="0.25">
      <c r="A66" s="1">
        <v>46127</v>
      </c>
      <c r="B66" s="1">
        <v>46127</v>
      </c>
      <c r="C66" t="s">
        <v>265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271</v>
      </c>
      <c r="J66" t="s">
        <v>272</v>
      </c>
      <c r="M66" t="s">
        <v>46</v>
      </c>
      <c r="O66" t="s">
        <v>98</v>
      </c>
      <c r="P66" t="s">
        <v>99</v>
      </c>
      <c r="Q66" t="s">
        <v>267</v>
      </c>
      <c r="R66" t="s">
        <v>50</v>
      </c>
      <c r="S66" s="1">
        <v>46082</v>
      </c>
      <c r="U66" t="s">
        <v>51</v>
      </c>
      <c r="X66" t="s">
        <v>52</v>
      </c>
      <c r="AF66" s="2">
        <v>175</v>
      </c>
      <c r="AG66" s="2">
        <v>0</v>
      </c>
      <c r="AJ66" s="2">
        <v>175</v>
      </c>
    </row>
    <row r="67" spans="1:36" x14ac:dyDescent="0.25">
      <c r="A67" s="1">
        <v>46127</v>
      </c>
      <c r="B67" s="1">
        <v>46127</v>
      </c>
      <c r="C67" t="s">
        <v>265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273</v>
      </c>
      <c r="J67" t="s">
        <v>274</v>
      </c>
      <c r="M67" t="s">
        <v>205</v>
      </c>
      <c r="O67" t="s">
        <v>275</v>
      </c>
      <c r="P67" t="s">
        <v>276</v>
      </c>
      <c r="Q67" t="s">
        <v>267</v>
      </c>
      <c r="R67" t="s">
        <v>50</v>
      </c>
      <c r="S67" s="1">
        <v>46023</v>
      </c>
      <c r="U67" t="s">
        <v>51</v>
      </c>
      <c r="X67" t="s">
        <v>52</v>
      </c>
      <c r="AF67" s="2">
        <v>175</v>
      </c>
      <c r="AG67" s="2">
        <v>0</v>
      </c>
      <c r="AJ67" s="2">
        <v>131.25</v>
      </c>
    </row>
    <row r="68" spans="1:36" x14ac:dyDescent="0.25">
      <c r="A68" s="1">
        <v>46127</v>
      </c>
      <c r="B68" s="1">
        <v>46127</v>
      </c>
      <c r="C68" t="s">
        <v>265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277</v>
      </c>
      <c r="J68" t="s">
        <v>278</v>
      </c>
      <c r="M68" t="s">
        <v>46</v>
      </c>
      <c r="O68" t="s">
        <v>279</v>
      </c>
      <c r="P68" t="s">
        <v>280</v>
      </c>
      <c r="Q68" t="s">
        <v>267</v>
      </c>
      <c r="R68" t="s">
        <v>50</v>
      </c>
      <c r="S68" s="1">
        <v>46113</v>
      </c>
      <c r="U68" t="s">
        <v>51</v>
      </c>
      <c r="X68" t="s">
        <v>52</v>
      </c>
      <c r="AF68" s="2">
        <v>175</v>
      </c>
      <c r="AG68" s="2">
        <v>0</v>
      </c>
      <c r="AJ68" s="2">
        <v>175</v>
      </c>
    </row>
    <row r="69" spans="1:36" x14ac:dyDescent="0.25">
      <c r="A69" s="1">
        <v>46127</v>
      </c>
      <c r="B69" s="1">
        <v>46127</v>
      </c>
      <c r="C69" t="s">
        <v>265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281</v>
      </c>
      <c r="J69" t="s">
        <v>282</v>
      </c>
      <c r="M69" t="s">
        <v>144</v>
      </c>
      <c r="O69" t="s">
        <v>153</v>
      </c>
      <c r="P69" t="s">
        <v>154</v>
      </c>
      <c r="Q69" t="s">
        <v>267</v>
      </c>
      <c r="R69" t="s">
        <v>260</v>
      </c>
      <c r="S69" s="1">
        <v>46023</v>
      </c>
      <c r="U69" t="s">
        <v>51</v>
      </c>
      <c r="X69" t="s">
        <v>52</v>
      </c>
      <c r="AF69" s="2">
        <v>25</v>
      </c>
      <c r="AG69" s="2">
        <v>0</v>
      </c>
      <c r="AJ69" s="2">
        <v>6.25</v>
      </c>
    </row>
    <row r="70" spans="1:36" x14ac:dyDescent="0.25">
      <c r="A70" s="1">
        <v>46127</v>
      </c>
      <c r="B70" s="1">
        <v>46127</v>
      </c>
      <c r="C70" t="s">
        <v>265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283</v>
      </c>
      <c r="J70" t="s">
        <v>284</v>
      </c>
      <c r="M70" t="s">
        <v>144</v>
      </c>
      <c r="O70" t="s">
        <v>153</v>
      </c>
      <c r="P70" t="s">
        <v>154</v>
      </c>
      <c r="Q70" t="s">
        <v>267</v>
      </c>
      <c r="R70" t="s">
        <v>260</v>
      </c>
      <c r="S70" s="1">
        <v>46023</v>
      </c>
      <c r="U70" t="s">
        <v>51</v>
      </c>
      <c r="X70" t="s">
        <v>52</v>
      </c>
      <c r="AF70" s="2">
        <v>25</v>
      </c>
      <c r="AG70" s="2">
        <v>0</v>
      </c>
      <c r="AJ70" s="2">
        <v>6.25</v>
      </c>
    </row>
    <row r="71" spans="1:36" x14ac:dyDescent="0.25">
      <c r="A71" s="1">
        <v>46127</v>
      </c>
      <c r="B71" s="1">
        <v>46127</v>
      </c>
      <c r="C71" t="s">
        <v>265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285</v>
      </c>
      <c r="J71" t="s">
        <v>286</v>
      </c>
      <c r="M71" t="s">
        <v>46</v>
      </c>
      <c r="O71" t="s">
        <v>110</v>
      </c>
      <c r="P71" t="s">
        <v>111</v>
      </c>
      <c r="Q71" t="s">
        <v>267</v>
      </c>
      <c r="R71" t="s">
        <v>147</v>
      </c>
      <c r="S71" s="1">
        <v>46054</v>
      </c>
      <c r="U71" t="s">
        <v>51</v>
      </c>
      <c r="X71" t="s">
        <v>52</v>
      </c>
      <c r="AF71" s="2">
        <v>22.92</v>
      </c>
      <c r="AG71" s="2">
        <v>0</v>
      </c>
      <c r="AJ71" s="2">
        <v>22.92</v>
      </c>
    </row>
    <row r="72" spans="1:36" x14ac:dyDescent="0.25">
      <c r="A72" s="1">
        <v>46127</v>
      </c>
      <c r="B72" s="1">
        <v>46127</v>
      </c>
      <c r="C72" t="s">
        <v>265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287</v>
      </c>
      <c r="J72" t="s">
        <v>288</v>
      </c>
      <c r="M72" t="s">
        <v>144</v>
      </c>
      <c r="O72" t="s">
        <v>289</v>
      </c>
      <c r="P72" t="s">
        <v>290</v>
      </c>
      <c r="Q72" t="s">
        <v>267</v>
      </c>
      <c r="R72" t="s">
        <v>260</v>
      </c>
      <c r="S72" s="1">
        <v>46023</v>
      </c>
      <c r="U72" t="s">
        <v>51</v>
      </c>
      <c r="X72" t="s">
        <v>52</v>
      </c>
      <c r="AF72" s="2">
        <v>25</v>
      </c>
      <c r="AG72" s="2">
        <v>0</v>
      </c>
      <c r="AJ72" s="2">
        <v>25</v>
      </c>
    </row>
    <row r="73" spans="1:36" x14ac:dyDescent="0.25">
      <c r="A73" s="1">
        <v>46127</v>
      </c>
      <c r="B73" s="1">
        <v>46127</v>
      </c>
      <c r="C73" t="s">
        <v>265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291</v>
      </c>
      <c r="J73" t="s">
        <v>292</v>
      </c>
      <c r="M73" t="s">
        <v>144</v>
      </c>
      <c r="O73" t="s">
        <v>153</v>
      </c>
      <c r="P73" t="s">
        <v>154</v>
      </c>
      <c r="Q73" t="s">
        <v>267</v>
      </c>
      <c r="R73" t="s">
        <v>260</v>
      </c>
      <c r="S73" s="1">
        <v>46023</v>
      </c>
      <c r="U73" t="s">
        <v>51</v>
      </c>
      <c r="X73" t="s">
        <v>52</v>
      </c>
      <c r="AF73" s="2">
        <v>25</v>
      </c>
      <c r="AG73" s="2">
        <v>0</v>
      </c>
      <c r="AJ73" s="2">
        <v>25</v>
      </c>
    </row>
    <row r="74" spans="1:36" x14ac:dyDescent="0.25">
      <c r="A74" s="1">
        <v>46127</v>
      </c>
      <c r="B74" s="1">
        <v>46127</v>
      </c>
      <c r="C74" t="s">
        <v>265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293</v>
      </c>
      <c r="J74" t="s">
        <v>294</v>
      </c>
      <c r="M74" t="s">
        <v>144</v>
      </c>
      <c r="O74" t="s">
        <v>145</v>
      </c>
      <c r="P74" t="s">
        <v>146</v>
      </c>
      <c r="Q74" t="s">
        <v>267</v>
      </c>
      <c r="R74" t="s">
        <v>147</v>
      </c>
      <c r="S74" s="1">
        <v>46113</v>
      </c>
      <c r="U74" t="s">
        <v>51</v>
      </c>
      <c r="X74" t="s">
        <v>52</v>
      </c>
      <c r="AF74" s="2">
        <v>18.75</v>
      </c>
      <c r="AG74" s="2">
        <v>0</v>
      </c>
      <c r="AJ74" s="2">
        <v>18.75</v>
      </c>
    </row>
    <row r="75" spans="1:36" x14ac:dyDescent="0.25">
      <c r="A75" s="1">
        <v>46127</v>
      </c>
      <c r="B75" s="1">
        <v>46127</v>
      </c>
      <c r="C75" t="s">
        <v>265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295</v>
      </c>
      <c r="J75" t="s">
        <v>296</v>
      </c>
      <c r="M75" t="s">
        <v>46</v>
      </c>
      <c r="O75" t="s">
        <v>126</v>
      </c>
      <c r="P75" t="s">
        <v>127</v>
      </c>
      <c r="Q75" t="s">
        <v>267</v>
      </c>
      <c r="R75" t="s">
        <v>197</v>
      </c>
      <c r="S75" s="1">
        <v>46023</v>
      </c>
      <c r="U75" t="s">
        <v>51</v>
      </c>
      <c r="X75" t="s">
        <v>52</v>
      </c>
      <c r="AF75" s="2">
        <v>100</v>
      </c>
      <c r="AG75" s="2">
        <v>0</v>
      </c>
      <c r="AJ75" s="2">
        <v>100</v>
      </c>
    </row>
    <row r="76" spans="1:36" x14ac:dyDescent="0.25">
      <c r="A76" s="1">
        <v>46127</v>
      </c>
      <c r="B76" s="1">
        <v>46127</v>
      </c>
      <c r="C76" t="s">
        <v>265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297</v>
      </c>
      <c r="J76" t="s">
        <v>298</v>
      </c>
      <c r="M76" t="s">
        <v>238</v>
      </c>
      <c r="O76" t="s">
        <v>299</v>
      </c>
      <c r="P76" t="s">
        <v>300</v>
      </c>
      <c r="Q76" t="s">
        <v>267</v>
      </c>
      <c r="R76" t="s">
        <v>301</v>
      </c>
      <c r="S76" s="1">
        <v>46082</v>
      </c>
      <c r="U76" t="s">
        <v>51</v>
      </c>
      <c r="X76" t="s">
        <v>52</v>
      </c>
      <c r="AF76" s="2">
        <v>50</v>
      </c>
      <c r="AG76" s="2">
        <v>0</v>
      </c>
      <c r="AJ76" s="2">
        <v>50</v>
      </c>
    </row>
    <row r="77" spans="1:36" x14ac:dyDescent="0.25">
      <c r="A77" s="1">
        <v>46127</v>
      </c>
      <c r="B77" s="1">
        <v>46127</v>
      </c>
      <c r="C77" t="s">
        <v>265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302</v>
      </c>
      <c r="J77" t="s">
        <v>303</v>
      </c>
      <c r="M77" t="s">
        <v>46</v>
      </c>
      <c r="O77" t="s">
        <v>263</v>
      </c>
      <c r="P77" t="s">
        <v>264</v>
      </c>
      <c r="Q77" t="s">
        <v>267</v>
      </c>
      <c r="R77" t="s">
        <v>197</v>
      </c>
      <c r="S77" s="1">
        <v>46023</v>
      </c>
      <c r="U77" t="s">
        <v>51</v>
      </c>
      <c r="X77" t="s">
        <v>52</v>
      </c>
      <c r="AF77" s="2">
        <v>100</v>
      </c>
      <c r="AG77" s="2">
        <v>0</v>
      </c>
      <c r="AJ77" s="2">
        <v>100</v>
      </c>
    </row>
    <row r="78" spans="1:36" x14ac:dyDescent="0.25">
      <c r="A78" s="1">
        <v>46127</v>
      </c>
      <c r="B78" s="1">
        <v>46127</v>
      </c>
      <c r="C78" t="s">
        <v>265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304</v>
      </c>
      <c r="J78" t="s">
        <v>204</v>
      </c>
      <c r="M78" t="s">
        <v>205</v>
      </c>
      <c r="O78" t="s">
        <v>206</v>
      </c>
      <c r="P78" t="s">
        <v>207</v>
      </c>
      <c r="Q78" t="s">
        <v>267</v>
      </c>
      <c r="R78" t="s">
        <v>305</v>
      </c>
      <c r="S78" s="1">
        <v>46113</v>
      </c>
      <c r="U78" t="s">
        <v>51</v>
      </c>
      <c r="X78" t="s">
        <v>52</v>
      </c>
      <c r="AF78" s="2">
        <v>152.25</v>
      </c>
      <c r="AG78" s="2">
        <v>0</v>
      </c>
      <c r="AJ78" s="2">
        <v>152.25</v>
      </c>
    </row>
    <row r="79" spans="1:36" x14ac:dyDescent="0.25">
      <c r="A79" s="1">
        <v>46127</v>
      </c>
      <c r="B79" s="1">
        <v>46127</v>
      </c>
      <c r="C79" t="s">
        <v>265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306</v>
      </c>
      <c r="J79" t="s">
        <v>204</v>
      </c>
      <c r="M79" t="s">
        <v>205</v>
      </c>
      <c r="O79" t="s">
        <v>206</v>
      </c>
      <c r="P79" t="s">
        <v>207</v>
      </c>
      <c r="Q79" t="s">
        <v>267</v>
      </c>
      <c r="R79" t="s">
        <v>307</v>
      </c>
      <c r="S79" s="1">
        <v>46113</v>
      </c>
      <c r="U79" t="s">
        <v>51</v>
      </c>
      <c r="X79" t="s">
        <v>52</v>
      </c>
      <c r="AF79" s="2">
        <v>37.5</v>
      </c>
      <c r="AG79" s="2">
        <v>0</v>
      </c>
      <c r="AJ79" s="2">
        <v>37.5</v>
      </c>
    </row>
    <row r="80" spans="1:36" x14ac:dyDescent="0.25">
      <c r="A80" s="1">
        <v>46127</v>
      </c>
      <c r="B80" s="1">
        <v>46127</v>
      </c>
      <c r="C80" t="s">
        <v>265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308</v>
      </c>
      <c r="J80" t="s">
        <v>219</v>
      </c>
      <c r="M80" t="s">
        <v>70</v>
      </c>
      <c r="O80" t="s">
        <v>130</v>
      </c>
      <c r="P80" t="s">
        <v>131</v>
      </c>
      <c r="Q80" t="s">
        <v>267</v>
      </c>
      <c r="R80" t="s">
        <v>189</v>
      </c>
      <c r="S80" s="1">
        <v>46113</v>
      </c>
      <c r="U80" t="s">
        <v>51</v>
      </c>
      <c r="X80" t="s">
        <v>52</v>
      </c>
      <c r="AF80" s="2">
        <v>260.25</v>
      </c>
      <c r="AG80" s="2">
        <v>0</v>
      </c>
      <c r="AJ80" s="2">
        <v>260.25</v>
      </c>
    </row>
    <row r="81" spans="1:36" x14ac:dyDescent="0.25">
      <c r="A81" s="1">
        <v>46127</v>
      </c>
      <c r="B81" s="1">
        <v>46127</v>
      </c>
      <c r="C81" t="s">
        <v>265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309</v>
      </c>
      <c r="J81" t="s">
        <v>222</v>
      </c>
      <c r="M81" t="s">
        <v>46</v>
      </c>
      <c r="O81" t="s">
        <v>110</v>
      </c>
      <c r="P81" t="s">
        <v>111</v>
      </c>
      <c r="Q81" t="s">
        <v>267</v>
      </c>
      <c r="R81" t="s">
        <v>189</v>
      </c>
      <c r="S81" s="1">
        <v>46113</v>
      </c>
      <c r="U81" t="s">
        <v>51</v>
      </c>
      <c r="X81" t="s">
        <v>52</v>
      </c>
      <c r="AF81" s="2">
        <v>260.25</v>
      </c>
      <c r="AG81" s="2">
        <v>0</v>
      </c>
      <c r="AJ81" s="2">
        <v>260.25</v>
      </c>
    </row>
    <row r="82" spans="1:36" x14ac:dyDescent="0.25">
      <c r="A82" s="1">
        <v>46127</v>
      </c>
      <c r="B82" s="1">
        <v>46127</v>
      </c>
      <c r="C82" t="s">
        <v>265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310</v>
      </c>
      <c r="J82" t="s">
        <v>311</v>
      </c>
      <c r="M82" t="s">
        <v>205</v>
      </c>
      <c r="O82" t="s">
        <v>206</v>
      </c>
      <c r="P82" t="s">
        <v>207</v>
      </c>
      <c r="Q82" t="s">
        <v>267</v>
      </c>
      <c r="R82" t="s">
        <v>191</v>
      </c>
      <c r="S82" s="1">
        <v>46023</v>
      </c>
      <c r="U82" t="s">
        <v>51</v>
      </c>
      <c r="X82" t="s">
        <v>52</v>
      </c>
      <c r="AF82" s="2">
        <v>175</v>
      </c>
      <c r="AG82" s="2">
        <v>0</v>
      </c>
      <c r="AJ82" s="2">
        <v>116.66</v>
      </c>
    </row>
    <row r="83" spans="1:36" x14ac:dyDescent="0.25">
      <c r="A83" s="1">
        <v>46127</v>
      </c>
      <c r="B83" s="1">
        <v>46127</v>
      </c>
      <c r="C83" t="s">
        <v>265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312</v>
      </c>
      <c r="J83" t="s">
        <v>311</v>
      </c>
      <c r="M83" t="s">
        <v>205</v>
      </c>
      <c r="O83" t="s">
        <v>206</v>
      </c>
      <c r="P83" t="s">
        <v>207</v>
      </c>
      <c r="Q83" t="s">
        <v>267</v>
      </c>
      <c r="R83" t="s">
        <v>189</v>
      </c>
      <c r="S83" s="1">
        <v>46023</v>
      </c>
      <c r="U83" t="s">
        <v>51</v>
      </c>
      <c r="X83" t="s">
        <v>52</v>
      </c>
      <c r="AF83" s="2">
        <v>347</v>
      </c>
      <c r="AG83" s="2">
        <v>0</v>
      </c>
      <c r="AJ83" s="2">
        <v>231.33</v>
      </c>
    </row>
    <row r="84" spans="1:36" x14ac:dyDescent="0.25">
      <c r="A84" s="1">
        <v>46127</v>
      </c>
      <c r="B84" s="1">
        <v>46127</v>
      </c>
      <c r="C84" t="s">
        <v>265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313</v>
      </c>
      <c r="J84" t="s">
        <v>224</v>
      </c>
      <c r="M84" t="s">
        <v>144</v>
      </c>
      <c r="O84" t="s">
        <v>225</v>
      </c>
      <c r="P84" t="s">
        <v>226</v>
      </c>
      <c r="Q84" t="s">
        <v>267</v>
      </c>
      <c r="R84" t="s">
        <v>314</v>
      </c>
      <c r="S84" s="1">
        <v>46113</v>
      </c>
      <c r="U84" t="s">
        <v>51</v>
      </c>
      <c r="X84" t="s">
        <v>52</v>
      </c>
      <c r="AF84" s="2">
        <v>174.75</v>
      </c>
      <c r="AG84" s="2">
        <v>0</v>
      </c>
      <c r="AJ84" s="2">
        <v>174.75</v>
      </c>
    </row>
    <row r="85" spans="1:36" x14ac:dyDescent="0.25">
      <c r="A85" s="1">
        <v>46127</v>
      </c>
      <c r="B85" s="1">
        <v>46127</v>
      </c>
      <c r="C85" t="s">
        <v>265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315</v>
      </c>
      <c r="J85" t="s">
        <v>224</v>
      </c>
      <c r="M85" t="s">
        <v>144</v>
      </c>
      <c r="O85" t="s">
        <v>225</v>
      </c>
      <c r="P85" t="s">
        <v>226</v>
      </c>
      <c r="Q85" t="s">
        <v>267</v>
      </c>
      <c r="R85" t="s">
        <v>210</v>
      </c>
      <c r="S85" s="1">
        <v>46113</v>
      </c>
      <c r="U85" t="s">
        <v>51</v>
      </c>
      <c r="X85" t="s">
        <v>52</v>
      </c>
      <c r="AF85" s="2">
        <v>113</v>
      </c>
      <c r="AG85" s="2">
        <v>0</v>
      </c>
      <c r="AJ85" s="2">
        <v>113</v>
      </c>
    </row>
    <row r="86" spans="1:36" x14ac:dyDescent="0.25">
      <c r="A86" s="1">
        <v>46127</v>
      </c>
      <c r="B86" s="1">
        <v>46127</v>
      </c>
      <c r="C86" t="s">
        <v>265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316</v>
      </c>
      <c r="J86" t="s">
        <v>230</v>
      </c>
      <c r="M86" t="s">
        <v>82</v>
      </c>
      <c r="O86" t="s">
        <v>231</v>
      </c>
      <c r="P86" t="s">
        <v>232</v>
      </c>
      <c r="Q86" t="s">
        <v>267</v>
      </c>
      <c r="R86" t="s">
        <v>189</v>
      </c>
      <c r="S86" s="1">
        <v>46113</v>
      </c>
      <c r="U86" t="s">
        <v>51</v>
      </c>
      <c r="X86" t="s">
        <v>52</v>
      </c>
      <c r="AF86" s="2">
        <v>260.25</v>
      </c>
      <c r="AG86" s="2">
        <v>0</v>
      </c>
      <c r="AJ86" s="2">
        <v>260.25</v>
      </c>
    </row>
    <row r="87" spans="1:36" x14ac:dyDescent="0.25">
      <c r="A87" s="1">
        <v>46127</v>
      </c>
      <c r="B87" s="1">
        <v>46127</v>
      </c>
      <c r="C87" t="s">
        <v>265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317</v>
      </c>
      <c r="J87" t="s">
        <v>318</v>
      </c>
      <c r="M87" t="s">
        <v>319</v>
      </c>
      <c r="O87" t="s">
        <v>110</v>
      </c>
      <c r="P87" t="s">
        <v>111</v>
      </c>
      <c r="Q87" t="s">
        <v>267</v>
      </c>
      <c r="R87" t="s">
        <v>189</v>
      </c>
      <c r="S87" s="1">
        <v>46023</v>
      </c>
      <c r="U87" t="s">
        <v>51</v>
      </c>
      <c r="X87" t="s">
        <v>52</v>
      </c>
      <c r="AF87" s="2">
        <v>347</v>
      </c>
      <c r="AG87" s="2">
        <v>0</v>
      </c>
      <c r="AJ87" s="2">
        <v>347</v>
      </c>
    </row>
    <row r="88" spans="1:36" x14ac:dyDescent="0.25">
      <c r="A88" s="1">
        <v>46127</v>
      </c>
      <c r="B88" s="1">
        <v>46127</v>
      </c>
      <c r="C88" t="s">
        <v>265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320</v>
      </c>
      <c r="J88" t="s">
        <v>318</v>
      </c>
      <c r="M88" t="s">
        <v>319</v>
      </c>
      <c r="O88" t="s">
        <v>110</v>
      </c>
      <c r="P88" t="s">
        <v>111</v>
      </c>
      <c r="Q88" t="s">
        <v>267</v>
      </c>
      <c r="R88" t="s">
        <v>191</v>
      </c>
      <c r="S88" s="1">
        <v>46023</v>
      </c>
      <c r="U88" t="s">
        <v>51</v>
      </c>
      <c r="X88" t="s">
        <v>52</v>
      </c>
      <c r="AF88" s="2">
        <v>175</v>
      </c>
      <c r="AG88" s="2">
        <v>0</v>
      </c>
      <c r="AJ88" s="2">
        <v>175</v>
      </c>
    </row>
    <row r="89" spans="1:36" x14ac:dyDescent="0.25">
      <c r="A89" s="1">
        <v>46127</v>
      </c>
      <c r="B89" s="1">
        <v>46127</v>
      </c>
      <c r="C89" t="s">
        <v>265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321</v>
      </c>
      <c r="J89" t="s">
        <v>322</v>
      </c>
      <c r="M89" t="s">
        <v>46</v>
      </c>
      <c r="O89" t="s">
        <v>179</v>
      </c>
      <c r="P89" t="s">
        <v>180</v>
      </c>
      <c r="Q89" t="s">
        <v>267</v>
      </c>
      <c r="R89" t="s">
        <v>189</v>
      </c>
      <c r="S89" s="1">
        <v>46023</v>
      </c>
      <c r="U89" t="s">
        <v>51</v>
      </c>
      <c r="X89" t="s">
        <v>52</v>
      </c>
      <c r="AF89" s="2">
        <v>347</v>
      </c>
      <c r="AG89" s="2">
        <v>0</v>
      </c>
      <c r="AJ89" s="2">
        <v>347</v>
      </c>
    </row>
    <row r="90" spans="1:36" x14ac:dyDescent="0.25">
      <c r="A90" s="1">
        <v>46127</v>
      </c>
      <c r="B90" s="1">
        <v>46127</v>
      </c>
      <c r="C90" t="s">
        <v>265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323</v>
      </c>
      <c r="J90" t="s">
        <v>322</v>
      </c>
      <c r="M90" t="s">
        <v>46</v>
      </c>
      <c r="O90" t="s">
        <v>179</v>
      </c>
      <c r="P90" t="s">
        <v>180</v>
      </c>
      <c r="Q90" t="s">
        <v>267</v>
      </c>
      <c r="R90" t="s">
        <v>191</v>
      </c>
      <c r="S90" s="1">
        <v>46023</v>
      </c>
      <c r="U90" t="s">
        <v>51</v>
      </c>
      <c r="X90" t="s">
        <v>52</v>
      </c>
      <c r="AF90" s="2">
        <v>175</v>
      </c>
      <c r="AG90" s="2">
        <v>0</v>
      </c>
      <c r="AJ90" s="2">
        <v>175</v>
      </c>
    </row>
    <row r="91" spans="1:36" x14ac:dyDescent="0.25">
      <c r="A91" s="1">
        <v>46127</v>
      </c>
      <c r="B91" s="1">
        <v>46127</v>
      </c>
      <c r="C91" t="s">
        <v>265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324</v>
      </c>
      <c r="J91" t="s">
        <v>325</v>
      </c>
      <c r="M91" t="s">
        <v>46</v>
      </c>
      <c r="O91" t="s">
        <v>110</v>
      </c>
      <c r="P91" t="s">
        <v>111</v>
      </c>
      <c r="Q91" t="s">
        <v>267</v>
      </c>
      <c r="R91" t="s">
        <v>189</v>
      </c>
      <c r="S91" s="1">
        <v>46054</v>
      </c>
      <c r="U91" t="s">
        <v>51</v>
      </c>
      <c r="X91" t="s">
        <v>52</v>
      </c>
      <c r="AF91" s="2">
        <v>318.08</v>
      </c>
      <c r="AG91" s="2">
        <v>0</v>
      </c>
      <c r="AJ91" s="2">
        <v>318.08</v>
      </c>
    </row>
    <row r="92" spans="1:36" x14ac:dyDescent="0.25">
      <c r="A92" s="1">
        <v>46127</v>
      </c>
      <c r="B92" s="1">
        <v>46127</v>
      </c>
      <c r="C92" t="s">
        <v>265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326</v>
      </c>
      <c r="J92" t="s">
        <v>325</v>
      </c>
      <c r="M92" t="s">
        <v>46</v>
      </c>
      <c r="O92" t="s">
        <v>110</v>
      </c>
      <c r="P92" t="s">
        <v>111</v>
      </c>
      <c r="Q92" t="s">
        <v>267</v>
      </c>
      <c r="R92" t="s">
        <v>244</v>
      </c>
      <c r="S92" s="1">
        <v>46054</v>
      </c>
      <c r="U92" t="s">
        <v>51</v>
      </c>
      <c r="X92" t="s">
        <v>52</v>
      </c>
      <c r="AF92" s="2">
        <v>66</v>
      </c>
      <c r="AG92" s="2">
        <v>0</v>
      </c>
      <c r="AJ92" s="2">
        <v>66</v>
      </c>
    </row>
    <row r="93" spans="1:36" x14ac:dyDescent="0.25">
      <c r="A93" s="1">
        <v>46127</v>
      </c>
      <c r="B93" s="1">
        <v>46127</v>
      </c>
      <c r="C93" t="s">
        <v>265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327</v>
      </c>
      <c r="J93" t="s">
        <v>328</v>
      </c>
      <c r="M93" t="s">
        <v>157</v>
      </c>
      <c r="O93" t="s">
        <v>329</v>
      </c>
      <c r="P93" t="s">
        <v>330</v>
      </c>
      <c r="Q93" t="s">
        <v>267</v>
      </c>
      <c r="R93" t="s">
        <v>331</v>
      </c>
      <c r="S93" s="1">
        <v>46082</v>
      </c>
      <c r="U93" t="s">
        <v>51</v>
      </c>
      <c r="X93" t="s">
        <v>52</v>
      </c>
      <c r="AF93" s="2">
        <v>338.33</v>
      </c>
      <c r="AG93" s="2">
        <v>0</v>
      </c>
      <c r="AJ93" s="2">
        <v>338.33</v>
      </c>
    </row>
    <row r="94" spans="1:36" x14ac:dyDescent="0.25">
      <c r="A94" s="1">
        <v>46127</v>
      </c>
      <c r="B94" s="1">
        <v>46127</v>
      </c>
      <c r="C94" t="s">
        <v>265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332</v>
      </c>
      <c r="J94" t="s">
        <v>328</v>
      </c>
      <c r="M94" t="s">
        <v>157</v>
      </c>
      <c r="O94" t="s">
        <v>329</v>
      </c>
      <c r="P94" t="s">
        <v>330</v>
      </c>
      <c r="Q94" t="s">
        <v>267</v>
      </c>
      <c r="R94" t="s">
        <v>333</v>
      </c>
      <c r="S94" s="1">
        <v>46082</v>
      </c>
      <c r="U94" t="s">
        <v>51</v>
      </c>
      <c r="X94" t="s">
        <v>52</v>
      </c>
      <c r="AF94" s="2">
        <v>94.17</v>
      </c>
      <c r="AG94" s="2">
        <v>0</v>
      </c>
      <c r="AJ94" s="2">
        <v>94.17</v>
      </c>
    </row>
    <row r="95" spans="1:36" x14ac:dyDescent="0.25">
      <c r="A95" s="1">
        <v>46127</v>
      </c>
      <c r="B95" s="1">
        <v>46127</v>
      </c>
      <c r="C95" t="s">
        <v>265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334</v>
      </c>
      <c r="J95" t="s">
        <v>335</v>
      </c>
      <c r="M95" t="s">
        <v>46</v>
      </c>
      <c r="O95" t="s">
        <v>110</v>
      </c>
      <c r="P95" t="s">
        <v>111</v>
      </c>
      <c r="Q95" t="s">
        <v>267</v>
      </c>
      <c r="R95" t="s">
        <v>189</v>
      </c>
      <c r="S95" s="1">
        <v>46023</v>
      </c>
      <c r="U95" t="s">
        <v>51</v>
      </c>
      <c r="X95" t="s">
        <v>52</v>
      </c>
      <c r="AF95" s="2">
        <v>347</v>
      </c>
      <c r="AG95" s="2">
        <v>0</v>
      </c>
      <c r="AJ95" s="2">
        <v>347</v>
      </c>
    </row>
    <row r="96" spans="1:36" x14ac:dyDescent="0.25">
      <c r="A96" s="1">
        <v>46127</v>
      </c>
      <c r="B96" s="1">
        <v>46127</v>
      </c>
      <c r="C96" t="s">
        <v>265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336</v>
      </c>
      <c r="J96" t="s">
        <v>335</v>
      </c>
      <c r="M96" t="s">
        <v>46</v>
      </c>
      <c r="O96" t="s">
        <v>110</v>
      </c>
      <c r="P96" t="s">
        <v>111</v>
      </c>
      <c r="Q96" t="s">
        <v>267</v>
      </c>
      <c r="R96" t="s">
        <v>244</v>
      </c>
      <c r="S96" s="1">
        <v>46023</v>
      </c>
      <c r="U96" t="s">
        <v>51</v>
      </c>
      <c r="X96" t="s">
        <v>52</v>
      </c>
      <c r="AF96" s="2">
        <v>72</v>
      </c>
      <c r="AG96" s="2">
        <v>0</v>
      </c>
      <c r="AJ96" s="2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9299-DAC8-4C9E-B483-31ADA4C4F0A2}">
  <dimension ref="A1:AM96"/>
  <sheetViews>
    <sheetView tabSelected="1" topLeftCell="A54" workbookViewId="0">
      <selection activeCell="L70" sqref="L70"/>
    </sheetView>
  </sheetViews>
  <sheetFormatPr defaultRowHeight="15" x14ac:dyDescent="0.25"/>
  <cols>
    <col min="1" max="1" width="14.7109375" customWidth="1"/>
    <col min="2" max="2" width="17" bestFit="1" customWidth="1"/>
    <col min="3" max="3" width="25.140625" bestFit="1" customWidth="1"/>
    <col min="4" max="4" width="5.5703125" bestFit="1" customWidth="1"/>
    <col min="5" max="5" width="15.7109375" bestFit="1" customWidth="1"/>
    <col min="6" max="6" width="24.5703125" bestFit="1" customWidth="1"/>
    <col min="7" max="7" width="26.5703125" customWidth="1"/>
    <col min="8" max="8" width="10.140625" bestFit="1" customWidth="1"/>
    <col min="9" max="9" width="14.5703125" bestFit="1" customWidth="1"/>
    <col min="11" max="11" width="10.7109375" customWidth="1"/>
    <col min="12" max="12" width="8.7109375" customWidth="1"/>
    <col min="13" max="13" width="12.7109375" customWidth="1"/>
    <col min="14" max="14" width="14.5703125" customWidth="1"/>
    <col min="15" max="15" width="37.140625" bestFit="1" customWidth="1"/>
  </cols>
  <sheetData>
    <row r="1" spans="1:39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23</v>
      </c>
      <c r="K1" t="s">
        <v>25</v>
      </c>
      <c r="L1" t="s">
        <v>26</v>
      </c>
      <c r="M1" t="s">
        <v>28</v>
      </c>
      <c r="N1" t="s">
        <v>37</v>
      </c>
    </row>
    <row r="2" spans="1:39" x14ac:dyDescent="0.25">
      <c r="A2" s="6">
        <v>903355671</v>
      </c>
      <c r="B2" s="6" t="str">
        <f>CONCATENATE(A2,13)</f>
        <v>90335567113</v>
      </c>
      <c r="C2" s="7" t="s">
        <v>204</v>
      </c>
      <c r="D2" s="7" t="s">
        <v>205</v>
      </c>
      <c r="E2" s="7">
        <v>16849453</v>
      </c>
      <c r="F2" s="7" t="s">
        <v>207</v>
      </c>
      <c r="G2" s="7" t="s">
        <v>305</v>
      </c>
      <c r="H2" s="8">
        <v>46113</v>
      </c>
      <c r="I2" s="7" t="s">
        <v>51</v>
      </c>
      <c r="J2" s="7" t="s">
        <v>52</v>
      </c>
      <c r="K2" s="7"/>
      <c r="L2" s="7"/>
      <c r="M2" s="10">
        <v>-152.25</v>
      </c>
      <c r="N2" s="7"/>
      <c r="O2" s="7" t="s">
        <v>391</v>
      </c>
      <c r="P2" s="7" t="s">
        <v>390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6">
        <v>903355671</v>
      </c>
      <c r="B3" s="6" t="str">
        <f>CONCATENATE(A3,14)</f>
        <v>90335567114</v>
      </c>
      <c r="C3" s="7" t="s">
        <v>204</v>
      </c>
      <c r="D3" s="7" t="s">
        <v>205</v>
      </c>
      <c r="E3" s="7">
        <v>16849453</v>
      </c>
      <c r="F3" s="7" t="s">
        <v>207</v>
      </c>
      <c r="G3" s="7" t="s">
        <v>208</v>
      </c>
      <c r="H3" s="8">
        <v>46113</v>
      </c>
      <c r="I3" s="7" t="s">
        <v>51</v>
      </c>
      <c r="J3" s="7" t="s">
        <v>52</v>
      </c>
      <c r="K3" s="9">
        <v>406</v>
      </c>
      <c r="L3" s="7">
        <v>1</v>
      </c>
      <c r="M3" s="9">
        <v>406</v>
      </c>
      <c r="N3" s="7"/>
      <c r="O3" s="7" t="s">
        <v>384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x14ac:dyDescent="0.25">
      <c r="A4" s="6">
        <v>980482625</v>
      </c>
      <c r="B4" s="6" t="str">
        <f>CONCATENATE(A4,14)</f>
        <v>98048262514</v>
      </c>
      <c r="C4" s="7" t="s">
        <v>328</v>
      </c>
      <c r="D4" s="7" t="s">
        <v>157</v>
      </c>
      <c r="E4" s="7">
        <v>17117649</v>
      </c>
      <c r="F4" s="7" t="s">
        <v>330</v>
      </c>
      <c r="G4" s="7" t="s">
        <v>331</v>
      </c>
      <c r="H4" s="8">
        <v>46082</v>
      </c>
      <c r="I4" s="7" t="s">
        <v>51</v>
      </c>
      <c r="J4" s="7" t="s">
        <v>52</v>
      </c>
      <c r="K4" s="7"/>
      <c r="L4" s="7"/>
      <c r="M4" s="10">
        <v>-338.33</v>
      </c>
      <c r="N4" s="7"/>
      <c r="O4" s="7" t="s">
        <v>384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5">
      <c r="A5" s="6">
        <v>939992732</v>
      </c>
      <c r="B5" s="6" t="str">
        <f>CONCATENATE(A5,14)</f>
        <v>93999273214</v>
      </c>
      <c r="C5" s="7" t="s">
        <v>224</v>
      </c>
      <c r="D5" s="7" t="s">
        <v>144</v>
      </c>
      <c r="E5" s="7">
        <v>21618313</v>
      </c>
      <c r="F5" s="7" t="s">
        <v>226</v>
      </c>
      <c r="G5" s="7" t="s">
        <v>227</v>
      </c>
      <c r="H5" s="8">
        <v>46113</v>
      </c>
      <c r="I5" s="7" t="s">
        <v>51</v>
      </c>
      <c r="J5" s="7" t="s">
        <v>52</v>
      </c>
      <c r="K5" s="9">
        <v>465</v>
      </c>
      <c r="L5" s="7">
        <v>1</v>
      </c>
      <c r="M5" s="9">
        <v>465</v>
      </c>
      <c r="N5" s="7"/>
      <c r="O5" s="7" t="s">
        <v>384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 s="6">
        <v>939992732</v>
      </c>
      <c r="B6" s="6" t="str">
        <f>CONCATENATE(A6,13)</f>
        <v>93999273213</v>
      </c>
      <c r="C6" s="7" t="s">
        <v>224</v>
      </c>
      <c r="D6" s="7" t="s">
        <v>144</v>
      </c>
      <c r="E6" s="7">
        <v>21618313</v>
      </c>
      <c r="F6" s="7" t="s">
        <v>226</v>
      </c>
      <c r="G6" s="7" t="s">
        <v>314</v>
      </c>
      <c r="H6" s="8">
        <v>46113</v>
      </c>
      <c r="I6" s="7" t="s">
        <v>51</v>
      </c>
      <c r="J6" s="7" t="s">
        <v>52</v>
      </c>
      <c r="K6" s="7"/>
      <c r="L6" s="7"/>
      <c r="M6" s="10">
        <v>-174.75</v>
      </c>
      <c r="N6" s="7"/>
      <c r="O6" s="7" t="s">
        <v>392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x14ac:dyDescent="0.25">
      <c r="A7" s="5">
        <v>102229469600</v>
      </c>
      <c r="B7" s="5" t="str">
        <f>CONCATENATE(A7,"OVR")</f>
        <v>102229469600OVR</v>
      </c>
      <c r="C7" t="s">
        <v>288</v>
      </c>
      <c r="D7" t="s">
        <v>144</v>
      </c>
      <c r="E7">
        <v>20411454</v>
      </c>
      <c r="F7" t="s">
        <v>396</v>
      </c>
      <c r="G7" t="s">
        <v>260</v>
      </c>
      <c r="H7" s="1">
        <v>46023</v>
      </c>
      <c r="I7" t="s">
        <v>51</v>
      </c>
      <c r="J7" t="s">
        <v>52</v>
      </c>
      <c r="M7" s="4">
        <v>-25</v>
      </c>
      <c r="O7" t="s">
        <v>377</v>
      </c>
    </row>
    <row r="8" spans="1:39" x14ac:dyDescent="0.25">
      <c r="A8" s="5">
        <v>102230808100</v>
      </c>
      <c r="B8" s="5" t="str">
        <f t="shared" ref="B8:B61" si="0">CONCATENATE(A8,"OVR")</f>
        <v>102230808100OVR</v>
      </c>
      <c r="C8" t="s">
        <v>292</v>
      </c>
      <c r="D8" t="s">
        <v>144</v>
      </c>
      <c r="E8">
        <v>20411454</v>
      </c>
      <c r="F8" t="s">
        <v>396</v>
      </c>
      <c r="G8" t="s">
        <v>260</v>
      </c>
      <c r="H8" s="1">
        <v>46023</v>
      </c>
      <c r="I8" t="s">
        <v>51</v>
      </c>
      <c r="J8" t="s">
        <v>52</v>
      </c>
      <c r="M8" s="4">
        <v>-25</v>
      </c>
      <c r="O8" t="s">
        <v>377</v>
      </c>
    </row>
    <row r="9" spans="1:39" x14ac:dyDescent="0.25">
      <c r="A9" s="5" t="s">
        <v>375</v>
      </c>
      <c r="B9" s="5" t="str">
        <f t="shared" si="0"/>
        <v>101052135000AOVR</v>
      </c>
      <c r="C9" t="s">
        <v>282</v>
      </c>
      <c r="D9" t="s">
        <v>144</v>
      </c>
      <c r="E9">
        <v>20411454</v>
      </c>
      <c r="F9" t="s">
        <v>396</v>
      </c>
      <c r="G9" t="s">
        <v>260</v>
      </c>
      <c r="H9" s="1">
        <v>46023</v>
      </c>
      <c r="I9" t="s">
        <v>51</v>
      </c>
      <c r="J9" t="s">
        <v>52</v>
      </c>
      <c r="M9" s="4">
        <v>-6.25</v>
      </c>
      <c r="O9" t="s">
        <v>377</v>
      </c>
    </row>
    <row r="10" spans="1:39" x14ac:dyDescent="0.25">
      <c r="A10" s="5" t="s">
        <v>376</v>
      </c>
      <c r="B10" s="5" t="str">
        <f t="shared" si="0"/>
        <v>101083195000AOVR</v>
      </c>
      <c r="C10" t="s">
        <v>284</v>
      </c>
      <c r="D10" t="s">
        <v>144</v>
      </c>
      <c r="E10">
        <v>20411454</v>
      </c>
      <c r="F10" t="s">
        <v>396</v>
      </c>
      <c r="G10" t="s">
        <v>260</v>
      </c>
      <c r="H10" s="1">
        <v>46023</v>
      </c>
      <c r="I10" t="s">
        <v>51</v>
      </c>
      <c r="J10" t="s">
        <v>52</v>
      </c>
      <c r="M10" s="4">
        <v>-6.25</v>
      </c>
      <c r="O10" t="s">
        <v>377</v>
      </c>
    </row>
    <row r="11" spans="1:39" x14ac:dyDescent="0.25">
      <c r="A11" s="5" t="s">
        <v>367</v>
      </c>
      <c r="B11" s="5" t="str">
        <f t="shared" si="0"/>
        <v>MEQNPDZM00000704876OVR</v>
      </c>
      <c r="C11" t="s">
        <v>259</v>
      </c>
      <c r="D11" t="s">
        <v>46</v>
      </c>
      <c r="E11">
        <v>20411454</v>
      </c>
      <c r="F11" t="s">
        <v>396</v>
      </c>
      <c r="G11" t="s">
        <v>260</v>
      </c>
      <c r="H11" s="1">
        <v>46023</v>
      </c>
      <c r="I11" t="s">
        <v>51</v>
      </c>
      <c r="J11" t="s">
        <v>52</v>
      </c>
      <c r="K11" s="2">
        <v>25</v>
      </c>
      <c r="L11">
        <v>1</v>
      </c>
      <c r="M11" s="2">
        <v>25</v>
      </c>
      <c r="O11" t="s">
        <v>377</v>
      </c>
    </row>
    <row r="12" spans="1:39" x14ac:dyDescent="0.25">
      <c r="A12" s="5" t="s">
        <v>368</v>
      </c>
      <c r="B12" s="5" t="str">
        <f t="shared" si="0"/>
        <v>MEQNQXIX00001243222OVR</v>
      </c>
      <c r="C12" t="s">
        <v>262</v>
      </c>
      <c r="D12" t="s">
        <v>46</v>
      </c>
      <c r="E12">
        <v>20411454</v>
      </c>
      <c r="F12" t="s">
        <v>396</v>
      </c>
      <c r="G12" t="s">
        <v>260</v>
      </c>
      <c r="H12" s="1">
        <v>46023</v>
      </c>
      <c r="I12" t="s">
        <v>51</v>
      </c>
      <c r="J12" t="s">
        <v>52</v>
      </c>
      <c r="K12" s="2">
        <v>25</v>
      </c>
      <c r="L12">
        <v>1</v>
      </c>
      <c r="M12" s="2">
        <v>25</v>
      </c>
      <c r="O12" t="s">
        <v>377</v>
      </c>
    </row>
    <row r="13" spans="1:39" x14ac:dyDescent="0.25">
      <c r="A13" s="5">
        <v>102224738500</v>
      </c>
      <c r="B13" s="5" t="str">
        <f t="shared" si="0"/>
        <v>102224738500OVR</v>
      </c>
      <c r="C13" t="s">
        <v>170</v>
      </c>
      <c r="D13" t="s">
        <v>70</v>
      </c>
      <c r="E13">
        <v>20411454</v>
      </c>
      <c r="F13" t="s">
        <v>396</v>
      </c>
      <c r="G13" t="s">
        <v>171</v>
      </c>
      <c r="H13" s="1">
        <v>46023</v>
      </c>
      <c r="I13" t="s">
        <v>51</v>
      </c>
      <c r="J13" t="s">
        <v>52</v>
      </c>
      <c r="K13" s="2">
        <v>1.28</v>
      </c>
      <c r="L13">
        <v>1</v>
      </c>
      <c r="M13" s="2">
        <v>1.28</v>
      </c>
      <c r="N13" t="s">
        <v>172</v>
      </c>
      <c r="O13" t="s">
        <v>377</v>
      </c>
    </row>
    <row r="14" spans="1:39" x14ac:dyDescent="0.25">
      <c r="A14" s="5">
        <v>101248501600</v>
      </c>
      <c r="B14" s="5" t="str">
        <f t="shared" si="0"/>
        <v>101248501600OVR</v>
      </c>
      <c r="C14" t="s">
        <v>286</v>
      </c>
      <c r="D14" t="s">
        <v>46</v>
      </c>
      <c r="E14">
        <v>20411454</v>
      </c>
      <c r="F14" t="s">
        <v>396</v>
      </c>
      <c r="G14" t="s">
        <v>147</v>
      </c>
      <c r="H14" s="1">
        <v>46054</v>
      </c>
      <c r="I14" t="s">
        <v>51</v>
      </c>
      <c r="J14" t="s">
        <v>52</v>
      </c>
      <c r="M14" s="4">
        <v>-22.92</v>
      </c>
      <c r="O14" t="s">
        <v>377</v>
      </c>
    </row>
    <row r="15" spans="1:39" x14ac:dyDescent="0.25">
      <c r="A15" s="5">
        <v>102269376100</v>
      </c>
      <c r="B15" s="5" t="str">
        <f t="shared" si="0"/>
        <v>102269376100OVR</v>
      </c>
      <c r="C15" t="s">
        <v>294</v>
      </c>
      <c r="D15" t="s">
        <v>144</v>
      </c>
      <c r="E15">
        <v>20411454</v>
      </c>
      <c r="F15" t="s">
        <v>396</v>
      </c>
      <c r="G15" t="s">
        <v>147</v>
      </c>
      <c r="H15" s="1">
        <v>46113</v>
      </c>
      <c r="I15" t="s">
        <v>51</v>
      </c>
      <c r="J15" t="s">
        <v>52</v>
      </c>
      <c r="M15" s="4">
        <v>-18.75</v>
      </c>
      <c r="O15" t="s">
        <v>377</v>
      </c>
    </row>
    <row r="16" spans="1:39" x14ac:dyDescent="0.25">
      <c r="A16" s="5">
        <v>102272472700</v>
      </c>
      <c r="B16" s="5" t="str">
        <f t="shared" si="0"/>
        <v>102272472700OVR</v>
      </c>
      <c r="C16" t="s">
        <v>178</v>
      </c>
      <c r="D16" t="s">
        <v>46</v>
      </c>
      <c r="E16">
        <v>20411454</v>
      </c>
      <c r="F16" t="s">
        <v>396</v>
      </c>
      <c r="G16" t="s">
        <v>147</v>
      </c>
      <c r="H16" s="1">
        <v>46143</v>
      </c>
      <c r="I16" t="s">
        <v>51</v>
      </c>
      <c r="J16" t="s">
        <v>52</v>
      </c>
      <c r="K16" s="2">
        <v>16.670000000000002</v>
      </c>
      <c r="L16">
        <v>1</v>
      </c>
      <c r="M16" s="2">
        <v>16.670000000000002</v>
      </c>
      <c r="N16" t="s">
        <v>181</v>
      </c>
      <c r="O16" t="s">
        <v>377</v>
      </c>
    </row>
    <row r="17" spans="1:15" x14ac:dyDescent="0.25">
      <c r="A17" s="5">
        <v>101088108800</v>
      </c>
      <c r="B17" s="5" t="str">
        <f t="shared" si="0"/>
        <v>101088108800OVR</v>
      </c>
      <c r="C17" t="s">
        <v>143</v>
      </c>
      <c r="D17" t="s">
        <v>144</v>
      </c>
      <c r="E17">
        <v>20411454</v>
      </c>
      <c r="F17" t="s">
        <v>396</v>
      </c>
      <c r="G17" t="s">
        <v>147</v>
      </c>
      <c r="H17" s="1">
        <v>46113</v>
      </c>
      <c r="I17" t="s">
        <v>51</v>
      </c>
      <c r="J17" t="s">
        <v>52</v>
      </c>
      <c r="K17" s="2">
        <v>18.75</v>
      </c>
      <c r="L17">
        <v>1</v>
      </c>
      <c r="M17" s="2">
        <v>18.75</v>
      </c>
      <c r="N17" t="s">
        <v>148</v>
      </c>
      <c r="O17" t="s">
        <v>377</v>
      </c>
    </row>
    <row r="18" spans="1:15" x14ac:dyDescent="0.25">
      <c r="A18" s="5">
        <v>101211577200</v>
      </c>
      <c r="B18" s="5" t="str">
        <f t="shared" si="0"/>
        <v>101211577200OVR</v>
      </c>
      <c r="C18" t="s">
        <v>150</v>
      </c>
      <c r="D18" t="s">
        <v>144</v>
      </c>
      <c r="E18">
        <v>20411454</v>
      </c>
      <c r="F18" t="s">
        <v>396</v>
      </c>
      <c r="G18" t="s">
        <v>147</v>
      </c>
      <c r="H18" s="1">
        <v>46113</v>
      </c>
      <c r="I18" t="s">
        <v>51</v>
      </c>
      <c r="J18" t="s">
        <v>52</v>
      </c>
      <c r="K18" s="2">
        <v>18.75</v>
      </c>
      <c r="L18">
        <v>1</v>
      </c>
      <c r="M18" s="2">
        <v>18.75</v>
      </c>
      <c r="N18" t="s">
        <v>148</v>
      </c>
      <c r="O18" t="s">
        <v>377</v>
      </c>
    </row>
    <row r="19" spans="1:15" x14ac:dyDescent="0.25">
      <c r="A19" s="5">
        <v>101562443500</v>
      </c>
      <c r="B19" s="5" t="str">
        <f t="shared" si="0"/>
        <v>101562443500OVR</v>
      </c>
      <c r="C19" t="s">
        <v>152</v>
      </c>
      <c r="D19" t="s">
        <v>144</v>
      </c>
      <c r="E19">
        <v>20411454</v>
      </c>
      <c r="F19" t="s">
        <v>396</v>
      </c>
      <c r="G19" t="s">
        <v>147</v>
      </c>
      <c r="H19" s="1">
        <v>46113</v>
      </c>
      <c r="I19" t="s">
        <v>51</v>
      </c>
      <c r="J19" t="s">
        <v>52</v>
      </c>
      <c r="K19" s="2">
        <v>18.75</v>
      </c>
      <c r="L19">
        <v>1</v>
      </c>
      <c r="M19" s="2">
        <v>18.75</v>
      </c>
      <c r="N19" t="s">
        <v>148</v>
      </c>
      <c r="O19" t="s">
        <v>377</v>
      </c>
    </row>
    <row r="20" spans="1:15" x14ac:dyDescent="0.25">
      <c r="A20" s="5">
        <v>101944921700</v>
      </c>
      <c r="B20" s="5" t="str">
        <f t="shared" si="0"/>
        <v>101944921700OVR</v>
      </c>
      <c r="C20" t="s">
        <v>156</v>
      </c>
      <c r="D20" t="s">
        <v>157</v>
      </c>
      <c r="E20">
        <v>20411454</v>
      </c>
      <c r="F20" t="s">
        <v>396</v>
      </c>
      <c r="G20" t="s">
        <v>147</v>
      </c>
      <c r="H20" s="1">
        <v>46113</v>
      </c>
      <c r="I20" t="s">
        <v>51</v>
      </c>
      <c r="J20" t="s">
        <v>52</v>
      </c>
      <c r="K20" s="2">
        <v>18.75</v>
      </c>
      <c r="L20">
        <v>1</v>
      </c>
      <c r="M20" s="2">
        <v>18.75</v>
      </c>
      <c r="N20" t="s">
        <v>148</v>
      </c>
      <c r="O20" t="s">
        <v>377</v>
      </c>
    </row>
    <row r="21" spans="1:15" x14ac:dyDescent="0.25">
      <c r="A21" s="5">
        <v>101955463700</v>
      </c>
      <c r="B21" s="5" t="str">
        <f t="shared" si="0"/>
        <v>101955463700OVR</v>
      </c>
      <c r="C21" t="s">
        <v>159</v>
      </c>
      <c r="D21" t="s">
        <v>144</v>
      </c>
      <c r="E21">
        <v>20411454</v>
      </c>
      <c r="F21" t="s">
        <v>396</v>
      </c>
      <c r="G21" t="s">
        <v>147</v>
      </c>
      <c r="H21" s="1">
        <v>46113</v>
      </c>
      <c r="I21" t="s">
        <v>51</v>
      </c>
      <c r="J21" t="s">
        <v>52</v>
      </c>
      <c r="K21" s="2">
        <v>18.75</v>
      </c>
      <c r="L21">
        <v>1</v>
      </c>
      <c r="M21" s="2">
        <v>18.75</v>
      </c>
      <c r="N21" t="s">
        <v>148</v>
      </c>
      <c r="O21" t="s">
        <v>377</v>
      </c>
    </row>
    <row r="22" spans="1:15" x14ac:dyDescent="0.25">
      <c r="A22" s="5">
        <v>102071127900</v>
      </c>
      <c r="B22" s="5" t="str">
        <f t="shared" si="0"/>
        <v>102071127900OVR</v>
      </c>
      <c r="C22" t="s">
        <v>164</v>
      </c>
      <c r="D22" t="s">
        <v>144</v>
      </c>
      <c r="E22">
        <v>20411454</v>
      </c>
      <c r="F22" t="s">
        <v>396</v>
      </c>
      <c r="G22" t="s">
        <v>147</v>
      </c>
      <c r="H22" s="1">
        <v>46113</v>
      </c>
      <c r="I22" t="s">
        <v>51</v>
      </c>
      <c r="J22" t="s">
        <v>52</v>
      </c>
      <c r="K22" s="2">
        <v>18.75</v>
      </c>
      <c r="L22">
        <v>1</v>
      </c>
      <c r="M22" s="2">
        <v>18.75</v>
      </c>
      <c r="N22" t="s">
        <v>148</v>
      </c>
      <c r="O22" t="s">
        <v>377</v>
      </c>
    </row>
    <row r="23" spans="1:15" x14ac:dyDescent="0.25">
      <c r="A23" s="5">
        <v>102206475500</v>
      </c>
      <c r="B23" s="5" t="str">
        <f t="shared" si="0"/>
        <v>102206475500OVR</v>
      </c>
      <c r="C23" t="s">
        <v>166</v>
      </c>
      <c r="D23" t="s">
        <v>70</v>
      </c>
      <c r="E23">
        <v>20411454</v>
      </c>
      <c r="F23" t="s">
        <v>396</v>
      </c>
      <c r="G23" t="s">
        <v>147</v>
      </c>
      <c r="H23" s="1">
        <v>46113</v>
      </c>
      <c r="I23" t="s">
        <v>51</v>
      </c>
      <c r="J23" t="s">
        <v>52</v>
      </c>
      <c r="K23" s="2">
        <v>18.75</v>
      </c>
      <c r="L23">
        <v>1</v>
      </c>
      <c r="M23" s="2">
        <v>18.75</v>
      </c>
      <c r="N23" t="s">
        <v>148</v>
      </c>
      <c r="O23" t="s">
        <v>377</v>
      </c>
    </row>
    <row r="24" spans="1:15" x14ac:dyDescent="0.25">
      <c r="A24" s="5">
        <v>102272313500</v>
      </c>
      <c r="B24" s="5" t="str">
        <f t="shared" si="0"/>
        <v>102272313500OVR</v>
      </c>
      <c r="C24" t="s">
        <v>174</v>
      </c>
      <c r="D24" t="s">
        <v>144</v>
      </c>
      <c r="E24">
        <v>20411454</v>
      </c>
      <c r="F24" t="s">
        <v>396</v>
      </c>
      <c r="G24" t="s">
        <v>147</v>
      </c>
      <c r="H24" s="1">
        <v>46113</v>
      </c>
      <c r="I24" t="s">
        <v>51</v>
      </c>
      <c r="J24" t="s">
        <v>52</v>
      </c>
      <c r="K24" s="2">
        <v>18.75</v>
      </c>
      <c r="L24">
        <v>1</v>
      </c>
      <c r="M24" s="2">
        <v>18.75</v>
      </c>
      <c r="N24" t="s">
        <v>148</v>
      </c>
      <c r="O24" t="s">
        <v>377</v>
      </c>
    </row>
    <row r="25" spans="1:15" x14ac:dyDescent="0.25">
      <c r="A25" s="5">
        <v>102273082600</v>
      </c>
      <c r="B25" s="5" t="str">
        <f t="shared" si="0"/>
        <v>102273082600OVR</v>
      </c>
      <c r="C25" t="s">
        <v>183</v>
      </c>
      <c r="D25" t="s">
        <v>46</v>
      </c>
      <c r="E25">
        <v>20411454</v>
      </c>
      <c r="F25" t="s">
        <v>396</v>
      </c>
      <c r="G25" t="s">
        <v>147</v>
      </c>
      <c r="H25" s="1">
        <v>46113</v>
      </c>
      <c r="I25" t="s">
        <v>51</v>
      </c>
      <c r="J25" t="s">
        <v>52</v>
      </c>
      <c r="K25" s="2">
        <v>18.75</v>
      </c>
      <c r="L25">
        <v>1</v>
      </c>
      <c r="M25" s="2">
        <v>18.75</v>
      </c>
      <c r="N25" t="s">
        <v>148</v>
      </c>
      <c r="O25" t="s">
        <v>377</v>
      </c>
    </row>
    <row r="26" spans="1:15" x14ac:dyDescent="0.25">
      <c r="A26" s="5">
        <v>102058131300</v>
      </c>
      <c r="B26" s="5" t="str">
        <f t="shared" si="0"/>
        <v>102058131300OVR</v>
      </c>
      <c r="C26" t="s">
        <v>161</v>
      </c>
      <c r="D26" t="s">
        <v>144</v>
      </c>
      <c r="E26">
        <v>20411454</v>
      </c>
      <c r="F26" t="s">
        <v>396</v>
      </c>
      <c r="G26" t="s">
        <v>147</v>
      </c>
      <c r="H26" s="1">
        <v>46082</v>
      </c>
      <c r="I26" t="s">
        <v>51</v>
      </c>
      <c r="J26" t="s">
        <v>52</v>
      </c>
      <c r="K26" s="2">
        <v>20.83</v>
      </c>
      <c r="L26">
        <v>1</v>
      </c>
      <c r="M26" s="2">
        <v>20.83</v>
      </c>
      <c r="N26" t="s">
        <v>162</v>
      </c>
      <c r="O26" t="s">
        <v>377</v>
      </c>
    </row>
    <row r="27" spans="1:15" x14ac:dyDescent="0.25">
      <c r="A27" s="5" t="s">
        <v>371</v>
      </c>
      <c r="B27" s="5" t="str">
        <f t="shared" si="0"/>
        <v>21A1X8R95OVR</v>
      </c>
      <c r="C27" t="s">
        <v>296</v>
      </c>
      <c r="D27" t="s">
        <v>46</v>
      </c>
      <c r="E27">
        <v>20411454</v>
      </c>
      <c r="F27" t="s">
        <v>396</v>
      </c>
      <c r="G27" t="s">
        <v>197</v>
      </c>
      <c r="H27" s="1">
        <v>46023</v>
      </c>
      <c r="I27" t="s">
        <v>51</v>
      </c>
      <c r="J27" t="s">
        <v>52</v>
      </c>
      <c r="M27" s="4">
        <v>-100</v>
      </c>
      <c r="O27" t="s">
        <v>378</v>
      </c>
    </row>
    <row r="28" spans="1:15" x14ac:dyDescent="0.25">
      <c r="A28" s="5" t="s">
        <v>372</v>
      </c>
      <c r="B28" s="5" t="str">
        <f t="shared" si="0"/>
        <v>38L5L5R55OVR</v>
      </c>
      <c r="C28" t="s">
        <v>303</v>
      </c>
      <c r="D28" t="s">
        <v>46</v>
      </c>
      <c r="E28">
        <v>20411454</v>
      </c>
      <c r="F28" t="s">
        <v>396</v>
      </c>
      <c r="G28" t="s">
        <v>197</v>
      </c>
      <c r="H28" s="1">
        <v>46023</v>
      </c>
      <c r="I28" t="s">
        <v>51</v>
      </c>
      <c r="J28" t="s">
        <v>52</v>
      </c>
      <c r="M28" s="4">
        <v>-100</v>
      </c>
      <c r="O28" t="s">
        <v>378</v>
      </c>
    </row>
    <row r="29" spans="1:15" x14ac:dyDescent="0.25">
      <c r="A29" s="5" t="s">
        <v>361</v>
      </c>
      <c r="B29" s="5" t="str">
        <f t="shared" si="0"/>
        <v>38U9F5F62OVR</v>
      </c>
      <c r="C29" t="s">
        <v>193</v>
      </c>
      <c r="D29" t="s">
        <v>194</v>
      </c>
      <c r="E29">
        <v>20411454</v>
      </c>
      <c r="F29" t="s">
        <v>396</v>
      </c>
      <c r="G29" t="s">
        <v>197</v>
      </c>
      <c r="H29" s="1">
        <v>46174</v>
      </c>
      <c r="I29" t="s">
        <v>51</v>
      </c>
      <c r="J29" t="s">
        <v>52</v>
      </c>
      <c r="K29" s="2">
        <v>100</v>
      </c>
      <c r="L29">
        <v>1</v>
      </c>
      <c r="M29" s="2">
        <v>100</v>
      </c>
      <c r="O29" t="s">
        <v>378</v>
      </c>
    </row>
    <row r="30" spans="1:15" x14ac:dyDescent="0.25">
      <c r="A30" s="5" t="s">
        <v>362</v>
      </c>
      <c r="B30" s="5" t="str">
        <f t="shared" si="0"/>
        <v>73L6U3H51OVR</v>
      </c>
      <c r="C30" t="s">
        <v>199</v>
      </c>
      <c r="D30" t="s">
        <v>200</v>
      </c>
      <c r="E30">
        <v>20411454</v>
      </c>
      <c r="F30" t="s">
        <v>396</v>
      </c>
      <c r="G30" t="s">
        <v>197</v>
      </c>
      <c r="H30" s="1">
        <v>46113</v>
      </c>
      <c r="I30" t="s">
        <v>51</v>
      </c>
      <c r="J30" t="s">
        <v>52</v>
      </c>
      <c r="K30" s="2">
        <v>100</v>
      </c>
      <c r="L30">
        <v>1</v>
      </c>
      <c r="M30" s="2">
        <v>100</v>
      </c>
      <c r="O30" t="s">
        <v>378</v>
      </c>
    </row>
    <row r="31" spans="1:15" x14ac:dyDescent="0.25">
      <c r="A31" s="5">
        <v>36864714</v>
      </c>
      <c r="B31" s="5" t="str">
        <f t="shared" si="0"/>
        <v>36864714OVR</v>
      </c>
      <c r="C31" t="s">
        <v>298</v>
      </c>
      <c r="D31" t="s">
        <v>238</v>
      </c>
      <c r="E31">
        <v>20411454</v>
      </c>
      <c r="F31" t="s">
        <v>396</v>
      </c>
      <c r="G31" t="s">
        <v>301</v>
      </c>
      <c r="H31" s="1">
        <v>46082</v>
      </c>
      <c r="I31" t="s">
        <v>51</v>
      </c>
      <c r="J31" t="s">
        <v>52</v>
      </c>
      <c r="M31" s="4">
        <v>-50</v>
      </c>
      <c r="O31" t="s">
        <v>379</v>
      </c>
    </row>
    <row r="32" spans="1:15" x14ac:dyDescent="0.25">
      <c r="A32" s="5" t="s">
        <v>369</v>
      </c>
      <c r="B32" s="5" t="str">
        <f t="shared" si="0"/>
        <v>00024848882KAOVR</v>
      </c>
      <c r="C32" t="s">
        <v>272</v>
      </c>
      <c r="D32" t="s">
        <v>46</v>
      </c>
      <c r="E32">
        <v>20411454</v>
      </c>
      <c r="F32" t="s">
        <v>396</v>
      </c>
      <c r="G32" t="s">
        <v>50</v>
      </c>
      <c r="H32" s="1">
        <v>46082</v>
      </c>
      <c r="I32" t="s">
        <v>51</v>
      </c>
      <c r="J32" t="s">
        <v>52</v>
      </c>
      <c r="M32" s="4">
        <v>-175</v>
      </c>
      <c r="O32" t="s">
        <v>379</v>
      </c>
    </row>
    <row r="33" spans="1:15" x14ac:dyDescent="0.25">
      <c r="A33" s="5" t="s">
        <v>370</v>
      </c>
      <c r="B33" s="5" t="str">
        <f t="shared" si="0"/>
        <v>00026303905KOVR</v>
      </c>
      <c r="C33" t="s">
        <v>278</v>
      </c>
      <c r="D33" t="s">
        <v>46</v>
      </c>
      <c r="E33">
        <v>20411454</v>
      </c>
      <c r="F33" t="s">
        <v>396</v>
      </c>
      <c r="G33" t="s">
        <v>50</v>
      </c>
      <c r="H33" s="1">
        <v>46113</v>
      </c>
      <c r="I33" t="s">
        <v>51</v>
      </c>
      <c r="J33" t="s">
        <v>52</v>
      </c>
      <c r="M33" s="4">
        <v>-175</v>
      </c>
      <c r="O33" t="s">
        <v>379</v>
      </c>
    </row>
    <row r="34" spans="1:15" x14ac:dyDescent="0.25">
      <c r="A34" s="5" t="s">
        <v>344</v>
      </c>
      <c r="B34" s="5" t="str">
        <f t="shared" si="0"/>
        <v>00015039523KOVR</v>
      </c>
      <c r="C34" t="s">
        <v>86</v>
      </c>
      <c r="D34" t="s">
        <v>46</v>
      </c>
      <c r="E34">
        <v>20411454</v>
      </c>
      <c r="F34" t="s">
        <v>396</v>
      </c>
      <c r="G34" t="s">
        <v>50</v>
      </c>
      <c r="H34" s="1">
        <v>46023</v>
      </c>
      <c r="I34" t="s">
        <v>51</v>
      </c>
      <c r="J34" t="s">
        <v>52</v>
      </c>
      <c r="M34" s="4">
        <v>-131.25</v>
      </c>
      <c r="O34" t="s">
        <v>379</v>
      </c>
    </row>
    <row r="35" spans="1:15" x14ac:dyDescent="0.25">
      <c r="A35" s="5" t="s">
        <v>373</v>
      </c>
      <c r="B35" s="5" t="str">
        <f t="shared" si="0"/>
        <v>00024818329KOVR</v>
      </c>
      <c r="C35" t="s">
        <v>270</v>
      </c>
      <c r="D35" t="s">
        <v>46</v>
      </c>
      <c r="E35">
        <v>20411454</v>
      </c>
      <c r="F35" t="s">
        <v>396</v>
      </c>
      <c r="G35" t="s">
        <v>50</v>
      </c>
      <c r="H35" s="1">
        <v>46023</v>
      </c>
      <c r="I35" t="s">
        <v>51</v>
      </c>
      <c r="J35" t="s">
        <v>52</v>
      </c>
      <c r="M35" s="4">
        <v>-131.25</v>
      </c>
      <c r="O35" t="s">
        <v>379</v>
      </c>
    </row>
    <row r="36" spans="1:15" x14ac:dyDescent="0.25">
      <c r="A36" s="5" t="s">
        <v>374</v>
      </c>
      <c r="B36" s="5" t="str">
        <f t="shared" si="0"/>
        <v>00025335961KOVR</v>
      </c>
      <c r="C36" t="s">
        <v>274</v>
      </c>
      <c r="D36" t="s">
        <v>205</v>
      </c>
      <c r="E36">
        <v>20411454</v>
      </c>
      <c r="F36" t="s">
        <v>396</v>
      </c>
      <c r="G36" t="s">
        <v>50</v>
      </c>
      <c r="H36" s="1">
        <v>46023</v>
      </c>
      <c r="I36" t="s">
        <v>51</v>
      </c>
      <c r="J36" t="s">
        <v>52</v>
      </c>
      <c r="M36" s="4">
        <v>-131.25</v>
      </c>
      <c r="O36" t="s">
        <v>379</v>
      </c>
    </row>
    <row r="37" spans="1:15" x14ac:dyDescent="0.25">
      <c r="A37" s="5" t="s">
        <v>339</v>
      </c>
      <c r="B37" s="5" t="str">
        <f t="shared" si="0"/>
        <v>00001754427KOVR</v>
      </c>
      <c r="C37" t="s">
        <v>59</v>
      </c>
      <c r="D37" t="s">
        <v>46</v>
      </c>
      <c r="E37">
        <v>20411454</v>
      </c>
      <c r="F37" t="s">
        <v>396</v>
      </c>
      <c r="G37" t="s">
        <v>50</v>
      </c>
      <c r="H37" s="1">
        <v>46023</v>
      </c>
      <c r="I37" t="s">
        <v>51</v>
      </c>
      <c r="J37" t="s">
        <v>52</v>
      </c>
      <c r="M37" s="4">
        <v>-90.87</v>
      </c>
      <c r="O37" t="s">
        <v>379</v>
      </c>
    </row>
    <row r="38" spans="1:15" x14ac:dyDescent="0.25">
      <c r="A38" s="5" t="s">
        <v>341</v>
      </c>
      <c r="B38" s="5" t="str">
        <f t="shared" si="0"/>
        <v>00006948323KOVR</v>
      </c>
      <c r="C38" t="s">
        <v>69</v>
      </c>
      <c r="D38" t="s">
        <v>70</v>
      </c>
      <c r="E38">
        <v>20411454</v>
      </c>
      <c r="F38" t="s">
        <v>396</v>
      </c>
      <c r="G38" t="s">
        <v>50</v>
      </c>
      <c r="H38" s="1">
        <v>46023</v>
      </c>
      <c r="I38" t="s">
        <v>51</v>
      </c>
      <c r="J38" t="s">
        <v>52</v>
      </c>
      <c r="K38" s="2">
        <v>131.25</v>
      </c>
      <c r="L38">
        <v>1</v>
      </c>
      <c r="M38" s="2">
        <v>131.25</v>
      </c>
      <c r="N38" t="s">
        <v>74</v>
      </c>
      <c r="O38" t="s">
        <v>379</v>
      </c>
    </row>
    <row r="39" spans="1:15" x14ac:dyDescent="0.25">
      <c r="A39" s="5" t="s">
        <v>337</v>
      </c>
      <c r="B39" s="5" t="str">
        <f t="shared" si="0"/>
        <v>00000289066DOVR</v>
      </c>
      <c r="C39" t="s">
        <v>45</v>
      </c>
      <c r="D39" t="s">
        <v>46</v>
      </c>
      <c r="E39">
        <v>20411454</v>
      </c>
      <c r="F39" t="s">
        <v>396</v>
      </c>
      <c r="G39" t="s">
        <v>50</v>
      </c>
      <c r="H39" s="1">
        <v>46113</v>
      </c>
      <c r="I39" t="s">
        <v>51</v>
      </c>
      <c r="J39" t="s">
        <v>52</v>
      </c>
      <c r="K39" s="2">
        <v>175</v>
      </c>
      <c r="L39">
        <v>1</v>
      </c>
      <c r="M39" s="2">
        <v>175</v>
      </c>
      <c r="O39" t="s">
        <v>379</v>
      </c>
    </row>
    <row r="40" spans="1:15" x14ac:dyDescent="0.25">
      <c r="A40" s="5" t="s">
        <v>338</v>
      </c>
      <c r="B40" s="5" t="str">
        <f t="shared" si="0"/>
        <v>00000506917DOVR</v>
      </c>
      <c r="C40" t="s">
        <v>54</v>
      </c>
      <c r="D40" t="s">
        <v>55</v>
      </c>
      <c r="E40">
        <v>20411454</v>
      </c>
      <c r="F40" t="s">
        <v>396</v>
      </c>
      <c r="G40" t="s">
        <v>50</v>
      </c>
      <c r="H40" s="1">
        <v>46113</v>
      </c>
      <c r="I40" t="s">
        <v>51</v>
      </c>
      <c r="J40" t="s">
        <v>52</v>
      </c>
      <c r="K40" s="2">
        <v>175</v>
      </c>
      <c r="L40">
        <v>1</v>
      </c>
      <c r="M40" s="2">
        <v>175</v>
      </c>
      <c r="O40" t="s">
        <v>379</v>
      </c>
    </row>
    <row r="41" spans="1:15" x14ac:dyDescent="0.25">
      <c r="A41" s="5" t="s">
        <v>340</v>
      </c>
      <c r="B41" s="5" t="str">
        <f t="shared" si="0"/>
        <v>00003940693KOVR</v>
      </c>
      <c r="C41" t="s">
        <v>64</v>
      </c>
      <c r="D41" t="s">
        <v>65</v>
      </c>
      <c r="E41">
        <v>20411454</v>
      </c>
      <c r="F41" t="s">
        <v>396</v>
      </c>
      <c r="G41" t="s">
        <v>50</v>
      </c>
      <c r="H41" s="1">
        <v>46113</v>
      </c>
      <c r="I41" t="s">
        <v>51</v>
      </c>
      <c r="J41" t="s">
        <v>52</v>
      </c>
      <c r="K41" s="2">
        <v>175</v>
      </c>
      <c r="L41">
        <v>1</v>
      </c>
      <c r="M41" s="2">
        <v>175</v>
      </c>
      <c r="O41" t="s">
        <v>379</v>
      </c>
    </row>
    <row r="42" spans="1:15" x14ac:dyDescent="0.25">
      <c r="A42" s="5" t="s">
        <v>343</v>
      </c>
      <c r="B42" s="5" t="str">
        <f t="shared" si="0"/>
        <v>00013984201KOVR</v>
      </c>
      <c r="C42" t="s">
        <v>81</v>
      </c>
      <c r="D42" t="s">
        <v>82</v>
      </c>
      <c r="E42">
        <v>20411454</v>
      </c>
      <c r="F42" t="s">
        <v>396</v>
      </c>
      <c r="G42" t="s">
        <v>50</v>
      </c>
      <c r="H42" s="1">
        <v>46113</v>
      </c>
      <c r="I42" t="s">
        <v>51</v>
      </c>
      <c r="J42" t="s">
        <v>52</v>
      </c>
      <c r="K42" s="2">
        <v>175</v>
      </c>
      <c r="L42">
        <v>1</v>
      </c>
      <c r="M42" s="2">
        <v>175</v>
      </c>
      <c r="O42" t="s">
        <v>379</v>
      </c>
    </row>
    <row r="43" spans="1:15" x14ac:dyDescent="0.25">
      <c r="A43" s="5" t="s">
        <v>345</v>
      </c>
      <c r="B43" s="5" t="str">
        <f t="shared" si="0"/>
        <v>00015077373KOVR</v>
      </c>
      <c r="C43" t="s">
        <v>90</v>
      </c>
      <c r="D43" t="s">
        <v>91</v>
      </c>
      <c r="E43">
        <v>20411454</v>
      </c>
      <c r="F43" t="s">
        <v>396</v>
      </c>
      <c r="G43" t="s">
        <v>50</v>
      </c>
      <c r="H43" s="1">
        <v>46023</v>
      </c>
      <c r="I43" t="s">
        <v>51</v>
      </c>
      <c r="J43" t="s">
        <v>52</v>
      </c>
      <c r="K43" s="2">
        <v>175</v>
      </c>
      <c r="L43">
        <v>1</v>
      </c>
      <c r="M43" s="2">
        <v>175</v>
      </c>
      <c r="O43" t="s">
        <v>379</v>
      </c>
    </row>
    <row r="44" spans="1:15" x14ac:dyDescent="0.25">
      <c r="A44" s="5" t="s">
        <v>348</v>
      </c>
      <c r="B44" s="5" t="str">
        <f t="shared" si="0"/>
        <v>00025035914KOVR</v>
      </c>
      <c r="C44" t="s">
        <v>101</v>
      </c>
      <c r="D44" t="s">
        <v>46</v>
      </c>
      <c r="E44">
        <v>20411454</v>
      </c>
      <c r="F44" t="s">
        <v>396</v>
      </c>
      <c r="G44" t="s">
        <v>50</v>
      </c>
      <c r="H44" s="1">
        <v>46113</v>
      </c>
      <c r="I44" t="s">
        <v>51</v>
      </c>
      <c r="J44" t="s">
        <v>52</v>
      </c>
      <c r="K44" s="2">
        <v>175</v>
      </c>
      <c r="L44">
        <v>1</v>
      </c>
      <c r="M44" s="2">
        <v>175</v>
      </c>
      <c r="O44" t="s">
        <v>379</v>
      </c>
    </row>
    <row r="45" spans="1:15" x14ac:dyDescent="0.25">
      <c r="A45" s="5" t="s">
        <v>349</v>
      </c>
      <c r="B45" s="5" t="str">
        <f t="shared" si="0"/>
        <v>00026334031KOVR</v>
      </c>
      <c r="C45" t="s">
        <v>105</v>
      </c>
      <c r="D45" t="s">
        <v>46</v>
      </c>
      <c r="E45">
        <v>20411454</v>
      </c>
      <c r="F45" t="s">
        <v>396</v>
      </c>
      <c r="G45" t="s">
        <v>50</v>
      </c>
      <c r="H45" s="1">
        <v>46113</v>
      </c>
      <c r="I45" t="s">
        <v>51</v>
      </c>
      <c r="J45" t="s">
        <v>52</v>
      </c>
      <c r="K45" s="2">
        <v>175</v>
      </c>
      <c r="L45">
        <v>1</v>
      </c>
      <c r="M45" s="2">
        <v>175</v>
      </c>
      <c r="O45" t="s">
        <v>379</v>
      </c>
    </row>
    <row r="46" spans="1:15" x14ac:dyDescent="0.25">
      <c r="A46" s="5" t="s">
        <v>350</v>
      </c>
      <c r="B46" s="5" t="str">
        <f t="shared" si="0"/>
        <v>00026334671KOVR</v>
      </c>
      <c r="C46" t="s">
        <v>109</v>
      </c>
      <c r="D46" t="s">
        <v>46</v>
      </c>
      <c r="E46">
        <v>20411454</v>
      </c>
      <c r="F46" t="s">
        <v>396</v>
      </c>
      <c r="G46" t="s">
        <v>50</v>
      </c>
      <c r="H46" s="1">
        <v>46113</v>
      </c>
      <c r="I46" t="s">
        <v>51</v>
      </c>
      <c r="J46" t="s">
        <v>52</v>
      </c>
      <c r="K46" s="2">
        <v>175</v>
      </c>
      <c r="L46">
        <v>1</v>
      </c>
      <c r="M46" s="2">
        <v>175</v>
      </c>
      <c r="O46" t="s">
        <v>379</v>
      </c>
    </row>
    <row r="47" spans="1:15" x14ac:dyDescent="0.25">
      <c r="A47" s="5" t="s">
        <v>351</v>
      </c>
      <c r="B47" s="5" t="str">
        <f t="shared" si="0"/>
        <v>00026336082KOVR</v>
      </c>
      <c r="C47" t="s">
        <v>113</v>
      </c>
      <c r="D47" t="s">
        <v>46</v>
      </c>
      <c r="E47">
        <v>20411454</v>
      </c>
      <c r="F47" t="s">
        <v>396</v>
      </c>
      <c r="G47" t="s">
        <v>50</v>
      </c>
      <c r="H47" s="1">
        <v>46113</v>
      </c>
      <c r="I47" t="s">
        <v>51</v>
      </c>
      <c r="J47" t="s">
        <v>52</v>
      </c>
      <c r="K47" s="2">
        <v>175</v>
      </c>
      <c r="L47">
        <v>1</v>
      </c>
      <c r="M47" s="2">
        <v>175</v>
      </c>
      <c r="O47" t="s">
        <v>379</v>
      </c>
    </row>
    <row r="48" spans="1:15" x14ac:dyDescent="0.25">
      <c r="A48" s="5" t="s">
        <v>352</v>
      </c>
      <c r="B48" s="5" t="str">
        <f t="shared" si="0"/>
        <v>00026336266KOVR</v>
      </c>
      <c r="C48" t="s">
        <v>115</v>
      </c>
      <c r="D48" t="s">
        <v>46</v>
      </c>
      <c r="E48">
        <v>20411454</v>
      </c>
      <c r="F48" t="s">
        <v>396</v>
      </c>
      <c r="G48" t="s">
        <v>50</v>
      </c>
      <c r="H48" s="1">
        <v>46113</v>
      </c>
      <c r="I48" t="s">
        <v>51</v>
      </c>
      <c r="J48" t="s">
        <v>52</v>
      </c>
      <c r="K48" s="2">
        <v>175</v>
      </c>
      <c r="L48">
        <v>1</v>
      </c>
      <c r="M48" s="2">
        <v>175</v>
      </c>
      <c r="O48" t="s">
        <v>379</v>
      </c>
    </row>
    <row r="49" spans="1:39" x14ac:dyDescent="0.25">
      <c r="A49" s="5" t="s">
        <v>353</v>
      </c>
      <c r="B49" s="5" t="str">
        <f t="shared" si="0"/>
        <v>00026336731KOVR</v>
      </c>
      <c r="C49" t="s">
        <v>117</v>
      </c>
      <c r="D49" t="s">
        <v>46</v>
      </c>
      <c r="E49">
        <v>20411454</v>
      </c>
      <c r="F49" t="s">
        <v>396</v>
      </c>
      <c r="G49" t="s">
        <v>50</v>
      </c>
      <c r="H49" s="1">
        <v>46113</v>
      </c>
      <c r="I49" t="s">
        <v>51</v>
      </c>
      <c r="J49" t="s">
        <v>52</v>
      </c>
      <c r="K49" s="2">
        <v>175</v>
      </c>
      <c r="L49">
        <v>1</v>
      </c>
      <c r="M49" s="2">
        <v>175</v>
      </c>
      <c r="O49" t="s">
        <v>379</v>
      </c>
    </row>
    <row r="50" spans="1:39" x14ac:dyDescent="0.25">
      <c r="A50" s="5" t="s">
        <v>354</v>
      </c>
      <c r="B50" s="5" t="str">
        <f t="shared" si="0"/>
        <v>00026338095KOVR</v>
      </c>
      <c r="C50" t="s">
        <v>119</v>
      </c>
      <c r="D50" t="s">
        <v>46</v>
      </c>
      <c r="E50">
        <v>20411454</v>
      </c>
      <c r="F50" t="s">
        <v>396</v>
      </c>
      <c r="G50" t="s">
        <v>50</v>
      </c>
      <c r="H50" s="1">
        <v>46113</v>
      </c>
      <c r="I50" t="s">
        <v>51</v>
      </c>
      <c r="J50" t="s">
        <v>52</v>
      </c>
      <c r="K50" s="2">
        <v>175</v>
      </c>
      <c r="L50">
        <v>1</v>
      </c>
      <c r="M50" s="2">
        <v>175</v>
      </c>
      <c r="O50" t="s">
        <v>379</v>
      </c>
    </row>
    <row r="51" spans="1:39" x14ac:dyDescent="0.25">
      <c r="A51" s="5" t="s">
        <v>355</v>
      </c>
      <c r="B51" s="5" t="str">
        <f t="shared" si="0"/>
        <v>00026343314KOVR</v>
      </c>
      <c r="C51" t="s">
        <v>121</v>
      </c>
      <c r="D51" t="s">
        <v>46</v>
      </c>
      <c r="E51">
        <v>20411454</v>
      </c>
      <c r="F51" t="s">
        <v>396</v>
      </c>
      <c r="G51" t="s">
        <v>50</v>
      </c>
      <c r="H51" s="1">
        <v>46143</v>
      </c>
      <c r="I51" t="s">
        <v>51</v>
      </c>
      <c r="J51" t="s">
        <v>52</v>
      </c>
      <c r="K51" s="2">
        <v>175</v>
      </c>
      <c r="L51">
        <v>1</v>
      </c>
      <c r="M51" s="2">
        <v>175</v>
      </c>
      <c r="O51" t="s">
        <v>379</v>
      </c>
    </row>
    <row r="52" spans="1:39" x14ac:dyDescent="0.25">
      <c r="A52" s="5" t="s">
        <v>356</v>
      </c>
      <c r="B52" s="5" t="str">
        <f t="shared" si="0"/>
        <v>00026354524KOVR</v>
      </c>
      <c r="C52" t="s">
        <v>125</v>
      </c>
      <c r="D52" t="s">
        <v>46</v>
      </c>
      <c r="E52">
        <v>20411454</v>
      </c>
      <c r="F52" t="s">
        <v>396</v>
      </c>
      <c r="G52" t="s">
        <v>50</v>
      </c>
      <c r="H52" s="1">
        <v>46143</v>
      </c>
      <c r="I52" t="s">
        <v>51</v>
      </c>
      <c r="J52" t="s">
        <v>52</v>
      </c>
      <c r="K52" s="2">
        <v>175</v>
      </c>
      <c r="L52">
        <v>1</v>
      </c>
      <c r="M52" s="2">
        <v>175</v>
      </c>
      <c r="O52" t="s">
        <v>379</v>
      </c>
    </row>
    <row r="53" spans="1:39" x14ac:dyDescent="0.25">
      <c r="A53" s="5" t="s">
        <v>357</v>
      </c>
      <c r="B53" s="5" t="str">
        <f t="shared" si="0"/>
        <v>00026361573KOVR</v>
      </c>
      <c r="C53" t="s">
        <v>129</v>
      </c>
      <c r="D53" t="s">
        <v>70</v>
      </c>
      <c r="E53">
        <v>20411454</v>
      </c>
      <c r="F53" t="s">
        <v>396</v>
      </c>
      <c r="G53" t="s">
        <v>50</v>
      </c>
      <c r="H53" s="1">
        <v>46204</v>
      </c>
      <c r="I53" t="s">
        <v>51</v>
      </c>
      <c r="J53" t="s">
        <v>52</v>
      </c>
      <c r="K53" s="2">
        <v>175</v>
      </c>
      <c r="L53">
        <v>1</v>
      </c>
      <c r="M53" s="2">
        <v>175</v>
      </c>
      <c r="O53" t="s">
        <v>379</v>
      </c>
    </row>
    <row r="54" spans="1:39" x14ac:dyDescent="0.25">
      <c r="A54" s="5" t="s">
        <v>358</v>
      </c>
      <c r="B54" s="5" t="str">
        <f t="shared" si="0"/>
        <v>00026362781KOVR</v>
      </c>
      <c r="C54" t="s">
        <v>133</v>
      </c>
      <c r="D54" t="s">
        <v>46</v>
      </c>
      <c r="E54">
        <v>20411454</v>
      </c>
      <c r="F54" t="s">
        <v>396</v>
      </c>
      <c r="G54" t="s">
        <v>50</v>
      </c>
      <c r="H54" s="1">
        <v>46143</v>
      </c>
      <c r="I54" t="s">
        <v>51</v>
      </c>
      <c r="J54" t="s">
        <v>52</v>
      </c>
      <c r="K54" s="2">
        <v>175</v>
      </c>
      <c r="L54">
        <v>1</v>
      </c>
      <c r="M54" s="2">
        <v>175</v>
      </c>
      <c r="O54" t="s">
        <v>379</v>
      </c>
    </row>
    <row r="55" spans="1:39" x14ac:dyDescent="0.25">
      <c r="A55" s="5" t="s">
        <v>359</v>
      </c>
      <c r="B55" s="5" t="str">
        <f t="shared" si="0"/>
        <v>00026364794KOVR</v>
      </c>
      <c r="C55" t="s">
        <v>137</v>
      </c>
      <c r="D55" t="s">
        <v>46</v>
      </c>
      <c r="E55">
        <v>20411454</v>
      </c>
      <c r="F55" t="s">
        <v>396</v>
      </c>
      <c r="G55" t="s">
        <v>50</v>
      </c>
      <c r="H55" s="1">
        <v>46143</v>
      </c>
      <c r="I55" t="s">
        <v>51</v>
      </c>
      <c r="J55" t="s">
        <v>52</v>
      </c>
      <c r="K55" s="2">
        <v>175</v>
      </c>
      <c r="L55">
        <v>1</v>
      </c>
      <c r="M55" s="2">
        <v>175</v>
      </c>
      <c r="O55" t="s">
        <v>379</v>
      </c>
    </row>
    <row r="56" spans="1:39" x14ac:dyDescent="0.25">
      <c r="A56" s="5" t="s">
        <v>360</v>
      </c>
      <c r="B56" s="5" t="str">
        <f t="shared" si="0"/>
        <v>00026365803KOVR</v>
      </c>
      <c r="C56" t="s">
        <v>141</v>
      </c>
      <c r="D56" t="s">
        <v>46</v>
      </c>
      <c r="E56">
        <v>20411454</v>
      </c>
      <c r="F56" t="s">
        <v>396</v>
      </c>
      <c r="G56" t="s">
        <v>50</v>
      </c>
      <c r="H56" s="1">
        <v>46143</v>
      </c>
      <c r="I56" t="s">
        <v>51</v>
      </c>
      <c r="J56" t="s">
        <v>52</v>
      </c>
      <c r="K56" s="2">
        <v>175</v>
      </c>
      <c r="L56">
        <v>1</v>
      </c>
      <c r="M56" s="2">
        <v>175</v>
      </c>
      <c r="O56" t="s">
        <v>379</v>
      </c>
    </row>
    <row r="57" spans="1:39" s="7" customFormat="1" x14ac:dyDescent="0.25">
      <c r="A57" s="5" t="s">
        <v>342</v>
      </c>
      <c r="B57" s="5" t="str">
        <f t="shared" si="0"/>
        <v>00011005827KOVR</v>
      </c>
      <c r="C57" t="s">
        <v>76</v>
      </c>
      <c r="D57" t="s">
        <v>77</v>
      </c>
      <c r="E57">
        <v>20411454</v>
      </c>
      <c r="F57" t="s">
        <v>396</v>
      </c>
      <c r="G57" t="s">
        <v>62</v>
      </c>
      <c r="H57" s="1">
        <v>46023</v>
      </c>
      <c r="I57" t="s">
        <v>51</v>
      </c>
      <c r="J57" t="s">
        <v>52</v>
      </c>
      <c r="K57" s="2">
        <v>81</v>
      </c>
      <c r="L57">
        <v>1</v>
      </c>
      <c r="M57" s="2">
        <v>81</v>
      </c>
      <c r="N57" t="s">
        <v>74</v>
      </c>
      <c r="O57" t="s">
        <v>379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 s="7" customFormat="1" x14ac:dyDescent="0.25">
      <c r="A58" s="5" t="s">
        <v>339</v>
      </c>
      <c r="B58" s="5" t="str">
        <f t="shared" si="0"/>
        <v>00001754427KOVR</v>
      </c>
      <c r="C58" t="s">
        <v>59</v>
      </c>
      <c r="D58" t="s">
        <v>46</v>
      </c>
      <c r="E58">
        <v>20411454</v>
      </c>
      <c r="F58" t="s">
        <v>396</v>
      </c>
      <c r="G58" t="s">
        <v>62</v>
      </c>
      <c r="H58" s="1">
        <v>46113</v>
      </c>
      <c r="I58" t="s">
        <v>51</v>
      </c>
      <c r="J58" t="s">
        <v>52</v>
      </c>
      <c r="K58" s="2">
        <v>108</v>
      </c>
      <c r="L58">
        <v>1</v>
      </c>
      <c r="M58" s="2">
        <v>108</v>
      </c>
      <c r="N58"/>
      <c r="O58" t="s">
        <v>379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s="7" customFormat="1" x14ac:dyDescent="0.25">
      <c r="A59" s="5" t="s">
        <v>344</v>
      </c>
      <c r="B59" s="5" t="str">
        <f t="shared" si="0"/>
        <v>00015039523KOVR</v>
      </c>
      <c r="C59" t="s">
        <v>86</v>
      </c>
      <c r="D59" t="s">
        <v>46</v>
      </c>
      <c r="E59">
        <v>20411454</v>
      </c>
      <c r="F59" t="s">
        <v>396</v>
      </c>
      <c r="G59" t="s">
        <v>62</v>
      </c>
      <c r="H59" s="1">
        <v>46113</v>
      </c>
      <c r="I59" t="s">
        <v>51</v>
      </c>
      <c r="J59" t="s">
        <v>52</v>
      </c>
      <c r="K59" s="2">
        <v>108</v>
      </c>
      <c r="L59">
        <v>1</v>
      </c>
      <c r="M59" s="2">
        <v>108</v>
      </c>
      <c r="N59"/>
      <c r="O59" t="s">
        <v>379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 s="7" customFormat="1" x14ac:dyDescent="0.25">
      <c r="A60" s="5" t="s">
        <v>346</v>
      </c>
      <c r="B60" s="5" t="str">
        <f t="shared" si="0"/>
        <v>00016914030KOVR</v>
      </c>
      <c r="C60" t="s">
        <v>93</v>
      </c>
      <c r="D60" t="s">
        <v>46</v>
      </c>
      <c r="E60">
        <v>20411454</v>
      </c>
      <c r="F60" t="s">
        <v>396</v>
      </c>
      <c r="G60" t="s">
        <v>62</v>
      </c>
      <c r="H60" s="1">
        <v>46113</v>
      </c>
      <c r="I60" t="s">
        <v>51</v>
      </c>
      <c r="J60" t="s">
        <v>52</v>
      </c>
      <c r="K60" s="2">
        <v>108</v>
      </c>
      <c r="L60">
        <v>1</v>
      </c>
      <c r="M60" s="2">
        <v>108</v>
      </c>
      <c r="N60"/>
      <c r="O60" t="s">
        <v>379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 x14ac:dyDescent="0.25">
      <c r="A61" s="5" t="s">
        <v>347</v>
      </c>
      <c r="B61" s="5" t="str">
        <f t="shared" si="0"/>
        <v>00024869293KOVR</v>
      </c>
      <c r="C61" t="s">
        <v>97</v>
      </c>
      <c r="D61" t="s">
        <v>46</v>
      </c>
      <c r="E61">
        <v>20411454</v>
      </c>
      <c r="F61" t="s">
        <v>396</v>
      </c>
      <c r="G61" t="s">
        <v>62</v>
      </c>
      <c r="H61" s="1">
        <v>46113</v>
      </c>
      <c r="I61" t="s">
        <v>51</v>
      </c>
      <c r="J61" t="s">
        <v>52</v>
      </c>
      <c r="K61" s="2">
        <v>108</v>
      </c>
      <c r="L61">
        <v>1</v>
      </c>
      <c r="M61" s="2">
        <v>108</v>
      </c>
      <c r="O61" t="s">
        <v>379</v>
      </c>
    </row>
    <row r="62" spans="1:39" x14ac:dyDescent="0.25">
      <c r="A62" s="6">
        <v>914196025</v>
      </c>
      <c r="B62" s="6" t="str">
        <f>CONCATENATE(A62,12)</f>
        <v>91419602512</v>
      </c>
      <c r="C62" s="7" t="s">
        <v>219</v>
      </c>
      <c r="D62" s="7" t="s">
        <v>70</v>
      </c>
      <c r="E62" s="7">
        <v>19491313</v>
      </c>
      <c r="F62" s="7" t="s">
        <v>131</v>
      </c>
      <c r="G62" s="7" t="s">
        <v>220</v>
      </c>
      <c r="H62" s="8">
        <v>46113</v>
      </c>
      <c r="I62" s="7" t="s">
        <v>51</v>
      </c>
      <c r="J62" s="7" t="s">
        <v>52</v>
      </c>
      <c r="K62" s="9">
        <v>694</v>
      </c>
      <c r="L62" s="7">
        <v>1</v>
      </c>
      <c r="M62" s="9">
        <v>694</v>
      </c>
      <c r="N62" s="7"/>
      <c r="O62" s="7" t="s">
        <v>383</v>
      </c>
      <c r="P62" s="7" t="s">
        <v>395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x14ac:dyDescent="0.25">
      <c r="A63" s="6">
        <v>929884922</v>
      </c>
      <c r="B63" s="6" t="str">
        <f t="shared" ref="B63:B65" si="1">CONCATENATE(A63,12)</f>
        <v>92988492212</v>
      </c>
      <c r="C63" s="7" t="s">
        <v>222</v>
      </c>
      <c r="D63" s="7" t="s">
        <v>46</v>
      </c>
      <c r="E63" s="7">
        <v>9213293</v>
      </c>
      <c r="F63" s="7" t="s">
        <v>111</v>
      </c>
      <c r="G63" s="7" t="s">
        <v>220</v>
      </c>
      <c r="H63" s="8">
        <v>46113</v>
      </c>
      <c r="I63" s="7" t="s">
        <v>51</v>
      </c>
      <c r="J63" s="7" t="s">
        <v>52</v>
      </c>
      <c r="K63" s="9">
        <v>694</v>
      </c>
      <c r="L63" s="7">
        <v>1</v>
      </c>
      <c r="M63" s="9">
        <v>694</v>
      </c>
      <c r="N63" s="7"/>
      <c r="O63" s="7" t="s">
        <v>383</v>
      </c>
      <c r="P63" s="7" t="s">
        <v>395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25">
      <c r="A64" s="6">
        <v>940603285</v>
      </c>
      <c r="B64" s="6" t="str">
        <f t="shared" si="1"/>
        <v>94060328512</v>
      </c>
      <c r="C64" s="7" t="s">
        <v>230</v>
      </c>
      <c r="D64" s="7" t="s">
        <v>82</v>
      </c>
      <c r="E64" s="7">
        <v>19645587</v>
      </c>
      <c r="F64" s="7" t="s">
        <v>232</v>
      </c>
      <c r="G64" s="7" t="s">
        <v>220</v>
      </c>
      <c r="H64" s="8">
        <v>46113</v>
      </c>
      <c r="I64" s="7" t="s">
        <v>51</v>
      </c>
      <c r="J64" s="7" t="s">
        <v>52</v>
      </c>
      <c r="K64" s="9">
        <v>694</v>
      </c>
      <c r="L64" s="7">
        <v>1</v>
      </c>
      <c r="M64" s="9">
        <v>694</v>
      </c>
      <c r="N64" s="7"/>
      <c r="O64" s="7" t="s">
        <v>383</v>
      </c>
      <c r="P64" s="7" t="s">
        <v>395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x14ac:dyDescent="0.25">
      <c r="A65" s="6">
        <v>947678298</v>
      </c>
      <c r="B65" s="6" t="str">
        <f t="shared" si="1"/>
        <v>94767829812</v>
      </c>
      <c r="C65" s="7" t="s">
        <v>234</v>
      </c>
      <c r="D65" s="7" t="s">
        <v>70</v>
      </c>
      <c r="E65" s="7">
        <v>19200754</v>
      </c>
      <c r="F65" s="7" t="s">
        <v>95</v>
      </c>
      <c r="G65" s="7" t="s">
        <v>220</v>
      </c>
      <c r="H65" s="8">
        <v>46113</v>
      </c>
      <c r="I65" s="7" t="s">
        <v>51</v>
      </c>
      <c r="J65" s="7" t="s">
        <v>52</v>
      </c>
      <c r="K65" s="9">
        <v>694</v>
      </c>
      <c r="L65" s="7">
        <v>1</v>
      </c>
      <c r="M65" s="9">
        <v>694</v>
      </c>
      <c r="N65" s="7"/>
      <c r="O65" s="7" t="s">
        <v>383</v>
      </c>
      <c r="P65" s="7" t="s">
        <v>395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x14ac:dyDescent="0.25">
      <c r="A66" s="6">
        <v>904672379</v>
      </c>
      <c r="B66" s="6" t="str">
        <f>CONCATENATE(A66,11)</f>
        <v>90467237911</v>
      </c>
      <c r="C66" s="7" t="s">
        <v>212</v>
      </c>
      <c r="D66" s="7" t="s">
        <v>213</v>
      </c>
      <c r="E66" s="7">
        <v>17425766</v>
      </c>
      <c r="F66" s="7" t="s">
        <v>215</v>
      </c>
      <c r="G66" s="7" t="s">
        <v>216</v>
      </c>
      <c r="H66" s="8">
        <v>46113</v>
      </c>
      <c r="I66" s="7" t="s">
        <v>51</v>
      </c>
      <c r="J66" s="7" t="s">
        <v>52</v>
      </c>
      <c r="K66" s="9">
        <v>324</v>
      </c>
      <c r="L66" s="7">
        <v>1</v>
      </c>
      <c r="M66" s="9">
        <v>324</v>
      </c>
      <c r="N66" s="7" t="s">
        <v>148</v>
      </c>
      <c r="O66" s="7" t="s">
        <v>393</v>
      </c>
      <c r="P66" s="7" t="s">
        <v>394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x14ac:dyDescent="0.25">
      <c r="A67" s="6" t="s">
        <v>364</v>
      </c>
      <c r="B67" s="6" t="str">
        <f>CONCATENATE(A67,1)</f>
        <v>A044589631</v>
      </c>
      <c r="C67" s="7" t="s">
        <v>250</v>
      </c>
      <c r="D67" s="7" t="s">
        <v>205</v>
      </c>
      <c r="E67" s="7">
        <v>16849453</v>
      </c>
      <c r="F67" s="7" t="s">
        <v>207</v>
      </c>
      <c r="G67" s="7" t="s">
        <v>251</v>
      </c>
      <c r="H67" s="8">
        <v>46113</v>
      </c>
      <c r="I67" s="7" t="s">
        <v>51</v>
      </c>
      <c r="J67" s="7" t="s">
        <v>52</v>
      </c>
      <c r="K67" s="9">
        <v>31.02</v>
      </c>
      <c r="L67" s="7">
        <v>9</v>
      </c>
      <c r="M67" s="9">
        <v>279.18</v>
      </c>
      <c r="N67" s="7"/>
      <c r="O67" s="7" t="s">
        <v>251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x14ac:dyDescent="0.25">
      <c r="A68" s="6" t="s">
        <v>366</v>
      </c>
      <c r="B68" s="6" t="str">
        <f t="shared" ref="B68:B70" si="2">CONCATENATE(A68,1)</f>
        <v>A044599381</v>
      </c>
      <c r="C68" s="7" t="s">
        <v>256</v>
      </c>
      <c r="D68" s="7" t="s">
        <v>46</v>
      </c>
      <c r="E68" s="7">
        <v>8325282</v>
      </c>
      <c r="F68" s="7" t="s">
        <v>103</v>
      </c>
      <c r="G68" s="7" t="s">
        <v>257</v>
      </c>
      <c r="H68" s="8">
        <v>46113</v>
      </c>
      <c r="I68" s="7" t="s">
        <v>51</v>
      </c>
      <c r="J68" s="7" t="s">
        <v>52</v>
      </c>
      <c r="K68" s="9">
        <v>9.83</v>
      </c>
      <c r="L68" s="7">
        <v>9</v>
      </c>
      <c r="M68" s="9">
        <v>88.47</v>
      </c>
      <c r="N68" s="7"/>
      <c r="O68" s="7" t="s">
        <v>257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5">
      <c r="A69" s="6" t="s">
        <v>363</v>
      </c>
      <c r="B69" s="6" t="str">
        <f t="shared" si="2"/>
        <v>A044416391</v>
      </c>
      <c r="C69" s="7" t="s">
        <v>246</v>
      </c>
      <c r="D69" s="7" t="s">
        <v>157</v>
      </c>
      <c r="E69" s="7">
        <v>19645587</v>
      </c>
      <c r="F69" s="7" t="s">
        <v>232</v>
      </c>
      <c r="G69" s="7" t="s">
        <v>247</v>
      </c>
      <c r="H69" s="8">
        <v>46082</v>
      </c>
      <c r="I69" s="7" t="s">
        <v>51</v>
      </c>
      <c r="J69" s="7" t="s">
        <v>52</v>
      </c>
      <c r="K69" s="9">
        <v>465.6</v>
      </c>
      <c r="L69" s="7">
        <v>1</v>
      </c>
      <c r="M69" s="9">
        <v>465.6</v>
      </c>
      <c r="N69" s="7" t="s">
        <v>248</v>
      </c>
      <c r="O69" s="7" t="s">
        <v>380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x14ac:dyDescent="0.25">
      <c r="A70" s="6" t="s">
        <v>365</v>
      </c>
      <c r="B70" s="6" t="str">
        <f t="shared" si="2"/>
        <v>A044593521</v>
      </c>
      <c r="C70" s="7" t="s">
        <v>253</v>
      </c>
      <c r="D70" s="7" t="s">
        <v>157</v>
      </c>
      <c r="E70" s="7">
        <v>19645587</v>
      </c>
      <c r="F70" s="7" t="s">
        <v>232</v>
      </c>
      <c r="G70" s="7" t="s">
        <v>254</v>
      </c>
      <c r="H70" s="8">
        <v>46143</v>
      </c>
      <c r="I70" s="7" t="s">
        <v>51</v>
      </c>
      <c r="J70" s="7" t="s">
        <v>52</v>
      </c>
      <c r="K70" s="9">
        <v>44.31</v>
      </c>
      <c r="L70" s="7">
        <v>9</v>
      </c>
      <c r="M70" s="9">
        <v>398.79</v>
      </c>
      <c r="N70" s="7"/>
      <c r="O70" s="7" t="s">
        <v>381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x14ac:dyDescent="0.25">
      <c r="A71" s="6">
        <v>947312937</v>
      </c>
      <c r="B71" s="6" t="str">
        <f t="shared" ref="B71:B81" si="3">CONCATENATE(A71,11)</f>
        <v>94731293711</v>
      </c>
      <c r="C71" s="7" t="s">
        <v>318</v>
      </c>
      <c r="D71" s="7" t="s">
        <v>319</v>
      </c>
      <c r="E71" s="7">
        <v>9213293</v>
      </c>
      <c r="F71" s="7" t="s">
        <v>111</v>
      </c>
      <c r="G71" s="7" t="s">
        <v>189</v>
      </c>
      <c r="H71" s="8">
        <v>46023</v>
      </c>
      <c r="I71" s="7" t="s">
        <v>51</v>
      </c>
      <c r="J71" s="7" t="s">
        <v>52</v>
      </c>
      <c r="K71" s="7"/>
      <c r="L71" s="7"/>
      <c r="M71" s="10">
        <v>-347</v>
      </c>
      <c r="N71" s="7"/>
      <c r="O71" s="7" t="s">
        <v>385</v>
      </c>
      <c r="P71" s="7" t="s">
        <v>387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x14ac:dyDescent="0.25">
      <c r="A72" s="6">
        <v>959706673</v>
      </c>
      <c r="B72" s="6" t="str">
        <f t="shared" si="3"/>
        <v>95970667311</v>
      </c>
      <c r="C72" s="7" t="s">
        <v>322</v>
      </c>
      <c r="D72" s="7" t="s">
        <v>46</v>
      </c>
      <c r="E72" s="7">
        <v>18828278</v>
      </c>
      <c r="F72" s="7" t="s">
        <v>180</v>
      </c>
      <c r="G72" s="7" t="s">
        <v>189</v>
      </c>
      <c r="H72" s="8">
        <v>46023</v>
      </c>
      <c r="I72" s="7" t="s">
        <v>51</v>
      </c>
      <c r="J72" s="7" t="s">
        <v>52</v>
      </c>
      <c r="K72" s="7"/>
      <c r="L72" s="7"/>
      <c r="M72" s="10">
        <v>-347</v>
      </c>
      <c r="N72" s="7"/>
      <c r="O72" s="7" t="s">
        <v>385</v>
      </c>
      <c r="P72" s="7" t="s">
        <v>387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x14ac:dyDescent="0.25">
      <c r="A73" s="6">
        <v>990114406</v>
      </c>
      <c r="B73" s="6" t="str">
        <f t="shared" si="3"/>
        <v>99011440611</v>
      </c>
      <c r="C73" s="7" t="s">
        <v>335</v>
      </c>
      <c r="D73" s="7" t="s">
        <v>46</v>
      </c>
      <c r="E73" s="7">
        <v>9213293</v>
      </c>
      <c r="F73" s="7" t="s">
        <v>111</v>
      </c>
      <c r="G73" s="7" t="s">
        <v>189</v>
      </c>
      <c r="H73" s="8">
        <v>46023</v>
      </c>
      <c r="I73" s="7" t="s">
        <v>51</v>
      </c>
      <c r="J73" s="7" t="s">
        <v>52</v>
      </c>
      <c r="K73" s="7"/>
      <c r="L73" s="7"/>
      <c r="M73" s="10">
        <v>-347</v>
      </c>
      <c r="N73" s="7"/>
      <c r="O73" s="7" t="s">
        <v>385</v>
      </c>
      <c r="P73" s="7" t="s">
        <v>387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x14ac:dyDescent="0.25">
      <c r="A74" s="6">
        <v>962753685</v>
      </c>
      <c r="B74" s="6" t="str">
        <f t="shared" si="3"/>
        <v>96275368511</v>
      </c>
      <c r="C74" s="7" t="s">
        <v>325</v>
      </c>
      <c r="D74" s="7" t="s">
        <v>46</v>
      </c>
      <c r="E74" s="7">
        <v>9213293</v>
      </c>
      <c r="F74" s="7" t="s">
        <v>111</v>
      </c>
      <c r="G74" s="7" t="s">
        <v>189</v>
      </c>
      <c r="H74" s="8">
        <v>46054</v>
      </c>
      <c r="I74" s="7" t="s">
        <v>51</v>
      </c>
      <c r="J74" s="7" t="s">
        <v>52</v>
      </c>
      <c r="K74" s="7"/>
      <c r="L74" s="7"/>
      <c r="M74" s="10">
        <v>-318.08</v>
      </c>
      <c r="N74" s="7"/>
      <c r="O74" s="7" t="s">
        <v>385</v>
      </c>
      <c r="P74" s="7" t="s">
        <v>386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5">
      <c r="A75" s="6">
        <v>914196025</v>
      </c>
      <c r="B75" s="6" t="str">
        <f t="shared" si="3"/>
        <v>91419602511</v>
      </c>
      <c r="C75" s="7" t="s">
        <v>219</v>
      </c>
      <c r="D75" s="7" t="s">
        <v>70</v>
      </c>
      <c r="E75" s="7">
        <v>19491313</v>
      </c>
      <c r="F75" s="7" t="s">
        <v>131</v>
      </c>
      <c r="G75" s="7" t="s">
        <v>189</v>
      </c>
      <c r="H75" s="8">
        <v>46113</v>
      </c>
      <c r="I75" s="7" t="s">
        <v>51</v>
      </c>
      <c r="J75" s="7" t="s">
        <v>52</v>
      </c>
      <c r="K75" s="7"/>
      <c r="L75" s="7"/>
      <c r="M75" s="10">
        <v>-260.25</v>
      </c>
      <c r="N75" s="7"/>
      <c r="O75" s="7" t="s">
        <v>385</v>
      </c>
      <c r="P75" s="7" t="s">
        <v>388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s="7" customFormat="1" x14ac:dyDescent="0.25">
      <c r="A76" s="6">
        <v>929884922</v>
      </c>
      <c r="B76" s="6" t="str">
        <f t="shared" si="3"/>
        <v>92988492211</v>
      </c>
      <c r="C76" s="7" t="s">
        <v>222</v>
      </c>
      <c r="D76" s="7" t="s">
        <v>46</v>
      </c>
      <c r="E76" s="7">
        <v>9213293</v>
      </c>
      <c r="F76" s="7" t="s">
        <v>111</v>
      </c>
      <c r="G76" s="7" t="s">
        <v>189</v>
      </c>
      <c r="H76" s="8">
        <v>46113</v>
      </c>
      <c r="I76" s="7" t="s">
        <v>51</v>
      </c>
      <c r="J76" s="7" t="s">
        <v>52</v>
      </c>
      <c r="M76" s="10">
        <v>-260.25</v>
      </c>
      <c r="O76" s="7" t="s">
        <v>385</v>
      </c>
      <c r="P76" s="7" t="s">
        <v>388</v>
      </c>
    </row>
    <row r="77" spans="1:39" s="7" customFormat="1" x14ac:dyDescent="0.25">
      <c r="A77" s="6">
        <v>940603285</v>
      </c>
      <c r="B77" s="6" t="str">
        <f t="shared" si="3"/>
        <v>94060328511</v>
      </c>
      <c r="C77" s="7" t="s">
        <v>230</v>
      </c>
      <c r="D77" s="7" t="s">
        <v>82</v>
      </c>
      <c r="E77" s="7">
        <v>19645587</v>
      </c>
      <c r="F77" s="7" t="s">
        <v>232</v>
      </c>
      <c r="G77" s="7" t="s">
        <v>189</v>
      </c>
      <c r="H77" s="8">
        <v>46113</v>
      </c>
      <c r="I77" s="7" t="s">
        <v>51</v>
      </c>
      <c r="J77" s="7" t="s">
        <v>52</v>
      </c>
      <c r="M77" s="10">
        <v>-260.25</v>
      </c>
      <c r="O77" s="7" t="s">
        <v>385</v>
      </c>
      <c r="P77" s="7" t="s">
        <v>388</v>
      </c>
    </row>
    <row r="78" spans="1:39" s="7" customFormat="1" x14ac:dyDescent="0.25">
      <c r="A78" s="6">
        <v>938375183</v>
      </c>
      <c r="B78" s="6" t="str">
        <f t="shared" si="3"/>
        <v>93837518311</v>
      </c>
      <c r="C78" s="7" t="s">
        <v>311</v>
      </c>
      <c r="D78" s="7" t="s">
        <v>205</v>
      </c>
      <c r="E78" s="7">
        <v>16849453</v>
      </c>
      <c r="F78" s="7" t="s">
        <v>207</v>
      </c>
      <c r="G78" s="7" t="s">
        <v>189</v>
      </c>
      <c r="H78" s="8">
        <v>46023</v>
      </c>
      <c r="I78" s="7" t="s">
        <v>51</v>
      </c>
      <c r="J78" s="7" t="s">
        <v>52</v>
      </c>
      <c r="M78" s="10">
        <v>-231.33</v>
      </c>
      <c r="O78" s="7" t="s">
        <v>385</v>
      </c>
      <c r="P78" s="7" t="s">
        <v>389</v>
      </c>
    </row>
    <row r="79" spans="1:39" s="7" customFormat="1" x14ac:dyDescent="0.25">
      <c r="A79" s="6">
        <v>974660030</v>
      </c>
      <c r="B79" s="6" t="str">
        <f t="shared" si="3"/>
        <v>97466003011</v>
      </c>
      <c r="C79" s="7" t="s">
        <v>237</v>
      </c>
      <c r="D79" s="7" t="s">
        <v>238</v>
      </c>
      <c r="E79" s="7">
        <v>9213293</v>
      </c>
      <c r="F79" s="7" t="s">
        <v>111</v>
      </c>
      <c r="G79" s="7" t="s">
        <v>189</v>
      </c>
      <c r="H79" s="8">
        <v>46143</v>
      </c>
      <c r="I79" s="7" t="s">
        <v>51</v>
      </c>
      <c r="J79" s="7" t="s">
        <v>52</v>
      </c>
      <c r="K79" s="9">
        <v>231.33</v>
      </c>
      <c r="L79" s="7">
        <v>1</v>
      </c>
      <c r="M79" s="9">
        <v>231.33</v>
      </c>
      <c r="N79" s="7" t="s">
        <v>181</v>
      </c>
      <c r="O79" s="7" t="s">
        <v>385</v>
      </c>
      <c r="P79" s="7" t="s">
        <v>389</v>
      </c>
    </row>
    <row r="80" spans="1:39" s="7" customFormat="1" x14ac:dyDescent="0.25">
      <c r="A80" s="6">
        <v>984357354</v>
      </c>
      <c r="B80" s="6" t="str">
        <f t="shared" si="3"/>
        <v>98435735411</v>
      </c>
      <c r="C80" s="7" t="s">
        <v>241</v>
      </c>
      <c r="D80" s="7" t="s">
        <v>242</v>
      </c>
      <c r="E80" s="7">
        <v>17425766</v>
      </c>
      <c r="F80" s="7" t="s">
        <v>215</v>
      </c>
      <c r="G80" s="7" t="s">
        <v>189</v>
      </c>
      <c r="H80" s="8">
        <v>46143</v>
      </c>
      <c r="I80" s="7" t="s">
        <v>51</v>
      </c>
      <c r="J80" s="7" t="s">
        <v>52</v>
      </c>
      <c r="K80" s="9">
        <v>231.33</v>
      </c>
      <c r="L80" s="7">
        <v>1</v>
      </c>
      <c r="M80" s="9">
        <v>231.33</v>
      </c>
      <c r="N80" s="7" t="s">
        <v>181</v>
      </c>
      <c r="O80" s="7" t="s">
        <v>385</v>
      </c>
      <c r="P80" s="7" t="s">
        <v>389</v>
      </c>
    </row>
    <row r="81" spans="1:39" s="7" customFormat="1" x14ac:dyDescent="0.25">
      <c r="A81" s="6">
        <v>135835752</v>
      </c>
      <c r="B81" s="6" t="str">
        <f t="shared" si="3"/>
        <v>13583575211</v>
      </c>
      <c r="C81" s="7" t="s">
        <v>185</v>
      </c>
      <c r="D81" s="7" t="s">
        <v>186</v>
      </c>
      <c r="E81" s="7">
        <v>5442438</v>
      </c>
      <c r="F81" s="7" t="s">
        <v>188</v>
      </c>
      <c r="G81" s="7" t="s">
        <v>189</v>
      </c>
      <c r="H81" s="8">
        <v>46113</v>
      </c>
      <c r="I81" s="7" t="s">
        <v>51</v>
      </c>
      <c r="J81" s="7" t="s">
        <v>52</v>
      </c>
      <c r="K81" s="9">
        <v>260.25</v>
      </c>
      <c r="L81" s="7">
        <v>1</v>
      </c>
      <c r="M81" s="9">
        <v>260.25</v>
      </c>
      <c r="N81" s="7" t="s">
        <v>148</v>
      </c>
      <c r="O81" s="7" t="s">
        <v>385</v>
      </c>
      <c r="P81" s="7" t="s">
        <v>388</v>
      </c>
    </row>
    <row r="82" spans="1:39" s="7" customFormat="1" x14ac:dyDescent="0.25">
      <c r="A82" s="5">
        <v>947312937</v>
      </c>
      <c r="B82" s="5" t="str">
        <f t="shared" ref="B82:B96" si="4">CONCATENATE(A82,"OVR")</f>
        <v>947312937OVR</v>
      </c>
      <c r="C82" t="s">
        <v>318</v>
      </c>
      <c r="D82" t="s">
        <v>319</v>
      </c>
      <c r="E82">
        <v>20411454</v>
      </c>
      <c r="F82" t="s">
        <v>396</v>
      </c>
      <c r="G82" t="s">
        <v>191</v>
      </c>
      <c r="H82" s="1">
        <v>46023</v>
      </c>
      <c r="I82" t="s">
        <v>51</v>
      </c>
      <c r="J82" t="s">
        <v>52</v>
      </c>
      <c r="K82"/>
      <c r="L82"/>
      <c r="M82" s="4">
        <v>-175</v>
      </c>
      <c r="N82"/>
      <c r="O82" t="s">
        <v>382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s="7" customFormat="1" x14ac:dyDescent="0.25">
      <c r="A83" s="5">
        <v>959706673</v>
      </c>
      <c r="B83" s="5" t="str">
        <f t="shared" si="4"/>
        <v>959706673OVR</v>
      </c>
      <c r="C83" t="s">
        <v>322</v>
      </c>
      <c r="D83" t="s">
        <v>46</v>
      </c>
      <c r="E83">
        <v>20411454</v>
      </c>
      <c r="F83" t="s">
        <v>396</v>
      </c>
      <c r="G83" t="s">
        <v>191</v>
      </c>
      <c r="H83" s="1">
        <v>46023</v>
      </c>
      <c r="I83" t="s">
        <v>51</v>
      </c>
      <c r="J83" t="s">
        <v>52</v>
      </c>
      <c r="K83"/>
      <c r="L83"/>
      <c r="M83" s="4">
        <v>-175</v>
      </c>
      <c r="N83"/>
      <c r="O83" t="s">
        <v>382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7" customFormat="1" x14ac:dyDescent="0.25">
      <c r="A84" s="5">
        <v>938375183</v>
      </c>
      <c r="B84" s="5" t="str">
        <f t="shared" si="4"/>
        <v>938375183OVR</v>
      </c>
      <c r="C84" t="s">
        <v>311</v>
      </c>
      <c r="D84" t="s">
        <v>205</v>
      </c>
      <c r="E84">
        <v>20411454</v>
      </c>
      <c r="F84" t="s">
        <v>396</v>
      </c>
      <c r="G84" t="s">
        <v>191</v>
      </c>
      <c r="H84" s="1">
        <v>46023</v>
      </c>
      <c r="I84" t="s">
        <v>51</v>
      </c>
      <c r="J84" t="s">
        <v>52</v>
      </c>
      <c r="K84"/>
      <c r="L84"/>
      <c r="M84" s="4">
        <v>-116.66</v>
      </c>
      <c r="N84"/>
      <c r="O84" t="s">
        <v>382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 s="7" customFormat="1" x14ac:dyDescent="0.25">
      <c r="A85" s="5">
        <v>135835752</v>
      </c>
      <c r="B85" s="5" t="str">
        <f t="shared" si="4"/>
        <v>135835752OVR</v>
      </c>
      <c r="C85" t="s">
        <v>185</v>
      </c>
      <c r="D85" t="s">
        <v>186</v>
      </c>
      <c r="E85">
        <v>20411454</v>
      </c>
      <c r="F85" t="s">
        <v>396</v>
      </c>
      <c r="G85" t="s">
        <v>191</v>
      </c>
      <c r="H85" s="1">
        <v>46113</v>
      </c>
      <c r="I85" t="s">
        <v>51</v>
      </c>
      <c r="J85" t="s">
        <v>52</v>
      </c>
      <c r="K85" s="2">
        <v>175</v>
      </c>
      <c r="L85">
        <v>1</v>
      </c>
      <c r="M85" s="2">
        <v>175</v>
      </c>
      <c r="N85"/>
      <c r="O85" t="s">
        <v>382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 s="7" customFormat="1" x14ac:dyDescent="0.25">
      <c r="A86" s="5">
        <v>904672379</v>
      </c>
      <c r="B86" s="5" t="str">
        <f t="shared" si="4"/>
        <v>904672379OVR</v>
      </c>
      <c r="C86" t="s">
        <v>212</v>
      </c>
      <c r="D86" t="s">
        <v>213</v>
      </c>
      <c r="E86">
        <v>20411454</v>
      </c>
      <c r="F86" t="s">
        <v>396</v>
      </c>
      <c r="G86" t="s">
        <v>191</v>
      </c>
      <c r="H86" s="1">
        <v>46113</v>
      </c>
      <c r="I86" t="s">
        <v>51</v>
      </c>
      <c r="J86" t="s">
        <v>52</v>
      </c>
      <c r="K86" s="2">
        <v>175</v>
      </c>
      <c r="L86">
        <v>1</v>
      </c>
      <c r="M86" s="2">
        <v>175</v>
      </c>
      <c r="N86"/>
      <c r="O86" t="s">
        <v>382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 s="7" customFormat="1" x14ac:dyDescent="0.25">
      <c r="A87" s="5">
        <v>947678298</v>
      </c>
      <c r="B87" s="5" t="str">
        <f t="shared" si="4"/>
        <v>947678298OVR</v>
      </c>
      <c r="C87" t="s">
        <v>234</v>
      </c>
      <c r="D87" t="s">
        <v>70</v>
      </c>
      <c r="E87">
        <v>20411454</v>
      </c>
      <c r="F87" t="s">
        <v>396</v>
      </c>
      <c r="G87" t="s">
        <v>191</v>
      </c>
      <c r="H87" s="1">
        <v>46113</v>
      </c>
      <c r="I87" t="s">
        <v>51</v>
      </c>
      <c r="J87" t="s">
        <v>52</v>
      </c>
      <c r="K87" s="2">
        <v>175</v>
      </c>
      <c r="L87">
        <v>1</v>
      </c>
      <c r="M87" s="2">
        <v>175</v>
      </c>
      <c r="N87"/>
      <c r="O87" t="s">
        <v>382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 s="7" customFormat="1" x14ac:dyDescent="0.25">
      <c r="A88" s="5">
        <v>974660030</v>
      </c>
      <c r="B88" s="5" t="str">
        <f t="shared" si="4"/>
        <v>974660030OVR</v>
      </c>
      <c r="C88" t="s">
        <v>237</v>
      </c>
      <c r="D88" t="s">
        <v>238</v>
      </c>
      <c r="E88">
        <v>20411454</v>
      </c>
      <c r="F88" t="s">
        <v>396</v>
      </c>
      <c r="G88" t="s">
        <v>191</v>
      </c>
      <c r="H88" s="1">
        <v>46143</v>
      </c>
      <c r="I88" t="s">
        <v>51</v>
      </c>
      <c r="J88" t="s">
        <v>52</v>
      </c>
      <c r="K88" s="2">
        <v>175</v>
      </c>
      <c r="L88">
        <v>1</v>
      </c>
      <c r="M88" s="2">
        <v>175</v>
      </c>
      <c r="N88"/>
      <c r="O88" t="s">
        <v>382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 s="7" customFormat="1" x14ac:dyDescent="0.25">
      <c r="A89" s="5">
        <v>939992732</v>
      </c>
      <c r="B89" s="5" t="str">
        <f t="shared" si="4"/>
        <v>939992732OVR</v>
      </c>
      <c r="C89" t="s">
        <v>224</v>
      </c>
      <c r="D89" t="s">
        <v>144</v>
      </c>
      <c r="E89">
        <v>20411454</v>
      </c>
      <c r="F89" t="s">
        <v>396</v>
      </c>
      <c r="G89" t="s">
        <v>210</v>
      </c>
      <c r="H89" s="1">
        <v>46113</v>
      </c>
      <c r="I89" t="s">
        <v>51</v>
      </c>
      <c r="J89" t="s">
        <v>52</v>
      </c>
      <c r="K89"/>
      <c r="L89"/>
      <c r="M89" s="4">
        <v>-113</v>
      </c>
      <c r="N89"/>
      <c r="O89" t="s">
        <v>382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 s="7" customFormat="1" x14ac:dyDescent="0.25">
      <c r="A90" s="5">
        <v>903355671</v>
      </c>
      <c r="B90" s="5" t="str">
        <f t="shared" si="4"/>
        <v>903355671OVR</v>
      </c>
      <c r="C90" t="s">
        <v>204</v>
      </c>
      <c r="D90" t="s">
        <v>205</v>
      </c>
      <c r="E90">
        <v>20411454</v>
      </c>
      <c r="F90" t="s">
        <v>396</v>
      </c>
      <c r="G90" t="s">
        <v>210</v>
      </c>
      <c r="H90" s="1">
        <v>46113</v>
      </c>
      <c r="I90" t="s">
        <v>51</v>
      </c>
      <c r="J90" t="s">
        <v>52</v>
      </c>
      <c r="K90" s="2">
        <v>113</v>
      </c>
      <c r="L90">
        <v>1</v>
      </c>
      <c r="M90" s="2">
        <v>113</v>
      </c>
      <c r="N90"/>
      <c r="O90" t="s">
        <v>382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 s="7" customFormat="1" x14ac:dyDescent="0.25">
      <c r="A91" s="5">
        <v>939992732</v>
      </c>
      <c r="B91" s="5" t="str">
        <f t="shared" si="4"/>
        <v>939992732OVR</v>
      </c>
      <c r="C91" t="s">
        <v>224</v>
      </c>
      <c r="D91" t="s">
        <v>144</v>
      </c>
      <c r="E91">
        <v>20411454</v>
      </c>
      <c r="F91" t="s">
        <v>396</v>
      </c>
      <c r="G91" t="s">
        <v>210</v>
      </c>
      <c r="H91" s="1">
        <v>46113</v>
      </c>
      <c r="I91" t="s">
        <v>51</v>
      </c>
      <c r="J91" t="s">
        <v>52</v>
      </c>
      <c r="K91" s="2">
        <v>113</v>
      </c>
      <c r="L91">
        <v>1</v>
      </c>
      <c r="M91" s="2">
        <v>113</v>
      </c>
      <c r="N91"/>
      <c r="O91" t="s">
        <v>382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 s="7" customFormat="1" x14ac:dyDescent="0.25">
      <c r="A92" s="5">
        <v>990114406</v>
      </c>
      <c r="B92" s="5" t="str">
        <f t="shared" si="4"/>
        <v>990114406OVR</v>
      </c>
      <c r="C92" t="s">
        <v>335</v>
      </c>
      <c r="D92" t="s">
        <v>46</v>
      </c>
      <c r="E92">
        <v>20411454</v>
      </c>
      <c r="F92" t="s">
        <v>396</v>
      </c>
      <c r="G92" t="s">
        <v>244</v>
      </c>
      <c r="H92" s="1">
        <v>46023</v>
      </c>
      <c r="I92" t="s">
        <v>51</v>
      </c>
      <c r="J92" t="s">
        <v>52</v>
      </c>
      <c r="K92"/>
      <c r="L92"/>
      <c r="M92" s="4">
        <v>-72</v>
      </c>
      <c r="N92"/>
      <c r="O92" t="s">
        <v>382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 s="7" customFormat="1" x14ac:dyDescent="0.25">
      <c r="A93" s="5">
        <v>962753685</v>
      </c>
      <c r="B93" s="5" t="str">
        <f t="shared" si="4"/>
        <v>962753685OVR</v>
      </c>
      <c r="C93" t="s">
        <v>325</v>
      </c>
      <c r="D93" t="s">
        <v>46</v>
      </c>
      <c r="E93">
        <v>20411454</v>
      </c>
      <c r="F93" t="s">
        <v>396</v>
      </c>
      <c r="G93" t="s">
        <v>244</v>
      </c>
      <c r="H93" s="1">
        <v>46054</v>
      </c>
      <c r="I93" t="s">
        <v>51</v>
      </c>
      <c r="J93" t="s">
        <v>52</v>
      </c>
      <c r="K93"/>
      <c r="L93"/>
      <c r="M93" s="4">
        <v>-66</v>
      </c>
      <c r="N93"/>
      <c r="O93" t="s">
        <v>382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 s="7" customFormat="1" x14ac:dyDescent="0.25">
      <c r="A94" s="5">
        <v>984357354</v>
      </c>
      <c r="B94" s="5" t="str">
        <f t="shared" si="4"/>
        <v>984357354OVR</v>
      </c>
      <c r="C94" t="s">
        <v>241</v>
      </c>
      <c r="D94" t="s">
        <v>242</v>
      </c>
      <c r="E94">
        <v>20411454</v>
      </c>
      <c r="F94" t="s">
        <v>396</v>
      </c>
      <c r="G94" t="s">
        <v>244</v>
      </c>
      <c r="H94" s="1">
        <v>46143</v>
      </c>
      <c r="I94" t="s">
        <v>51</v>
      </c>
      <c r="J94" t="s">
        <v>52</v>
      </c>
      <c r="K94" s="2">
        <v>48</v>
      </c>
      <c r="L94">
        <v>1</v>
      </c>
      <c r="M94" s="2">
        <v>48</v>
      </c>
      <c r="N94"/>
      <c r="O94" t="s">
        <v>382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 s="7" customFormat="1" x14ac:dyDescent="0.25">
      <c r="A95" s="5">
        <v>903355671</v>
      </c>
      <c r="B95" s="5" t="str">
        <f t="shared" si="4"/>
        <v>903355671OVR</v>
      </c>
      <c r="C95" t="s">
        <v>204</v>
      </c>
      <c r="D95" t="s">
        <v>205</v>
      </c>
      <c r="E95">
        <v>20411454</v>
      </c>
      <c r="F95" t="s">
        <v>396</v>
      </c>
      <c r="G95" t="s">
        <v>307</v>
      </c>
      <c r="H95" s="1">
        <v>46113</v>
      </c>
      <c r="I95" t="s">
        <v>51</v>
      </c>
      <c r="J95" t="s">
        <v>52</v>
      </c>
      <c r="K95"/>
      <c r="L95"/>
      <c r="M95" s="4">
        <v>-37.5</v>
      </c>
      <c r="N95"/>
      <c r="O95" t="s">
        <v>382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 s="7" customFormat="1" x14ac:dyDescent="0.25">
      <c r="A96" s="5">
        <v>980482625</v>
      </c>
      <c r="B96" s="5" t="str">
        <f t="shared" si="4"/>
        <v>980482625OVR</v>
      </c>
      <c r="C96" t="s">
        <v>328</v>
      </c>
      <c r="D96" t="s">
        <v>157</v>
      </c>
      <c r="E96">
        <v>20411454</v>
      </c>
      <c r="F96" t="s">
        <v>396</v>
      </c>
      <c r="G96" t="s">
        <v>333</v>
      </c>
      <c r="H96" s="1">
        <v>46082</v>
      </c>
      <c r="I96" t="s">
        <v>51</v>
      </c>
      <c r="J96" t="s">
        <v>52</v>
      </c>
      <c r="K96"/>
      <c r="L96"/>
      <c r="M96" s="4">
        <v>-94.17</v>
      </c>
      <c r="N96"/>
      <c r="O96" t="s">
        <v>382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</sheetData>
  <sortState xmlns:xlrd2="http://schemas.microsoft.com/office/spreadsheetml/2017/richdata2" ref="A2:AM96">
    <sortCondition ref="O2:O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2026-04-17T07:04:41Z</dcterms:created>
  <dcterms:modified xsi:type="dcterms:W3CDTF">2026-04-20T19:30:14Z</dcterms:modified>
</cp:coreProperties>
</file>