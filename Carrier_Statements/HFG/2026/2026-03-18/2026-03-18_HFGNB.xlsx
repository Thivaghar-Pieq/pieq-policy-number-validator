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3-18-26\"/>
    </mc:Choice>
  </mc:AlternateContent>
  <xr:revisionPtr revIDLastSave="0" documentId="13_ncr:1_{DAAD269A-7597-44E8-9ABC-F48CAE912F4D}" xr6:coauthVersionLast="47" xr6:coauthVersionMax="47" xr10:uidLastSave="{00000000-0000-0000-0000-000000000000}"/>
  <bookViews>
    <workbookView xWindow="-28920" yWindow="-120" windowWidth="29040" windowHeight="15720" xr2:uid="{54F94FE8-EF8E-4D2B-AF41-F8C122F36BBC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99" i="2"/>
  <c r="B101" i="2"/>
  <c r="B15" i="2"/>
  <c r="B98" i="2"/>
  <c r="B20" i="2"/>
  <c r="B3" i="2"/>
  <c r="B27" i="2"/>
  <c r="B26" i="2"/>
  <c r="B25" i="2"/>
  <c r="B14" i="2"/>
  <c r="B5" i="2"/>
  <c r="B13" i="2"/>
  <c r="B96" i="2"/>
  <c r="B8" i="2"/>
  <c r="B24" i="2"/>
  <c r="B9" i="2"/>
  <c r="B102" i="2"/>
  <c r="B19" i="2"/>
  <c r="B2" i="2"/>
  <c r="B23" i="2"/>
  <c r="B12" i="2"/>
  <c r="B22" i="2"/>
  <c r="B97" i="2"/>
  <c r="B21" i="2"/>
  <c r="B7" i="2"/>
  <c r="B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11" i="2"/>
  <c r="B18" i="2"/>
  <c r="B10" i="2"/>
  <c r="B17" i="2"/>
  <c r="B4" i="2"/>
  <c r="O15" i="2" l="1"/>
  <c r="O18" i="2"/>
  <c r="O21" i="2"/>
</calcChain>
</file>

<file path=xl/sharedStrings.xml><?xml version="1.0" encoding="utf-8"?>
<sst xmlns="http://schemas.openxmlformats.org/spreadsheetml/2006/main" count="2181" uniqueCount="409">
  <si>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</si>
  <si>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</si>
  <si>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</si>
  <si>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</si>
  <si>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</si>
  <si>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</si>
  <si>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</si>
  <si>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</si>
  <si>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</si>
  <si>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</si>
  <si>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</si>
  <si>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</si>
  <si>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</si>
  <si>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</si>
  <si>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</si>
  <si>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</si>
  <si>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</si>
  <si>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</si>
  <si>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</si>
  <si>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</si>
  <si>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</si>
  <si>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</si>
  <si>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</si>
  <si>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</si>
  <si>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</si>
  <si>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</si>
  <si>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</si>
  <si>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</si>
  <si>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</si>
  <si>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</si>
  <si>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</si>
  <si>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</si>
  <si>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</si>
  <si>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</si>
  <si>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</si>
  <si>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</si>
  <si>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</si>
  <si>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</si>
  <si>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</si>
  <si>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</si>
  <si>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</si>
  <si>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</si>
  <si>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</si>
  <si>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</si>
  <si>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'00015156932K</t>
  </si>
  <si>
    <t>BONNY CROOKE</t>
  </si>
  <si>
    <t>IL</t>
  </si>
  <si>
    <t>'043637</t>
  </si>
  <si>
    <t>CHRISTIAN TAUGNER</t>
  </si>
  <si>
    <t>ACTIVE</t>
  </si>
  <si>
    <t>Humana MA 2019+ Level 15- 175/108 Repl 2024</t>
  </si>
  <si>
    <t>Monthly</t>
  </si>
  <si>
    <t>AV</t>
  </si>
  <si>
    <t>'00017188003K</t>
  </si>
  <si>
    <t>ANGELA LOSURDO</t>
  </si>
  <si>
    <t>FL</t>
  </si>
  <si>
    <t>'043618</t>
  </si>
  <si>
    <t>SAADIA ABDUL</t>
  </si>
  <si>
    <t>Humana MA 2019+ Level 15- 175/108</t>
  </si>
  <si>
    <t>'00018736051K</t>
  </si>
  <si>
    <t>GERALYN BURNS</t>
  </si>
  <si>
    <t>SC</t>
  </si>
  <si>
    <t>'046013</t>
  </si>
  <si>
    <t>GREGG ARENSON</t>
  </si>
  <si>
    <t>'00023259320K</t>
  </si>
  <si>
    <t>SHARON MCGINLEY</t>
  </si>
  <si>
    <t>NA</t>
  </si>
  <si>
    <t>'043969</t>
  </si>
  <si>
    <t>STACEY PORTUGAL</t>
  </si>
  <si>
    <t>Active</t>
  </si>
  <si>
    <t>Humana MA Bonus Upload 03-18-2026.xlsx</t>
  </si>
  <si>
    <t>'00024389442K</t>
  </si>
  <si>
    <t>PEGGY OBRIEN</t>
  </si>
  <si>
    <t>'045605</t>
  </si>
  <si>
    <t>GARY PORTUGAL</t>
  </si>
  <si>
    <t>'00025809995K</t>
  </si>
  <si>
    <t>IRENE SUAREZ</t>
  </si>
  <si>
    <t>'045966</t>
  </si>
  <si>
    <t>ANTONIA NEVAREZ</t>
  </si>
  <si>
    <t>'00026208828K</t>
  </si>
  <si>
    <t>WILLIAM NORWOOD</t>
  </si>
  <si>
    <t>'00026210059K</t>
  </si>
  <si>
    <t>DAVID SHEWMAKER</t>
  </si>
  <si>
    <t>MO</t>
  </si>
  <si>
    <t>'043682</t>
  </si>
  <si>
    <t>GREGORY TEIPEL</t>
  </si>
  <si>
    <t>'00026210379K</t>
  </si>
  <si>
    <t>JULIA CARNEY</t>
  </si>
  <si>
    <t>'045772</t>
  </si>
  <si>
    <t>JASON ROLLER</t>
  </si>
  <si>
    <t>'00026218269K</t>
  </si>
  <si>
    <t>SCOTT CATHER</t>
  </si>
  <si>
    <t>'00026220499K</t>
  </si>
  <si>
    <t>BARBARA SMITH</t>
  </si>
  <si>
    <t>IN</t>
  </si>
  <si>
    <t>'045967</t>
  </si>
  <si>
    <t>DANNA GREEN</t>
  </si>
  <si>
    <t>'00026223811K</t>
  </si>
  <si>
    <t>MICHAEL OWEN</t>
  </si>
  <si>
    <t>'041686</t>
  </si>
  <si>
    <t>DALE WALENGA</t>
  </si>
  <si>
    <t>'00026224016K</t>
  </si>
  <si>
    <t>GINA JOURDAN</t>
  </si>
  <si>
    <t>'00026225284K</t>
  </si>
  <si>
    <t>GERARD JASZCZAK</t>
  </si>
  <si>
    <t>'045612</t>
  </si>
  <si>
    <t>ANTHONY HUNSBERGER</t>
  </si>
  <si>
    <t>'00026226281K</t>
  </si>
  <si>
    <t>KAREN OLSON</t>
  </si>
  <si>
    <t>'00026227739K</t>
  </si>
  <si>
    <t>PAMELA HAMILTON</t>
  </si>
  <si>
    <t>'00026227877K</t>
  </si>
  <si>
    <t>PAUL KOENIG</t>
  </si>
  <si>
    <t>'045638</t>
  </si>
  <si>
    <t>RICHARD YALE</t>
  </si>
  <si>
    <t>'00026229386K</t>
  </si>
  <si>
    <t>WILLIAM FOLTZ</t>
  </si>
  <si>
    <t>OH</t>
  </si>
  <si>
    <t>'045670</t>
  </si>
  <si>
    <t>STEVEN BRANDT</t>
  </si>
  <si>
    <t>'00026234397K</t>
  </si>
  <si>
    <t>JULIO ACEVEDO</t>
  </si>
  <si>
    <t>'00026234905K</t>
  </si>
  <si>
    <t>ROBERT OLDENBURG</t>
  </si>
  <si>
    <t>WI</t>
  </si>
  <si>
    <t>'00026235985K</t>
  </si>
  <si>
    <t>TAMI SHIELDS</t>
  </si>
  <si>
    <t>'00026236330K</t>
  </si>
  <si>
    <t>MARK FINLEY</t>
  </si>
  <si>
    <t>'00026238103K</t>
  </si>
  <si>
    <t>THOMAS ZENGER</t>
  </si>
  <si>
    <t>'045421</t>
  </si>
  <si>
    <t>MATTHEW SHERMAN</t>
  </si>
  <si>
    <t>'00026239814K</t>
  </si>
  <si>
    <t>LOUANN ACEVEDO</t>
  </si>
  <si>
    <t>'00026239981K</t>
  </si>
  <si>
    <t>JAVIER RIVERA CHAIDES</t>
  </si>
  <si>
    <t>'00026240720K</t>
  </si>
  <si>
    <t>JULIE OBRIEN</t>
  </si>
  <si>
    <t>'00026242247K</t>
  </si>
  <si>
    <t>SOMCHANH MANIPHONH</t>
  </si>
  <si>
    <t>'043625</t>
  </si>
  <si>
    <t>PATSAMON THANADABOUTH</t>
  </si>
  <si>
    <t>'101258199600</t>
  </si>
  <si>
    <t>MYRA LENTINI</t>
  </si>
  <si>
    <t>'045618</t>
  </si>
  <si>
    <t>STEPHANIE DRAPAC</t>
  </si>
  <si>
    <t>Aetna MAPD NMO to MMO - 2025+ Replace E-App</t>
  </si>
  <si>
    <t>10/12 PRORATE</t>
  </si>
  <si>
    <t>'101344081200</t>
  </si>
  <si>
    <t>GUY LENTINI</t>
  </si>
  <si>
    <t>'101391075200</t>
  </si>
  <si>
    <t>IRVIN BLACKBURN</t>
  </si>
  <si>
    <t>'101489898000</t>
  </si>
  <si>
    <t>LINDA SINGLEY</t>
  </si>
  <si>
    <t>'043705</t>
  </si>
  <si>
    <t>MICHAEL DUNAVANT</t>
  </si>
  <si>
    <t>Aetna MAPD NMO to MMO - 2025+ New E-App</t>
  </si>
  <si>
    <t>'102085674800</t>
  </si>
  <si>
    <t>EDWARD TUMMILLO</t>
  </si>
  <si>
    <t>'102229390800</t>
  </si>
  <si>
    <t>AUDREY DEMOR</t>
  </si>
  <si>
    <t>'045684</t>
  </si>
  <si>
    <t>JILL SHEPARD</t>
  </si>
  <si>
    <t>'102266530400</t>
  </si>
  <si>
    <t>CLETUS NEWTON</t>
  </si>
  <si>
    <t>8/12 PRORATE</t>
  </si>
  <si>
    <t>'102267150500</t>
  </si>
  <si>
    <t>LESA CRANE</t>
  </si>
  <si>
    <t>'043718</t>
  </si>
  <si>
    <t>CHAD YALE</t>
  </si>
  <si>
    <t>'102267302700</t>
  </si>
  <si>
    <t>JASMINKA MILKOVICH</t>
  </si>
  <si>
    <t>'102267358300</t>
  </si>
  <si>
    <t>WILLIAM TERRICK</t>
  </si>
  <si>
    <t>AZ</t>
  </si>
  <si>
    <t>'045603</t>
  </si>
  <si>
    <t>ANDREW CHOI</t>
  </si>
  <si>
    <t>'102267666700</t>
  </si>
  <si>
    <t>DAVID CRAMER</t>
  </si>
  <si>
    <t>PA</t>
  </si>
  <si>
    <t>'043611</t>
  </si>
  <si>
    <t>TIMOTHY POWERS</t>
  </si>
  <si>
    <t>'102267701900</t>
  </si>
  <si>
    <t>JOHN PRIZANT</t>
  </si>
  <si>
    <t>'102267811200</t>
  </si>
  <si>
    <t>KENNETH MCELWEE</t>
  </si>
  <si>
    <t>'102267819000</t>
  </si>
  <si>
    <t>SUSAN BURROUGHS</t>
  </si>
  <si>
    <t>'102268022900</t>
  </si>
  <si>
    <t>WALTER JOHNSON</t>
  </si>
  <si>
    <t>NJ</t>
  </si>
  <si>
    <t>'045673</t>
  </si>
  <si>
    <t>MARK ROCCIA</t>
  </si>
  <si>
    <t>'102268067300</t>
  </si>
  <si>
    <t>LAURAL FERGUSON</t>
  </si>
  <si>
    <t>'36171461</t>
  </si>
  <si>
    <t>BARNES BURTON</t>
  </si>
  <si>
    <t>TX</t>
  </si>
  <si>
    <t>'045632</t>
  </si>
  <si>
    <t>BARRY SCHUMANN</t>
  </si>
  <si>
    <t>Cigna MAPD FMO to GA 1-1-19+ - New</t>
  </si>
  <si>
    <t>'36864714</t>
  </si>
  <si>
    <t>RICKEY YARBROUGH</t>
  </si>
  <si>
    <t>'046040</t>
  </si>
  <si>
    <t>DANIEL CARNEY</t>
  </si>
  <si>
    <t>Cigna MAPD FMO to GA 1-1-19+ - Replacement</t>
  </si>
  <si>
    <t>'904503951</t>
  </si>
  <si>
    <t>PATRICIA BENSON</t>
  </si>
  <si>
    <t>WA</t>
  </si>
  <si>
    <t>'045896</t>
  </si>
  <si>
    <t>LENSIE GONZALEZ</t>
  </si>
  <si>
    <t>UHC MAPD Street payable to upline- 2026 Pro New</t>
  </si>
  <si>
    <t>'910777204</t>
  </si>
  <si>
    <t>ALBERTO GAN</t>
  </si>
  <si>
    <t>'045613</t>
  </si>
  <si>
    <t>RICARDO SANTOS</t>
  </si>
  <si>
    <t>UHC MAPD Street payable to upline - 2026 New</t>
  </si>
  <si>
    <t>'914196025</t>
  </si>
  <si>
    <t>RALPH CHESTER</t>
  </si>
  <si>
    <t>UHC MAPD Street payable to upline- 2026 Replace</t>
  </si>
  <si>
    <t>9/12 PRORATE</t>
  </si>
  <si>
    <t>'914196025OV</t>
  </si>
  <si>
    <t>UHC MA Direct 2025 New Full</t>
  </si>
  <si>
    <t>'928733294</t>
  </si>
  <si>
    <t>MARCIA MCMAHAN</t>
  </si>
  <si>
    <t>NC</t>
  </si>
  <si>
    <t>'937873179</t>
  </si>
  <si>
    <t>JUANITA CLANTON FLAMENT</t>
  </si>
  <si>
    <t>'940603285</t>
  </si>
  <si>
    <t>PILAR HERNANDEZ</t>
  </si>
  <si>
    <t>'940603285OV</t>
  </si>
  <si>
    <t>'951067902</t>
  </si>
  <si>
    <t>DAVID ONEAL</t>
  </si>
  <si>
    <t>CO</t>
  </si>
  <si>
    <t>'951067902OV</t>
  </si>
  <si>
    <t>UHC MA Direct 2025 New Initial Prorated</t>
  </si>
  <si>
    <t>'953417433</t>
  </si>
  <si>
    <t>AVIS PECHEOS</t>
  </si>
  <si>
    <t>'954650912</t>
  </si>
  <si>
    <t>NINA ANIKIENKO</t>
  </si>
  <si>
    <t>'043739</t>
  </si>
  <si>
    <t>ANDREA PETRUNGARO</t>
  </si>
  <si>
    <t>'963004009</t>
  </si>
  <si>
    <t>DONNA BOCZAR</t>
  </si>
  <si>
    <t>UHC MAPD Street payable to upline - 2026 New - Other</t>
  </si>
  <si>
    <t>'967243928</t>
  </si>
  <si>
    <t>STEVE JACKSON</t>
  </si>
  <si>
    <t>'043713</t>
  </si>
  <si>
    <t>JOEL LEE</t>
  </si>
  <si>
    <t>'980482625</t>
  </si>
  <si>
    <t>DAVID CADDY</t>
  </si>
  <si>
    <t>'046034</t>
  </si>
  <si>
    <t>INES BERG</t>
  </si>
  <si>
    <t>UHC MAPD Street payable to upline- 2026 Pro New - Other</t>
  </si>
  <si>
    <t>'980482625OV</t>
  </si>
  <si>
    <t>UHC MA Direct 2025 New Prorated - Other</t>
  </si>
  <si>
    <t>'A04113691</t>
  </si>
  <si>
    <t>KARIN MCGAW</t>
  </si>
  <si>
    <t>DE</t>
  </si>
  <si>
    <t>'043690</t>
  </si>
  <si>
    <t>THOMAS KUCAN</t>
  </si>
  <si>
    <t>UHC AARP Med Supp 2025+ DE Plan B C F G</t>
  </si>
  <si>
    <t>'A04443740</t>
  </si>
  <si>
    <t>LINDA ATER</t>
  </si>
  <si>
    <t>'045607</t>
  </si>
  <si>
    <t>PAMELA DEATON</t>
  </si>
  <si>
    <t>UHC AARP Med Supp 2026+ AZ IL KS ME NC TN WV Plan B C D F G</t>
  </si>
  <si>
    <t>'A04444221</t>
  </si>
  <si>
    <t>MEDRICK MURPHY</t>
  </si>
  <si>
    <t>UHC AARP Med Supp 2025+ IN All Plans</t>
  </si>
  <si>
    <t>'A04444353</t>
  </si>
  <si>
    <t>MICHAEL SPENCER</t>
  </si>
  <si>
    <t>'A04446565</t>
  </si>
  <si>
    <t>DONALD SMITH</t>
  </si>
  <si>
    <t>'045601</t>
  </si>
  <si>
    <t>CAROL FOLEY</t>
  </si>
  <si>
    <t>UHC AARP Med Supp 2026+ PA Plan B C F G</t>
  </si>
  <si>
    <t>'A04446596</t>
  </si>
  <si>
    <t>THOMAS POWERS</t>
  </si>
  <si>
    <t>UHC AARP Med Supp 2026+ AR AZ IL KS MS NC NJ PA SC Plan N</t>
  </si>
  <si>
    <t>'MEQNDVYM00000205630</t>
  </si>
  <si>
    <t>ELVIA SOLANO</t>
  </si>
  <si>
    <t>'045709</t>
  </si>
  <si>
    <t>ESTHER HERRERA-LARSEN</t>
  </si>
  <si>
    <t>CB</t>
  </si>
  <si>
    <t>'00017029001KPC</t>
  </si>
  <si>
    <t>LUCILLE SHAFFER</t>
  </si>
  <si>
    <t>CHARGEBACK</t>
  </si>
  <si>
    <t>'00021344814KPC</t>
  </si>
  <si>
    <t>JOHN FRITZ</t>
  </si>
  <si>
    <t>'00024030159KPC</t>
  </si>
  <si>
    <t>THOMAS MARCHESCHI</t>
  </si>
  <si>
    <t>'00025432056KPC</t>
  </si>
  <si>
    <t>DARRELL JOHNSON</t>
  </si>
  <si>
    <t>'00025694740KPC</t>
  </si>
  <si>
    <t>RHONDA BOYKIN</t>
  </si>
  <si>
    <t>'043692</t>
  </si>
  <si>
    <t>ADAM RICHTER</t>
  </si>
  <si>
    <t>'00025809995KPC</t>
  </si>
  <si>
    <t>'00026042332KPC</t>
  </si>
  <si>
    <t>CHRISTINE IACOVETTA</t>
  </si>
  <si>
    <t>'101696157100CB</t>
  </si>
  <si>
    <t>VICTORIA LALONDE</t>
  </si>
  <si>
    <t>'045591</t>
  </si>
  <si>
    <t>CHRISTOPHER BROUSSEAU</t>
  </si>
  <si>
    <t>'101978886700CB</t>
  </si>
  <si>
    <t>TAMMY POLAND</t>
  </si>
  <si>
    <t>'045904</t>
  </si>
  <si>
    <t>BRITTANY OLIVER</t>
  </si>
  <si>
    <t>'102090618000CB</t>
  </si>
  <si>
    <t>NAYAN SINGH</t>
  </si>
  <si>
    <t>'102229390800CB</t>
  </si>
  <si>
    <t>'102261184800CB</t>
  </si>
  <si>
    <t>DAVID KLUKAN</t>
  </si>
  <si>
    <t>'36864714CB</t>
  </si>
  <si>
    <t>'904503951CB</t>
  </si>
  <si>
    <t>'910777204CB</t>
  </si>
  <si>
    <t>'917471347CB</t>
  </si>
  <si>
    <t>WILLIAM ANDERSON</t>
  </si>
  <si>
    <t>'917471347OVCB</t>
  </si>
  <si>
    <t>'928733294CB</t>
  </si>
  <si>
    <t>'937873179CB</t>
  </si>
  <si>
    <t>'945648838CB</t>
  </si>
  <si>
    <t>BOBBY SISK</t>
  </si>
  <si>
    <t>CA</t>
  </si>
  <si>
    <t>UHC MAPD Street payable to upline - 2024 New</t>
  </si>
  <si>
    <t>'951067902CB</t>
  </si>
  <si>
    <t>'951067902OVCB</t>
  </si>
  <si>
    <t>'953417433CB</t>
  </si>
  <si>
    <t>'954650912CB</t>
  </si>
  <si>
    <t>'963004009CB</t>
  </si>
  <si>
    <t>UHC MAPD Street payable to upline- 2026 Replace - Other</t>
  </si>
  <si>
    <t>'967243928CB</t>
  </si>
  <si>
    <t>'967468809CB</t>
  </si>
  <si>
    <t>GEORGE WILD</t>
  </si>
  <si>
    <t>'967468809OVCB</t>
  </si>
  <si>
    <t>UHC MA Direct 2025 New Full - Other</t>
  </si>
  <si>
    <t>'979478312CB</t>
  </si>
  <si>
    <t>THERESA ANDERSON</t>
  </si>
  <si>
    <t>'979478312OVCB</t>
  </si>
  <si>
    <t>'980482625CB</t>
  </si>
  <si>
    <t>'980482625OVCB</t>
  </si>
  <si>
    <t>UHC MA Direct 2025 New Initial Prorated - Other</t>
  </si>
  <si>
    <t>'A04413067CB</t>
  </si>
  <si>
    <t>JANICE BUCHANAN</t>
  </si>
  <si>
    <t>MS</t>
  </si>
  <si>
    <t>UHC AARP Med Supp 2026+ AR AZ IL KS MS NC NJ PA SC - Plans F G</t>
  </si>
  <si>
    <t>00015156932K</t>
  </si>
  <si>
    <t>00017188003K</t>
  </si>
  <si>
    <t>00018736051K</t>
  </si>
  <si>
    <t>00023259320K</t>
  </si>
  <si>
    <t>00024389442K</t>
  </si>
  <si>
    <t>00025809995K</t>
  </si>
  <si>
    <t>00026208828K</t>
  </si>
  <si>
    <t>00026210059K</t>
  </si>
  <si>
    <t>00026210379K</t>
  </si>
  <si>
    <t>00026218269K</t>
  </si>
  <si>
    <t>00026220499K</t>
  </si>
  <si>
    <t>00026223811K</t>
  </si>
  <si>
    <t>00026224016K</t>
  </si>
  <si>
    <t>00026225284K</t>
  </si>
  <si>
    <t>00026226281K</t>
  </si>
  <si>
    <t>00026227739K</t>
  </si>
  <si>
    <t>00026227877K</t>
  </si>
  <si>
    <t>00026229386K</t>
  </si>
  <si>
    <t>00026234397K</t>
  </si>
  <si>
    <t>00026234905K</t>
  </si>
  <si>
    <t>00026235985K</t>
  </si>
  <si>
    <t>00026236330K</t>
  </si>
  <si>
    <t>00026238103K</t>
  </si>
  <si>
    <t>00026239814K</t>
  </si>
  <si>
    <t>00026239981K</t>
  </si>
  <si>
    <t>00026240720K</t>
  </si>
  <si>
    <t>00026242247K</t>
  </si>
  <si>
    <t>A04113691</t>
  </si>
  <si>
    <t>A04443740</t>
  </si>
  <si>
    <t>A04444221</t>
  </si>
  <si>
    <t>A04444353</t>
  </si>
  <si>
    <t>A04446565</t>
  </si>
  <si>
    <t>A04446596</t>
  </si>
  <si>
    <t>MEQNDVYM00000205630</t>
  </si>
  <si>
    <t>00017029001K</t>
  </si>
  <si>
    <t>00021344814K</t>
  </si>
  <si>
    <t>00024030159K</t>
  </si>
  <si>
    <t>00025432056K</t>
  </si>
  <si>
    <t>00025694740K</t>
  </si>
  <si>
    <t>00026042332K</t>
  </si>
  <si>
    <t>A04413067</t>
  </si>
  <si>
    <t>Aetna MAPD OVR</t>
  </si>
  <si>
    <t>Cigna MAPD Ovr</t>
  </si>
  <si>
    <t>Humana MAPD OVR</t>
  </si>
  <si>
    <t>UHC MAPD Ovr</t>
  </si>
  <si>
    <t>UHC MAPD Nat 2024!</t>
  </si>
  <si>
    <t>UHC 2026</t>
  </si>
  <si>
    <t>2026 UHC non-Special Needs Plans PPOs</t>
  </si>
  <si>
    <t>UHC MAPD 2026*</t>
  </si>
  <si>
    <t>[%/$=203][prorate=11/12]</t>
  </si>
  <si>
    <t>2026 UHC MAPD National*</t>
  </si>
  <si>
    <t>[%/$=203][prorate=10/12]</t>
  </si>
  <si>
    <t>[%/$=694][prorate=10/12]</t>
  </si>
  <si>
    <t>[%/$=347][prorate=9/12]</t>
  </si>
  <si>
    <t>[%/$=347][prorate=10/12]</t>
  </si>
  <si>
    <t>[%/$=347][prorate=12/12]</t>
  </si>
  <si>
    <t>[%/$=347][prorate=8/12]</t>
  </si>
  <si>
    <t>[%/$=611]</t>
  </si>
  <si>
    <t>[%/$=694]</t>
  </si>
  <si>
    <t>Main Line Benefits</t>
  </si>
  <si>
    <t>21646325old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</si>
</sst>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6917-2661-4651-A62C-15327EC6B661}">
  <dimension ref="A1:AL102"/>
  <sheetViews>
    <sheetView tabSelected="1" workbookViewId="0">
      <selection sqref="A1:XFD2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7109375" bestFit="1" customWidth="1"/>
    <col min="10" max="10" width="26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60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46099</v>
      </c>
      <c r="B2" s="1">
        <v>46099</v>
      </c>
      <c r="C2" t="s">
        <v>285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323</v>
      </c>
      <c r="J2" t="s">
        <v>324</v>
      </c>
      <c r="M2" t="s">
        <v>325</v>
      </c>
      <c r="O2" t="s">
        <v>67</v>
      </c>
      <c r="P2" t="s">
        <v>68</v>
      </c>
      <c r="Q2" t="s">
        <v>288</v>
      </c>
      <c r="R2" t="s">
        <v>326</v>
      </c>
      <c r="S2" s="1">
        <v>46054</v>
      </c>
      <c r="U2" t="s">
        <v>51</v>
      </c>
      <c r="X2" t="s">
        <v>52</v>
      </c>
      <c r="AF2" s="2">
        <v>611</v>
      </c>
      <c r="AG2" s="2">
        <v>0</v>
      </c>
      <c r="AJ2" s="2">
        <v>611</v>
      </c>
    </row>
    <row r="3" spans="1:38" x14ac:dyDescent="0.25">
      <c r="A3" s="1">
        <v>46099</v>
      </c>
      <c r="B3" s="1">
        <v>46099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46082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6402754</v>
      </c>
    </row>
    <row r="4" spans="1:38" x14ac:dyDescent="0.25">
      <c r="A4" s="1">
        <v>46099</v>
      </c>
      <c r="B4" s="1">
        <v>46099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53</v>
      </c>
      <c r="J4" t="s">
        <v>54</v>
      </c>
      <c r="M4" t="s">
        <v>55</v>
      </c>
      <c r="O4" t="s">
        <v>56</v>
      </c>
      <c r="P4" t="s">
        <v>57</v>
      </c>
      <c r="Q4" t="s">
        <v>49</v>
      </c>
      <c r="R4" t="s">
        <v>58</v>
      </c>
      <c r="S4" s="1">
        <v>46113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6402849</v>
      </c>
    </row>
    <row r="5" spans="1:38" x14ac:dyDescent="0.25">
      <c r="A5" s="1">
        <v>46099</v>
      </c>
      <c r="B5" s="1">
        <v>46099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59</v>
      </c>
      <c r="J5" t="s">
        <v>60</v>
      </c>
      <c r="M5" t="s">
        <v>61</v>
      </c>
      <c r="O5" t="s">
        <v>62</v>
      </c>
      <c r="P5" t="s">
        <v>63</v>
      </c>
      <c r="Q5" t="s">
        <v>49</v>
      </c>
      <c r="R5" t="s">
        <v>58</v>
      </c>
      <c r="S5" s="1">
        <v>46113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6402850</v>
      </c>
    </row>
    <row r="6" spans="1:38" x14ac:dyDescent="0.25">
      <c r="A6" s="1">
        <v>46099</v>
      </c>
      <c r="B6" s="1">
        <v>46099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66</v>
      </c>
      <c r="O6" t="s">
        <v>67</v>
      </c>
      <c r="P6" t="s">
        <v>68</v>
      </c>
      <c r="Q6" t="s">
        <v>69</v>
      </c>
      <c r="R6" t="s">
        <v>58</v>
      </c>
      <c r="S6" s="1">
        <v>45778</v>
      </c>
      <c r="U6" t="s">
        <v>51</v>
      </c>
      <c r="X6" t="s">
        <v>52</v>
      </c>
      <c r="Y6" s="2">
        <v>0</v>
      </c>
      <c r="Z6" s="2">
        <v>73.5</v>
      </c>
      <c r="AA6">
        <v>1</v>
      </c>
      <c r="AB6" s="3">
        <v>1</v>
      </c>
      <c r="AC6" s="2">
        <v>73.5</v>
      </c>
      <c r="AD6" s="3">
        <v>0</v>
      </c>
      <c r="AE6" s="2">
        <v>0</v>
      </c>
      <c r="AF6" s="2">
        <v>73.5</v>
      </c>
      <c r="AK6">
        <v>0</v>
      </c>
      <c r="AL6" t="s">
        <v>70</v>
      </c>
    </row>
    <row r="7" spans="1:38" x14ac:dyDescent="0.25">
      <c r="A7" s="1">
        <v>46099</v>
      </c>
      <c r="B7" s="1">
        <v>46099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46</v>
      </c>
      <c r="O7" t="s">
        <v>73</v>
      </c>
      <c r="P7" t="s">
        <v>74</v>
      </c>
      <c r="Q7" t="s">
        <v>49</v>
      </c>
      <c r="R7" t="s">
        <v>58</v>
      </c>
      <c r="S7" s="1">
        <v>46113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6402851</v>
      </c>
    </row>
    <row r="8" spans="1:38" x14ac:dyDescent="0.25">
      <c r="A8" s="1">
        <v>46099</v>
      </c>
      <c r="B8" s="1">
        <v>46099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46</v>
      </c>
      <c r="O8" t="s">
        <v>77</v>
      </c>
      <c r="P8" t="s">
        <v>78</v>
      </c>
      <c r="Q8" t="s">
        <v>49</v>
      </c>
      <c r="R8" t="s">
        <v>50</v>
      </c>
      <c r="S8" s="1">
        <v>46113</v>
      </c>
      <c r="U8" t="s">
        <v>51</v>
      </c>
      <c r="X8" t="s">
        <v>52</v>
      </c>
      <c r="Y8" s="2">
        <v>0</v>
      </c>
      <c r="Z8" s="2">
        <v>108</v>
      </c>
      <c r="AA8">
        <v>1</v>
      </c>
      <c r="AB8" s="3">
        <v>1</v>
      </c>
      <c r="AC8" s="2">
        <v>108</v>
      </c>
      <c r="AD8" s="3">
        <v>0</v>
      </c>
      <c r="AE8" s="2">
        <v>0</v>
      </c>
      <c r="AF8" s="2">
        <v>108</v>
      </c>
      <c r="AK8">
        <v>6402758</v>
      </c>
    </row>
    <row r="9" spans="1:38" x14ac:dyDescent="0.25">
      <c r="A9" s="1">
        <v>46099</v>
      </c>
      <c r="B9" s="1">
        <v>46099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46</v>
      </c>
      <c r="O9" t="s">
        <v>73</v>
      </c>
      <c r="P9" t="s">
        <v>74</v>
      </c>
      <c r="Q9" t="s">
        <v>49</v>
      </c>
      <c r="R9" t="s">
        <v>58</v>
      </c>
      <c r="S9" s="1">
        <v>46113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6402852</v>
      </c>
    </row>
    <row r="10" spans="1:38" x14ac:dyDescent="0.25">
      <c r="A10" s="1">
        <v>46099</v>
      </c>
      <c r="B10" s="1">
        <v>46099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83</v>
      </c>
      <c r="O10" t="s">
        <v>84</v>
      </c>
      <c r="P10" t="s">
        <v>85</v>
      </c>
      <c r="Q10" t="s">
        <v>49</v>
      </c>
      <c r="R10" t="s">
        <v>58</v>
      </c>
      <c r="S10" s="1">
        <v>46113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6402853</v>
      </c>
    </row>
    <row r="11" spans="1:38" x14ac:dyDescent="0.25">
      <c r="A11" s="1">
        <v>46099</v>
      </c>
      <c r="B11" s="1">
        <v>46099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46</v>
      </c>
      <c r="O11" t="s">
        <v>88</v>
      </c>
      <c r="P11" t="s">
        <v>89</v>
      </c>
      <c r="Q11" t="s">
        <v>49</v>
      </c>
      <c r="R11" t="s">
        <v>58</v>
      </c>
      <c r="S11" s="1">
        <v>46174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6402854</v>
      </c>
    </row>
    <row r="12" spans="1:38" x14ac:dyDescent="0.25">
      <c r="A12" s="1">
        <v>46099</v>
      </c>
      <c r="B12" s="1">
        <v>46099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46</v>
      </c>
      <c r="O12" t="s">
        <v>67</v>
      </c>
      <c r="P12" t="s">
        <v>68</v>
      </c>
      <c r="Q12" t="s">
        <v>49</v>
      </c>
      <c r="R12" t="s">
        <v>58</v>
      </c>
      <c r="S12" s="1">
        <v>46174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6402855</v>
      </c>
    </row>
    <row r="13" spans="1:38" x14ac:dyDescent="0.25">
      <c r="A13" s="1">
        <v>46099</v>
      </c>
      <c r="B13" s="1">
        <v>46099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94</v>
      </c>
      <c r="O13" t="s">
        <v>95</v>
      </c>
      <c r="P13" t="s">
        <v>96</v>
      </c>
      <c r="Q13" t="s">
        <v>49</v>
      </c>
      <c r="R13" t="s">
        <v>58</v>
      </c>
      <c r="S13" s="1">
        <v>46113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6402856</v>
      </c>
    </row>
    <row r="14" spans="1:38" x14ac:dyDescent="0.25">
      <c r="A14" s="1">
        <v>46099</v>
      </c>
      <c r="B14" s="1">
        <v>46099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97</v>
      </c>
      <c r="J14" t="s">
        <v>98</v>
      </c>
      <c r="M14" t="s">
        <v>46</v>
      </c>
      <c r="O14" t="s">
        <v>99</v>
      </c>
      <c r="P14" t="s">
        <v>100</v>
      </c>
      <c r="Q14" t="s">
        <v>49</v>
      </c>
      <c r="R14" t="s">
        <v>58</v>
      </c>
      <c r="S14" s="1">
        <v>46143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6402857</v>
      </c>
    </row>
    <row r="15" spans="1:38" x14ac:dyDescent="0.25">
      <c r="A15" s="1">
        <v>46099</v>
      </c>
      <c r="B15" s="1">
        <v>46099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101</v>
      </c>
      <c r="J15" t="s">
        <v>102</v>
      </c>
      <c r="M15" t="s">
        <v>94</v>
      </c>
      <c r="O15" t="s">
        <v>95</v>
      </c>
      <c r="P15" t="s">
        <v>96</v>
      </c>
      <c r="Q15" t="s">
        <v>49</v>
      </c>
      <c r="R15" t="s">
        <v>58</v>
      </c>
      <c r="S15" s="1">
        <v>46113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6402858</v>
      </c>
    </row>
    <row r="16" spans="1:38" x14ac:dyDescent="0.25">
      <c r="A16" s="1">
        <v>46099</v>
      </c>
      <c r="B16" s="1">
        <v>46099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46</v>
      </c>
      <c r="O16" t="s">
        <v>105</v>
      </c>
      <c r="P16" t="s">
        <v>106</v>
      </c>
      <c r="Q16" t="s">
        <v>49</v>
      </c>
      <c r="R16" t="s">
        <v>58</v>
      </c>
      <c r="S16" s="1">
        <v>46113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6402859</v>
      </c>
    </row>
    <row r="17" spans="1:38" x14ac:dyDescent="0.25">
      <c r="A17" s="1">
        <v>46099</v>
      </c>
      <c r="B17" s="1">
        <v>46099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107</v>
      </c>
      <c r="J17" t="s">
        <v>108</v>
      </c>
      <c r="M17" t="s">
        <v>46</v>
      </c>
      <c r="O17" t="s">
        <v>105</v>
      </c>
      <c r="P17" t="s">
        <v>106</v>
      </c>
      <c r="Q17" t="s">
        <v>49</v>
      </c>
      <c r="R17" t="s">
        <v>58</v>
      </c>
      <c r="S17" s="1">
        <v>46113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6402860</v>
      </c>
    </row>
    <row r="18" spans="1:38" x14ac:dyDescent="0.25">
      <c r="A18" s="1">
        <v>46099</v>
      </c>
      <c r="B18" s="1">
        <v>46099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109</v>
      </c>
      <c r="J18" t="s">
        <v>110</v>
      </c>
      <c r="M18" t="s">
        <v>46</v>
      </c>
      <c r="O18" t="s">
        <v>88</v>
      </c>
      <c r="P18" t="s">
        <v>89</v>
      </c>
      <c r="Q18" t="s">
        <v>49</v>
      </c>
      <c r="R18" t="s">
        <v>58</v>
      </c>
      <c r="S18" s="1">
        <v>46143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6402861</v>
      </c>
    </row>
    <row r="19" spans="1:38" x14ac:dyDescent="0.25">
      <c r="A19" s="1">
        <v>46099</v>
      </c>
      <c r="B19" s="1">
        <v>46099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113</v>
      </c>
      <c r="P19" t="s">
        <v>114</v>
      </c>
      <c r="Q19" t="s">
        <v>49</v>
      </c>
      <c r="R19" t="s">
        <v>58</v>
      </c>
      <c r="S19" s="1">
        <v>46113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6402862</v>
      </c>
    </row>
    <row r="20" spans="1:38" x14ac:dyDescent="0.25">
      <c r="A20" s="1">
        <v>46099</v>
      </c>
      <c r="B20" s="1">
        <v>46099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115</v>
      </c>
      <c r="J20" t="s">
        <v>116</v>
      </c>
      <c r="M20" t="s">
        <v>117</v>
      </c>
      <c r="O20" t="s">
        <v>118</v>
      </c>
      <c r="P20" t="s">
        <v>119</v>
      </c>
      <c r="Q20" t="s">
        <v>49</v>
      </c>
      <c r="R20" t="s">
        <v>58</v>
      </c>
      <c r="S20" s="1">
        <v>46143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6402863</v>
      </c>
    </row>
    <row r="21" spans="1:38" x14ac:dyDescent="0.25">
      <c r="A21" s="1">
        <v>46099</v>
      </c>
      <c r="B21" s="1">
        <v>46099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120</v>
      </c>
      <c r="J21" t="s">
        <v>121</v>
      </c>
      <c r="M21" t="s">
        <v>46</v>
      </c>
      <c r="O21" t="s">
        <v>47</v>
      </c>
      <c r="P21" t="s">
        <v>48</v>
      </c>
      <c r="Q21" t="s">
        <v>49</v>
      </c>
      <c r="R21" t="s">
        <v>58</v>
      </c>
      <c r="S21" s="1">
        <v>46113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6402836</v>
      </c>
    </row>
    <row r="22" spans="1:38" x14ac:dyDescent="0.25">
      <c r="A22" s="1">
        <v>46099</v>
      </c>
      <c r="B22" s="1">
        <v>46099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122</v>
      </c>
      <c r="J22" t="s">
        <v>123</v>
      </c>
      <c r="M22" t="s">
        <v>124</v>
      </c>
      <c r="O22" t="s">
        <v>88</v>
      </c>
      <c r="P22" t="s">
        <v>89</v>
      </c>
      <c r="Q22" t="s">
        <v>49</v>
      </c>
      <c r="R22" t="s">
        <v>58</v>
      </c>
      <c r="S22" s="1">
        <v>46113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6402864</v>
      </c>
    </row>
    <row r="23" spans="1:38" x14ac:dyDescent="0.25">
      <c r="A23" s="1">
        <v>46099</v>
      </c>
      <c r="B23" s="1">
        <v>46099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125</v>
      </c>
      <c r="J23" t="s">
        <v>126</v>
      </c>
      <c r="M23" t="s">
        <v>124</v>
      </c>
      <c r="O23" t="s">
        <v>67</v>
      </c>
      <c r="P23" t="s">
        <v>68</v>
      </c>
      <c r="Q23" t="s">
        <v>49</v>
      </c>
      <c r="R23" t="s">
        <v>58</v>
      </c>
      <c r="S23" s="1">
        <v>46143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6402865</v>
      </c>
    </row>
    <row r="24" spans="1:38" x14ac:dyDescent="0.25">
      <c r="A24" s="1">
        <v>46099</v>
      </c>
      <c r="B24" s="1">
        <v>46099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127</v>
      </c>
      <c r="J24" t="s">
        <v>128</v>
      </c>
      <c r="M24" t="s">
        <v>46</v>
      </c>
      <c r="O24" t="s">
        <v>105</v>
      </c>
      <c r="P24" t="s">
        <v>106</v>
      </c>
      <c r="Q24" t="s">
        <v>49</v>
      </c>
      <c r="R24" t="s">
        <v>58</v>
      </c>
      <c r="S24" s="1">
        <v>46143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6402866</v>
      </c>
    </row>
    <row r="25" spans="1:38" x14ac:dyDescent="0.25">
      <c r="A25" s="1">
        <v>46099</v>
      </c>
      <c r="B25" s="1">
        <v>46099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129</v>
      </c>
      <c r="J25" t="s">
        <v>130</v>
      </c>
      <c r="M25" t="s">
        <v>46</v>
      </c>
      <c r="O25" t="s">
        <v>131</v>
      </c>
      <c r="P25" t="s">
        <v>132</v>
      </c>
      <c r="Q25" t="s">
        <v>49</v>
      </c>
      <c r="R25" t="s">
        <v>58</v>
      </c>
      <c r="S25" s="1">
        <v>46113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6402867</v>
      </c>
    </row>
    <row r="26" spans="1:38" x14ac:dyDescent="0.25">
      <c r="A26" s="1">
        <v>46099</v>
      </c>
      <c r="B26" s="1">
        <v>46099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133</v>
      </c>
      <c r="J26" t="s">
        <v>134</v>
      </c>
      <c r="M26" t="s">
        <v>46</v>
      </c>
      <c r="O26" t="s">
        <v>47</v>
      </c>
      <c r="P26" t="s">
        <v>48</v>
      </c>
      <c r="Q26" t="s">
        <v>49</v>
      </c>
      <c r="R26" t="s">
        <v>58</v>
      </c>
      <c r="S26" s="1">
        <v>46113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6402837</v>
      </c>
    </row>
    <row r="27" spans="1:38" x14ac:dyDescent="0.25">
      <c r="A27" s="1">
        <v>46099</v>
      </c>
      <c r="B27" s="1">
        <v>46099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135</v>
      </c>
      <c r="J27" t="s">
        <v>136</v>
      </c>
      <c r="M27" t="s">
        <v>46</v>
      </c>
      <c r="O27" t="s">
        <v>77</v>
      </c>
      <c r="P27" t="s">
        <v>78</v>
      </c>
      <c r="Q27" t="s">
        <v>49</v>
      </c>
      <c r="R27" t="s">
        <v>58</v>
      </c>
      <c r="S27" s="1">
        <v>46113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6402868</v>
      </c>
    </row>
    <row r="28" spans="1:38" x14ac:dyDescent="0.25">
      <c r="A28" s="1">
        <v>46099</v>
      </c>
      <c r="B28" s="1">
        <v>46099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137</v>
      </c>
      <c r="J28" t="s">
        <v>138</v>
      </c>
      <c r="M28" t="s">
        <v>94</v>
      </c>
      <c r="O28" t="s">
        <v>95</v>
      </c>
      <c r="P28" t="s">
        <v>96</v>
      </c>
      <c r="Q28" t="s">
        <v>49</v>
      </c>
      <c r="R28" t="s">
        <v>58</v>
      </c>
      <c r="S28" s="1">
        <v>46143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6402869</v>
      </c>
    </row>
    <row r="29" spans="1:38" x14ac:dyDescent="0.25">
      <c r="A29" s="1">
        <v>46099</v>
      </c>
      <c r="B29" s="1">
        <v>46099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139</v>
      </c>
      <c r="J29" t="s">
        <v>140</v>
      </c>
      <c r="M29" t="s">
        <v>46</v>
      </c>
      <c r="O29" t="s">
        <v>141</v>
      </c>
      <c r="P29" t="s">
        <v>142</v>
      </c>
      <c r="Q29" t="s">
        <v>49</v>
      </c>
      <c r="R29" t="s">
        <v>58</v>
      </c>
      <c r="S29" s="1">
        <v>46113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6402870</v>
      </c>
    </row>
    <row r="30" spans="1:38" x14ac:dyDescent="0.25">
      <c r="A30" s="1">
        <v>46099</v>
      </c>
      <c r="B30" s="1">
        <v>46099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143</v>
      </c>
      <c r="J30" t="s">
        <v>144</v>
      </c>
      <c r="M30" t="s">
        <v>46</v>
      </c>
      <c r="O30" t="s">
        <v>145</v>
      </c>
      <c r="P30" t="s">
        <v>146</v>
      </c>
      <c r="Q30" t="s">
        <v>49</v>
      </c>
      <c r="R30" t="s">
        <v>147</v>
      </c>
      <c r="S30" s="1">
        <v>46082</v>
      </c>
      <c r="U30" t="s">
        <v>51</v>
      </c>
      <c r="X30" t="s">
        <v>52</v>
      </c>
      <c r="Y30" s="2">
        <v>0</v>
      </c>
      <c r="Z30" s="2">
        <v>20.83</v>
      </c>
      <c r="AA30">
        <v>1</v>
      </c>
      <c r="AB30" s="3">
        <v>1</v>
      </c>
      <c r="AC30" s="2">
        <v>20.83</v>
      </c>
      <c r="AD30" s="3">
        <v>0</v>
      </c>
      <c r="AE30" s="2">
        <v>0</v>
      </c>
      <c r="AF30" s="2">
        <v>20.83</v>
      </c>
      <c r="AK30">
        <v>6402287</v>
      </c>
      <c r="AL30" t="s">
        <v>148</v>
      </c>
    </row>
    <row r="31" spans="1:38" x14ac:dyDescent="0.25">
      <c r="A31" s="1">
        <v>46099</v>
      </c>
      <c r="B31" s="1">
        <v>46099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149</v>
      </c>
      <c r="J31" t="s">
        <v>150</v>
      </c>
      <c r="M31" t="s">
        <v>46</v>
      </c>
      <c r="O31" t="s">
        <v>145</v>
      </c>
      <c r="P31" t="s">
        <v>146</v>
      </c>
      <c r="Q31" t="s">
        <v>49</v>
      </c>
      <c r="R31" t="s">
        <v>147</v>
      </c>
      <c r="S31" s="1">
        <v>46082</v>
      </c>
      <c r="U31" t="s">
        <v>51</v>
      </c>
      <c r="X31" t="s">
        <v>52</v>
      </c>
      <c r="Y31" s="2">
        <v>0</v>
      </c>
      <c r="Z31" s="2">
        <v>20.83</v>
      </c>
      <c r="AA31">
        <v>1</v>
      </c>
      <c r="AB31" s="3">
        <v>1</v>
      </c>
      <c r="AC31" s="2">
        <v>20.83</v>
      </c>
      <c r="AD31" s="3">
        <v>0</v>
      </c>
      <c r="AE31" s="2">
        <v>0</v>
      </c>
      <c r="AF31" s="2">
        <v>20.83</v>
      </c>
      <c r="AK31">
        <v>6402289</v>
      </c>
      <c r="AL31" t="s">
        <v>148</v>
      </c>
    </row>
    <row r="32" spans="1:38" x14ac:dyDescent="0.25">
      <c r="A32" s="1">
        <v>46099</v>
      </c>
      <c r="B32" s="1">
        <v>46099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151</v>
      </c>
      <c r="J32" t="s">
        <v>152</v>
      </c>
      <c r="M32" t="s">
        <v>46</v>
      </c>
      <c r="O32" t="s">
        <v>73</v>
      </c>
      <c r="P32" t="s">
        <v>74</v>
      </c>
      <c r="Q32" t="s">
        <v>49</v>
      </c>
      <c r="R32" t="s">
        <v>147</v>
      </c>
      <c r="S32" s="1">
        <v>46082</v>
      </c>
      <c r="U32" t="s">
        <v>51</v>
      </c>
      <c r="X32" t="s">
        <v>52</v>
      </c>
      <c r="Y32" s="2">
        <v>0</v>
      </c>
      <c r="Z32" s="2">
        <v>20.83</v>
      </c>
      <c r="AA32">
        <v>1</v>
      </c>
      <c r="AB32" s="3">
        <v>1</v>
      </c>
      <c r="AC32" s="2">
        <v>20.83</v>
      </c>
      <c r="AD32" s="3">
        <v>0</v>
      </c>
      <c r="AE32" s="2">
        <v>0</v>
      </c>
      <c r="AF32" s="2">
        <v>20.83</v>
      </c>
      <c r="AK32">
        <v>6402290</v>
      </c>
      <c r="AL32" t="s">
        <v>148</v>
      </c>
    </row>
    <row r="33" spans="1:38" x14ac:dyDescent="0.25">
      <c r="A33" s="1">
        <v>46099</v>
      </c>
      <c r="B33" s="1">
        <v>46099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153</v>
      </c>
      <c r="J33" t="s">
        <v>154</v>
      </c>
      <c r="M33" t="s">
        <v>46</v>
      </c>
      <c r="O33" t="s">
        <v>155</v>
      </c>
      <c r="P33" t="s">
        <v>156</v>
      </c>
      <c r="Q33" t="s">
        <v>49</v>
      </c>
      <c r="R33" t="s">
        <v>157</v>
      </c>
      <c r="S33" s="1">
        <v>46023</v>
      </c>
      <c r="U33" t="s">
        <v>51</v>
      </c>
      <c r="X33" t="s">
        <v>52</v>
      </c>
      <c r="Y33" s="2">
        <v>0</v>
      </c>
      <c r="Z33" s="2">
        <v>25</v>
      </c>
      <c r="AA33">
        <v>1</v>
      </c>
      <c r="AB33" s="3">
        <v>1</v>
      </c>
      <c r="AC33" s="2">
        <v>25</v>
      </c>
      <c r="AD33" s="3">
        <v>0</v>
      </c>
      <c r="AE33" s="2">
        <v>0</v>
      </c>
      <c r="AF33" s="2">
        <v>25</v>
      </c>
      <c r="AK33">
        <v>6402291</v>
      </c>
    </row>
    <row r="34" spans="1:38" x14ac:dyDescent="0.25">
      <c r="A34" s="1">
        <v>46099</v>
      </c>
      <c r="B34" s="1">
        <v>46099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158</v>
      </c>
      <c r="J34" t="s">
        <v>159</v>
      </c>
      <c r="M34" t="s">
        <v>46</v>
      </c>
      <c r="O34" t="s">
        <v>73</v>
      </c>
      <c r="P34" t="s">
        <v>74</v>
      </c>
      <c r="Q34" t="s">
        <v>49</v>
      </c>
      <c r="R34" t="s">
        <v>147</v>
      </c>
      <c r="S34" s="1">
        <v>46082</v>
      </c>
      <c r="U34" t="s">
        <v>51</v>
      </c>
      <c r="X34" t="s">
        <v>52</v>
      </c>
      <c r="Y34" s="2">
        <v>0</v>
      </c>
      <c r="Z34" s="2">
        <v>20.83</v>
      </c>
      <c r="AA34">
        <v>1</v>
      </c>
      <c r="AB34" s="3">
        <v>1</v>
      </c>
      <c r="AC34" s="2">
        <v>20.83</v>
      </c>
      <c r="AD34" s="3">
        <v>0</v>
      </c>
      <c r="AE34" s="2">
        <v>0</v>
      </c>
      <c r="AF34" s="2">
        <v>20.83</v>
      </c>
      <c r="AK34">
        <v>6402317</v>
      </c>
      <c r="AL34" t="s">
        <v>148</v>
      </c>
    </row>
    <row r="35" spans="1:38" x14ac:dyDescent="0.25">
      <c r="A35" s="1">
        <v>46099</v>
      </c>
      <c r="B35" s="1">
        <v>46099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160</v>
      </c>
      <c r="J35" t="s">
        <v>161</v>
      </c>
      <c r="M35" t="s">
        <v>117</v>
      </c>
      <c r="O35" t="s">
        <v>162</v>
      </c>
      <c r="P35" t="s">
        <v>163</v>
      </c>
      <c r="Q35" t="s">
        <v>49</v>
      </c>
      <c r="R35" t="s">
        <v>147</v>
      </c>
      <c r="S35" s="1">
        <v>46082</v>
      </c>
      <c r="U35" t="s">
        <v>51</v>
      </c>
      <c r="X35" t="s">
        <v>52</v>
      </c>
      <c r="Y35" s="2">
        <v>0</v>
      </c>
      <c r="Z35" s="2">
        <v>20.83</v>
      </c>
      <c r="AA35">
        <v>1</v>
      </c>
      <c r="AB35" s="3">
        <v>1</v>
      </c>
      <c r="AC35" s="2">
        <v>20.83</v>
      </c>
      <c r="AD35" s="3">
        <v>0</v>
      </c>
      <c r="AE35" s="2">
        <v>0</v>
      </c>
      <c r="AF35" s="2">
        <v>20.83</v>
      </c>
      <c r="AK35">
        <v>6402401</v>
      </c>
      <c r="AL35" t="s">
        <v>148</v>
      </c>
    </row>
    <row r="36" spans="1:38" x14ac:dyDescent="0.25">
      <c r="A36" s="1">
        <v>46099</v>
      </c>
      <c r="B36" s="1">
        <v>46099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164</v>
      </c>
      <c r="J36" t="s">
        <v>165</v>
      </c>
      <c r="M36" t="s">
        <v>46</v>
      </c>
      <c r="O36" t="s">
        <v>155</v>
      </c>
      <c r="P36" t="s">
        <v>156</v>
      </c>
      <c r="Q36" t="s">
        <v>49</v>
      </c>
      <c r="R36" t="s">
        <v>147</v>
      </c>
      <c r="S36" s="1">
        <v>46143</v>
      </c>
      <c r="U36" t="s">
        <v>51</v>
      </c>
      <c r="X36" t="s">
        <v>52</v>
      </c>
      <c r="Y36" s="2">
        <v>0</v>
      </c>
      <c r="Z36" s="2">
        <v>16.670000000000002</v>
      </c>
      <c r="AA36">
        <v>1</v>
      </c>
      <c r="AB36" s="3">
        <v>1</v>
      </c>
      <c r="AC36" s="2">
        <v>16.670000000000002</v>
      </c>
      <c r="AD36" s="3">
        <v>0</v>
      </c>
      <c r="AE36" s="2">
        <v>0</v>
      </c>
      <c r="AF36" s="2">
        <v>16.670000000000002</v>
      </c>
      <c r="AK36">
        <v>6402326</v>
      </c>
      <c r="AL36" t="s">
        <v>166</v>
      </c>
    </row>
    <row r="37" spans="1:38" x14ac:dyDescent="0.25">
      <c r="A37" s="1">
        <v>46099</v>
      </c>
      <c r="B37" s="1">
        <v>46099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167</v>
      </c>
      <c r="J37" t="s">
        <v>168</v>
      </c>
      <c r="M37" t="s">
        <v>46</v>
      </c>
      <c r="O37" t="s">
        <v>169</v>
      </c>
      <c r="P37" t="s">
        <v>170</v>
      </c>
      <c r="Q37" t="s">
        <v>49</v>
      </c>
      <c r="R37" t="s">
        <v>147</v>
      </c>
      <c r="S37" s="1">
        <v>46082</v>
      </c>
      <c r="U37" t="s">
        <v>51</v>
      </c>
      <c r="X37" t="s">
        <v>52</v>
      </c>
      <c r="Y37" s="2">
        <v>0</v>
      </c>
      <c r="Z37" s="2">
        <v>20.83</v>
      </c>
      <c r="AA37">
        <v>1</v>
      </c>
      <c r="AB37" s="3">
        <v>1</v>
      </c>
      <c r="AC37" s="2">
        <v>20.83</v>
      </c>
      <c r="AD37" s="3">
        <v>0</v>
      </c>
      <c r="AE37" s="2">
        <v>0</v>
      </c>
      <c r="AF37" s="2">
        <v>20.83</v>
      </c>
      <c r="AK37">
        <v>6402336</v>
      </c>
      <c r="AL37" t="s">
        <v>148</v>
      </c>
    </row>
    <row r="38" spans="1:38" x14ac:dyDescent="0.25">
      <c r="A38" s="1">
        <v>46099</v>
      </c>
      <c r="B38" s="1">
        <v>46099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171</v>
      </c>
      <c r="J38" t="s">
        <v>172</v>
      </c>
      <c r="M38" t="s">
        <v>117</v>
      </c>
      <c r="O38" t="s">
        <v>162</v>
      </c>
      <c r="P38" t="s">
        <v>163</v>
      </c>
      <c r="Q38" t="s">
        <v>49</v>
      </c>
      <c r="R38" t="s">
        <v>147</v>
      </c>
      <c r="S38" s="1">
        <v>46082</v>
      </c>
      <c r="U38" t="s">
        <v>51</v>
      </c>
      <c r="X38" t="s">
        <v>52</v>
      </c>
      <c r="Y38" s="2">
        <v>0</v>
      </c>
      <c r="Z38" s="2">
        <v>20.83</v>
      </c>
      <c r="AA38">
        <v>1</v>
      </c>
      <c r="AB38" s="3">
        <v>1</v>
      </c>
      <c r="AC38" s="2">
        <v>20.83</v>
      </c>
      <c r="AD38" s="3">
        <v>0</v>
      </c>
      <c r="AE38" s="2">
        <v>0</v>
      </c>
      <c r="AF38" s="2">
        <v>20.83</v>
      </c>
      <c r="AK38">
        <v>6402342</v>
      </c>
      <c r="AL38" t="s">
        <v>148</v>
      </c>
    </row>
    <row r="39" spans="1:38" x14ac:dyDescent="0.25">
      <c r="A39" s="1">
        <v>46099</v>
      </c>
      <c r="B39" s="1">
        <v>46099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173</v>
      </c>
      <c r="J39" t="s">
        <v>174</v>
      </c>
      <c r="M39" t="s">
        <v>175</v>
      </c>
      <c r="O39" t="s">
        <v>176</v>
      </c>
      <c r="P39" t="s">
        <v>177</v>
      </c>
      <c r="Q39" t="s">
        <v>49</v>
      </c>
      <c r="R39" t="s">
        <v>147</v>
      </c>
      <c r="S39" s="1">
        <v>46082</v>
      </c>
      <c r="U39" t="s">
        <v>51</v>
      </c>
      <c r="X39" t="s">
        <v>52</v>
      </c>
      <c r="Y39" s="2">
        <v>0</v>
      </c>
      <c r="Z39" s="2">
        <v>20.83</v>
      </c>
      <c r="AA39">
        <v>1</v>
      </c>
      <c r="AB39" s="3">
        <v>1</v>
      </c>
      <c r="AC39" s="2">
        <v>20.83</v>
      </c>
      <c r="AD39" s="3">
        <v>0</v>
      </c>
      <c r="AE39" s="2">
        <v>0</v>
      </c>
      <c r="AF39" s="2">
        <v>20.83</v>
      </c>
      <c r="AK39">
        <v>6402345</v>
      </c>
      <c r="AL39" t="s">
        <v>148</v>
      </c>
    </row>
    <row r="40" spans="1:38" x14ac:dyDescent="0.25">
      <c r="A40" s="1">
        <v>46099</v>
      </c>
      <c r="B40" s="1">
        <v>46099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178</v>
      </c>
      <c r="J40" t="s">
        <v>179</v>
      </c>
      <c r="M40" t="s">
        <v>180</v>
      </c>
      <c r="O40" t="s">
        <v>181</v>
      </c>
      <c r="P40" t="s">
        <v>182</v>
      </c>
      <c r="Q40" t="s">
        <v>49</v>
      </c>
      <c r="R40" t="s">
        <v>147</v>
      </c>
      <c r="S40" s="1">
        <v>46082</v>
      </c>
      <c r="U40" t="s">
        <v>51</v>
      </c>
      <c r="X40" t="s">
        <v>52</v>
      </c>
      <c r="Y40" s="2">
        <v>0</v>
      </c>
      <c r="Z40" s="2">
        <v>20.83</v>
      </c>
      <c r="AA40">
        <v>1</v>
      </c>
      <c r="AB40" s="3">
        <v>1</v>
      </c>
      <c r="AC40" s="2">
        <v>20.83</v>
      </c>
      <c r="AD40" s="3">
        <v>0</v>
      </c>
      <c r="AE40" s="2">
        <v>0</v>
      </c>
      <c r="AF40" s="2">
        <v>20.83</v>
      </c>
      <c r="AK40">
        <v>6402359</v>
      </c>
      <c r="AL40" t="s">
        <v>148</v>
      </c>
    </row>
    <row r="41" spans="1:38" x14ac:dyDescent="0.25">
      <c r="A41" s="1">
        <v>46099</v>
      </c>
      <c r="B41" s="1">
        <v>46099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183</v>
      </c>
      <c r="J41" t="s">
        <v>184</v>
      </c>
      <c r="M41" t="s">
        <v>55</v>
      </c>
      <c r="O41" t="s">
        <v>62</v>
      </c>
      <c r="P41" t="s">
        <v>63</v>
      </c>
      <c r="Q41" t="s">
        <v>49</v>
      </c>
      <c r="R41" t="s">
        <v>147</v>
      </c>
      <c r="S41" s="1">
        <v>46082</v>
      </c>
      <c r="U41" t="s">
        <v>51</v>
      </c>
      <c r="X41" t="s">
        <v>52</v>
      </c>
      <c r="Y41" s="2">
        <v>0</v>
      </c>
      <c r="Z41" s="2">
        <v>20.83</v>
      </c>
      <c r="AA41">
        <v>1</v>
      </c>
      <c r="AB41" s="3">
        <v>1</v>
      </c>
      <c r="AC41" s="2">
        <v>20.83</v>
      </c>
      <c r="AD41" s="3">
        <v>0</v>
      </c>
      <c r="AE41" s="2">
        <v>0</v>
      </c>
      <c r="AF41" s="2">
        <v>20.83</v>
      </c>
      <c r="AK41">
        <v>6402362</v>
      </c>
      <c r="AL41" t="s">
        <v>148</v>
      </c>
    </row>
    <row r="42" spans="1:38" x14ac:dyDescent="0.25">
      <c r="A42" s="1">
        <v>46099</v>
      </c>
      <c r="B42" s="1">
        <v>46099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185</v>
      </c>
      <c r="J42" t="s">
        <v>186</v>
      </c>
      <c r="M42" t="s">
        <v>83</v>
      </c>
      <c r="O42" t="s">
        <v>84</v>
      </c>
      <c r="P42" t="s">
        <v>85</v>
      </c>
      <c r="Q42" t="s">
        <v>49</v>
      </c>
      <c r="R42" t="s">
        <v>147</v>
      </c>
      <c r="S42" s="1">
        <v>46082</v>
      </c>
      <c r="U42" t="s">
        <v>51</v>
      </c>
      <c r="X42" t="s">
        <v>52</v>
      </c>
      <c r="Y42" s="2">
        <v>0</v>
      </c>
      <c r="Z42" s="2">
        <v>20.83</v>
      </c>
      <c r="AA42">
        <v>1</v>
      </c>
      <c r="AB42" s="3">
        <v>1</v>
      </c>
      <c r="AC42" s="2">
        <v>20.83</v>
      </c>
      <c r="AD42" s="3">
        <v>0</v>
      </c>
      <c r="AE42" s="2">
        <v>0</v>
      </c>
      <c r="AF42" s="2">
        <v>20.83</v>
      </c>
      <c r="AK42">
        <v>6402369</v>
      </c>
      <c r="AL42" t="s">
        <v>148</v>
      </c>
    </row>
    <row r="43" spans="1:38" x14ac:dyDescent="0.25">
      <c r="A43" s="1">
        <v>46099</v>
      </c>
      <c r="B43" s="1">
        <v>46099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187</v>
      </c>
      <c r="J43" t="s">
        <v>188</v>
      </c>
      <c r="M43" t="s">
        <v>117</v>
      </c>
      <c r="O43" t="s">
        <v>162</v>
      </c>
      <c r="P43" t="s">
        <v>163</v>
      </c>
      <c r="Q43" t="s">
        <v>49</v>
      </c>
      <c r="R43" t="s">
        <v>147</v>
      </c>
      <c r="S43" s="1">
        <v>46082</v>
      </c>
      <c r="U43" t="s">
        <v>51</v>
      </c>
      <c r="X43" t="s">
        <v>52</v>
      </c>
      <c r="Y43" s="2">
        <v>0</v>
      </c>
      <c r="Z43" s="2">
        <v>20.83</v>
      </c>
      <c r="AA43">
        <v>1</v>
      </c>
      <c r="AB43" s="3">
        <v>1</v>
      </c>
      <c r="AC43" s="2">
        <v>20.83</v>
      </c>
      <c r="AD43" s="3">
        <v>0</v>
      </c>
      <c r="AE43" s="2">
        <v>0</v>
      </c>
      <c r="AF43" s="2">
        <v>20.83</v>
      </c>
      <c r="AK43">
        <v>6402370</v>
      </c>
      <c r="AL43" t="s">
        <v>148</v>
      </c>
    </row>
    <row r="44" spans="1:38" x14ac:dyDescent="0.25">
      <c r="A44" s="1">
        <v>46099</v>
      </c>
      <c r="B44" s="1">
        <v>46099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189</v>
      </c>
      <c r="J44" t="s">
        <v>190</v>
      </c>
      <c r="M44" t="s">
        <v>191</v>
      </c>
      <c r="O44" t="s">
        <v>192</v>
      </c>
      <c r="P44" t="s">
        <v>193</v>
      </c>
      <c r="Q44" t="s">
        <v>49</v>
      </c>
      <c r="R44" t="s">
        <v>147</v>
      </c>
      <c r="S44" s="1">
        <v>46082</v>
      </c>
      <c r="U44" t="s">
        <v>51</v>
      </c>
      <c r="X44" t="s">
        <v>52</v>
      </c>
      <c r="Y44" s="2">
        <v>0</v>
      </c>
      <c r="Z44" s="2">
        <v>20.83</v>
      </c>
      <c r="AA44">
        <v>1</v>
      </c>
      <c r="AB44" s="3">
        <v>1</v>
      </c>
      <c r="AC44" s="2">
        <v>20.83</v>
      </c>
      <c r="AD44" s="3">
        <v>0</v>
      </c>
      <c r="AE44" s="2">
        <v>0</v>
      </c>
      <c r="AF44" s="2">
        <v>20.83</v>
      </c>
      <c r="AK44">
        <v>6402375</v>
      </c>
      <c r="AL44" t="s">
        <v>148</v>
      </c>
    </row>
    <row r="45" spans="1:38" x14ac:dyDescent="0.25">
      <c r="A45" s="1">
        <v>46099</v>
      </c>
      <c r="B45" s="1">
        <v>46099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194</v>
      </c>
      <c r="J45" t="s">
        <v>195</v>
      </c>
      <c r="M45" t="s">
        <v>94</v>
      </c>
      <c r="O45" t="s">
        <v>95</v>
      </c>
      <c r="P45" t="s">
        <v>96</v>
      </c>
      <c r="Q45" t="s">
        <v>49</v>
      </c>
      <c r="R45" t="s">
        <v>147</v>
      </c>
      <c r="S45" s="1">
        <v>46082</v>
      </c>
      <c r="U45" t="s">
        <v>51</v>
      </c>
      <c r="X45" t="s">
        <v>52</v>
      </c>
      <c r="Y45" s="2">
        <v>0</v>
      </c>
      <c r="Z45" s="2">
        <v>20.83</v>
      </c>
      <c r="AA45">
        <v>1</v>
      </c>
      <c r="AB45" s="3">
        <v>1</v>
      </c>
      <c r="AC45" s="2">
        <v>20.83</v>
      </c>
      <c r="AD45" s="3">
        <v>0</v>
      </c>
      <c r="AE45" s="2">
        <v>0</v>
      </c>
      <c r="AF45" s="2">
        <v>20.83</v>
      </c>
      <c r="AK45">
        <v>6402380</v>
      </c>
      <c r="AL45" t="s">
        <v>148</v>
      </c>
    </row>
    <row r="46" spans="1:38" x14ac:dyDescent="0.25">
      <c r="A46" s="1">
        <v>46099</v>
      </c>
      <c r="B46" s="1">
        <v>46099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196</v>
      </c>
      <c r="J46" t="s">
        <v>197</v>
      </c>
      <c r="M46" t="s">
        <v>198</v>
      </c>
      <c r="O46" t="s">
        <v>199</v>
      </c>
      <c r="P46" t="s">
        <v>200</v>
      </c>
      <c r="Q46" t="s">
        <v>49</v>
      </c>
      <c r="R46" t="s">
        <v>201</v>
      </c>
      <c r="S46" s="1">
        <v>46082</v>
      </c>
      <c r="U46" t="s">
        <v>51</v>
      </c>
      <c r="X46" t="s">
        <v>52</v>
      </c>
      <c r="Y46" s="2">
        <v>0</v>
      </c>
      <c r="Z46" s="2">
        <v>100</v>
      </c>
      <c r="AA46">
        <v>1</v>
      </c>
      <c r="AB46" s="3">
        <v>1</v>
      </c>
      <c r="AC46" s="2">
        <v>100</v>
      </c>
      <c r="AD46" s="3">
        <v>0</v>
      </c>
      <c r="AE46" s="2">
        <v>0</v>
      </c>
      <c r="AF46" s="2">
        <v>100</v>
      </c>
      <c r="AK46">
        <v>6402575</v>
      </c>
    </row>
    <row r="47" spans="1:38" x14ac:dyDescent="0.25">
      <c r="A47" s="1">
        <v>46099</v>
      </c>
      <c r="B47" s="1">
        <v>46099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202</v>
      </c>
      <c r="J47" t="s">
        <v>203</v>
      </c>
      <c r="M47" t="s">
        <v>198</v>
      </c>
      <c r="O47" t="s">
        <v>204</v>
      </c>
      <c r="P47" t="s">
        <v>205</v>
      </c>
      <c r="Q47" t="s">
        <v>49</v>
      </c>
      <c r="R47" t="s">
        <v>206</v>
      </c>
      <c r="S47" s="1">
        <v>46082</v>
      </c>
      <c r="U47" t="s">
        <v>51</v>
      </c>
      <c r="X47" t="s">
        <v>52</v>
      </c>
      <c r="Y47" s="2">
        <v>0</v>
      </c>
      <c r="Z47" s="2">
        <v>50</v>
      </c>
      <c r="AA47">
        <v>1</v>
      </c>
      <c r="AB47" s="3">
        <v>1</v>
      </c>
      <c r="AC47" s="2">
        <v>50</v>
      </c>
      <c r="AD47" s="3">
        <v>0</v>
      </c>
      <c r="AE47" s="2">
        <v>0</v>
      </c>
      <c r="AF47" s="2">
        <v>50</v>
      </c>
      <c r="AK47">
        <v>6402499</v>
      </c>
    </row>
    <row r="48" spans="1:38" x14ac:dyDescent="0.25">
      <c r="A48" s="1">
        <v>46099</v>
      </c>
      <c r="B48" s="1">
        <v>46099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207</v>
      </c>
      <c r="J48" t="s">
        <v>208</v>
      </c>
      <c r="M48" t="s">
        <v>209</v>
      </c>
      <c r="O48" t="s">
        <v>210</v>
      </c>
      <c r="P48" t="s">
        <v>211</v>
      </c>
      <c r="Q48" t="s">
        <v>49</v>
      </c>
      <c r="R48" t="s">
        <v>212</v>
      </c>
      <c r="S48" s="1">
        <v>46082</v>
      </c>
      <c r="U48" t="s">
        <v>51</v>
      </c>
      <c r="X48" t="s">
        <v>52</v>
      </c>
      <c r="Y48" s="2">
        <v>0</v>
      </c>
      <c r="Z48" s="2">
        <v>578.33000000000004</v>
      </c>
      <c r="AA48">
        <v>1</v>
      </c>
      <c r="AB48" s="3">
        <v>1</v>
      </c>
      <c r="AC48" s="2">
        <v>578.33000000000004</v>
      </c>
      <c r="AD48" s="3">
        <v>0</v>
      </c>
      <c r="AE48" s="2">
        <v>0</v>
      </c>
      <c r="AF48" s="2">
        <v>578.33000000000004</v>
      </c>
      <c r="AK48">
        <v>6402975</v>
      </c>
      <c r="AL48" t="s">
        <v>148</v>
      </c>
    </row>
    <row r="49" spans="1:38" x14ac:dyDescent="0.25">
      <c r="A49" s="1">
        <v>46099</v>
      </c>
      <c r="B49" s="1">
        <v>46099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213</v>
      </c>
      <c r="J49" t="s">
        <v>214</v>
      </c>
      <c r="M49" t="s">
        <v>46</v>
      </c>
      <c r="O49" t="s">
        <v>215</v>
      </c>
      <c r="P49" t="s">
        <v>216</v>
      </c>
      <c r="Q49" t="s">
        <v>49</v>
      </c>
      <c r="R49" t="s">
        <v>217</v>
      </c>
      <c r="S49" s="1">
        <v>46113</v>
      </c>
      <c r="U49" t="s">
        <v>51</v>
      </c>
      <c r="X49" t="s">
        <v>52</v>
      </c>
      <c r="Y49" s="2">
        <v>0</v>
      </c>
      <c r="Z49" s="2">
        <v>694</v>
      </c>
      <c r="AA49">
        <v>1</v>
      </c>
      <c r="AB49" s="3">
        <v>1</v>
      </c>
      <c r="AC49" s="2">
        <v>694</v>
      </c>
      <c r="AD49" s="3">
        <v>0</v>
      </c>
      <c r="AE49" s="2">
        <v>0</v>
      </c>
      <c r="AF49" s="2">
        <v>694</v>
      </c>
      <c r="AK49">
        <v>6402983</v>
      </c>
    </row>
    <row r="50" spans="1:38" x14ac:dyDescent="0.25">
      <c r="A50" s="1">
        <v>46099</v>
      </c>
      <c r="B50" s="1">
        <v>46099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218</v>
      </c>
      <c r="J50" t="s">
        <v>219</v>
      </c>
      <c r="M50" t="s">
        <v>117</v>
      </c>
      <c r="O50" t="s">
        <v>118</v>
      </c>
      <c r="P50" t="s">
        <v>119</v>
      </c>
      <c r="Q50" t="s">
        <v>49</v>
      </c>
      <c r="R50" t="s">
        <v>220</v>
      </c>
      <c r="S50" s="1">
        <v>46113</v>
      </c>
      <c r="U50" t="s">
        <v>51</v>
      </c>
      <c r="X50" t="s">
        <v>52</v>
      </c>
      <c r="Y50" s="2">
        <v>0</v>
      </c>
      <c r="Z50" s="2">
        <v>260.25</v>
      </c>
      <c r="AA50">
        <v>1</v>
      </c>
      <c r="AB50" s="3">
        <v>1</v>
      </c>
      <c r="AC50" s="2">
        <v>260.25</v>
      </c>
      <c r="AD50" s="3">
        <v>0</v>
      </c>
      <c r="AE50" s="2">
        <v>0</v>
      </c>
      <c r="AF50" s="2">
        <v>260.25</v>
      </c>
      <c r="AK50">
        <v>6402989</v>
      </c>
      <c r="AL50" t="s">
        <v>221</v>
      </c>
    </row>
    <row r="51" spans="1:38" x14ac:dyDescent="0.25">
      <c r="A51" s="1">
        <v>46099</v>
      </c>
      <c r="B51" s="1">
        <v>46099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222</v>
      </c>
      <c r="J51" t="s">
        <v>219</v>
      </c>
      <c r="M51" t="s">
        <v>117</v>
      </c>
      <c r="O51" t="s">
        <v>118</v>
      </c>
      <c r="P51" t="s">
        <v>119</v>
      </c>
      <c r="Q51" t="s">
        <v>49</v>
      </c>
      <c r="R51" t="s">
        <v>223</v>
      </c>
      <c r="S51" s="1">
        <v>46113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6402990</v>
      </c>
    </row>
    <row r="52" spans="1:38" x14ac:dyDescent="0.25">
      <c r="A52" s="1">
        <v>46099</v>
      </c>
      <c r="B52" s="1">
        <v>46099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224</v>
      </c>
      <c r="J52" t="s">
        <v>225</v>
      </c>
      <c r="M52" t="s">
        <v>226</v>
      </c>
      <c r="O52" t="s">
        <v>210</v>
      </c>
      <c r="P52" t="s">
        <v>211</v>
      </c>
      <c r="Q52" t="s">
        <v>49</v>
      </c>
      <c r="R52" t="s">
        <v>217</v>
      </c>
      <c r="S52" s="1">
        <v>46082</v>
      </c>
      <c r="U52" t="s">
        <v>51</v>
      </c>
      <c r="X52" t="s">
        <v>52</v>
      </c>
      <c r="Y52" s="2">
        <v>0</v>
      </c>
      <c r="Z52" s="2">
        <v>694</v>
      </c>
      <c r="AA52">
        <v>1</v>
      </c>
      <c r="AB52" s="3">
        <v>1</v>
      </c>
      <c r="AC52" s="2">
        <v>694</v>
      </c>
      <c r="AD52" s="3">
        <v>0</v>
      </c>
      <c r="AE52" s="2">
        <v>0</v>
      </c>
      <c r="AF52" s="2">
        <v>694</v>
      </c>
      <c r="AK52">
        <v>6403022</v>
      </c>
    </row>
    <row r="53" spans="1:38" x14ac:dyDescent="0.25">
      <c r="A53" s="1">
        <v>46099</v>
      </c>
      <c r="B53" s="1">
        <v>46099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227</v>
      </c>
      <c r="J53" t="s">
        <v>228</v>
      </c>
      <c r="M53" t="s">
        <v>46</v>
      </c>
      <c r="O53" t="s">
        <v>73</v>
      </c>
      <c r="P53" t="s">
        <v>74</v>
      </c>
      <c r="Q53" t="s">
        <v>49</v>
      </c>
      <c r="R53" t="s">
        <v>217</v>
      </c>
      <c r="S53" s="1">
        <v>46143</v>
      </c>
      <c r="U53" t="s">
        <v>51</v>
      </c>
      <c r="X53" t="s">
        <v>52</v>
      </c>
      <c r="Y53" s="2">
        <v>0</v>
      </c>
      <c r="Z53" s="2">
        <v>694</v>
      </c>
      <c r="AA53">
        <v>1</v>
      </c>
      <c r="AB53" s="3">
        <v>1</v>
      </c>
      <c r="AC53" s="2">
        <v>694</v>
      </c>
      <c r="AD53" s="3">
        <v>0</v>
      </c>
      <c r="AE53" s="2">
        <v>0</v>
      </c>
      <c r="AF53" s="2">
        <v>694</v>
      </c>
      <c r="AK53">
        <v>6403035</v>
      </c>
    </row>
    <row r="54" spans="1:38" x14ac:dyDescent="0.25">
      <c r="A54" s="1">
        <v>46099</v>
      </c>
      <c r="B54" s="1">
        <v>46099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229</v>
      </c>
      <c r="J54" t="s">
        <v>230</v>
      </c>
      <c r="M54" t="s">
        <v>124</v>
      </c>
      <c r="O54" t="s">
        <v>67</v>
      </c>
      <c r="P54" t="s">
        <v>68</v>
      </c>
      <c r="Q54" t="s">
        <v>49</v>
      </c>
      <c r="R54" t="s">
        <v>220</v>
      </c>
      <c r="S54" s="1">
        <v>46113</v>
      </c>
      <c r="U54" t="s">
        <v>51</v>
      </c>
      <c r="X54" t="s">
        <v>52</v>
      </c>
      <c r="Y54" s="2">
        <v>0</v>
      </c>
      <c r="Z54" s="2">
        <v>260.25</v>
      </c>
      <c r="AA54">
        <v>1</v>
      </c>
      <c r="AB54" s="3">
        <v>1</v>
      </c>
      <c r="AC54" s="2">
        <v>260.25</v>
      </c>
      <c r="AD54" s="3">
        <v>0</v>
      </c>
      <c r="AE54" s="2">
        <v>0</v>
      </c>
      <c r="AF54" s="2">
        <v>260.25</v>
      </c>
      <c r="AK54">
        <v>6403041</v>
      </c>
      <c r="AL54" t="s">
        <v>221</v>
      </c>
    </row>
    <row r="55" spans="1:38" x14ac:dyDescent="0.25">
      <c r="A55" s="1">
        <v>46099</v>
      </c>
      <c r="B55" s="1">
        <v>46099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231</v>
      </c>
      <c r="J55" t="s">
        <v>230</v>
      </c>
      <c r="M55" t="s">
        <v>124</v>
      </c>
      <c r="O55" t="s">
        <v>67</v>
      </c>
      <c r="P55" t="s">
        <v>68</v>
      </c>
      <c r="Q55" t="s">
        <v>49</v>
      </c>
      <c r="R55" t="s">
        <v>223</v>
      </c>
      <c r="S55" s="1">
        <v>46113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6403042</v>
      </c>
    </row>
    <row r="56" spans="1:38" x14ac:dyDescent="0.25">
      <c r="A56" s="1">
        <v>46099</v>
      </c>
      <c r="B56" s="1">
        <v>46099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232</v>
      </c>
      <c r="J56" t="s">
        <v>233</v>
      </c>
      <c r="M56" t="s">
        <v>234</v>
      </c>
      <c r="O56" t="s">
        <v>73</v>
      </c>
      <c r="P56" t="s">
        <v>74</v>
      </c>
      <c r="Q56" t="s">
        <v>49</v>
      </c>
      <c r="R56" t="s">
        <v>220</v>
      </c>
      <c r="S56" s="1">
        <v>46082</v>
      </c>
      <c r="U56" t="s">
        <v>51</v>
      </c>
      <c r="X56" t="s">
        <v>52</v>
      </c>
      <c r="Y56" s="2">
        <v>0</v>
      </c>
      <c r="Z56" s="2">
        <v>289.17</v>
      </c>
      <c r="AA56">
        <v>1</v>
      </c>
      <c r="AB56" s="3">
        <v>1</v>
      </c>
      <c r="AC56" s="2">
        <v>289.17</v>
      </c>
      <c r="AD56" s="3">
        <v>0</v>
      </c>
      <c r="AE56" s="2">
        <v>0</v>
      </c>
      <c r="AF56" s="2">
        <v>289.17</v>
      </c>
      <c r="AK56">
        <v>6403052</v>
      </c>
      <c r="AL56" t="s">
        <v>148</v>
      </c>
    </row>
    <row r="57" spans="1:38" x14ac:dyDescent="0.25">
      <c r="A57" s="1">
        <v>46099</v>
      </c>
      <c r="B57" s="1">
        <v>46099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235</v>
      </c>
      <c r="J57" t="s">
        <v>233</v>
      </c>
      <c r="M57" t="s">
        <v>234</v>
      </c>
      <c r="O57" t="s">
        <v>73</v>
      </c>
      <c r="P57" t="s">
        <v>74</v>
      </c>
      <c r="Q57" t="s">
        <v>49</v>
      </c>
      <c r="R57" t="s">
        <v>236</v>
      </c>
      <c r="S57" s="1">
        <v>46082</v>
      </c>
      <c r="U57" t="s">
        <v>51</v>
      </c>
      <c r="X57" t="s">
        <v>52</v>
      </c>
      <c r="Y57" s="2">
        <v>0</v>
      </c>
      <c r="Z57" s="2">
        <v>60</v>
      </c>
      <c r="AA57">
        <v>1</v>
      </c>
      <c r="AB57" s="3">
        <v>1</v>
      </c>
      <c r="AC57" s="2">
        <v>60</v>
      </c>
      <c r="AD57" s="3">
        <v>0</v>
      </c>
      <c r="AE57" s="2">
        <v>0</v>
      </c>
      <c r="AF57" s="2">
        <v>60</v>
      </c>
      <c r="AK57">
        <v>6403051</v>
      </c>
      <c r="AL57" t="s">
        <v>148</v>
      </c>
    </row>
    <row r="58" spans="1:38" x14ac:dyDescent="0.25">
      <c r="A58" s="1">
        <v>46099</v>
      </c>
      <c r="B58" s="1">
        <v>46099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237</v>
      </c>
      <c r="J58" t="s">
        <v>238</v>
      </c>
      <c r="M58" t="s">
        <v>209</v>
      </c>
      <c r="O58" t="s">
        <v>210</v>
      </c>
      <c r="P58" t="s">
        <v>211</v>
      </c>
      <c r="Q58" t="s">
        <v>49</v>
      </c>
      <c r="R58" t="s">
        <v>217</v>
      </c>
      <c r="S58" s="1">
        <v>46082</v>
      </c>
      <c r="U58" t="s">
        <v>51</v>
      </c>
      <c r="X58" t="s">
        <v>52</v>
      </c>
      <c r="Y58" s="2">
        <v>0</v>
      </c>
      <c r="Z58" s="2">
        <v>694</v>
      </c>
      <c r="AA58">
        <v>1</v>
      </c>
      <c r="AB58" s="3">
        <v>1</v>
      </c>
      <c r="AC58" s="2">
        <v>694</v>
      </c>
      <c r="AD58" s="3">
        <v>0</v>
      </c>
      <c r="AE58" s="2">
        <v>0</v>
      </c>
      <c r="AF58" s="2">
        <v>694</v>
      </c>
      <c r="AK58">
        <v>6403055</v>
      </c>
    </row>
    <row r="59" spans="1:38" x14ac:dyDescent="0.25">
      <c r="A59" s="1">
        <v>46099</v>
      </c>
      <c r="B59" s="1">
        <v>46099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239</v>
      </c>
      <c r="J59" t="s">
        <v>240</v>
      </c>
      <c r="M59" t="s">
        <v>46</v>
      </c>
      <c r="O59" t="s">
        <v>241</v>
      </c>
      <c r="P59" t="s">
        <v>242</v>
      </c>
      <c r="Q59" t="s">
        <v>49</v>
      </c>
      <c r="R59" t="s">
        <v>217</v>
      </c>
      <c r="S59" s="1">
        <v>46082</v>
      </c>
      <c r="U59" t="s">
        <v>51</v>
      </c>
      <c r="X59" t="s">
        <v>52</v>
      </c>
      <c r="Y59" s="2">
        <v>0</v>
      </c>
      <c r="Z59" s="2">
        <v>694</v>
      </c>
      <c r="AA59">
        <v>1</v>
      </c>
      <c r="AB59" s="3">
        <v>1</v>
      </c>
      <c r="AC59" s="2">
        <v>694</v>
      </c>
      <c r="AD59" s="3">
        <v>0</v>
      </c>
      <c r="AE59" s="2">
        <v>0</v>
      </c>
      <c r="AF59" s="2">
        <v>694</v>
      </c>
      <c r="AK59">
        <v>6403057</v>
      </c>
    </row>
    <row r="60" spans="1:38" x14ac:dyDescent="0.25">
      <c r="A60" s="1">
        <v>46099</v>
      </c>
      <c r="B60" s="1">
        <v>46099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243</v>
      </c>
      <c r="J60" t="s">
        <v>244</v>
      </c>
      <c r="M60" t="s">
        <v>55</v>
      </c>
      <c r="O60" t="s">
        <v>73</v>
      </c>
      <c r="P60" t="s">
        <v>74</v>
      </c>
      <c r="Q60" t="s">
        <v>49</v>
      </c>
      <c r="R60" t="s">
        <v>245</v>
      </c>
      <c r="S60" s="1">
        <v>46143</v>
      </c>
      <c r="U60" t="s">
        <v>51</v>
      </c>
      <c r="X60" t="s">
        <v>52</v>
      </c>
      <c r="Y60" s="2">
        <v>0</v>
      </c>
      <c r="Z60" s="2">
        <v>406</v>
      </c>
      <c r="AA60">
        <v>1</v>
      </c>
      <c r="AB60" s="3">
        <v>1</v>
      </c>
      <c r="AC60" s="2">
        <v>406</v>
      </c>
      <c r="AD60" s="3">
        <v>0</v>
      </c>
      <c r="AE60" s="2">
        <v>0</v>
      </c>
      <c r="AF60" s="2">
        <v>406</v>
      </c>
      <c r="AK60">
        <v>6403073</v>
      </c>
    </row>
    <row r="61" spans="1:38" x14ac:dyDescent="0.25">
      <c r="A61" s="1">
        <v>46099</v>
      </c>
      <c r="B61" s="1">
        <v>46099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246</v>
      </c>
      <c r="J61" t="s">
        <v>247</v>
      </c>
      <c r="M61" t="s">
        <v>234</v>
      </c>
      <c r="O61" t="s">
        <v>248</v>
      </c>
      <c r="P61" t="s">
        <v>249</v>
      </c>
      <c r="Q61" t="s">
        <v>49</v>
      </c>
      <c r="R61" t="s">
        <v>217</v>
      </c>
      <c r="S61" s="1">
        <v>46082</v>
      </c>
      <c r="U61" t="s">
        <v>51</v>
      </c>
      <c r="X61" t="s">
        <v>52</v>
      </c>
      <c r="Y61" s="2">
        <v>0</v>
      </c>
      <c r="Z61" s="2">
        <v>694</v>
      </c>
      <c r="AA61">
        <v>1</v>
      </c>
      <c r="AB61" s="3">
        <v>1</v>
      </c>
      <c r="AC61" s="2">
        <v>694</v>
      </c>
      <c r="AD61" s="3">
        <v>0</v>
      </c>
      <c r="AE61" s="2">
        <v>0</v>
      </c>
      <c r="AF61" s="2">
        <v>694</v>
      </c>
      <c r="AK61">
        <v>6403081</v>
      </c>
    </row>
    <row r="62" spans="1:38" x14ac:dyDescent="0.25">
      <c r="A62" s="1">
        <v>46099</v>
      </c>
      <c r="B62" s="1">
        <v>46099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250</v>
      </c>
      <c r="J62" t="s">
        <v>251</v>
      </c>
      <c r="M62" t="s">
        <v>55</v>
      </c>
      <c r="O62" t="s">
        <v>252</v>
      </c>
      <c r="P62" t="s">
        <v>253</v>
      </c>
      <c r="Q62" t="s">
        <v>49</v>
      </c>
      <c r="R62" t="s">
        <v>254</v>
      </c>
      <c r="S62" s="1">
        <v>46082</v>
      </c>
      <c r="U62" t="s">
        <v>51</v>
      </c>
      <c r="X62" t="s">
        <v>52</v>
      </c>
      <c r="Y62" s="2">
        <v>0</v>
      </c>
      <c r="Z62" s="2">
        <v>338.33</v>
      </c>
      <c r="AA62">
        <v>1</v>
      </c>
      <c r="AB62" s="3">
        <v>1</v>
      </c>
      <c r="AC62" s="2">
        <v>338.33</v>
      </c>
      <c r="AD62" s="3">
        <v>0</v>
      </c>
      <c r="AE62" s="2">
        <v>0</v>
      </c>
      <c r="AF62" s="2">
        <v>338.33</v>
      </c>
      <c r="AK62">
        <v>6403105</v>
      </c>
      <c r="AL62" t="s">
        <v>148</v>
      </c>
    </row>
    <row r="63" spans="1:38" x14ac:dyDescent="0.25">
      <c r="A63" s="1">
        <v>46099</v>
      </c>
      <c r="B63" s="1">
        <v>46099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255</v>
      </c>
      <c r="J63" t="s">
        <v>251</v>
      </c>
      <c r="M63" t="s">
        <v>55</v>
      </c>
      <c r="O63" t="s">
        <v>252</v>
      </c>
      <c r="P63" t="s">
        <v>253</v>
      </c>
      <c r="Q63" t="s">
        <v>49</v>
      </c>
      <c r="R63" t="s">
        <v>256</v>
      </c>
      <c r="S63" s="1">
        <v>46082</v>
      </c>
      <c r="U63" t="s">
        <v>51</v>
      </c>
      <c r="X63" t="s">
        <v>52</v>
      </c>
      <c r="Y63" s="2">
        <v>0</v>
      </c>
      <c r="Z63" s="2">
        <v>94.17</v>
      </c>
      <c r="AA63">
        <v>1</v>
      </c>
      <c r="AB63" s="3">
        <v>1</v>
      </c>
      <c r="AC63" s="2">
        <v>94.17</v>
      </c>
      <c r="AD63" s="3">
        <v>0</v>
      </c>
      <c r="AE63" s="2">
        <v>0</v>
      </c>
      <c r="AF63" s="2">
        <v>94.17</v>
      </c>
      <c r="AK63">
        <v>6403104</v>
      </c>
      <c r="AL63" t="s">
        <v>148</v>
      </c>
    </row>
    <row r="64" spans="1:38" x14ac:dyDescent="0.25">
      <c r="A64" s="1">
        <v>46099</v>
      </c>
      <c r="B64" s="1">
        <v>46099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257</v>
      </c>
      <c r="J64" t="s">
        <v>258</v>
      </c>
      <c r="M64" t="s">
        <v>259</v>
      </c>
      <c r="O64" t="s">
        <v>260</v>
      </c>
      <c r="P64" t="s">
        <v>261</v>
      </c>
      <c r="Q64" t="s">
        <v>49</v>
      </c>
      <c r="R64" t="s">
        <v>262</v>
      </c>
      <c r="S64" s="1">
        <v>45536</v>
      </c>
      <c r="U64" t="s">
        <v>51</v>
      </c>
      <c r="X64" t="s">
        <v>52</v>
      </c>
      <c r="Y64" s="2">
        <v>0</v>
      </c>
      <c r="Z64" s="2">
        <v>23.13</v>
      </c>
      <c r="AA64">
        <v>9</v>
      </c>
      <c r="AB64" s="3">
        <v>1</v>
      </c>
      <c r="AC64" s="2">
        <v>208.17</v>
      </c>
      <c r="AD64" s="3">
        <v>0</v>
      </c>
      <c r="AE64" s="2">
        <v>0</v>
      </c>
      <c r="AF64" s="2">
        <v>208.17</v>
      </c>
      <c r="AK64">
        <v>6402899</v>
      </c>
    </row>
    <row r="65" spans="1:38" x14ac:dyDescent="0.25">
      <c r="A65" s="1">
        <v>46099</v>
      </c>
      <c r="B65" s="1">
        <v>46099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263</v>
      </c>
      <c r="J65" t="s">
        <v>264</v>
      </c>
      <c r="M65" t="s">
        <v>46</v>
      </c>
      <c r="O65" t="s">
        <v>265</v>
      </c>
      <c r="P65" t="s">
        <v>266</v>
      </c>
      <c r="Q65" t="s">
        <v>49</v>
      </c>
      <c r="R65" t="s">
        <v>267</v>
      </c>
      <c r="S65" s="1">
        <v>46113</v>
      </c>
      <c r="U65" t="s">
        <v>51</v>
      </c>
      <c r="X65" t="s">
        <v>52</v>
      </c>
      <c r="Y65" s="2">
        <v>0</v>
      </c>
      <c r="Z65" s="2">
        <v>31.5</v>
      </c>
      <c r="AA65">
        <v>9</v>
      </c>
      <c r="AB65" s="3">
        <v>1</v>
      </c>
      <c r="AC65" s="2">
        <v>283.5</v>
      </c>
      <c r="AD65" s="3">
        <v>0</v>
      </c>
      <c r="AE65" s="2">
        <v>0</v>
      </c>
      <c r="AF65" s="2">
        <v>283.5</v>
      </c>
      <c r="AK65">
        <v>6402904</v>
      </c>
    </row>
    <row r="66" spans="1:38" x14ac:dyDescent="0.25">
      <c r="A66" s="1">
        <v>46099</v>
      </c>
      <c r="B66" s="1">
        <v>46099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268</v>
      </c>
      <c r="J66" t="s">
        <v>269</v>
      </c>
      <c r="M66" t="s">
        <v>94</v>
      </c>
      <c r="O66" t="s">
        <v>95</v>
      </c>
      <c r="P66" t="s">
        <v>96</v>
      </c>
      <c r="Q66" t="s">
        <v>49</v>
      </c>
      <c r="R66" t="s">
        <v>270</v>
      </c>
      <c r="S66" s="1">
        <v>46113</v>
      </c>
      <c r="U66" t="s">
        <v>51</v>
      </c>
      <c r="X66" t="s">
        <v>52</v>
      </c>
      <c r="Y66" s="2">
        <v>0</v>
      </c>
      <c r="Z66" s="2">
        <v>31.02</v>
      </c>
      <c r="AA66">
        <v>9</v>
      </c>
      <c r="AB66" s="3">
        <v>1</v>
      </c>
      <c r="AC66" s="2">
        <v>279.18</v>
      </c>
      <c r="AD66" s="3">
        <v>0</v>
      </c>
      <c r="AE66" s="2">
        <v>0</v>
      </c>
      <c r="AF66" s="2">
        <v>279.18</v>
      </c>
      <c r="AK66">
        <v>6402903</v>
      </c>
    </row>
    <row r="67" spans="1:38" x14ac:dyDescent="0.25">
      <c r="A67" s="1">
        <v>46099</v>
      </c>
      <c r="B67" s="1">
        <v>46099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271</v>
      </c>
      <c r="J67" t="s">
        <v>272</v>
      </c>
      <c r="M67" t="s">
        <v>46</v>
      </c>
      <c r="O67" t="s">
        <v>73</v>
      </c>
      <c r="P67" t="s">
        <v>74</v>
      </c>
      <c r="Q67" t="s">
        <v>49</v>
      </c>
      <c r="R67" t="s">
        <v>267</v>
      </c>
      <c r="S67" s="1">
        <v>46113</v>
      </c>
      <c r="U67" t="s">
        <v>51</v>
      </c>
      <c r="X67" t="s">
        <v>52</v>
      </c>
      <c r="Y67" s="2">
        <v>0</v>
      </c>
      <c r="Z67" s="2">
        <v>31.5</v>
      </c>
      <c r="AA67">
        <v>9</v>
      </c>
      <c r="AB67" s="3">
        <v>1</v>
      </c>
      <c r="AC67" s="2">
        <v>283.5</v>
      </c>
      <c r="AD67" s="3">
        <v>0</v>
      </c>
      <c r="AE67" s="2">
        <v>0</v>
      </c>
      <c r="AF67" s="2">
        <v>283.5</v>
      </c>
      <c r="AK67">
        <v>6402902</v>
      </c>
    </row>
    <row r="68" spans="1:38" x14ac:dyDescent="0.25">
      <c r="A68" s="1">
        <v>46099</v>
      </c>
      <c r="B68" s="1">
        <v>46099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273</v>
      </c>
      <c r="J68" t="s">
        <v>274</v>
      </c>
      <c r="M68" t="s">
        <v>180</v>
      </c>
      <c r="O68" t="s">
        <v>275</v>
      </c>
      <c r="P68" t="s">
        <v>276</v>
      </c>
      <c r="Q68" t="s">
        <v>49</v>
      </c>
      <c r="R68" t="s">
        <v>277</v>
      </c>
      <c r="S68" s="1">
        <v>46113</v>
      </c>
      <c r="U68" t="s">
        <v>51</v>
      </c>
      <c r="X68" t="s">
        <v>52</v>
      </c>
      <c r="Y68" s="2">
        <v>0</v>
      </c>
      <c r="Z68" s="2">
        <v>36</v>
      </c>
      <c r="AA68">
        <v>9</v>
      </c>
      <c r="AB68" s="3">
        <v>1</v>
      </c>
      <c r="AC68" s="2">
        <v>324</v>
      </c>
      <c r="AD68" s="3">
        <v>0</v>
      </c>
      <c r="AE68" s="2">
        <v>0</v>
      </c>
      <c r="AF68" s="2">
        <v>324</v>
      </c>
      <c r="AK68">
        <v>6402901</v>
      </c>
    </row>
    <row r="69" spans="1:38" x14ac:dyDescent="0.25">
      <c r="A69" s="1">
        <v>46099</v>
      </c>
      <c r="B69" s="1">
        <v>46099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278</v>
      </c>
      <c r="J69" t="s">
        <v>279</v>
      </c>
      <c r="M69" t="s">
        <v>46</v>
      </c>
      <c r="O69" t="s">
        <v>99</v>
      </c>
      <c r="P69" t="s">
        <v>100</v>
      </c>
      <c r="Q69" t="s">
        <v>49</v>
      </c>
      <c r="R69" t="s">
        <v>280</v>
      </c>
      <c r="S69" s="1">
        <v>46113</v>
      </c>
      <c r="U69" t="s">
        <v>51</v>
      </c>
      <c r="X69" t="s">
        <v>52</v>
      </c>
      <c r="Y69" s="2">
        <v>0</v>
      </c>
      <c r="Z69" s="2">
        <v>4.92</v>
      </c>
      <c r="AA69">
        <v>9</v>
      </c>
      <c r="AB69" s="3">
        <v>1</v>
      </c>
      <c r="AC69" s="2">
        <v>44.28</v>
      </c>
      <c r="AD69" s="3">
        <v>0</v>
      </c>
      <c r="AE69" s="2">
        <v>0</v>
      </c>
      <c r="AF69" s="2">
        <v>44.28</v>
      </c>
      <c r="AK69">
        <v>6402900</v>
      </c>
    </row>
    <row r="70" spans="1:38" x14ac:dyDescent="0.25">
      <c r="A70" s="1">
        <v>46099</v>
      </c>
      <c r="B70" s="1">
        <v>46099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281</v>
      </c>
      <c r="J70" t="s">
        <v>282</v>
      </c>
      <c r="M70" t="s">
        <v>46</v>
      </c>
      <c r="O70" t="s">
        <v>283</v>
      </c>
      <c r="P70" t="s">
        <v>284</v>
      </c>
      <c r="Q70" t="s">
        <v>49</v>
      </c>
      <c r="R70" t="s">
        <v>147</v>
      </c>
      <c r="S70" s="1">
        <v>46082</v>
      </c>
      <c r="U70" t="s">
        <v>51</v>
      </c>
      <c r="X70" t="s">
        <v>52</v>
      </c>
      <c r="Y70" s="2">
        <v>0</v>
      </c>
      <c r="Z70" s="2">
        <v>20.83</v>
      </c>
      <c r="AA70">
        <v>1</v>
      </c>
      <c r="AB70" s="3">
        <v>1</v>
      </c>
      <c r="AC70" s="2">
        <v>20.83</v>
      </c>
      <c r="AD70" s="3">
        <v>0</v>
      </c>
      <c r="AE70" s="2">
        <v>0</v>
      </c>
      <c r="AF70" s="2">
        <v>20.83</v>
      </c>
      <c r="AK70">
        <v>6402388</v>
      </c>
      <c r="AL70" t="s">
        <v>148</v>
      </c>
    </row>
    <row r="71" spans="1:38" x14ac:dyDescent="0.25">
      <c r="A71" s="1">
        <v>46099</v>
      </c>
      <c r="B71" s="1">
        <v>46099</v>
      </c>
      <c r="C71" t="s">
        <v>285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286</v>
      </c>
      <c r="J71" t="s">
        <v>287</v>
      </c>
      <c r="M71" t="s">
        <v>209</v>
      </c>
      <c r="O71" t="s">
        <v>210</v>
      </c>
      <c r="P71" t="s">
        <v>211</v>
      </c>
      <c r="Q71" t="s">
        <v>288</v>
      </c>
      <c r="R71" t="s">
        <v>58</v>
      </c>
      <c r="S71" s="1">
        <v>46023</v>
      </c>
      <c r="U71" t="s">
        <v>51</v>
      </c>
      <c r="X71" t="s">
        <v>52</v>
      </c>
      <c r="AF71" s="2">
        <v>175</v>
      </c>
      <c r="AG71" s="2">
        <v>0</v>
      </c>
      <c r="AJ71" s="2">
        <v>131.25</v>
      </c>
    </row>
    <row r="72" spans="1:38" x14ac:dyDescent="0.25">
      <c r="A72" s="1">
        <v>46099</v>
      </c>
      <c r="B72" s="1">
        <v>46099</v>
      </c>
      <c r="C72" t="s">
        <v>285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289</v>
      </c>
      <c r="J72" t="s">
        <v>290</v>
      </c>
      <c r="M72" t="s">
        <v>180</v>
      </c>
      <c r="O72" t="s">
        <v>275</v>
      </c>
      <c r="P72" t="s">
        <v>276</v>
      </c>
      <c r="Q72" t="s">
        <v>288</v>
      </c>
      <c r="R72" t="s">
        <v>58</v>
      </c>
      <c r="S72" s="1">
        <v>46023</v>
      </c>
      <c r="U72" t="s">
        <v>51</v>
      </c>
      <c r="X72" t="s">
        <v>52</v>
      </c>
      <c r="AF72" s="2">
        <v>175</v>
      </c>
      <c r="AG72" s="2">
        <v>0</v>
      </c>
      <c r="AJ72" s="2">
        <v>145.25</v>
      </c>
    </row>
    <row r="73" spans="1:38" x14ac:dyDescent="0.25">
      <c r="A73" s="1">
        <v>46099</v>
      </c>
      <c r="B73" s="1">
        <v>46099</v>
      </c>
      <c r="C73" t="s">
        <v>285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291</v>
      </c>
      <c r="J73" t="s">
        <v>292</v>
      </c>
      <c r="M73" t="s">
        <v>46</v>
      </c>
      <c r="O73" t="s">
        <v>99</v>
      </c>
      <c r="P73" t="s">
        <v>100</v>
      </c>
      <c r="Q73" t="s">
        <v>288</v>
      </c>
      <c r="R73" t="s">
        <v>58</v>
      </c>
      <c r="S73" s="1">
        <v>46023</v>
      </c>
      <c r="U73" t="s">
        <v>51</v>
      </c>
      <c r="X73" t="s">
        <v>52</v>
      </c>
      <c r="AF73" s="2">
        <v>175</v>
      </c>
      <c r="AG73" s="2">
        <v>0</v>
      </c>
      <c r="AJ73" s="2">
        <v>145.25</v>
      </c>
    </row>
    <row r="74" spans="1:38" x14ac:dyDescent="0.25">
      <c r="A74" s="1">
        <v>46099</v>
      </c>
      <c r="B74" s="1">
        <v>46099</v>
      </c>
      <c r="C74" t="s">
        <v>285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293</v>
      </c>
      <c r="J74" t="s">
        <v>294</v>
      </c>
      <c r="M74" t="s">
        <v>46</v>
      </c>
      <c r="O74" t="s">
        <v>105</v>
      </c>
      <c r="P74" t="s">
        <v>106</v>
      </c>
      <c r="Q74" t="s">
        <v>288</v>
      </c>
      <c r="R74" t="s">
        <v>58</v>
      </c>
      <c r="S74" s="1">
        <v>46023</v>
      </c>
      <c r="U74" t="s">
        <v>51</v>
      </c>
      <c r="X74" t="s">
        <v>52</v>
      </c>
      <c r="AF74" s="2">
        <v>175</v>
      </c>
      <c r="AG74" s="2">
        <v>0</v>
      </c>
      <c r="AJ74" s="2">
        <v>131.25</v>
      </c>
    </row>
    <row r="75" spans="1:38" x14ac:dyDescent="0.25">
      <c r="A75" s="1">
        <v>46099</v>
      </c>
      <c r="B75" s="1">
        <v>46099</v>
      </c>
      <c r="C75" t="s">
        <v>285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295</v>
      </c>
      <c r="J75" t="s">
        <v>296</v>
      </c>
      <c r="M75" t="s">
        <v>226</v>
      </c>
      <c r="O75" t="s">
        <v>297</v>
      </c>
      <c r="P75" t="s">
        <v>298</v>
      </c>
      <c r="Q75" t="s">
        <v>288</v>
      </c>
      <c r="R75" t="s">
        <v>58</v>
      </c>
      <c r="S75" s="1">
        <v>46023</v>
      </c>
      <c r="U75" t="s">
        <v>51</v>
      </c>
      <c r="X75" t="s">
        <v>52</v>
      </c>
      <c r="AF75" s="2">
        <v>175</v>
      </c>
      <c r="AG75" s="2">
        <v>0</v>
      </c>
      <c r="AJ75" s="2">
        <v>131.25</v>
      </c>
    </row>
    <row r="76" spans="1:38" x14ac:dyDescent="0.25">
      <c r="A76" s="1">
        <v>46099</v>
      </c>
      <c r="B76" s="1">
        <v>46099</v>
      </c>
      <c r="C76" t="s">
        <v>285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299</v>
      </c>
      <c r="J76" t="s">
        <v>76</v>
      </c>
      <c r="M76" t="s">
        <v>46</v>
      </c>
      <c r="O76" t="s">
        <v>77</v>
      </c>
      <c r="P76" t="s">
        <v>78</v>
      </c>
      <c r="Q76" t="s">
        <v>288</v>
      </c>
      <c r="R76" t="s">
        <v>58</v>
      </c>
      <c r="S76" s="1">
        <v>46082</v>
      </c>
      <c r="U76" t="s">
        <v>51</v>
      </c>
      <c r="X76" t="s">
        <v>52</v>
      </c>
      <c r="AF76" s="2">
        <v>175</v>
      </c>
      <c r="AG76" s="2">
        <v>0</v>
      </c>
      <c r="AJ76" s="2">
        <v>131.25</v>
      </c>
    </row>
    <row r="77" spans="1:38" x14ac:dyDescent="0.25">
      <c r="A77" s="1">
        <v>46099</v>
      </c>
      <c r="B77" s="1">
        <v>46099</v>
      </c>
      <c r="C77" t="s">
        <v>285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300</v>
      </c>
      <c r="J77" t="s">
        <v>301</v>
      </c>
      <c r="M77" t="s">
        <v>117</v>
      </c>
      <c r="O77" t="s">
        <v>118</v>
      </c>
      <c r="P77" t="s">
        <v>119</v>
      </c>
      <c r="Q77" t="s">
        <v>288</v>
      </c>
      <c r="R77" t="s">
        <v>58</v>
      </c>
      <c r="S77" s="1">
        <v>46054</v>
      </c>
      <c r="U77" t="s">
        <v>51</v>
      </c>
      <c r="X77" t="s">
        <v>52</v>
      </c>
      <c r="AF77" s="2">
        <v>175</v>
      </c>
      <c r="AG77" s="2">
        <v>0</v>
      </c>
      <c r="AJ77" s="2">
        <v>131.25</v>
      </c>
    </row>
    <row r="78" spans="1:38" x14ac:dyDescent="0.25">
      <c r="A78" s="1">
        <v>46099</v>
      </c>
      <c r="B78" s="1">
        <v>46099</v>
      </c>
      <c r="C78" t="s">
        <v>285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302</v>
      </c>
      <c r="J78" t="s">
        <v>303</v>
      </c>
      <c r="O78" t="s">
        <v>304</v>
      </c>
      <c r="P78" t="s">
        <v>305</v>
      </c>
      <c r="Q78" t="s">
        <v>288</v>
      </c>
      <c r="R78" t="s">
        <v>157</v>
      </c>
      <c r="S78" s="1">
        <v>46023</v>
      </c>
      <c r="U78" t="s">
        <v>51</v>
      </c>
      <c r="X78" t="s">
        <v>52</v>
      </c>
      <c r="AF78" s="2">
        <v>25</v>
      </c>
      <c r="AG78" s="2">
        <v>0</v>
      </c>
      <c r="AJ78" s="2">
        <v>25</v>
      </c>
    </row>
    <row r="79" spans="1:38" x14ac:dyDescent="0.25">
      <c r="A79" s="1">
        <v>46099</v>
      </c>
      <c r="B79" s="1">
        <v>46099</v>
      </c>
      <c r="C79" t="s">
        <v>285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306</v>
      </c>
      <c r="J79" t="s">
        <v>307</v>
      </c>
      <c r="M79" t="s">
        <v>83</v>
      </c>
      <c r="O79" t="s">
        <v>308</v>
      </c>
      <c r="P79" t="s">
        <v>309</v>
      </c>
      <c r="Q79" t="s">
        <v>288</v>
      </c>
      <c r="R79" t="s">
        <v>147</v>
      </c>
      <c r="S79" s="1">
        <v>46082</v>
      </c>
      <c r="U79" t="s">
        <v>51</v>
      </c>
      <c r="X79" t="s">
        <v>52</v>
      </c>
      <c r="AF79" s="2">
        <v>20.83</v>
      </c>
      <c r="AG79" s="2">
        <v>0</v>
      </c>
      <c r="AJ79" s="2">
        <v>20.83</v>
      </c>
    </row>
    <row r="80" spans="1:38" x14ac:dyDescent="0.25">
      <c r="A80" s="1">
        <v>46099</v>
      </c>
      <c r="B80" s="1">
        <v>46099</v>
      </c>
      <c r="C80" t="s">
        <v>285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310</v>
      </c>
      <c r="J80" t="s">
        <v>311</v>
      </c>
      <c r="M80" t="s">
        <v>46</v>
      </c>
      <c r="O80" t="s">
        <v>73</v>
      </c>
      <c r="P80" t="s">
        <v>74</v>
      </c>
      <c r="Q80" t="s">
        <v>288</v>
      </c>
      <c r="R80" t="s">
        <v>157</v>
      </c>
      <c r="S80" s="1">
        <v>46023</v>
      </c>
      <c r="U80" t="s">
        <v>51</v>
      </c>
      <c r="X80" t="s">
        <v>52</v>
      </c>
      <c r="AF80" s="2">
        <v>25</v>
      </c>
      <c r="AG80" s="2">
        <v>0</v>
      </c>
      <c r="AJ80" s="2">
        <v>25</v>
      </c>
    </row>
    <row r="81" spans="1:36" x14ac:dyDescent="0.25">
      <c r="A81" s="1">
        <v>46099</v>
      </c>
      <c r="B81" s="1">
        <v>46099</v>
      </c>
      <c r="C81" t="s">
        <v>285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312</v>
      </c>
      <c r="J81" t="s">
        <v>161</v>
      </c>
      <c r="M81" t="s">
        <v>117</v>
      </c>
      <c r="O81" t="s">
        <v>162</v>
      </c>
      <c r="P81" t="s">
        <v>163</v>
      </c>
      <c r="Q81" t="s">
        <v>288</v>
      </c>
      <c r="R81" t="s">
        <v>157</v>
      </c>
      <c r="S81" s="1">
        <v>46023</v>
      </c>
      <c r="U81" t="s">
        <v>51</v>
      </c>
      <c r="X81" t="s">
        <v>52</v>
      </c>
      <c r="AF81" s="2">
        <v>25</v>
      </c>
      <c r="AG81" s="2">
        <v>0</v>
      </c>
      <c r="AJ81" s="2">
        <v>25</v>
      </c>
    </row>
    <row r="82" spans="1:36" x14ac:dyDescent="0.25">
      <c r="A82" s="1">
        <v>46099</v>
      </c>
      <c r="B82" s="1">
        <v>46099</v>
      </c>
      <c r="C82" t="s">
        <v>285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313</v>
      </c>
      <c r="J82" t="s">
        <v>314</v>
      </c>
      <c r="M82" t="s">
        <v>180</v>
      </c>
      <c r="O82" t="s">
        <v>181</v>
      </c>
      <c r="P82" t="s">
        <v>182</v>
      </c>
      <c r="Q82" t="s">
        <v>288</v>
      </c>
      <c r="R82" t="s">
        <v>147</v>
      </c>
      <c r="S82" s="1">
        <v>46054</v>
      </c>
      <c r="U82" t="s">
        <v>51</v>
      </c>
      <c r="X82" t="s">
        <v>52</v>
      </c>
      <c r="AF82" s="2">
        <v>22.92</v>
      </c>
      <c r="AG82" s="2">
        <v>0</v>
      </c>
      <c r="AJ82" s="2">
        <v>22.92</v>
      </c>
    </row>
    <row r="83" spans="1:36" x14ac:dyDescent="0.25">
      <c r="A83" s="1">
        <v>46099</v>
      </c>
      <c r="B83" s="1">
        <v>46099</v>
      </c>
      <c r="C83" t="s">
        <v>285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315</v>
      </c>
      <c r="J83" t="s">
        <v>203</v>
      </c>
      <c r="M83" t="s">
        <v>198</v>
      </c>
      <c r="O83" t="s">
        <v>204</v>
      </c>
      <c r="P83" t="s">
        <v>205</v>
      </c>
      <c r="Q83" t="s">
        <v>288</v>
      </c>
      <c r="R83" t="s">
        <v>206</v>
      </c>
      <c r="S83" s="1">
        <v>46023</v>
      </c>
      <c r="U83" t="s">
        <v>51</v>
      </c>
      <c r="X83" t="s">
        <v>52</v>
      </c>
      <c r="AF83" s="2">
        <v>50</v>
      </c>
      <c r="AG83" s="2">
        <v>0</v>
      </c>
      <c r="AJ83" s="2">
        <v>50</v>
      </c>
    </row>
    <row r="84" spans="1:36" x14ac:dyDescent="0.25">
      <c r="A84" s="1">
        <v>46099</v>
      </c>
      <c r="B84" s="1">
        <v>46099</v>
      </c>
      <c r="C84" t="s">
        <v>285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316</v>
      </c>
      <c r="J84" t="s">
        <v>208</v>
      </c>
      <c r="M84" t="s">
        <v>209</v>
      </c>
      <c r="O84" t="s">
        <v>210</v>
      </c>
      <c r="P84" t="s">
        <v>211</v>
      </c>
      <c r="Q84" t="s">
        <v>288</v>
      </c>
      <c r="R84" t="s">
        <v>220</v>
      </c>
      <c r="S84" s="1">
        <v>46082</v>
      </c>
      <c r="U84" t="s">
        <v>51</v>
      </c>
      <c r="X84" t="s">
        <v>52</v>
      </c>
      <c r="AF84" s="2">
        <v>289.17</v>
      </c>
      <c r="AG84" s="2">
        <v>0</v>
      </c>
      <c r="AJ84" s="2">
        <v>289.17</v>
      </c>
    </row>
    <row r="85" spans="1:36" x14ac:dyDescent="0.25">
      <c r="A85" s="1">
        <v>46099</v>
      </c>
      <c r="B85" s="1">
        <v>46099</v>
      </c>
      <c r="C85" t="s">
        <v>285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317</v>
      </c>
      <c r="J85" t="s">
        <v>214</v>
      </c>
      <c r="M85" t="s">
        <v>46</v>
      </c>
      <c r="O85" t="s">
        <v>215</v>
      </c>
      <c r="P85" t="s">
        <v>216</v>
      </c>
      <c r="Q85" t="s">
        <v>288</v>
      </c>
      <c r="R85" t="s">
        <v>220</v>
      </c>
      <c r="S85" s="1">
        <v>46113</v>
      </c>
      <c r="U85" t="s">
        <v>51</v>
      </c>
      <c r="X85" t="s">
        <v>52</v>
      </c>
      <c r="AF85" s="2">
        <v>260.25</v>
      </c>
      <c r="AG85" s="2">
        <v>0</v>
      </c>
      <c r="AJ85" s="2">
        <v>260.25</v>
      </c>
    </row>
    <row r="86" spans="1:36" x14ac:dyDescent="0.25">
      <c r="A86" s="1">
        <v>46099</v>
      </c>
      <c r="B86" s="1">
        <v>46099</v>
      </c>
      <c r="C86" t="s">
        <v>285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318</v>
      </c>
      <c r="J86" t="s">
        <v>319</v>
      </c>
      <c r="M86" t="s">
        <v>209</v>
      </c>
      <c r="O86" t="s">
        <v>304</v>
      </c>
      <c r="P86" t="s">
        <v>305</v>
      </c>
      <c r="Q86" t="s">
        <v>288</v>
      </c>
      <c r="R86" t="s">
        <v>217</v>
      </c>
      <c r="S86" s="1">
        <v>46023</v>
      </c>
      <c r="U86" t="s">
        <v>51</v>
      </c>
      <c r="X86" t="s">
        <v>52</v>
      </c>
      <c r="AF86" s="2">
        <v>694</v>
      </c>
      <c r="AG86" s="2">
        <v>0</v>
      </c>
      <c r="AJ86" s="2">
        <v>694</v>
      </c>
    </row>
    <row r="87" spans="1:36" x14ac:dyDescent="0.25">
      <c r="A87" s="1">
        <v>46099</v>
      </c>
      <c r="B87" s="1">
        <v>46099</v>
      </c>
      <c r="C87" t="s">
        <v>285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320</v>
      </c>
      <c r="J87" t="s">
        <v>319</v>
      </c>
      <c r="M87" t="s">
        <v>209</v>
      </c>
      <c r="O87" t="s">
        <v>304</v>
      </c>
      <c r="P87" t="s">
        <v>305</v>
      </c>
      <c r="Q87" t="s">
        <v>288</v>
      </c>
      <c r="R87" t="s">
        <v>223</v>
      </c>
      <c r="S87" s="1">
        <v>46023</v>
      </c>
      <c r="U87" t="s">
        <v>51</v>
      </c>
      <c r="X87" t="s">
        <v>52</v>
      </c>
      <c r="AF87" s="2">
        <v>175</v>
      </c>
      <c r="AG87" s="2">
        <v>0</v>
      </c>
      <c r="AJ87" s="2">
        <v>175</v>
      </c>
    </row>
    <row r="88" spans="1:36" x14ac:dyDescent="0.25">
      <c r="A88" s="1">
        <v>46099</v>
      </c>
      <c r="B88" s="1">
        <v>46099</v>
      </c>
      <c r="C88" t="s">
        <v>285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321</v>
      </c>
      <c r="J88" t="s">
        <v>225</v>
      </c>
      <c r="M88" t="s">
        <v>226</v>
      </c>
      <c r="O88" t="s">
        <v>210</v>
      </c>
      <c r="P88" t="s">
        <v>211</v>
      </c>
      <c r="Q88" t="s">
        <v>288</v>
      </c>
      <c r="R88" t="s">
        <v>220</v>
      </c>
      <c r="S88" s="1">
        <v>46082</v>
      </c>
      <c r="U88" t="s">
        <v>51</v>
      </c>
      <c r="X88" t="s">
        <v>52</v>
      </c>
      <c r="AF88" s="2">
        <v>289.17</v>
      </c>
      <c r="AG88" s="2">
        <v>0</v>
      </c>
      <c r="AJ88" s="2">
        <v>289.17</v>
      </c>
    </row>
    <row r="89" spans="1:36" x14ac:dyDescent="0.25">
      <c r="A89" s="1">
        <v>46099</v>
      </c>
      <c r="B89" s="1">
        <v>46099</v>
      </c>
      <c r="C89" t="s">
        <v>285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322</v>
      </c>
      <c r="J89" t="s">
        <v>228</v>
      </c>
      <c r="M89" t="s">
        <v>46</v>
      </c>
      <c r="O89" t="s">
        <v>73</v>
      </c>
      <c r="P89" t="s">
        <v>74</v>
      </c>
      <c r="Q89" t="s">
        <v>288</v>
      </c>
      <c r="R89" t="s">
        <v>220</v>
      </c>
      <c r="S89" s="1">
        <v>46143</v>
      </c>
      <c r="U89" t="s">
        <v>51</v>
      </c>
      <c r="X89" t="s">
        <v>52</v>
      </c>
      <c r="AF89" s="2">
        <v>231.33</v>
      </c>
      <c r="AG89" s="2">
        <v>0</v>
      </c>
      <c r="AJ89" s="2">
        <v>231.33</v>
      </c>
    </row>
    <row r="90" spans="1:36" x14ac:dyDescent="0.25">
      <c r="A90" s="1">
        <v>46099</v>
      </c>
      <c r="B90" s="1">
        <v>46099</v>
      </c>
      <c r="C90" t="s">
        <v>285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327</v>
      </c>
      <c r="J90" t="s">
        <v>233</v>
      </c>
      <c r="M90" t="s">
        <v>234</v>
      </c>
      <c r="O90" t="s">
        <v>73</v>
      </c>
      <c r="P90" t="s">
        <v>74</v>
      </c>
      <c r="Q90" t="s">
        <v>288</v>
      </c>
      <c r="R90" t="s">
        <v>220</v>
      </c>
      <c r="S90" s="1">
        <v>46023</v>
      </c>
      <c r="U90" t="s">
        <v>51</v>
      </c>
      <c r="X90" t="s">
        <v>52</v>
      </c>
      <c r="AF90" s="2">
        <v>347</v>
      </c>
      <c r="AG90" s="2">
        <v>0</v>
      </c>
      <c r="AJ90" s="2">
        <v>347</v>
      </c>
    </row>
    <row r="91" spans="1:36" x14ac:dyDescent="0.25">
      <c r="A91" s="1">
        <v>46099</v>
      </c>
      <c r="B91" s="1">
        <v>46099</v>
      </c>
      <c r="C91" t="s">
        <v>285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328</v>
      </c>
      <c r="J91" t="s">
        <v>233</v>
      </c>
      <c r="M91" t="s">
        <v>234</v>
      </c>
      <c r="O91" t="s">
        <v>73</v>
      </c>
      <c r="P91" t="s">
        <v>74</v>
      </c>
      <c r="Q91" t="s">
        <v>288</v>
      </c>
      <c r="R91" t="s">
        <v>223</v>
      </c>
      <c r="S91" s="1">
        <v>46023</v>
      </c>
      <c r="U91" t="s">
        <v>51</v>
      </c>
      <c r="X91" t="s">
        <v>52</v>
      </c>
      <c r="AF91" s="2">
        <v>175</v>
      </c>
      <c r="AG91" s="2">
        <v>0</v>
      </c>
      <c r="AJ91" s="2">
        <v>175</v>
      </c>
    </row>
    <row r="92" spans="1:36" x14ac:dyDescent="0.25">
      <c r="A92" s="1">
        <v>46099</v>
      </c>
      <c r="B92" s="1">
        <v>46099</v>
      </c>
      <c r="C92" t="s">
        <v>285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329</v>
      </c>
      <c r="J92" t="s">
        <v>238</v>
      </c>
      <c r="M92" t="s">
        <v>209</v>
      </c>
      <c r="O92" t="s">
        <v>210</v>
      </c>
      <c r="P92" t="s">
        <v>211</v>
      </c>
      <c r="Q92" t="s">
        <v>288</v>
      </c>
      <c r="R92" t="s">
        <v>220</v>
      </c>
      <c r="S92" s="1">
        <v>46082</v>
      </c>
      <c r="U92" t="s">
        <v>51</v>
      </c>
      <c r="X92" t="s">
        <v>52</v>
      </c>
      <c r="AF92" s="2">
        <v>289.17</v>
      </c>
      <c r="AG92" s="2">
        <v>0</v>
      </c>
      <c r="AJ92" s="2">
        <v>289.17</v>
      </c>
    </row>
    <row r="93" spans="1:36" x14ac:dyDescent="0.25">
      <c r="A93" s="1">
        <v>46099</v>
      </c>
      <c r="B93" s="1">
        <v>46099</v>
      </c>
      <c r="C93" t="s">
        <v>285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330</v>
      </c>
      <c r="J93" t="s">
        <v>240</v>
      </c>
      <c r="M93" t="s">
        <v>46</v>
      </c>
      <c r="O93" t="s">
        <v>241</v>
      </c>
      <c r="P93" t="s">
        <v>242</v>
      </c>
      <c r="Q93" t="s">
        <v>288</v>
      </c>
      <c r="R93" t="s">
        <v>220</v>
      </c>
      <c r="S93" s="1">
        <v>46082</v>
      </c>
      <c r="U93" t="s">
        <v>51</v>
      </c>
      <c r="X93" t="s">
        <v>52</v>
      </c>
      <c r="AF93" s="2">
        <v>289.17</v>
      </c>
      <c r="AG93" s="2">
        <v>0</v>
      </c>
      <c r="AJ93" s="2">
        <v>289.17</v>
      </c>
    </row>
    <row r="94" spans="1:36" x14ac:dyDescent="0.25">
      <c r="A94" s="1">
        <v>46099</v>
      </c>
      <c r="B94" s="1">
        <v>46099</v>
      </c>
      <c r="C94" t="s">
        <v>285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331</v>
      </c>
      <c r="J94" t="s">
        <v>244</v>
      </c>
      <c r="M94" t="s">
        <v>55</v>
      </c>
      <c r="O94" t="s">
        <v>73</v>
      </c>
      <c r="P94" t="s">
        <v>74</v>
      </c>
      <c r="Q94" t="s">
        <v>288</v>
      </c>
      <c r="R94" t="s">
        <v>332</v>
      </c>
      <c r="S94" s="1">
        <v>46143</v>
      </c>
      <c r="U94" t="s">
        <v>51</v>
      </c>
      <c r="X94" t="s">
        <v>52</v>
      </c>
      <c r="AF94" s="2">
        <v>135.33000000000001</v>
      </c>
      <c r="AG94" s="2">
        <v>0</v>
      </c>
      <c r="AJ94" s="2">
        <v>135.33000000000001</v>
      </c>
    </row>
    <row r="95" spans="1:36" x14ac:dyDescent="0.25">
      <c r="A95" s="1">
        <v>46099</v>
      </c>
      <c r="B95" s="1">
        <v>46099</v>
      </c>
      <c r="C95" t="s">
        <v>285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333</v>
      </c>
      <c r="J95" t="s">
        <v>247</v>
      </c>
      <c r="M95" t="s">
        <v>234</v>
      </c>
      <c r="O95" t="s">
        <v>248</v>
      </c>
      <c r="P95" t="s">
        <v>249</v>
      </c>
      <c r="Q95" t="s">
        <v>288</v>
      </c>
      <c r="R95" t="s">
        <v>220</v>
      </c>
      <c r="S95" s="1">
        <v>46082</v>
      </c>
      <c r="U95" t="s">
        <v>51</v>
      </c>
      <c r="X95" t="s">
        <v>52</v>
      </c>
      <c r="AF95" s="2">
        <v>289.17</v>
      </c>
      <c r="AG95" s="2">
        <v>0</v>
      </c>
      <c r="AJ95" s="2">
        <v>289.17</v>
      </c>
    </row>
    <row r="96" spans="1:36" x14ac:dyDescent="0.25">
      <c r="A96" s="1">
        <v>46099</v>
      </c>
      <c r="B96" s="1">
        <v>46099</v>
      </c>
      <c r="C96" t="s">
        <v>285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334</v>
      </c>
      <c r="J96" t="s">
        <v>335</v>
      </c>
      <c r="M96" t="s">
        <v>46</v>
      </c>
      <c r="O96" t="s">
        <v>77</v>
      </c>
      <c r="P96" t="s">
        <v>78</v>
      </c>
      <c r="Q96" t="s">
        <v>288</v>
      </c>
      <c r="R96" t="s">
        <v>332</v>
      </c>
      <c r="S96" s="1">
        <v>46054</v>
      </c>
      <c r="U96" t="s">
        <v>51</v>
      </c>
      <c r="X96" t="s">
        <v>52</v>
      </c>
      <c r="AF96" s="2">
        <v>186.08</v>
      </c>
      <c r="AG96" s="2">
        <v>0</v>
      </c>
      <c r="AJ96" s="2">
        <v>186.08</v>
      </c>
    </row>
    <row r="97" spans="1:36" x14ac:dyDescent="0.25">
      <c r="A97" s="1">
        <v>46099</v>
      </c>
      <c r="B97" s="1">
        <v>46099</v>
      </c>
      <c r="C97" t="s">
        <v>285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336</v>
      </c>
      <c r="J97" t="s">
        <v>335</v>
      </c>
      <c r="M97" t="s">
        <v>46</v>
      </c>
      <c r="O97" t="s">
        <v>77</v>
      </c>
      <c r="P97" t="s">
        <v>78</v>
      </c>
      <c r="Q97" t="s">
        <v>288</v>
      </c>
      <c r="R97" t="s">
        <v>337</v>
      </c>
      <c r="S97" s="1">
        <v>46054</v>
      </c>
      <c r="U97" t="s">
        <v>51</v>
      </c>
      <c r="X97" t="s">
        <v>52</v>
      </c>
      <c r="AF97" s="2">
        <v>113</v>
      </c>
      <c r="AG97" s="2">
        <v>0</v>
      </c>
      <c r="AJ97" s="2">
        <v>113</v>
      </c>
    </row>
    <row r="98" spans="1:36" x14ac:dyDescent="0.25">
      <c r="A98" s="1">
        <v>46099</v>
      </c>
      <c r="B98" s="1">
        <v>46099</v>
      </c>
      <c r="C98" t="s">
        <v>285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338</v>
      </c>
      <c r="J98" t="s">
        <v>339</v>
      </c>
      <c r="M98" t="s">
        <v>209</v>
      </c>
      <c r="O98" t="s">
        <v>304</v>
      </c>
      <c r="P98" t="s">
        <v>305</v>
      </c>
      <c r="Q98" t="s">
        <v>288</v>
      </c>
      <c r="R98" t="s">
        <v>217</v>
      </c>
      <c r="S98" s="1">
        <v>46023</v>
      </c>
      <c r="U98" t="s">
        <v>51</v>
      </c>
      <c r="X98" t="s">
        <v>52</v>
      </c>
      <c r="AF98" s="2">
        <v>694</v>
      </c>
      <c r="AG98" s="2">
        <v>0</v>
      </c>
      <c r="AJ98" s="2">
        <v>694</v>
      </c>
    </row>
    <row r="99" spans="1:36" x14ac:dyDescent="0.25">
      <c r="A99" s="1">
        <v>46099</v>
      </c>
      <c r="B99" s="1">
        <v>46099</v>
      </c>
      <c r="C99" t="s">
        <v>285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340</v>
      </c>
      <c r="J99" t="s">
        <v>339</v>
      </c>
      <c r="M99" t="s">
        <v>209</v>
      </c>
      <c r="O99" t="s">
        <v>304</v>
      </c>
      <c r="P99" t="s">
        <v>305</v>
      </c>
      <c r="Q99" t="s">
        <v>288</v>
      </c>
      <c r="R99" t="s">
        <v>223</v>
      </c>
      <c r="S99" s="1">
        <v>46023</v>
      </c>
      <c r="U99" t="s">
        <v>51</v>
      </c>
      <c r="X99" t="s">
        <v>52</v>
      </c>
      <c r="AF99" s="2">
        <v>175</v>
      </c>
      <c r="AG99" s="2">
        <v>0</v>
      </c>
      <c r="AJ99" s="2">
        <v>175</v>
      </c>
    </row>
    <row r="100" spans="1:36" x14ac:dyDescent="0.25">
      <c r="A100" s="1">
        <v>46099</v>
      </c>
      <c r="B100" s="1">
        <v>46099</v>
      </c>
      <c r="C100" t="s">
        <v>285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341</v>
      </c>
      <c r="J100" t="s">
        <v>251</v>
      </c>
      <c r="M100" t="s">
        <v>55</v>
      </c>
      <c r="O100" t="s">
        <v>252</v>
      </c>
      <c r="P100" t="s">
        <v>253</v>
      </c>
      <c r="Q100" t="s">
        <v>288</v>
      </c>
      <c r="R100" t="s">
        <v>332</v>
      </c>
      <c r="S100" s="1">
        <v>46082</v>
      </c>
      <c r="U100" t="s">
        <v>51</v>
      </c>
      <c r="X100" t="s">
        <v>52</v>
      </c>
      <c r="AF100" s="2">
        <v>169.17</v>
      </c>
      <c r="AG100" s="2">
        <v>0</v>
      </c>
      <c r="AJ100" s="2">
        <v>169.17</v>
      </c>
    </row>
    <row r="101" spans="1:36" x14ac:dyDescent="0.25">
      <c r="A101" s="1">
        <v>46099</v>
      </c>
      <c r="B101" s="1">
        <v>46099</v>
      </c>
      <c r="C101" t="s">
        <v>285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342</v>
      </c>
      <c r="J101" t="s">
        <v>251</v>
      </c>
      <c r="M101" t="s">
        <v>55</v>
      </c>
      <c r="O101" t="s">
        <v>252</v>
      </c>
      <c r="P101" t="s">
        <v>253</v>
      </c>
      <c r="Q101" t="s">
        <v>288</v>
      </c>
      <c r="R101" t="s">
        <v>343</v>
      </c>
      <c r="S101" s="1">
        <v>46082</v>
      </c>
      <c r="U101" t="s">
        <v>51</v>
      </c>
      <c r="X101" t="s">
        <v>52</v>
      </c>
      <c r="AF101" s="2">
        <v>41.67</v>
      </c>
      <c r="AG101" s="2">
        <v>0</v>
      </c>
      <c r="AJ101" s="2">
        <v>41.67</v>
      </c>
    </row>
    <row r="102" spans="1:36" x14ac:dyDescent="0.25">
      <c r="A102" s="1">
        <v>46099</v>
      </c>
      <c r="B102" s="1">
        <v>46099</v>
      </c>
      <c r="C102" t="s">
        <v>285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344</v>
      </c>
      <c r="J102" t="s">
        <v>345</v>
      </c>
      <c r="M102" t="s">
        <v>346</v>
      </c>
      <c r="O102" t="s">
        <v>210</v>
      </c>
      <c r="P102" t="s">
        <v>211</v>
      </c>
      <c r="Q102" t="s">
        <v>288</v>
      </c>
      <c r="R102" t="s">
        <v>347</v>
      </c>
      <c r="S102" s="1">
        <v>46023</v>
      </c>
      <c r="U102" t="s">
        <v>51</v>
      </c>
      <c r="X102" t="s">
        <v>52</v>
      </c>
      <c r="AF102" s="2">
        <v>88.47</v>
      </c>
      <c r="AG102" s="2">
        <v>0</v>
      </c>
      <c r="AJ102" s="2">
        <v>88.47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F704-6E43-48F8-A1EE-D6D61FA6786F}">
  <dimension ref="A1:O102"/>
  <sheetViews>
    <sheetView topLeftCell="B100" workbookViewId="0">
      <selection activeCell="N2" sqref="N2:N101"/>
    </sheetView>
  </sheetViews>
  <sheetFormatPr defaultRowHeight="15" x14ac:dyDescent="0.25"/>
  <cols>
    <col min="1" max="2" width="16.85546875" customWidth="1"/>
    <col min="3" max="3" width="19.28515625" customWidth="1"/>
    <col min="4" max="4" width="5.5703125" bestFit="1" customWidth="1"/>
    <col min="5" max="5" width="9.7109375" customWidth="1"/>
    <col min="6" max="6" width="27.28515625" bestFit="1" customWidth="1"/>
    <col min="7" max="7" width="31.28515625" customWidth="1"/>
    <col min="8" max="8" width="10.140625" bestFit="1" customWidth="1"/>
    <col min="9" max="9" width="10.28515625" customWidth="1"/>
    <col min="10" max="10" width="6.7109375" customWidth="1"/>
    <col min="11" max="11" width="10.7109375" customWidth="1"/>
    <col min="12" max="12" width="14" customWidth="1"/>
    <col min="13" max="13" width="58.28515625" bestFit="1" customWidth="1"/>
    <col min="14" max="14" width="23.425781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25</v>
      </c>
      <c r="J1" t="s">
        <v>26</v>
      </c>
      <c r="K1" t="s">
        <v>28</v>
      </c>
      <c r="L1" t="s">
        <v>37</v>
      </c>
    </row>
    <row r="2" spans="1:15" x14ac:dyDescent="0.25">
      <c r="A2" s="5">
        <v>954650912</v>
      </c>
      <c r="B2" s="5" t="str">
        <f>CONCATENATE(A2,12)</f>
        <v>95465091212</v>
      </c>
      <c r="C2" s="6" t="s">
        <v>240</v>
      </c>
      <c r="D2" s="6" t="s">
        <v>46</v>
      </c>
      <c r="E2" s="6">
        <v>16912722</v>
      </c>
      <c r="F2" s="6" t="s">
        <v>242</v>
      </c>
      <c r="G2" s="6" t="s">
        <v>217</v>
      </c>
      <c r="H2" s="7">
        <v>46082</v>
      </c>
      <c r="I2" s="8">
        <v>694</v>
      </c>
      <c r="J2" s="6">
        <v>1</v>
      </c>
      <c r="K2" s="8">
        <v>694</v>
      </c>
      <c r="L2" s="6"/>
      <c r="M2" s="6" t="s">
        <v>394</v>
      </c>
      <c r="N2" s="6" t="s">
        <v>406</v>
      </c>
      <c r="O2" s="6"/>
    </row>
    <row r="3" spans="1:15" x14ac:dyDescent="0.25">
      <c r="A3" s="5">
        <v>954650912</v>
      </c>
      <c r="B3" s="5" t="str">
        <f>CONCATENATE(A3,11)</f>
        <v>95465091211</v>
      </c>
      <c r="C3" s="6" t="s">
        <v>240</v>
      </c>
      <c r="D3" s="6" t="s">
        <v>46</v>
      </c>
      <c r="E3" s="6">
        <v>16912722</v>
      </c>
      <c r="F3" s="6" t="s">
        <v>242</v>
      </c>
      <c r="G3" s="6" t="s">
        <v>220</v>
      </c>
      <c r="H3" s="7">
        <v>46082</v>
      </c>
      <c r="I3" s="6"/>
      <c r="J3" s="6"/>
      <c r="K3" s="6">
        <v>-289.17</v>
      </c>
      <c r="L3" s="6"/>
      <c r="M3" s="6" t="s">
        <v>396</v>
      </c>
      <c r="N3" s="6" t="s">
        <v>402</v>
      </c>
      <c r="O3" s="6"/>
    </row>
    <row r="4" spans="1:15" x14ac:dyDescent="0.25">
      <c r="A4" s="5">
        <v>967468809</v>
      </c>
      <c r="B4" s="5" t="str">
        <f>CONCATENATE(A4,13)</f>
        <v>96746880913</v>
      </c>
      <c r="C4" s="6" t="s">
        <v>335</v>
      </c>
      <c r="D4" s="6" t="s">
        <v>46</v>
      </c>
      <c r="E4" s="6" t="s">
        <v>408</v>
      </c>
      <c r="F4" s="6" t="s">
        <v>78</v>
      </c>
      <c r="G4" s="6" t="s">
        <v>332</v>
      </c>
      <c r="H4" s="7">
        <v>46054</v>
      </c>
      <c r="I4" s="6"/>
      <c r="J4" s="6"/>
      <c r="K4" s="6">
        <v>-186.08</v>
      </c>
      <c r="L4" s="6"/>
      <c r="M4" s="6" t="s">
        <v>398</v>
      </c>
      <c r="N4" s="6" t="s">
        <v>397</v>
      </c>
      <c r="O4" s="6"/>
    </row>
    <row r="5" spans="1:15" x14ac:dyDescent="0.25">
      <c r="A5" s="5" t="s">
        <v>379</v>
      </c>
      <c r="B5" s="5" t="str">
        <f>CONCATENATE(A5,1)</f>
        <v>A044465651</v>
      </c>
      <c r="C5" s="6" t="s">
        <v>274</v>
      </c>
      <c r="D5" s="6" t="s">
        <v>180</v>
      </c>
      <c r="E5" s="6">
        <v>17425766</v>
      </c>
      <c r="F5" s="6" t="s">
        <v>276</v>
      </c>
      <c r="G5" s="6" t="s">
        <v>277</v>
      </c>
      <c r="H5" s="7">
        <v>46113</v>
      </c>
      <c r="I5" s="8">
        <v>36</v>
      </c>
      <c r="J5" s="6">
        <v>9</v>
      </c>
      <c r="K5" s="8">
        <v>324</v>
      </c>
      <c r="L5" s="6"/>
      <c r="M5" s="6" t="s">
        <v>277</v>
      </c>
      <c r="N5" s="6"/>
      <c r="O5" s="6"/>
    </row>
    <row r="6" spans="1:15" x14ac:dyDescent="0.25">
      <c r="A6" s="5">
        <v>917471347</v>
      </c>
      <c r="B6" s="5" t="str">
        <f>CONCATENATE(A6,12)</f>
        <v>91747134712</v>
      </c>
      <c r="C6" s="6" t="s">
        <v>319</v>
      </c>
      <c r="D6" s="6" t="s">
        <v>209</v>
      </c>
      <c r="E6" s="6">
        <v>21435997</v>
      </c>
      <c r="F6" s="6" t="s">
        <v>305</v>
      </c>
      <c r="G6" s="6" t="s">
        <v>217</v>
      </c>
      <c r="H6" s="7">
        <v>46023</v>
      </c>
      <c r="I6" s="6"/>
      <c r="J6" s="6"/>
      <c r="K6" s="6">
        <v>-694</v>
      </c>
      <c r="L6" s="6"/>
      <c r="M6" s="6" t="s">
        <v>394</v>
      </c>
      <c r="N6" s="6" t="s">
        <v>406</v>
      </c>
      <c r="O6" s="6"/>
    </row>
    <row r="7" spans="1:15" x14ac:dyDescent="0.25">
      <c r="A7" s="5">
        <v>979478312</v>
      </c>
      <c r="B7" s="5" t="str">
        <f>CONCATENATE(A7,12)</f>
        <v>97947831212</v>
      </c>
      <c r="C7" s="6" t="s">
        <v>339</v>
      </c>
      <c r="D7" s="6" t="s">
        <v>209</v>
      </c>
      <c r="E7" s="6">
        <v>21435997</v>
      </c>
      <c r="F7" s="6" t="s">
        <v>305</v>
      </c>
      <c r="G7" s="6" t="s">
        <v>217</v>
      </c>
      <c r="H7" s="7">
        <v>46023</v>
      </c>
      <c r="I7" s="6"/>
      <c r="J7" s="6"/>
      <c r="K7" s="6">
        <v>-694</v>
      </c>
      <c r="L7" s="6"/>
      <c r="M7" s="6" t="s">
        <v>394</v>
      </c>
      <c r="N7" s="6" t="s">
        <v>406</v>
      </c>
      <c r="O7" s="6"/>
    </row>
    <row r="8" spans="1:15" x14ac:dyDescent="0.25">
      <c r="A8" s="5" t="s">
        <v>380</v>
      </c>
      <c r="B8" s="5" t="str">
        <f>CONCATENATE(A8,1)</f>
        <v>A044465961</v>
      </c>
      <c r="C8" s="6" t="s">
        <v>279</v>
      </c>
      <c r="D8" s="6" t="s">
        <v>46</v>
      </c>
      <c r="E8" s="6">
        <v>8325282</v>
      </c>
      <c r="F8" s="6" t="s">
        <v>100</v>
      </c>
      <c r="G8" s="6" t="s">
        <v>280</v>
      </c>
      <c r="H8" s="7">
        <v>46113</v>
      </c>
      <c r="I8" s="8">
        <v>4.92</v>
      </c>
      <c r="J8" s="6">
        <v>9</v>
      </c>
      <c r="K8" s="8">
        <v>44.28</v>
      </c>
      <c r="L8" s="6"/>
      <c r="M8" s="6" t="s">
        <v>280</v>
      </c>
      <c r="N8" s="6"/>
      <c r="O8" s="6"/>
    </row>
    <row r="9" spans="1:15" x14ac:dyDescent="0.25">
      <c r="A9" s="5" t="s">
        <v>377</v>
      </c>
      <c r="B9" s="5" t="str">
        <f>CONCATENATE(A9,1)</f>
        <v>A044442211</v>
      </c>
      <c r="C9" s="6" t="s">
        <v>269</v>
      </c>
      <c r="D9" s="6" t="s">
        <v>94</v>
      </c>
      <c r="E9" s="6">
        <v>16849453</v>
      </c>
      <c r="F9" s="6" t="s">
        <v>96</v>
      </c>
      <c r="G9" s="6" t="s">
        <v>270</v>
      </c>
      <c r="H9" s="7">
        <v>46113</v>
      </c>
      <c r="I9" s="8">
        <v>31.02</v>
      </c>
      <c r="J9" s="6">
        <v>9</v>
      </c>
      <c r="K9" s="8">
        <v>279.18</v>
      </c>
      <c r="L9" s="6"/>
      <c r="M9" s="6" t="s">
        <v>270</v>
      </c>
      <c r="N9" s="6"/>
      <c r="O9" s="6"/>
    </row>
    <row r="10" spans="1:15" x14ac:dyDescent="0.25">
      <c r="A10" s="5">
        <v>963004009</v>
      </c>
      <c r="B10" s="5" t="str">
        <f>CONCATENATE(A10,13)</f>
        <v>96300400913</v>
      </c>
      <c r="C10" s="6" t="s">
        <v>244</v>
      </c>
      <c r="D10" s="6" t="s">
        <v>55</v>
      </c>
      <c r="E10" s="6">
        <v>9213293</v>
      </c>
      <c r="F10" s="6" t="s">
        <v>74</v>
      </c>
      <c r="G10" s="6" t="s">
        <v>332</v>
      </c>
      <c r="H10" s="7">
        <v>46143</v>
      </c>
      <c r="I10" s="6"/>
      <c r="J10" s="6"/>
      <c r="K10" s="6">
        <v>-135.33000000000001</v>
      </c>
      <c r="L10" s="6"/>
      <c r="M10" s="6" t="s">
        <v>395</v>
      </c>
      <c r="N10" s="6"/>
      <c r="O10" s="6"/>
    </row>
    <row r="11" spans="1:15" x14ac:dyDescent="0.25">
      <c r="A11" s="5">
        <v>963004009</v>
      </c>
      <c r="B11" s="5" t="str">
        <f>CONCATENATE(A11,14)</f>
        <v>96300400914</v>
      </c>
      <c r="C11" s="6" t="s">
        <v>244</v>
      </c>
      <c r="D11" s="6" t="s">
        <v>55</v>
      </c>
      <c r="E11" s="6">
        <v>9213293</v>
      </c>
      <c r="F11" s="6" t="s">
        <v>74</v>
      </c>
      <c r="G11" s="6" t="s">
        <v>245</v>
      </c>
      <c r="H11" s="7">
        <v>46143</v>
      </c>
      <c r="I11" s="8">
        <v>406</v>
      </c>
      <c r="J11" s="6">
        <v>1</v>
      </c>
      <c r="K11" s="8">
        <v>406</v>
      </c>
      <c r="L11" s="6"/>
      <c r="M11" s="6" t="s">
        <v>395</v>
      </c>
      <c r="N11" s="6"/>
      <c r="O11" s="6"/>
    </row>
    <row r="12" spans="1:15" x14ac:dyDescent="0.25">
      <c r="A12" s="5">
        <v>937873179</v>
      </c>
      <c r="B12" s="5" t="str">
        <f>CONCATENATE(A12,12)</f>
        <v>93787317912</v>
      </c>
      <c r="C12" s="6" t="s">
        <v>228</v>
      </c>
      <c r="D12" s="6" t="s">
        <v>46</v>
      </c>
      <c r="E12" s="6">
        <v>9213293</v>
      </c>
      <c r="F12" s="6" t="s">
        <v>74</v>
      </c>
      <c r="G12" s="6" t="s">
        <v>217</v>
      </c>
      <c r="H12" s="7">
        <v>46143</v>
      </c>
      <c r="I12" s="8">
        <v>694</v>
      </c>
      <c r="J12" s="6">
        <v>1</v>
      </c>
      <c r="K12" s="8">
        <v>694</v>
      </c>
      <c r="L12" s="6"/>
      <c r="M12" s="6" t="s">
        <v>394</v>
      </c>
      <c r="N12" s="6" t="s">
        <v>406</v>
      </c>
      <c r="O12" s="6"/>
    </row>
    <row r="13" spans="1:15" x14ac:dyDescent="0.25">
      <c r="A13" s="5" t="s">
        <v>378</v>
      </c>
      <c r="B13" s="5" t="str">
        <f>CONCATENATE(A13,1)</f>
        <v>A044443531</v>
      </c>
      <c r="C13" s="6" t="s">
        <v>272</v>
      </c>
      <c r="D13" s="6" t="s">
        <v>46</v>
      </c>
      <c r="E13" s="6">
        <v>9213293</v>
      </c>
      <c r="F13" s="6" t="s">
        <v>74</v>
      </c>
      <c r="G13" s="6" t="s">
        <v>267</v>
      </c>
      <c r="H13" s="7">
        <v>46113</v>
      </c>
      <c r="I13" s="8">
        <v>31.5</v>
      </c>
      <c r="J13" s="6">
        <v>9</v>
      </c>
      <c r="K13" s="8">
        <v>283.5</v>
      </c>
      <c r="L13" s="6"/>
      <c r="M13" s="6" t="s">
        <v>267</v>
      </c>
      <c r="N13" s="6"/>
      <c r="O13" s="6"/>
    </row>
    <row r="14" spans="1:15" x14ac:dyDescent="0.25">
      <c r="A14" s="5">
        <v>951067902</v>
      </c>
      <c r="B14" s="5" t="str">
        <f>CONCATENATE(A14,11)</f>
        <v>95106790211</v>
      </c>
      <c r="C14" s="6" t="s">
        <v>233</v>
      </c>
      <c r="D14" s="6" t="s">
        <v>234</v>
      </c>
      <c r="E14" s="6">
        <v>9213293</v>
      </c>
      <c r="F14" s="6" t="s">
        <v>74</v>
      </c>
      <c r="G14" s="6" t="s">
        <v>220</v>
      </c>
      <c r="H14" s="7">
        <v>46023</v>
      </c>
      <c r="I14" s="6"/>
      <c r="J14" s="6"/>
      <c r="K14" s="6">
        <v>-347</v>
      </c>
      <c r="L14" s="6"/>
      <c r="M14" s="6" t="s">
        <v>396</v>
      </c>
      <c r="N14" s="6" t="s">
        <v>403</v>
      </c>
      <c r="O14" s="6"/>
    </row>
    <row r="15" spans="1:15" x14ac:dyDescent="0.25">
      <c r="A15" s="5">
        <v>937873179</v>
      </c>
      <c r="B15" s="5" t="str">
        <f>CONCATENATE(A15,11)</f>
        <v>93787317911</v>
      </c>
      <c r="C15" s="6" t="s">
        <v>228</v>
      </c>
      <c r="D15" s="6" t="s">
        <v>46</v>
      </c>
      <c r="E15" s="6">
        <v>9213293</v>
      </c>
      <c r="F15" s="6" t="s">
        <v>74</v>
      </c>
      <c r="G15" s="6" t="s">
        <v>220</v>
      </c>
      <c r="H15" s="7">
        <v>46143</v>
      </c>
      <c r="I15" s="6"/>
      <c r="J15" s="6"/>
      <c r="K15" s="6">
        <v>-231.33</v>
      </c>
      <c r="L15" s="6"/>
      <c r="M15" s="6" t="s">
        <v>396</v>
      </c>
      <c r="N15" s="6" t="s">
        <v>404</v>
      </c>
      <c r="O15" s="6">
        <f>347/12*8</f>
        <v>231.33333333333334</v>
      </c>
    </row>
    <row r="16" spans="1:15" x14ac:dyDescent="0.25">
      <c r="A16" s="5">
        <v>951067902</v>
      </c>
      <c r="B16" s="5" t="str">
        <f>CONCATENATE(A16,11)</f>
        <v>95106790211</v>
      </c>
      <c r="C16" s="6" t="s">
        <v>233</v>
      </c>
      <c r="D16" s="6" t="s">
        <v>234</v>
      </c>
      <c r="E16" s="6">
        <v>9213293</v>
      </c>
      <c r="F16" s="6" t="s">
        <v>74</v>
      </c>
      <c r="G16" s="6" t="s">
        <v>220</v>
      </c>
      <c r="H16" s="7">
        <v>46082</v>
      </c>
      <c r="I16" s="8">
        <v>289.17</v>
      </c>
      <c r="J16" s="6">
        <v>1</v>
      </c>
      <c r="K16" s="8">
        <v>289.17</v>
      </c>
      <c r="L16" s="6" t="s">
        <v>148</v>
      </c>
      <c r="M16" s="6" t="s">
        <v>396</v>
      </c>
      <c r="N16" s="6" t="s">
        <v>402</v>
      </c>
      <c r="O16" s="6"/>
    </row>
    <row r="17" spans="1:15" x14ac:dyDescent="0.25">
      <c r="A17" s="5">
        <v>980482625</v>
      </c>
      <c r="B17" s="5" t="str">
        <f>CONCATENATE(A17,13)</f>
        <v>98048262513</v>
      </c>
      <c r="C17" s="6" t="s">
        <v>251</v>
      </c>
      <c r="D17" s="6" t="s">
        <v>55</v>
      </c>
      <c r="E17" s="6">
        <v>17117649</v>
      </c>
      <c r="F17" s="6" t="s">
        <v>253</v>
      </c>
      <c r="G17" s="6" t="s">
        <v>332</v>
      </c>
      <c r="H17" s="7">
        <v>46082</v>
      </c>
      <c r="I17" s="6"/>
      <c r="J17" s="6"/>
      <c r="K17" s="6">
        <v>-169.17</v>
      </c>
      <c r="L17" s="6"/>
      <c r="M17" s="6" t="s">
        <v>398</v>
      </c>
      <c r="N17" s="6" t="s">
        <v>399</v>
      </c>
      <c r="O17" s="6"/>
    </row>
    <row r="18" spans="1:15" x14ac:dyDescent="0.25">
      <c r="A18" s="5">
        <v>980482625</v>
      </c>
      <c r="B18" s="5" t="str">
        <f>CONCATENATE(A18,14)</f>
        <v>98048262514</v>
      </c>
      <c r="C18" s="6" t="s">
        <v>251</v>
      </c>
      <c r="D18" s="6" t="s">
        <v>55</v>
      </c>
      <c r="E18" s="6">
        <v>17117649</v>
      </c>
      <c r="F18" s="6" t="s">
        <v>253</v>
      </c>
      <c r="G18" s="6" t="s">
        <v>254</v>
      </c>
      <c r="H18" s="7">
        <v>46082</v>
      </c>
      <c r="I18" s="8">
        <v>338.33</v>
      </c>
      <c r="J18" s="6">
        <v>1</v>
      </c>
      <c r="K18" s="8">
        <v>338.33</v>
      </c>
      <c r="L18" s="6" t="s">
        <v>148</v>
      </c>
      <c r="M18" s="6" t="s">
        <v>395</v>
      </c>
      <c r="N18" s="6"/>
      <c r="O18" s="6">
        <f>406/12*10</f>
        <v>338.33333333333337</v>
      </c>
    </row>
    <row r="19" spans="1:15" x14ac:dyDescent="0.25">
      <c r="A19" s="5">
        <v>967243928</v>
      </c>
      <c r="B19" s="5" t="str">
        <f>CONCATENATE(A19,12)</f>
        <v>96724392812</v>
      </c>
      <c r="C19" s="6" t="s">
        <v>247</v>
      </c>
      <c r="D19" s="6" t="s">
        <v>234</v>
      </c>
      <c r="E19" s="6">
        <v>6634327</v>
      </c>
      <c r="F19" s="6" t="s">
        <v>249</v>
      </c>
      <c r="G19" s="6" t="s">
        <v>217</v>
      </c>
      <c r="H19" s="7">
        <v>46082</v>
      </c>
      <c r="I19" s="8">
        <v>694</v>
      </c>
      <c r="J19" s="6">
        <v>1</v>
      </c>
      <c r="K19" s="8">
        <v>694</v>
      </c>
      <c r="L19" s="6"/>
      <c r="M19" s="6" t="s">
        <v>394</v>
      </c>
      <c r="N19" s="6" t="s">
        <v>406</v>
      </c>
      <c r="O19" s="6"/>
    </row>
    <row r="20" spans="1:15" x14ac:dyDescent="0.25">
      <c r="A20" s="5">
        <v>967243928</v>
      </c>
      <c r="B20" s="5" t="str">
        <f>CONCATENATE(A20,11)</f>
        <v>96724392811</v>
      </c>
      <c r="C20" s="6" t="s">
        <v>247</v>
      </c>
      <c r="D20" s="6" t="s">
        <v>234</v>
      </c>
      <c r="E20" s="6">
        <v>6634327</v>
      </c>
      <c r="F20" s="6" t="s">
        <v>249</v>
      </c>
      <c r="G20" s="6" t="s">
        <v>220</v>
      </c>
      <c r="H20" s="7">
        <v>46082</v>
      </c>
      <c r="I20" s="6"/>
      <c r="J20" s="6"/>
      <c r="K20" s="6">
        <v>-289.17</v>
      </c>
      <c r="L20" s="6"/>
      <c r="M20" s="6" t="s">
        <v>396</v>
      </c>
      <c r="N20" s="6" t="s">
        <v>402</v>
      </c>
      <c r="O20" s="6"/>
    </row>
    <row r="21" spans="1:15" x14ac:dyDescent="0.25">
      <c r="A21" s="5">
        <v>904503951</v>
      </c>
      <c r="B21" s="5" t="str">
        <f>CONCATENATE(A21,12)</f>
        <v>90450395112</v>
      </c>
      <c r="C21" s="6" t="s">
        <v>208</v>
      </c>
      <c r="D21" s="6" t="s">
        <v>209</v>
      </c>
      <c r="E21" s="6">
        <v>17859093</v>
      </c>
      <c r="F21" s="6" t="s">
        <v>211</v>
      </c>
      <c r="G21" s="6" t="s">
        <v>212</v>
      </c>
      <c r="H21" s="7">
        <v>46082</v>
      </c>
      <c r="I21" s="8">
        <v>578.33000000000004</v>
      </c>
      <c r="J21" s="6">
        <v>1</v>
      </c>
      <c r="K21" s="8">
        <v>578.33000000000004</v>
      </c>
      <c r="L21" s="6" t="s">
        <v>148</v>
      </c>
      <c r="M21" s="6" t="s">
        <v>394</v>
      </c>
      <c r="N21" s="6" t="s">
        <v>400</v>
      </c>
      <c r="O21" s="6">
        <f>694/12*10</f>
        <v>578.33333333333337</v>
      </c>
    </row>
    <row r="22" spans="1:15" x14ac:dyDescent="0.25">
      <c r="A22" s="5">
        <v>928733294</v>
      </c>
      <c r="B22" s="5" t="str">
        <f>CONCATENATE(A22,12)</f>
        <v>92873329412</v>
      </c>
      <c r="C22" s="6" t="s">
        <v>225</v>
      </c>
      <c r="D22" s="6" t="s">
        <v>226</v>
      </c>
      <c r="E22" s="6">
        <v>17859093</v>
      </c>
      <c r="F22" s="6" t="s">
        <v>211</v>
      </c>
      <c r="G22" s="6" t="s">
        <v>217</v>
      </c>
      <c r="H22" s="7">
        <v>46082</v>
      </c>
      <c r="I22" s="8">
        <v>694</v>
      </c>
      <c r="J22" s="6">
        <v>1</v>
      </c>
      <c r="K22" s="8">
        <v>694</v>
      </c>
      <c r="L22" s="6"/>
      <c r="M22" s="6" t="s">
        <v>394</v>
      </c>
      <c r="N22" s="6" t="s">
        <v>406</v>
      </c>
      <c r="O22" s="6"/>
    </row>
    <row r="23" spans="1:15" x14ac:dyDescent="0.25">
      <c r="A23" s="5">
        <v>953417433</v>
      </c>
      <c r="B23" s="5" t="str">
        <f>CONCATENATE(A23,12)</f>
        <v>95341743312</v>
      </c>
      <c r="C23" s="6" t="s">
        <v>238</v>
      </c>
      <c r="D23" s="6" t="s">
        <v>209</v>
      </c>
      <c r="E23" s="6">
        <v>17859093</v>
      </c>
      <c r="F23" s="6" t="s">
        <v>211</v>
      </c>
      <c r="G23" s="6" t="s">
        <v>217</v>
      </c>
      <c r="H23" s="7">
        <v>46082</v>
      </c>
      <c r="I23" s="8">
        <v>694</v>
      </c>
      <c r="J23" s="6">
        <v>1</v>
      </c>
      <c r="K23" s="8">
        <v>694</v>
      </c>
      <c r="L23" s="6"/>
      <c r="M23" s="6" t="s">
        <v>394</v>
      </c>
      <c r="N23" s="6" t="s">
        <v>406</v>
      </c>
      <c r="O23" s="6"/>
    </row>
    <row r="24" spans="1:15" x14ac:dyDescent="0.25">
      <c r="A24" s="5" t="s">
        <v>388</v>
      </c>
      <c r="B24" s="5" t="str">
        <f>CONCATENATE(A24,1)</f>
        <v>A044130671</v>
      </c>
      <c r="C24" s="6" t="s">
        <v>345</v>
      </c>
      <c r="D24" s="6" t="s">
        <v>346</v>
      </c>
      <c r="E24" s="6">
        <v>17859093</v>
      </c>
      <c r="F24" s="6" t="s">
        <v>211</v>
      </c>
      <c r="G24" s="6" t="s">
        <v>347</v>
      </c>
      <c r="H24" s="7">
        <v>46023</v>
      </c>
      <c r="I24" s="6"/>
      <c r="J24" s="6"/>
      <c r="K24" s="6">
        <v>-88.47</v>
      </c>
      <c r="L24" s="6"/>
      <c r="M24" s="6" t="s">
        <v>347</v>
      </c>
      <c r="N24" s="6"/>
      <c r="O24" s="6"/>
    </row>
    <row r="25" spans="1:15" x14ac:dyDescent="0.25">
      <c r="A25" s="5">
        <v>904503951</v>
      </c>
      <c r="B25" s="5" t="str">
        <f>CONCATENATE(A25,11)</f>
        <v>90450395111</v>
      </c>
      <c r="C25" s="6" t="s">
        <v>208</v>
      </c>
      <c r="D25" s="6" t="s">
        <v>209</v>
      </c>
      <c r="E25" s="6">
        <v>17859093</v>
      </c>
      <c r="F25" s="6" t="s">
        <v>211</v>
      </c>
      <c r="G25" s="6" t="s">
        <v>220</v>
      </c>
      <c r="H25" s="7">
        <v>46082</v>
      </c>
      <c r="I25" s="6"/>
      <c r="J25" s="6"/>
      <c r="K25" s="6">
        <v>-289.17</v>
      </c>
      <c r="L25" s="6"/>
      <c r="M25" s="6" t="s">
        <v>396</v>
      </c>
      <c r="N25" s="6" t="s">
        <v>402</v>
      </c>
      <c r="O25" s="6"/>
    </row>
    <row r="26" spans="1:15" x14ac:dyDescent="0.25">
      <c r="A26" s="5">
        <v>928733294</v>
      </c>
      <c r="B26" s="5" t="str">
        <f>CONCATENATE(A26,11)</f>
        <v>92873329411</v>
      </c>
      <c r="C26" s="6" t="s">
        <v>225</v>
      </c>
      <c r="D26" s="6" t="s">
        <v>226</v>
      </c>
      <c r="E26" s="6">
        <v>17859093</v>
      </c>
      <c r="F26" s="6" t="s">
        <v>211</v>
      </c>
      <c r="G26" s="6" t="s">
        <v>220</v>
      </c>
      <c r="H26" s="7">
        <v>46082</v>
      </c>
      <c r="I26" s="6"/>
      <c r="J26" s="6"/>
      <c r="K26" s="6">
        <v>-289.17</v>
      </c>
      <c r="L26" s="6"/>
      <c r="M26" s="6" t="s">
        <v>396</v>
      </c>
      <c r="N26" s="6" t="s">
        <v>402</v>
      </c>
      <c r="O26" s="6"/>
    </row>
    <row r="27" spans="1:15" x14ac:dyDescent="0.25">
      <c r="A27" s="5">
        <v>953417433</v>
      </c>
      <c r="B27" s="5" t="str">
        <f>CONCATENATE(A27,11)</f>
        <v>95341743311</v>
      </c>
      <c r="C27" s="6" t="s">
        <v>238</v>
      </c>
      <c r="D27" s="6" t="s">
        <v>209</v>
      </c>
      <c r="E27" s="6">
        <v>17859093</v>
      </c>
      <c r="F27" s="6" t="s">
        <v>211</v>
      </c>
      <c r="G27" s="6" t="s">
        <v>220</v>
      </c>
      <c r="H27" s="7">
        <v>46082</v>
      </c>
      <c r="I27" s="6"/>
      <c r="J27" s="6"/>
      <c r="K27" s="6">
        <v>-289.17</v>
      </c>
      <c r="L27" s="6"/>
      <c r="M27" s="6" t="s">
        <v>396</v>
      </c>
      <c r="N27" s="6" t="s">
        <v>402</v>
      </c>
      <c r="O27" s="6"/>
    </row>
    <row r="28" spans="1:15" x14ac:dyDescent="0.25">
      <c r="A28" s="4">
        <v>101696157100</v>
      </c>
      <c r="B28" s="4" t="str">
        <f t="shared" ref="B28:B59" si="0">CONCATENATE(A28,"OVR")</f>
        <v>101696157100OVR</v>
      </c>
      <c r="C28" t="s">
        <v>303</v>
      </c>
      <c r="E28">
        <v>20411454</v>
      </c>
      <c r="F28" t="s">
        <v>407</v>
      </c>
      <c r="G28" t="s">
        <v>157</v>
      </c>
      <c r="H28" s="1">
        <v>46023</v>
      </c>
      <c r="K28">
        <v>-25</v>
      </c>
      <c r="M28" t="s">
        <v>389</v>
      </c>
    </row>
    <row r="29" spans="1:15" x14ac:dyDescent="0.25">
      <c r="A29" s="4">
        <v>102090618000</v>
      </c>
      <c r="B29" s="4" t="str">
        <f t="shared" si="0"/>
        <v>102090618000OVR</v>
      </c>
      <c r="C29" t="s">
        <v>311</v>
      </c>
      <c r="D29" t="s">
        <v>46</v>
      </c>
      <c r="E29">
        <v>20411454</v>
      </c>
      <c r="F29" t="s">
        <v>407</v>
      </c>
      <c r="G29" t="s">
        <v>157</v>
      </c>
      <c r="H29" s="1">
        <v>46023</v>
      </c>
      <c r="K29">
        <v>-25</v>
      </c>
      <c r="M29" t="s">
        <v>389</v>
      </c>
    </row>
    <row r="30" spans="1:15" x14ac:dyDescent="0.25">
      <c r="A30" s="4">
        <v>102229390800</v>
      </c>
      <c r="B30" s="4" t="str">
        <f t="shared" si="0"/>
        <v>102229390800OVR</v>
      </c>
      <c r="C30" t="s">
        <v>161</v>
      </c>
      <c r="D30" t="s">
        <v>117</v>
      </c>
      <c r="E30">
        <v>20411454</v>
      </c>
      <c r="F30" t="s">
        <v>407</v>
      </c>
      <c r="G30" t="s">
        <v>157</v>
      </c>
      <c r="H30" s="1">
        <v>46023</v>
      </c>
      <c r="K30">
        <v>-25</v>
      </c>
      <c r="M30" t="s">
        <v>389</v>
      </c>
    </row>
    <row r="31" spans="1:15" x14ac:dyDescent="0.25">
      <c r="A31" s="4">
        <v>102261184800</v>
      </c>
      <c r="B31" s="4" t="str">
        <f t="shared" si="0"/>
        <v>102261184800OVR</v>
      </c>
      <c r="C31" t="s">
        <v>314</v>
      </c>
      <c r="D31" t="s">
        <v>180</v>
      </c>
      <c r="E31">
        <v>20411454</v>
      </c>
      <c r="F31" t="s">
        <v>407</v>
      </c>
      <c r="G31" t="s">
        <v>147</v>
      </c>
      <c r="H31" s="1">
        <v>46054</v>
      </c>
      <c r="K31">
        <v>-22.92</v>
      </c>
      <c r="M31" t="s">
        <v>389</v>
      </c>
    </row>
    <row r="32" spans="1:15" x14ac:dyDescent="0.25">
      <c r="A32" s="4">
        <v>101978886700</v>
      </c>
      <c r="B32" s="4" t="str">
        <f t="shared" si="0"/>
        <v>101978886700OVR</v>
      </c>
      <c r="C32" t="s">
        <v>307</v>
      </c>
      <c r="D32" t="s">
        <v>83</v>
      </c>
      <c r="E32">
        <v>20411454</v>
      </c>
      <c r="F32" t="s">
        <v>407</v>
      </c>
      <c r="G32" t="s">
        <v>147</v>
      </c>
      <c r="H32" s="1">
        <v>46082</v>
      </c>
      <c r="K32">
        <v>-20.83</v>
      </c>
      <c r="M32" t="s">
        <v>389</v>
      </c>
    </row>
    <row r="33" spans="1:13" x14ac:dyDescent="0.25">
      <c r="A33" s="4">
        <v>102266530400</v>
      </c>
      <c r="B33" s="4" t="str">
        <f t="shared" si="0"/>
        <v>102266530400OVR</v>
      </c>
      <c r="C33" t="s">
        <v>165</v>
      </c>
      <c r="D33" t="s">
        <v>46</v>
      </c>
      <c r="E33">
        <v>20411454</v>
      </c>
      <c r="F33" t="s">
        <v>407</v>
      </c>
      <c r="G33" t="s">
        <v>147</v>
      </c>
      <c r="H33" s="1">
        <v>46143</v>
      </c>
      <c r="I33" s="2">
        <v>16.670000000000002</v>
      </c>
      <c r="J33">
        <v>1</v>
      </c>
      <c r="K33" s="2">
        <v>16.670000000000002</v>
      </c>
      <c r="L33" t="s">
        <v>166</v>
      </c>
      <c r="M33" t="s">
        <v>389</v>
      </c>
    </row>
    <row r="34" spans="1:13" x14ac:dyDescent="0.25">
      <c r="A34" s="4">
        <v>101258199600</v>
      </c>
      <c r="B34" s="4" t="str">
        <f t="shared" si="0"/>
        <v>101258199600OVR</v>
      </c>
      <c r="C34" t="s">
        <v>144</v>
      </c>
      <c r="D34" t="s">
        <v>46</v>
      </c>
      <c r="E34">
        <v>20411454</v>
      </c>
      <c r="F34" t="s">
        <v>407</v>
      </c>
      <c r="G34" t="s">
        <v>147</v>
      </c>
      <c r="H34" s="1">
        <v>46082</v>
      </c>
      <c r="I34" s="2">
        <v>20.83</v>
      </c>
      <c r="J34">
        <v>1</v>
      </c>
      <c r="K34" s="2">
        <v>20.83</v>
      </c>
      <c r="L34" t="s">
        <v>148</v>
      </c>
      <c r="M34" t="s">
        <v>389</v>
      </c>
    </row>
    <row r="35" spans="1:13" x14ac:dyDescent="0.25">
      <c r="A35" s="4">
        <v>101344081200</v>
      </c>
      <c r="B35" s="4" t="str">
        <f t="shared" si="0"/>
        <v>101344081200OVR</v>
      </c>
      <c r="C35" t="s">
        <v>150</v>
      </c>
      <c r="D35" t="s">
        <v>46</v>
      </c>
      <c r="E35">
        <v>20411454</v>
      </c>
      <c r="F35" t="s">
        <v>407</v>
      </c>
      <c r="G35" t="s">
        <v>147</v>
      </c>
      <c r="H35" s="1">
        <v>46082</v>
      </c>
      <c r="I35" s="2">
        <v>20.83</v>
      </c>
      <c r="J35">
        <v>1</v>
      </c>
      <c r="K35" s="2">
        <v>20.83</v>
      </c>
      <c r="L35" t="s">
        <v>148</v>
      </c>
      <c r="M35" t="s">
        <v>389</v>
      </c>
    </row>
    <row r="36" spans="1:13" x14ac:dyDescent="0.25">
      <c r="A36" s="4">
        <v>101391075200</v>
      </c>
      <c r="B36" s="4" t="str">
        <f t="shared" si="0"/>
        <v>101391075200OVR</v>
      </c>
      <c r="C36" t="s">
        <v>152</v>
      </c>
      <c r="D36" t="s">
        <v>46</v>
      </c>
      <c r="E36">
        <v>20411454</v>
      </c>
      <c r="F36" t="s">
        <v>407</v>
      </c>
      <c r="G36" t="s">
        <v>147</v>
      </c>
      <c r="H36" s="1">
        <v>46082</v>
      </c>
      <c r="I36" s="2">
        <v>20.83</v>
      </c>
      <c r="J36">
        <v>1</v>
      </c>
      <c r="K36" s="2">
        <v>20.83</v>
      </c>
      <c r="L36" t="s">
        <v>148</v>
      </c>
      <c r="M36" t="s">
        <v>389</v>
      </c>
    </row>
    <row r="37" spans="1:13" x14ac:dyDescent="0.25">
      <c r="A37" s="4">
        <v>102085674800</v>
      </c>
      <c r="B37" s="4" t="str">
        <f t="shared" si="0"/>
        <v>102085674800OVR</v>
      </c>
      <c r="C37" t="s">
        <v>159</v>
      </c>
      <c r="D37" t="s">
        <v>46</v>
      </c>
      <c r="E37">
        <v>20411454</v>
      </c>
      <c r="F37" t="s">
        <v>407</v>
      </c>
      <c r="G37" t="s">
        <v>147</v>
      </c>
      <c r="H37" s="1">
        <v>46082</v>
      </c>
      <c r="I37" s="2">
        <v>20.83</v>
      </c>
      <c r="J37">
        <v>1</v>
      </c>
      <c r="K37" s="2">
        <v>20.83</v>
      </c>
      <c r="L37" t="s">
        <v>148</v>
      </c>
      <c r="M37" t="s">
        <v>389</v>
      </c>
    </row>
    <row r="38" spans="1:13" x14ac:dyDescent="0.25">
      <c r="A38" s="4">
        <v>102229390800</v>
      </c>
      <c r="B38" s="4" t="str">
        <f t="shared" si="0"/>
        <v>102229390800OVR</v>
      </c>
      <c r="C38" t="s">
        <v>161</v>
      </c>
      <c r="D38" t="s">
        <v>117</v>
      </c>
      <c r="E38">
        <v>20411454</v>
      </c>
      <c r="F38" t="s">
        <v>407</v>
      </c>
      <c r="G38" t="s">
        <v>147</v>
      </c>
      <c r="H38" s="1">
        <v>46082</v>
      </c>
      <c r="I38" s="2">
        <v>20.83</v>
      </c>
      <c r="J38">
        <v>1</v>
      </c>
      <c r="K38" s="2">
        <v>20.83</v>
      </c>
      <c r="L38" t="s">
        <v>148</v>
      </c>
      <c r="M38" t="s">
        <v>389</v>
      </c>
    </row>
    <row r="39" spans="1:13" x14ac:dyDescent="0.25">
      <c r="A39" s="4">
        <v>102267150500</v>
      </c>
      <c r="B39" s="4" t="str">
        <f t="shared" si="0"/>
        <v>102267150500OVR</v>
      </c>
      <c r="C39" t="s">
        <v>168</v>
      </c>
      <c r="D39" t="s">
        <v>46</v>
      </c>
      <c r="E39">
        <v>20411454</v>
      </c>
      <c r="F39" t="s">
        <v>407</v>
      </c>
      <c r="G39" t="s">
        <v>147</v>
      </c>
      <c r="H39" s="1">
        <v>46082</v>
      </c>
      <c r="I39" s="2">
        <v>20.83</v>
      </c>
      <c r="J39">
        <v>1</v>
      </c>
      <c r="K39" s="2">
        <v>20.83</v>
      </c>
      <c r="L39" t="s">
        <v>148</v>
      </c>
      <c r="M39" t="s">
        <v>389</v>
      </c>
    </row>
    <row r="40" spans="1:13" x14ac:dyDescent="0.25">
      <c r="A40" s="4">
        <v>102267302700</v>
      </c>
      <c r="B40" s="4" t="str">
        <f t="shared" si="0"/>
        <v>102267302700OVR</v>
      </c>
      <c r="C40" t="s">
        <v>172</v>
      </c>
      <c r="D40" t="s">
        <v>117</v>
      </c>
      <c r="E40">
        <v>20411454</v>
      </c>
      <c r="F40" t="s">
        <v>407</v>
      </c>
      <c r="G40" t="s">
        <v>147</v>
      </c>
      <c r="H40" s="1">
        <v>46082</v>
      </c>
      <c r="I40" s="2">
        <v>20.83</v>
      </c>
      <c r="J40">
        <v>1</v>
      </c>
      <c r="K40" s="2">
        <v>20.83</v>
      </c>
      <c r="L40" t="s">
        <v>148</v>
      </c>
      <c r="M40" t="s">
        <v>389</v>
      </c>
    </row>
    <row r="41" spans="1:13" x14ac:dyDescent="0.25">
      <c r="A41" s="4">
        <v>102267358300</v>
      </c>
      <c r="B41" s="4" t="str">
        <f t="shared" si="0"/>
        <v>102267358300OVR</v>
      </c>
      <c r="C41" t="s">
        <v>174</v>
      </c>
      <c r="D41" t="s">
        <v>175</v>
      </c>
      <c r="E41">
        <v>20411454</v>
      </c>
      <c r="F41" t="s">
        <v>407</v>
      </c>
      <c r="G41" t="s">
        <v>147</v>
      </c>
      <c r="H41" s="1">
        <v>46082</v>
      </c>
      <c r="I41" s="2">
        <v>20.83</v>
      </c>
      <c r="J41">
        <v>1</v>
      </c>
      <c r="K41" s="2">
        <v>20.83</v>
      </c>
      <c r="L41" t="s">
        <v>148</v>
      </c>
      <c r="M41" t="s">
        <v>389</v>
      </c>
    </row>
    <row r="42" spans="1:13" x14ac:dyDescent="0.25">
      <c r="A42" s="4">
        <v>102267666700</v>
      </c>
      <c r="B42" s="4" t="str">
        <f t="shared" si="0"/>
        <v>102267666700OVR</v>
      </c>
      <c r="C42" t="s">
        <v>179</v>
      </c>
      <c r="D42" t="s">
        <v>180</v>
      </c>
      <c r="E42">
        <v>20411454</v>
      </c>
      <c r="F42" t="s">
        <v>407</v>
      </c>
      <c r="G42" t="s">
        <v>147</v>
      </c>
      <c r="H42" s="1">
        <v>46082</v>
      </c>
      <c r="I42" s="2">
        <v>20.83</v>
      </c>
      <c r="J42">
        <v>1</v>
      </c>
      <c r="K42" s="2">
        <v>20.83</v>
      </c>
      <c r="L42" t="s">
        <v>148</v>
      </c>
      <c r="M42" t="s">
        <v>389</v>
      </c>
    </row>
    <row r="43" spans="1:13" x14ac:dyDescent="0.25">
      <c r="A43" s="4">
        <v>102267701900</v>
      </c>
      <c r="B43" s="4" t="str">
        <f t="shared" si="0"/>
        <v>102267701900OVR</v>
      </c>
      <c r="C43" t="s">
        <v>184</v>
      </c>
      <c r="D43" t="s">
        <v>55</v>
      </c>
      <c r="E43">
        <v>20411454</v>
      </c>
      <c r="F43" t="s">
        <v>407</v>
      </c>
      <c r="G43" t="s">
        <v>147</v>
      </c>
      <c r="H43" s="1">
        <v>46082</v>
      </c>
      <c r="I43" s="2">
        <v>20.83</v>
      </c>
      <c r="J43">
        <v>1</v>
      </c>
      <c r="K43" s="2">
        <v>20.83</v>
      </c>
      <c r="L43" t="s">
        <v>148</v>
      </c>
      <c r="M43" t="s">
        <v>389</v>
      </c>
    </row>
    <row r="44" spans="1:13" x14ac:dyDescent="0.25">
      <c r="A44" s="4">
        <v>102267811200</v>
      </c>
      <c r="B44" s="4" t="str">
        <f t="shared" si="0"/>
        <v>102267811200OVR</v>
      </c>
      <c r="C44" t="s">
        <v>186</v>
      </c>
      <c r="D44" t="s">
        <v>83</v>
      </c>
      <c r="E44">
        <v>20411454</v>
      </c>
      <c r="F44" t="s">
        <v>407</v>
      </c>
      <c r="G44" t="s">
        <v>147</v>
      </c>
      <c r="H44" s="1">
        <v>46082</v>
      </c>
      <c r="I44" s="2">
        <v>20.83</v>
      </c>
      <c r="J44">
        <v>1</v>
      </c>
      <c r="K44" s="2">
        <v>20.83</v>
      </c>
      <c r="L44" t="s">
        <v>148</v>
      </c>
      <c r="M44" t="s">
        <v>389</v>
      </c>
    </row>
    <row r="45" spans="1:13" x14ac:dyDescent="0.25">
      <c r="A45" s="4">
        <v>102267819000</v>
      </c>
      <c r="B45" s="4" t="str">
        <f t="shared" si="0"/>
        <v>102267819000OVR</v>
      </c>
      <c r="C45" t="s">
        <v>188</v>
      </c>
      <c r="D45" t="s">
        <v>117</v>
      </c>
      <c r="E45">
        <v>20411454</v>
      </c>
      <c r="F45" t="s">
        <v>407</v>
      </c>
      <c r="G45" t="s">
        <v>147</v>
      </c>
      <c r="H45" s="1">
        <v>46082</v>
      </c>
      <c r="I45" s="2">
        <v>20.83</v>
      </c>
      <c r="J45">
        <v>1</v>
      </c>
      <c r="K45" s="2">
        <v>20.83</v>
      </c>
      <c r="L45" t="s">
        <v>148</v>
      </c>
      <c r="M45" t="s">
        <v>389</v>
      </c>
    </row>
    <row r="46" spans="1:13" x14ac:dyDescent="0.25">
      <c r="A46" s="4">
        <v>102268022900</v>
      </c>
      <c r="B46" s="4" t="str">
        <f t="shared" si="0"/>
        <v>102268022900OVR</v>
      </c>
      <c r="C46" t="s">
        <v>190</v>
      </c>
      <c r="D46" t="s">
        <v>191</v>
      </c>
      <c r="E46">
        <v>20411454</v>
      </c>
      <c r="F46" t="s">
        <v>407</v>
      </c>
      <c r="G46" t="s">
        <v>147</v>
      </c>
      <c r="H46" s="1">
        <v>46082</v>
      </c>
      <c r="I46" s="2">
        <v>20.83</v>
      </c>
      <c r="J46">
        <v>1</v>
      </c>
      <c r="K46" s="2">
        <v>20.83</v>
      </c>
      <c r="L46" t="s">
        <v>148</v>
      </c>
      <c r="M46" t="s">
        <v>389</v>
      </c>
    </row>
    <row r="47" spans="1:13" x14ac:dyDescent="0.25">
      <c r="A47" s="4">
        <v>102268067300</v>
      </c>
      <c r="B47" s="4" t="str">
        <f t="shared" si="0"/>
        <v>102268067300OVR</v>
      </c>
      <c r="C47" t="s">
        <v>195</v>
      </c>
      <c r="D47" t="s">
        <v>94</v>
      </c>
      <c r="E47">
        <v>20411454</v>
      </c>
      <c r="F47" t="s">
        <v>407</v>
      </c>
      <c r="G47" t="s">
        <v>147</v>
      </c>
      <c r="H47" s="1">
        <v>46082</v>
      </c>
      <c r="I47" s="2">
        <v>20.83</v>
      </c>
      <c r="J47">
        <v>1</v>
      </c>
      <c r="K47" s="2">
        <v>20.83</v>
      </c>
      <c r="L47" t="s">
        <v>148</v>
      </c>
      <c r="M47" t="s">
        <v>389</v>
      </c>
    </row>
    <row r="48" spans="1:13" x14ac:dyDescent="0.25">
      <c r="A48" s="4" t="s">
        <v>381</v>
      </c>
      <c r="B48" s="4" t="str">
        <f t="shared" si="0"/>
        <v>MEQNDVYM00000205630OVR</v>
      </c>
      <c r="C48" t="s">
        <v>282</v>
      </c>
      <c r="D48" t="s">
        <v>46</v>
      </c>
      <c r="E48">
        <v>20411454</v>
      </c>
      <c r="F48" t="s">
        <v>407</v>
      </c>
      <c r="G48" t="s">
        <v>147</v>
      </c>
      <c r="H48" s="1">
        <v>46082</v>
      </c>
      <c r="I48" s="2">
        <v>20.83</v>
      </c>
      <c r="J48">
        <v>1</v>
      </c>
      <c r="K48" s="2">
        <v>20.83</v>
      </c>
      <c r="L48" t="s">
        <v>148</v>
      </c>
      <c r="M48" t="s">
        <v>389</v>
      </c>
    </row>
    <row r="49" spans="1:15" x14ac:dyDescent="0.25">
      <c r="A49" s="4">
        <v>101489898000</v>
      </c>
      <c r="B49" s="4" t="str">
        <f t="shared" si="0"/>
        <v>101489898000OVR</v>
      </c>
      <c r="C49" t="s">
        <v>154</v>
      </c>
      <c r="D49" t="s">
        <v>46</v>
      </c>
      <c r="E49">
        <v>20411454</v>
      </c>
      <c r="F49" t="s">
        <v>407</v>
      </c>
      <c r="G49" t="s">
        <v>157</v>
      </c>
      <c r="H49" s="1">
        <v>46023</v>
      </c>
      <c r="I49" s="2">
        <v>25</v>
      </c>
      <c r="J49">
        <v>1</v>
      </c>
      <c r="K49" s="2">
        <v>25</v>
      </c>
      <c r="M49" t="s">
        <v>389</v>
      </c>
    </row>
    <row r="50" spans="1:15" x14ac:dyDescent="0.25">
      <c r="A50" s="4">
        <v>36864714</v>
      </c>
      <c r="B50" s="4" t="str">
        <f t="shared" si="0"/>
        <v>36864714OVR</v>
      </c>
      <c r="C50" t="s">
        <v>203</v>
      </c>
      <c r="D50" t="s">
        <v>198</v>
      </c>
      <c r="E50">
        <v>20411454</v>
      </c>
      <c r="F50" t="s">
        <v>407</v>
      </c>
      <c r="G50" t="s">
        <v>206</v>
      </c>
      <c r="H50" s="1">
        <v>46023</v>
      </c>
      <c r="K50">
        <v>-50</v>
      </c>
      <c r="M50" t="s">
        <v>390</v>
      </c>
    </row>
    <row r="51" spans="1:15" x14ac:dyDescent="0.25">
      <c r="A51" s="4">
        <v>36864714</v>
      </c>
      <c r="B51" s="4" t="str">
        <f t="shared" si="0"/>
        <v>36864714OVR</v>
      </c>
      <c r="C51" t="s">
        <v>203</v>
      </c>
      <c r="D51" t="s">
        <v>198</v>
      </c>
      <c r="E51">
        <v>20411454</v>
      </c>
      <c r="F51" t="s">
        <v>407</v>
      </c>
      <c r="G51" t="s">
        <v>206</v>
      </c>
      <c r="H51" s="1">
        <v>46082</v>
      </c>
      <c r="I51" s="2">
        <v>50</v>
      </c>
      <c r="J51">
        <v>1</v>
      </c>
      <c r="K51" s="2">
        <v>50</v>
      </c>
      <c r="M51" t="s">
        <v>390</v>
      </c>
    </row>
    <row r="52" spans="1:15" x14ac:dyDescent="0.25">
      <c r="A52" s="4">
        <v>36171461</v>
      </c>
      <c r="B52" s="4" t="str">
        <f t="shared" si="0"/>
        <v>36171461OVR</v>
      </c>
      <c r="C52" t="s">
        <v>197</v>
      </c>
      <c r="D52" t="s">
        <v>198</v>
      </c>
      <c r="E52">
        <v>20411454</v>
      </c>
      <c r="F52" t="s">
        <v>407</v>
      </c>
      <c r="G52" t="s">
        <v>201</v>
      </c>
      <c r="H52" s="1">
        <v>46082</v>
      </c>
      <c r="I52" s="2">
        <v>100</v>
      </c>
      <c r="J52">
        <v>1</v>
      </c>
      <c r="K52" s="2">
        <v>100</v>
      </c>
      <c r="M52" t="s">
        <v>390</v>
      </c>
    </row>
    <row r="53" spans="1:15" x14ac:dyDescent="0.25">
      <c r="A53" s="4" t="s">
        <v>383</v>
      </c>
      <c r="B53" s="4" t="str">
        <f t="shared" si="0"/>
        <v>00021344814KOVR</v>
      </c>
      <c r="C53" t="s">
        <v>290</v>
      </c>
      <c r="D53" t="s">
        <v>180</v>
      </c>
      <c r="E53">
        <v>20411454</v>
      </c>
      <c r="F53" t="s">
        <v>407</v>
      </c>
      <c r="G53" t="s">
        <v>58</v>
      </c>
      <c r="H53" s="1">
        <v>46023</v>
      </c>
      <c r="K53">
        <v>-145.25</v>
      </c>
      <c r="M53" t="s">
        <v>391</v>
      </c>
    </row>
    <row r="54" spans="1:15" x14ac:dyDescent="0.25">
      <c r="A54" s="4" t="s">
        <v>384</v>
      </c>
      <c r="B54" s="4" t="str">
        <f t="shared" si="0"/>
        <v>00024030159KOVR</v>
      </c>
      <c r="C54" t="s">
        <v>292</v>
      </c>
      <c r="D54" t="s">
        <v>46</v>
      </c>
      <c r="E54">
        <v>20411454</v>
      </c>
      <c r="F54" t="s">
        <v>407</v>
      </c>
      <c r="G54" t="s">
        <v>58</v>
      </c>
      <c r="H54" s="1">
        <v>46023</v>
      </c>
      <c r="K54">
        <v>-145.25</v>
      </c>
      <c r="M54" t="s">
        <v>391</v>
      </c>
    </row>
    <row r="55" spans="1:15" x14ac:dyDescent="0.25">
      <c r="A55" s="4" t="s">
        <v>382</v>
      </c>
      <c r="B55" s="4" t="str">
        <f t="shared" si="0"/>
        <v>00017029001KOVR</v>
      </c>
      <c r="C55" t="s">
        <v>287</v>
      </c>
      <c r="D55" t="s">
        <v>209</v>
      </c>
      <c r="E55">
        <v>20411454</v>
      </c>
      <c r="F55" t="s">
        <v>407</v>
      </c>
      <c r="G55" t="s">
        <v>58</v>
      </c>
      <c r="H55" s="1">
        <v>46023</v>
      </c>
      <c r="K55">
        <v>-131.25</v>
      </c>
      <c r="M55" t="s">
        <v>391</v>
      </c>
    </row>
    <row r="56" spans="1:15" x14ac:dyDescent="0.25">
      <c r="A56" s="4" t="s">
        <v>385</v>
      </c>
      <c r="B56" s="4" t="str">
        <f t="shared" si="0"/>
        <v>00025432056KOVR</v>
      </c>
      <c r="C56" t="s">
        <v>294</v>
      </c>
      <c r="D56" t="s">
        <v>46</v>
      </c>
      <c r="E56">
        <v>20411454</v>
      </c>
      <c r="F56" t="s">
        <v>407</v>
      </c>
      <c r="G56" t="s">
        <v>58</v>
      </c>
      <c r="H56" s="1">
        <v>46023</v>
      </c>
      <c r="K56">
        <v>-131.25</v>
      </c>
      <c r="M56" t="s">
        <v>391</v>
      </c>
    </row>
    <row r="57" spans="1:15" x14ac:dyDescent="0.25">
      <c r="A57" s="4" t="s">
        <v>386</v>
      </c>
      <c r="B57" s="4" t="str">
        <f t="shared" si="0"/>
        <v>00025694740KOVR</v>
      </c>
      <c r="C57" t="s">
        <v>296</v>
      </c>
      <c r="D57" t="s">
        <v>226</v>
      </c>
      <c r="E57">
        <v>20411454</v>
      </c>
      <c r="F57" t="s">
        <v>407</v>
      </c>
      <c r="G57" t="s">
        <v>58</v>
      </c>
      <c r="H57" s="1">
        <v>46023</v>
      </c>
      <c r="K57">
        <v>-131.25</v>
      </c>
      <c r="M57" t="s">
        <v>391</v>
      </c>
    </row>
    <row r="58" spans="1:15" x14ac:dyDescent="0.25">
      <c r="A58" s="4" t="s">
        <v>353</v>
      </c>
      <c r="B58" s="4" t="str">
        <f t="shared" si="0"/>
        <v>00025809995KOVR</v>
      </c>
      <c r="C58" t="s">
        <v>76</v>
      </c>
      <c r="D58" t="s">
        <v>46</v>
      </c>
      <c r="E58">
        <v>20411454</v>
      </c>
      <c r="F58" t="s">
        <v>407</v>
      </c>
      <c r="G58" t="s">
        <v>58</v>
      </c>
      <c r="H58" s="1">
        <v>46082</v>
      </c>
      <c r="K58">
        <v>-131.25</v>
      </c>
      <c r="M58" t="s">
        <v>391</v>
      </c>
    </row>
    <row r="59" spans="1:15" x14ac:dyDescent="0.25">
      <c r="A59" s="4" t="s">
        <v>387</v>
      </c>
      <c r="B59" s="4" t="str">
        <f t="shared" si="0"/>
        <v>00026042332KOVR</v>
      </c>
      <c r="C59" t="s">
        <v>301</v>
      </c>
      <c r="D59" t="s">
        <v>117</v>
      </c>
      <c r="E59">
        <v>20411454</v>
      </c>
      <c r="F59" t="s">
        <v>407</v>
      </c>
      <c r="G59" t="s">
        <v>58</v>
      </c>
      <c r="H59" s="1">
        <v>46054</v>
      </c>
      <c r="K59">
        <v>-131.25</v>
      </c>
      <c r="M59" t="s">
        <v>391</v>
      </c>
    </row>
    <row r="60" spans="1:15" x14ac:dyDescent="0.25">
      <c r="A60" s="4" t="s">
        <v>351</v>
      </c>
      <c r="B60" s="4" t="str">
        <f t="shared" ref="B60:B91" si="1">CONCATENATE(A60,"OVR")</f>
        <v>00023259320KOVR</v>
      </c>
      <c r="C60" t="s">
        <v>65</v>
      </c>
      <c r="D60" t="s">
        <v>66</v>
      </c>
      <c r="E60">
        <v>20411454</v>
      </c>
      <c r="F60" t="s">
        <v>407</v>
      </c>
      <c r="G60" t="s">
        <v>58</v>
      </c>
      <c r="H60" s="1">
        <v>45778</v>
      </c>
      <c r="I60" s="2">
        <v>73.5</v>
      </c>
      <c r="J60">
        <v>1</v>
      </c>
      <c r="K60" s="2">
        <v>73.5</v>
      </c>
      <c r="L60" t="s">
        <v>70</v>
      </c>
      <c r="M60" t="s">
        <v>391</v>
      </c>
    </row>
    <row r="61" spans="1:15" s="6" customFormat="1" x14ac:dyDescent="0.25">
      <c r="A61" s="4" t="s">
        <v>348</v>
      </c>
      <c r="B61" s="4" t="str">
        <f t="shared" si="1"/>
        <v>00015156932KOVR</v>
      </c>
      <c r="C61" t="s">
        <v>45</v>
      </c>
      <c r="D61" t="s">
        <v>46</v>
      </c>
      <c r="E61">
        <v>20411454</v>
      </c>
      <c r="F61" t="s">
        <v>407</v>
      </c>
      <c r="G61" t="s">
        <v>50</v>
      </c>
      <c r="H61" s="1">
        <v>46082</v>
      </c>
      <c r="I61" s="2">
        <v>108</v>
      </c>
      <c r="J61">
        <v>1</v>
      </c>
      <c r="K61" s="2">
        <v>108</v>
      </c>
      <c r="L61"/>
      <c r="M61" t="s">
        <v>391</v>
      </c>
      <c r="N61"/>
      <c r="O61"/>
    </row>
    <row r="62" spans="1:15" s="6" customFormat="1" x14ac:dyDescent="0.25">
      <c r="A62" s="4" t="s">
        <v>353</v>
      </c>
      <c r="B62" s="4" t="str">
        <f t="shared" si="1"/>
        <v>00025809995KOVR</v>
      </c>
      <c r="C62" t="s">
        <v>76</v>
      </c>
      <c r="D62" t="s">
        <v>46</v>
      </c>
      <c r="E62">
        <v>20411454</v>
      </c>
      <c r="F62" t="s">
        <v>407</v>
      </c>
      <c r="G62" t="s">
        <v>50</v>
      </c>
      <c r="H62" s="1">
        <v>46113</v>
      </c>
      <c r="I62" s="2">
        <v>108</v>
      </c>
      <c r="J62">
        <v>1</v>
      </c>
      <c r="K62" s="2">
        <v>108</v>
      </c>
      <c r="L62"/>
      <c r="M62" t="s">
        <v>391</v>
      </c>
      <c r="N62"/>
      <c r="O62"/>
    </row>
    <row r="63" spans="1:15" s="6" customFormat="1" x14ac:dyDescent="0.25">
      <c r="A63" s="4" t="s">
        <v>349</v>
      </c>
      <c r="B63" s="4" t="str">
        <f t="shared" si="1"/>
        <v>00017188003KOVR</v>
      </c>
      <c r="C63" t="s">
        <v>54</v>
      </c>
      <c r="D63" t="s">
        <v>55</v>
      </c>
      <c r="E63">
        <v>20411454</v>
      </c>
      <c r="F63" t="s">
        <v>407</v>
      </c>
      <c r="G63" t="s">
        <v>58</v>
      </c>
      <c r="H63" s="1">
        <v>46113</v>
      </c>
      <c r="I63" s="2">
        <v>175</v>
      </c>
      <c r="J63">
        <v>1</v>
      </c>
      <c r="K63" s="2">
        <v>175</v>
      </c>
      <c r="L63"/>
      <c r="M63" t="s">
        <v>391</v>
      </c>
      <c r="N63"/>
      <c r="O63"/>
    </row>
    <row r="64" spans="1:15" s="6" customFormat="1" x14ac:dyDescent="0.25">
      <c r="A64" s="4" t="s">
        <v>350</v>
      </c>
      <c r="B64" s="4" t="str">
        <f t="shared" si="1"/>
        <v>00018736051KOVR</v>
      </c>
      <c r="C64" t="s">
        <v>60</v>
      </c>
      <c r="D64" t="s">
        <v>61</v>
      </c>
      <c r="E64">
        <v>20411454</v>
      </c>
      <c r="F64" t="s">
        <v>407</v>
      </c>
      <c r="G64" t="s">
        <v>58</v>
      </c>
      <c r="H64" s="1">
        <v>46113</v>
      </c>
      <c r="I64" s="2">
        <v>175</v>
      </c>
      <c r="J64">
        <v>1</v>
      </c>
      <c r="K64" s="2">
        <v>175</v>
      </c>
      <c r="L64"/>
      <c r="M64" t="s">
        <v>391</v>
      </c>
      <c r="N64"/>
      <c r="O64"/>
    </row>
    <row r="65" spans="1:15" s="6" customFormat="1" x14ac:dyDescent="0.25">
      <c r="A65" s="4" t="s">
        <v>352</v>
      </c>
      <c r="B65" s="4" t="str">
        <f t="shared" si="1"/>
        <v>00024389442KOVR</v>
      </c>
      <c r="C65" t="s">
        <v>72</v>
      </c>
      <c r="D65" t="s">
        <v>46</v>
      </c>
      <c r="E65">
        <v>20411454</v>
      </c>
      <c r="F65" t="s">
        <v>407</v>
      </c>
      <c r="G65" t="s">
        <v>58</v>
      </c>
      <c r="H65" s="1">
        <v>46113</v>
      </c>
      <c r="I65" s="2">
        <v>175</v>
      </c>
      <c r="J65">
        <v>1</v>
      </c>
      <c r="K65" s="2">
        <v>175</v>
      </c>
      <c r="L65"/>
      <c r="M65" t="s">
        <v>391</v>
      </c>
      <c r="N65"/>
      <c r="O65"/>
    </row>
    <row r="66" spans="1:15" s="6" customFormat="1" x14ac:dyDescent="0.25">
      <c r="A66" s="4" t="s">
        <v>354</v>
      </c>
      <c r="B66" s="4" t="str">
        <f t="shared" si="1"/>
        <v>00026208828KOVR</v>
      </c>
      <c r="C66" t="s">
        <v>80</v>
      </c>
      <c r="D66" t="s">
        <v>46</v>
      </c>
      <c r="E66">
        <v>20411454</v>
      </c>
      <c r="F66" t="s">
        <v>407</v>
      </c>
      <c r="G66" t="s">
        <v>58</v>
      </c>
      <c r="H66" s="1">
        <v>46113</v>
      </c>
      <c r="I66" s="2">
        <v>175</v>
      </c>
      <c r="J66">
        <v>1</v>
      </c>
      <c r="K66" s="2">
        <v>175</v>
      </c>
      <c r="L66"/>
      <c r="M66" t="s">
        <v>391</v>
      </c>
      <c r="N66"/>
      <c r="O66"/>
    </row>
    <row r="67" spans="1:15" s="6" customFormat="1" x14ac:dyDescent="0.25">
      <c r="A67" s="4" t="s">
        <v>355</v>
      </c>
      <c r="B67" s="4" t="str">
        <f t="shared" si="1"/>
        <v>00026210059KOVR</v>
      </c>
      <c r="C67" t="s">
        <v>82</v>
      </c>
      <c r="D67" t="s">
        <v>83</v>
      </c>
      <c r="E67">
        <v>20411454</v>
      </c>
      <c r="F67" t="s">
        <v>407</v>
      </c>
      <c r="G67" t="s">
        <v>58</v>
      </c>
      <c r="H67" s="1">
        <v>46113</v>
      </c>
      <c r="I67" s="2">
        <v>175</v>
      </c>
      <c r="J67">
        <v>1</v>
      </c>
      <c r="K67" s="2">
        <v>175</v>
      </c>
      <c r="L67"/>
      <c r="M67" t="s">
        <v>391</v>
      </c>
      <c r="N67"/>
      <c r="O67"/>
    </row>
    <row r="68" spans="1:15" x14ac:dyDescent="0.25">
      <c r="A68" s="4" t="s">
        <v>356</v>
      </c>
      <c r="B68" s="4" t="str">
        <f t="shared" si="1"/>
        <v>00026210379KOVR</v>
      </c>
      <c r="C68" t="s">
        <v>87</v>
      </c>
      <c r="D68" t="s">
        <v>46</v>
      </c>
      <c r="E68">
        <v>20411454</v>
      </c>
      <c r="F68" t="s">
        <v>407</v>
      </c>
      <c r="G68" t="s">
        <v>58</v>
      </c>
      <c r="H68" s="1">
        <v>46174</v>
      </c>
      <c r="I68" s="2">
        <v>175</v>
      </c>
      <c r="J68">
        <v>1</v>
      </c>
      <c r="K68" s="2">
        <v>175</v>
      </c>
      <c r="M68" t="s">
        <v>391</v>
      </c>
    </row>
    <row r="69" spans="1:15" x14ac:dyDescent="0.25">
      <c r="A69" s="4" t="s">
        <v>357</v>
      </c>
      <c r="B69" s="4" t="str">
        <f t="shared" si="1"/>
        <v>00026218269KOVR</v>
      </c>
      <c r="C69" t="s">
        <v>91</v>
      </c>
      <c r="D69" t="s">
        <v>46</v>
      </c>
      <c r="E69">
        <v>20411454</v>
      </c>
      <c r="F69" t="s">
        <v>407</v>
      </c>
      <c r="G69" t="s">
        <v>58</v>
      </c>
      <c r="H69" s="1">
        <v>46174</v>
      </c>
      <c r="I69" s="2">
        <v>175</v>
      </c>
      <c r="J69">
        <v>1</v>
      </c>
      <c r="K69" s="2">
        <v>175</v>
      </c>
      <c r="M69" t="s">
        <v>391</v>
      </c>
    </row>
    <row r="70" spans="1:15" x14ac:dyDescent="0.25">
      <c r="A70" s="4" t="s">
        <v>358</v>
      </c>
      <c r="B70" s="4" t="str">
        <f t="shared" si="1"/>
        <v>00026220499KOVR</v>
      </c>
      <c r="C70" t="s">
        <v>93</v>
      </c>
      <c r="D70" t="s">
        <v>94</v>
      </c>
      <c r="E70">
        <v>20411454</v>
      </c>
      <c r="F70" t="s">
        <v>407</v>
      </c>
      <c r="G70" t="s">
        <v>58</v>
      </c>
      <c r="H70" s="1">
        <v>46113</v>
      </c>
      <c r="I70" s="2">
        <v>175</v>
      </c>
      <c r="J70">
        <v>1</v>
      </c>
      <c r="K70" s="2">
        <v>175</v>
      </c>
      <c r="M70" t="s">
        <v>391</v>
      </c>
    </row>
    <row r="71" spans="1:15" x14ac:dyDescent="0.25">
      <c r="A71" s="4" t="s">
        <v>359</v>
      </c>
      <c r="B71" s="4" t="str">
        <f t="shared" si="1"/>
        <v>00026223811KOVR</v>
      </c>
      <c r="C71" t="s">
        <v>98</v>
      </c>
      <c r="D71" t="s">
        <v>46</v>
      </c>
      <c r="E71">
        <v>20411454</v>
      </c>
      <c r="F71" t="s">
        <v>407</v>
      </c>
      <c r="G71" t="s">
        <v>58</v>
      </c>
      <c r="H71" s="1">
        <v>46143</v>
      </c>
      <c r="I71" s="2">
        <v>175</v>
      </c>
      <c r="J71">
        <v>1</v>
      </c>
      <c r="K71" s="2">
        <v>175</v>
      </c>
      <c r="M71" t="s">
        <v>391</v>
      </c>
    </row>
    <row r="72" spans="1:15" x14ac:dyDescent="0.25">
      <c r="A72" s="4" t="s">
        <v>360</v>
      </c>
      <c r="B72" s="4" t="str">
        <f t="shared" si="1"/>
        <v>00026224016KOVR</v>
      </c>
      <c r="C72" t="s">
        <v>102</v>
      </c>
      <c r="D72" t="s">
        <v>94</v>
      </c>
      <c r="E72">
        <v>20411454</v>
      </c>
      <c r="F72" t="s">
        <v>407</v>
      </c>
      <c r="G72" t="s">
        <v>58</v>
      </c>
      <c r="H72" s="1">
        <v>46113</v>
      </c>
      <c r="I72" s="2">
        <v>175</v>
      </c>
      <c r="J72">
        <v>1</v>
      </c>
      <c r="K72" s="2">
        <v>175</v>
      </c>
      <c r="M72" t="s">
        <v>391</v>
      </c>
    </row>
    <row r="73" spans="1:15" x14ac:dyDescent="0.25">
      <c r="A73" s="4" t="s">
        <v>361</v>
      </c>
      <c r="B73" s="4" t="str">
        <f t="shared" si="1"/>
        <v>00026225284KOVR</v>
      </c>
      <c r="C73" t="s">
        <v>104</v>
      </c>
      <c r="D73" t="s">
        <v>46</v>
      </c>
      <c r="E73">
        <v>20411454</v>
      </c>
      <c r="F73" t="s">
        <v>407</v>
      </c>
      <c r="G73" t="s">
        <v>58</v>
      </c>
      <c r="H73" s="1">
        <v>46113</v>
      </c>
      <c r="I73" s="2">
        <v>175</v>
      </c>
      <c r="J73">
        <v>1</v>
      </c>
      <c r="K73" s="2">
        <v>175</v>
      </c>
      <c r="M73" t="s">
        <v>391</v>
      </c>
    </row>
    <row r="74" spans="1:15" x14ac:dyDescent="0.25">
      <c r="A74" s="4" t="s">
        <v>362</v>
      </c>
      <c r="B74" s="4" t="str">
        <f t="shared" si="1"/>
        <v>00026226281KOVR</v>
      </c>
      <c r="C74" t="s">
        <v>108</v>
      </c>
      <c r="D74" t="s">
        <v>46</v>
      </c>
      <c r="E74">
        <v>20411454</v>
      </c>
      <c r="F74" t="s">
        <v>407</v>
      </c>
      <c r="G74" t="s">
        <v>58</v>
      </c>
      <c r="H74" s="1">
        <v>46113</v>
      </c>
      <c r="I74" s="2">
        <v>175</v>
      </c>
      <c r="J74">
        <v>1</v>
      </c>
      <c r="K74" s="2">
        <v>175</v>
      </c>
      <c r="M74" t="s">
        <v>391</v>
      </c>
    </row>
    <row r="75" spans="1:15" x14ac:dyDescent="0.25">
      <c r="A75" s="4" t="s">
        <v>363</v>
      </c>
      <c r="B75" s="4" t="str">
        <f t="shared" si="1"/>
        <v>00026227739KOVR</v>
      </c>
      <c r="C75" t="s">
        <v>110</v>
      </c>
      <c r="D75" t="s">
        <v>46</v>
      </c>
      <c r="E75">
        <v>20411454</v>
      </c>
      <c r="F75" t="s">
        <v>407</v>
      </c>
      <c r="G75" t="s">
        <v>58</v>
      </c>
      <c r="H75" s="1">
        <v>46143</v>
      </c>
      <c r="I75" s="2">
        <v>175</v>
      </c>
      <c r="J75">
        <v>1</v>
      </c>
      <c r="K75" s="2">
        <v>175</v>
      </c>
      <c r="M75" t="s">
        <v>391</v>
      </c>
    </row>
    <row r="76" spans="1:15" x14ac:dyDescent="0.25">
      <c r="A76" s="4" t="s">
        <v>364</v>
      </c>
      <c r="B76" s="4" t="str">
        <f t="shared" si="1"/>
        <v>00026227877KOVR</v>
      </c>
      <c r="C76" t="s">
        <v>112</v>
      </c>
      <c r="D76" t="s">
        <v>46</v>
      </c>
      <c r="E76">
        <v>20411454</v>
      </c>
      <c r="F76" t="s">
        <v>407</v>
      </c>
      <c r="G76" t="s">
        <v>58</v>
      </c>
      <c r="H76" s="1">
        <v>46113</v>
      </c>
      <c r="I76" s="2">
        <v>175</v>
      </c>
      <c r="J76">
        <v>1</v>
      </c>
      <c r="K76" s="2">
        <v>175</v>
      </c>
      <c r="M76" t="s">
        <v>391</v>
      </c>
    </row>
    <row r="77" spans="1:15" s="6" customFormat="1" x14ac:dyDescent="0.25">
      <c r="A77" s="4" t="s">
        <v>365</v>
      </c>
      <c r="B77" s="4" t="str">
        <f t="shared" si="1"/>
        <v>00026229386KOVR</v>
      </c>
      <c r="C77" t="s">
        <v>116</v>
      </c>
      <c r="D77" t="s">
        <v>117</v>
      </c>
      <c r="E77">
        <v>20411454</v>
      </c>
      <c r="F77" t="s">
        <v>407</v>
      </c>
      <c r="G77" t="s">
        <v>58</v>
      </c>
      <c r="H77" s="1">
        <v>46143</v>
      </c>
      <c r="I77" s="2">
        <v>175</v>
      </c>
      <c r="J77">
        <v>1</v>
      </c>
      <c r="K77" s="2">
        <v>175</v>
      </c>
      <c r="L77"/>
      <c r="M77" t="s">
        <v>391</v>
      </c>
      <c r="N77"/>
      <c r="O77"/>
    </row>
    <row r="78" spans="1:15" s="6" customFormat="1" x14ac:dyDescent="0.25">
      <c r="A78" s="4" t="s">
        <v>366</v>
      </c>
      <c r="B78" s="4" t="str">
        <f t="shared" si="1"/>
        <v>00026234397KOVR</v>
      </c>
      <c r="C78" t="s">
        <v>121</v>
      </c>
      <c r="D78" t="s">
        <v>46</v>
      </c>
      <c r="E78">
        <v>20411454</v>
      </c>
      <c r="F78" t="s">
        <v>407</v>
      </c>
      <c r="G78" t="s">
        <v>58</v>
      </c>
      <c r="H78" s="1">
        <v>46113</v>
      </c>
      <c r="I78" s="2">
        <v>175</v>
      </c>
      <c r="J78">
        <v>1</v>
      </c>
      <c r="K78" s="2">
        <v>175</v>
      </c>
      <c r="L78"/>
      <c r="M78" t="s">
        <v>391</v>
      </c>
      <c r="N78"/>
      <c r="O78"/>
    </row>
    <row r="79" spans="1:15" s="6" customFormat="1" x14ac:dyDescent="0.25">
      <c r="A79" s="4" t="s">
        <v>367</v>
      </c>
      <c r="B79" s="4" t="str">
        <f t="shared" si="1"/>
        <v>00026234905KOVR</v>
      </c>
      <c r="C79" t="s">
        <v>123</v>
      </c>
      <c r="D79" t="s">
        <v>124</v>
      </c>
      <c r="E79">
        <v>20411454</v>
      </c>
      <c r="F79" t="s">
        <v>407</v>
      </c>
      <c r="G79" t="s">
        <v>58</v>
      </c>
      <c r="H79" s="1">
        <v>46113</v>
      </c>
      <c r="I79" s="2">
        <v>175</v>
      </c>
      <c r="J79">
        <v>1</v>
      </c>
      <c r="K79" s="2">
        <v>175</v>
      </c>
      <c r="L79"/>
      <c r="M79" t="s">
        <v>391</v>
      </c>
      <c r="N79"/>
      <c r="O79"/>
    </row>
    <row r="80" spans="1:15" s="6" customFormat="1" x14ac:dyDescent="0.25">
      <c r="A80" s="4" t="s">
        <v>368</v>
      </c>
      <c r="B80" s="4" t="str">
        <f t="shared" si="1"/>
        <v>00026235985KOVR</v>
      </c>
      <c r="C80" t="s">
        <v>126</v>
      </c>
      <c r="D80" t="s">
        <v>124</v>
      </c>
      <c r="E80">
        <v>20411454</v>
      </c>
      <c r="F80" t="s">
        <v>407</v>
      </c>
      <c r="G80" t="s">
        <v>58</v>
      </c>
      <c r="H80" s="1">
        <v>46143</v>
      </c>
      <c r="I80" s="2">
        <v>175</v>
      </c>
      <c r="J80">
        <v>1</v>
      </c>
      <c r="K80" s="2">
        <v>175</v>
      </c>
      <c r="L80"/>
      <c r="M80" t="s">
        <v>391</v>
      </c>
      <c r="N80"/>
      <c r="O80"/>
    </row>
    <row r="81" spans="1:15" s="6" customFormat="1" x14ac:dyDescent="0.25">
      <c r="A81" s="4" t="s">
        <v>369</v>
      </c>
      <c r="B81" s="4" t="str">
        <f t="shared" si="1"/>
        <v>00026236330KOVR</v>
      </c>
      <c r="C81" t="s">
        <v>128</v>
      </c>
      <c r="D81" t="s">
        <v>46</v>
      </c>
      <c r="E81">
        <v>20411454</v>
      </c>
      <c r="F81" t="s">
        <v>407</v>
      </c>
      <c r="G81" t="s">
        <v>58</v>
      </c>
      <c r="H81" s="1">
        <v>46143</v>
      </c>
      <c r="I81" s="2">
        <v>175</v>
      </c>
      <c r="J81">
        <v>1</v>
      </c>
      <c r="K81" s="2">
        <v>175</v>
      </c>
      <c r="L81"/>
      <c r="M81" t="s">
        <v>391</v>
      </c>
      <c r="N81"/>
      <c r="O81"/>
    </row>
    <row r="82" spans="1:15" s="6" customFormat="1" x14ac:dyDescent="0.25">
      <c r="A82" s="4" t="s">
        <v>370</v>
      </c>
      <c r="B82" s="4" t="str">
        <f t="shared" si="1"/>
        <v>00026238103KOVR</v>
      </c>
      <c r="C82" t="s">
        <v>130</v>
      </c>
      <c r="D82" t="s">
        <v>46</v>
      </c>
      <c r="E82">
        <v>20411454</v>
      </c>
      <c r="F82" t="s">
        <v>407</v>
      </c>
      <c r="G82" t="s">
        <v>58</v>
      </c>
      <c r="H82" s="1">
        <v>46113</v>
      </c>
      <c r="I82" s="2">
        <v>175</v>
      </c>
      <c r="J82">
        <v>1</v>
      </c>
      <c r="K82" s="2">
        <v>175</v>
      </c>
      <c r="L82"/>
      <c r="M82" t="s">
        <v>391</v>
      </c>
      <c r="N82"/>
      <c r="O82"/>
    </row>
    <row r="83" spans="1:15" s="6" customFormat="1" x14ac:dyDescent="0.25">
      <c r="A83" s="4" t="s">
        <v>371</v>
      </c>
      <c r="B83" s="4" t="str">
        <f t="shared" si="1"/>
        <v>00026239814KOVR</v>
      </c>
      <c r="C83" t="s">
        <v>134</v>
      </c>
      <c r="D83" t="s">
        <v>46</v>
      </c>
      <c r="E83">
        <v>20411454</v>
      </c>
      <c r="F83" t="s">
        <v>407</v>
      </c>
      <c r="G83" t="s">
        <v>58</v>
      </c>
      <c r="H83" s="1">
        <v>46113</v>
      </c>
      <c r="I83" s="2">
        <v>175</v>
      </c>
      <c r="J83">
        <v>1</v>
      </c>
      <c r="K83" s="2">
        <v>175</v>
      </c>
      <c r="L83"/>
      <c r="M83" t="s">
        <v>391</v>
      </c>
      <c r="N83"/>
      <c r="O83"/>
    </row>
    <row r="84" spans="1:15" s="6" customFormat="1" x14ac:dyDescent="0.25">
      <c r="A84" s="4" t="s">
        <v>372</v>
      </c>
      <c r="B84" s="4" t="str">
        <f t="shared" si="1"/>
        <v>00026239981KOVR</v>
      </c>
      <c r="C84" t="s">
        <v>136</v>
      </c>
      <c r="D84" t="s">
        <v>46</v>
      </c>
      <c r="E84">
        <v>20411454</v>
      </c>
      <c r="F84" t="s">
        <v>407</v>
      </c>
      <c r="G84" t="s">
        <v>58</v>
      </c>
      <c r="H84" s="1">
        <v>46113</v>
      </c>
      <c r="I84" s="2">
        <v>175</v>
      </c>
      <c r="J84">
        <v>1</v>
      </c>
      <c r="K84" s="2">
        <v>175</v>
      </c>
      <c r="L84"/>
      <c r="M84" t="s">
        <v>391</v>
      </c>
      <c r="N84"/>
      <c r="O84"/>
    </row>
    <row r="85" spans="1:15" s="6" customFormat="1" x14ac:dyDescent="0.25">
      <c r="A85" s="4" t="s">
        <v>373</v>
      </c>
      <c r="B85" s="4" t="str">
        <f t="shared" si="1"/>
        <v>00026240720KOVR</v>
      </c>
      <c r="C85" t="s">
        <v>138</v>
      </c>
      <c r="D85" t="s">
        <v>94</v>
      </c>
      <c r="E85">
        <v>20411454</v>
      </c>
      <c r="F85" t="s">
        <v>407</v>
      </c>
      <c r="G85" t="s">
        <v>58</v>
      </c>
      <c r="H85" s="1">
        <v>46143</v>
      </c>
      <c r="I85" s="2">
        <v>175</v>
      </c>
      <c r="J85">
        <v>1</v>
      </c>
      <c r="K85" s="2">
        <v>175</v>
      </c>
      <c r="L85"/>
      <c r="M85" t="s">
        <v>391</v>
      </c>
      <c r="N85"/>
      <c r="O85"/>
    </row>
    <row r="86" spans="1:15" s="6" customFormat="1" x14ac:dyDescent="0.25">
      <c r="A86" s="4" t="s">
        <v>374</v>
      </c>
      <c r="B86" s="4" t="str">
        <f t="shared" si="1"/>
        <v>00026242247KOVR</v>
      </c>
      <c r="C86" t="s">
        <v>140</v>
      </c>
      <c r="D86" t="s">
        <v>46</v>
      </c>
      <c r="E86">
        <v>20411454</v>
      </c>
      <c r="F86" t="s">
        <v>407</v>
      </c>
      <c r="G86" t="s">
        <v>58</v>
      </c>
      <c r="H86" s="1">
        <v>46113</v>
      </c>
      <c r="I86" s="2">
        <v>175</v>
      </c>
      <c r="J86">
        <v>1</v>
      </c>
      <c r="K86" s="2">
        <v>175</v>
      </c>
      <c r="L86"/>
      <c r="M86" t="s">
        <v>391</v>
      </c>
      <c r="N86"/>
      <c r="O86"/>
    </row>
    <row r="87" spans="1:15" s="6" customFormat="1" x14ac:dyDescent="0.25">
      <c r="A87" s="4">
        <v>917471347</v>
      </c>
      <c r="B87" s="4" t="str">
        <f t="shared" si="1"/>
        <v>917471347OVR</v>
      </c>
      <c r="C87" t="s">
        <v>319</v>
      </c>
      <c r="D87" t="s">
        <v>209</v>
      </c>
      <c r="E87">
        <v>20411454</v>
      </c>
      <c r="F87" t="s">
        <v>407</v>
      </c>
      <c r="G87" t="s">
        <v>223</v>
      </c>
      <c r="H87" s="1">
        <v>46023</v>
      </c>
      <c r="I87"/>
      <c r="J87"/>
      <c r="K87">
        <v>-175</v>
      </c>
      <c r="L87"/>
      <c r="M87" t="s">
        <v>392</v>
      </c>
      <c r="N87"/>
      <c r="O87"/>
    </row>
    <row r="88" spans="1:15" s="6" customFormat="1" x14ac:dyDescent="0.25">
      <c r="A88" s="4">
        <v>951067902</v>
      </c>
      <c r="B88" s="4" t="str">
        <f t="shared" si="1"/>
        <v>951067902OVR</v>
      </c>
      <c r="C88" t="s">
        <v>233</v>
      </c>
      <c r="D88" t="s">
        <v>234</v>
      </c>
      <c r="E88">
        <v>20411454</v>
      </c>
      <c r="F88" t="s">
        <v>407</v>
      </c>
      <c r="G88" t="s">
        <v>223</v>
      </c>
      <c r="H88" s="1">
        <v>46023</v>
      </c>
      <c r="I88"/>
      <c r="J88"/>
      <c r="K88">
        <v>-175</v>
      </c>
      <c r="L88"/>
      <c r="M88" t="s">
        <v>392</v>
      </c>
      <c r="N88"/>
      <c r="O88"/>
    </row>
    <row r="89" spans="1:15" s="6" customFormat="1" x14ac:dyDescent="0.25">
      <c r="A89" s="4">
        <v>979478312</v>
      </c>
      <c r="B89" s="4" t="str">
        <f t="shared" si="1"/>
        <v>979478312OVR</v>
      </c>
      <c r="C89" t="s">
        <v>339</v>
      </c>
      <c r="D89" t="s">
        <v>209</v>
      </c>
      <c r="E89">
        <v>20411454</v>
      </c>
      <c r="F89" t="s">
        <v>407</v>
      </c>
      <c r="G89" t="s">
        <v>223</v>
      </c>
      <c r="H89" s="1">
        <v>46023</v>
      </c>
      <c r="I89"/>
      <c r="J89"/>
      <c r="K89">
        <v>-175</v>
      </c>
      <c r="L89"/>
      <c r="M89" t="s">
        <v>392</v>
      </c>
      <c r="N89"/>
      <c r="O89"/>
    </row>
    <row r="90" spans="1:15" s="6" customFormat="1" x14ac:dyDescent="0.25">
      <c r="A90" s="4">
        <v>967468809</v>
      </c>
      <c r="B90" s="4" t="str">
        <f t="shared" si="1"/>
        <v>967468809OVR</v>
      </c>
      <c r="C90" t="s">
        <v>335</v>
      </c>
      <c r="D90" t="s">
        <v>46</v>
      </c>
      <c r="E90">
        <v>20411454</v>
      </c>
      <c r="F90" t="s">
        <v>407</v>
      </c>
      <c r="G90" t="s">
        <v>337</v>
      </c>
      <c r="H90" s="1">
        <v>46054</v>
      </c>
      <c r="I90"/>
      <c r="J90"/>
      <c r="K90">
        <v>-113</v>
      </c>
      <c r="L90"/>
      <c r="M90" t="s">
        <v>392</v>
      </c>
      <c r="N90"/>
      <c r="O90"/>
    </row>
    <row r="91" spans="1:15" s="6" customFormat="1" x14ac:dyDescent="0.25">
      <c r="A91" s="4">
        <v>980482625</v>
      </c>
      <c r="B91" s="4" t="str">
        <f t="shared" si="1"/>
        <v>980482625OVR</v>
      </c>
      <c r="C91" t="s">
        <v>251</v>
      </c>
      <c r="D91" t="s">
        <v>55</v>
      </c>
      <c r="E91">
        <v>20411454</v>
      </c>
      <c r="F91" t="s">
        <v>407</v>
      </c>
      <c r="G91" t="s">
        <v>343</v>
      </c>
      <c r="H91" s="1">
        <v>46082</v>
      </c>
      <c r="I91"/>
      <c r="J91"/>
      <c r="K91">
        <v>-41.67</v>
      </c>
      <c r="L91"/>
      <c r="M91" t="s">
        <v>392</v>
      </c>
      <c r="N91"/>
      <c r="O91"/>
    </row>
    <row r="92" spans="1:15" s="6" customFormat="1" x14ac:dyDescent="0.25">
      <c r="A92" s="4">
        <v>951067902</v>
      </c>
      <c r="B92" s="4" t="str">
        <f t="shared" ref="B92:B123" si="2">CONCATENATE(A92,"OVR")</f>
        <v>951067902OVR</v>
      </c>
      <c r="C92" t="s">
        <v>233</v>
      </c>
      <c r="D92" t="s">
        <v>234</v>
      </c>
      <c r="E92">
        <v>20411454</v>
      </c>
      <c r="F92" t="s">
        <v>407</v>
      </c>
      <c r="G92" t="s">
        <v>236</v>
      </c>
      <c r="H92" s="1">
        <v>46082</v>
      </c>
      <c r="I92" s="2">
        <v>60</v>
      </c>
      <c r="J92">
        <v>1</v>
      </c>
      <c r="K92" s="2">
        <v>60</v>
      </c>
      <c r="L92" t="s">
        <v>148</v>
      </c>
      <c r="M92" t="s">
        <v>392</v>
      </c>
      <c r="N92"/>
      <c r="O92"/>
    </row>
    <row r="93" spans="1:15" s="6" customFormat="1" x14ac:dyDescent="0.25">
      <c r="A93" s="4">
        <v>980482625</v>
      </c>
      <c r="B93" s="4" t="str">
        <f t="shared" si="2"/>
        <v>980482625OVR</v>
      </c>
      <c r="C93" t="s">
        <v>251</v>
      </c>
      <c r="D93" t="s">
        <v>55</v>
      </c>
      <c r="E93">
        <v>20411454</v>
      </c>
      <c r="F93" t="s">
        <v>407</v>
      </c>
      <c r="G93" t="s">
        <v>256</v>
      </c>
      <c r="H93" s="1">
        <v>46082</v>
      </c>
      <c r="I93" s="2">
        <v>94.17</v>
      </c>
      <c r="J93">
        <v>1</v>
      </c>
      <c r="K93" s="2">
        <v>94.17</v>
      </c>
      <c r="L93" t="s">
        <v>148</v>
      </c>
      <c r="M93" t="s">
        <v>392</v>
      </c>
      <c r="N93"/>
      <c r="O93"/>
    </row>
    <row r="94" spans="1:15" s="6" customFormat="1" x14ac:dyDescent="0.25">
      <c r="A94" s="4">
        <v>914196025</v>
      </c>
      <c r="B94" s="4" t="str">
        <f t="shared" si="2"/>
        <v>914196025OVR</v>
      </c>
      <c r="C94" t="s">
        <v>219</v>
      </c>
      <c r="D94" t="s">
        <v>117</v>
      </c>
      <c r="E94">
        <v>20411454</v>
      </c>
      <c r="F94" t="s">
        <v>407</v>
      </c>
      <c r="G94" t="s">
        <v>223</v>
      </c>
      <c r="H94" s="1">
        <v>46113</v>
      </c>
      <c r="I94" s="2">
        <v>175</v>
      </c>
      <c r="J94">
        <v>1</v>
      </c>
      <c r="K94" s="2">
        <v>175</v>
      </c>
      <c r="L94"/>
      <c r="M94" t="s">
        <v>392</v>
      </c>
      <c r="N94"/>
      <c r="O94"/>
    </row>
    <row r="95" spans="1:15" s="6" customFormat="1" x14ac:dyDescent="0.25">
      <c r="A95" s="4">
        <v>940603285</v>
      </c>
      <c r="B95" s="4" t="str">
        <f t="shared" si="2"/>
        <v>940603285OVR</v>
      </c>
      <c r="C95" t="s">
        <v>230</v>
      </c>
      <c r="D95" t="s">
        <v>124</v>
      </c>
      <c r="E95">
        <v>20411454</v>
      </c>
      <c r="F95" t="s">
        <v>407</v>
      </c>
      <c r="G95" t="s">
        <v>223</v>
      </c>
      <c r="H95" s="1">
        <v>46113</v>
      </c>
      <c r="I95" s="2">
        <v>175</v>
      </c>
      <c r="J95">
        <v>1</v>
      </c>
      <c r="K95" s="2">
        <v>175</v>
      </c>
      <c r="L95"/>
      <c r="M95" t="s">
        <v>392</v>
      </c>
      <c r="N95"/>
      <c r="O95"/>
    </row>
    <row r="96" spans="1:15" s="6" customFormat="1" x14ac:dyDescent="0.25">
      <c r="A96" s="5" t="s">
        <v>376</v>
      </c>
      <c r="B96" s="5" t="str">
        <f>CONCATENATE(A96,1)</f>
        <v>A044437401</v>
      </c>
      <c r="C96" s="6" t="s">
        <v>264</v>
      </c>
      <c r="D96" s="6" t="s">
        <v>46</v>
      </c>
      <c r="E96" s="6">
        <v>8244481</v>
      </c>
      <c r="F96" s="6" t="s">
        <v>266</v>
      </c>
      <c r="G96" s="6" t="s">
        <v>267</v>
      </c>
      <c r="H96" s="7">
        <v>46113</v>
      </c>
      <c r="I96" s="8">
        <v>31.5</v>
      </c>
      <c r="J96" s="6">
        <v>9</v>
      </c>
      <c r="K96" s="8">
        <v>283.5</v>
      </c>
      <c r="M96" s="6" t="s">
        <v>267</v>
      </c>
    </row>
    <row r="97" spans="1:14" s="6" customFormat="1" x14ac:dyDescent="0.25">
      <c r="A97" s="5">
        <v>910777204</v>
      </c>
      <c r="B97" s="5" t="str">
        <f>CONCATENATE(A97,12)</f>
        <v>91077720412</v>
      </c>
      <c r="C97" s="6" t="s">
        <v>214</v>
      </c>
      <c r="D97" s="6" t="s">
        <v>46</v>
      </c>
      <c r="E97" s="6">
        <v>19200754</v>
      </c>
      <c r="F97" s="6" t="s">
        <v>216</v>
      </c>
      <c r="G97" s="6" t="s">
        <v>217</v>
      </c>
      <c r="H97" s="7">
        <v>46113</v>
      </c>
      <c r="I97" s="8">
        <v>694</v>
      </c>
      <c r="J97" s="6">
        <v>1</v>
      </c>
      <c r="K97" s="8">
        <v>694</v>
      </c>
      <c r="M97" s="6" t="s">
        <v>394</v>
      </c>
      <c r="N97" s="6" t="s">
        <v>406</v>
      </c>
    </row>
    <row r="98" spans="1:14" s="6" customFormat="1" x14ac:dyDescent="0.25">
      <c r="A98" s="5">
        <v>910777204</v>
      </c>
      <c r="B98" s="5" t="str">
        <f>CONCATENATE(A98,11)</f>
        <v>91077720411</v>
      </c>
      <c r="C98" s="6" t="s">
        <v>214</v>
      </c>
      <c r="D98" s="6" t="s">
        <v>46</v>
      </c>
      <c r="E98" s="6">
        <v>19200754</v>
      </c>
      <c r="F98" s="6" t="s">
        <v>216</v>
      </c>
      <c r="G98" s="6" t="s">
        <v>220</v>
      </c>
      <c r="H98" s="7">
        <v>46113</v>
      </c>
      <c r="K98" s="6">
        <v>-260.25</v>
      </c>
      <c r="M98" s="6" t="s">
        <v>396</v>
      </c>
      <c r="N98" s="6" t="s">
        <v>401</v>
      </c>
    </row>
    <row r="99" spans="1:14" s="6" customFormat="1" x14ac:dyDescent="0.25">
      <c r="A99" s="5">
        <v>940603285</v>
      </c>
      <c r="B99" s="5" t="str">
        <f>CONCATENATE(A99,11)</f>
        <v>94060328511</v>
      </c>
      <c r="C99" s="6" t="s">
        <v>230</v>
      </c>
      <c r="D99" s="6" t="s">
        <v>124</v>
      </c>
      <c r="E99" s="6">
        <v>19645587</v>
      </c>
      <c r="F99" s="6" t="s">
        <v>68</v>
      </c>
      <c r="G99" s="6" t="s">
        <v>220</v>
      </c>
      <c r="H99" s="7">
        <v>46113</v>
      </c>
      <c r="I99" s="8">
        <v>260.25</v>
      </c>
      <c r="J99" s="6">
        <v>1</v>
      </c>
      <c r="K99" s="8">
        <v>260.25</v>
      </c>
      <c r="L99" s="6" t="s">
        <v>221</v>
      </c>
      <c r="M99" s="6" t="s">
        <v>396</v>
      </c>
      <c r="N99" s="6" t="s">
        <v>401</v>
      </c>
    </row>
    <row r="100" spans="1:14" s="6" customFormat="1" x14ac:dyDescent="0.25">
      <c r="A100" s="5">
        <v>945648838</v>
      </c>
      <c r="B100" s="5">
        <v>945648838</v>
      </c>
      <c r="C100" s="6" t="s">
        <v>324</v>
      </c>
      <c r="D100" s="6" t="s">
        <v>325</v>
      </c>
      <c r="E100" s="6">
        <v>19645587</v>
      </c>
      <c r="F100" s="6" t="s">
        <v>68</v>
      </c>
      <c r="G100" s="6" t="s">
        <v>326</v>
      </c>
      <c r="H100" s="7">
        <v>46054</v>
      </c>
      <c r="K100" s="6">
        <v>-611</v>
      </c>
      <c r="M100" s="6" t="s">
        <v>393</v>
      </c>
      <c r="N100" s="6" t="s">
        <v>405</v>
      </c>
    </row>
    <row r="101" spans="1:14" s="6" customFormat="1" x14ac:dyDescent="0.25">
      <c r="A101" s="5">
        <v>914196025</v>
      </c>
      <c r="B101" s="5" t="str">
        <f>CONCATENATE(A101,11)</f>
        <v>91419602511</v>
      </c>
      <c r="C101" s="6" t="s">
        <v>219</v>
      </c>
      <c r="D101" s="6" t="s">
        <v>117</v>
      </c>
      <c r="E101" s="6">
        <v>19491313</v>
      </c>
      <c r="F101" s="6" t="s">
        <v>119</v>
      </c>
      <c r="G101" s="6" t="s">
        <v>220</v>
      </c>
      <c r="H101" s="7">
        <v>46113</v>
      </c>
      <c r="I101" s="8">
        <v>260.25</v>
      </c>
      <c r="J101" s="6">
        <v>1</v>
      </c>
      <c r="K101" s="8">
        <v>260.25</v>
      </c>
      <c r="L101" s="6" t="s">
        <v>221</v>
      </c>
      <c r="M101" s="6" t="s">
        <v>396</v>
      </c>
      <c r="N101" s="6" t="s">
        <v>401</v>
      </c>
    </row>
    <row r="102" spans="1:14" s="6" customFormat="1" x14ac:dyDescent="0.25">
      <c r="A102" s="5" t="s">
        <v>375</v>
      </c>
      <c r="B102" s="5" t="str">
        <f>CONCATENATE(A102,1)</f>
        <v>A041136911</v>
      </c>
      <c r="C102" s="6" t="s">
        <v>258</v>
      </c>
      <c r="D102" s="6" t="s">
        <v>259</v>
      </c>
      <c r="E102" s="6">
        <v>16202925</v>
      </c>
      <c r="F102" s="6" t="s">
        <v>261</v>
      </c>
      <c r="G102" s="6" t="s">
        <v>262</v>
      </c>
      <c r="H102" s="7">
        <v>45536</v>
      </c>
      <c r="I102" s="8">
        <v>23.13</v>
      </c>
      <c r="J102" s="6">
        <v>9</v>
      </c>
      <c r="K102" s="8">
        <v>208.17</v>
      </c>
      <c r="M102" s="6" t="s">
        <v>262</v>
      </c>
    </row>
  </sheetData>
  <sortState xmlns:xlrd2="http://schemas.microsoft.com/office/spreadsheetml/2017/richdata2" ref="A2:O102">
    <sortCondition ref="F2:F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2026-03-20T06:30:34Z</dcterms:created>
  <dcterms:modified xsi:type="dcterms:W3CDTF">2026-03-26T20:46:55Z</dcterms:modified>
</cp:coreProperties>
</file>