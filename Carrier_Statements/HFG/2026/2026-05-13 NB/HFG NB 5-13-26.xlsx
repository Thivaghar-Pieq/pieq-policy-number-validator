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HFG\2026\2026-05-13 NB\"/>
    </mc:Choice>
  </mc:AlternateContent>
  <xr:revisionPtr revIDLastSave="0" documentId="13_ncr:1_{1E2049EE-7AA5-4F21-9C5F-5132431AFD3F}" xr6:coauthVersionLast="47" xr6:coauthVersionMax="47" xr10:uidLastSave="{00000000-0000-0000-0000-000000000000}"/>
  <bookViews>
    <workbookView xWindow="-120" yWindow="-120" windowWidth="29040" windowHeight="16440" activeTab="1" xr2:uid="{0F82DFA1-260A-4A8A-A668-0B259129F8B5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56" i="2" l="1"/>
  <c r="B68" i="2"/>
  <c r="B69" i="2"/>
  <c r="B64" i="2"/>
  <c r="B66" i="2"/>
  <c r="B65" i="2"/>
  <c r="B67" i="2"/>
  <c r="B55" i="2"/>
  <c r="B54" i="2"/>
  <c r="B53" i="2"/>
  <c r="B52" i="2"/>
  <c r="B49" i="2"/>
  <c r="B50" i="2"/>
  <c r="B48" i="2"/>
  <c r="B51" i="2"/>
  <c r="B63" i="2"/>
  <c r="B62" i="2"/>
  <c r="B61" i="2"/>
  <c r="B60" i="2"/>
  <c r="B59" i="2"/>
  <c r="B58" i="2"/>
  <c r="B57" i="2"/>
  <c r="B79" i="2"/>
  <c r="B76" i="2"/>
  <c r="B78" i="2"/>
  <c r="B75" i="2"/>
  <c r="B74" i="2"/>
  <c r="B73" i="2"/>
  <c r="B72" i="2"/>
  <c r="B71" i="2"/>
  <c r="B77" i="2"/>
  <c r="B39" i="2"/>
  <c r="B38" i="2"/>
  <c r="B37" i="2"/>
  <c r="B36" i="2"/>
  <c r="B42" i="2"/>
  <c r="B41" i="2"/>
  <c r="B44" i="2"/>
  <c r="B43" i="2"/>
  <c r="B40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8" i="2"/>
  <c r="B7" i="2"/>
  <c r="B6" i="2"/>
  <c r="B9" i="2"/>
  <c r="B5" i="2"/>
  <c r="B4" i="2"/>
  <c r="B3" i="2"/>
  <c r="B2" i="2"/>
  <c r="B12" i="2"/>
  <c r="B11" i="2"/>
  <c r="B10" i="2"/>
  <c r="Q67" i="2"/>
  <c r="Q65" i="2"/>
  <c r="Q53" i="2"/>
  <c r="Q52" i="2"/>
</calcChain>
</file>

<file path=xl/sharedStrings.xml><?xml version="1.0" encoding="utf-8"?>
<sst xmlns="http://schemas.openxmlformats.org/spreadsheetml/2006/main" count="1708" uniqueCount="360">
  <si>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</si>
  <si>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</si>
  <si>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</si>
  <si>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</si>
  <si>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</si>
  <si>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</si>
  <si>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</si>
  <si>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</si>
  <si>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</si>
  <si>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</si>
  <si>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</si>
  <si>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</si>
  <si>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</si>
  <si>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</si>
  <si>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</si>
  <si>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</si>
  <si>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</si>
  <si>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</si>
  <si>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</si>
  <si>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</si>
  <si>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</si>
  <si>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</si>
  <si>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</si>
  <si>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</si>
  <si>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</si>
  <si>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</si>
  <si>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</si>
  <si>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</si>
  <si>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</si>
  <si>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</si>
  <si>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</si>
  <si>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</si>
  <si>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</si>
  <si>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</si>
  <si>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</si>
  <si>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</si>
  <si>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</si>
  <si>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</si>
  <si>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</si>
  <si>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</si>
  <si>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</si>
  <si>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</si>
  <si>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</si>
  <si>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</si>
  <si>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'00004157241K</t>
  </si>
  <si>
    <t>JONG KIM</t>
  </si>
  <si>
    <t>IL</t>
  </si>
  <si>
    <t>'045603</t>
  </si>
  <si>
    <t>ANDREW CHOI</t>
  </si>
  <si>
    <t>ACTIVE</t>
  </si>
  <si>
    <t>Humana MA 2019+ Level 15- 175/108</t>
  </si>
  <si>
    <t>Monthly</t>
  </si>
  <si>
    <t>AV</t>
  </si>
  <si>
    <t>'00023000460K</t>
  </si>
  <si>
    <t>FRED SHUMAKER</t>
  </si>
  <si>
    <t>OH</t>
  </si>
  <si>
    <t>'045670</t>
  </si>
  <si>
    <t>STEVEN BRANDT</t>
  </si>
  <si>
    <t>Humana MA 2019+ Level 15- 175/108 Repl 2024</t>
  </si>
  <si>
    <t>'00023759351K</t>
  </si>
  <si>
    <t>ELMINA ETIENNE</t>
  </si>
  <si>
    <t>FL</t>
  </si>
  <si>
    <t>'045612</t>
  </si>
  <si>
    <t>ANTHONY HUNSBERGER</t>
  </si>
  <si>
    <t>'00025584966K</t>
  </si>
  <si>
    <t>REBECA MADRIGAL</t>
  </si>
  <si>
    <t>'043589</t>
  </si>
  <si>
    <t>JOSE TORRES</t>
  </si>
  <si>
    <t>'00025746940K</t>
  </si>
  <si>
    <t>RAMON TEJEDA</t>
  </si>
  <si>
    <t>'045966</t>
  </si>
  <si>
    <t>ANTONIA NEVAREZ</t>
  </si>
  <si>
    <t>'00026173515K</t>
  </si>
  <si>
    <t>JOHN CARDONE</t>
  </si>
  <si>
    <t>'045613</t>
  </si>
  <si>
    <t>RICARDO SANTOS</t>
  </si>
  <si>
    <t>'00026210171K</t>
  </si>
  <si>
    <t>CARLOS VALADEZ PEREZ</t>
  </si>
  <si>
    <t>'00026435446K</t>
  </si>
  <si>
    <t>CYNTHIA MALKIEWICZ</t>
  </si>
  <si>
    <t>'00026437864K</t>
  </si>
  <si>
    <t>SHARON SANDMAN</t>
  </si>
  <si>
    <t>NM</t>
  </si>
  <si>
    <t>'045605</t>
  </si>
  <si>
    <t>GARY PORTUGAL</t>
  </si>
  <si>
    <t>'00026442469K</t>
  </si>
  <si>
    <t>MICHAEL COFFIELD</t>
  </si>
  <si>
    <t>'043618</t>
  </si>
  <si>
    <t>SAADIA ABDUL</t>
  </si>
  <si>
    <t>'00026445290K</t>
  </si>
  <si>
    <t>KAREN JOSSEL</t>
  </si>
  <si>
    <t>'045671</t>
  </si>
  <si>
    <t>ROBERT SHAPIRO</t>
  </si>
  <si>
    <t>'00026446350K</t>
  </si>
  <si>
    <t>VICTORIA PRADO</t>
  </si>
  <si>
    <t>'00026450489K</t>
  </si>
  <si>
    <t>JOHN FEINEN</t>
  </si>
  <si>
    <t>'00026451696K</t>
  </si>
  <si>
    <t>CANDICE MCQUAY</t>
  </si>
  <si>
    <t>MO</t>
  </si>
  <si>
    <t>'00026452632K</t>
  </si>
  <si>
    <t>SUSAN VELEZ</t>
  </si>
  <si>
    <t>'045622</t>
  </si>
  <si>
    <t>JACOB YALE</t>
  </si>
  <si>
    <t>'00026452904K</t>
  </si>
  <si>
    <t>EDWARD KENDALL</t>
  </si>
  <si>
    <t>'043637</t>
  </si>
  <si>
    <t>CHRISTIAN TAUGNER</t>
  </si>
  <si>
    <t>'00026454047K</t>
  </si>
  <si>
    <t>JAMES MARKS</t>
  </si>
  <si>
    <t>'00026454147K</t>
  </si>
  <si>
    <t>JOSE LEANOS GALVEZ</t>
  </si>
  <si>
    <t>'043813</t>
  </si>
  <si>
    <t>VICTOR FUENTES</t>
  </si>
  <si>
    <t>'00026455273K</t>
  </si>
  <si>
    <t>DAVID ZIRZOW</t>
  </si>
  <si>
    <t>'00026455988K</t>
  </si>
  <si>
    <t>DAVID MORENO</t>
  </si>
  <si>
    <t>NV</t>
  </si>
  <si>
    <t>'045712</t>
  </si>
  <si>
    <t>GREGORY HANSFORD</t>
  </si>
  <si>
    <t>'00026457385K</t>
  </si>
  <si>
    <t>JEANNE CURNOW</t>
  </si>
  <si>
    <t>'00026457442K</t>
  </si>
  <si>
    <t>MARY GRANTNER</t>
  </si>
  <si>
    <t>'00026460318K</t>
  </si>
  <si>
    <t>CATHERINE PAGEL</t>
  </si>
  <si>
    <t>IA</t>
  </si>
  <si>
    <t>'045638</t>
  </si>
  <si>
    <t>RICHARD YALE</t>
  </si>
  <si>
    <t>'00026462882K</t>
  </si>
  <si>
    <t>KEVIN CARMAN</t>
  </si>
  <si>
    <t>NJ</t>
  </si>
  <si>
    <t>'043867</t>
  </si>
  <si>
    <t>RYAN STOCKER</t>
  </si>
  <si>
    <t>'00026463580K</t>
  </si>
  <si>
    <t>JON BENSON</t>
  </si>
  <si>
    <t>'00026464632K</t>
  </si>
  <si>
    <t>FATOS ELEZI</t>
  </si>
  <si>
    <t>'043633</t>
  </si>
  <si>
    <t>RICHARD WUENSCH</t>
  </si>
  <si>
    <t>'00026475597K</t>
  </si>
  <si>
    <t>COLLEEN KINNUNEN</t>
  </si>
  <si>
    <t>'041686</t>
  </si>
  <si>
    <t>DALE WALENGA</t>
  </si>
  <si>
    <t>'101795177200</t>
  </si>
  <si>
    <t>LINDA MAXWELL</t>
  </si>
  <si>
    <t>PA</t>
  </si>
  <si>
    <t>'043611</t>
  </si>
  <si>
    <t>TIMOTHY POWERS</t>
  </si>
  <si>
    <t>Aetna MAPD NMO to MMO - 2025+ Replace E-App</t>
  </si>
  <si>
    <t>8/12 PRORATE</t>
  </si>
  <si>
    <t>'102074151600</t>
  </si>
  <si>
    <t>SHEILA CHRISTIAN</t>
  </si>
  <si>
    <t>'043644</t>
  </si>
  <si>
    <t>TIMOTHY HODGMAN</t>
  </si>
  <si>
    <t>'102276693000</t>
  </si>
  <si>
    <t>DEAN CORNELL</t>
  </si>
  <si>
    <t>'043689</t>
  </si>
  <si>
    <t>ANNE MARIE KOZACHECK</t>
  </si>
  <si>
    <t>'102276738400</t>
  </si>
  <si>
    <t>KAREN HALLEY</t>
  </si>
  <si>
    <t>'040060</t>
  </si>
  <si>
    <t>RYAN SHEPARD</t>
  </si>
  <si>
    <t>'102276901900</t>
  </si>
  <si>
    <t>SUSAN MCCLOSKEY</t>
  </si>
  <si>
    <t>6/12 PRORATE</t>
  </si>
  <si>
    <t>'102277051000</t>
  </si>
  <si>
    <t>LESLIE BANE</t>
  </si>
  <si>
    <t>'043679</t>
  </si>
  <si>
    <t>DEBORAH INSKIPT</t>
  </si>
  <si>
    <t>'102277107500</t>
  </si>
  <si>
    <t>JANET CASCIATO</t>
  </si>
  <si>
    <t>'043747</t>
  </si>
  <si>
    <t>ALAN COUSAR</t>
  </si>
  <si>
    <t>'102277112400</t>
  </si>
  <si>
    <t>STEVEN SABULSKY</t>
  </si>
  <si>
    <t>'045609</t>
  </si>
  <si>
    <t>MURRAY STERNER</t>
  </si>
  <si>
    <t>'134831885OVPC</t>
  </si>
  <si>
    <t>CHARLOTTE WILSON</t>
  </si>
  <si>
    <t>'045684</t>
  </si>
  <si>
    <t>JILL SHEPARD</t>
  </si>
  <si>
    <t>Active</t>
  </si>
  <si>
    <t>UHC MA Direct 2025 New Full</t>
  </si>
  <si>
    <t>UHC MA Bonus Upload 05-13-2026.xlsx</t>
  </si>
  <si>
    <t>'134831885PC</t>
  </si>
  <si>
    <t>UHC MAPD Street payable to upline- 2026 Replace</t>
  </si>
  <si>
    <t>'135835752</t>
  </si>
  <si>
    <t>YAZHOU FU</t>
  </si>
  <si>
    <t>MD</t>
  </si>
  <si>
    <t>'045717</t>
  </si>
  <si>
    <t>RONALD MAX</t>
  </si>
  <si>
    <t>UHC MAPD Street payable to upline- 2026 Pro New</t>
  </si>
  <si>
    <t>9/12 PRORATE</t>
  </si>
  <si>
    <t>'904672379</t>
  </si>
  <si>
    <t>JOSEPH PENTA</t>
  </si>
  <si>
    <t>'045601</t>
  </si>
  <si>
    <t>CAROL FOLEY</t>
  </si>
  <si>
    <t>UHC MAPD Street payable to upline NJ- 2026 New</t>
  </si>
  <si>
    <t>'917273853</t>
  </si>
  <si>
    <t>JUAN TORRES</t>
  </si>
  <si>
    <t>UHC MAPD Street payable to upline - 2026 New</t>
  </si>
  <si>
    <t>'922221778</t>
  </si>
  <si>
    <t>ANNA WARD</t>
  </si>
  <si>
    <t>WI</t>
  </si>
  <si>
    <t>'045632</t>
  </si>
  <si>
    <t>BARRY SCHUMANN</t>
  </si>
  <si>
    <t>'922221778OV</t>
  </si>
  <si>
    <t>'941348923</t>
  </si>
  <si>
    <t>MARCOS SIFUENTES</t>
  </si>
  <si>
    <t>'941348923OV</t>
  </si>
  <si>
    <t>UHC MA Direct 2025 New Initial Prorated</t>
  </si>
  <si>
    <t>'944805654</t>
  </si>
  <si>
    <t>JOSEPH HARTMAN</t>
  </si>
  <si>
    <t>7/12 PRORATE</t>
  </si>
  <si>
    <t>'944805654OV</t>
  </si>
  <si>
    <t>'945648838</t>
  </si>
  <si>
    <t>BOBBY SISK</t>
  </si>
  <si>
    <t>CA</t>
  </si>
  <si>
    <t>'043969</t>
  </si>
  <si>
    <t>STACEY PORTUGAL</t>
  </si>
  <si>
    <t>UHC MAPD Street payable to upline - 2024 New</t>
  </si>
  <si>
    <t>'950332986</t>
  </si>
  <si>
    <t>MARIA GOMEZ CAJIGAS</t>
  </si>
  <si>
    <t>'045709</t>
  </si>
  <si>
    <t>ESTHER HERRERA-LARSEN</t>
  </si>
  <si>
    <t>'950332986OV</t>
  </si>
  <si>
    <t>'958101264</t>
  </si>
  <si>
    <t>MICHAEL RUDASKI</t>
  </si>
  <si>
    <t>'958101264OV</t>
  </si>
  <si>
    <t>'961608197</t>
  </si>
  <si>
    <t>KAROL CARNEY</t>
  </si>
  <si>
    <t>TN</t>
  </si>
  <si>
    <t>'045967</t>
  </si>
  <si>
    <t>DANNA GREEN</t>
  </si>
  <si>
    <t>'961608197OV</t>
  </si>
  <si>
    <t>'966156394</t>
  </si>
  <si>
    <t>MICHAEL TUTTLE</t>
  </si>
  <si>
    <t>NC</t>
  </si>
  <si>
    <t>'043718</t>
  </si>
  <si>
    <t>CHAD YALE</t>
  </si>
  <si>
    <t>'974497683</t>
  </si>
  <si>
    <t>JAMES WELCH</t>
  </si>
  <si>
    <t>AZ</t>
  </si>
  <si>
    <t>'974497683OV</t>
  </si>
  <si>
    <t>'A04470710</t>
  </si>
  <si>
    <t>JEROME SCHAFER</t>
  </si>
  <si>
    <t>IN</t>
  </si>
  <si>
    <t>UHC AARP Med Supp 2025+ IN All Plans</t>
  </si>
  <si>
    <t>'A04471094</t>
  </si>
  <si>
    <t>JAMES GANGNON</t>
  </si>
  <si>
    <t>'A04471668</t>
  </si>
  <si>
    <t>JAY STATLAND</t>
  </si>
  <si>
    <t>UHC AARP Med Supp 2026+ AZ IL KS ME NC TN WV Plan B C D F G</t>
  </si>
  <si>
    <t>'A04471707</t>
  </si>
  <si>
    <t>BARBARA STATLAND</t>
  </si>
  <si>
    <t>'A04472120</t>
  </si>
  <si>
    <t>SONIA WEISZ</t>
  </si>
  <si>
    <t>UHC AARP Med Supp 2026+ FL-Area 1 High Ded Plan G</t>
  </si>
  <si>
    <t>'A04472201</t>
  </si>
  <si>
    <t>EVELYN DAITCHMAN</t>
  </si>
  <si>
    <t>'A04473605</t>
  </si>
  <si>
    <t>JAMES RUCANDO</t>
  </si>
  <si>
    <t>UHC AARP Med Supp 2026+ IL Plan F G</t>
  </si>
  <si>
    <t>CB</t>
  </si>
  <si>
    <t>'00000646024DPC</t>
  </si>
  <si>
    <t>TIMOTHY PUTMAN</t>
  </si>
  <si>
    <t>CHARGEBACK</t>
  </si>
  <si>
    <t>'00010327423KPC</t>
  </si>
  <si>
    <t>SAAD MANSOUR</t>
  </si>
  <si>
    <t>'00014103701KPDPPC</t>
  </si>
  <si>
    <t>KATHLEEN CALHOON</t>
  </si>
  <si>
    <t>Humana PDP 2019+ Level 15- 15/0</t>
  </si>
  <si>
    <t>'00019368907KPC</t>
  </si>
  <si>
    <t>K CRAIG</t>
  </si>
  <si>
    <t>'00023861582KPDPPC</t>
  </si>
  <si>
    <t>RICHARD TAUGNER</t>
  </si>
  <si>
    <t>'00024228644KPC</t>
  </si>
  <si>
    <t>MONICA KLUBERT</t>
  </si>
  <si>
    <t>'00024601500KPDPPC</t>
  </si>
  <si>
    <t>TERESA DAVISSON</t>
  </si>
  <si>
    <t>'00025584966KPC</t>
  </si>
  <si>
    <t>'101500691700PC</t>
  </si>
  <si>
    <t>JOSEPH GUSTAFSON</t>
  </si>
  <si>
    <t>Aetna MAPD NMO to MMO - 2025+ New E-App</t>
  </si>
  <si>
    <t>'102251351600PC</t>
  </si>
  <si>
    <t>JANICE MALONE</t>
  </si>
  <si>
    <t>'045591</t>
  </si>
  <si>
    <t>CHRISTOPHER BROUSSEAU</t>
  </si>
  <si>
    <t>'102262915000CB</t>
  </si>
  <si>
    <t>JOSEPH MASTRONI</t>
  </si>
  <si>
    <t>'043682</t>
  </si>
  <si>
    <t>GREGORY TEIPEL</t>
  </si>
  <si>
    <t>'904672379CB</t>
  </si>
  <si>
    <t>UHC MAPD Street payable to upline NJ- 2026 Replace</t>
  </si>
  <si>
    <t>'917273853CB</t>
  </si>
  <si>
    <t>'958101264CB</t>
  </si>
  <si>
    <t>'958101264OVCB</t>
  </si>
  <si>
    <t>00004157241K</t>
  </si>
  <si>
    <t>00023000460K</t>
  </si>
  <si>
    <t>00023759351K</t>
  </si>
  <si>
    <t>00025584966K</t>
  </si>
  <si>
    <t>00025746940K</t>
  </si>
  <si>
    <t>00026173515K</t>
  </si>
  <si>
    <t>00026210171K</t>
  </si>
  <si>
    <t>00026435446K</t>
  </si>
  <si>
    <t>00026437864K</t>
  </si>
  <si>
    <t>00026442469K</t>
  </si>
  <si>
    <t>00026445290K</t>
  </si>
  <si>
    <t>00026446350K</t>
  </si>
  <si>
    <t>00026450489K</t>
  </si>
  <si>
    <t>00026451696K</t>
  </si>
  <si>
    <t>00026452632K</t>
  </si>
  <si>
    <t>00026452904K</t>
  </si>
  <si>
    <t>00026454047K</t>
  </si>
  <si>
    <t>00026454147K</t>
  </si>
  <si>
    <t>00026455273K</t>
  </si>
  <si>
    <t>00026455988K</t>
  </si>
  <si>
    <t>00026457385K</t>
  </si>
  <si>
    <t>00026457442K</t>
  </si>
  <si>
    <t>00026460318K</t>
  </si>
  <si>
    <t>00026462882K</t>
  </si>
  <si>
    <t>00026463580K</t>
  </si>
  <si>
    <t>00026464632K</t>
  </si>
  <si>
    <t>00026475597K</t>
  </si>
  <si>
    <t>A04470710</t>
  </si>
  <si>
    <t>A04471094</t>
  </si>
  <si>
    <t>A04471668</t>
  </si>
  <si>
    <t>A04471707</t>
  </si>
  <si>
    <t>A04472120</t>
  </si>
  <si>
    <t>A04472201</t>
  </si>
  <si>
    <t>A04473605</t>
  </si>
  <si>
    <t>00000646024D</t>
  </si>
  <si>
    <t>00010327423K</t>
  </si>
  <si>
    <t>00014103701KPDP</t>
  </si>
  <si>
    <t>00019368907K</t>
  </si>
  <si>
    <t>00023861582KPDP</t>
  </si>
  <si>
    <t>00024228644K</t>
  </si>
  <si>
    <t>00024601500KPDP</t>
  </si>
  <si>
    <t>Aetna MAPD OVR 2026</t>
  </si>
  <si>
    <t>Humana MAPD OVR</t>
  </si>
  <si>
    <t>Humana PDP</t>
  </si>
  <si>
    <t>UHC MAPD Ovr 2026</t>
  </si>
  <si>
    <t>UHC 2026 CA, NJ</t>
  </si>
  <si>
    <t>UHC 2026</t>
  </si>
  <si>
    <t>UHC MAPD Nat 2024!</t>
  </si>
  <si>
    <t>UHC MAPD 2026*</t>
  </si>
  <si>
    <t>UHC 2026 CA, NJ*</t>
  </si>
  <si>
    <t>[%/$=432][prorate=9/12]</t>
  </si>
  <si>
    <t>[%/$=347][prorate=3/12]</t>
  </si>
  <si>
    <t>[%/$=347][prorate=8/12]</t>
  </si>
  <si>
    <t>[%/$=347][prorate=7/12]</t>
  </si>
  <si>
    <t>[%/$=864]</t>
  </si>
  <si>
    <t>[%/$=611]</t>
  </si>
  <si>
    <t>[%/$=694]</t>
  </si>
  <si>
    <t>[%/$=694][prorate=9/12]</t>
  </si>
  <si>
    <t>[%/$=694][prorate=8/12]</t>
  </si>
  <si>
    <t>Main Line Benefits</t>
  </si>
  <si>
    <t>16849453L5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</si>
</sst>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0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1" fontId="0" fillId="34" borderId="0" xfId="0" applyNumberForma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C8B8-B57E-4C3D-AC9E-6B4350107BE6}">
  <dimension ref="A1:AL79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9.7109375" bestFit="1" customWidth="1"/>
    <col min="10" max="10" width="22.42578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4.5703125" bestFit="1" customWidth="1"/>
    <col min="17" max="17" width="12.85546875" bestFit="1" customWidth="1"/>
    <col min="18" max="18" width="58.28515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5.42578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46155</v>
      </c>
      <c r="B2" s="1">
        <v>46155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46143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6755373</v>
      </c>
    </row>
    <row r="3" spans="1:38" x14ac:dyDescent="0.25">
      <c r="A3" s="1">
        <v>46155</v>
      </c>
      <c r="B3" s="1">
        <v>46155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58</v>
      </c>
      <c r="S3" s="1">
        <v>46143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6755289</v>
      </c>
    </row>
    <row r="4" spans="1:38" x14ac:dyDescent="0.25">
      <c r="A4" s="1">
        <v>46155</v>
      </c>
      <c r="B4" s="1">
        <v>46155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61</v>
      </c>
      <c r="O4" t="s">
        <v>62</v>
      </c>
      <c r="P4" t="s">
        <v>63</v>
      </c>
      <c r="Q4" t="s">
        <v>49</v>
      </c>
      <c r="R4" t="s">
        <v>50</v>
      </c>
      <c r="S4" s="1">
        <v>46143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6755374</v>
      </c>
    </row>
    <row r="5" spans="1:38" x14ac:dyDescent="0.25">
      <c r="A5" s="1">
        <v>46155</v>
      </c>
      <c r="B5" s="1">
        <v>46155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49</v>
      </c>
      <c r="R5" t="s">
        <v>58</v>
      </c>
      <c r="S5" s="1">
        <v>46143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6755286</v>
      </c>
    </row>
    <row r="6" spans="1:38" x14ac:dyDescent="0.25">
      <c r="A6" s="1">
        <v>46155</v>
      </c>
      <c r="B6" s="1">
        <v>46155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46143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6755375</v>
      </c>
    </row>
    <row r="7" spans="1:38" x14ac:dyDescent="0.25">
      <c r="A7" s="1">
        <v>46155</v>
      </c>
      <c r="B7" s="1">
        <v>46155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74</v>
      </c>
      <c r="P7" t="s">
        <v>75</v>
      </c>
      <c r="Q7" t="s">
        <v>49</v>
      </c>
      <c r="R7" t="s">
        <v>58</v>
      </c>
      <c r="S7" s="1">
        <v>46143</v>
      </c>
      <c r="U7" t="s">
        <v>51</v>
      </c>
      <c r="X7" t="s">
        <v>52</v>
      </c>
      <c r="Y7" s="2">
        <v>0</v>
      </c>
      <c r="Z7" s="2">
        <v>108</v>
      </c>
      <c r="AA7">
        <v>1</v>
      </c>
      <c r="AB7" s="3">
        <v>1</v>
      </c>
      <c r="AC7" s="2">
        <v>108</v>
      </c>
      <c r="AD7" s="3">
        <v>0</v>
      </c>
      <c r="AE7" s="2">
        <v>0</v>
      </c>
      <c r="AF7" s="2">
        <v>108</v>
      </c>
      <c r="AK7">
        <v>6755290</v>
      </c>
    </row>
    <row r="8" spans="1:38" x14ac:dyDescent="0.25">
      <c r="A8" s="1">
        <v>46155</v>
      </c>
      <c r="B8" s="1">
        <v>46155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77</v>
      </c>
      <c r="M8" t="s">
        <v>46</v>
      </c>
      <c r="O8" t="s">
        <v>70</v>
      </c>
      <c r="P8" t="s">
        <v>71</v>
      </c>
      <c r="Q8" t="s">
        <v>49</v>
      </c>
      <c r="R8" t="s">
        <v>58</v>
      </c>
      <c r="S8" s="1">
        <v>46143</v>
      </c>
      <c r="U8" t="s">
        <v>51</v>
      </c>
      <c r="X8" t="s">
        <v>52</v>
      </c>
      <c r="Y8" s="2">
        <v>0</v>
      </c>
      <c r="Z8" s="2">
        <v>108</v>
      </c>
      <c r="AA8">
        <v>1</v>
      </c>
      <c r="AB8" s="3">
        <v>1</v>
      </c>
      <c r="AC8" s="2">
        <v>108</v>
      </c>
      <c r="AD8" s="3">
        <v>0</v>
      </c>
      <c r="AE8" s="2">
        <v>0</v>
      </c>
      <c r="AF8" s="2">
        <v>108</v>
      </c>
      <c r="AK8">
        <v>6755291</v>
      </c>
    </row>
    <row r="9" spans="1:38" x14ac:dyDescent="0.25">
      <c r="A9" s="1">
        <v>46155</v>
      </c>
      <c r="B9" s="1">
        <v>46155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74</v>
      </c>
      <c r="P9" t="s">
        <v>75</v>
      </c>
      <c r="Q9" t="s">
        <v>49</v>
      </c>
      <c r="R9" t="s">
        <v>50</v>
      </c>
      <c r="S9" s="1">
        <v>46174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6755376</v>
      </c>
    </row>
    <row r="10" spans="1:38" x14ac:dyDescent="0.25">
      <c r="A10" s="1">
        <v>46155</v>
      </c>
      <c r="B10" s="1">
        <v>46155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82</v>
      </c>
      <c r="O10" t="s">
        <v>83</v>
      </c>
      <c r="P10" t="s">
        <v>84</v>
      </c>
      <c r="Q10" t="s">
        <v>49</v>
      </c>
      <c r="R10" t="s">
        <v>50</v>
      </c>
      <c r="S10" s="1">
        <v>46143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6755377</v>
      </c>
    </row>
    <row r="11" spans="1:38" x14ac:dyDescent="0.25">
      <c r="A11" s="1">
        <v>46155</v>
      </c>
      <c r="B11" s="1">
        <v>46155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46</v>
      </c>
      <c r="O11" t="s">
        <v>87</v>
      </c>
      <c r="P11" t="s">
        <v>88</v>
      </c>
      <c r="Q11" t="s">
        <v>49</v>
      </c>
      <c r="R11" t="s">
        <v>50</v>
      </c>
      <c r="S11" s="1">
        <v>46143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6755378</v>
      </c>
    </row>
    <row r="12" spans="1:38" x14ac:dyDescent="0.25">
      <c r="A12" s="1">
        <v>46155</v>
      </c>
      <c r="B12" s="1">
        <v>46155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89</v>
      </c>
      <c r="J12" t="s">
        <v>90</v>
      </c>
      <c r="M12" t="s">
        <v>46</v>
      </c>
      <c r="O12" t="s">
        <v>91</v>
      </c>
      <c r="P12" t="s">
        <v>92</v>
      </c>
      <c r="Q12" t="s">
        <v>49</v>
      </c>
      <c r="R12" t="s">
        <v>50</v>
      </c>
      <c r="S12" s="1">
        <v>46174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6755379</v>
      </c>
    </row>
    <row r="13" spans="1:38" x14ac:dyDescent="0.25">
      <c r="A13" s="1">
        <v>46155</v>
      </c>
      <c r="B13" s="1">
        <v>46155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46</v>
      </c>
      <c r="O13" t="s">
        <v>74</v>
      </c>
      <c r="P13" t="s">
        <v>75</v>
      </c>
      <c r="Q13" t="s">
        <v>49</v>
      </c>
      <c r="R13" t="s">
        <v>50</v>
      </c>
      <c r="S13" s="1">
        <v>46143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6755380</v>
      </c>
    </row>
    <row r="14" spans="1:38" x14ac:dyDescent="0.25">
      <c r="A14" s="1">
        <v>46155</v>
      </c>
      <c r="B14" s="1">
        <v>46155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47</v>
      </c>
      <c r="P14" t="s">
        <v>48</v>
      </c>
      <c r="Q14" t="s">
        <v>49</v>
      </c>
      <c r="R14" t="s">
        <v>50</v>
      </c>
      <c r="S14" s="1">
        <v>46143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6755381</v>
      </c>
    </row>
    <row r="15" spans="1:38" x14ac:dyDescent="0.25">
      <c r="A15" s="1">
        <v>46155</v>
      </c>
      <c r="B15" s="1">
        <v>46155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99</v>
      </c>
      <c r="O15" t="s">
        <v>83</v>
      </c>
      <c r="P15" t="s">
        <v>84</v>
      </c>
      <c r="Q15" t="s">
        <v>49</v>
      </c>
      <c r="R15" t="s">
        <v>50</v>
      </c>
      <c r="S15" s="1">
        <v>46143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6755382</v>
      </c>
    </row>
    <row r="16" spans="1:38" x14ac:dyDescent="0.25">
      <c r="A16" s="1">
        <v>46155</v>
      </c>
      <c r="B16" s="1">
        <v>46155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100</v>
      </c>
      <c r="J16" t="s">
        <v>101</v>
      </c>
      <c r="M16" t="s">
        <v>46</v>
      </c>
      <c r="O16" t="s">
        <v>102</v>
      </c>
      <c r="P16" t="s">
        <v>103</v>
      </c>
      <c r="Q16" t="s">
        <v>49</v>
      </c>
      <c r="R16" t="s">
        <v>50</v>
      </c>
      <c r="S16" s="1">
        <v>46204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6755383</v>
      </c>
    </row>
    <row r="17" spans="1:38" x14ac:dyDescent="0.25">
      <c r="A17" s="1">
        <v>46155</v>
      </c>
      <c r="B17" s="1">
        <v>46155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104</v>
      </c>
      <c r="J17" t="s">
        <v>105</v>
      </c>
      <c r="M17" t="s">
        <v>46</v>
      </c>
      <c r="O17" t="s">
        <v>106</v>
      </c>
      <c r="P17" t="s">
        <v>107</v>
      </c>
      <c r="Q17" t="s">
        <v>49</v>
      </c>
      <c r="R17" t="s">
        <v>50</v>
      </c>
      <c r="S17" s="1">
        <v>46143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6755364</v>
      </c>
    </row>
    <row r="18" spans="1:38" x14ac:dyDescent="0.25">
      <c r="A18" s="1">
        <v>46155</v>
      </c>
      <c r="B18" s="1">
        <v>46155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108</v>
      </c>
      <c r="J18" t="s">
        <v>109</v>
      </c>
      <c r="M18" t="s">
        <v>46</v>
      </c>
      <c r="O18" t="s">
        <v>47</v>
      </c>
      <c r="P18" t="s">
        <v>48</v>
      </c>
      <c r="Q18" t="s">
        <v>49</v>
      </c>
      <c r="R18" t="s">
        <v>50</v>
      </c>
      <c r="S18" s="1">
        <v>46174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6755384</v>
      </c>
    </row>
    <row r="19" spans="1:38" x14ac:dyDescent="0.25">
      <c r="A19" s="1">
        <v>46155</v>
      </c>
      <c r="B19" s="1">
        <v>46155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110</v>
      </c>
      <c r="J19" t="s">
        <v>111</v>
      </c>
      <c r="M19" t="s">
        <v>46</v>
      </c>
      <c r="O19" t="s">
        <v>112</v>
      </c>
      <c r="P19" t="s">
        <v>113</v>
      </c>
      <c r="Q19" t="s">
        <v>49</v>
      </c>
      <c r="R19" t="s">
        <v>50</v>
      </c>
      <c r="S19" s="1">
        <v>46143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6755385</v>
      </c>
    </row>
    <row r="20" spans="1:38" x14ac:dyDescent="0.25">
      <c r="A20" s="1">
        <v>46155</v>
      </c>
      <c r="B20" s="1">
        <v>46155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114</v>
      </c>
      <c r="J20" t="s">
        <v>115</v>
      </c>
      <c r="M20" t="s">
        <v>46</v>
      </c>
      <c r="O20" t="s">
        <v>62</v>
      </c>
      <c r="P20" t="s">
        <v>63</v>
      </c>
      <c r="Q20" t="s">
        <v>49</v>
      </c>
      <c r="R20" t="s">
        <v>50</v>
      </c>
      <c r="S20" s="1">
        <v>46174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6755386</v>
      </c>
    </row>
    <row r="21" spans="1:38" x14ac:dyDescent="0.25">
      <c r="A21" s="1">
        <v>46155</v>
      </c>
      <c r="B21" s="1">
        <v>46155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116</v>
      </c>
      <c r="J21" t="s">
        <v>117</v>
      </c>
      <c r="M21" t="s">
        <v>118</v>
      </c>
      <c r="O21" t="s">
        <v>119</v>
      </c>
      <c r="P21" t="s">
        <v>120</v>
      </c>
      <c r="Q21" t="s">
        <v>49</v>
      </c>
      <c r="R21" t="s">
        <v>50</v>
      </c>
      <c r="S21" s="1">
        <v>46143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6755387</v>
      </c>
    </row>
    <row r="22" spans="1:38" x14ac:dyDescent="0.25">
      <c r="A22" s="1">
        <v>46155</v>
      </c>
      <c r="B22" s="1">
        <v>46155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121</v>
      </c>
      <c r="J22" t="s">
        <v>122</v>
      </c>
      <c r="M22" t="s">
        <v>46</v>
      </c>
      <c r="O22" t="s">
        <v>47</v>
      </c>
      <c r="P22" t="s">
        <v>48</v>
      </c>
      <c r="Q22" t="s">
        <v>49</v>
      </c>
      <c r="R22" t="s">
        <v>50</v>
      </c>
      <c r="S22" s="1">
        <v>46174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6755388</v>
      </c>
    </row>
    <row r="23" spans="1:38" x14ac:dyDescent="0.25">
      <c r="A23" s="1">
        <v>46155</v>
      </c>
      <c r="B23" s="1">
        <v>46155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123</v>
      </c>
      <c r="J23" t="s">
        <v>124</v>
      </c>
      <c r="M23" t="s">
        <v>46</v>
      </c>
      <c r="O23" t="s">
        <v>47</v>
      </c>
      <c r="P23" t="s">
        <v>48</v>
      </c>
      <c r="Q23" t="s">
        <v>49</v>
      </c>
      <c r="R23" t="s">
        <v>50</v>
      </c>
      <c r="S23" s="1">
        <v>46174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6755389</v>
      </c>
    </row>
    <row r="24" spans="1:38" x14ac:dyDescent="0.25">
      <c r="A24" s="1">
        <v>46155</v>
      </c>
      <c r="B24" s="1">
        <v>46155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125</v>
      </c>
      <c r="J24" t="s">
        <v>126</v>
      </c>
      <c r="M24" t="s">
        <v>127</v>
      </c>
      <c r="O24" t="s">
        <v>128</v>
      </c>
      <c r="P24" t="s">
        <v>129</v>
      </c>
      <c r="Q24" t="s">
        <v>49</v>
      </c>
      <c r="R24" t="s">
        <v>50</v>
      </c>
      <c r="S24" s="1">
        <v>46143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6755390</v>
      </c>
    </row>
    <row r="25" spans="1:38" x14ac:dyDescent="0.25">
      <c r="A25" s="1">
        <v>46155</v>
      </c>
      <c r="B25" s="1">
        <v>46155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130</v>
      </c>
      <c r="J25" t="s">
        <v>131</v>
      </c>
      <c r="M25" t="s">
        <v>132</v>
      </c>
      <c r="O25" t="s">
        <v>133</v>
      </c>
      <c r="P25" t="s">
        <v>134</v>
      </c>
      <c r="Q25" t="s">
        <v>49</v>
      </c>
      <c r="R25" t="s">
        <v>50</v>
      </c>
      <c r="S25" s="1">
        <v>46143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6755391</v>
      </c>
    </row>
    <row r="26" spans="1:38" x14ac:dyDescent="0.25">
      <c r="A26" s="1">
        <v>46155</v>
      </c>
      <c r="B26" s="1">
        <v>46155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135</v>
      </c>
      <c r="J26" t="s">
        <v>136</v>
      </c>
      <c r="M26" t="s">
        <v>46</v>
      </c>
      <c r="O26" t="s">
        <v>62</v>
      </c>
      <c r="P26" t="s">
        <v>63</v>
      </c>
      <c r="Q26" t="s">
        <v>49</v>
      </c>
      <c r="R26" t="s">
        <v>50</v>
      </c>
      <c r="S26" s="1">
        <v>46174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6755392</v>
      </c>
    </row>
    <row r="27" spans="1:38" x14ac:dyDescent="0.25">
      <c r="A27" s="1">
        <v>46155</v>
      </c>
      <c r="B27" s="1">
        <v>46155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137</v>
      </c>
      <c r="J27" t="s">
        <v>138</v>
      </c>
      <c r="M27" t="s">
        <v>46</v>
      </c>
      <c r="O27" t="s">
        <v>139</v>
      </c>
      <c r="P27" t="s">
        <v>140</v>
      </c>
      <c r="Q27" t="s">
        <v>49</v>
      </c>
      <c r="R27" t="s">
        <v>50</v>
      </c>
      <c r="S27" s="1">
        <v>46143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6755393</v>
      </c>
    </row>
    <row r="28" spans="1:38" x14ac:dyDescent="0.25">
      <c r="A28" s="1">
        <v>46155</v>
      </c>
      <c r="B28" s="1">
        <v>46155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141</v>
      </c>
      <c r="J28" t="s">
        <v>142</v>
      </c>
      <c r="M28" t="s">
        <v>46</v>
      </c>
      <c r="O28" t="s">
        <v>143</v>
      </c>
      <c r="P28" t="s">
        <v>144</v>
      </c>
      <c r="Q28" t="s">
        <v>49</v>
      </c>
      <c r="R28" t="s">
        <v>50</v>
      </c>
      <c r="S28" s="1">
        <v>46174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6755394</v>
      </c>
    </row>
    <row r="29" spans="1:38" x14ac:dyDescent="0.25">
      <c r="A29" s="1">
        <v>46155</v>
      </c>
      <c r="B29" s="1">
        <v>46155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145</v>
      </c>
      <c r="J29" t="s">
        <v>146</v>
      </c>
      <c r="M29" t="s">
        <v>147</v>
      </c>
      <c r="O29" t="s">
        <v>148</v>
      </c>
      <c r="P29" t="s">
        <v>149</v>
      </c>
      <c r="Q29" t="s">
        <v>49</v>
      </c>
      <c r="R29" t="s">
        <v>150</v>
      </c>
      <c r="S29" s="1">
        <v>46143</v>
      </c>
      <c r="U29" t="s">
        <v>51</v>
      </c>
      <c r="X29" t="s">
        <v>52</v>
      </c>
      <c r="Y29" s="2">
        <v>0</v>
      </c>
      <c r="Z29" s="2">
        <v>16.670000000000002</v>
      </c>
      <c r="AA29">
        <v>1</v>
      </c>
      <c r="AB29" s="3">
        <v>1</v>
      </c>
      <c r="AC29" s="2">
        <v>16.670000000000002</v>
      </c>
      <c r="AD29" s="3">
        <v>0</v>
      </c>
      <c r="AE29" s="2">
        <v>0</v>
      </c>
      <c r="AF29" s="2">
        <v>16.670000000000002</v>
      </c>
      <c r="AK29">
        <v>6755094</v>
      </c>
      <c r="AL29" t="s">
        <v>151</v>
      </c>
    </row>
    <row r="30" spans="1:38" x14ac:dyDescent="0.25">
      <c r="A30" s="1">
        <v>46155</v>
      </c>
      <c r="B30" s="1">
        <v>46155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152</v>
      </c>
      <c r="J30" t="s">
        <v>153</v>
      </c>
      <c r="M30" t="s">
        <v>46</v>
      </c>
      <c r="O30" t="s">
        <v>154</v>
      </c>
      <c r="P30" t="s">
        <v>155</v>
      </c>
      <c r="Q30" t="s">
        <v>49</v>
      </c>
      <c r="R30" t="s">
        <v>150</v>
      </c>
      <c r="S30" s="1">
        <v>46143</v>
      </c>
      <c r="U30" t="s">
        <v>51</v>
      </c>
      <c r="X30" t="s">
        <v>52</v>
      </c>
      <c r="Y30" s="2">
        <v>0</v>
      </c>
      <c r="Z30" s="2">
        <v>16.670000000000002</v>
      </c>
      <c r="AA30">
        <v>1</v>
      </c>
      <c r="AB30" s="3">
        <v>1</v>
      </c>
      <c r="AC30" s="2">
        <v>16.670000000000002</v>
      </c>
      <c r="AD30" s="3">
        <v>0</v>
      </c>
      <c r="AE30" s="2">
        <v>0</v>
      </c>
      <c r="AF30" s="2">
        <v>16.670000000000002</v>
      </c>
      <c r="AK30">
        <v>6755067</v>
      </c>
      <c r="AL30" t="s">
        <v>151</v>
      </c>
    </row>
    <row r="31" spans="1:38" x14ac:dyDescent="0.25">
      <c r="A31" s="1">
        <v>46155</v>
      </c>
      <c r="B31" s="1">
        <v>46155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156</v>
      </c>
      <c r="J31" t="s">
        <v>157</v>
      </c>
      <c r="M31" t="s">
        <v>147</v>
      </c>
      <c r="O31" t="s">
        <v>158</v>
      </c>
      <c r="P31" t="s">
        <v>159</v>
      </c>
      <c r="Q31" t="s">
        <v>49</v>
      </c>
      <c r="R31" t="s">
        <v>150</v>
      </c>
      <c r="S31" s="1">
        <v>46143</v>
      </c>
      <c r="U31" t="s">
        <v>51</v>
      </c>
      <c r="X31" t="s">
        <v>52</v>
      </c>
      <c r="Y31" s="2">
        <v>0</v>
      </c>
      <c r="Z31" s="2">
        <v>16.670000000000002</v>
      </c>
      <c r="AA31">
        <v>1</v>
      </c>
      <c r="AB31" s="3">
        <v>1</v>
      </c>
      <c r="AC31" s="2">
        <v>16.670000000000002</v>
      </c>
      <c r="AD31" s="3">
        <v>0</v>
      </c>
      <c r="AE31" s="2">
        <v>0</v>
      </c>
      <c r="AF31" s="2">
        <v>16.670000000000002</v>
      </c>
      <c r="AK31">
        <v>6755070</v>
      </c>
      <c r="AL31" t="s">
        <v>151</v>
      </c>
    </row>
    <row r="32" spans="1:38" x14ac:dyDescent="0.25">
      <c r="A32" s="1">
        <v>46155</v>
      </c>
      <c r="B32" s="1">
        <v>46155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160</v>
      </c>
      <c r="J32" t="s">
        <v>161</v>
      </c>
      <c r="M32" t="s">
        <v>55</v>
      </c>
      <c r="O32" t="s">
        <v>162</v>
      </c>
      <c r="P32" t="s">
        <v>163</v>
      </c>
      <c r="Q32" t="s">
        <v>49</v>
      </c>
      <c r="R32" t="s">
        <v>150</v>
      </c>
      <c r="S32" s="1">
        <v>46143</v>
      </c>
      <c r="U32" t="s">
        <v>51</v>
      </c>
      <c r="X32" t="s">
        <v>52</v>
      </c>
      <c r="Y32" s="2">
        <v>0</v>
      </c>
      <c r="Z32" s="2">
        <v>16.670000000000002</v>
      </c>
      <c r="AA32">
        <v>1</v>
      </c>
      <c r="AB32" s="3">
        <v>1</v>
      </c>
      <c r="AC32" s="2">
        <v>16.670000000000002</v>
      </c>
      <c r="AD32" s="3">
        <v>0</v>
      </c>
      <c r="AE32" s="2">
        <v>0</v>
      </c>
      <c r="AF32" s="2">
        <v>16.670000000000002</v>
      </c>
      <c r="AK32">
        <v>6755082</v>
      </c>
      <c r="AL32" t="s">
        <v>151</v>
      </c>
    </row>
    <row r="33" spans="1:38" x14ac:dyDescent="0.25">
      <c r="A33" s="1">
        <v>46155</v>
      </c>
      <c r="B33" s="1">
        <v>46155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164</v>
      </c>
      <c r="J33" t="s">
        <v>165</v>
      </c>
      <c r="M33" t="s">
        <v>147</v>
      </c>
      <c r="O33" t="s">
        <v>148</v>
      </c>
      <c r="P33" t="s">
        <v>149</v>
      </c>
      <c r="Q33" t="s">
        <v>49</v>
      </c>
      <c r="R33" t="s">
        <v>150</v>
      </c>
      <c r="S33" s="1">
        <v>46204</v>
      </c>
      <c r="U33" t="s">
        <v>51</v>
      </c>
      <c r="X33" t="s">
        <v>52</v>
      </c>
      <c r="Y33" s="2">
        <v>0</v>
      </c>
      <c r="Z33" s="2">
        <v>12.5</v>
      </c>
      <c r="AA33">
        <v>1</v>
      </c>
      <c r="AB33" s="3">
        <v>1</v>
      </c>
      <c r="AC33" s="2">
        <v>12.5</v>
      </c>
      <c r="AD33" s="3">
        <v>0</v>
      </c>
      <c r="AE33" s="2">
        <v>0</v>
      </c>
      <c r="AF33" s="2">
        <v>12.5</v>
      </c>
      <c r="AK33">
        <v>6755095</v>
      </c>
      <c r="AL33" t="s">
        <v>166</v>
      </c>
    </row>
    <row r="34" spans="1:38" x14ac:dyDescent="0.25">
      <c r="A34" s="1">
        <v>46155</v>
      </c>
      <c r="B34" s="1">
        <v>46155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167</v>
      </c>
      <c r="J34" t="s">
        <v>168</v>
      </c>
      <c r="M34" t="s">
        <v>147</v>
      </c>
      <c r="O34" t="s">
        <v>169</v>
      </c>
      <c r="P34" t="s">
        <v>170</v>
      </c>
      <c r="Q34" t="s">
        <v>49</v>
      </c>
      <c r="R34" t="s">
        <v>150</v>
      </c>
      <c r="S34" s="1">
        <v>46143</v>
      </c>
      <c r="U34" t="s">
        <v>51</v>
      </c>
      <c r="X34" t="s">
        <v>52</v>
      </c>
      <c r="Y34" s="2">
        <v>0</v>
      </c>
      <c r="Z34" s="2">
        <v>16.670000000000002</v>
      </c>
      <c r="AA34">
        <v>1</v>
      </c>
      <c r="AB34" s="3">
        <v>1</v>
      </c>
      <c r="AC34" s="2">
        <v>16.670000000000002</v>
      </c>
      <c r="AD34" s="3">
        <v>0</v>
      </c>
      <c r="AE34" s="2">
        <v>0</v>
      </c>
      <c r="AF34" s="2">
        <v>16.670000000000002</v>
      </c>
      <c r="AK34">
        <v>6755059</v>
      </c>
      <c r="AL34" t="s">
        <v>151</v>
      </c>
    </row>
    <row r="35" spans="1:38" x14ac:dyDescent="0.25">
      <c r="A35" s="1">
        <v>46155</v>
      </c>
      <c r="B35" s="1">
        <v>46155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171</v>
      </c>
      <c r="J35" t="s">
        <v>172</v>
      </c>
      <c r="M35" t="s">
        <v>147</v>
      </c>
      <c r="O35" t="s">
        <v>173</v>
      </c>
      <c r="P35" t="s">
        <v>174</v>
      </c>
      <c r="Q35" t="s">
        <v>49</v>
      </c>
      <c r="R35" t="s">
        <v>150</v>
      </c>
      <c r="S35" s="1">
        <v>46143</v>
      </c>
      <c r="U35" t="s">
        <v>51</v>
      </c>
      <c r="X35" t="s">
        <v>52</v>
      </c>
      <c r="Y35" s="2">
        <v>0</v>
      </c>
      <c r="Z35" s="2">
        <v>16.670000000000002</v>
      </c>
      <c r="AA35">
        <v>1</v>
      </c>
      <c r="AB35" s="3">
        <v>1</v>
      </c>
      <c r="AC35" s="2">
        <v>16.670000000000002</v>
      </c>
      <c r="AD35" s="3">
        <v>0</v>
      </c>
      <c r="AE35" s="2">
        <v>0</v>
      </c>
      <c r="AF35" s="2">
        <v>16.670000000000002</v>
      </c>
      <c r="AK35">
        <v>6755066</v>
      </c>
      <c r="AL35" t="s">
        <v>151</v>
      </c>
    </row>
    <row r="36" spans="1:38" x14ac:dyDescent="0.25">
      <c r="A36" s="1">
        <v>46155</v>
      </c>
      <c r="B36" s="1">
        <v>46155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175</v>
      </c>
      <c r="J36" t="s">
        <v>176</v>
      </c>
      <c r="M36" t="s">
        <v>147</v>
      </c>
      <c r="O36" t="s">
        <v>177</v>
      </c>
      <c r="P36" t="s">
        <v>178</v>
      </c>
      <c r="Q36" t="s">
        <v>49</v>
      </c>
      <c r="R36" t="s">
        <v>150</v>
      </c>
      <c r="S36" s="1">
        <v>46143</v>
      </c>
      <c r="U36" t="s">
        <v>51</v>
      </c>
      <c r="X36" t="s">
        <v>52</v>
      </c>
      <c r="Y36" s="2">
        <v>0</v>
      </c>
      <c r="Z36" s="2">
        <v>16.670000000000002</v>
      </c>
      <c r="AA36">
        <v>1</v>
      </c>
      <c r="AB36" s="3">
        <v>1</v>
      </c>
      <c r="AC36" s="2">
        <v>16.670000000000002</v>
      </c>
      <c r="AD36" s="3">
        <v>0</v>
      </c>
      <c r="AE36" s="2">
        <v>0</v>
      </c>
      <c r="AF36" s="2">
        <v>16.670000000000002</v>
      </c>
      <c r="AK36">
        <v>6755107</v>
      </c>
      <c r="AL36" t="s">
        <v>151</v>
      </c>
    </row>
    <row r="37" spans="1:38" x14ac:dyDescent="0.25">
      <c r="A37" s="1">
        <v>46155</v>
      </c>
      <c r="B37" s="1">
        <v>46155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179</v>
      </c>
      <c r="J37" t="s">
        <v>180</v>
      </c>
      <c r="M37" t="s">
        <v>55</v>
      </c>
      <c r="O37" t="s">
        <v>181</v>
      </c>
      <c r="P37" t="s">
        <v>182</v>
      </c>
      <c r="Q37" t="s">
        <v>183</v>
      </c>
      <c r="R37" t="s">
        <v>184</v>
      </c>
      <c r="S37" s="1">
        <v>46023</v>
      </c>
      <c r="U37" t="s">
        <v>51</v>
      </c>
      <c r="X37" t="s">
        <v>52</v>
      </c>
      <c r="Y37" s="2">
        <v>0</v>
      </c>
      <c r="Z37" s="2">
        <v>43.75</v>
      </c>
      <c r="AA37">
        <v>1</v>
      </c>
      <c r="AB37" s="3">
        <v>1</v>
      </c>
      <c r="AC37" s="2">
        <v>43.75</v>
      </c>
      <c r="AD37" s="3">
        <v>0</v>
      </c>
      <c r="AE37" s="2">
        <v>0</v>
      </c>
      <c r="AF37" s="2">
        <v>43.75</v>
      </c>
      <c r="AK37">
        <v>0</v>
      </c>
      <c r="AL37" t="s">
        <v>185</v>
      </c>
    </row>
    <row r="38" spans="1:38" x14ac:dyDescent="0.25">
      <c r="A38" s="1">
        <v>46155</v>
      </c>
      <c r="B38" s="1">
        <v>46155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186</v>
      </c>
      <c r="J38" t="s">
        <v>180</v>
      </c>
      <c r="M38" t="s">
        <v>55</v>
      </c>
      <c r="O38" t="s">
        <v>181</v>
      </c>
      <c r="P38" t="s">
        <v>182</v>
      </c>
      <c r="Q38" t="s">
        <v>183</v>
      </c>
      <c r="R38" t="s">
        <v>187</v>
      </c>
      <c r="S38" s="1">
        <v>46023</v>
      </c>
      <c r="U38" t="s">
        <v>51</v>
      </c>
      <c r="X38" t="s">
        <v>52</v>
      </c>
      <c r="Y38" s="2">
        <v>0</v>
      </c>
      <c r="Z38" s="2">
        <v>86.75</v>
      </c>
      <c r="AA38">
        <v>1</v>
      </c>
      <c r="AB38" s="3">
        <v>1</v>
      </c>
      <c r="AC38" s="2">
        <v>86.75</v>
      </c>
      <c r="AD38" s="3">
        <v>0</v>
      </c>
      <c r="AE38" s="2">
        <v>0</v>
      </c>
      <c r="AF38" s="2">
        <v>86.75</v>
      </c>
      <c r="AK38">
        <v>0</v>
      </c>
      <c r="AL38" t="s">
        <v>185</v>
      </c>
    </row>
    <row r="39" spans="1:38" x14ac:dyDescent="0.25">
      <c r="A39" s="1">
        <v>46155</v>
      </c>
      <c r="B39" s="1">
        <v>46155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188</v>
      </c>
      <c r="J39" t="s">
        <v>189</v>
      </c>
      <c r="M39" t="s">
        <v>190</v>
      </c>
      <c r="O39" t="s">
        <v>191</v>
      </c>
      <c r="P39" t="s">
        <v>192</v>
      </c>
      <c r="Q39" t="s">
        <v>49</v>
      </c>
      <c r="R39" t="s">
        <v>193</v>
      </c>
      <c r="S39" s="1">
        <v>46113</v>
      </c>
      <c r="U39" t="s">
        <v>51</v>
      </c>
      <c r="X39" t="s">
        <v>52</v>
      </c>
      <c r="Y39" s="2">
        <v>0</v>
      </c>
      <c r="Z39" s="2">
        <v>520.5</v>
      </c>
      <c r="AA39">
        <v>1</v>
      </c>
      <c r="AB39" s="3">
        <v>1</v>
      </c>
      <c r="AC39" s="2">
        <v>520.5</v>
      </c>
      <c r="AD39" s="3">
        <v>0</v>
      </c>
      <c r="AE39" s="2">
        <v>0</v>
      </c>
      <c r="AF39" s="2">
        <v>520.5</v>
      </c>
      <c r="AK39">
        <v>6755870</v>
      </c>
      <c r="AL39" t="s">
        <v>194</v>
      </c>
    </row>
    <row r="40" spans="1:38" x14ac:dyDescent="0.25">
      <c r="A40" s="1">
        <v>46155</v>
      </c>
      <c r="B40" s="1">
        <v>46155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195</v>
      </c>
      <c r="J40" t="s">
        <v>196</v>
      </c>
      <c r="M40" t="s">
        <v>132</v>
      </c>
      <c r="O40" t="s">
        <v>197</v>
      </c>
      <c r="P40" t="s">
        <v>198</v>
      </c>
      <c r="Q40" t="s">
        <v>49</v>
      </c>
      <c r="R40" t="s">
        <v>199</v>
      </c>
      <c r="S40" s="1">
        <v>46113</v>
      </c>
      <c r="U40" t="s">
        <v>51</v>
      </c>
      <c r="X40" t="s">
        <v>52</v>
      </c>
      <c r="Y40" s="2">
        <v>0</v>
      </c>
      <c r="Z40" s="2">
        <v>864</v>
      </c>
      <c r="AA40">
        <v>1</v>
      </c>
      <c r="AB40" s="3">
        <v>1</v>
      </c>
      <c r="AC40" s="2">
        <v>864</v>
      </c>
      <c r="AD40" s="3">
        <v>0</v>
      </c>
      <c r="AE40" s="2">
        <v>0</v>
      </c>
      <c r="AF40" s="2">
        <v>864</v>
      </c>
      <c r="AK40">
        <v>6755877</v>
      </c>
    </row>
    <row r="41" spans="1:38" x14ac:dyDescent="0.25">
      <c r="A41" s="1">
        <v>46155</v>
      </c>
      <c r="B41" s="1">
        <v>46155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200</v>
      </c>
      <c r="J41" t="s">
        <v>201</v>
      </c>
      <c r="M41" t="s">
        <v>46</v>
      </c>
      <c r="O41" t="s">
        <v>112</v>
      </c>
      <c r="P41" t="s">
        <v>113</v>
      </c>
      <c r="Q41" t="s">
        <v>49</v>
      </c>
      <c r="R41" t="s">
        <v>202</v>
      </c>
      <c r="S41" s="1">
        <v>46143</v>
      </c>
      <c r="U41" t="s">
        <v>51</v>
      </c>
      <c r="X41" t="s">
        <v>52</v>
      </c>
      <c r="Y41" s="2">
        <v>0</v>
      </c>
      <c r="Z41" s="2">
        <v>694</v>
      </c>
      <c r="AA41">
        <v>1</v>
      </c>
      <c r="AB41" s="3">
        <v>1</v>
      </c>
      <c r="AC41" s="2">
        <v>694</v>
      </c>
      <c r="AD41" s="3">
        <v>0</v>
      </c>
      <c r="AE41" s="2">
        <v>0</v>
      </c>
      <c r="AF41" s="2">
        <v>694</v>
      </c>
      <c r="AK41">
        <v>6755876</v>
      </c>
    </row>
    <row r="42" spans="1:38" x14ac:dyDescent="0.25">
      <c r="A42" s="1">
        <v>46155</v>
      </c>
      <c r="B42" s="1">
        <v>46155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203</v>
      </c>
      <c r="J42" t="s">
        <v>204</v>
      </c>
      <c r="M42" t="s">
        <v>205</v>
      </c>
      <c r="O42" t="s">
        <v>206</v>
      </c>
      <c r="P42" t="s">
        <v>207</v>
      </c>
      <c r="Q42" t="s">
        <v>49</v>
      </c>
      <c r="R42" t="s">
        <v>202</v>
      </c>
      <c r="S42" s="1">
        <v>46143</v>
      </c>
      <c r="U42" t="s">
        <v>51</v>
      </c>
      <c r="X42" t="s">
        <v>52</v>
      </c>
      <c r="Y42" s="2">
        <v>0</v>
      </c>
      <c r="Z42" s="2">
        <v>694</v>
      </c>
      <c r="AA42">
        <v>1</v>
      </c>
      <c r="AB42" s="3">
        <v>1</v>
      </c>
      <c r="AC42" s="2">
        <v>694</v>
      </c>
      <c r="AD42" s="3">
        <v>0</v>
      </c>
      <c r="AE42" s="2">
        <v>0</v>
      </c>
      <c r="AF42" s="2">
        <v>694</v>
      </c>
      <c r="AK42">
        <v>6755896</v>
      </c>
    </row>
    <row r="43" spans="1:38" x14ac:dyDescent="0.25">
      <c r="A43" s="1">
        <v>46155</v>
      </c>
      <c r="B43" s="1">
        <v>46155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208</v>
      </c>
      <c r="J43" t="s">
        <v>204</v>
      </c>
      <c r="M43" t="s">
        <v>205</v>
      </c>
      <c r="O43" t="s">
        <v>206</v>
      </c>
      <c r="P43" t="s">
        <v>207</v>
      </c>
      <c r="Q43" t="s">
        <v>49</v>
      </c>
      <c r="R43" t="s">
        <v>184</v>
      </c>
      <c r="S43" s="1">
        <v>46143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6755886</v>
      </c>
    </row>
    <row r="44" spans="1:38" x14ac:dyDescent="0.25">
      <c r="A44" s="1">
        <v>46155</v>
      </c>
      <c r="B44" s="1">
        <v>46155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209</v>
      </c>
      <c r="J44" t="s">
        <v>210</v>
      </c>
      <c r="M44" t="s">
        <v>46</v>
      </c>
      <c r="O44" t="s">
        <v>74</v>
      </c>
      <c r="P44" t="s">
        <v>75</v>
      </c>
      <c r="Q44" t="s">
        <v>49</v>
      </c>
      <c r="R44" t="s">
        <v>187</v>
      </c>
      <c r="S44" s="1">
        <v>46143</v>
      </c>
      <c r="U44" t="s">
        <v>51</v>
      </c>
      <c r="X44" t="s">
        <v>52</v>
      </c>
      <c r="Y44" s="2">
        <v>0</v>
      </c>
      <c r="Z44" s="2">
        <v>231.33</v>
      </c>
      <c r="AA44">
        <v>1</v>
      </c>
      <c r="AB44" s="3">
        <v>1</v>
      </c>
      <c r="AC44" s="2">
        <v>231.33</v>
      </c>
      <c r="AD44" s="3">
        <v>0</v>
      </c>
      <c r="AE44" s="2">
        <v>0</v>
      </c>
      <c r="AF44" s="2">
        <v>231.33</v>
      </c>
      <c r="AK44">
        <v>6755873</v>
      </c>
      <c r="AL44" t="s">
        <v>151</v>
      </c>
    </row>
    <row r="45" spans="1:38" x14ac:dyDescent="0.25">
      <c r="A45" s="1">
        <v>46155</v>
      </c>
      <c r="B45" s="1">
        <v>46155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211</v>
      </c>
      <c r="J45" t="s">
        <v>210</v>
      </c>
      <c r="M45" t="s">
        <v>46</v>
      </c>
      <c r="O45" t="s">
        <v>74</v>
      </c>
      <c r="P45" t="s">
        <v>75</v>
      </c>
      <c r="Q45" t="s">
        <v>183</v>
      </c>
      <c r="R45" t="s">
        <v>212</v>
      </c>
      <c r="S45" s="1">
        <v>46143</v>
      </c>
      <c r="U45" t="s">
        <v>51</v>
      </c>
      <c r="X45" t="s">
        <v>52</v>
      </c>
      <c r="Y45" s="2">
        <v>0</v>
      </c>
      <c r="Z45" s="2">
        <v>48</v>
      </c>
      <c r="AA45">
        <v>1</v>
      </c>
      <c r="AB45" s="3">
        <v>1</v>
      </c>
      <c r="AC45" s="2">
        <v>48</v>
      </c>
      <c r="AD45" s="3">
        <v>0</v>
      </c>
      <c r="AE45" s="2">
        <v>0</v>
      </c>
      <c r="AF45" s="2">
        <v>48</v>
      </c>
      <c r="AK45">
        <v>6755874</v>
      </c>
      <c r="AL45" t="s">
        <v>151</v>
      </c>
    </row>
    <row r="46" spans="1:38" x14ac:dyDescent="0.25">
      <c r="A46" s="1">
        <v>46155</v>
      </c>
      <c r="B46" s="1">
        <v>46155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213</v>
      </c>
      <c r="J46" t="s">
        <v>214</v>
      </c>
      <c r="M46" t="s">
        <v>46</v>
      </c>
      <c r="O46" t="s">
        <v>143</v>
      </c>
      <c r="P46" t="s">
        <v>144</v>
      </c>
      <c r="Q46" t="s">
        <v>49</v>
      </c>
      <c r="R46" t="s">
        <v>187</v>
      </c>
      <c r="S46" s="1">
        <v>46174</v>
      </c>
      <c r="U46" t="s">
        <v>51</v>
      </c>
      <c r="X46" t="s">
        <v>52</v>
      </c>
      <c r="Y46" s="2">
        <v>0</v>
      </c>
      <c r="Z46" s="2">
        <v>202.42</v>
      </c>
      <c r="AA46">
        <v>1</v>
      </c>
      <c r="AB46" s="3">
        <v>1</v>
      </c>
      <c r="AC46" s="2">
        <v>202.42</v>
      </c>
      <c r="AD46" s="3">
        <v>0</v>
      </c>
      <c r="AE46" s="2">
        <v>0</v>
      </c>
      <c r="AF46" s="2">
        <v>202.42</v>
      </c>
      <c r="AK46">
        <v>6755871</v>
      </c>
      <c r="AL46" t="s">
        <v>215</v>
      </c>
    </row>
    <row r="47" spans="1:38" x14ac:dyDescent="0.25">
      <c r="A47" s="1">
        <v>46155</v>
      </c>
      <c r="B47" s="1">
        <v>46155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216</v>
      </c>
      <c r="J47" t="s">
        <v>214</v>
      </c>
      <c r="M47" t="s">
        <v>46</v>
      </c>
      <c r="O47" t="s">
        <v>143</v>
      </c>
      <c r="P47" t="s">
        <v>144</v>
      </c>
      <c r="Q47" t="s">
        <v>183</v>
      </c>
      <c r="R47" t="s">
        <v>212</v>
      </c>
      <c r="S47" s="1">
        <v>46174</v>
      </c>
      <c r="U47" t="s">
        <v>51</v>
      </c>
      <c r="X47" t="s">
        <v>52</v>
      </c>
      <c r="Y47" s="2">
        <v>0</v>
      </c>
      <c r="Z47" s="2">
        <v>42</v>
      </c>
      <c r="AA47">
        <v>1</v>
      </c>
      <c r="AB47" s="3">
        <v>1</v>
      </c>
      <c r="AC47" s="2">
        <v>42</v>
      </c>
      <c r="AD47" s="3">
        <v>0</v>
      </c>
      <c r="AE47" s="2">
        <v>0</v>
      </c>
      <c r="AF47" s="2">
        <v>42</v>
      </c>
      <c r="AK47">
        <v>6755872</v>
      </c>
      <c r="AL47" t="s">
        <v>215</v>
      </c>
    </row>
    <row r="48" spans="1:38" x14ac:dyDescent="0.25">
      <c r="A48" s="1">
        <v>46155</v>
      </c>
      <c r="B48" s="1">
        <v>46155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217</v>
      </c>
      <c r="J48" t="s">
        <v>218</v>
      </c>
      <c r="M48" t="s">
        <v>219</v>
      </c>
      <c r="O48" t="s">
        <v>220</v>
      </c>
      <c r="P48" t="s">
        <v>221</v>
      </c>
      <c r="Q48" t="s">
        <v>183</v>
      </c>
      <c r="R48" t="s">
        <v>222</v>
      </c>
      <c r="S48" s="1">
        <v>46054</v>
      </c>
      <c r="U48" t="s">
        <v>51</v>
      </c>
      <c r="X48" t="s">
        <v>52</v>
      </c>
      <c r="Y48" s="2">
        <v>0</v>
      </c>
      <c r="Z48" s="2">
        <v>611</v>
      </c>
      <c r="AA48">
        <v>1</v>
      </c>
      <c r="AB48" s="3">
        <v>1</v>
      </c>
      <c r="AC48" s="2">
        <v>611</v>
      </c>
      <c r="AD48" s="3">
        <v>0</v>
      </c>
      <c r="AE48" s="2">
        <v>0</v>
      </c>
      <c r="AF48" s="2">
        <v>611</v>
      </c>
      <c r="AK48">
        <v>0</v>
      </c>
      <c r="AL48" t="s">
        <v>185</v>
      </c>
    </row>
    <row r="49" spans="1:38" x14ac:dyDescent="0.25">
      <c r="A49" s="1">
        <v>46155</v>
      </c>
      <c r="B49" s="1">
        <v>46155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223</v>
      </c>
      <c r="J49" t="s">
        <v>224</v>
      </c>
      <c r="M49" t="s">
        <v>46</v>
      </c>
      <c r="O49" t="s">
        <v>225</v>
      </c>
      <c r="P49" t="s">
        <v>226</v>
      </c>
      <c r="Q49" t="s">
        <v>49</v>
      </c>
      <c r="R49" t="s">
        <v>202</v>
      </c>
      <c r="S49" s="1">
        <v>46143</v>
      </c>
      <c r="U49" t="s">
        <v>51</v>
      </c>
      <c r="X49" t="s">
        <v>52</v>
      </c>
      <c r="Y49" s="2">
        <v>0</v>
      </c>
      <c r="Z49" s="2">
        <v>694</v>
      </c>
      <c r="AA49">
        <v>1</v>
      </c>
      <c r="AB49" s="3">
        <v>1</v>
      </c>
      <c r="AC49" s="2">
        <v>694</v>
      </c>
      <c r="AD49" s="3">
        <v>0</v>
      </c>
      <c r="AE49" s="2">
        <v>0</v>
      </c>
      <c r="AF49" s="2">
        <v>694</v>
      </c>
      <c r="AK49">
        <v>6755897</v>
      </c>
    </row>
    <row r="50" spans="1:38" x14ac:dyDescent="0.25">
      <c r="A50" s="1">
        <v>46155</v>
      </c>
      <c r="B50" s="1">
        <v>46155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227</v>
      </c>
      <c r="J50" t="s">
        <v>224</v>
      </c>
      <c r="M50" t="s">
        <v>46</v>
      </c>
      <c r="O50" t="s">
        <v>225</v>
      </c>
      <c r="P50" t="s">
        <v>226</v>
      </c>
      <c r="Q50" t="s">
        <v>49</v>
      </c>
      <c r="R50" t="s">
        <v>184</v>
      </c>
      <c r="S50" s="1">
        <v>46143</v>
      </c>
      <c r="U50" t="s">
        <v>51</v>
      </c>
      <c r="X50" t="s">
        <v>52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6755889</v>
      </c>
    </row>
    <row r="51" spans="1:38" x14ac:dyDescent="0.25">
      <c r="A51" s="1">
        <v>46155</v>
      </c>
      <c r="B51" s="1">
        <v>46155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228</v>
      </c>
      <c r="J51" t="s">
        <v>229</v>
      </c>
      <c r="M51" t="s">
        <v>46</v>
      </c>
      <c r="O51" t="s">
        <v>91</v>
      </c>
      <c r="P51" t="s">
        <v>92</v>
      </c>
      <c r="Q51" t="s">
        <v>49</v>
      </c>
      <c r="R51" t="s">
        <v>199</v>
      </c>
      <c r="S51" s="1">
        <v>46143</v>
      </c>
      <c r="U51" t="s">
        <v>51</v>
      </c>
      <c r="X51" t="s">
        <v>52</v>
      </c>
      <c r="Y51" s="2">
        <v>0</v>
      </c>
      <c r="Z51" s="2">
        <v>864</v>
      </c>
      <c r="AA51">
        <v>1</v>
      </c>
      <c r="AB51" s="3">
        <v>1</v>
      </c>
      <c r="AC51" s="2">
        <v>864</v>
      </c>
      <c r="AD51" s="3">
        <v>0</v>
      </c>
      <c r="AE51" s="2">
        <v>0</v>
      </c>
      <c r="AF51" s="2">
        <v>864</v>
      </c>
      <c r="AK51">
        <v>6755878</v>
      </c>
    </row>
    <row r="52" spans="1:38" x14ac:dyDescent="0.25">
      <c r="A52" s="1">
        <v>46155</v>
      </c>
      <c r="B52" s="1">
        <v>46155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230</v>
      </c>
      <c r="J52" t="s">
        <v>229</v>
      </c>
      <c r="M52" t="s">
        <v>46</v>
      </c>
      <c r="O52" t="s">
        <v>91</v>
      </c>
      <c r="P52" t="s">
        <v>92</v>
      </c>
      <c r="Q52" t="s">
        <v>49</v>
      </c>
      <c r="R52" t="s">
        <v>184</v>
      </c>
      <c r="S52" s="1">
        <v>46143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6755879</v>
      </c>
    </row>
    <row r="53" spans="1:38" x14ac:dyDescent="0.25">
      <c r="A53" s="1">
        <v>46155</v>
      </c>
      <c r="B53" s="1">
        <v>46155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231</v>
      </c>
      <c r="J53" t="s">
        <v>232</v>
      </c>
      <c r="M53" t="s">
        <v>233</v>
      </c>
      <c r="O53" t="s">
        <v>234</v>
      </c>
      <c r="P53" t="s">
        <v>235</v>
      </c>
      <c r="Q53" t="s">
        <v>49</v>
      </c>
      <c r="R53" t="s">
        <v>187</v>
      </c>
      <c r="S53" s="1">
        <v>46143</v>
      </c>
      <c r="U53" t="s">
        <v>51</v>
      </c>
      <c r="X53" t="s">
        <v>52</v>
      </c>
      <c r="Y53" s="2">
        <v>0</v>
      </c>
      <c r="Z53" s="2">
        <v>231.33</v>
      </c>
      <c r="AA53">
        <v>1</v>
      </c>
      <c r="AB53" s="3">
        <v>1</v>
      </c>
      <c r="AC53" s="2">
        <v>231.33</v>
      </c>
      <c r="AD53" s="3">
        <v>0</v>
      </c>
      <c r="AE53" s="2">
        <v>0</v>
      </c>
      <c r="AF53" s="2">
        <v>231.33</v>
      </c>
      <c r="AK53">
        <v>6755875</v>
      </c>
      <c r="AL53" t="s">
        <v>151</v>
      </c>
    </row>
    <row r="54" spans="1:38" x14ac:dyDescent="0.25">
      <c r="A54" s="1">
        <v>46155</v>
      </c>
      <c r="B54" s="1">
        <v>46155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236</v>
      </c>
      <c r="J54" t="s">
        <v>232</v>
      </c>
      <c r="M54" t="s">
        <v>233</v>
      </c>
      <c r="O54" t="s">
        <v>234</v>
      </c>
      <c r="P54" t="s">
        <v>235</v>
      </c>
      <c r="Q54" t="s">
        <v>183</v>
      </c>
      <c r="R54" t="s">
        <v>212</v>
      </c>
      <c r="S54" s="1">
        <v>46143</v>
      </c>
      <c r="U54" t="s">
        <v>51</v>
      </c>
      <c r="X54" t="s">
        <v>52</v>
      </c>
      <c r="Y54" s="2">
        <v>0</v>
      </c>
      <c r="Z54" s="2">
        <v>48</v>
      </c>
      <c r="AA54">
        <v>1</v>
      </c>
      <c r="AB54" s="3">
        <v>1</v>
      </c>
      <c r="AC54" s="2">
        <v>48</v>
      </c>
      <c r="AD54" s="3">
        <v>0</v>
      </c>
      <c r="AE54" s="2">
        <v>0</v>
      </c>
      <c r="AF54" s="2">
        <v>48</v>
      </c>
      <c r="AK54">
        <v>6755880</v>
      </c>
      <c r="AL54" t="s">
        <v>151</v>
      </c>
    </row>
    <row r="55" spans="1:38" x14ac:dyDescent="0.25">
      <c r="A55" s="1">
        <v>46155</v>
      </c>
      <c r="B55" s="1">
        <v>46155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237</v>
      </c>
      <c r="J55" t="s">
        <v>238</v>
      </c>
      <c r="M55" t="s">
        <v>239</v>
      </c>
      <c r="O55" t="s">
        <v>240</v>
      </c>
      <c r="P55" t="s">
        <v>241</v>
      </c>
      <c r="Q55" t="s">
        <v>49</v>
      </c>
      <c r="R55" t="s">
        <v>193</v>
      </c>
      <c r="S55" s="1">
        <v>46143</v>
      </c>
      <c r="U55" t="s">
        <v>51</v>
      </c>
      <c r="X55" t="s">
        <v>52</v>
      </c>
      <c r="Y55" s="2">
        <v>0</v>
      </c>
      <c r="Z55" s="2">
        <v>462.67</v>
      </c>
      <c r="AA55">
        <v>1</v>
      </c>
      <c r="AB55" s="3">
        <v>1</v>
      </c>
      <c r="AC55" s="2">
        <v>462.67</v>
      </c>
      <c r="AD55" s="3">
        <v>0</v>
      </c>
      <c r="AE55" s="2">
        <v>0</v>
      </c>
      <c r="AF55" s="2">
        <v>462.67</v>
      </c>
      <c r="AK55">
        <v>6755868</v>
      </c>
      <c r="AL55" t="s">
        <v>151</v>
      </c>
    </row>
    <row r="56" spans="1:38" x14ac:dyDescent="0.25">
      <c r="A56" s="1">
        <v>46155</v>
      </c>
      <c r="B56" s="1">
        <v>46155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242</v>
      </c>
      <c r="J56" t="s">
        <v>243</v>
      </c>
      <c r="M56" t="s">
        <v>244</v>
      </c>
      <c r="O56" t="s">
        <v>206</v>
      </c>
      <c r="P56" t="s">
        <v>207</v>
      </c>
      <c r="Q56" t="s">
        <v>49</v>
      </c>
      <c r="R56" t="s">
        <v>202</v>
      </c>
      <c r="S56" s="1">
        <v>46143</v>
      </c>
      <c r="U56" t="s">
        <v>51</v>
      </c>
      <c r="X56" t="s">
        <v>52</v>
      </c>
      <c r="Y56" s="2">
        <v>0</v>
      </c>
      <c r="Z56" s="2">
        <v>694</v>
      </c>
      <c r="AA56">
        <v>1</v>
      </c>
      <c r="AB56" s="3">
        <v>1</v>
      </c>
      <c r="AC56" s="2">
        <v>694</v>
      </c>
      <c r="AD56" s="3">
        <v>0</v>
      </c>
      <c r="AE56" s="2">
        <v>0</v>
      </c>
      <c r="AF56" s="2">
        <v>694</v>
      </c>
      <c r="AK56">
        <v>6755898</v>
      </c>
    </row>
    <row r="57" spans="1:38" x14ac:dyDescent="0.25">
      <c r="A57" s="1">
        <v>46155</v>
      </c>
      <c r="B57" s="1">
        <v>46155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245</v>
      </c>
      <c r="J57" t="s">
        <v>243</v>
      </c>
      <c r="M57" t="s">
        <v>244</v>
      </c>
      <c r="O57" t="s">
        <v>206</v>
      </c>
      <c r="P57" t="s">
        <v>207</v>
      </c>
      <c r="Q57" t="s">
        <v>49</v>
      </c>
      <c r="R57" t="s">
        <v>184</v>
      </c>
      <c r="S57" s="1">
        <v>46143</v>
      </c>
      <c r="U57" t="s">
        <v>51</v>
      </c>
      <c r="X57" t="s">
        <v>52</v>
      </c>
      <c r="Y57" s="2">
        <v>0</v>
      </c>
      <c r="Z57" s="2">
        <v>175</v>
      </c>
      <c r="AA57">
        <v>1</v>
      </c>
      <c r="AB57" s="3">
        <v>1</v>
      </c>
      <c r="AC57" s="2">
        <v>175</v>
      </c>
      <c r="AD57" s="3">
        <v>0</v>
      </c>
      <c r="AE57" s="2">
        <v>0</v>
      </c>
      <c r="AF57" s="2">
        <v>175</v>
      </c>
      <c r="AK57">
        <v>6755892</v>
      </c>
    </row>
    <row r="58" spans="1:38" x14ac:dyDescent="0.25">
      <c r="A58" s="1">
        <v>46155</v>
      </c>
      <c r="B58" s="1">
        <v>46155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246</v>
      </c>
      <c r="J58" t="s">
        <v>247</v>
      </c>
      <c r="M58" t="s">
        <v>248</v>
      </c>
      <c r="O58" t="s">
        <v>234</v>
      </c>
      <c r="P58" t="s">
        <v>235</v>
      </c>
      <c r="Q58" t="s">
        <v>49</v>
      </c>
      <c r="R58" t="s">
        <v>249</v>
      </c>
      <c r="S58" s="1">
        <v>46143</v>
      </c>
      <c r="U58" t="s">
        <v>51</v>
      </c>
      <c r="X58" t="s">
        <v>52</v>
      </c>
      <c r="Y58" s="2">
        <v>0</v>
      </c>
      <c r="Z58" s="2">
        <v>31.02</v>
      </c>
      <c r="AA58">
        <v>9</v>
      </c>
      <c r="AB58" s="3">
        <v>1</v>
      </c>
      <c r="AC58" s="2">
        <v>279.18</v>
      </c>
      <c r="AD58" s="3">
        <v>0</v>
      </c>
      <c r="AE58" s="2">
        <v>0</v>
      </c>
      <c r="AF58" s="2">
        <v>279.18</v>
      </c>
      <c r="AK58">
        <v>6755420</v>
      </c>
    </row>
    <row r="59" spans="1:38" x14ac:dyDescent="0.25">
      <c r="A59" s="1">
        <v>46155</v>
      </c>
      <c r="B59" s="1">
        <v>46155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250</v>
      </c>
      <c r="J59" t="s">
        <v>251</v>
      </c>
      <c r="M59" t="s">
        <v>248</v>
      </c>
      <c r="O59" t="s">
        <v>234</v>
      </c>
      <c r="P59" t="s">
        <v>235</v>
      </c>
      <c r="Q59" t="s">
        <v>49</v>
      </c>
      <c r="R59" t="s">
        <v>249</v>
      </c>
      <c r="S59" s="1">
        <v>46143</v>
      </c>
      <c r="U59" t="s">
        <v>51</v>
      </c>
      <c r="X59" t="s">
        <v>52</v>
      </c>
      <c r="Y59" s="2">
        <v>0</v>
      </c>
      <c r="Z59" s="2">
        <v>31.02</v>
      </c>
      <c r="AA59">
        <v>9</v>
      </c>
      <c r="AB59" s="3">
        <v>1</v>
      </c>
      <c r="AC59" s="2">
        <v>279.18</v>
      </c>
      <c r="AD59" s="3">
        <v>0</v>
      </c>
      <c r="AE59" s="2">
        <v>0</v>
      </c>
      <c r="AF59" s="2">
        <v>279.18</v>
      </c>
      <c r="AK59">
        <v>6755419</v>
      </c>
    </row>
    <row r="60" spans="1:38" x14ac:dyDescent="0.25">
      <c r="A60" s="1">
        <v>46155</v>
      </c>
      <c r="B60" s="1">
        <v>46155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252</v>
      </c>
      <c r="J60" t="s">
        <v>253</v>
      </c>
      <c r="M60" t="s">
        <v>46</v>
      </c>
      <c r="O60" t="s">
        <v>83</v>
      </c>
      <c r="P60" t="s">
        <v>84</v>
      </c>
      <c r="Q60" t="s">
        <v>49</v>
      </c>
      <c r="R60" t="s">
        <v>254</v>
      </c>
      <c r="S60" s="1">
        <v>46174</v>
      </c>
      <c r="U60" t="s">
        <v>51</v>
      </c>
      <c r="X60" t="s">
        <v>52</v>
      </c>
      <c r="Y60" s="2">
        <v>0</v>
      </c>
      <c r="Z60" s="2">
        <v>31.5</v>
      </c>
      <c r="AA60">
        <v>9</v>
      </c>
      <c r="AB60" s="3">
        <v>1</v>
      </c>
      <c r="AC60" s="2">
        <v>283.5</v>
      </c>
      <c r="AD60" s="3">
        <v>0</v>
      </c>
      <c r="AE60" s="2">
        <v>0</v>
      </c>
      <c r="AF60" s="2">
        <v>283.5</v>
      </c>
      <c r="AK60">
        <v>6755418</v>
      </c>
    </row>
    <row r="61" spans="1:38" x14ac:dyDescent="0.25">
      <c r="A61" s="1">
        <v>46155</v>
      </c>
      <c r="B61" s="1">
        <v>46155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255</v>
      </c>
      <c r="J61" t="s">
        <v>256</v>
      </c>
      <c r="M61" t="s">
        <v>46</v>
      </c>
      <c r="O61" t="s">
        <v>83</v>
      </c>
      <c r="P61" t="s">
        <v>84</v>
      </c>
      <c r="Q61" t="s">
        <v>49</v>
      </c>
      <c r="R61" t="s">
        <v>254</v>
      </c>
      <c r="S61" s="1">
        <v>46174</v>
      </c>
      <c r="U61" t="s">
        <v>51</v>
      </c>
      <c r="X61" t="s">
        <v>52</v>
      </c>
      <c r="Y61" s="2">
        <v>0</v>
      </c>
      <c r="Z61" s="2">
        <v>31.5</v>
      </c>
      <c r="AA61">
        <v>9</v>
      </c>
      <c r="AB61" s="3">
        <v>1</v>
      </c>
      <c r="AC61" s="2">
        <v>283.5</v>
      </c>
      <c r="AD61" s="3">
        <v>0</v>
      </c>
      <c r="AE61" s="2">
        <v>0</v>
      </c>
      <c r="AF61" s="2">
        <v>283.5</v>
      </c>
      <c r="AK61">
        <v>6755417</v>
      </c>
    </row>
    <row r="62" spans="1:38" x14ac:dyDescent="0.25">
      <c r="A62" s="1">
        <v>46155</v>
      </c>
      <c r="B62" s="1">
        <v>46155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257</v>
      </c>
      <c r="J62" t="s">
        <v>258</v>
      </c>
      <c r="M62" t="s">
        <v>61</v>
      </c>
      <c r="O62" t="s">
        <v>197</v>
      </c>
      <c r="P62" t="s">
        <v>198</v>
      </c>
      <c r="Q62" t="s">
        <v>49</v>
      </c>
      <c r="R62" t="s">
        <v>259</v>
      </c>
      <c r="S62" s="1">
        <v>46174</v>
      </c>
      <c r="U62" t="s">
        <v>51</v>
      </c>
      <c r="X62" t="s">
        <v>52</v>
      </c>
      <c r="Y62" s="2">
        <v>0</v>
      </c>
      <c r="Z62" s="2">
        <v>13.54</v>
      </c>
      <c r="AA62">
        <v>9</v>
      </c>
      <c r="AB62" s="3">
        <v>1</v>
      </c>
      <c r="AC62" s="2">
        <v>121.86</v>
      </c>
      <c r="AD62" s="3">
        <v>0</v>
      </c>
      <c r="AE62" s="2">
        <v>0</v>
      </c>
      <c r="AF62" s="2">
        <v>121.86</v>
      </c>
      <c r="AK62">
        <v>6755415</v>
      </c>
    </row>
    <row r="63" spans="1:38" x14ac:dyDescent="0.25">
      <c r="A63" s="1">
        <v>46155</v>
      </c>
      <c r="B63" s="1">
        <v>46155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260</v>
      </c>
      <c r="J63" t="s">
        <v>261</v>
      </c>
      <c r="M63" t="s">
        <v>46</v>
      </c>
      <c r="O63" t="s">
        <v>83</v>
      </c>
      <c r="P63" t="s">
        <v>84</v>
      </c>
      <c r="Q63" t="s">
        <v>49</v>
      </c>
      <c r="R63" t="s">
        <v>254</v>
      </c>
      <c r="S63" s="1">
        <v>46143</v>
      </c>
      <c r="U63" t="s">
        <v>51</v>
      </c>
      <c r="X63" t="s">
        <v>52</v>
      </c>
      <c r="Y63" s="2">
        <v>0</v>
      </c>
      <c r="Z63" s="2">
        <v>31.5</v>
      </c>
      <c r="AA63">
        <v>9</v>
      </c>
      <c r="AB63" s="3">
        <v>1</v>
      </c>
      <c r="AC63" s="2">
        <v>283.5</v>
      </c>
      <c r="AD63" s="3">
        <v>0</v>
      </c>
      <c r="AE63" s="2">
        <v>0</v>
      </c>
      <c r="AF63" s="2">
        <v>283.5</v>
      </c>
      <c r="AK63">
        <v>6755416</v>
      </c>
    </row>
    <row r="64" spans="1:38" x14ac:dyDescent="0.25">
      <c r="A64" s="1">
        <v>46155</v>
      </c>
      <c r="B64" s="1">
        <v>46155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262</v>
      </c>
      <c r="J64" t="s">
        <v>263</v>
      </c>
      <c r="M64" t="s">
        <v>132</v>
      </c>
      <c r="O64" t="s">
        <v>177</v>
      </c>
      <c r="P64" t="s">
        <v>178</v>
      </c>
      <c r="Q64" t="s">
        <v>49</v>
      </c>
      <c r="R64" t="s">
        <v>264</v>
      </c>
      <c r="S64" s="1">
        <v>46204</v>
      </c>
      <c r="U64" t="s">
        <v>51</v>
      </c>
      <c r="X64" t="s">
        <v>52</v>
      </c>
      <c r="Y64" s="2">
        <v>0</v>
      </c>
      <c r="Z64" s="2">
        <v>9.83</v>
      </c>
      <c r="AA64">
        <v>9</v>
      </c>
      <c r="AB64" s="3">
        <v>1</v>
      </c>
      <c r="AC64" s="2">
        <v>88.47</v>
      </c>
      <c r="AD64" s="3">
        <v>0</v>
      </c>
      <c r="AE64" s="2">
        <v>0</v>
      </c>
      <c r="AF64" s="2">
        <v>88.47</v>
      </c>
      <c r="AK64">
        <v>6755414</v>
      </c>
    </row>
    <row r="65" spans="1:36" x14ac:dyDescent="0.25">
      <c r="A65" s="1">
        <v>46155</v>
      </c>
      <c r="B65" s="1">
        <v>46155</v>
      </c>
      <c r="C65" t="s">
        <v>265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266</v>
      </c>
      <c r="J65" t="s">
        <v>267</v>
      </c>
      <c r="M65" t="s">
        <v>248</v>
      </c>
      <c r="O65" t="s">
        <v>83</v>
      </c>
      <c r="P65" t="s">
        <v>84</v>
      </c>
      <c r="Q65" t="s">
        <v>268</v>
      </c>
      <c r="R65" t="s">
        <v>50</v>
      </c>
      <c r="S65" s="1">
        <v>46054</v>
      </c>
      <c r="U65" t="s">
        <v>51</v>
      </c>
      <c r="X65" t="s">
        <v>52</v>
      </c>
      <c r="AF65" s="2">
        <v>175</v>
      </c>
      <c r="AG65" s="2">
        <v>0</v>
      </c>
      <c r="AJ65" s="2">
        <v>117.25</v>
      </c>
    </row>
    <row r="66" spans="1:36" x14ac:dyDescent="0.25">
      <c r="A66" s="1">
        <v>46155</v>
      </c>
      <c r="B66" s="1">
        <v>46155</v>
      </c>
      <c r="C66" t="s">
        <v>265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269</v>
      </c>
      <c r="J66" t="s">
        <v>270</v>
      </c>
      <c r="M66" t="s">
        <v>46</v>
      </c>
      <c r="O66" t="s">
        <v>70</v>
      </c>
      <c r="P66" t="s">
        <v>71</v>
      </c>
      <c r="Q66" t="s">
        <v>268</v>
      </c>
      <c r="R66" t="s">
        <v>50</v>
      </c>
      <c r="S66" s="1">
        <v>46113</v>
      </c>
      <c r="U66" t="s">
        <v>51</v>
      </c>
      <c r="X66" t="s">
        <v>52</v>
      </c>
      <c r="AF66" s="2">
        <v>175</v>
      </c>
      <c r="AG66" s="2">
        <v>0</v>
      </c>
      <c r="AJ66" s="2">
        <v>145.25</v>
      </c>
    </row>
    <row r="67" spans="1:36" x14ac:dyDescent="0.25">
      <c r="A67" s="1">
        <v>46155</v>
      </c>
      <c r="B67" s="1">
        <v>46155</v>
      </c>
      <c r="C67" t="s">
        <v>265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271</v>
      </c>
      <c r="J67" t="s">
        <v>272</v>
      </c>
      <c r="M67" t="s">
        <v>147</v>
      </c>
      <c r="O67" t="s">
        <v>148</v>
      </c>
      <c r="P67" t="s">
        <v>149</v>
      </c>
      <c r="Q67" t="s">
        <v>268</v>
      </c>
      <c r="R67" t="s">
        <v>273</v>
      </c>
      <c r="S67" s="1">
        <v>46023</v>
      </c>
      <c r="U67" t="s">
        <v>51</v>
      </c>
      <c r="X67" t="s">
        <v>52</v>
      </c>
      <c r="AF67" s="2">
        <v>15</v>
      </c>
      <c r="AG67" s="2">
        <v>0</v>
      </c>
      <c r="AJ67" s="2">
        <v>10.050000000000001</v>
      </c>
    </row>
    <row r="68" spans="1:36" x14ac:dyDescent="0.25">
      <c r="A68" s="1">
        <v>46155</v>
      </c>
      <c r="B68" s="1">
        <v>46155</v>
      </c>
      <c r="C68" t="s">
        <v>265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274</v>
      </c>
      <c r="J68" t="s">
        <v>275</v>
      </c>
      <c r="M68" t="s">
        <v>46</v>
      </c>
      <c r="O68" t="s">
        <v>83</v>
      </c>
      <c r="P68" t="s">
        <v>84</v>
      </c>
      <c r="Q68" t="s">
        <v>268</v>
      </c>
      <c r="R68" t="s">
        <v>50</v>
      </c>
      <c r="S68" s="1">
        <v>46082</v>
      </c>
      <c r="U68" t="s">
        <v>51</v>
      </c>
      <c r="X68" t="s">
        <v>52</v>
      </c>
      <c r="AF68" s="2">
        <v>175</v>
      </c>
      <c r="AG68" s="2">
        <v>0</v>
      </c>
      <c r="AJ68" s="2">
        <v>145.25</v>
      </c>
    </row>
    <row r="69" spans="1:36" x14ac:dyDescent="0.25">
      <c r="A69" s="1">
        <v>46155</v>
      </c>
      <c r="B69" s="1">
        <v>46155</v>
      </c>
      <c r="C69" t="s">
        <v>265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276</v>
      </c>
      <c r="J69" t="s">
        <v>277</v>
      </c>
      <c r="M69" t="s">
        <v>46</v>
      </c>
      <c r="O69" t="s">
        <v>106</v>
      </c>
      <c r="P69" t="s">
        <v>107</v>
      </c>
      <c r="Q69" t="s">
        <v>268</v>
      </c>
      <c r="R69" t="s">
        <v>273</v>
      </c>
      <c r="S69" s="1">
        <v>46023</v>
      </c>
      <c r="U69" t="s">
        <v>51</v>
      </c>
      <c r="X69" t="s">
        <v>52</v>
      </c>
      <c r="AF69" s="2">
        <v>15</v>
      </c>
      <c r="AG69" s="2">
        <v>0</v>
      </c>
      <c r="AJ69" s="2">
        <v>10.050000000000001</v>
      </c>
    </row>
    <row r="70" spans="1:36" x14ac:dyDescent="0.25">
      <c r="A70" s="1">
        <v>46155</v>
      </c>
      <c r="B70" s="1">
        <v>46155</v>
      </c>
      <c r="C70" t="s">
        <v>265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278</v>
      </c>
      <c r="J70" t="s">
        <v>279</v>
      </c>
      <c r="M70" t="s">
        <v>46</v>
      </c>
      <c r="O70" t="s">
        <v>62</v>
      </c>
      <c r="P70" t="s">
        <v>63</v>
      </c>
      <c r="Q70" t="s">
        <v>268</v>
      </c>
      <c r="R70" t="s">
        <v>50</v>
      </c>
      <c r="S70" s="1">
        <v>46023</v>
      </c>
      <c r="U70" t="s">
        <v>51</v>
      </c>
      <c r="X70" t="s">
        <v>52</v>
      </c>
      <c r="AF70" s="2">
        <v>175</v>
      </c>
      <c r="AG70" s="2">
        <v>0</v>
      </c>
      <c r="AJ70" s="2">
        <v>117.25</v>
      </c>
    </row>
    <row r="71" spans="1:36" x14ac:dyDescent="0.25">
      <c r="A71" s="1">
        <v>46155</v>
      </c>
      <c r="B71" s="1">
        <v>46155</v>
      </c>
      <c r="C71" t="s">
        <v>265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280</v>
      </c>
      <c r="J71" t="s">
        <v>281</v>
      </c>
      <c r="M71" t="s">
        <v>248</v>
      </c>
      <c r="O71" t="s">
        <v>234</v>
      </c>
      <c r="P71" t="s">
        <v>235</v>
      </c>
      <c r="Q71" t="s">
        <v>268</v>
      </c>
      <c r="R71" t="s">
        <v>273</v>
      </c>
      <c r="S71" s="1">
        <v>46023</v>
      </c>
      <c r="U71" t="s">
        <v>51</v>
      </c>
      <c r="X71" t="s">
        <v>52</v>
      </c>
      <c r="AF71" s="2">
        <v>15</v>
      </c>
      <c r="AG71" s="2">
        <v>0</v>
      </c>
      <c r="AJ71" s="2">
        <v>10.050000000000001</v>
      </c>
    </row>
    <row r="72" spans="1:36" x14ac:dyDescent="0.25">
      <c r="A72" s="1">
        <v>46155</v>
      </c>
      <c r="B72" s="1">
        <v>46155</v>
      </c>
      <c r="C72" t="s">
        <v>265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282</v>
      </c>
      <c r="J72" t="s">
        <v>65</v>
      </c>
      <c r="M72" t="s">
        <v>46</v>
      </c>
      <c r="O72" t="s">
        <v>66</v>
      </c>
      <c r="P72" t="s">
        <v>67</v>
      </c>
      <c r="Q72" t="s">
        <v>268</v>
      </c>
      <c r="R72" t="s">
        <v>50</v>
      </c>
      <c r="S72" s="1">
        <v>46023</v>
      </c>
      <c r="U72" t="s">
        <v>51</v>
      </c>
      <c r="X72" t="s">
        <v>52</v>
      </c>
      <c r="AF72" s="2">
        <v>175</v>
      </c>
      <c r="AG72" s="2">
        <v>0</v>
      </c>
      <c r="AJ72" s="2">
        <v>117.25</v>
      </c>
    </row>
    <row r="73" spans="1:36" x14ac:dyDescent="0.25">
      <c r="A73" s="1">
        <v>46155</v>
      </c>
      <c r="B73" s="1">
        <v>46155</v>
      </c>
      <c r="C73" t="s">
        <v>265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283</v>
      </c>
      <c r="J73" t="s">
        <v>284</v>
      </c>
      <c r="O73" t="s">
        <v>83</v>
      </c>
      <c r="P73" t="s">
        <v>84</v>
      </c>
      <c r="Q73" t="s">
        <v>268</v>
      </c>
      <c r="R73" t="s">
        <v>285</v>
      </c>
      <c r="S73" s="1">
        <v>46023</v>
      </c>
      <c r="U73" t="s">
        <v>51</v>
      </c>
      <c r="X73" t="s">
        <v>52</v>
      </c>
      <c r="AF73" s="2">
        <v>25</v>
      </c>
      <c r="AG73" s="2">
        <v>0</v>
      </c>
      <c r="AJ73" s="2">
        <v>16.670000000000002</v>
      </c>
    </row>
    <row r="74" spans="1:36" x14ac:dyDescent="0.25">
      <c r="A74" s="1">
        <v>46155</v>
      </c>
      <c r="B74" s="1">
        <v>46155</v>
      </c>
      <c r="C74" t="s">
        <v>265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286</v>
      </c>
      <c r="J74" t="s">
        <v>287</v>
      </c>
      <c r="M74" t="s">
        <v>46</v>
      </c>
      <c r="O74" t="s">
        <v>288</v>
      </c>
      <c r="P74" t="s">
        <v>289</v>
      </c>
      <c r="Q74" t="s">
        <v>268</v>
      </c>
      <c r="R74" t="s">
        <v>285</v>
      </c>
      <c r="S74" s="1">
        <v>46023</v>
      </c>
      <c r="U74" t="s">
        <v>51</v>
      </c>
      <c r="X74" t="s">
        <v>52</v>
      </c>
      <c r="AF74" s="2">
        <v>25</v>
      </c>
      <c r="AG74" s="2">
        <v>0</v>
      </c>
      <c r="AJ74" s="2">
        <v>16.670000000000002</v>
      </c>
    </row>
    <row r="75" spans="1:36" x14ac:dyDescent="0.25">
      <c r="A75" s="1">
        <v>46155</v>
      </c>
      <c r="B75" s="1">
        <v>46155</v>
      </c>
      <c r="C75" t="s">
        <v>265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290</v>
      </c>
      <c r="J75" t="s">
        <v>291</v>
      </c>
      <c r="M75" t="s">
        <v>147</v>
      </c>
      <c r="O75" t="s">
        <v>292</v>
      </c>
      <c r="P75" t="s">
        <v>293</v>
      </c>
      <c r="Q75" t="s">
        <v>268</v>
      </c>
      <c r="R75" t="s">
        <v>285</v>
      </c>
      <c r="S75" s="1">
        <v>46054</v>
      </c>
      <c r="U75" t="s">
        <v>51</v>
      </c>
      <c r="X75" t="s">
        <v>52</v>
      </c>
      <c r="AF75" s="2">
        <v>25</v>
      </c>
      <c r="AG75" s="2">
        <v>0</v>
      </c>
      <c r="AJ75" s="2">
        <v>25</v>
      </c>
    </row>
    <row r="76" spans="1:36" x14ac:dyDescent="0.25">
      <c r="A76" s="1">
        <v>46155</v>
      </c>
      <c r="B76" s="1">
        <v>46155</v>
      </c>
      <c r="C76" t="s">
        <v>265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294</v>
      </c>
      <c r="J76" t="s">
        <v>196</v>
      </c>
      <c r="M76" t="s">
        <v>132</v>
      </c>
      <c r="O76" t="s">
        <v>197</v>
      </c>
      <c r="P76" t="s">
        <v>198</v>
      </c>
      <c r="Q76" t="s">
        <v>268</v>
      </c>
      <c r="R76" t="s">
        <v>295</v>
      </c>
      <c r="S76" s="1">
        <v>46113</v>
      </c>
      <c r="U76" t="s">
        <v>51</v>
      </c>
      <c r="X76" t="s">
        <v>52</v>
      </c>
      <c r="AF76" s="2">
        <v>324</v>
      </c>
      <c r="AG76" s="2">
        <v>0</v>
      </c>
      <c r="AJ76" s="2">
        <v>324</v>
      </c>
    </row>
    <row r="77" spans="1:36" x14ac:dyDescent="0.25">
      <c r="A77" s="1">
        <v>46155</v>
      </c>
      <c r="B77" s="1">
        <v>46155</v>
      </c>
      <c r="C77" t="s">
        <v>265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296</v>
      </c>
      <c r="J77" t="s">
        <v>201</v>
      </c>
      <c r="M77" t="s">
        <v>46</v>
      </c>
      <c r="O77" t="s">
        <v>112</v>
      </c>
      <c r="P77" t="s">
        <v>113</v>
      </c>
      <c r="Q77" t="s">
        <v>268</v>
      </c>
      <c r="R77" t="s">
        <v>187</v>
      </c>
      <c r="S77" s="1">
        <v>46143</v>
      </c>
      <c r="U77" t="s">
        <v>51</v>
      </c>
      <c r="X77" t="s">
        <v>52</v>
      </c>
      <c r="AF77" s="2">
        <v>231.33</v>
      </c>
      <c r="AG77" s="2">
        <v>0</v>
      </c>
      <c r="AJ77" s="2">
        <v>231.33</v>
      </c>
    </row>
    <row r="78" spans="1:36" x14ac:dyDescent="0.25">
      <c r="A78" s="1">
        <v>46155</v>
      </c>
      <c r="B78" s="1">
        <v>46155</v>
      </c>
      <c r="C78" t="s">
        <v>265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297</v>
      </c>
      <c r="J78" t="s">
        <v>229</v>
      </c>
      <c r="M78" t="s">
        <v>46</v>
      </c>
      <c r="O78" t="s">
        <v>91</v>
      </c>
      <c r="P78" t="s">
        <v>92</v>
      </c>
      <c r="Q78" t="s">
        <v>268</v>
      </c>
      <c r="R78" t="s">
        <v>187</v>
      </c>
      <c r="S78" s="1">
        <v>46143</v>
      </c>
      <c r="U78" t="s">
        <v>51</v>
      </c>
      <c r="X78" t="s">
        <v>52</v>
      </c>
      <c r="AF78" s="2">
        <v>231.33</v>
      </c>
      <c r="AG78" s="2">
        <v>0</v>
      </c>
      <c r="AJ78" s="2">
        <v>231.33</v>
      </c>
    </row>
    <row r="79" spans="1:36" x14ac:dyDescent="0.25">
      <c r="A79" s="1">
        <v>46155</v>
      </c>
      <c r="B79" s="1">
        <v>46155</v>
      </c>
      <c r="C79" t="s">
        <v>265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298</v>
      </c>
      <c r="J79" t="s">
        <v>229</v>
      </c>
      <c r="M79" t="s">
        <v>46</v>
      </c>
      <c r="O79" t="s">
        <v>91</v>
      </c>
      <c r="P79" t="s">
        <v>92</v>
      </c>
      <c r="Q79" t="s">
        <v>268</v>
      </c>
      <c r="R79" t="s">
        <v>212</v>
      </c>
      <c r="S79" s="1">
        <v>46143</v>
      </c>
      <c r="U79" t="s">
        <v>51</v>
      </c>
      <c r="X79" t="s">
        <v>52</v>
      </c>
      <c r="AF79" s="2">
        <v>48</v>
      </c>
      <c r="AG79" s="2">
        <v>0</v>
      </c>
      <c r="AJ79" s="2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BCA7-D841-4EA0-A396-CA648D9DD1C5}">
  <dimension ref="A1:AN79"/>
  <sheetViews>
    <sheetView tabSelected="1" topLeftCell="D70" workbookViewId="0">
      <selection activeCell="P2" sqref="P2:P70"/>
    </sheetView>
  </sheetViews>
  <sheetFormatPr defaultRowHeight="15" x14ac:dyDescent="0.25"/>
  <cols>
    <col min="1" max="1" width="19.7109375" bestFit="1" customWidth="1"/>
    <col min="2" max="2" width="19.7109375" customWidth="1"/>
    <col min="3" max="3" width="22.42578125" bestFit="1" customWidth="1"/>
    <col min="4" max="4" width="5.5703125" bestFit="1" customWidth="1"/>
    <col min="5" max="5" width="15.7109375" bestFit="1" customWidth="1"/>
    <col min="6" max="6" width="24.5703125" bestFit="1" customWidth="1"/>
    <col min="7" max="7" width="58.28515625" bestFit="1" customWidth="1"/>
    <col min="8" max="8" width="10.140625" bestFit="1" customWidth="1"/>
    <col min="9" max="9" width="9.140625" customWidth="1"/>
    <col min="10" max="10" width="7.28515625" customWidth="1"/>
    <col min="11" max="11" width="8.28515625" customWidth="1"/>
    <col min="12" max="12" width="8.28515625" style="4" customWidth="1"/>
    <col min="13" max="13" width="9.42578125" customWidth="1"/>
    <col min="14" max="14" width="20.140625" customWidth="1"/>
    <col min="15" max="15" width="58.28515625" bestFit="1" customWidth="1"/>
    <col min="16" max="16" width="23.140625" bestFit="1" customWidth="1"/>
  </cols>
  <sheetData>
    <row r="1" spans="1:15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25</v>
      </c>
      <c r="J1" t="s">
        <v>26</v>
      </c>
      <c r="K1" t="s">
        <v>27</v>
      </c>
      <c r="M1" t="s">
        <v>28</v>
      </c>
      <c r="N1" t="s">
        <v>37</v>
      </c>
    </row>
    <row r="2" spans="1:15" x14ac:dyDescent="0.25">
      <c r="A2" s="5">
        <v>101795177200</v>
      </c>
      <c r="B2" s="5" t="str">
        <f>CONCATENATE(A2,"OVR")</f>
        <v>101795177200OVR</v>
      </c>
      <c r="C2" t="s">
        <v>146</v>
      </c>
      <c r="D2" t="s">
        <v>147</v>
      </c>
      <c r="E2">
        <v>20411454</v>
      </c>
      <c r="F2" t="s">
        <v>358</v>
      </c>
      <c r="G2" t="s">
        <v>150</v>
      </c>
      <c r="H2" s="1">
        <v>46143</v>
      </c>
      <c r="I2" s="2">
        <v>16.670000000000002</v>
      </c>
      <c r="J2">
        <v>1</v>
      </c>
      <c r="K2" s="3">
        <v>1</v>
      </c>
      <c r="L2" s="4">
        <v>16.670000000000002</v>
      </c>
      <c r="M2" s="2">
        <v>16.670000000000002</v>
      </c>
      <c r="N2" t="s">
        <v>151</v>
      </c>
      <c r="O2" t="s">
        <v>340</v>
      </c>
    </row>
    <row r="3" spans="1:15" x14ac:dyDescent="0.25">
      <c r="A3" s="5">
        <v>102074151600</v>
      </c>
      <c r="B3" s="5" t="str">
        <f>CONCATENATE(A3,"OVR")</f>
        <v>102074151600OVR</v>
      </c>
      <c r="C3" t="s">
        <v>153</v>
      </c>
      <c r="D3" t="s">
        <v>46</v>
      </c>
      <c r="E3">
        <v>20411454</v>
      </c>
      <c r="F3" t="s">
        <v>358</v>
      </c>
      <c r="G3" t="s">
        <v>150</v>
      </c>
      <c r="H3" s="1">
        <v>46143</v>
      </c>
      <c r="I3" s="2">
        <v>16.670000000000002</v>
      </c>
      <c r="J3">
        <v>1</v>
      </c>
      <c r="K3" s="3">
        <v>1</v>
      </c>
      <c r="L3" s="4">
        <v>16.670000000000002</v>
      </c>
      <c r="M3" s="2">
        <v>16.670000000000002</v>
      </c>
      <c r="N3" t="s">
        <v>151</v>
      </c>
      <c r="O3" t="s">
        <v>340</v>
      </c>
    </row>
    <row r="4" spans="1:15" x14ac:dyDescent="0.25">
      <c r="A4" s="5">
        <v>102276693000</v>
      </c>
      <c r="B4" s="5" t="str">
        <f>CONCATENATE(A4,"OVR")</f>
        <v>102276693000OVR</v>
      </c>
      <c r="C4" t="s">
        <v>157</v>
      </c>
      <c r="D4" t="s">
        <v>147</v>
      </c>
      <c r="E4">
        <v>20411454</v>
      </c>
      <c r="F4" t="s">
        <v>358</v>
      </c>
      <c r="G4" t="s">
        <v>150</v>
      </c>
      <c r="H4" s="1">
        <v>46143</v>
      </c>
      <c r="I4" s="2">
        <v>16.670000000000002</v>
      </c>
      <c r="J4">
        <v>1</v>
      </c>
      <c r="K4" s="3">
        <v>1</v>
      </c>
      <c r="L4" s="4">
        <v>16.670000000000002</v>
      </c>
      <c r="M4" s="2">
        <v>16.670000000000002</v>
      </c>
      <c r="N4" t="s">
        <v>151</v>
      </c>
      <c r="O4" t="s">
        <v>340</v>
      </c>
    </row>
    <row r="5" spans="1:15" x14ac:dyDescent="0.25">
      <c r="A5" s="5">
        <v>102276738400</v>
      </c>
      <c r="B5" s="5" t="str">
        <f>CONCATENATE(A5,"OVR")</f>
        <v>102276738400OVR</v>
      </c>
      <c r="C5" t="s">
        <v>161</v>
      </c>
      <c r="D5" t="s">
        <v>55</v>
      </c>
      <c r="E5">
        <v>20411454</v>
      </c>
      <c r="F5" t="s">
        <v>358</v>
      </c>
      <c r="G5" t="s">
        <v>150</v>
      </c>
      <c r="H5" s="1">
        <v>46143</v>
      </c>
      <c r="I5" s="2">
        <v>16.670000000000002</v>
      </c>
      <c r="J5">
        <v>1</v>
      </c>
      <c r="K5" s="3">
        <v>1</v>
      </c>
      <c r="L5" s="4">
        <v>16.670000000000002</v>
      </c>
      <c r="M5" s="2">
        <v>16.670000000000002</v>
      </c>
      <c r="N5" t="s">
        <v>151</v>
      </c>
      <c r="O5" t="s">
        <v>340</v>
      </c>
    </row>
    <row r="6" spans="1:15" x14ac:dyDescent="0.25">
      <c r="A6" s="5">
        <v>102277051000</v>
      </c>
      <c r="B6" s="5" t="str">
        <f>CONCATENATE(A6,"OVR")</f>
        <v>102277051000OVR</v>
      </c>
      <c r="C6" t="s">
        <v>168</v>
      </c>
      <c r="D6" t="s">
        <v>147</v>
      </c>
      <c r="E6">
        <v>20411454</v>
      </c>
      <c r="F6" t="s">
        <v>358</v>
      </c>
      <c r="G6" t="s">
        <v>150</v>
      </c>
      <c r="H6" s="1">
        <v>46143</v>
      </c>
      <c r="I6" s="2">
        <v>16.670000000000002</v>
      </c>
      <c r="J6">
        <v>1</v>
      </c>
      <c r="K6" s="3">
        <v>1</v>
      </c>
      <c r="L6" s="4">
        <v>16.670000000000002</v>
      </c>
      <c r="M6" s="2">
        <v>16.670000000000002</v>
      </c>
      <c r="N6" t="s">
        <v>151</v>
      </c>
      <c r="O6" t="s">
        <v>340</v>
      </c>
    </row>
    <row r="7" spans="1:15" x14ac:dyDescent="0.25">
      <c r="A7" s="5">
        <v>102277107500</v>
      </c>
      <c r="B7" s="5" t="str">
        <f>CONCATENATE(A7,"OVR")</f>
        <v>102277107500OVR</v>
      </c>
      <c r="C7" t="s">
        <v>172</v>
      </c>
      <c r="D7" t="s">
        <v>147</v>
      </c>
      <c r="E7">
        <v>20411454</v>
      </c>
      <c r="F7" t="s">
        <v>358</v>
      </c>
      <c r="G7" t="s">
        <v>150</v>
      </c>
      <c r="H7" s="1">
        <v>46143</v>
      </c>
      <c r="I7" s="2">
        <v>16.670000000000002</v>
      </c>
      <c r="J7">
        <v>1</v>
      </c>
      <c r="K7" s="3">
        <v>1</v>
      </c>
      <c r="L7" s="4">
        <v>16.670000000000002</v>
      </c>
      <c r="M7" s="2">
        <v>16.670000000000002</v>
      </c>
      <c r="N7" t="s">
        <v>151</v>
      </c>
      <c r="O7" t="s">
        <v>340</v>
      </c>
    </row>
    <row r="8" spans="1:15" x14ac:dyDescent="0.25">
      <c r="A8" s="5">
        <v>102277112400</v>
      </c>
      <c r="B8" s="5" t="str">
        <f>CONCATENATE(A8,"OVR")</f>
        <v>102277112400OVR</v>
      </c>
      <c r="C8" t="s">
        <v>176</v>
      </c>
      <c r="D8" t="s">
        <v>147</v>
      </c>
      <c r="E8">
        <v>20411454</v>
      </c>
      <c r="F8" t="s">
        <v>358</v>
      </c>
      <c r="G8" t="s">
        <v>150</v>
      </c>
      <c r="H8" s="1">
        <v>46143</v>
      </c>
      <c r="I8" s="2">
        <v>16.670000000000002</v>
      </c>
      <c r="J8">
        <v>1</v>
      </c>
      <c r="K8" s="3">
        <v>1</v>
      </c>
      <c r="L8" s="4">
        <v>16.670000000000002</v>
      </c>
      <c r="M8" s="2">
        <v>16.670000000000002</v>
      </c>
      <c r="N8" t="s">
        <v>151</v>
      </c>
      <c r="O8" t="s">
        <v>340</v>
      </c>
    </row>
    <row r="9" spans="1:15" x14ac:dyDescent="0.25">
      <c r="A9" s="5">
        <v>102276901900</v>
      </c>
      <c r="B9" s="5" t="str">
        <f>CONCATENATE(A9,"OVR")</f>
        <v>102276901900OVR</v>
      </c>
      <c r="C9" t="s">
        <v>165</v>
      </c>
      <c r="D9" t="s">
        <v>147</v>
      </c>
      <c r="E9">
        <v>20411454</v>
      </c>
      <c r="F9" t="s">
        <v>358</v>
      </c>
      <c r="G9" t="s">
        <v>150</v>
      </c>
      <c r="H9" s="1">
        <v>46204</v>
      </c>
      <c r="I9" s="2">
        <v>12.5</v>
      </c>
      <c r="J9">
        <v>1</v>
      </c>
      <c r="K9" s="3">
        <v>1</v>
      </c>
      <c r="L9" s="4">
        <v>12.5</v>
      </c>
      <c r="M9" s="2">
        <v>12.5</v>
      </c>
      <c r="N9" t="s">
        <v>166</v>
      </c>
      <c r="O9" t="s">
        <v>340</v>
      </c>
    </row>
    <row r="10" spans="1:15" x14ac:dyDescent="0.25">
      <c r="A10" s="5">
        <v>101500691700</v>
      </c>
      <c r="B10" s="5" t="str">
        <f>CONCATENATE(A10,"OVR")</f>
        <v>101500691700OVR</v>
      </c>
      <c r="C10" t="s">
        <v>284</v>
      </c>
      <c r="E10">
        <v>20411454</v>
      </c>
      <c r="F10" t="s">
        <v>358</v>
      </c>
      <c r="G10" t="s">
        <v>285</v>
      </c>
      <c r="H10" s="1">
        <v>46023</v>
      </c>
      <c r="L10" s="4">
        <v>-16.670000000000002</v>
      </c>
      <c r="M10" s="4">
        <v>-16.670000000000002</v>
      </c>
      <c r="O10" t="s">
        <v>340</v>
      </c>
    </row>
    <row r="11" spans="1:15" x14ac:dyDescent="0.25">
      <c r="A11" s="5">
        <v>102251351600</v>
      </c>
      <c r="B11" s="5" t="str">
        <f>CONCATENATE(A11,"OVR")</f>
        <v>102251351600OVR</v>
      </c>
      <c r="C11" t="s">
        <v>287</v>
      </c>
      <c r="D11" t="s">
        <v>46</v>
      </c>
      <c r="E11">
        <v>20411454</v>
      </c>
      <c r="F11" t="s">
        <v>358</v>
      </c>
      <c r="G11" t="s">
        <v>285</v>
      </c>
      <c r="H11" s="1">
        <v>46023</v>
      </c>
      <c r="L11" s="4">
        <v>-16.670000000000002</v>
      </c>
      <c r="M11" s="4">
        <v>-16.670000000000002</v>
      </c>
      <c r="O11" t="s">
        <v>340</v>
      </c>
    </row>
    <row r="12" spans="1:15" x14ac:dyDescent="0.25">
      <c r="A12" s="5">
        <v>102262915000</v>
      </c>
      <c r="B12" s="5" t="str">
        <f>CONCATENATE(A12,"OVR")</f>
        <v>102262915000OVR</v>
      </c>
      <c r="C12" t="s">
        <v>291</v>
      </c>
      <c r="D12" t="s">
        <v>147</v>
      </c>
      <c r="E12">
        <v>20411454</v>
      </c>
      <c r="F12" t="s">
        <v>358</v>
      </c>
      <c r="G12" t="s">
        <v>285</v>
      </c>
      <c r="H12" s="1">
        <v>46054</v>
      </c>
      <c r="L12" s="4">
        <v>-25</v>
      </c>
      <c r="M12" s="4">
        <v>-25</v>
      </c>
      <c r="O12" t="s">
        <v>340</v>
      </c>
    </row>
    <row r="13" spans="1:15" x14ac:dyDescent="0.25">
      <c r="A13" s="5" t="s">
        <v>299</v>
      </c>
      <c r="B13" s="5" t="str">
        <f>CONCATENATE(A13,"OVR")</f>
        <v>00004157241KOVR</v>
      </c>
      <c r="C13" t="s">
        <v>45</v>
      </c>
      <c r="D13" t="s">
        <v>46</v>
      </c>
      <c r="E13">
        <v>20411454</v>
      </c>
      <c r="F13" t="s">
        <v>358</v>
      </c>
      <c r="G13" t="s">
        <v>50</v>
      </c>
      <c r="H13" s="1">
        <v>46143</v>
      </c>
      <c r="I13" s="2">
        <v>175</v>
      </c>
      <c r="J13">
        <v>1</v>
      </c>
      <c r="K13" s="3">
        <v>1</v>
      </c>
      <c r="L13" s="4">
        <v>175</v>
      </c>
      <c r="M13" s="2">
        <v>175</v>
      </c>
      <c r="O13" t="s">
        <v>341</v>
      </c>
    </row>
    <row r="14" spans="1:15" x14ac:dyDescent="0.25">
      <c r="A14" s="5" t="s">
        <v>301</v>
      </c>
      <c r="B14" s="5" t="str">
        <f>CONCATENATE(A14,"OVR")</f>
        <v>00023759351KOVR</v>
      </c>
      <c r="C14" t="s">
        <v>60</v>
      </c>
      <c r="D14" t="s">
        <v>61</v>
      </c>
      <c r="E14">
        <v>20411454</v>
      </c>
      <c r="F14" t="s">
        <v>358</v>
      </c>
      <c r="G14" t="s">
        <v>50</v>
      </c>
      <c r="H14" s="1">
        <v>46143</v>
      </c>
      <c r="I14" s="2">
        <v>175</v>
      </c>
      <c r="J14">
        <v>1</v>
      </c>
      <c r="K14" s="3">
        <v>1</v>
      </c>
      <c r="L14" s="4">
        <v>175</v>
      </c>
      <c r="M14" s="2">
        <v>175</v>
      </c>
      <c r="O14" t="s">
        <v>341</v>
      </c>
    </row>
    <row r="15" spans="1:15" x14ac:dyDescent="0.25">
      <c r="A15" s="5" t="s">
        <v>303</v>
      </c>
      <c r="B15" s="5" t="str">
        <f>CONCATENATE(A15,"OVR")</f>
        <v>00025746940KOVR</v>
      </c>
      <c r="C15" t="s">
        <v>69</v>
      </c>
      <c r="D15" t="s">
        <v>46</v>
      </c>
      <c r="E15">
        <v>20411454</v>
      </c>
      <c r="F15" t="s">
        <v>358</v>
      </c>
      <c r="G15" t="s">
        <v>50</v>
      </c>
      <c r="H15" s="1">
        <v>46143</v>
      </c>
      <c r="I15" s="2">
        <v>175</v>
      </c>
      <c r="J15">
        <v>1</v>
      </c>
      <c r="K15" s="3">
        <v>1</v>
      </c>
      <c r="L15" s="4">
        <v>175</v>
      </c>
      <c r="M15" s="2">
        <v>175</v>
      </c>
      <c r="O15" t="s">
        <v>341</v>
      </c>
    </row>
    <row r="16" spans="1:15" x14ac:dyDescent="0.25">
      <c r="A16" s="5" t="s">
        <v>306</v>
      </c>
      <c r="B16" s="5" t="str">
        <f>CONCATENATE(A16,"OVR")</f>
        <v>00026435446KOVR</v>
      </c>
      <c r="C16" t="s">
        <v>79</v>
      </c>
      <c r="D16" t="s">
        <v>46</v>
      </c>
      <c r="E16">
        <v>20411454</v>
      </c>
      <c r="F16" t="s">
        <v>358</v>
      </c>
      <c r="G16" t="s">
        <v>50</v>
      </c>
      <c r="H16" s="1">
        <v>46174</v>
      </c>
      <c r="I16" s="2">
        <v>175</v>
      </c>
      <c r="J16">
        <v>1</v>
      </c>
      <c r="K16" s="3">
        <v>1</v>
      </c>
      <c r="L16" s="4">
        <v>175</v>
      </c>
      <c r="M16" s="2">
        <v>175</v>
      </c>
      <c r="O16" t="s">
        <v>341</v>
      </c>
    </row>
    <row r="17" spans="1:15" x14ac:dyDescent="0.25">
      <c r="A17" s="5" t="s">
        <v>307</v>
      </c>
      <c r="B17" s="5" t="str">
        <f>CONCATENATE(A17,"OVR")</f>
        <v>00026437864KOVR</v>
      </c>
      <c r="C17" t="s">
        <v>81</v>
      </c>
      <c r="D17" t="s">
        <v>82</v>
      </c>
      <c r="E17">
        <v>20411454</v>
      </c>
      <c r="F17" t="s">
        <v>358</v>
      </c>
      <c r="G17" t="s">
        <v>50</v>
      </c>
      <c r="H17" s="1">
        <v>46143</v>
      </c>
      <c r="I17" s="2">
        <v>175</v>
      </c>
      <c r="J17">
        <v>1</v>
      </c>
      <c r="K17" s="3">
        <v>1</v>
      </c>
      <c r="L17" s="4">
        <v>175</v>
      </c>
      <c r="M17" s="2">
        <v>175</v>
      </c>
      <c r="O17" t="s">
        <v>341</v>
      </c>
    </row>
    <row r="18" spans="1:15" x14ac:dyDescent="0.25">
      <c r="A18" s="5" t="s">
        <v>308</v>
      </c>
      <c r="B18" s="5" t="str">
        <f>CONCATENATE(A18,"OVR")</f>
        <v>00026442469KOVR</v>
      </c>
      <c r="C18" t="s">
        <v>86</v>
      </c>
      <c r="D18" t="s">
        <v>46</v>
      </c>
      <c r="E18">
        <v>20411454</v>
      </c>
      <c r="F18" t="s">
        <v>358</v>
      </c>
      <c r="G18" t="s">
        <v>50</v>
      </c>
      <c r="H18" s="1">
        <v>46143</v>
      </c>
      <c r="I18" s="2">
        <v>175</v>
      </c>
      <c r="J18">
        <v>1</v>
      </c>
      <c r="K18" s="3">
        <v>1</v>
      </c>
      <c r="L18" s="4">
        <v>175</v>
      </c>
      <c r="M18" s="2">
        <v>175</v>
      </c>
      <c r="O18" t="s">
        <v>341</v>
      </c>
    </row>
    <row r="19" spans="1:15" x14ac:dyDescent="0.25">
      <c r="A19" s="5" t="s">
        <v>309</v>
      </c>
      <c r="B19" s="5" t="str">
        <f>CONCATENATE(A19,"OVR")</f>
        <v>00026445290KOVR</v>
      </c>
      <c r="C19" t="s">
        <v>90</v>
      </c>
      <c r="D19" t="s">
        <v>46</v>
      </c>
      <c r="E19">
        <v>20411454</v>
      </c>
      <c r="F19" t="s">
        <v>358</v>
      </c>
      <c r="G19" t="s">
        <v>50</v>
      </c>
      <c r="H19" s="1">
        <v>46174</v>
      </c>
      <c r="I19" s="2">
        <v>175</v>
      </c>
      <c r="J19">
        <v>1</v>
      </c>
      <c r="K19" s="3">
        <v>1</v>
      </c>
      <c r="L19" s="4">
        <v>175</v>
      </c>
      <c r="M19" s="2">
        <v>175</v>
      </c>
      <c r="O19" t="s">
        <v>341</v>
      </c>
    </row>
    <row r="20" spans="1:15" x14ac:dyDescent="0.25">
      <c r="A20" s="5" t="s">
        <v>310</v>
      </c>
      <c r="B20" s="5" t="str">
        <f>CONCATENATE(A20,"OVR")</f>
        <v>00026446350KOVR</v>
      </c>
      <c r="C20" t="s">
        <v>94</v>
      </c>
      <c r="D20" t="s">
        <v>46</v>
      </c>
      <c r="E20">
        <v>20411454</v>
      </c>
      <c r="F20" t="s">
        <v>358</v>
      </c>
      <c r="G20" t="s">
        <v>50</v>
      </c>
      <c r="H20" s="1">
        <v>46143</v>
      </c>
      <c r="I20" s="2">
        <v>175</v>
      </c>
      <c r="J20">
        <v>1</v>
      </c>
      <c r="K20" s="3">
        <v>1</v>
      </c>
      <c r="L20" s="4">
        <v>175</v>
      </c>
      <c r="M20" s="2">
        <v>175</v>
      </c>
      <c r="O20" t="s">
        <v>341</v>
      </c>
    </row>
    <row r="21" spans="1:15" x14ac:dyDescent="0.25">
      <c r="A21" s="5" t="s">
        <v>311</v>
      </c>
      <c r="B21" s="5" t="str">
        <f>CONCATENATE(A21,"OVR")</f>
        <v>00026450489KOVR</v>
      </c>
      <c r="C21" t="s">
        <v>96</v>
      </c>
      <c r="D21" t="s">
        <v>46</v>
      </c>
      <c r="E21">
        <v>20411454</v>
      </c>
      <c r="F21" t="s">
        <v>358</v>
      </c>
      <c r="G21" t="s">
        <v>50</v>
      </c>
      <c r="H21" s="1">
        <v>46143</v>
      </c>
      <c r="I21" s="2">
        <v>175</v>
      </c>
      <c r="J21">
        <v>1</v>
      </c>
      <c r="K21" s="3">
        <v>1</v>
      </c>
      <c r="L21" s="4">
        <v>175</v>
      </c>
      <c r="M21" s="2">
        <v>175</v>
      </c>
      <c r="O21" t="s">
        <v>341</v>
      </c>
    </row>
    <row r="22" spans="1:15" x14ac:dyDescent="0.25">
      <c r="A22" s="5" t="s">
        <v>312</v>
      </c>
      <c r="B22" s="5" t="str">
        <f>CONCATENATE(A22,"OVR")</f>
        <v>00026451696KOVR</v>
      </c>
      <c r="C22" t="s">
        <v>98</v>
      </c>
      <c r="D22" t="s">
        <v>99</v>
      </c>
      <c r="E22">
        <v>20411454</v>
      </c>
      <c r="F22" t="s">
        <v>358</v>
      </c>
      <c r="G22" t="s">
        <v>50</v>
      </c>
      <c r="H22" s="1">
        <v>46143</v>
      </c>
      <c r="I22" s="2">
        <v>175</v>
      </c>
      <c r="J22">
        <v>1</v>
      </c>
      <c r="K22" s="3">
        <v>1</v>
      </c>
      <c r="L22" s="4">
        <v>175</v>
      </c>
      <c r="M22" s="2">
        <v>175</v>
      </c>
      <c r="O22" t="s">
        <v>341</v>
      </c>
    </row>
    <row r="23" spans="1:15" x14ac:dyDescent="0.25">
      <c r="A23" s="5" t="s">
        <v>313</v>
      </c>
      <c r="B23" s="5" t="str">
        <f>CONCATENATE(A23,"OVR")</f>
        <v>00026452632KOVR</v>
      </c>
      <c r="C23" t="s">
        <v>101</v>
      </c>
      <c r="D23" t="s">
        <v>46</v>
      </c>
      <c r="E23">
        <v>20411454</v>
      </c>
      <c r="F23" t="s">
        <v>358</v>
      </c>
      <c r="G23" t="s">
        <v>50</v>
      </c>
      <c r="H23" s="1">
        <v>46204</v>
      </c>
      <c r="I23" s="2">
        <v>175</v>
      </c>
      <c r="J23">
        <v>1</v>
      </c>
      <c r="K23" s="3">
        <v>1</v>
      </c>
      <c r="L23" s="4">
        <v>175</v>
      </c>
      <c r="M23" s="2">
        <v>175</v>
      </c>
      <c r="O23" t="s">
        <v>341</v>
      </c>
    </row>
    <row r="24" spans="1:15" x14ac:dyDescent="0.25">
      <c r="A24" s="5" t="s">
        <v>314</v>
      </c>
      <c r="B24" s="5" t="str">
        <f>CONCATENATE(A24,"OVR")</f>
        <v>00026452904KOVR</v>
      </c>
      <c r="C24" t="s">
        <v>105</v>
      </c>
      <c r="D24" t="s">
        <v>46</v>
      </c>
      <c r="E24">
        <v>20411454</v>
      </c>
      <c r="F24" t="s">
        <v>358</v>
      </c>
      <c r="G24" t="s">
        <v>50</v>
      </c>
      <c r="H24" s="1">
        <v>46143</v>
      </c>
      <c r="I24" s="2">
        <v>175</v>
      </c>
      <c r="J24">
        <v>1</v>
      </c>
      <c r="K24" s="3">
        <v>1</v>
      </c>
      <c r="L24" s="4">
        <v>175</v>
      </c>
      <c r="M24" s="2">
        <v>175</v>
      </c>
      <c r="O24" t="s">
        <v>341</v>
      </c>
    </row>
    <row r="25" spans="1:15" x14ac:dyDescent="0.25">
      <c r="A25" s="5" t="s">
        <v>315</v>
      </c>
      <c r="B25" s="5" t="str">
        <f>CONCATENATE(A25,"OVR")</f>
        <v>00026454047KOVR</v>
      </c>
      <c r="C25" t="s">
        <v>109</v>
      </c>
      <c r="D25" t="s">
        <v>46</v>
      </c>
      <c r="E25">
        <v>20411454</v>
      </c>
      <c r="F25" t="s">
        <v>358</v>
      </c>
      <c r="G25" t="s">
        <v>50</v>
      </c>
      <c r="H25" s="1">
        <v>46174</v>
      </c>
      <c r="I25" s="2">
        <v>175</v>
      </c>
      <c r="J25">
        <v>1</v>
      </c>
      <c r="K25" s="3">
        <v>1</v>
      </c>
      <c r="L25" s="4">
        <v>175</v>
      </c>
      <c r="M25" s="2">
        <v>175</v>
      </c>
      <c r="O25" t="s">
        <v>341</v>
      </c>
    </row>
    <row r="26" spans="1:15" x14ac:dyDescent="0.25">
      <c r="A26" s="5" t="s">
        <v>316</v>
      </c>
      <c r="B26" s="5" t="str">
        <f>CONCATENATE(A26,"OVR")</f>
        <v>00026454147KOVR</v>
      </c>
      <c r="C26" t="s">
        <v>111</v>
      </c>
      <c r="D26" t="s">
        <v>46</v>
      </c>
      <c r="E26">
        <v>20411454</v>
      </c>
      <c r="F26" t="s">
        <v>358</v>
      </c>
      <c r="G26" t="s">
        <v>50</v>
      </c>
      <c r="H26" s="1">
        <v>46143</v>
      </c>
      <c r="I26" s="2">
        <v>175</v>
      </c>
      <c r="J26">
        <v>1</v>
      </c>
      <c r="K26" s="3">
        <v>1</v>
      </c>
      <c r="L26" s="4">
        <v>175</v>
      </c>
      <c r="M26" s="2">
        <v>175</v>
      </c>
      <c r="O26" t="s">
        <v>341</v>
      </c>
    </row>
    <row r="27" spans="1:15" x14ac:dyDescent="0.25">
      <c r="A27" s="5" t="s">
        <v>317</v>
      </c>
      <c r="B27" s="5" t="str">
        <f>CONCATENATE(A27,"OVR")</f>
        <v>00026455273KOVR</v>
      </c>
      <c r="C27" t="s">
        <v>115</v>
      </c>
      <c r="D27" t="s">
        <v>46</v>
      </c>
      <c r="E27">
        <v>20411454</v>
      </c>
      <c r="F27" t="s">
        <v>358</v>
      </c>
      <c r="G27" t="s">
        <v>50</v>
      </c>
      <c r="H27" s="1">
        <v>46174</v>
      </c>
      <c r="I27" s="2">
        <v>175</v>
      </c>
      <c r="J27">
        <v>1</v>
      </c>
      <c r="K27" s="3">
        <v>1</v>
      </c>
      <c r="L27" s="4">
        <v>175</v>
      </c>
      <c r="M27" s="2">
        <v>175</v>
      </c>
      <c r="O27" t="s">
        <v>341</v>
      </c>
    </row>
    <row r="28" spans="1:15" x14ac:dyDescent="0.25">
      <c r="A28" s="5" t="s">
        <v>318</v>
      </c>
      <c r="B28" s="5" t="str">
        <f>CONCATENATE(A28,"OVR")</f>
        <v>00026455988KOVR</v>
      </c>
      <c r="C28" t="s">
        <v>117</v>
      </c>
      <c r="D28" t="s">
        <v>118</v>
      </c>
      <c r="E28">
        <v>20411454</v>
      </c>
      <c r="F28" t="s">
        <v>358</v>
      </c>
      <c r="G28" t="s">
        <v>50</v>
      </c>
      <c r="H28" s="1">
        <v>46143</v>
      </c>
      <c r="I28" s="2">
        <v>175</v>
      </c>
      <c r="J28">
        <v>1</v>
      </c>
      <c r="K28" s="3">
        <v>1</v>
      </c>
      <c r="L28" s="4">
        <v>175</v>
      </c>
      <c r="M28" s="2">
        <v>175</v>
      </c>
      <c r="O28" t="s">
        <v>341</v>
      </c>
    </row>
    <row r="29" spans="1:15" x14ac:dyDescent="0.25">
      <c r="A29" s="5" t="s">
        <v>319</v>
      </c>
      <c r="B29" s="5" t="str">
        <f>CONCATENATE(A29,"OVR")</f>
        <v>00026457385KOVR</v>
      </c>
      <c r="C29" t="s">
        <v>122</v>
      </c>
      <c r="D29" t="s">
        <v>46</v>
      </c>
      <c r="E29">
        <v>20411454</v>
      </c>
      <c r="F29" t="s">
        <v>358</v>
      </c>
      <c r="G29" t="s">
        <v>50</v>
      </c>
      <c r="H29" s="1">
        <v>46174</v>
      </c>
      <c r="I29" s="2">
        <v>175</v>
      </c>
      <c r="J29">
        <v>1</v>
      </c>
      <c r="K29" s="3">
        <v>1</v>
      </c>
      <c r="L29" s="4">
        <v>175</v>
      </c>
      <c r="M29" s="2">
        <v>175</v>
      </c>
      <c r="O29" t="s">
        <v>341</v>
      </c>
    </row>
    <row r="30" spans="1:15" x14ac:dyDescent="0.25">
      <c r="A30" s="5" t="s">
        <v>320</v>
      </c>
      <c r="B30" s="5" t="str">
        <f>CONCATENATE(A30,"OVR")</f>
        <v>00026457442KOVR</v>
      </c>
      <c r="C30" t="s">
        <v>124</v>
      </c>
      <c r="D30" t="s">
        <v>46</v>
      </c>
      <c r="E30">
        <v>20411454</v>
      </c>
      <c r="F30" t="s">
        <v>358</v>
      </c>
      <c r="G30" t="s">
        <v>50</v>
      </c>
      <c r="H30" s="1">
        <v>46174</v>
      </c>
      <c r="I30" s="2">
        <v>175</v>
      </c>
      <c r="J30">
        <v>1</v>
      </c>
      <c r="K30" s="3">
        <v>1</v>
      </c>
      <c r="L30" s="4">
        <v>175</v>
      </c>
      <c r="M30" s="2">
        <v>175</v>
      </c>
      <c r="O30" t="s">
        <v>341</v>
      </c>
    </row>
    <row r="31" spans="1:15" x14ac:dyDescent="0.25">
      <c r="A31" s="5" t="s">
        <v>321</v>
      </c>
      <c r="B31" s="5" t="str">
        <f>CONCATENATE(A31,"OVR")</f>
        <v>00026460318KOVR</v>
      </c>
      <c r="C31" t="s">
        <v>126</v>
      </c>
      <c r="D31" t="s">
        <v>127</v>
      </c>
      <c r="E31">
        <v>20411454</v>
      </c>
      <c r="F31" t="s">
        <v>358</v>
      </c>
      <c r="G31" t="s">
        <v>50</v>
      </c>
      <c r="H31" s="1">
        <v>46143</v>
      </c>
      <c r="I31" s="2">
        <v>175</v>
      </c>
      <c r="J31">
        <v>1</v>
      </c>
      <c r="K31" s="3">
        <v>1</v>
      </c>
      <c r="L31" s="4">
        <v>175</v>
      </c>
      <c r="M31" s="2">
        <v>175</v>
      </c>
      <c r="O31" t="s">
        <v>341</v>
      </c>
    </row>
    <row r="32" spans="1:15" x14ac:dyDescent="0.25">
      <c r="A32" s="5" t="s">
        <v>322</v>
      </c>
      <c r="B32" s="5" t="str">
        <f>CONCATENATE(A32,"OVR")</f>
        <v>00026462882KOVR</v>
      </c>
      <c r="C32" t="s">
        <v>131</v>
      </c>
      <c r="D32" t="s">
        <v>132</v>
      </c>
      <c r="E32">
        <v>20411454</v>
      </c>
      <c r="F32" t="s">
        <v>358</v>
      </c>
      <c r="G32" t="s">
        <v>50</v>
      </c>
      <c r="H32" s="1">
        <v>46143</v>
      </c>
      <c r="I32" s="2">
        <v>175</v>
      </c>
      <c r="J32">
        <v>1</v>
      </c>
      <c r="K32" s="3">
        <v>1</v>
      </c>
      <c r="L32" s="4">
        <v>175</v>
      </c>
      <c r="M32" s="2">
        <v>175</v>
      </c>
      <c r="O32" t="s">
        <v>341</v>
      </c>
    </row>
    <row r="33" spans="1:40" x14ac:dyDescent="0.25">
      <c r="A33" s="5" t="s">
        <v>323</v>
      </c>
      <c r="B33" s="5" t="str">
        <f>CONCATENATE(A33,"OVR")</f>
        <v>00026463580KOVR</v>
      </c>
      <c r="C33" t="s">
        <v>136</v>
      </c>
      <c r="D33" t="s">
        <v>46</v>
      </c>
      <c r="E33">
        <v>20411454</v>
      </c>
      <c r="F33" t="s">
        <v>358</v>
      </c>
      <c r="G33" t="s">
        <v>50</v>
      </c>
      <c r="H33" s="1">
        <v>46174</v>
      </c>
      <c r="I33" s="2">
        <v>175</v>
      </c>
      <c r="J33">
        <v>1</v>
      </c>
      <c r="K33" s="3">
        <v>1</v>
      </c>
      <c r="L33" s="4">
        <v>175</v>
      </c>
      <c r="M33" s="2">
        <v>175</v>
      </c>
      <c r="O33" t="s">
        <v>341</v>
      </c>
    </row>
    <row r="34" spans="1:40" x14ac:dyDescent="0.25">
      <c r="A34" s="5" t="s">
        <v>324</v>
      </c>
      <c r="B34" s="5" t="str">
        <f>CONCATENATE(A34,"OVR")</f>
        <v>00026464632KOVR</v>
      </c>
      <c r="C34" t="s">
        <v>138</v>
      </c>
      <c r="D34" t="s">
        <v>46</v>
      </c>
      <c r="E34">
        <v>20411454</v>
      </c>
      <c r="F34" t="s">
        <v>358</v>
      </c>
      <c r="G34" t="s">
        <v>50</v>
      </c>
      <c r="H34" s="1">
        <v>46143</v>
      </c>
      <c r="I34" s="2">
        <v>175</v>
      </c>
      <c r="J34">
        <v>1</v>
      </c>
      <c r="K34" s="3">
        <v>1</v>
      </c>
      <c r="L34" s="4">
        <v>175</v>
      </c>
      <c r="M34" s="2">
        <v>175</v>
      </c>
      <c r="O34" t="s">
        <v>341</v>
      </c>
    </row>
    <row r="35" spans="1:40" x14ac:dyDescent="0.25">
      <c r="A35" s="5" t="s">
        <v>325</v>
      </c>
      <c r="B35" s="5" t="str">
        <f>CONCATENATE(A35,"OVR")</f>
        <v>00026475597KOVR</v>
      </c>
      <c r="C35" t="s">
        <v>142</v>
      </c>
      <c r="D35" t="s">
        <v>46</v>
      </c>
      <c r="E35">
        <v>20411454</v>
      </c>
      <c r="F35" t="s">
        <v>358</v>
      </c>
      <c r="G35" t="s">
        <v>50</v>
      </c>
      <c r="H35" s="1">
        <v>46174</v>
      </c>
      <c r="I35" s="2">
        <v>175</v>
      </c>
      <c r="J35">
        <v>1</v>
      </c>
      <c r="K35" s="3">
        <v>1</v>
      </c>
      <c r="L35" s="4">
        <v>175</v>
      </c>
      <c r="M35" s="2">
        <v>175</v>
      </c>
      <c r="O35" t="s">
        <v>341</v>
      </c>
    </row>
    <row r="36" spans="1:40" x14ac:dyDescent="0.25">
      <c r="A36" s="5" t="s">
        <v>300</v>
      </c>
      <c r="B36" s="5" t="str">
        <f>CONCATENATE(A36,"OVR")</f>
        <v>00023000460KOVR</v>
      </c>
      <c r="C36" t="s">
        <v>54</v>
      </c>
      <c r="D36" t="s">
        <v>55</v>
      </c>
      <c r="E36">
        <v>20411454</v>
      </c>
      <c r="F36" t="s">
        <v>358</v>
      </c>
      <c r="G36" t="s">
        <v>58</v>
      </c>
      <c r="H36" s="1">
        <v>46143</v>
      </c>
      <c r="I36" s="2">
        <v>108</v>
      </c>
      <c r="J36">
        <v>1</v>
      </c>
      <c r="K36" s="3">
        <v>1</v>
      </c>
      <c r="L36" s="4">
        <v>108</v>
      </c>
      <c r="M36" s="2">
        <v>108</v>
      </c>
      <c r="O36" t="s">
        <v>341</v>
      </c>
    </row>
    <row r="37" spans="1:40" x14ac:dyDescent="0.25">
      <c r="A37" s="5" t="s">
        <v>302</v>
      </c>
      <c r="B37" s="5" t="str">
        <f>CONCATENATE(A37,"OVR")</f>
        <v>00025584966KOVR</v>
      </c>
      <c r="C37" t="s">
        <v>65</v>
      </c>
      <c r="D37" t="s">
        <v>46</v>
      </c>
      <c r="E37">
        <v>20411454</v>
      </c>
      <c r="F37" t="s">
        <v>358</v>
      </c>
      <c r="G37" t="s">
        <v>58</v>
      </c>
      <c r="H37" s="1">
        <v>46143</v>
      </c>
      <c r="I37" s="2">
        <v>108</v>
      </c>
      <c r="J37">
        <v>1</v>
      </c>
      <c r="K37" s="3">
        <v>1</v>
      </c>
      <c r="L37" s="4">
        <v>108</v>
      </c>
      <c r="M37" s="2">
        <v>108</v>
      </c>
      <c r="O37" t="s">
        <v>341</v>
      </c>
    </row>
    <row r="38" spans="1:40" x14ac:dyDescent="0.25">
      <c r="A38" s="5" t="s">
        <v>304</v>
      </c>
      <c r="B38" s="5" t="str">
        <f>CONCATENATE(A38,"OVR")</f>
        <v>00026173515KOVR</v>
      </c>
      <c r="C38" t="s">
        <v>73</v>
      </c>
      <c r="D38" t="s">
        <v>46</v>
      </c>
      <c r="E38">
        <v>20411454</v>
      </c>
      <c r="F38" t="s">
        <v>358</v>
      </c>
      <c r="G38" t="s">
        <v>58</v>
      </c>
      <c r="H38" s="1">
        <v>46143</v>
      </c>
      <c r="I38" s="2">
        <v>108</v>
      </c>
      <c r="J38">
        <v>1</v>
      </c>
      <c r="K38" s="3">
        <v>1</v>
      </c>
      <c r="L38" s="4">
        <v>108</v>
      </c>
      <c r="M38" s="2">
        <v>108</v>
      </c>
      <c r="O38" t="s">
        <v>341</v>
      </c>
    </row>
    <row r="39" spans="1:40" x14ac:dyDescent="0.25">
      <c r="A39" s="5" t="s">
        <v>305</v>
      </c>
      <c r="B39" s="5" t="str">
        <f>CONCATENATE(A39,"OVR")</f>
        <v>00026210171KOVR</v>
      </c>
      <c r="C39" t="s">
        <v>77</v>
      </c>
      <c r="D39" t="s">
        <v>46</v>
      </c>
      <c r="E39">
        <v>20411454</v>
      </c>
      <c r="F39" t="s">
        <v>358</v>
      </c>
      <c r="G39" t="s">
        <v>58</v>
      </c>
      <c r="H39" s="1">
        <v>46143</v>
      </c>
      <c r="I39" s="2">
        <v>108</v>
      </c>
      <c r="J39">
        <v>1</v>
      </c>
      <c r="K39" s="3">
        <v>1</v>
      </c>
      <c r="L39" s="4">
        <v>108</v>
      </c>
      <c r="M39" s="2">
        <v>108</v>
      </c>
      <c r="O39" t="s">
        <v>341</v>
      </c>
    </row>
    <row r="40" spans="1:40" x14ac:dyDescent="0.25">
      <c r="A40" s="5" t="s">
        <v>333</v>
      </c>
      <c r="B40" s="5" t="str">
        <f>CONCATENATE(A40,"OVR")</f>
        <v>00000646024DOVR</v>
      </c>
      <c r="C40" t="s">
        <v>267</v>
      </c>
      <c r="D40" t="s">
        <v>248</v>
      </c>
      <c r="E40">
        <v>20411454</v>
      </c>
      <c r="F40" t="s">
        <v>358</v>
      </c>
      <c r="G40" t="s">
        <v>50</v>
      </c>
      <c r="H40" s="1">
        <v>46054</v>
      </c>
      <c r="L40" s="4">
        <v>-117.25</v>
      </c>
      <c r="M40" s="4">
        <v>-117.25</v>
      </c>
      <c r="O40" t="s">
        <v>341</v>
      </c>
    </row>
    <row r="41" spans="1:40" x14ac:dyDescent="0.25">
      <c r="A41" s="5" t="s">
        <v>338</v>
      </c>
      <c r="B41" s="5" t="str">
        <f>CONCATENATE(A41,"OVR")</f>
        <v>00024228644KOVR</v>
      </c>
      <c r="C41" t="s">
        <v>279</v>
      </c>
      <c r="D41" t="s">
        <v>46</v>
      </c>
      <c r="E41">
        <v>20411454</v>
      </c>
      <c r="F41" t="s">
        <v>358</v>
      </c>
      <c r="G41" t="s">
        <v>50</v>
      </c>
      <c r="H41" s="1">
        <v>46023</v>
      </c>
      <c r="L41" s="4">
        <v>-117.25</v>
      </c>
      <c r="M41" s="4">
        <v>-117.25</v>
      </c>
      <c r="O41" t="s">
        <v>341</v>
      </c>
    </row>
    <row r="42" spans="1:40" x14ac:dyDescent="0.25">
      <c r="A42" s="5" t="s">
        <v>302</v>
      </c>
      <c r="B42" s="5" t="str">
        <f>CONCATENATE(A42,"OVR")</f>
        <v>00025584966KOVR</v>
      </c>
      <c r="C42" t="s">
        <v>65</v>
      </c>
      <c r="D42" t="s">
        <v>46</v>
      </c>
      <c r="E42">
        <v>20411454</v>
      </c>
      <c r="F42" t="s">
        <v>358</v>
      </c>
      <c r="G42" t="s">
        <v>50</v>
      </c>
      <c r="H42" s="1">
        <v>46023</v>
      </c>
      <c r="L42" s="4">
        <v>-117.25</v>
      </c>
      <c r="M42" s="4">
        <v>-117.25</v>
      </c>
      <c r="O42" t="s">
        <v>341</v>
      </c>
    </row>
    <row r="43" spans="1:40" x14ac:dyDescent="0.25">
      <c r="A43" s="5" t="s">
        <v>334</v>
      </c>
      <c r="B43" s="5" t="str">
        <f>CONCATENATE(A43,"OVR")</f>
        <v>00010327423KOVR</v>
      </c>
      <c r="C43" t="s">
        <v>270</v>
      </c>
      <c r="D43" t="s">
        <v>46</v>
      </c>
      <c r="E43">
        <v>20411454</v>
      </c>
      <c r="F43" t="s">
        <v>358</v>
      </c>
      <c r="G43" t="s">
        <v>50</v>
      </c>
      <c r="H43" s="1">
        <v>46113</v>
      </c>
      <c r="L43" s="4">
        <v>-145.25</v>
      </c>
      <c r="M43" s="4">
        <v>-145.25</v>
      </c>
      <c r="O43" t="s">
        <v>341</v>
      </c>
    </row>
    <row r="44" spans="1:40" x14ac:dyDescent="0.25">
      <c r="A44" s="5" t="s">
        <v>336</v>
      </c>
      <c r="B44" s="5" t="str">
        <f>CONCATENATE(A44,"OVR")</f>
        <v>00019368907KOVR</v>
      </c>
      <c r="C44" t="s">
        <v>275</v>
      </c>
      <c r="D44" t="s">
        <v>46</v>
      </c>
      <c r="E44">
        <v>20411454</v>
      </c>
      <c r="F44" t="s">
        <v>358</v>
      </c>
      <c r="G44" t="s">
        <v>50</v>
      </c>
      <c r="H44" s="1">
        <v>46082</v>
      </c>
      <c r="L44" s="4">
        <v>-145.25</v>
      </c>
      <c r="M44" s="4">
        <v>-145.25</v>
      </c>
      <c r="O44" t="s">
        <v>341</v>
      </c>
    </row>
    <row r="45" spans="1:40" s="7" customFormat="1" x14ac:dyDescent="0.25">
      <c r="A45" s="6" t="s">
        <v>337</v>
      </c>
      <c r="B45" s="6" t="s">
        <v>337</v>
      </c>
      <c r="C45" s="7" t="s">
        <v>277</v>
      </c>
      <c r="D45" s="7" t="s">
        <v>46</v>
      </c>
      <c r="E45" s="7">
        <v>19681796</v>
      </c>
      <c r="F45" s="7" t="s">
        <v>107</v>
      </c>
      <c r="G45" s="7" t="s">
        <v>273</v>
      </c>
      <c r="H45" s="8">
        <v>46023</v>
      </c>
      <c r="L45" s="9">
        <v>-10.050000000000001</v>
      </c>
      <c r="M45" s="9">
        <v>-10.050000000000001</v>
      </c>
      <c r="O45" s="7" t="s">
        <v>342</v>
      </c>
    </row>
    <row r="46" spans="1:40" s="7" customFormat="1" x14ac:dyDescent="0.25">
      <c r="A46" s="6" t="s">
        <v>339</v>
      </c>
      <c r="B46" s="6" t="s">
        <v>339</v>
      </c>
      <c r="C46" s="7" t="s">
        <v>281</v>
      </c>
      <c r="D46" s="7" t="s">
        <v>248</v>
      </c>
      <c r="E46" s="7" t="s">
        <v>359</v>
      </c>
      <c r="F46" s="7" t="s">
        <v>235</v>
      </c>
      <c r="G46" s="7" t="s">
        <v>273</v>
      </c>
      <c r="H46" s="8">
        <v>46023</v>
      </c>
      <c r="L46" s="9">
        <v>-10.050000000000001</v>
      </c>
      <c r="M46" s="9">
        <v>-10.050000000000001</v>
      </c>
      <c r="O46" s="7" t="s">
        <v>342</v>
      </c>
    </row>
    <row r="47" spans="1:40" s="7" customFormat="1" x14ac:dyDescent="0.25">
      <c r="A47" s="6" t="s">
        <v>335</v>
      </c>
      <c r="B47" s="6" t="s">
        <v>335</v>
      </c>
      <c r="C47" s="7" t="s">
        <v>272</v>
      </c>
      <c r="D47" s="7" t="s">
        <v>147</v>
      </c>
      <c r="E47" s="7">
        <v>17886092</v>
      </c>
      <c r="F47" s="7" t="s">
        <v>149</v>
      </c>
      <c r="G47" s="7" t="s">
        <v>273</v>
      </c>
      <c r="H47" s="8">
        <v>46023</v>
      </c>
      <c r="L47" s="9">
        <v>-10.050000000000001</v>
      </c>
      <c r="M47" s="9">
        <v>-10.050000000000001</v>
      </c>
      <c r="O47" s="7" t="s">
        <v>342</v>
      </c>
    </row>
    <row r="48" spans="1:40" s="7" customFormat="1" x14ac:dyDescent="0.25">
      <c r="A48" s="12">
        <v>922221778</v>
      </c>
      <c r="B48" s="12" t="str">
        <f>CONCATENATE(A48,12)</f>
        <v>92222177812</v>
      </c>
      <c r="C48" s="13" t="s">
        <v>204</v>
      </c>
      <c r="D48" s="13" t="s">
        <v>205</v>
      </c>
      <c r="E48" s="13">
        <v>19586992</v>
      </c>
      <c r="F48" s="13" t="s">
        <v>207</v>
      </c>
      <c r="G48" s="13" t="s">
        <v>202</v>
      </c>
      <c r="H48" s="14">
        <v>46143</v>
      </c>
      <c r="I48" s="15">
        <v>694</v>
      </c>
      <c r="J48" s="13">
        <v>1</v>
      </c>
      <c r="K48" s="16">
        <v>1</v>
      </c>
      <c r="L48" s="17">
        <v>1</v>
      </c>
      <c r="M48" s="15">
        <v>694</v>
      </c>
      <c r="N48" s="13"/>
      <c r="O48" s="13" t="s">
        <v>345</v>
      </c>
      <c r="P48" s="13" t="s">
        <v>355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s="7" customFormat="1" x14ac:dyDescent="0.25">
      <c r="A49" s="12">
        <v>974497683</v>
      </c>
      <c r="B49" s="12" t="str">
        <f>CONCATENATE(A49,12)</f>
        <v>97449768312</v>
      </c>
      <c r="C49" s="13" t="s">
        <v>243</v>
      </c>
      <c r="D49" s="13" t="s">
        <v>244</v>
      </c>
      <c r="E49" s="13">
        <v>19586992</v>
      </c>
      <c r="F49" s="13" t="s">
        <v>207</v>
      </c>
      <c r="G49" s="13" t="s">
        <v>202</v>
      </c>
      <c r="H49" s="14">
        <v>46143</v>
      </c>
      <c r="I49" s="15">
        <v>694</v>
      </c>
      <c r="J49" s="13">
        <v>1</v>
      </c>
      <c r="K49" s="16">
        <v>1</v>
      </c>
      <c r="L49" s="17">
        <v>1</v>
      </c>
      <c r="M49" s="15">
        <v>694</v>
      </c>
      <c r="N49" s="13"/>
      <c r="O49" s="13" t="s">
        <v>345</v>
      </c>
      <c r="P49" s="13" t="s">
        <v>355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s="7" customFormat="1" x14ac:dyDescent="0.25">
      <c r="A50" s="12">
        <v>950332986</v>
      </c>
      <c r="B50" s="12" t="str">
        <f>CONCATENATE(A50,12)</f>
        <v>95033298612</v>
      </c>
      <c r="C50" s="13" t="s">
        <v>224</v>
      </c>
      <c r="D50" s="13" t="s">
        <v>46</v>
      </c>
      <c r="E50" s="13">
        <v>17301495</v>
      </c>
      <c r="F50" s="13" t="s">
        <v>226</v>
      </c>
      <c r="G50" s="13" t="s">
        <v>202</v>
      </c>
      <c r="H50" s="14">
        <v>46143</v>
      </c>
      <c r="I50" s="15">
        <v>694</v>
      </c>
      <c r="J50" s="13">
        <v>1</v>
      </c>
      <c r="K50" s="16">
        <v>1</v>
      </c>
      <c r="L50" s="17">
        <v>1</v>
      </c>
      <c r="M50" s="15">
        <v>694</v>
      </c>
      <c r="N50" s="13"/>
      <c r="O50" s="13" t="s">
        <v>345</v>
      </c>
      <c r="P50" s="13" t="s">
        <v>355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s="7" customFormat="1" x14ac:dyDescent="0.25">
      <c r="A51" s="12">
        <v>917273853</v>
      </c>
      <c r="B51" s="12" t="str">
        <f>CONCATENATE(A51,12)</f>
        <v>91727385312</v>
      </c>
      <c r="C51" s="13" t="s">
        <v>201</v>
      </c>
      <c r="D51" s="13" t="s">
        <v>46</v>
      </c>
      <c r="E51" s="13">
        <v>21283956</v>
      </c>
      <c r="F51" s="13" t="s">
        <v>113</v>
      </c>
      <c r="G51" s="13" t="s">
        <v>202</v>
      </c>
      <c r="H51" s="14">
        <v>46143</v>
      </c>
      <c r="I51" s="15">
        <v>694</v>
      </c>
      <c r="J51" s="13">
        <v>1</v>
      </c>
      <c r="K51" s="16">
        <v>1</v>
      </c>
      <c r="L51" s="17">
        <v>1</v>
      </c>
      <c r="M51" s="15">
        <v>694</v>
      </c>
      <c r="N51" s="13"/>
      <c r="O51" s="13" t="s">
        <v>345</v>
      </c>
      <c r="P51" s="13" t="s">
        <v>355</v>
      </c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s="7" customFormat="1" x14ac:dyDescent="0.25">
      <c r="A52" s="12">
        <v>135835752</v>
      </c>
      <c r="B52" s="12" t="str">
        <f>CONCATENATE(A52,12)</f>
        <v>13583575212</v>
      </c>
      <c r="C52" s="13" t="s">
        <v>189</v>
      </c>
      <c r="D52" s="13" t="s">
        <v>190</v>
      </c>
      <c r="E52" s="13">
        <v>5442438</v>
      </c>
      <c r="F52" s="13" t="s">
        <v>192</v>
      </c>
      <c r="G52" s="13" t="s">
        <v>193</v>
      </c>
      <c r="H52" s="14">
        <v>46113</v>
      </c>
      <c r="I52" s="15">
        <v>520.5</v>
      </c>
      <c r="J52" s="13">
        <v>1</v>
      </c>
      <c r="K52" s="16">
        <v>1</v>
      </c>
      <c r="L52" s="17">
        <v>1</v>
      </c>
      <c r="M52" s="15">
        <v>520.5</v>
      </c>
      <c r="N52" s="13" t="s">
        <v>194</v>
      </c>
      <c r="O52" s="13" t="s">
        <v>345</v>
      </c>
      <c r="P52" s="13" t="s">
        <v>356</v>
      </c>
      <c r="Q52" s="13">
        <f>694/12*9</f>
        <v>520.5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s="7" customFormat="1" x14ac:dyDescent="0.25">
      <c r="A53" s="12">
        <v>966156394</v>
      </c>
      <c r="B53" s="12" t="str">
        <f>CONCATENATE(A53,12)</f>
        <v>96615639412</v>
      </c>
      <c r="C53" s="13" t="s">
        <v>238</v>
      </c>
      <c r="D53" s="13" t="s">
        <v>239</v>
      </c>
      <c r="E53" s="13">
        <v>20003537</v>
      </c>
      <c r="F53" s="13" t="s">
        <v>241</v>
      </c>
      <c r="G53" s="13" t="s">
        <v>193</v>
      </c>
      <c r="H53" s="14">
        <v>46143</v>
      </c>
      <c r="I53" s="15">
        <v>462.67</v>
      </c>
      <c r="J53" s="13">
        <v>1</v>
      </c>
      <c r="K53" s="16">
        <v>1</v>
      </c>
      <c r="L53" s="17">
        <v>1</v>
      </c>
      <c r="M53" s="15">
        <v>462.67</v>
      </c>
      <c r="N53" s="13" t="s">
        <v>151</v>
      </c>
      <c r="O53" s="13" t="s">
        <v>345</v>
      </c>
      <c r="P53" s="13" t="s">
        <v>357</v>
      </c>
      <c r="Q53" s="13">
        <f>694/12*8</f>
        <v>462.66666666666669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s="7" customFormat="1" x14ac:dyDescent="0.25">
      <c r="A54" s="12">
        <v>904672379</v>
      </c>
      <c r="B54" s="12" t="str">
        <f>CONCATENATE(A54,12)</f>
        <v>90467237912</v>
      </c>
      <c r="C54" s="13" t="s">
        <v>196</v>
      </c>
      <c r="D54" s="13" t="s">
        <v>132</v>
      </c>
      <c r="E54" s="13">
        <v>17425766</v>
      </c>
      <c r="F54" s="13" t="s">
        <v>198</v>
      </c>
      <c r="G54" s="13" t="s">
        <v>199</v>
      </c>
      <c r="H54" s="14">
        <v>46113</v>
      </c>
      <c r="I54" s="15">
        <v>864</v>
      </c>
      <c r="J54" s="13">
        <v>1</v>
      </c>
      <c r="K54" s="16">
        <v>1</v>
      </c>
      <c r="L54" s="17">
        <v>1</v>
      </c>
      <c r="M54" s="15">
        <v>864</v>
      </c>
      <c r="N54" s="13"/>
      <c r="O54" s="13" t="s">
        <v>344</v>
      </c>
      <c r="P54" s="13" t="s">
        <v>353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x14ac:dyDescent="0.25">
      <c r="A55" s="12">
        <v>958101264</v>
      </c>
      <c r="B55" s="12" t="str">
        <f>CONCATENATE(A55,12)</f>
        <v>95810126412</v>
      </c>
      <c r="C55" s="13" t="s">
        <v>229</v>
      </c>
      <c r="D55" s="13" t="s">
        <v>46</v>
      </c>
      <c r="E55" s="13">
        <v>7565575</v>
      </c>
      <c r="F55" s="13" t="s">
        <v>92</v>
      </c>
      <c r="G55" s="13" t="s">
        <v>199</v>
      </c>
      <c r="H55" s="14">
        <v>46143</v>
      </c>
      <c r="I55" s="15">
        <v>864</v>
      </c>
      <c r="J55" s="13">
        <v>1</v>
      </c>
      <c r="K55" s="16">
        <v>1</v>
      </c>
      <c r="L55" s="17">
        <v>1</v>
      </c>
      <c r="M55" s="15">
        <v>864</v>
      </c>
      <c r="N55" s="13"/>
      <c r="O55" s="13" t="s">
        <v>344</v>
      </c>
      <c r="P55" s="13" t="s">
        <v>353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x14ac:dyDescent="0.25">
      <c r="A56" s="6">
        <v>904672379</v>
      </c>
      <c r="B56" s="6" t="str">
        <f>CONCATENATE(A56,11)</f>
        <v>90467237911</v>
      </c>
      <c r="C56" s="7" t="s">
        <v>196</v>
      </c>
      <c r="D56" s="7" t="s">
        <v>132</v>
      </c>
      <c r="E56" s="7">
        <v>17425766</v>
      </c>
      <c r="F56" s="7" t="s">
        <v>198</v>
      </c>
      <c r="G56" s="7" t="s">
        <v>295</v>
      </c>
      <c r="H56" s="8">
        <v>46113</v>
      </c>
      <c r="I56" s="7"/>
      <c r="J56" s="7"/>
      <c r="K56" s="7"/>
      <c r="L56" s="9">
        <v>-1</v>
      </c>
      <c r="M56" s="9">
        <v>-324</v>
      </c>
      <c r="N56" s="7"/>
      <c r="O56" s="7" t="s">
        <v>348</v>
      </c>
      <c r="P56" s="7" t="s">
        <v>349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x14ac:dyDescent="0.25">
      <c r="A57" s="6" t="s">
        <v>326</v>
      </c>
      <c r="B57" s="6" t="str">
        <f>CONCATENATE(A57,1)</f>
        <v>A044707101</v>
      </c>
      <c r="C57" s="7" t="s">
        <v>247</v>
      </c>
      <c r="D57" s="7" t="s">
        <v>248</v>
      </c>
      <c r="E57" s="7">
        <v>16849453</v>
      </c>
      <c r="F57" s="7" t="s">
        <v>235</v>
      </c>
      <c r="G57" s="7" t="s">
        <v>249</v>
      </c>
      <c r="H57" s="8">
        <v>46143</v>
      </c>
      <c r="I57" s="10">
        <v>31.02</v>
      </c>
      <c r="J57" s="7">
        <v>9</v>
      </c>
      <c r="K57" s="11">
        <v>1</v>
      </c>
      <c r="L57" s="9">
        <v>1</v>
      </c>
      <c r="M57" s="10">
        <v>279.18</v>
      </c>
      <c r="N57" s="7"/>
      <c r="O57" s="7" t="s">
        <v>249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x14ac:dyDescent="0.25">
      <c r="A58" s="6" t="s">
        <v>327</v>
      </c>
      <c r="B58" s="6" t="str">
        <f>CONCATENATE(A58,1)</f>
        <v>A044710941</v>
      </c>
      <c r="C58" s="7" t="s">
        <v>251</v>
      </c>
      <c r="D58" s="7" t="s">
        <v>248</v>
      </c>
      <c r="E58" s="7">
        <v>16849453</v>
      </c>
      <c r="F58" s="7" t="s">
        <v>235</v>
      </c>
      <c r="G58" s="7" t="s">
        <v>249</v>
      </c>
      <c r="H58" s="8">
        <v>46143</v>
      </c>
      <c r="I58" s="10">
        <v>31.02</v>
      </c>
      <c r="J58" s="7">
        <v>9</v>
      </c>
      <c r="K58" s="11">
        <v>1</v>
      </c>
      <c r="L58" s="9">
        <v>1</v>
      </c>
      <c r="M58" s="10">
        <v>279.18</v>
      </c>
      <c r="N58" s="7"/>
      <c r="O58" s="7" t="s">
        <v>249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x14ac:dyDescent="0.25">
      <c r="A59" s="6" t="s">
        <v>328</v>
      </c>
      <c r="B59" s="6" t="str">
        <f>CONCATENATE(A59,1)</f>
        <v>A044716681</v>
      </c>
      <c r="C59" s="7" t="s">
        <v>253</v>
      </c>
      <c r="D59" s="7" t="s">
        <v>46</v>
      </c>
      <c r="E59" s="7">
        <v>9213293</v>
      </c>
      <c r="F59" s="7" t="s">
        <v>84</v>
      </c>
      <c r="G59" s="7" t="s">
        <v>254</v>
      </c>
      <c r="H59" s="8">
        <v>46174</v>
      </c>
      <c r="I59" s="10">
        <v>31.5</v>
      </c>
      <c r="J59" s="7">
        <v>9</v>
      </c>
      <c r="K59" s="11">
        <v>1</v>
      </c>
      <c r="L59" s="9">
        <v>1</v>
      </c>
      <c r="M59" s="10">
        <v>283.5</v>
      </c>
      <c r="N59" s="7"/>
      <c r="O59" s="7" t="s">
        <v>254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x14ac:dyDescent="0.25">
      <c r="A60" s="6" t="s">
        <v>329</v>
      </c>
      <c r="B60" s="6" t="str">
        <f>CONCATENATE(A60,1)</f>
        <v>A044717071</v>
      </c>
      <c r="C60" s="7" t="s">
        <v>256</v>
      </c>
      <c r="D60" s="7" t="s">
        <v>46</v>
      </c>
      <c r="E60" s="7">
        <v>9213293</v>
      </c>
      <c r="F60" s="7" t="s">
        <v>84</v>
      </c>
      <c r="G60" s="7" t="s">
        <v>254</v>
      </c>
      <c r="H60" s="8">
        <v>46174</v>
      </c>
      <c r="I60" s="10">
        <v>31.5</v>
      </c>
      <c r="J60" s="7">
        <v>9</v>
      </c>
      <c r="K60" s="11">
        <v>1</v>
      </c>
      <c r="L60" s="9">
        <v>1</v>
      </c>
      <c r="M60" s="10">
        <v>283.5</v>
      </c>
      <c r="N60" s="7"/>
      <c r="O60" s="7" t="s">
        <v>254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x14ac:dyDescent="0.25">
      <c r="A61" s="6" t="s">
        <v>331</v>
      </c>
      <c r="B61" s="6" t="str">
        <f>CONCATENATE(A61,1)</f>
        <v>A044722011</v>
      </c>
      <c r="C61" s="7" t="s">
        <v>261</v>
      </c>
      <c r="D61" s="7" t="s">
        <v>46</v>
      </c>
      <c r="E61" s="7">
        <v>9213293</v>
      </c>
      <c r="F61" s="7" t="s">
        <v>84</v>
      </c>
      <c r="G61" s="7" t="s">
        <v>254</v>
      </c>
      <c r="H61" s="8">
        <v>46143</v>
      </c>
      <c r="I61" s="10">
        <v>31.5</v>
      </c>
      <c r="J61" s="7">
        <v>9</v>
      </c>
      <c r="K61" s="11">
        <v>1</v>
      </c>
      <c r="L61" s="9">
        <v>1</v>
      </c>
      <c r="M61" s="10">
        <v>283.5</v>
      </c>
      <c r="N61" s="7"/>
      <c r="O61" s="7" t="s">
        <v>254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x14ac:dyDescent="0.25">
      <c r="A62" s="6" t="s">
        <v>330</v>
      </c>
      <c r="B62" s="6" t="str">
        <f>CONCATENATE(A62,1)</f>
        <v>A044721201</v>
      </c>
      <c r="C62" s="7" t="s">
        <v>258</v>
      </c>
      <c r="D62" s="7" t="s">
        <v>61</v>
      </c>
      <c r="E62" s="7">
        <v>17425766</v>
      </c>
      <c r="F62" s="7" t="s">
        <v>198</v>
      </c>
      <c r="G62" s="7" t="s">
        <v>259</v>
      </c>
      <c r="H62" s="8">
        <v>46174</v>
      </c>
      <c r="I62" s="10">
        <v>13.54</v>
      </c>
      <c r="J62" s="7">
        <v>9</v>
      </c>
      <c r="K62" s="11">
        <v>1</v>
      </c>
      <c r="L62" s="9">
        <v>1</v>
      </c>
      <c r="M62" s="10">
        <v>121.86</v>
      </c>
      <c r="N62" s="7"/>
      <c r="O62" s="7" t="s">
        <v>259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x14ac:dyDescent="0.25">
      <c r="A63" s="6" t="s">
        <v>332</v>
      </c>
      <c r="B63" s="6" t="str">
        <f>CONCATENATE(A63,1)</f>
        <v>A044736051</v>
      </c>
      <c r="C63" s="7" t="s">
        <v>263</v>
      </c>
      <c r="D63" s="7" t="s">
        <v>132</v>
      </c>
      <c r="E63" s="7">
        <v>16212649</v>
      </c>
      <c r="F63" s="7" t="s">
        <v>178</v>
      </c>
      <c r="G63" s="7" t="s">
        <v>264</v>
      </c>
      <c r="H63" s="8">
        <v>46204</v>
      </c>
      <c r="I63" s="10">
        <v>9.83</v>
      </c>
      <c r="J63" s="7">
        <v>9</v>
      </c>
      <c r="K63" s="11">
        <v>1</v>
      </c>
      <c r="L63" s="9">
        <v>1</v>
      </c>
      <c r="M63" s="10">
        <v>88.47</v>
      </c>
      <c r="N63" s="7"/>
      <c r="O63" s="7" t="s">
        <v>264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s="7" customFormat="1" x14ac:dyDescent="0.25">
      <c r="A64" s="6">
        <v>961608197</v>
      </c>
      <c r="B64" s="6" t="str">
        <f>CONCATENATE(A64,11)</f>
        <v>96160819711</v>
      </c>
      <c r="C64" s="7" t="s">
        <v>232</v>
      </c>
      <c r="D64" s="7" t="s">
        <v>233</v>
      </c>
      <c r="E64" s="7">
        <v>16849453</v>
      </c>
      <c r="F64" s="7" t="s">
        <v>235</v>
      </c>
      <c r="G64" s="7" t="s">
        <v>187</v>
      </c>
      <c r="H64" s="8">
        <v>46143</v>
      </c>
      <c r="I64" s="10">
        <v>231.33</v>
      </c>
      <c r="J64" s="7">
        <v>1</v>
      </c>
      <c r="K64" s="11">
        <v>1</v>
      </c>
      <c r="L64" s="9">
        <v>1</v>
      </c>
      <c r="M64" s="10">
        <v>231.33</v>
      </c>
      <c r="N64" s="7" t="s">
        <v>151</v>
      </c>
      <c r="O64" s="7" t="s">
        <v>347</v>
      </c>
      <c r="P64" s="7" t="s">
        <v>351</v>
      </c>
    </row>
    <row r="65" spans="1:40" s="13" customFormat="1" x14ac:dyDescent="0.25">
      <c r="A65" s="6">
        <v>941348923</v>
      </c>
      <c r="B65" s="6" t="str">
        <f>CONCATENATE(A65,11)</f>
        <v>94134892311</v>
      </c>
      <c r="C65" s="7" t="s">
        <v>210</v>
      </c>
      <c r="D65" s="7" t="s">
        <v>46</v>
      </c>
      <c r="E65" s="7">
        <v>19200754</v>
      </c>
      <c r="F65" s="7" t="s">
        <v>75</v>
      </c>
      <c r="G65" s="7" t="s">
        <v>187</v>
      </c>
      <c r="H65" s="8">
        <v>46143</v>
      </c>
      <c r="I65" s="10">
        <v>231.33</v>
      </c>
      <c r="J65" s="7">
        <v>1</v>
      </c>
      <c r="K65" s="11">
        <v>1</v>
      </c>
      <c r="L65" s="9">
        <v>1</v>
      </c>
      <c r="M65" s="10">
        <v>231.33</v>
      </c>
      <c r="N65" s="7" t="s">
        <v>151</v>
      </c>
      <c r="O65" s="7" t="s">
        <v>347</v>
      </c>
      <c r="P65" s="7" t="s">
        <v>351</v>
      </c>
      <c r="Q65" s="7">
        <f>347/12*8</f>
        <v>231.33333333333334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s="13" customFormat="1" x14ac:dyDescent="0.25">
      <c r="A66" s="6">
        <v>944805654</v>
      </c>
      <c r="B66" s="6" t="str">
        <f>CONCATENATE(A66,11)</f>
        <v>94480565411</v>
      </c>
      <c r="C66" s="7" t="s">
        <v>214</v>
      </c>
      <c r="D66" s="7" t="s">
        <v>46</v>
      </c>
      <c r="E66" s="7">
        <v>8325282</v>
      </c>
      <c r="F66" s="7" t="s">
        <v>144</v>
      </c>
      <c r="G66" s="7" t="s">
        <v>187</v>
      </c>
      <c r="H66" s="8">
        <v>46174</v>
      </c>
      <c r="I66" s="10">
        <v>202.42</v>
      </c>
      <c r="J66" s="7">
        <v>1</v>
      </c>
      <c r="K66" s="11">
        <v>1</v>
      </c>
      <c r="L66" s="9">
        <v>1</v>
      </c>
      <c r="M66" s="10">
        <v>202.42</v>
      </c>
      <c r="N66" s="7" t="s">
        <v>215</v>
      </c>
      <c r="O66" s="7" t="s">
        <v>347</v>
      </c>
      <c r="P66" s="7" t="s">
        <v>352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s="13" customFormat="1" x14ac:dyDescent="0.25">
      <c r="A67" s="6">
        <v>134831885</v>
      </c>
      <c r="B67" s="6" t="str">
        <f>CONCATENATE(A67,11)</f>
        <v>13483188511</v>
      </c>
      <c r="C67" s="7" t="s">
        <v>180</v>
      </c>
      <c r="D67" s="7" t="s">
        <v>55</v>
      </c>
      <c r="E67" s="7">
        <v>18142208</v>
      </c>
      <c r="F67" s="7" t="s">
        <v>182</v>
      </c>
      <c r="G67" s="7" t="s">
        <v>187</v>
      </c>
      <c r="H67" s="8">
        <v>46023</v>
      </c>
      <c r="I67" s="10">
        <v>86.75</v>
      </c>
      <c r="J67" s="7">
        <v>1</v>
      </c>
      <c r="K67" s="11">
        <v>1</v>
      </c>
      <c r="L67" s="9">
        <v>1</v>
      </c>
      <c r="M67" s="10">
        <v>86.75</v>
      </c>
      <c r="N67" s="7" t="s">
        <v>185</v>
      </c>
      <c r="O67" s="7" t="s">
        <v>347</v>
      </c>
      <c r="P67" s="7" t="s">
        <v>350</v>
      </c>
      <c r="Q67" s="7">
        <f>347/12*3</f>
        <v>86.75</v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s="13" customFormat="1" x14ac:dyDescent="0.25">
      <c r="A68" s="6">
        <v>958101264</v>
      </c>
      <c r="B68" s="6" t="str">
        <f>CONCATENATE(A68,11)</f>
        <v>95810126411</v>
      </c>
      <c r="C68" s="7" t="s">
        <v>229</v>
      </c>
      <c r="D68" s="7" t="s">
        <v>46</v>
      </c>
      <c r="E68" s="7">
        <v>7565575</v>
      </c>
      <c r="F68" s="7" t="s">
        <v>92</v>
      </c>
      <c r="G68" s="7" t="s">
        <v>187</v>
      </c>
      <c r="H68" s="8">
        <v>46143</v>
      </c>
      <c r="I68" s="7"/>
      <c r="J68" s="7"/>
      <c r="K68" s="7"/>
      <c r="L68" s="9">
        <v>-1</v>
      </c>
      <c r="M68" s="9">
        <v>-231.33</v>
      </c>
      <c r="N68" s="7"/>
      <c r="O68" s="7" t="s">
        <v>347</v>
      </c>
      <c r="P68" s="7" t="s">
        <v>351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s="13" customFormat="1" x14ac:dyDescent="0.25">
      <c r="A69" s="6">
        <v>917273853</v>
      </c>
      <c r="B69" s="6" t="str">
        <f>CONCATENATE(A69,11)</f>
        <v>91727385311</v>
      </c>
      <c r="C69" s="7" t="s">
        <v>201</v>
      </c>
      <c r="D69" s="7" t="s">
        <v>46</v>
      </c>
      <c r="E69" s="7">
        <v>21283956</v>
      </c>
      <c r="F69" s="7" t="s">
        <v>113</v>
      </c>
      <c r="G69" s="7" t="s">
        <v>187</v>
      </c>
      <c r="H69" s="8">
        <v>46143</v>
      </c>
      <c r="I69" s="7"/>
      <c r="J69" s="7"/>
      <c r="K69" s="7"/>
      <c r="L69" s="9">
        <v>-1</v>
      </c>
      <c r="M69" s="9">
        <v>-231.33</v>
      </c>
      <c r="N69" s="7"/>
      <c r="O69" s="7" t="s">
        <v>347</v>
      </c>
      <c r="P69" s="7" t="s">
        <v>351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s="13" customFormat="1" x14ac:dyDescent="0.25">
      <c r="A70" s="6">
        <v>945648838</v>
      </c>
      <c r="B70" s="6">
        <v>945648838</v>
      </c>
      <c r="C70" s="7" t="s">
        <v>218</v>
      </c>
      <c r="D70" s="7" t="s">
        <v>219</v>
      </c>
      <c r="E70" s="7">
        <v>19645587</v>
      </c>
      <c r="F70" s="7" t="s">
        <v>221</v>
      </c>
      <c r="G70" s="7" t="s">
        <v>222</v>
      </c>
      <c r="H70" s="8">
        <v>46054</v>
      </c>
      <c r="I70" s="10">
        <v>611</v>
      </c>
      <c r="J70" s="7">
        <v>1</v>
      </c>
      <c r="K70" s="11">
        <v>1</v>
      </c>
      <c r="L70" s="9">
        <v>1</v>
      </c>
      <c r="M70" s="10">
        <v>611</v>
      </c>
      <c r="N70" s="7" t="s">
        <v>185</v>
      </c>
      <c r="O70" s="7" t="s">
        <v>346</v>
      </c>
      <c r="P70" s="7" t="s">
        <v>354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s="7" customFormat="1" x14ac:dyDescent="0.25">
      <c r="A71" s="5">
        <v>922221778</v>
      </c>
      <c r="B71" s="5" t="str">
        <f>CONCATENATE(A71,"OVR")</f>
        <v>922221778OVR</v>
      </c>
      <c r="C71" t="s">
        <v>204</v>
      </c>
      <c r="D71" t="s">
        <v>205</v>
      </c>
      <c r="E71">
        <v>20411454</v>
      </c>
      <c r="F71" t="s">
        <v>358</v>
      </c>
      <c r="G71" t="s">
        <v>184</v>
      </c>
      <c r="H71" s="1">
        <v>46143</v>
      </c>
      <c r="I71" s="2">
        <v>175</v>
      </c>
      <c r="J71">
        <v>1</v>
      </c>
      <c r="K71" s="3">
        <v>1</v>
      </c>
      <c r="L71" s="4">
        <v>175</v>
      </c>
      <c r="M71" s="2">
        <v>175</v>
      </c>
      <c r="N71"/>
      <c r="O71" t="s">
        <v>343</v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</row>
    <row r="72" spans="1:40" s="7" customFormat="1" x14ac:dyDescent="0.25">
      <c r="A72" s="5">
        <v>950332986</v>
      </c>
      <c r="B72" s="5" t="str">
        <f>CONCATENATE(A72,"OVR")</f>
        <v>950332986OVR</v>
      </c>
      <c r="C72" t="s">
        <v>224</v>
      </c>
      <c r="D72" t="s">
        <v>46</v>
      </c>
      <c r="E72">
        <v>20411454</v>
      </c>
      <c r="F72" t="s">
        <v>358</v>
      </c>
      <c r="G72" t="s">
        <v>184</v>
      </c>
      <c r="H72" s="1">
        <v>46143</v>
      </c>
      <c r="I72" s="2">
        <v>175</v>
      </c>
      <c r="J72">
        <v>1</v>
      </c>
      <c r="K72" s="3">
        <v>1</v>
      </c>
      <c r="L72" s="4">
        <v>175</v>
      </c>
      <c r="M72" s="2">
        <v>175</v>
      </c>
      <c r="N72"/>
      <c r="O72" t="s">
        <v>343</v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</row>
    <row r="73" spans="1:40" s="7" customFormat="1" x14ac:dyDescent="0.25">
      <c r="A73" s="5">
        <v>958101264</v>
      </c>
      <c r="B73" s="5" t="str">
        <f>CONCATENATE(A73,"OVR")</f>
        <v>958101264OVR</v>
      </c>
      <c r="C73" t="s">
        <v>229</v>
      </c>
      <c r="D73" t="s">
        <v>46</v>
      </c>
      <c r="E73">
        <v>20411454</v>
      </c>
      <c r="F73" t="s">
        <v>358</v>
      </c>
      <c r="G73" t="s">
        <v>184</v>
      </c>
      <c r="H73" s="1">
        <v>46143</v>
      </c>
      <c r="I73" s="2">
        <v>175</v>
      </c>
      <c r="J73">
        <v>1</v>
      </c>
      <c r="K73" s="3">
        <v>1</v>
      </c>
      <c r="L73" s="4">
        <v>175</v>
      </c>
      <c r="M73" s="2">
        <v>175</v>
      </c>
      <c r="N73"/>
      <c r="O73" t="s">
        <v>343</v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</row>
    <row r="74" spans="1:40" s="7" customFormat="1" x14ac:dyDescent="0.25">
      <c r="A74" s="5">
        <v>974497683</v>
      </c>
      <c r="B74" s="5" t="str">
        <f>CONCATENATE(A74,"OVR")</f>
        <v>974497683OVR</v>
      </c>
      <c r="C74" t="s">
        <v>243</v>
      </c>
      <c r="D74" t="s">
        <v>244</v>
      </c>
      <c r="E74">
        <v>20411454</v>
      </c>
      <c r="F74" t="s">
        <v>358</v>
      </c>
      <c r="G74" t="s">
        <v>184</v>
      </c>
      <c r="H74" s="1">
        <v>46143</v>
      </c>
      <c r="I74" s="2">
        <v>175</v>
      </c>
      <c r="J74">
        <v>1</v>
      </c>
      <c r="K74" s="3">
        <v>1</v>
      </c>
      <c r="L74" s="4">
        <v>175</v>
      </c>
      <c r="M74" s="2">
        <v>175</v>
      </c>
      <c r="N74"/>
      <c r="O74" t="s">
        <v>343</v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</row>
    <row r="75" spans="1:40" s="7" customFormat="1" x14ac:dyDescent="0.25">
      <c r="A75" s="5">
        <v>941348923</v>
      </c>
      <c r="B75" s="5" t="str">
        <f>CONCATENATE(A75,"OVR")</f>
        <v>941348923OVR</v>
      </c>
      <c r="C75" t="s">
        <v>210</v>
      </c>
      <c r="D75" t="s">
        <v>46</v>
      </c>
      <c r="E75">
        <v>20411454</v>
      </c>
      <c r="F75" t="s">
        <v>358</v>
      </c>
      <c r="G75" t="s">
        <v>212</v>
      </c>
      <c r="H75" s="1">
        <v>46143</v>
      </c>
      <c r="I75" s="2">
        <v>48</v>
      </c>
      <c r="J75">
        <v>1</v>
      </c>
      <c r="K75" s="3">
        <v>1</v>
      </c>
      <c r="L75" s="4">
        <v>48</v>
      </c>
      <c r="M75" s="2">
        <v>48</v>
      </c>
      <c r="N75" t="s">
        <v>151</v>
      </c>
      <c r="O75" t="s">
        <v>343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</row>
    <row r="76" spans="1:40" s="7" customFormat="1" x14ac:dyDescent="0.25">
      <c r="A76" s="5">
        <v>961608197</v>
      </c>
      <c r="B76" s="5" t="str">
        <f>CONCATENATE(A76,"OVR")</f>
        <v>961608197OVR</v>
      </c>
      <c r="C76" t="s">
        <v>232</v>
      </c>
      <c r="D76" t="s">
        <v>233</v>
      </c>
      <c r="E76">
        <v>20411454</v>
      </c>
      <c r="F76" t="s">
        <v>358</v>
      </c>
      <c r="G76" t="s">
        <v>212</v>
      </c>
      <c r="H76" s="1">
        <v>46143</v>
      </c>
      <c r="I76" s="2">
        <v>48</v>
      </c>
      <c r="J76">
        <v>1</v>
      </c>
      <c r="K76" s="3">
        <v>1</v>
      </c>
      <c r="L76" s="4">
        <v>48</v>
      </c>
      <c r="M76" s="2">
        <v>48</v>
      </c>
      <c r="N76" t="s">
        <v>151</v>
      </c>
      <c r="O76" t="s">
        <v>343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</row>
    <row r="77" spans="1:40" s="13" customFormat="1" x14ac:dyDescent="0.25">
      <c r="A77" s="5">
        <v>134831885</v>
      </c>
      <c r="B77" s="5" t="str">
        <f>CONCATENATE(A77,"OVR")</f>
        <v>134831885OVR</v>
      </c>
      <c r="C77" t="s">
        <v>180</v>
      </c>
      <c r="D77" t="s">
        <v>55</v>
      </c>
      <c r="E77">
        <v>20411454</v>
      </c>
      <c r="F77" t="s">
        <v>358</v>
      </c>
      <c r="G77" t="s">
        <v>184</v>
      </c>
      <c r="H77" s="1">
        <v>46023</v>
      </c>
      <c r="I77" s="2">
        <v>43.75</v>
      </c>
      <c r="J77">
        <v>1</v>
      </c>
      <c r="K77" s="3">
        <v>1</v>
      </c>
      <c r="L77" s="4">
        <v>43.75</v>
      </c>
      <c r="M77" s="2">
        <v>43.75</v>
      </c>
      <c r="N77" t="s">
        <v>185</v>
      </c>
      <c r="O77" t="s">
        <v>343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</row>
    <row r="78" spans="1:40" s="13" customFormat="1" x14ac:dyDescent="0.25">
      <c r="A78" s="5">
        <v>944805654</v>
      </c>
      <c r="B78" s="5" t="str">
        <f>CONCATENATE(A78,"OVR")</f>
        <v>944805654OVR</v>
      </c>
      <c r="C78" t="s">
        <v>214</v>
      </c>
      <c r="D78" t="s">
        <v>46</v>
      </c>
      <c r="E78">
        <v>20411454</v>
      </c>
      <c r="F78" t="s">
        <v>358</v>
      </c>
      <c r="G78" t="s">
        <v>212</v>
      </c>
      <c r="H78" s="1">
        <v>46174</v>
      </c>
      <c r="I78" s="2">
        <v>42</v>
      </c>
      <c r="J78">
        <v>1</v>
      </c>
      <c r="K78" s="3">
        <v>1</v>
      </c>
      <c r="L78" s="4">
        <v>42</v>
      </c>
      <c r="M78" s="2">
        <v>42</v>
      </c>
      <c r="N78" t="s">
        <v>215</v>
      </c>
      <c r="O78" t="s">
        <v>343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</row>
    <row r="79" spans="1:40" s="7" customFormat="1" x14ac:dyDescent="0.25">
      <c r="A79" s="5">
        <v>958101264</v>
      </c>
      <c r="B79" s="5" t="str">
        <f>CONCATENATE(A79,"OVR")</f>
        <v>958101264OVR</v>
      </c>
      <c r="C79" t="s">
        <v>229</v>
      </c>
      <c r="D79" t="s">
        <v>46</v>
      </c>
      <c r="E79">
        <v>20411454</v>
      </c>
      <c r="F79" t="s">
        <v>358</v>
      </c>
      <c r="G79" t="s">
        <v>212</v>
      </c>
      <c r="H79" s="1">
        <v>46143</v>
      </c>
      <c r="I79"/>
      <c r="J79"/>
      <c r="K79"/>
      <c r="L79" s="4">
        <v>-48</v>
      </c>
      <c r="M79" s="4">
        <v>-48</v>
      </c>
      <c r="N79"/>
      <c r="O79" t="s">
        <v>343</v>
      </c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</row>
  </sheetData>
  <sortState xmlns:xlrd2="http://schemas.microsoft.com/office/spreadsheetml/2017/richdata2" ref="A2:AN79">
    <sortCondition ref="O2:O79"/>
    <sortCondition descending="1" ref="M2:M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2026-05-14T06:29:11Z</dcterms:created>
  <dcterms:modified xsi:type="dcterms:W3CDTF">2026-05-14T16:57:50Z</dcterms:modified>
</cp:coreProperties>
</file>