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3-12-25\"/>
    </mc:Choice>
  </mc:AlternateContent>
  <xr:revisionPtr revIDLastSave="0" documentId="13_ncr:1_{0CB26C24-B8FE-445E-90F7-9CAE3DF86DCF}" xr6:coauthVersionLast="47" xr6:coauthVersionMax="47" xr10:uidLastSave="{00000000-0000-0000-0000-000000000000}"/>
  <bookViews>
    <workbookView xWindow="28680" yWindow="-120" windowWidth="29040" windowHeight="16440" activeTab="1" xr2:uid="{9D258140-3FAA-4688-8B22-A80514E5DCB4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N12" i="2" l="1"/>
  <c r="N23" i="2"/>
  <c r="N11" i="2"/>
  <c r="N5" i="2"/>
  <c r="N21" i="2"/>
  <c r="N22" i="2"/>
  <c r="N15" i="2"/>
  <c r="N20" i="2"/>
  <c r="N8" i="2"/>
  <c r="N82" i="2"/>
  <c r="N10" i="2"/>
  <c r="N14" i="2"/>
  <c r="N13" i="2"/>
  <c r="N19" i="2"/>
  <c r="N81" i="2"/>
  <c r="N9" i="2"/>
  <c r="N3" i="2"/>
  <c r="N16" i="2"/>
  <c r="N17" i="2"/>
  <c r="N18" i="2"/>
  <c r="N4" i="2"/>
  <c r="N6" i="2"/>
  <c r="N7" i="2"/>
  <c r="N2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24" i="2"/>
</calcChain>
</file>

<file path=xl/sharedStrings.xml><?xml version="1.0" encoding="utf-8"?>
<sst xmlns="http://schemas.openxmlformats.org/spreadsheetml/2006/main" count="1873" uniqueCount="348">
  <si>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</si>
  <si>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</si>
  <si>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</si>
  <si>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</si>
  <si>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</si>
  <si>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</si>
  <si>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</si>
  <si>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</si>
  <si>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</si>
  <si>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</si>
  <si>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</si>
  <si>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</si>
  <si>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</si>
  <si>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</si>
  <si>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</si>
  <si>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</si>
  <si>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</si>
  <si>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</si>
  <si>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</si>
  <si>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</si>
  <si>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</si>
  <si>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</si>
  <si>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</si>
  <si>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</si>
  <si>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</si>
  <si>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</si>
  <si>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</si>
  <si>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</si>
  <si>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</si>
  <si>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</si>
  <si>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</si>
  <si>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</si>
  <si>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</si>
  <si>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</si>
  <si>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</si>
  <si>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</si>
  <si>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</si>
  <si>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</si>
  <si>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</si>
  <si>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</si>
  <si>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</si>
  <si>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</si>
  <si>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</si>
  <si>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</si>
  <si>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'00007672778K</t>
  </si>
  <si>
    <t>EILEEN CECHOTA</t>
  </si>
  <si>
    <t>NA</t>
  </si>
  <si>
    <t>'045618</t>
  </si>
  <si>
    <t>STEPHANIE DRAPAC</t>
  </si>
  <si>
    <t>ACTIVE</t>
  </si>
  <si>
    <t>Humana MA 2019+ Level 15- 175/108</t>
  </si>
  <si>
    <t>Monthly</t>
  </si>
  <si>
    <t>AV</t>
  </si>
  <si>
    <t>'00010225769K</t>
  </si>
  <si>
    <t>ELIA FERRER</t>
  </si>
  <si>
    <t>'045709</t>
  </si>
  <si>
    <t>ESTHER HERRERA-LARSEN</t>
  </si>
  <si>
    <t>'00014158510K</t>
  </si>
  <si>
    <t>EFRAIN FERRER</t>
  </si>
  <si>
    <t>Humana MA 2019+ Level 15- 175/108 Repl 2024</t>
  </si>
  <si>
    <t>'00017775058K</t>
  </si>
  <si>
    <t>ELAINE GREER-LOCKE</t>
  </si>
  <si>
    <t>'043589</t>
  </si>
  <si>
    <t>JOSE TORRES</t>
  </si>
  <si>
    <t>'00021086243K</t>
  </si>
  <si>
    <t>RICKY MEISNER</t>
  </si>
  <si>
    <t>'045612</t>
  </si>
  <si>
    <t>ANTHONY HUNSBERGER</t>
  </si>
  <si>
    <t>'00021195864K</t>
  </si>
  <si>
    <t>MARILYN COX</t>
  </si>
  <si>
    <t>MI</t>
  </si>
  <si>
    <t>'045605</t>
  </si>
  <si>
    <t>GARY PORTUGAL</t>
  </si>
  <si>
    <t>'00022188436K</t>
  </si>
  <si>
    <t>TIMOTHY CHOI</t>
  </si>
  <si>
    <t>'045603</t>
  </si>
  <si>
    <t>ANDREW CHOI</t>
  </si>
  <si>
    <t>'00022188500K</t>
  </si>
  <si>
    <t>KYUNG CHOI</t>
  </si>
  <si>
    <t>'00023132160K</t>
  </si>
  <si>
    <t>JAMES MISSENDA</t>
  </si>
  <si>
    <t>'043679</t>
  </si>
  <si>
    <t>DEBORAH INSKIPT</t>
  </si>
  <si>
    <t>'00023132285KPDP</t>
  </si>
  <si>
    <t>HAROLD SCHOCH</t>
  </si>
  <si>
    <t>'043689</t>
  </si>
  <si>
    <t>ANNE MARIE KOZACHECK</t>
  </si>
  <si>
    <t>Humana PDP 2019+ Level 15- 15/0</t>
  </si>
  <si>
    <t>'00023133292K</t>
  </si>
  <si>
    <t>KAREN FRANCIERE</t>
  </si>
  <si>
    <t>'045611</t>
  </si>
  <si>
    <t>FRANK LISKOVEC</t>
  </si>
  <si>
    <t>'00023140342K</t>
  </si>
  <si>
    <t>LE TRIEU-TRINH</t>
  </si>
  <si>
    <t>'00023140550K</t>
  </si>
  <si>
    <t>KENNETH WEBER</t>
  </si>
  <si>
    <t>'043637</t>
  </si>
  <si>
    <t>CHRISTIAN TAUGNER</t>
  </si>
  <si>
    <t>'00023140575K</t>
  </si>
  <si>
    <t>JANICE WEBER</t>
  </si>
  <si>
    <t>'00023140852K</t>
  </si>
  <si>
    <t>SUSAN MILLER NESHER</t>
  </si>
  <si>
    <t>IL</t>
  </si>
  <si>
    <t>'00023140938K</t>
  </si>
  <si>
    <t>DANIEL ZERBY</t>
  </si>
  <si>
    <t>'043714</t>
  </si>
  <si>
    <t>BRIAN STROHMAN</t>
  </si>
  <si>
    <t>'00023144851K</t>
  </si>
  <si>
    <t>OYUNCHIMEG CHOIJILSUREN</t>
  </si>
  <si>
    <t>'043758</t>
  </si>
  <si>
    <t>NASANDELGER ZANA</t>
  </si>
  <si>
    <t>'00023146576K</t>
  </si>
  <si>
    <t>SHARON CRAIG</t>
  </si>
  <si>
    <t>'043705</t>
  </si>
  <si>
    <t>MICHAEL DUNAVANT</t>
  </si>
  <si>
    <t>'00023146640K</t>
  </si>
  <si>
    <t>CHERYL NESTEROWICZ</t>
  </si>
  <si>
    <t>'043618</t>
  </si>
  <si>
    <t>SAADIA ABDUL</t>
  </si>
  <si>
    <t>'00023146818K</t>
  </si>
  <si>
    <t>JOHN NESTEROWICZ</t>
  </si>
  <si>
    <t>'00023151397K</t>
  </si>
  <si>
    <t>GERALD LATZKE</t>
  </si>
  <si>
    <t>'00023151464K</t>
  </si>
  <si>
    <t>RENE LATZKE</t>
  </si>
  <si>
    <t>'00023151593K</t>
  </si>
  <si>
    <t>RANDY BLANK</t>
  </si>
  <si>
    <t>'101211577200</t>
  </si>
  <si>
    <t>ALLAN BULLOCK</t>
  </si>
  <si>
    <t>PA</t>
  </si>
  <si>
    <t>Aetna MAPD NMO to GMO - 4-1-23+  Replace E-App</t>
  </si>
  <si>
    <t>10/12 PRORATE</t>
  </si>
  <si>
    <t>'101218748200</t>
  </si>
  <si>
    <t>ALISON BENSON-KOPFER</t>
  </si>
  <si>
    <t>'101291821000</t>
  </si>
  <si>
    <t>JOSEPHINE ATTENTO</t>
  </si>
  <si>
    <t>'041686</t>
  </si>
  <si>
    <t>DALE WALENGA</t>
  </si>
  <si>
    <t>'101527036200</t>
  </si>
  <si>
    <t>MARYBLYE KRAMER</t>
  </si>
  <si>
    <t>'101528681000</t>
  </si>
  <si>
    <t>DONALD MEHLMAN</t>
  </si>
  <si>
    <t>'043743</t>
  </si>
  <si>
    <t>FREDERICK GBASSANA</t>
  </si>
  <si>
    <t>'101666004700</t>
  </si>
  <si>
    <t>DONNA BURLEIGH</t>
  </si>
  <si>
    <t>LA</t>
  </si>
  <si>
    <t>'045613</t>
  </si>
  <si>
    <t>RICARDO SANTOS</t>
  </si>
  <si>
    <t>'101930278400</t>
  </si>
  <si>
    <t>MARK SHAUGHNESSY</t>
  </si>
  <si>
    <t>SC</t>
  </si>
  <si>
    <t>'045638</t>
  </si>
  <si>
    <t>RICHARD YALE</t>
  </si>
  <si>
    <t>'102029640300</t>
  </si>
  <si>
    <t>BETH HICKS</t>
  </si>
  <si>
    <t>WI</t>
  </si>
  <si>
    <t>'102150493500</t>
  </si>
  <si>
    <t>TODD PAYNTER</t>
  </si>
  <si>
    <t>FL</t>
  </si>
  <si>
    <t>'102150535500</t>
  </si>
  <si>
    <t>ROBERT SLANEY</t>
  </si>
  <si>
    <t>8/12 PRORATE</t>
  </si>
  <si>
    <t>'102150537700</t>
  </si>
  <si>
    <t>PATRICIA WALLACE</t>
  </si>
  <si>
    <t>TX</t>
  </si>
  <si>
    <t>'043682</t>
  </si>
  <si>
    <t>GREGORY TEIPEL</t>
  </si>
  <si>
    <t>'102150541300</t>
  </si>
  <si>
    <t>TONY BURKS</t>
  </si>
  <si>
    <t>'102150573800</t>
  </si>
  <si>
    <t>ALLONTE WASHINGTON</t>
  </si>
  <si>
    <t>'045712</t>
  </si>
  <si>
    <t>GREGORY HANSFORD</t>
  </si>
  <si>
    <t>'102151195700</t>
  </si>
  <si>
    <t>PAMELA MONTGOMERY</t>
  </si>
  <si>
    <t>KS</t>
  </si>
  <si>
    <t>'132358274</t>
  </si>
  <si>
    <t>TERESA VACA</t>
  </si>
  <si>
    <t>IA</t>
  </si>
  <si>
    <t>UHC MAPD Street payable to upline- 2025 Pro New</t>
  </si>
  <si>
    <t>11/12 PRORATE</t>
  </si>
  <si>
    <t>'74F7F6U39</t>
  </si>
  <si>
    <t>THOMAS THOMPSON</t>
  </si>
  <si>
    <t>'043969</t>
  </si>
  <si>
    <t>STACEY PORTUGAL</t>
  </si>
  <si>
    <t>Cigna MAPD FMO to GA 1-1-19+ - New</t>
  </si>
  <si>
    <t>'910679218</t>
  </si>
  <si>
    <t>GILBERTO CANDELARIA</t>
  </si>
  <si>
    <t>'043623</t>
  </si>
  <si>
    <t>DOLORES DUNBAR</t>
  </si>
  <si>
    <t>UHC MAPD Street payable to upline - 2025 New</t>
  </si>
  <si>
    <t>'924420238</t>
  </si>
  <si>
    <t>GARY MONTOYA</t>
  </si>
  <si>
    <t>CO</t>
  </si>
  <si>
    <t>'045621</t>
  </si>
  <si>
    <t>HEATHER GESKE</t>
  </si>
  <si>
    <t>UHC MAPD Street payable to upline- 2025 Replace</t>
  </si>
  <si>
    <t>9/12 PRORATE</t>
  </si>
  <si>
    <t>'924420238OV</t>
  </si>
  <si>
    <t>UHC MA Direct 2024 New Full</t>
  </si>
  <si>
    <t>'925390858</t>
  </si>
  <si>
    <t>DAISY GARCIA</t>
  </si>
  <si>
    <t>7/12 PRORATE</t>
  </si>
  <si>
    <t>'925390858OV</t>
  </si>
  <si>
    <t>'940795330</t>
  </si>
  <si>
    <t>MICHAEL ANGUIANO</t>
  </si>
  <si>
    <t>'940795330OV</t>
  </si>
  <si>
    <t>'951850009</t>
  </si>
  <si>
    <t>JON TUBBS</t>
  </si>
  <si>
    <t>'957421267</t>
  </si>
  <si>
    <t>ISABEL SORRENTINO</t>
  </si>
  <si>
    <t>'957421267OV</t>
  </si>
  <si>
    <t>UHC MA Direct 2024 New Initial Prorated</t>
  </si>
  <si>
    <t>'959030254</t>
  </si>
  <si>
    <t>STACY MAYDEW</t>
  </si>
  <si>
    <t>'960245270OV</t>
  </si>
  <si>
    <t>MARSHA KURTH</t>
  </si>
  <si>
    <t>'966497714</t>
  </si>
  <si>
    <t>RACHEL TOTH</t>
  </si>
  <si>
    <t>'966497714OV</t>
  </si>
  <si>
    <t>'971498173</t>
  </si>
  <si>
    <t>SYBIL KEELE</t>
  </si>
  <si>
    <t>'043718</t>
  </si>
  <si>
    <t>CHAD YALE</t>
  </si>
  <si>
    <t>'977962097</t>
  </si>
  <si>
    <t>FRANCISCO VILLA</t>
  </si>
  <si>
    <t>'977962097OV</t>
  </si>
  <si>
    <t>CB</t>
  </si>
  <si>
    <t>'00015861123KPC</t>
  </si>
  <si>
    <t>ROSEANN GRAY</t>
  </si>
  <si>
    <t>CHARGEBACK</t>
  </si>
  <si>
    <t>'00018040701KPC</t>
  </si>
  <si>
    <t>DONNA DEUSTER</t>
  </si>
  <si>
    <t>'00018688193KOVPC</t>
  </si>
  <si>
    <t>KEITH JOHNSON</t>
  </si>
  <si>
    <t>'043678</t>
  </si>
  <si>
    <t>MATTHEW DAUGHERTY</t>
  </si>
  <si>
    <t>'00018688193KPC</t>
  </si>
  <si>
    <t>Humana MAPD Street payable to upline- 2025 Replace</t>
  </si>
  <si>
    <t>'00019839193KPC</t>
  </si>
  <si>
    <t>BHARAT SHAH</t>
  </si>
  <si>
    <t>'00021664199KPC</t>
  </si>
  <si>
    <t>ABIGAIL ELLIOTT</t>
  </si>
  <si>
    <t>'102133066800CB</t>
  </si>
  <si>
    <t>ANN REIGEL</t>
  </si>
  <si>
    <t>Aetna MAPD NMO to GMO - 4-1-23+  New E-App</t>
  </si>
  <si>
    <t>'132358274CB</t>
  </si>
  <si>
    <t>'910679218CB</t>
  </si>
  <si>
    <t>'951850009CB</t>
  </si>
  <si>
    <t>'957421267CB</t>
  </si>
  <si>
    <t>'957421267OVCB</t>
  </si>
  <si>
    <t>'957988057CB</t>
  </si>
  <si>
    <t>GAIL STOKES</t>
  </si>
  <si>
    <t>'045642</t>
  </si>
  <si>
    <t>JONATHAN ALOFF</t>
  </si>
  <si>
    <t>'957988057OVCB</t>
  </si>
  <si>
    <t>'959030254CB</t>
  </si>
  <si>
    <t>'970877095OVPC</t>
  </si>
  <si>
    <t>RUSSELL HARRIS</t>
  </si>
  <si>
    <t>NC</t>
  </si>
  <si>
    <t>'045601</t>
  </si>
  <si>
    <t>CAROL FOLEY</t>
  </si>
  <si>
    <t>'970877095PC</t>
  </si>
  <si>
    <t>'971498173CB</t>
  </si>
  <si>
    <t>'977962097CB</t>
  </si>
  <si>
    <t>'977962097OVCB</t>
  </si>
  <si>
    <t>'983805466CB</t>
  </si>
  <si>
    <t>F BRADSHAW</t>
  </si>
  <si>
    <t>'983805466OVCB</t>
  </si>
  <si>
    <t>'992296804CB</t>
  </si>
  <si>
    <t>JIMMIE PERKINS</t>
  </si>
  <si>
    <t>'995656731CB</t>
  </si>
  <si>
    <t>KEVIN JAMES</t>
  </si>
  <si>
    <t>'995656731OVCB</t>
  </si>
  <si>
    <t>00007672778K</t>
  </si>
  <si>
    <t>00010225769K</t>
  </si>
  <si>
    <t>00014158510K</t>
  </si>
  <si>
    <t>00017775058K</t>
  </si>
  <si>
    <t>00021086243K</t>
  </si>
  <si>
    <t>00021195864K</t>
  </si>
  <si>
    <t>00022188436K</t>
  </si>
  <si>
    <t>00022188500K</t>
  </si>
  <si>
    <t>00023132160K</t>
  </si>
  <si>
    <t>00023132285KPDP</t>
  </si>
  <si>
    <t>00023133292K</t>
  </si>
  <si>
    <t>00023140342K</t>
  </si>
  <si>
    <t>00023140550K</t>
  </si>
  <si>
    <t>00023140575K</t>
  </si>
  <si>
    <t>00023140852K</t>
  </si>
  <si>
    <t>00023140938K</t>
  </si>
  <si>
    <t>00023144851K</t>
  </si>
  <si>
    <t>00023146576K</t>
  </si>
  <si>
    <t>00023146640K</t>
  </si>
  <si>
    <t>00023146818K</t>
  </si>
  <si>
    <t>00023151397K</t>
  </si>
  <si>
    <t>00023151464K</t>
  </si>
  <si>
    <t>00023151593K</t>
  </si>
  <si>
    <t>74F7F6U39</t>
  </si>
  <si>
    <t>924420238OV</t>
  </si>
  <si>
    <t>925390858OV</t>
  </si>
  <si>
    <t>940795330OV</t>
  </si>
  <si>
    <t>957421267OV</t>
  </si>
  <si>
    <t>960245270OV</t>
  </si>
  <si>
    <t>966497714OV</t>
  </si>
  <si>
    <t>977962097OV</t>
  </si>
  <si>
    <t>00015861123KPC</t>
  </si>
  <si>
    <t>00018040701KPC</t>
  </si>
  <si>
    <t>00018688193KOVPC</t>
  </si>
  <si>
    <t>00018688193KPC</t>
  </si>
  <si>
    <t>00019839193KPC</t>
  </si>
  <si>
    <t>00021664199KPC</t>
  </si>
  <si>
    <t>102133066800CB</t>
  </si>
  <si>
    <t>132358274CB</t>
  </si>
  <si>
    <t>910679218CB</t>
  </si>
  <si>
    <t>951850009CB</t>
  </si>
  <si>
    <t>957421267CB</t>
  </si>
  <si>
    <t>957421267OVCB</t>
  </si>
  <si>
    <t>957988057CB</t>
  </si>
  <si>
    <t>957988057OVCB</t>
  </si>
  <si>
    <t>959030254CB</t>
  </si>
  <si>
    <t>970877095OVPC</t>
  </si>
  <si>
    <t>970877095PC</t>
  </si>
  <si>
    <t>971498173CB</t>
  </si>
  <si>
    <t>977962097CB</t>
  </si>
  <si>
    <t>977962097OVCB</t>
  </si>
  <si>
    <t>983805466CB</t>
  </si>
  <si>
    <t>983805466OVCB</t>
  </si>
  <si>
    <t>992296804CB</t>
  </si>
  <si>
    <t>995656731CB</t>
  </si>
  <si>
    <t>995656731OVCB</t>
  </si>
  <si>
    <t>Aetna MAPD OVR 2025</t>
  </si>
  <si>
    <t>Cigna MAPD 2025 Ovr</t>
  </si>
  <si>
    <t>Humana MAPD OVR 2025</t>
  </si>
  <si>
    <t>Humana MAPD 2025*</t>
  </si>
  <si>
    <t>Humana PDP 2025!</t>
  </si>
  <si>
    <t>UHC MAPD Ovr 2025</t>
  </si>
  <si>
    <t>UHC 2025</t>
  </si>
  <si>
    <t>[%/$=313][prorate=12/12]</t>
  </si>
  <si>
    <t>[%/$=626]</t>
  </si>
  <si>
    <t>[%/$=626][prorate=11/12]</t>
  </si>
  <si>
    <t>[%/$=626][prorate=10/12]</t>
  </si>
  <si>
    <t>[%/$=313][prorate=9/12]</t>
  </si>
  <si>
    <t>UHC MAPD 2025*</t>
  </si>
  <si>
    <t>[%/$=313][prorate=7/12]</t>
  </si>
  <si>
    <t>[%/$=313][prorate=10/12]</t>
  </si>
  <si>
    <t>[%/$=313][prorate=11/12]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</si>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</sst>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NumberFormat="1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3B9B-A07E-411E-A0F3-025AFD6A9A0B}">
  <dimension ref="A1:AL82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45728</v>
      </c>
      <c r="B2" s="1">
        <v>45728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45717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5153400</v>
      </c>
    </row>
    <row r="3" spans="1:38" x14ac:dyDescent="0.25">
      <c r="A3" s="1">
        <v>45728</v>
      </c>
      <c r="B3" s="1">
        <v>45728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45717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5153401</v>
      </c>
    </row>
    <row r="4" spans="1:38" x14ac:dyDescent="0.25">
      <c r="A4" s="1">
        <v>45728</v>
      </c>
      <c r="B4" s="1">
        <v>45728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55</v>
      </c>
      <c r="P4" t="s">
        <v>56</v>
      </c>
      <c r="Q4" t="s">
        <v>49</v>
      </c>
      <c r="R4" t="s">
        <v>59</v>
      </c>
      <c r="S4" s="1">
        <v>45717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5153366</v>
      </c>
    </row>
    <row r="5" spans="1:38" x14ac:dyDescent="0.25">
      <c r="A5" s="1">
        <v>45728</v>
      </c>
      <c r="B5" s="1">
        <v>45728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50</v>
      </c>
      <c r="S5" s="1">
        <v>45717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5153414</v>
      </c>
    </row>
    <row r="6" spans="1:38" x14ac:dyDescent="0.25">
      <c r="A6" s="1">
        <v>45728</v>
      </c>
      <c r="B6" s="1">
        <v>45728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46</v>
      </c>
      <c r="O6" t="s">
        <v>66</v>
      </c>
      <c r="P6" t="s">
        <v>67</v>
      </c>
      <c r="Q6" t="s">
        <v>49</v>
      </c>
      <c r="R6" t="s">
        <v>50</v>
      </c>
      <c r="S6" s="1">
        <v>45717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5153429</v>
      </c>
    </row>
    <row r="7" spans="1:38" x14ac:dyDescent="0.25">
      <c r="A7" s="1">
        <v>45728</v>
      </c>
      <c r="B7" s="1">
        <v>45728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70</v>
      </c>
      <c r="O7" t="s">
        <v>71</v>
      </c>
      <c r="P7" t="s">
        <v>72</v>
      </c>
      <c r="Q7" t="s">
        <v>49</v>
      </c>
      <c r="R7" t="s">
        <v>50</v>
      </c>
      <c r="S7" s="1">
        <v>45717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5153430</v>
      </c>
    </row>
    <row r="8" spans="1:38" x14ac:dyDescent="0.25">
      <c r="A8" s="1">
        <v>45728</v>
      </c>
      <c r="B8" s="1">
        <v>45728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50</v>
      </c>
      <c r="S8" s="1">
        <v>45717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5153434</v>
      </c>
    </row>
    <row r="9" spans="1:38" x14ac:dyDescent="0.25">
      <c r="A9" s="1">
        <v>45728</v>
      </c>
      <c r="B9" s="1">
        <v>45728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75</v>
      </c>
      <c r="P9" t="s">
        <v>76</v>
      </c>
      <c r="Q9" t="s">
        <v>49</v>
      </c>
      <c r="R9" t="s">
        <v>50</v>
      </c>
      <c r="S9" s="1">
        <v>45717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5153435</v>
      </c>
    </row>
    <row r="10" spans="1:38" x14ac:dyDescent="0.25">
      <c r="A10" s="1">
        <v>45728</v>
      </c>
      <c r="B10" s="1">
        <v>45728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46</v>
      </c>
      <c r="O10" t="s">
        <v>81</v>
      </c>
      <c r="P10" t="s">
        <v>82</v>
      </c>
      <c r="Q10" t="s">
        <v>49</v>
      </c>
      <c r="R10" t="s">
        <v>50</v>
      </c>
      <c r="S10" s="1">
        <v>45717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5153457</v>
      </c>
    </row>
    <row r="11" spans="1:38" x14ac:dyDescent="0.25">
      <c r="A11" s="1">
        <v>45728</v>
      </c>
      <c r="B11" s="1">
        <v>45728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46</v>
      </c>
      <c r="O11" t="s">
        <v>85</v>
      </c>
      <c r="P11" t="s">
        <v>86</v>
      </c>
      <c r="Q11" t="s">
        <v>49</v>
      </c>
      <c r="R11" t="s">
        <v>87</v>
      </c>
      <c r="S11" s="1">
        <v>45717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5153320</v>
      </c>
    </row>
    <row r="12" spans="1:38" x14ac:dyDescent="0.25">
      <c r="A12" s="1">
        <v>45728</v>
      </c>
      <c r="B12" s="1">
        <v>45728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90</v>
      </c>
      <c r="P12" t="s">
        <v>91</v>
      </c>
      <c r="Q12" t="s">
        <v>49</v>
      </c>
      <c r="R12" t="s">
        <v>50</v>
      </c>
      <c r="S12" s="1">
        <v>45717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5153464</v>
      </c>
    </row>
    <row r="13" spans="1:38" x14ac:dyDescent="0.25">
      <c r="A13" s="1">
        <v>45728</v>
      </c>
      <c r="B13" s="1">
        <v>45728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46</v>
      </c>
      <c r="O13" t="s">
        <v>71</v>
      </c>
      <c r="P13" t="s">
        <v>72</v>
      </c>
      <c r="Q13" t="s">
        <v>49</v>
      </c>
      <c r="R13" t="s">
        <v>50</v>
      </c>
      <c r="S13" s="1">
        <v>45717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5153482</v>
      </c>
    </row>
    <row r="14" spans="1:38" x14ac:dyDescent="0.25">
      <c r="A14" s="1">
        <v>45728</v>
      </c>
      <c r="B14" s="1">
        <v>45728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46</v>
      </c>
      <c r="O14" t="s">
        <v>96</v>
      </c>
      <c r="P14" t="s">
        <v>97</v>
      </c>
      <c r="Q14" t="s">
        <v>49</v>
      </c>
      <c r="R14" t="s">
        <v>50</v>
      </c>
      <c r="S14" s="1">
        <v>45717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5153487</v>
      </c>
    </row>
    <row r="15" spans="1:38" x14ac:dyDescent="0.25">
      <c r="A15" s="1">
        <v>45728</v>
      </c>
      <c r="B15" s="1">
        <v>45728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46</v>
      </c>
      <c r="O15" t="s">
        <v>96</v>
      </c>
      <c r="P15" t="s">
        <v>97</v>
      </c>
      <c r="Q15" t="s">
        <v>49</v>
      </c>
      <c r="R15" t="s">
        <v>50</v>
      </c>
      <c r="S15" s="1">
        <v>45717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5153488</v>
      </c>
    </row>
    <row r="16" spans="1:38" x14ac:dyDescent="0.25">
      <c r="A16" s="1">
        <v>45728</v>
      </c>
      <c r="B16" s="1">
        <v>45728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102</v>
      </c>
      <c r="O16" t="s">
        <v>66</v>
      </c>
      <c r="P16" t="s">
        <v>67</v>
      </c>
      <c r="Q16" t="s">
        <v>49</v>
      </c>
      <c r="R16" t="s">
        <v>50</v>
      </c>
      <c r="S16" s="1">
        <v>45717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5153491</v>
      </c>
    </row>
    <row r="17" spans="1:38" x14ac:dyDescent="0.25">
      <c r="A17" s="1">
        <v>45728</v>
      </c>
      <c r="B17" s="1">
        <v>45728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105</v>
      </c>
      <c r="P17" t="s">
        <v>106</v>
      </c>
      <c r="Q17" t="s">
        <v>49</v>
      </c>
      <c r="R17" t="s">
        <v>50</v>
      </c>
      <c r="S17" s="1">
        <v>45717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5153493</v>
      </c>
    </row>
    <row r="18" spans="1:38" x14ac:dyDescent="0.25">
      <c r="A18" s="1">
        <v>45728</v>
      </c>
      <c r="B18" s="1">
        <v>45728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46</v>
      </c>
      <c r="O18" t="s">
        <v>109</v>
      </c>
      <c r="P18" t="s">
        <v>110</v>
      </c>
      <c r="Q18" t="s">
        <v>49</v>
      </c>
      <c r="R18" t="s">
        <v>50</v>
      </c>
      <c r="S18" s="1">
        <v>45778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5153503</v>
      </c>
    </row>
    <row r="19" spans="1:38" x14ac:dyDescent="0.25">
      <c r="A19" s="1">
        <v>45728</v>
      </c>
      <c r="B19" s="1">
        <v>45728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113</v>
      </c>
      <c r="P19" t="s">
        <v>114</v>
      </c>
      <c r="Q19" t="s">
        <v>49</v>
      </c>
      <c r="R19" t="s">
        <v>50</v>
      </c>
      <c r="S19" s="1">
        <v>45717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5153509</v>
      </c>
    </row>
    <row r="20" spans="1:38" x14ac:dyDescent="0.25">
      <c r="A20" s="1">
        <v>45728</v>
      </c>
      <c r="B20" s="1">
        <v>45728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116</v>
      </c>
      <c r="M20" t="s">
        <v>46</v>
      </c>
      <c r="O20" t="s">
        <v>117</v>
      </c>
      <c r="P20" t="s">
        <v>118</v>
      </c>
      <c r="Q20" t="s">
        <v>49</v>
      </c>
      <c r="R20" t="s">
        <v>50</v>
      </c>
      <c r="S20" s="1">
        <v>45717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5153511</v>
      </c>
    </row>
    <row r="21" spans="1:38" x14ac:dyDescent="0.25">
      <c r="A21" s="1">
        <v>45728</v>
      </c>
      <c r="B21" s="1">
        <v>45728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46</v>
      </c>
      <c r="O21" t="s">
        <v>117</v>
      </c>
      <c r="P21" t="s">
        <v>118</v>
      </c>
      <c r="Q21" t="s">
        <v>49</v>
      </c>
      <c r="R21" t="s">
        <v>50</v>
      </c>
      <c r="S21" s="1">
        <v>45717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5153512</v>
      </c>
    </row>
    <row r="22" spans="1:38" x14ac:dyDescent="0.25">
      <c r="A22" s="1">
        <v>45728</v>
      </c>
      <c r="B22" s="1">
        <v>45728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121</v>
      </c>
      <c r="J22" t="s">
        <v>122</v>
      </c>
      <c r="M22" t="s">
        <v>46</v>
      </c>
      <c r="O22" t="s">
        <v>66</v>
      </c>
      <c r="P22" t="s">
        <v>67</v>
      </c>
      <c r="Q22" t="s">
        <v>49</v>
      </c>
      <c r="R22" t="s">
        <v>50</v>
      </c>
      <c r="S22" s="1">
        <v>45809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5153538</v>
      </c>
    </row>
    <row r="23" spans="1:38" x14ac:dyDescent="0.25">
      <c r="A23" s="1">
        <v>45728</v>
      </c>
      <c r="B23" s="1">
        <v>45728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123</v>
      </c>
      <c r="J23" t="s">
        <v>124</v>
      </c>
      <c r="M23" t="s">
        <v>46</v>
      </c>
      <c r="O23" t="s">
        <v>66</v>
      </c>
      <c r="P23" t="s">
        <v>67</v>
      </c>
      <c r="Q23" t="s">
        <v>49</v>
      </c>
      <c r="R23" t="s">
        <v>50</v>
      </c>
      <c r="S23" s="1">
        <v>45748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5153539</v>
      </c>
    </row>
    <row r="24" spans="1:38" x14ac:dyDescent="0.25">
      <c r="A24" s="1">
        <v>45728</v>
      </c>
      <c r="B24" s="1">
        <v>45728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125</v>
      </c>
      <c r="J24" t="s">
        <v>126</v>
      </c>
      <c r="M24" t="s">
        <v>46</v>
      </c>
      <c r="O24" t="s">
        <v>66</v>
      </c>
      <c r="P24" t="s">
        <v>67</v>
      </c>
      <c r="Q24" t="s">
        <v>49</v>
      </c>
      <c r="R24" t="s">
        <v>50</v>
      </c>
      <c r="S24" s="1">
        <v>45717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5153541</v>
      </c>
    </row>
    <row r="25" spans="1:38" x14ac:dyDescent="0.25">
      <c r="A25" s="1">
        <v>45728</v>
      </c>
      <c r="B25" s="1">
        <v>45728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127</v>
      </c>
      <c r="J25" t="s">
        <v>128</v>
      </c>
      <c r="M25" t="s">
        <v>129</v>
      </c>
      <c r="O25" t="s">
        <v>81</v>
      </c>
      <c r="P25" t="s">
        <v>82</v>
      </c>
      <c r="Q25" t="s">
        <v>49</v>
      </c>
      <c r="R25" t="s">
        <v>130</v>
      </c>
      <c r="S25" s="1">
        <v>45717</v>
      </c>
      <c r="U25" t="s">
        <v>51</v>
      </c>
      <c r="X25" t="s">
        <v>52</v>
      </c>
      <c r="Y25" s="2">
        <v>0</v>
      </c>
      <c r="Z25" s="2">
        <v>41.67</v>
      </c>
      <c r="AA25">
        <v>1</v>
      </c>
      <c r="AB25" s="3">
        <v>1</v>
      </c>
      <c r="AC25" s="2">
        <v>41.67</v>
      </c>
      <c r="AD25" s="3">
        <v>0</v>
      </c>
      <c r="AE25" s="2">
        <v>0</v>
      </c>
      <c r="AF25" s="2">
        <v>41.67</v>
      </c>
      <c r="AK25">
        <v>5153117</v>
      </c>
      <c r="AL25" t="s">
        <v>131</v>
      </c>
    </row>
    <row r="26" spans="1:38" x14ac:dyDescent="0.25">
      <c r="A26" s="1">
        <v>45728</v>
      </c>
      <c r="B26" s="1">
        <v>45728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132</v>
      </c>
      <c r="J26" t="s">
        <v>133</v>
      </c>
      <c r="M26" t="s">
        <v>102</v>
      </c>
      <c r="O26" t="s">
        <v>66</v>
      </c>
      <c r="P26" t="s">
        <v>67</v>
      </c>
      <c r="Q26" t="s">
        <v>49</v>
      </c>
      <c r="R26" t="s">
        <v>130</v>
      </c>
      <c r="S26" s="1">
        <v>45717</v>
      </c>
      <c r="U26" t="s">
        <v>51</v>
      </c>
      <c r="X26" t="s">
        <v>52</v>
      </c>
      <c r="Y26" s="2">
        <v>0</v>
      </c>
      <c r="Z26" s="2">
        <v>41.67</v>
      </c>
      <c r="AA26">
        <v>1</v>
      </c>
      <c r="AB26" s="3">
        <v>1</v>
      </c>
      <c r="AC26" s="2">
        <v>41.67</v>
      </c>
      <c r="AD26" s="3">
        <v>0</v>
      </c>
      <c r="AE26" s="2">
        <v>0</v>
      </c>
      <c r="AF26" s="2">
        <v>41.67</v>
      </c>
      <c r="AK26">
        <v>5153118</v>
      </c>
      <c r="AL26" t="s">
        <v>131</v>
      </c>
    </row>
    <row r="27" spans="1:38" x14ac:dyDescent="0.25">
      <c r="A27" s="1">
        <v>45728</v>
      </c>
      <c r="B27" s="1">
        <v>45728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134</v>
      </c>
      <c r="J27" t="s">
        <v>135</v>
      </c>
      <c r="M27" t="s">
        <v>102</v>
      </c>
      <c r="O27" t="s">
        <v>136</v>
      </c>
      <c r="P27" t="s">
        <v>137</v>
      </c>
      <c r="Q27" t="s">
        <v>49</v>
      </c>
      <c r="R27" t="s">
        <v>130</v>
      </c>
      <c r="S27" s="1">
        <v>45717</v>
      </c>
      <c r="U27" t="s">
        <v>51</v>
      </c>
      <c r="X27" t="s">
        <v>52</v>
      </c>
      <c r="Y27" s="2">
        <v>0</v>
      </c>
      <c r="Z27" s="2">
        <v>41.67</v>
      </c>
      <c r="AA27">
        <v>1</v>
      </c>
      <c r="AB27" s="3">
        <v>1</v>
      </c>
      <c r="AC27" s="2">
        <v>41.67</v>
      </c>
      <c r="AD27" s="3">
        <v>0</v>
      </c>
      <c r="AE27" s="2">
        <v>0</v>
      </c>
      <c r="AF27" s="2">
        <v>41.67</v>
      </c>
      <c r="AK27">
        <v>5153121</v>
      </c>
      <c r="AL27" t="s">
        <v>131</v>
      </c>
    </row>
    <row r="28" spans="1:38" x14ac:dyDescent="0.25">
      <c r="A28" s="1">
        <v>45728</v>
      </c>
      <c r="B28" s="1">
        <v>45728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138</v>
      </c>
      <c r="J28" t="s">
        <v>139</v>
      </c>
      <c r="M28" t="s">
        <v>46</v>
      </c>
      <c r="O28" t="s">
        <v>75</v>
      </c>
      <c r="P28" t="s">
        <v>76</v>
      </c>
      <c r="Q28" t="s">
        <v>49</v>
      </c>
      <c r="R28" t="s">
        <v>130</v>
      </c>
      <c r="S28" s="1">
        <v>45717</v>
      </c>
      <c r="U28" t="s">
        <v>51</v>
      </c>
      <c r="X28" t="s">
        <v>52</v>
      </c>
      <c r="Y28" s="2">
        <v>0</v>
      </c>
      <c r="Z28" s="2">
        <v>41.67</v>
      </c>
      <c r="AA28">
        <v>1</v>
      </c>
      <c r="AB28" s="3">
        <v>1</v>
      </c>
      <c r="AC28" s="2">
        <v>41.67</v>
      </c>
      <c r="AD28" s="3">
        <v>0</v>
      </c>
      <c r="AE28" s="2">
        <v>0</v>
      </c>
      <c r="AF28" s="2">
        <v>41.67</v>
      </c>
      <c r="AK28">
        <v>5153126</v>
      </c>
      <c r="AL28" t="s">
        <v>131</v>
      </c>
    </row>
    <row r="29" spans="1:38" x14ac:dyDescent="0.25">
      <c r="A29" s="1">
        <v>45728</v>
      </c>
      <c r="B29" s="1">
        <v>45728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140</v>
      </c>
      <c r="J29" t="s">
        <v>141</v>
      </c>
      <c r="M29" t="s">
        <v>129</v>
      </c>
      <c r="O29" t="s">
        <v>142</v>
      </c>
      <c r="P29" t="s">
        <v>143</v>
      </c>
      <c r="Q29" t="s">
        <v>49</v>
      </c>
      <c r="R29" t="s">
        <v>130</v>
      </c>
      <c r="S29" s="1">
        <v>45717</v>
      </c>
      <c r="U29" t="s">
        <v>51</v>
      </c>
      <c r="X29" t="s">
        <v>52</v>
      </c>
      <c r="Y29" s="2">
        <v>0</v>
      </c>
      <c r="Z29" s="2">
        <v>41.67</v>
      </c>
      <c r="AA29">
        <v>1</v>
      </c>
      <c r="AB29" s="3">
        <v>1</v>
      </c>
      <c r="AC29" s="2">
        <v>41.67</v>
      </c>
      <c r="AD29" s="3">
        <v>0</v>
      </c>
      <c r="AE29" s="2">
        <v>0</v>
      </c>
      <c r="AF29" s="2">
        <v>41.67</v>
      </c>
      <c r="AK29">
        <v>5153127</v>
      </c>
      <c r="AL29" t="s">
        <v>131</v>
      </c>
    </row>
    <row r="30" spans="1:38" x14ac:dyDescent="0.25">
      <c r="A30" s="1">
        <v>45728</v>
      </c>
      <c r="B30" s="1">
        <v>45728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144</v>
      </c>
      <c r="J30" t="s">
        <v>145</v>
      </c>
      <c r="M30" t="s">
        <v>146</v>
      </c>
      <c r="O30" t="s">
        <v>147</v>
      </c>
      <c r="P30" t="s">
        <v>148</v>
      </c>
      <c r="Q30" t="s">
        <v>49</v>
      </c>
      <c r="R30" t="s">
        <v>130</v>
      </c>
      <c r="S30" s="1">
        <v>45717</v>
      </c>
      <c r="U30" t="s">
        <v>51</v>
      </c>
      <c r="X30" t="s">
        <v>52</v>
      </c>
      <c r="Y30" s="2">
        <v>0</v>
      </c>
      <c r="Z30" s="2">
        <v>41.67</v>
      </c>
      <c r="AA30">
        <v>1</v>
      </c>
      <c r="AB30" s="3">
        <v>1</v>
      </c>
      <c r="AC30" s="2">
        <v>41.67</v>
      </c>
      <c r="AD30" s="3">
        <v>0</v>
      </c>
      <c r="AE30" s="2">
        <v>0</v>
      </c>
      <c r="AF30" s="2">
        <v>41.67</v>
      </c>
      <c r="AK30">
        <v>5153132</v>
      </c>
      <c r="AL30" t="s">
        <v>131</v>
      </c>
    </row>
    <row r="31" spans="1:38" x14ac:dyDescent="0.25">
      <c r="A31" s="1">
        <v>45728</v>
      </c>
      <c r="B31" s="1">
        <v>45728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149</v>
      </c>
      <c r="J31" t="s">
        <v>150</v>
      </c>
      <c r="M31" t="s">
        <v>151</v>
      </c>
      <c r="O31" t="s">
        <v>152</v>
      </c>
      <c r="P31" t="s">
        <v>153</v>
      </c>
      <c r="Q31" t="s">
        <v>49</v>
      </c>
      <c r="R31" t="s">
        <v>130</v>
      </c>
      <c r="S31" s="1">
        <v>45717</v>
      </c>
      <c r="U31" t="s">
        <v>51</v>
      </c>
      <c r="X31" t="s">
        <v>52</v>
      </c>
      <c r="Y31" s="2">
        <v>0</v>
      </c>
      <c r="Z31" s="2">
        <v>41.67</v>
      </c>
      <c r="AA31">
        <v>1</v>
      </c>
      <c r="AB31" s="3">
        <v>1</v>
      </c>
      <c r="AC31" s="2">
        <v>41.67</v>
      </c>
      <c r="AD31" s="3">
        <v>0</v>
      </c>
      <c r="AE31" s="2">
        <v>0</v>
      </c>
      <c r="AF31" s="2">
        <v>41.67</v>
      </c>
      <c r="AK31">
        <v>5153142</v>
      </c>
      <c r="AL31" t="s">
        <v>131</v>
      </c>
    </row>
    <row r="32" spans="1:38" x14ac:dyDescent="0.25">
      <c r="A32" s="1">
        <v>45728</v>
      </c>
      <c r="B32" s="1">
        <v>45728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154</v>
      </c>
      <c r="J32" t="s">
        <v>155</v>
      </c>
      <c r="M32" t="s">
        <v>156</v>
      </c>
      <c r="O32" t="s">
        <v>71</v>
      </c>
      <c r="P32" t="s">
        <v>72</v>
      </c>
      <c r="Q32" t="s">
        <v>49</v>
      </c>
      <c r="R32" t="s">
        <v>130</v>
      </c>
      <c r="S32" s="1">
        <v>45717</v>
      </c>
      <c r="U32" t="s">
        <v>51</v>
      </c>
      <c r="X32" t="s">
        <v>52</v>
      </c>
      <c r="Y32" s="2">
        <v>0</v>
      </c>
      <c r="Z32" s="2">
        <v>41.67</v>
      </c>
      <c r="AA32">
        <v>1</v>
      </c>
      <c r="AB32" s="3">
        <v>1</v>
      </c>
      <c r="AC32" s="2">
        <v>41.67</v>
      </c>
      <c r="AD32" s="3">
        <v>0</v>
      </c>
      <c r="AE32" s="2">
        <v>0</v>
      </c>
      <c r="AF32" s="2">
        <v>41.67</v>
      </c>
      <c r="AK32">
        <v>5153145</v>
      </c>
      <c r="AL32" t="s">
        <v>131</v>
      </c>
    </row>
    <row r="33" spans="1:38" x14ac:dyDescent="0.25">
      <c r="A33" s="1">
        <v>45728</v>
      </c>
      <c r="B33" s="1">
        <v>45728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157</v>
      </c>
      <c r="J33" t="s">
        <v>158</v>
      </c>
      <c r="M33" t="s">
        <v>159</v>
      </c>
      <c r="O33" t="s">
        <v>41</v>
      </c>
      <c r="P33" t="s">
        <v>43</v>
      </c>
      <c r="Q33" t="s">
        <v>49</v>
      </c>
      <c r="R33" t="s">
        <v>130</v>
      </c>
      <c r="S33" s="1">
        <v>45717</v>
      </c>
      <c r="U33" t="s">
        <v>51</v>
      </c>
      <c r="X33" t="s">
        <v>52</v>
      </c>
      <c r="Y33" s="2">
        <v>0</v>
      </c>
      <c r="Z33" s="2">
        <v>41.67</v>
      </c>
      <c r="AA33">
        <v>1</v>
      </c>
      <c r="AB33" s="3">
        <v>1</v>
      </c>
      <c r="AC33" s="2">
        <v>41.67</v>
      </c>
      <c r="AD33" s="3">
        <v>0</v>
      </c>
      <c r="AE33" s="2">
        <v>0</v>
      </c>
      <c r="AF33" s="2">
        <v>41.67</v>
      </c>
      <c r="AK33">
        <v>5153153</v>
      </c>
      <c r="AL33" t="s">
        <v>131</v>
      </c>
    </row>
    <row r="34" spans="1:38" x14ac:dyDescent="0.25">
      <c r="A34" s="1">
        <v>45728</v>
      </c>
      <c r="B34" s="1">
        <v>45728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160</v>
      </c>
      <c r="J34" t="s">
        <v>161</v>
      </c>
      <c r="M34" t="s">
        <v>129</v>
      </c>
      <c r="O34" t="s">
        <v>81</v>
      </c>
      <c r="P34" t="s">
        <v>82</v>
      </c>
      <c r="Q34" t="s">
        <v>49</v>
      </c>
      <c r="R34" t="s">
        <v>130</v>
      </c>
      <c r="S34" s="1">
        <v>45778</v>
      </c>
      <c r="U34" t="s">
        <v>51</v>
      </c>
      <c r="X34" t="s">
        <v>52</v>
      </c>
      <c r="Y34" s="2">
        <v>0</v>
      </c>
      <c r="Z34" s="2">
        <v>33.33</v>
      </c>
      <c r="AA34">
        <v>1</v>
      </c>
      <c r="AB34" s="3">
        <v>1</v>
      </c>
      <c r="AC34" s="2">
        <v>33.33</v>
      </c>
      <c r="AD34" s="3">
        <v>0</v>
      </c>
      <c r="AE34" s="2">
        <v>0</v>
      </c>
      <c r="AF34" s="2">
        <v>33.33</v>
      </c>
      <c r="AK34">
        <v>5153158</v>
      </c>
      <c r="AL34" t="s">
        <v>162</v>
      </c>
    </row>
    <row r="35" spans="1:38" x14ac:dyDescent="0.25">
      <c r="A35" s="1">
        <v>45728</v>
      </c>
      <c r="B35" s="1">
        <v>45728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163</v>
      </c>
      <c r="J35" t="s">
        <v>164</v>
      </c>
      <c r="M35" t="s">
        <v>165</v>
      </c>
      <c r="O35" t="s">
        <v>166</v>
      </c>
      <c r="P35" t="s">
        <v>167</v>
      </c>
      <c r="Q35" t="s">
        <v>49</v>
      </c>
      <c r="R35" t="s">
        <v>130</v>
      </c>
      <c r="S35" s="1">
        <v>45717</v>
      </c>
      <c r="U35" t="s">
        <v>51</v>
      </c>
      <c r="X35" t="s">
        <v>52</v>
      </c>
      <c r="Y35" s="2">
        <v>0</v>
      </c>
      <c r="Z35" s="2">
        <v>41.67</v>
      </c>
      <c r="AA35">
        <v>1</v>
      </c>
      <c r="AB35" s="3">
        <v>1</v>
      </c>
      <c r="AC35" s="2">
        <v>41.67</v>
      </c>
      <c r="AD35" s="3">
        <v>0</v>
      </c>
      <c r="AE35" s="2">
        <v>0</v>
      </c>
      <c r="AF35" s="2">
        <v>41.67</v>
      </c>
      <c r="AK35">
        <v>5153159</v>
      </c>
      <c r="AL35" t="s">
        <v>131</v>
      </c>
    </row>
    <row r="36" spans="1:38" x14ac:dyDescent="0.25">
      <c r="A36" s="1">
        <v>45728</v>
      </c>
      <c r="B36" s="1">
        <v>45728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168</v>
      </c>
      <c r="J36" t="s">
        <v>169</v>
      </c>
      <c r="M36" t="s">
        <v>165</v>
      </c>
      <c r="O36" t="s">
        <v>166</v>
      </c>
      <c r="P36" t="s">
        <v>167</v>
      </c>
      <c r="Q36" t="s">
        <v>49</v>
      </c>
      <c r="R36" t="s">
        <v>130</v>
      </c>
      <c r="S36" s="1">
        <v>45778</v>
      </c>
      <c r="U36" t="s">
        <v>51</v>
      </c>
      <c r="X36" t="s">
        <v>52</v>
      </c>
      <c r="Y36" s="2">
        <v>0</v>
      </c>
      <c r="Z36" s="2">
        <v>33.33</v>
      </c>
      <c r="AA36">
        <v>1</v>
      </c>
      <c r="AB36" s="3">
        <v>1</v>
      </c>
      <c r="AC36" s="2">
        <v>33.33</v>
      </c>
      <c r="AD36" s="3">
        <v>0</v>
      </c>
      <c r="AE36" s="2">
        <v>0</v>
      </c>
      <c r="AF36" s="2">
        <v>33.33</v>
      </c>
      <c r="AK36">
        <v>5153160</v>
      </c>
      <c r="AL36" t="s">
        <v>162</v>
      </c>
    </row>
    <row r="37" spans="1:38" x14ac:dyDescent="0.25">
      <c r="A37" s="1">
        <v>45728</v>
      </c>
      <c r="B37" s="1">
        <v>45728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170</v>
      </c>
      <c r="J37" t="s">
        <v>171</v>
      </c>
      <c r="M37" t="s">
        <v>102</v>
      </c>
      <c r="O37" t="s">
        <v>172</v>
      </c>
      <c r="P37" t="s">
        <v>173</v>
      </c>
      <c r="Q37" t="s">
        <v>49</v>
      </c>
      <c r="R37" t="s">
        <v>130</v>
      </c>
      <c r="S37" s="1">
        <v>45717</v>
      </c>
      <c r="U37" t="s">
        <v>51</v>
      </c>
      <c r="X37" t="s">
        <v>52</v>
      </c>
      <c r="Y37" s="2">
        <v>0</v>
      </c>
      <c r="Z37" s="2">
        <v>41.67</v>
      </c>
      <c r="AA37">
        <v>1</v>
      </c>
      <c r="AB37" s="3">
        <v>1</v>
      </c>
      <c r="AC37" s="2">
        <v>41.67</v>
      </c>
      <c r="AD37" s="3">
        <v>0</v>
      </c>
      <c r="AE37" s="2">
        <v>0</v>
      </c>
      <c r="AF37" s="2">
        <v>41.67</v>
      </c>
      <c r="AK37">
        <v>5153162</v>
      </c>
      <c r="AL37" t="s">
        <v>131</v>
      </c>
    </row>
    <row r="38" spans="1:38" x14ac:dyDescent="0.25">
      <c r="A38" s="1">
        <v>45728</v>
      </c>
      <c r="B38" s="1">
        <v>45728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176</v>
      </c>
      <c r="O38" t="s">
        <v>166</v>
      </c>
      <c r="P38" t="s">
        <v>167</v>
      </c>
      <c r="Q38" t="s">
        <v>49</v>
      </c>
      <c r="R38" t="s">
        <v>130</v>
      </c>
      <c r="S38" s="1">
        <v>45717</v>
      </c>
      <c r="U38" t="s">
        <v>51</v>
      </c>
      <c r="X38" t="s">
        <v>52</v>
      </c>
      <c r="Y38" s="2">
        <v>0</v>
      </c>
      <c r="Z38" s="2">
        <v>41.67</v>
      </c>
      <c r="AA38">
        <v>1</v>
      </c>
      <c r="AB38" s="3">
        <v>1</v>
      </c>
      <c r="AC38" s="2">
        <v>41.67</v>
      </c>
      <c r="AD38" s="3">
        <v>0</v>
      </c>
      <c r="AE38" s="2">
        <v>0</v>
      </c>
      <c r="AF38" s="2">
        <v>41.67</v>
      </c>
      <c r="AK38">
        <v>5153183</v>
      </c>
      <c r="AL38" t="s">
        <v>131</v>
      </c>
    </row>
    <row r="39" spans="1:38" x14ac:dyDescent="0.25">
      <c r="A39" s="1">
        <v>45728</v>
      </c>
      <c r="B39" s="1">
        <v>45728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177</v>
      </c>
      <c r="J39" t="s">
        <v>178</v>
      </c>
      <c r="M39" t="s">
        <v>179</v>
      </c>
      <c r="O39" t="s">
        <v>147</v>
      </c>
      <c r="P39" t="s">
        <v>148</v>
      </c>
      <c r="Q39" t="s">
        <v>49</v>
      </c>
      <c r="R39" t="s">
        <v>180</v>
      </c>
      <c r="S39" s="1">
        <v>45689</v>
      </c>
      <c r="U39" t="s">
        <v>51</v>
      </c>
      <c r="X39" t="s">
        <v>52</v>
      </c>
      <c r="Y39" s="2">
        <v>0</v>
      </c>
      <c r="Z39" s="2">
        <v>573.83000000000004</v>
      </c>
      <c r="AA39">
        <v>1</v>
      </c>
      <c r="AB39" s="3">
        <v>1</v>
      </c>
      <c r="AC39" s="2">
        <v>573.83000000000004</v>
      </c>
      <c r="AD39" s="3">
        <v>0</v>
      </c>
      <c r="AE39" s="2">
        <v>0</v>
      </c>
      <c r="AF39" s="2">
        <v>573.83000000000004</v>
      </c>
      <c r="AK39">
        <v>5153876</v>
      </c>
      <c r="AL39" t="s">
        <v>181</v>
      </c>
    </row>
    <row r="40" spans="1:38" x14ac:dyDescent="0.25">
      <c r="A40" s="1">
        <v>45728</v>
      </c>
      <c r="B40" s="1">
        <v>45728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182</v>
      </c>
      <c r="J40" t="s">
        <v>183</v>
      </c>
      <c r="M40" t="s">
        <v>159</v>
      </c>
      <c r="O40" t="s">
        <v>184</v>
      </c>
      <c r="P40" t="s">
        <v>185</v>
      </c>
      <c r="Q40" t="s">
        <v>49</v>
      </c>
      <c r="R40" t="s">
        <v>186</v>
      </c>
      <c r="S40" s="1">
        <v>45689</v>
      </c>
      <c r="U40" t="s">
        <v>51</v>
      </c>
      <c r="X40" t="s">
        <v>52</v>
      </c>
      <c r="Y40" s="2">
        <v>0</v>
      </c>
      <c r="Z40" s="2">
        <v>100</v>
      </c>
      <c r="AA40">
        <v>1</v>
      </c>
      <c r="AB40" s="3">
        <v>1</v>
      </c>
      <c r="AC40" s="2">
        <v>100</v>
      </c>
      <c r="AD40" s="3">
        <v>0</v>
      </c>
      <c r="AE40" s="2">
        <v>0</v>
      </c>
      <c r="AF40" s="2">
        <v>100</v>
      </c>
      <c r="AK40">
        <v>5153246</v>
      </c>
    </row>
    <row r="41" spans="1:38" x14ac:dyDescent="0.25">
      <c r="A41" s="1">
        <v>45728</v>
      </c>
      <c r="B41" s="1">
        <v>45728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187</v>
      </c>
      <c r="J41" t="s">
        <v>188</v>
      </c>
      <c r="M41" t="s">
        <v>165</v>
      </c>
      <c r="O41" t="s">
        <v>189</v>
      </c>
      <c r="P41" t="s">
        <v>190</v>
      </c>
      <c r="Q41" t="s">
        <v>49</v>
      </c>
      <c r="R41" t="s">
        <v>191</v>
      </c>
      <c r="S41" s="1">
        <v>45717</v>
      </c>
      <c r="U41" t="s">
        <v>51</v>
      </c>
      <c r="X41" t="s">
        <v>52</v>
      </c>
      <c r="Y41" s="2">
        <v>0</v>
      </c>
      <c r="Z41" s="2">
        <v>626</v>
      </c>
      <c r="AA41">
        <v>1</v>
      </c>
      <c r="AB41" s="3">
        <v>1</v>
      </c>
      <c r="AC41" s="2">
        <v>626</v>
      </c>
      <c r="AD41" s="3">
        <v>0</v>
      </c>
      <c r="AE41" s="2">
        <v>0</v>
      </c>
      <c r="AF41" s="2">
        <v>626</v>
      </c>
      <c r="AK41">
        <v>5153884</v>
      </c>
    </row>
    <row r="42" spans="1:38" x14ac:dyDescent="0.25">
      <c r="A42" s="1">
        <v>45728</v>
      </c>
      <c r="B42" s="1">
        <v>45728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192</v>
      </c>
      <c r="J42" t="s">
        <v>193</v>
      </c>
      <c r="M42" t="s">
        <v>194</v>
      </c>
      <c r="O42" t="s">
        <v>195</v>
      </c>
      <c r="P42" t="s">
        <v>196</v>
      </c>
      <c r="Q42" t="s">
        <v>49</v>
      </c>
      <c r="R42" t="s">
        <v>197</v>
      </c>
      <c r="S42" s="1">
        <v>45748</v>
      </c>
      <c r="U42" t="s">
        <v>51</v>
      </c>
      <c r="X42" t="s">
        <v>52</v>
      </c>
      <c r="Y42" s="2">
        <v>0</v>
      </c>
      <c r="Z42" s="2">
        <v>234.75</v>
      </c>
      <c r="AA42">
        <v>1</v>
      </c>
      <c r="AB42" s="3">
        <v>1</v>
      </c>
      <c r="AC42" s="2">
        <v>234.75</v>
      </c>
      <c r="AD42" s="3">
        <v>0</v>
      </c>
      <c r="AE42" s="2">
        <v>0</v>
      </c>
      <c r="AF42" s="2">
        <v>234.75</v>
      </c>
      <c r="AK42">
        <v>5153898</v>
      </c>
      <c r="AL42" t="s">
        <v>198</v>
      </c>
    </row>
    <row r="43" spans="1:38" x14ac:dyDescent="0.25">
      <c r="A43" s="1">
        <v>45728</v>
      </c>
      <c r="B43" s="1">
        <v>45728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199</v>
      </c>
      <c r="J43" t="s">
        <v>193</v>
      </c>
      <c r="M43" t="s">
        <v>194</v>
      </c>
      <c r="O43" t="s">
        <v>195</v>
      </c>
      <c r="P43" t="s">
        <v>196</v>
      </c>
      <c r="Q43" t="s">
        <v>49</v>
      </c>
      <c r="R43" t="s">
        <v>200</v>
      </c>
      <c r="S43" s="1">
        <v>45748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5153902</v>
      </c>
    </row>
    <row r="44" spans="1:38" x14ac:dyDescent="0.25">
      <c r="A44" s="1">
        <v>45728</v>
      </c>
      <c r="B44" s="1">
        <v>45728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201</v>
      </c>
      <c r="J44" t="s">
        <v>202</v>
      </c>
      <c r="M44" t="s">
        <v>102</v>
      </c>
      <c r="O44" t="s">
        <v>71</v>
      </c>
      <c r="P44" t="s">
        <v>72</v>
      </c>
      <c r="Q44" t="s">
        <v>49</v>
      </c>
      <c r="R44" t="s">
        <v>197</v>
      </c>
      <c r="S44" s="1">
        <v>45809</v>
      </c>
      <c r="U44" t="s">
        <v>51</v>
      </c>
      <c r="X44" t="s">
        <v>52</v>
      </c>
      <c r="Y44" s="2">
        <v>0</v>
      </c>
      <c r="Z44" s="2">
        <v>182.58</v>
      </c>
      <c r="AA44">
        <v>1</v>
      </c>
      <c r="AB44" s="3">
        <v>1</v>
      </c>
      <c r="AC44" s="2">
        <v>182.58</v>
      </c>
      <c r="AD44" s="3">
        <v>0</v>
      </c>
      <c r="AE44" s="2">
        <v>0</v>
      </c>
      <c r="AF44" s="2">
        <v>182.58</v>
      </c>
      <c r="AK44">
        <v>5153881</v>
      </c>
      <c r="AL44" t="s">
        <v>203</v>
      </c>
    </row>
    <row r="45" spans="1:38" x14ac:dyDescent="0.25">
      <c r="A45" s="1">
        <v>45728</v>
      </c>
      <c r="B45" s="1">
        <v>45728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204</v>
      </c>
      <c r="J45" t="s">
        <v>202</v>
      </c>
      <c r="M45" t="s">
        <v>102</v>
      </c>
      <c r="O45" t="s">
        <v>71</v>
      </c>
      <c r="P45" t="s">
        <v>72</v>
      </c>
      <c r="Q45" t="s">
        <v>49</v>
      </c>
      <c r="R45" t="s">
        <v>200</v>
      </c>
      <c r="S45" s="1">
        <v>45809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5153882</v>
      </c>
    </row>
    <row r="46" spans="1:38" x14ac:dyDescent="0.25">
      <c r="A46" s="1">
        <v>45728</v>
      </c>
      <c r="B46" s="1">
        <v>45728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205</v>
      </c>
      <c r="J46" t="s">
        <v>206</v>
      </c>
      <c r="M46" t="s">
        <v>102</v>
      </c>
      <c r="O46" t="s">
        <v>55</v>
      </c>
      <c r="P46" t="s">
        <v>56</v>
      </c>
      <c r="Q46" t="s">
        <v>49</v>
      </c>
      <c r="R46" t="s">
        <v>180</v>
      </c>
      <c r="S46" s="1">
        <v>45717</v>
      </c>
      <c r="U46" t="s">
        <v>51</v>
      </c>
      <c r="X46" t="s">
        <v>52</v>
      </c>
      <c r="Y46" s="2">
        <v>0</v>
      </c>
      <c r="Z46" s="2">
        <v>521.66999999999996</v>
      </c>
      <c r="AA46">
        <v>1</v>
      </c>
      <c r="AB46" s="3">
        <v>1</v>
      </c>
      <c r="AC46" s="2">
        <v>521.66999999999996</v>
      </c>
      <c r="AD46" s="3">
        <v>0</v>
      </c>
      <c r="AE46" s="2">
        <v>0</v>
      </c>
      <c r="AF46" s="2">
        <v>521.66999999999996</v>
      </c>
      <c r="AK46">
        <v>5153928</v>
      </c>
      <c r="AL46" t="s">
        <v>131</v>
      </c>
    </row>
    <row r="47" spans="1:38" x14ac:dyDescent="0.25">
      <c r="A47" s="1">
        <v>45728</v>
      </c>
      <c r="B47" s="1">
        <v>45728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207</v>
      </c>
      <c r="J47" t="s">
        <v>206</v>
      </c>
      <c r="M47" t="s">
        <v>102</v>
      </c>
      <c r="O47" t="s">
        <v>55</v>
      </c>
      <c r="P47" t="s">
        <v>56</v>
      </c>
      <c r="Q47" t="s">
        <v>49</v>
      </c>
      <c r="R47" t="s">
        <v>200</v>
      </c>
      <c r="S47" s="1">
        <v>45717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5153927</v>
      </c>
    </row>
    <row r="48" spans="1:38" x14ac:dyDescent="0.25">
      <c r="A48" s="1">
        <v>45728</v>
      </c>
      <c r="B48" s="1">
        <v>45728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208</v>
      </c>
      <c r="J48" t="s">
        <v>209</v>
      </c>
      <c r="M48" t="s">
        <v>194</v>
      </c>
      <c r="O48" t="s">
        <v>195</v>
      </c>
      <c r="P48" t="s">
        <v>196</v>
      </c>
      <c r="Q48" t="s">
        <v>49</v>
      </c>
      <c r="R48" t="s">
        <v>191</v>
      </c>
      <c r="S48" s="1">
        <v>45689</v>
      </c>
      <c r="U48" t="s">
        <v>51</v>
      </c>
      <c r="X48" t="s">
        <v>52</v>
      </c>
      <c r="Y48" s="2">
        <v>0</v>
      </c>
      <c r="Z48" s="2">
        <v>626</v>
      </c>
      <c r="AA48">
        <v>1</v>
      </c>
      <c r="AB48" s="3">
        <v>1</v>
      </c>
      <c r="AC48" s="2">
        <v>626</v>
      </c>
      <c r="AD48" s="3">
        <v>0</v>
      </c>
      <c r="AE48" s="2">
        <v>0</v>
      </c>
      <c r="AF48" s="2">
        <v>626</v>
      </c>
      <c r="AK48">
        <v>5153878</v>
      </c>
    </row>
    <row r="49" spans="1:38" x14ac:dyDescent="0.25">
      <c r="A49" s="1">
        <v>45728</v>
      </c>
      <c r="B49" s="1">
        <v>45728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210</v>
      </c>
      <c r="J49" t="s">
        <v>211</v>
      </c>
      <c r="M49" t="s">
        <v>102</v>
      </c>
      <c r="O49" t="s">
        <v>71</v>
      </c>
      <c r="P49" t="s">
        <v>72</v>
      </c>
      <c r="Q49" t="s">
        <v>49</v>
      </c>
      <c r="R49" t="s">
        <v>197</v>
      </c>
      <c r="S49" s="1">
        <v>45748</v>
      </c>
      <c r="U49" t="s">
        <v>51</v>
      </c>
      <c r="X49" t="s">
        <v>52</v>
      </c>
      <c r="Y49" s="2">
        <v>0</v>
      </c>
      <c r="Z49" s="2">
        <v>234.75</v>
      </c>
      <c r="AA49">
        <v>1</v>
      </c>
      <c r="AB49" s="3">
        <v>1</v>
      </c>
      <c r="AC49" s="2">
        <v>234.75</v>
      </c>
      <c r="AD49" s="3">
        <v>0</v>
      </c>
      <c r="AE49" s="2">
        <v>0</v>
      </c>
      <c r="AF49" s="2">
        <v>234.75</v>
      </c>
      <c r="AK49">
        <v>5153933</v>
      </c>
      <c r="AL49" t="s">
        <v>198</v>
      </c>
    </row>
    <row r="50" spans="1:38" x14ac:dyDescent="0.25">
      <c r="A50" s="1">
        <v>45728</v>
      </c>
      <c r="B50" s="1">
        <v>45728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212</v>
      </c>
      <c r="J50" t="s">
        <v>211</v>
      </c>
      <c r="M50" t="s">
        <v>102</v>
      </c>
      <c r="O50" t="s">
        <v>71</v>
      </c>
      <c r="P50" t="s">
        <v>72</v>
      </c>
      <c r="Q50" t="s">
        <v>49</v>
      </c>
      <c r="R50" t="s">
        <v>213</v>
      </c>
      <c r="S50" s="1">
        <v>45748</v>
      </c>
      <c r="U50" t="s">
        <v>51</v>
      </c>
      <c r="X50" t="s">
        <v>52</v>
      </c>
      <c r="Y50" s="2">
        <v>0</v>
      </c>
      <c r="Z50" s="2">
        <v>54</v>
      </c>
      <c r="AA50">
        <v>1</v>
      </c>
      <c r="AB50" s="3">
        <v>1</v>
      </c>
      <c r="AC50" s="2">
        <v>54</v>
      </c>
      <c r="AD50" s="3">
        <v>0</v>
      </c>
      <c r="AE50" s="2">
        <v>0</v>
      </c>
      <c r="AF50" s="2">
        <v>54</v>
      </c>
      <c r="AK50">
        <v>5153932</v>
      </c>
      <c r="AL50" t="s">
        <v>198</v>
      </c>
    </row>
    <row r="51" spans="1:38" x14ac:dyDescent="0.25">
      <c r="A51" s="1">
        <v>45728</v>
      </c>
      <c r="B51" s="1">
        <v>45728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214</v>
      </c>
      <c r="J51" t="s">
        <v>215</v>
      </c>
      <c r="M51" t="s">
        <v>194</v>
      </c>
      <c r="O51" t="s">
        <v>195</v>
      </c>
      <c r="P51" t="s">
        <v>196</v>
      </c>
      <c r="Q51" t="s">
        <v>49</v>
      </c>
      <c r="R51" t="s">
        <v>191</v>
      </c>
      <c r="S51" s="1">
        <v>45717</v>
      </c>
      <c r="U51" t="s">
        <v>51</v>
      </c>
      <c r="X51" t="s">
        <v>52</v>
      </c>
      <c r="Y51" s="2">
        <v>0</v>
      </c>
      <c r="Z51" s="2">
        <v>626</v>
      </c>
      <c r="AA51">
        <v>1</v>
      </c>
      <c r="AB51" s="3">
        <v>1</v>
      </c>
      <c r="AC51" s="2">
        <v>626</v>
      </c>
      <c r="AD51" s="3">
        <v>0</v>
      </c>
      <c r="AE51" s="2">
        <v>0</v>
      </c>
      <c r="AF51" s="2">
        <v>626</v>
      </c>
      <c r="AK51">
        <v>5153885</v>
      </c>
    </row>
    <row r="52" spans="1:38" x14ac:dyDescent="0.25">
      <c r="A52" s="1">
        <v>45728</v>
      </c>
      <c r="B52" s="1">
        <v>45728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216</v>
      </c>
      <c r="J52" t="s">
        <v>217</v>
      </c>
      <c r="M52" t="s">
        <v>102</v>
      </c>
      <c r="O52" t="s">
        <v>184</v>
      </c>
      <c r="P52" t="s">
        <v>185</v>
      </c>
      <c r="Q52" t="s">
        <v>49</v>
      </c>
      <c r="R52" t="s">
        <v>200</v>
      </c>
      <c r="S52" s="1">
        <v>45717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5153904</v>
      </c>
    </row>
    <row r="53" spans="1:38" x14ac:dyDescent="0.25">
      <c r="A53" s="1">
        <v>45728</v>
      </c>
      <c r="B53" s="1">
        <v>45728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218</v>
      </c>
      <c r="J53" t="s">
        <v>219</v>
      </c>
      <c r="M53" t="s">
        <v>102</v>
      </c>
      <c r="O53" t="s">
        <v>195</v>
      </c>
      <c r="P53" t="s">
        <v>196</v>
      </c>
      <c r="Q53" t="s">
        <v>49</v>
      </c>
      <c r="R53" t="s">
        <v>191</v>
      </c>
      <c r="S53" s="1">
        <v>45717</v>
      </c>
      <c r="U53" t="s">
        <v>51</v>
      </c>
      <c r="X53" t="s">
        <v>52</v>
      </c>
      <c r="Y53" s="2">
        <v>0</v>
      </c>
      <c r="Z53" s="2">
        <v>626</v>
      </c>
      <c r="AA53">
        <v>1</v>
      </c>
      <c r="AB53" s="3">
        <v>1</v>
      </c>
      <c r="AC53" s="2">
        <v>626</v>
      </c>
      <c r="AD53" s="3">
        <v>0</v>
      </c>
      <c r="AE53" s="2">
        <v>0</v>
      </c>
      <c r="AF53" s="2">
        <v>626</v>
      </c>
      <c r="AK53">
        <v>5153936</v>
      </c>
    </row>
    <row r="54" spans="1:38" x14ac:dyDescent="0.25">
      <c r="A54" s="1">
        <v>45728</v>
      </c>
      <c r="B54" s="1">
        <v>45728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220</v>
      </c>
      <c r="J54" t="s">
        <v>219</v>
      </c>
      <c r="M54" t="s">
        <v>102</v>
      </c>
      <c r="O54" t="s">
        <v>195</v>
      </c>
      <c r="P54" t="s">
        <v>196</v>
      </c>
      <c r="Q54" t="s">
        <v>49</v>
      </c>
      <c r="R54" t="s">
        <v>200</v>
      </c>
      <c r="S54" s="1">
        <v>45717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5153935</v>
      </c>
    </row>
    <row r="55" spans="1:38" x14ac:dyDescent="0.25">
      <c r="A55" s="1">
        <v>45728</v>
      </c>
      <c r="B55" s="1">
        <v>45728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221</v>
      </c>
      <c r="J55" t="s">
        <v>222</v>
      </c>
      <c r="M55" t="s">
        <v>165</v>
      </c>
      <c r="O55" t="s">
        <v>223</v>
      </c>
      <c r="P55" t="s">
        <v>224</v>
      </c>
      <c r="Q55" t="s">
        <v>49</v>
      </c>
      <c r="R55" t="s">
        <v>191</v>
      </c>
      <c r="S55" s="1">
        <v>45717</v>
      </c>
      <c r="U55" t="s">
        <v>51</v>
      </c>
      <c r="X55" t="s">
        <v>52</v>
      </c>
      <c r="Y55" s="2">
        <v>0</v>
      </c>
      <c r="Z55" s="2">
        <v>626</v>
      </c>
      <c r="AA55">
        <v>1</v>
      </c>
      <c r="AB55" s="3">
        <v>1</v>
      </c>
      <c r="AC55" s="2">
        <v>626</v>
      </c>
      <c r="AD55" s="3">
        <v>0</v>
      </c>
      <c r="AE55" s="2">
        <v>0</v>
      </c>
      <c r="AF55" s="2">
        <v>626</v>
      </c>
      <c r="AK55">
        <v>5153886</v>
      </c>
    </row>
    <row r="56" spans="1:38" x14ac:dyDescent="0.25">
      <c r="A56" s="1">
        <v>45728</v>
      </c>
      <c r="B56" s="1">
        <v>45728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225</v>
      </c>
      <c r="J56" t="s">
        <v>226</v>
      </c>
      <c r="M56" t="s">
        <v>102</v>
      </c>
      <c r="O56" t="s">
        <v>55</v>
      </c>
      <c r="P56" t="s">
        <v>56</v>
      </c>
      <c r="Q56" t="s">
        <v>49</v>
      </c>
      <c r="R56" t="s">
        <v>197</v>
      </c>
      <c r="S56" s="1">
        <v>45717</v>
      </c>
      <c r="U56" t="s">
        <v>51</v>
      </c>
      <c r="X56" t="s">
        <v>52</v>
      </c>
      <c r="Y56" s="2">
        <v>0</v>
      </c>
      <c r="Z56" s="2">
        <v>260.83</v>
      </c>
      <c r="AA56">
        <v>1</v>
      </c>
      <c r="AB56" s="3">
        <v>1</v>
      </c>
      <c r="AC56" s="2">
        <v>260.83</v>
      </c>
      <c r="AD56" s="3">
        <v>0</v>
      </c>
      <c r="AE56" s="2">
        <v>0</v>
      </c>
      <c r="AF56" s="2">
        <v>260.83</v>
      </c>
      <c r="AK56">
        <v>5153938</v>
      </c>
      <c r="AL56" t="s">
        <v>131</v>
      </c>
    </row>
    <row r="57" spans="1:38" x14ac:dyDescent="0.25">
      <c r="A57" s="1">
        <v>45728</v>
      </c>
      <c r="B57" s="1">
        <v>45728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227</v>
      </c>
      <c r="J57" t="s">
        <v>226</v>
      </c>
      <c r="M57" t="s">
        <v>102</v>
      </c>
      <c r="O57" t="s">
        <v>55</v>
      </c>
      <c r="P57" t="s">
        <v>56</v>
      </c>
      <c r="Q57" t="s">
        <v>49</v>
      </c>
      <c r="R57" t="s">
        <v>213</v>
      </c>
      <c r="S57" s="1">
        <v>45717</v>
      </c>
      <c r="U57" t="s">
        <v>51</v>
      </c>
      <c r="X57" t="s">
        <v>52</v>
      </c>
      <c r="Y57" s="2">
        <v>0</v>
      </c>
      <c r="Z57" s="2">
        <v>60</v>
      </c>
      <c r="AA57">
        <v>1</v>
      </c>
      <c r="AB57" s="3">
        <v>1</v>
      </c>
      <c r="AC57" s="2">
        <v>60</v>
      </c>
      <c r="AD57" s="3">
        <v>0</v>
      </c>
      <c r="AE57" s="2">
        <v>0</v>
      </c>
      <c r="AF57" s="2">
        <v>60</v>
      </c>
      <c r="AK57">
        <v>5153937</v>
      </c>
      <c r="AL57" t="s">
        <v>131</v>
      </c>
    </row>
    <row r="58" spans="1:38" x14ac:dyDescent="0.25">
      <c r="A58" s="1">
        <v>45728</v>
      </c>
      <c r="B58" s="1">
        <v>45728</v>
      </c>
      <c r="C58" t="s">
        <v>228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229</v>
      </c>
      <c r="J58" t="s">
        <v>230</v>
      </c>
      <c r="M58" t="s">
        <v>46</v>
      </c>
      <c r="O58" t="s">
        <v>147</v>
      </c>
      <c r="P58" t="s">
        <v>148</v>
      </c>
      <c r="Q58" t="s">
        <v>231</v>
      </c>
      <c r="R58" t="s">
        <v>50</v>
      </c>
      <c r="S58" s="1">
        <v>45658</v>
      </c>
      <c r="U58" t="s">
        <v>51</v>
      </c>
      <c r="X58" t="s">
        <v>52</v>
      </c>
      <c r="AF58" s="2">
        <v>175</v>
      </c>
      <c r="AG58" s="2">
        <v>0</v>
      </c>
      <c r="AJ58" s="2">
        <v>145.25</v>
      </c>
    </row>
    <row r="59" spans="1:38" x14ac:dyDescent="0.25">
      <c r="A59" s="1">
        <v>45728</v>
      </c>
      <c r="B59" s="1">
        <v>45728</v>
      </c>
      <c r="C59" t="s">
        <v>228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232</v>
      </c>
      <c r="J59" t="s">
        <v>233</v>
      </c>
      <c r="M59" t="s">
        <v>46</v>
      </c>
      <c r="O59" t="s">
        <v>96</v>
      </c>
      <c r="P59" t="s">
        <v>97</v>
      </c>
      <c r="Q59" t="s">
        <v>231</v>
      </c>
      <c r="R59" t="s">
        <v>59</v>
      </c>
      <c r="S59" s="1">
        <v>45658</v>
      </c>
      <c r="U59" t="s">
        <v>51</v>
      </c>
      <c r="X59" t="s">
        <v>52</v>
      </c>
      <c r="AF59" s="2">
        <v>108</v>
      </c>
      <c r="AG59" s="2">
        <v>0</v>
      </c>
      <c r="AJ59" s="2">
        <v>89.64</v>
      </c>
    </row>
    <row r="60" spans="1:38" x14ac:dyDescent="0.25">
      <c r="A60" s="1">
        <v>45728</v>
      </c>
      <c r="B60" s="1">
        <v>45728</v>
      </c>
      <c r="C60" t="s">
        <v>228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234</v>
      </c>
      <c r="J60" t="s">
        <v>235</v>
      </c>
      <c r="M60" t="s">
        <v>46</v>
      </c>
      <c r="O60" t="s">
        <v>236</v>
      </c>
      <c r="P60" t="s">
        <v>237</v>
      </c>
      <c r="Q60" t="s">
        <v>231</v>
      </c>
      <c r="R60" t="s">
        <v>50</v>
      </c>
      <c r="S60" s="1">
        <v>45658</v>
      </c>
      <c r="U60" t="s">
        <v>51</v>
      </c>
      <c r="X60" t="s">
        <v>52</v>
      </c>
      <c r="AF60" s="2">
        <v>175</v>
      </c>
      <c r="AG60" s="2">
        <v>0</v>
      </c>
      <c r="AJ60" s="2">
        <v>145.25</v>
      </c>
    </row>
    <row r="61" spans="1:38" x14ac:dyDescent="0.25">
      <c r="A61" s="1">
        <v>45728</v>
      </c>
      <c r="B61" s="1">
        <v>45728</v>
      </c>
      <c r="C61" t="s">
        <v>228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238</v>
      </c>
      <c r="J61" t="s">
        <v>235</v>
      </c>
      <c r="M61" t="s">
        <v>46</v>
      </c>
      <c r="O61" t="s">
        <v>236</v>
      </c>
      <c r="P61" t="s">
        <v>237</v>
      </c>
      <c r="Q61" t="s">
        <v>231</v>
      </c>
      <c r="R61" t="s">
        <v>239</v>
      </c>
      <c r="S61" s="1">
        <v>45658</v>
      </c>
      <c r="U61" t="s">
        <v>51</v>
      </c>
      <c r="X61" t="s">
        <v>52</v>
      </c>
      <c r="AF61" s="2">
        <v>313</v>
      </c>
      <c r="AG61" s="2">
        <v>0</v>
      </c>
      <c r="AJ61" s="2">
        <v>260.83</v>
      </c>
    </row>
    <row r="62" spans="1:38" x14ac:dyDescent="0.25">
      <c r="A62" s="1">
        <v>45728</v>
      </c>
      <c r="B62" s="1">
        <v>45728</v>
      </c>
      <c r="C62" t="s">
        <v>228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240</v>
      </c>
      <c r="J62" t="s">
        <v>241</v>
      </c>
      <c r="M62" t="s">
        <v>46</v>
      </c>
      <c r="O62" t="s">
        <v>117</v>
      </c>
      <c r="P62" t="s">
        <v>118</v>
      </c>
      <c r="Q62" t="s">
        <v>231</v>
      </c>
      <c r="R62" t="s">
        <v>50</v>
      </c>
      <c r="S62" s="1">
        <v>45658</v>
      </c>
      <c r="U62" t="s">
        <v>51</v>
      </c>
      <c r="X62" t="s">
        <v>52</v>
      </c>
      <c r="AF62" s="2">
        <v>175</v>
      </c>
      <c r="AG62" s="2">
        <v>0</v>
      </c>
      <c r="AJ62" s="2">
        <v>145.25</v>
      </c>
    </row>
    <row r="63" spans="1:38" x14ac:dyDescent="0.25">
      <c r="A63" s="1">
        <v>45728</v>
      </c>
      <c r="B63" s="1">
        <v>45728</v>
      </c>
      <c r="C63" t="s">
        <v>228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242</v>
      </c>
      <c r="J63" t="s">
        <v>243</v>
      </c>
      <c r="M63" t="s">
        <v>46</v>
      </c>
      <c r="O63" t="s">
        <v>184</v>
      </c>
      <c r="P63" t="s">
        <v>185</v>
      </c>
      <c r="Q63" t="s">
        <v>231</v>
      </c>
      <c r="R63" t="s">
        <v>59</v>
      </c>
      <c r="S63" s="1">
        <v>45658</v>
      </c>
      <c r="U63" t="s">
        <v>51</v>
      </c>
      <c r="X63" t="s">
        <v>52</v>
      </c>
      <c r="AF63" s="2">
        <v>108</v>
      </c>
      <c r="AG63" s="2">
        <v>0</v>
      </c>
      <c r="AJ63" s="2">
        <v>89.64</v>
      </c>
    </row>
    <row r="64" spans="1:38" x14ac:dyDescent="0.25">
      <c r="A64" s="1">
        <v>45728</v>
      </c>
      <c r="B64" s="1">
        <v>45728</v>
      </c>
      <c r="C64" t="s">
        <v>228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244</v>
      </c>
      <c r="J64" t="s">
        <v>245</v>
      </c>
      <c r="M64" t="s">
        <v>165</v>
      </c>
      <c r="O64" t="s">
        <v>152</v>
      </c>
      <c r="P64" t="s">
        <v>153</v>
      </c>
      <c r="Q64" t="s">
        <v>231</v>
      </c>
      <c r="R64" t="s">
        <v>246</v>
      </c>
      <c r="S64" s="1">
        <v>45658</v>
      </c>
      <c r="U64" t="s">
        <v>51</v>
      </c>
      <c r="X64" t="s">
        <v>52</v>
      </c>
      <c r="AF64" s="2">
        <v>50</v>
      </c>
      <c r="AG64" s="2">
        <v>0</v>
      </c>
      <c r="AJ64" s="2">
        <v>50</v>
      </c>
    </row>
    <row r="65" spans="1:36" x14ac:dyDescent="0.25">
      <c r="A65" s="1">
        <v>45728</v>
      </c>
      <c r="B65" s="1">
        <v>45728</v>
      </c>
      <c r="C65" t="s">
        <v>228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247</v>
      </c>
      <c r="J65" t="s">
        <v>178</v>
      </c>
      <c r="M65" t="s">
        <v>179</v>
      </c>
      <c r="O65" t="s">
        <v>147</v>
      </c>
      <c r="P65" t="s">
        <v>148</v>
      </c>
      <c r="Q65" t="s">
        <v>231</v>
      </c>
      <c r="R65" t="s">
        <v>197</v>
      </c>
      <c r="S65" s="1">
        <v>45689</v>
      </c>
      <c r="U65" t="s">
        <v>51</v>
      </c>
      <c r="X65" t="s">
        <v>52</v>
      </c>
      <c r="AF65" s="2">
        <v>286.92</v>
      </c>
      <c r="AG65" s="2">
        <v>0</v>
      </c>
      <c r="AJ65" s="2">
        <v>286.92</v>
      </c>
    </row>
    <row r="66" spans="1:36" x14ac:dyDescent="0.25">
      <c r="A66" s="1">
        <v>45728</v>
      </c>
      <c r="B66" s="1">
        <v>45728</v>
      </c>
      <c r="C66" t="s">
        <v>228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248</v>
      </c>
      <c r="J66" t="s">
        <v>188</v>
      </c>
      <c r="M66" t="s">
        <v>165</v>
      </c>
      <c r="O66" t="s">
        <v>189</v>
      </c>
      <c r="P66" t="s">
        <v>190</v>
      </c>
      <c r="Q66" t="s">
        <v>231</v>
      </c>
      <c r="R66" t="s">
        <v>197</v>
      </c>
      <c r="S66" s="1">
        <v>45717</v>
      </c>
      <c r="U66" t="s">
        <v>51</v>
      </c>
      <c r="X66" t="s">
        <v>52</v>
      </c>
      <c r="AF66" s="2">
        <v>260.83</v>
      </c>
      <c r="AG66" s="2">
        <v>0</v>
      </c>
      <c r="AJ66" s="2">
        <v>260.83</v>
      </c>
    </row>
    <row r="67" spans="1:36" x14ac:dyDescent="0.25">
      <c r="A67" s="1">
        <v>45728</v>
      </c>
      <c r="B67" s="1">
        <v>45728</v>
      </c>
      <c r="C67" t="s">
        <v>228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249</v>
      </c>
      <c r="J67" t="s">
        <v>209</v>
      </c>
      <c r="M67" t="s">
        <v>194</v>
      </c>
      <c r="O67" t="s">
        <v>195</v>
      </c>
      <c r="P67" t="s">
        <v>196</v>
      </c>
      <c r="Q67" t="s">
        <v>231</v>
      </c>
      <c r="R67" t="s">
        <v>197</v>
      </c>
      <c r="S67" s="1">
        <v>45689</v>
      </c>
      <c r="U67" t="s">
        <v>51</v>
      </c>
      <c r="X67" t="s">
        <v>52</v>
      </c>
      <c r="AF67" s="2">
        <v>286.92</v>
      </c>
      <c r="AG67" s="2">
        <v>0</v>
      </c>
      <c r="AJ67" s="2">
        <v>286.92</v>
      </c>
    </row>
    <row r="68" spans="1:36" x14ac:dyDescent="0.25">
      <c r="A68" s="1">
        <v>45728</v>
      </c>
      <c r="B68" s="1">
        <v>45728</v>
      </c>
      <c r="C68" t="s">
        <v>228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250</v>
      </c>
      <c r="J68" t="s">
        <v>211</v>
      </c>
      <c r="M68" t="s">
        <v>102</v>
      </c>
      <c r="O68" t="s">
        <v>71</v>
      </c>
      <c r="P68" t="s">
        <v>72</v>
      </c>
      <c r="Q68" t="s">
        <v>231</v>
      </c>
      <c r="R68" t="s">
        <v>197</v>
      </c>
      <c r="S68" s="1">
        <v>45658</v>
      </c>
      <c r="U68" t="s">
        <v>51</v>
      </c>
      <c r="X68" t="s">
        <v>52</v>
      </c>
      <c r="AF68" s="2">
        <v>313</v>
      </c>
      <c r="AG68" s="2">
        <v>0</v>
      </c>
      <c r="AJ68" s="2">
        <v>313</v>
      </c>
    </row>
    <row r="69" spans="1:36" x14ac:dyDescent="0.25">
      <c r="A69" s="1">
        <v>45728</v>
      </c>
      <c r="B69" s="1">
        <v>45728</v>
      </c>
      <c r="C69" t="s">
        <v>228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251</v>
      </c>
      <c r="J69" t="s">
        <v>211</v>
      </c>
      <c r="M69" t="s">
        <v>102</v>
      </c>
      <c r="O69" t="s">
        <v>71</v>
      </c>
      <c r="P69" t="s">
        <v>72</v>
      </c>
      <c r="Q69" t="s">
        <v>231</v>
      </c>
      <c r="R69" t="s">
        <v>200</v>
      </c>
      <c r="S69" s="1">
        <v>45658</v>
      </c>
      <c r="U69" t="s">
        <v>51</v>
      </c>
      <c r="X69" t="s">
        <v>52</v>
      </c>
      <c r="AF69" s="2">
        <v>175</v>
      </c>
      <c r="AG69" s="2">
        <v>0</v>
      </c>
      <c r="AJ69" s="2">
        <v>175</v>
      </c>
    </row>
    <row r="70" spans="1:36" x14ac:dyDescent="0.25">
      <c r="A70" s="1">
        <v>45728</v>
      </c>
      <c r="B70" s="1">
        <v>45728</v>
      </c>
      <c r="C70" t="s">
        <v>228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252</v>
      </c>
      <c r="J70" t="s">
        <v>253</v>
      </c>
      <c r="M70" t="s">
        <v>159</v>
      </c>
      <c r="O70" t="s">
        <v>254</v>
      </c>
      <c r="P70" t="s">
        <v>255</v>
      </c>
      <c r="Q70" t="s">
        <v>231</v>
      </c>
      <c r="R70" t="s">
        <v>197</v>
      </c>
      <c r="S70" s="1">
        <v>45658</v>
      </c>
      <c r="U70" t="s">
        <v>51</v>
      </c>
      <c r="X70" t="s">
        <v>52</v>
      </c>
      <c r="AF70" s="2">
        <v>313</v>
      </c>
      <c r="AG70" s="2">
        <v>0</v>
      </c>
      <c r="AJ70" s="2">
        <v>313</v>
      </c>
    </row>
    <row r="71" spans="1:36" x14ac:dyDescent="0.25">
      <c r="A71" s="1">
        <v>45728</v>
      </c>
      <c r="B71" s="1">
        <v>45728</v>
      </c>
      <c r="C71" t="s">
        <v>228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256</v>
      </c>
      <c r="J71" t="s">
        <v>253</v>
      </c>
      <c r="M71" t="s">
        <v>159</v>
      </c>
      <c r="O71" t="s">
        <v>254</v>
      </c>
      <c r="P71" t="s">
        <v>255</v>
      </c>
      <c r="Q71" t="s">
        <v>231</v>
      </c>
      <c r="R71" t="s">
        <v>200</v>
      </c>
      <c r="S71" s="1">
        <v>45658</v>
      </c>
      <c r="U71" t="s">
        <v>51</v>
      </c>
      <c r="X71" t="s">
        <v>52</v>
      </c>
      <c r="AF71" s="2">
        <v>175</v>
      </c>
      <c r="AG71" s="2">
        <v>0</v>
      </c>
      <c r="AJ71" s="2">
        <v>175</v>
      </c>
    </row>
    <row r="72" spans="1:36" x14ac:dyDescent="0.25">
      <c r="A72" s="1">
        <v>45728</v>
      </c>
      <c r="B72" s="1">
        <v>45728</v>
      </c>
      <c r="C72" t="s">
        <v>228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257</v>
      </c>
      <c r="J72" t="s">
        <v>215</v>
      </c>
      <c r="M72" t="s">
        <v>194</v>
      </c>
      <c r="O72" t="s">
        <v>195</v>
      </c>
      <c r="P72" t="s">
        <v>196</v>
      </c>
      <c r="Q72" t="s">
        <v>231</v>
      </c>
      <c r="R72" t="s">
        <v>197</v>
      </c>
      <c r="S72" s="1">
        <v>45717</v>
      </c>
      <c r="U72" t="s">
        <v>51</v>
      </c>
      <c r="X72" t="s">
        <v>52</v>
      </c>
      <c r="AF72" s="2">
        <v>260.83</v>
      </c>
      <c r="AG72" s="2">
        <v>0</v>
      </c>
      <c r="AJ72" s="2">
        <v>260.83</v>
      </c>
    </row>
    <row r="73" spans="1:36" x14ac:dyDescent="0.25">
      <c r="A73" s="1">
        <v>45728</v>
      </c>
      <c r="B73" s="1">
        <v>45728</v>
      </c>
      <c r="C73" t="s">
        <v>228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258</v>
      </c>
      <c r="J73" t="s">
        <v>259</v>
      </c>
      <c r="M73" t="s">
        <v>260</v>
      </c>
      <c r="O73" t="s">
        <v>261</v>
      </c>
      <c r="P73" t="s">
        <v>262</v>
      </c>
      <c r="Q73" t="s">
        <v>231</v>
      </c>
      <c r="R73" t="s">
        <v>200</v>
      </c>
      <c r="S73" s="1">
        <v>45689</v>
      </c>
      <c r="U73" t="s">
        <v>51</v>
      </c>
      <c r="X73" t="s">
        <v>52</v>
      </c>
      <c r="AF73" s="2">
        <v>175</v>
      </c>
      <c r="AG73" s="2">
        <v>0</v>
      </c>
      <c r="AJ73" s="2">
        <v>159.4</v>
      </c>
    </row>
    <row r="74" spans="1:36" x14ac:dyDescent="0.25">
      <c r="A74" s="1">
        <v>45728</v>
      </c>
      <c r="B74" s="1">
        <v>45728</v>
      </c>
      <c r="C74" t="s">
        <v>228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263</v>
      </c>
      <c r="J74" t="s">
        <v>259</v>
      </c>
      <c r="M74" t="s">
        <v>260</v>
      </c>
      <c r="O74" t="s">
        <v>261</v>
      </c>
      <c r="P74" t="s">
        <v>262</v>
      </c>
      <c r="Q74" t="s">
        <v>231</v>
      </c>
      <c r="R74" t="s">
        <v>180</v>
      </c>
      <c r="S74" s="1">
        <v>45689</v>
      </c>
      <c r="U74" t="s">
        <v>51</v>
      </c>
      <c r="X74" t="s">
        <v>52</v>
      </c>
      <c r="AF74" s="2">
        <v>573.83000000000004</v>
      </c>
      <c r="AG74" s="2">
        <v>0</v>
      </c>
      <c r="AJ74" s="2">
        <v>522.69000000000005</v>
      </c>
    </row>
    <row r="75" spans="1:36" x14ac:dyDescent="0.25">
      <c r="A75" s="1">
        <v>45728</v>
      </c>
      <c r="B75" s="1">
        <v>45728</v>
      </c>
      <c r="C75" t="s">
        <v>228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264</v>
      </c>
      <c r="J75" t="s">
        <v>222</v>
      </c>
      <c r="M75" t="s">
        <v>165</v>
      </c>
      <c r="O75" t="s">
        <v>223</v>
      </c>
      <c r="P75" t="s">
        <v>224</v>
      </c>
      <c r="Q75" t="s">
        <v>231</v>
      </c>
      <c r="R75" t="s">
        <v>197</v>
      </c>
      <c r="S75" s="1">
        <v>45717</v>
      </c>
      <c r="U75" t="s">
        <v>51</v>
      </c>
      <c r="X75" t="s">
        <v>52</v>
      </c>
      <c r="AF75" s="2">
        <v>260.83</v>
      </c>
      <c r="AG75" s="2">
        <v>0</v>
      </c>
      <c r="AJ75" s="2">
        <v>260.83</v>
      </c>
    </row>
    <row r="76" spans="1:36" x14ac:dyDescent="0.25">
      <c r="A76" s="1">
        <v>45728</v>
      </c>
      <c r="B76" s="1">
        <v>45728</v>
      </c>
      <c r="C76" t="s">
        <v>228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265</v>
      </c>
      <c r="J76" t="s">
        <v>226</v>
      </c>
      <c r="M76" t="s">
        <v>102</v>
      </c>
      <c r="O76" t="s">
        <v>55</v>
      </c>
      <c r="P76" t="s">
        <v>56</v>
      </c>
      <c r="Q76" t="s">
        <v>231</v>
      </c>
      <c r="R76" t="s">
        <v>197</v>
      </c>
      <c r="S76" s="1">
        <v>45658</v>
      </c>
      <c r="U76" t="s">
        <v>51</v>
      </c>
      <c r="X76" t="s">
        <v>52</v>
      </c>
      <c r="AF76" s="2">
        <v>313</v>
      </c>
      <c r="AG76" s="2">
        <v>0</v>
      </c>
      <c r="AJ76" s="2">
        <v>313</v>
      </c>
    </row>
    <row r="77" spans="1:36" x14ac:dyDescent="0.25">
      <c r="A77" s="1">
        <v>45728</v>
      </c>
      <c r="B77" s="1">
        <v>45728</v>
      </c>
      <c r="C77" t="s">
        <v>228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266</v>
      </c>
      <c r="J77" t="s">
        <v>226</v>
      </c>
      <c r="M77" t="s">
        <v>102</v>
      </c>
      <c r="O77" t="s">
        <v>55</v>
      </c>
      <c r="P77" t="s">
        <v>56</v>
      </c>
      <c r="Q77" t="s">
        <v>231</v>
      </c>
      <c r="R77" t="s">
        <v>213</v>
      </c>
      <c r="S77" s="1">
        <v>45658</v>
      </c>
      <c r="U77" t="s">
        <v>51</v>
      </c>
      <c r="X77" t="s">
        <v>52</v>
      </c>
      <c r="AF77" s="2">
        <v>72</v>
      </c>
      <c r="AG77" s="2">
        <v>0</v>
      </c>
      <c r="AJ77" s="2">
        <v>72</v>
      </c>
    </row>
    <row r="78" spans="1:36" x14ac:dyDescent="0.25">
      <c r="A78" s="1">
        <v>45728</v>
      </c>
      <c r="B78" s="1">
        <v>45728</v>
      </c>
      <c r="C78" t="s">
        <v>228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267</v>
      </c>
      <c r="J78" t="s">
        <v>268</v>
      </c>
      <c r="M78" t="s">
        <v>165</v>
      </c>
      <c r="O78" t="s">
        <v>254</v>
      </c>
      <c r="P78" t="s">
        <v>255</v>
      </c>
      <c r="Q78" t="s">
        <v>231</v>
      </c>
      <c r="R78" t="s">
        <v>197</v>
      </c>
      <c r="S78" s="1">
        <v>45658</v>
      </c>
      <c r="U78" t="s">
        <v>51</v>
      </c>
      <c r="X78" t="s">
        <v>52</v>
      </c>
      <c r="AF78" s="2">
        <v>313</v>
      </c>
      <c r="AG78" s="2">
        <v>0</v>
      </c>
      <c r="AJ78" s="2">
        <v>313</v>
      </c>
    </row>
    <row r="79" spans="1:36" x14ac:dyDescent="0.25">
      <c r="A79" s="1">
        <v>45728</v>
      </c>
      <c r="B79" s="1">
        <v>45728</v>
      </c>
      <c r="C79" t="s">
        <v>228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269</v>
      </c>
      <c r="J79" t="s">
        <v>268</v>
      </c>
      <c r="M79" t="s">
        <v>165</v>
      </c>
      <c r="O79" t="s">
        <v>254</v>
      </c>
      <c r="P79" t="s">
        <v>255</v>
      </c>
      <c r="Q79" t="s">
        <v>231</v>
      </c>
      <c r="R79" t="s">
        <v>213</v>
      </c>
      <c r="S79" s="1">
        <v>45658</v>
      </c>
      <c r="U79" t="s">
        <v>51</v>
      </c>
      <c r="X79" t="s">
        <v>52</v>
      </c>
      <c r="AF79" s="2">
        <v>72</v>
      </c>
      <c r="AG79" s="2">
        <v>0</v>
      </c>
      <c r="AJ79" s="2">
        <v>72</v>
      </c>
    </row>
    <row r="80" spans="1:36" x14ac:dyDescent="0.25">
      <c r="A80" s="1">
        <v>45728</v>
      </c>
      <c r="B80" s="1">
        <v>45728</v>
      </c>
      <c r="C80" t="s">
        <v>228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270</v>
      </c>
      <c r="J80" t="s">
        <v>271</v>
      </c>
      <c r="M80" t="s">
        <v>102</v>
      </c>
      <c r="O80" t="s">
        <v>55</v>
      </c>
      <c r="P80" t="s">
        <v>56</v>
      </c>
      <c r="Q80" t="s">
        <v>231</v>
      </c>
      <c r="R80" t="s">
        <v>197</v>
      </c>
      <c r="S80" s="1">
        <v>45717</v>
      </c>
      <c r="U80" t="s">
        <v>51</v>
      </c>
      <c r="X80" t="s">
        <v>52</v>
      </c>
      <c r="AF80" s="2">
        <v>260.83</v>
      </c>
      <c r="AG80" s="2">
        <v>0</v>
      </c>
      <c r="AJ80" s="2">
        <v>260.83</v>
      </c>
    </row>
    <row r="81" spans="1:36" x14ac:dyDescent="0.25">
      <c r="A81" s="1">
        <v>45728</v>
      </c>
      <c r="B81" s="1">
        <v>45728</v>
      </c>
      <c r="C81" t="s">
        <v>228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272</v>
      </c>
      <c r="J81" t="s">
        <v>273</v>
      </c>
      <c r="M81" t="s">
        <v>102</v>
      </c>
      <c r="O81" t="s">
        <v>136</v>
      </c>
      <c r="P81" t="s">
        <v>137</v>
      </c>
      <c r="Q81" t="s">
        <v>231</v>
      </c>
      <c r="R81" t="s">
        <v>191</v>
      </c>
      <c r="S81" s="1">
        <v>45658</v>
      </c>
      <c r="U81" t="s">
        <v>51</v>
      </c>
      <c r="X81" t="s">
        <v>52</v>
      </c>
      <c r="AF81" s="2">
        <v>626</v>
      </c>
      <c r="AG81" s="2">
        <v>0</v>
      </c>
      <c r="AJ81" s="2">
        <v>626</v>
      </c>
    </row>
    <row r="82" spans="1:36" x14ac:dyDescent="0.25">
      <c r="A82" s="1">
        <v>45728</v>
      </c>
      <c r="B82" s="1">
        <v>45728</v>
      </c>
      <c r="C82" t="s">
        <v>228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274</v>
      </c>
      <c r="J82" t="s">
        <v>273</v>
      </c>
      <c r="M82" t="s">
        <v>102</v>
      </c>
      <c r="O82" t="s">
        <v>136</v>
      </c>
      <c r="P82" t="s">
        <v>137</v>
      </c>
      <c r="Q82" t="s">
        <v>231</v>
      </c>
      <c r="R82" t="s">
        <v>200</v>
      </c>
      <c r="S82" s="1">
        <v>45658</v>
      </c>
      <c r="U82" t="s">
        <v>51</v>
      </c>
      <c r="X82" t="s">
        <v>52</v>
      </c>
      <c r="AF82" s="2">
        <v>175</v>
      </c>
      <c r="AG82" s="2">
        <v>0</v>
      </c>
      <c r="AJ82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C20D-CAD6-49A1-8391-5591F6037938}">
  <dimension ref="A1:N82"/>
  <sheetViews>
    <sheetView tabSelected="1" workbookViewId="0">
      <selection activeCell="J89" sqref="J89"/>
    </sheetView>
  </sheetViews>
  <sheetFormatPr defaultRowHeight="15" x14ac:dyDescent="0.25"/>
  <cols>
    <col min="1" max="1" width="18.85546875" style="4" bestFit="1" customWidth="1"/>
    <col min="2" max="2" width="26.5703125" style="5" bestFit="1" customWidth="1"/>
    <col min="3" max="3" width="5.5703125" style="5" bestFit="1" customWidth="1"/>
    <col min="4" max="4" width="15.7109375" style="5" bestFit="1" customWidth="1"/>
    <col min="5" max="5" width="23.7109375" style="5" bestFit="1" customWidth="1"/>
    <col min="6" max="6" width="49.7109375" style="5" bestFit="1" customWidth="1"/>
    <col min="7" max="9" width="9.140625" style="5"/>
    <col min="10" max="10" width="17.42578125" style="5" bestFit="1" customWidth="1"/>
    <col min="11" max="11" width="16.140625" style="5" bestFit="1" customWidth="1"/>
    <col min="12" max="12" width="23.28515625" style="5" bestFit="1" customWidth="1"/>
    <col min="13" max="13" width="24.140625" style="5" bestFit="1" customWidth="1"/>
    <col min="14" max="16384" width="9.140625" style="5"/>
  </cols>
  <sheetData>
    <row r="1" spans="1:14" x14ac:dyDescent="0.25">
      <c r="A1" s="4" t="s">
        <v>8</v>
      </c>
      <c r="B1" s="5" t="s">
        <v>9</v>
      </c>
      <c r="C1" s="5" t="s">
        <v>12</v>
      </c>
      <c r="D1" s="5" t="s">
        <v>14</v>
      </c>
      <c r="E1" s="5" t="s">
        <v>15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28</v>
      </c>
      <c r="K1" s="5" t="s">
        <v>37</v>
      </c>
    </row>
    <row r="2" spans="1:14" x14ac:dyDescent="0.25">
      <c r="A2" s="4" t="s">
        <v>284</v>
      </c>
      <c r="B2" s="5" t="s">
        <v>84</v>
      </c>
      <c r="C2" s="5" t="s">
        <v>46</v>
      </c>
      <c r="D2" s="5">
        <v>19278370</v>
      </c>
      <c r="E2" s="5" t="s">
        <v>86</v>
      </c>
      <c r="F2" s="5" t="s">
        <v>87</v>
      </c>
      <c r="G2" s="6">
        <v>45717</v>
      </c>
      <c r="I2" s="5" t="s">
        <v>51</v>
      </c>
      <c r="J2" s="7">
        <v>15</v>
      </c>
      <c r="L2" s="5" t="s">
        <v>335</v>
      </c>
      <c r="N2" s="5" t="str">
        <f>CONCATENATE(A2,99)</f>
        <v>00023132285KPDP99</v>
      </c>
    </row>
    <row r="3" spans="1:14" x14ac:dyDescent="0.25">
      <c r="A3" s="4" t="s">
        <v>322</v>
      </c>
      <c r="B3" s="5" t="s">
        <v>259</v>
      </c>
      <c r="C3" s="5" t="s">
        <v>260</v>
      </c>
      <c r="D3" s="5">
        <v>17425766</v>
      </c>
      <c r="E3" s="5" t="s">
        <v>262</v>
      </c>
      <c r="F3" s="5" t="s">
        <v>180</v>
      </c>
      <c r="G3" s="6">
        <v>45689</v>
      </c>
      <c r="I3" s="5" t="s">
        <v>51</v>
      </c>
      <c r="J3" s="8">
        <v>-522.69000000000005</v>
      </c>
      <c r="L3" s="5" t="s">
        <v>337</v>
      </c>
      <c r="M3" s="9" t="s">
        <v>341</v>
      </c>
      <c r="N3" s="5" t="str">
        <f>CONCATENATE(A3,98)</f>
        <v>970877095PC98</v>
      </c>
    </row>
    <row r="4" spans="1:14" x14ac:dyDescent="0.25">
      <c r="A4" s="4">
        <v>971498173</v>
      </c>
      <c r="B4" s="5" t="s">
        <v>222</v>
      </c>
      <c r="C4" s="5" t="s">
        <v>165</v>
      </c>
      <c r="D4" s="5">
        <v>20003537</v>
      </c>
      <c r="E4" s="5" t="s">
        <v>224</v>
      </c>
      <c r="F4" s="5" t="s">
        <v>191</v>
      </c>
      <c r="G4" s="6">
        <v>45717</v>
      </c>
      <c r="I4" s="5" t="s">
        <v>51</v>
      </c>
      <c r="J4" s="7">
        <v>626</v>
      </c>
      <c r="L4" s="5" t="s">
        <v>337</v>
      </c>
      <c r="M4" s="9" t="s">
        <v>339</v>
      </c>
      <c r="N4" s="5" t="str">
        <f>CONCATENATE(A4,98)</f>
        <v>97149817398</v>
      </c>
    </row>
    <row r="5" spans="1:14" x14ac:dyDescent="0.25">
      <c r="A5" s="4" t="s">
        <v>323</v>
      </c>
      <c r="B5" s="5" t="s">
        <v>222</v>
      </c>
      <c r="C5" s="5" t="s">
        <v>165</v>
      </c>
      <c r="D5" s="5">
        <v>20003537</v>
      </c>
      <c r="E5" s="5" t="s">
        <v>224</v>
      </c>
      <c r="F5" s="5" t="s">
        <v>197</v>
      </c>
      <c r="G5" s="6">
        <v>45717</v>
      </c>
      <c r="I5" s="5" t="s">
        <v>51</v>
      </c>
      <c r="J5" s="8">
        <v>-260.83</v>
      </c>
      <c r="L5" s="5" t="s">
        <v>343</v>
      </c>
      <c r="M5" s="9" t="s">
        <v>345</v>
      </c>
      <c r="N5" s="5" t="str">
        <f>CONCATENATE(A5,99)</f>
        <v>971498173CB99</v>
      </c>
    </row>
    <row r="6" spans="1:14" x14ac:dyDescent="0.25">
      <c r="A6" s="4" t="s">
        <v>329</v>
      </c>
      <c r="B6" s="5" t="s">
        <v>273</v>
      </c>
      <c r="C6" s="5" t="s">
        <v>102</v>
      </c>
      <c r="D6" s="5">
        <v>8325282</v>
      </c>
      <c r="E6" s="5" t="s">
        <v>137</v>
      </c>
      <c r="F6" s="5" t="s">
        <v>191</v>
      </c>
      <c r="G6" s="6">
        <v>45658</v>
      </c>
      <c r="I6" s="5" t="s">
        <v>51</v>
      </c>
      <c r="J6" s="8">
        <v>-626</v>
      </c>
      <c r="L6" s="5" t="s">
        <v>337</v>
      </c>
      <c r="M6" s="9" t="s">
        <v>339</v>
      </c>
      <c r="N6" s="5" t="str">
        <f>CONCATENATE(A6,98)</f>
        <v>995656731CB98</v>
      </c>
    </row>
    <row r="7" spans="1:14" x14ac:dyDescent="0.25">
      <c r="A7" s="4">
        <v>910679218</v>
      </c>
      <c r="B7" s="5" t="s">
        <v>188</v>
      </c>
      <c r="C7" s="5" t="s">
        <v>165</v>
      </c>
      <c r="D7" s="5">
        <v>17774994</v>
      </c>
      <c r="E7" s="5" t="s">
        <v>190</v>
      </c>
      <c r="F7" s="5" t="s">
        <v>191</v>
      </c>
      <c r="G7" s="6">
        <v>45717</v>
      </c>
      <c r="I7" s="5" t="s">
        <v>51</v>
      </c>
      <c r="J7" s="7">
        <v>626</v>
      </c>
      <c r="L7" s="5" t="s">
        <v>337</v>
      </c>
      <c r="M7" s="9" t="s">
        <v>339</v>
      </c>
      <c r="N7" s="5" t="str">
        <f>CONCATENATE(A7,98)</f>
        <v>91067921898</v>
      </c>
    </row>
    <row r="8" spans="1:14" x14ac:dyDescent="0.25">
      <c r="A8" s="4" t="s">
        <v>314</v>
      </c>
      <c r="B8" s="5" t="s">
        <v>188</v>
      </c>
      <c r="C8" s="5" t="s">
        <v>165</v>
      </c>
      <c r="D8" s="5">
        <v>17774994</v>
      </c>
      <c r="E8" s="5" t="s">
        <v>190</v>
      </c>
      <c r="F8" s="5" t="s">
        <v>197</v>
      </c>
      <c r="G8" s="6">
        <v>45717</v>
      </c>
      <c r="I8" s="5" t="s">
        <v>51</v>
      </c>
      <c r="J8" s="8">
        <v>-260.83</v>
      </c>
      <c r="L8" s="5" t="s">
        <v>343</v>
      </c>
      <c r="M8" s="9" t="s">
        <v>345</v>
      </c>
      <c r="N8" s="5" t="str">
        <f>CONCATENATE(A8,99)</f>
        <v>910679218CB99</v>
      </c>
    </row>
    <row r="9" spans="1:14" x14ac:dyDescent="0.25">
      <c r="A9" s="4">
        <v>940795330</v>
      </c>
      <c r="B9" s="5" t="s">
        <v>206</v>
      </c>
      <c r="C9" s="5" t="s">
        <v>102</v>
      </c>
      <c r="D9" s="5">
        <v>17301495</v>
      </c>
      <c r="E9" s="5" t="s">
        <v>56</v>
      </c>
      <c r="F9" s="5" t="s">
        <v>180</v>
      </c>
      <c r="G9" s="6">
        <v>45717</v>
      </c>
      <c r="I9" s="5" t="s">
        <v>51</v>
      </c>
      <c r="J9" s="7">
        <v>521.66999999999996</v>
      </c>
      <c r="K9" s="5" t="s">
        <v>131</v>
      </c>
      <c r="L9" s="5" t="s">
        <v>337</v>
      </c>
      <c r="M9" s="9" t="s">
        <v>341</v>
      </c>
      <c r="N9" s="5" t="str">
        <f>CONCATENATE(A9,98)</f>
        <v>94079533098</v>
      </c>
    </row>
    <row r="10" spans="1:14" x14ac:dyDescent="0.25">
      <c r="A10" s="4">
        <v>977962097</v>
      </c>
      <c r="B10" s="5" t="s">
        <v>226</v>
      </c>
      <c r="C10" s="5" t="s">
        <v>102</v>
      </c>
      <c r="D10" s="5">
        <v>17301495</v>
      </c>
      <c r="E10" s="5" t="s">
        <v>56</v>
      </c>
      <c r="F10" s="5" t="s">
        <v>197</v>
      </c>
      <c r="G10" s="6">
        <v>45717</v>
      </c>
      <c r="I10" s="5" t="s">
        <v>51</v>
      </c>
      <c r="J10" s="7">
        <v>260.83</v>
      </c>
      <c r="K10" s="5" t="s">
        <v>131</v>
      </c>
      <c r="L10" s="5" t="s">
        <v>343</v>
      </c>
      <c r="M10" s="9" t="s">
        <v>345</v>
      </c>
      <c r="N10" s="5" t="str">
        <f>CONCATENATE(A10,99)</f>
        <v>97796209799</v>
      </c>
    </row>
    <row r="11" spans="1:14" x14ac:dyDescent="0.25">
      <c r="A11" s="4" t="s">
        <v>324</v>
      </c>
      <c r="B11" s="5" t="s">
        <v>226</v>
      </c>
      <c r="C11" s="5" t="s">
        <v>102</v>
      </c>
      <c r="D11" s="5">
        <v>17301495</v>
      </c>
      <c r="E11" s="5" t="s">
        <v>56</v>
      </c>
      <c r="F11" s="5" t="s">
        <v>197</v>
      </c>
      <c r="G11" s="6">
        <v>45658</v>
      </c>
      <c r="I11" s="5" t="s">
        <v>51</v>
      </c>
      <c r="J11" s="8">
        <v>-313</v>
      </c>
      <c r="L11" s="5" t="s">
        <v>343</v>
      </c>
      <c r="M11" s="9" t="s">
        <v>338</v>
      </c>
      <c r="N11" s="5" t="str">
        <f>CONCATENATE(A11,99)</f>
        <v>977962097CB99</v>
      </c>
    </row>
    <row r="12" spans="1:14" x14ac:dyDescent="0.25">
      <c r="A12" s="4" t="s">
        <v>328</v>
      </c>
      <c r="B12" s="5" t="s">
        <v>271</v>
      </c>
      <c r="C12" s="5" t="s">
        <v>102</v>
      </c>
      <c r="D12" s="5">
        <v>17301495</v>
      </c>
      <c r="E12" s="5" t="s">
        <v>56</v>
      </c>
      <c r="F12" s="5" t="s">
        <v>197</v>
      </c>
      <c r="G12" s="6">
        <v>45717</v>
      </c>
      <c r="I12" s="5" t="s">
        <v>51</v>
      </c>
      <c r="J12" s="8">
        <v>-260.83</v>
      </c>
      <c r="L12" s="5" t="s">
        <v>343</v>
      </c>
      <c r="M12" s="9" t="s">
        <v>345</v>
      </c>
      <c r="N12" s="5" t="str">
        <f>CONCATENATE(A12,99)</f>
        <v>992296804CB99</v>
      </c>
    </row>
    <row r="13" spans="1:14" x14ac:dyDescent="0.25">
      <c r="A13" s="4">
        <v>925390858</v>
      </c>
      <c r="B13" s="5" t="s">
        <v>202</v>
      </c>
      <c r="C13" s="5" t="s">
        <v>102</v>
      </c>
      <c r="D13" s="5">
        <v>9213293</v>
      </c>
      <c r="E13" s="5" t="s">
        <v>72</v>
      </c>
      <c r="F13" s="5" t="s">
        <v>197</v>
      </c>
      <c r="G13" s="6">
        <v>45809</v>
      </c>
      <c r="I13" s="5" t="s">
        <v>51</v>
      </c>
      <c r="J13" s="7">
        <v>182.58</v>
      </c>
      <c r="K13" s="5" t="s">
        <v>203</v>
      </c>
      <c r="L13" s="5" t="s">
        <v>343</v>
      </c>
      <c r="M13" s="9" t="s">
        <v>344</v>
      </c>
      <c r="N13" s="5" t="str">
        <f>CONCATENATE(A13,99)</f>
        <v>92539085899</v>
      </c>
    </row>
    <row r="14" spans="1:14" x14ac:dyDescent="0.25">
      <c r="A14" s="4">
        <v>957421267</v>
      </c>
      <c r="B14" s="5" t="s">
        <v>211</v>
      </c>
      <c r="C14" s="5" t="s">
        <v>102</v>
      </c>
      <c r="D14" s="5">
        <v>9213293</v>
      </c>
      <c r="E14" s="5" t="s">
        <v>72</v>
      </c>
      <c r="F14" s="5" t="s">
        <v>197</v>
      </c>
      <c r="G14" s="6">
        <v>45748</v>
      </c>
      <c r="I14" s="5" t="s">
        <v>51</v>
      </c>
      <c r="J14" s="7">
        <v>234.75</v>
      </c>
      <c r="K14" s="5" t="s">
        <v>198</v>
      </c>
      <c r="L14" s="5" t="s">
        <v>343</v>
      </c>
      <c r="M14" s="9" t="s">
        <v>342</v>
      </c>
      <c r="N14" s="5" t="str">
        <f>CONCATENATE(A14,99)</f>
        <v>95742126799</v>
      </c>
    </row>
    <row r="15" spans="1:14" x14ac:dyDescent="0.25">
      <c r="A15" s="4" t="s">
        <v>316</v>
      </c>
      <c r="B15" s="5" t="s">
        <v>211</v>
      </c>
      <c r="C15" s="5" t="s">
        <v>102</v>
      </c>
      <c r="D15" s="5">
        <v>9213293</v>
      </c>
      <c r="E15" s="5" t="s">
        <v>72</v>
      </c>
      <c r="F15" s="5" t="s">
        <v>197</v>
      </c>
      <c r="G15" s="6">
        <v>45658</v>
      </c>
      <c r="I15" s="5" t="s">
        <v>51</v>
      </c>
      <c r="J15" s="8">
        <v>-313</v>
      </c>
      <c r="L15" s="5" t="s">
        <v>343</v>
      </c>
      <c r="M15" s="9" t="s">
        <v>338</v>
      </c>
      <c r="N15" s="5" t="str">
        <f>CONCATENATE(A15,99)</f>
        <v>957421267CB99</v>
      </c>
    </row>
    <row r="16" spans="1:14" x14ac:dyDescent="0.25">
      <c r="A16" s="4">
        <v>951850009</v>
      </c>
      <c r="B16" s="5" t="s">
        <v>209</v>
      </c>
      <c r="C16" s="5" t="s">
        <v>194</v>
      </c>
      <c r="D16" s="5">
        <v>16865615</v>
      </c>
      <c r="E16" s="5" t="s">
        <v>196</v>
      </c>
      <c r="F16" s="5" t="s">
        <v>191</v>
      </c>
      <c r="G16" s="6">
        <v>45689</v>
      </c>
      <c r="I16" s="5" t="s">
        <v>51</v>
      </c>
      <c r="J16" s="7">
        <v>626</v>
      </c>
      <c r="L16" s="5" t="s">
        <v>337</v>
      </c>
      <c r="M16" s="9" t="s">
        <v>339</v>
      </c>
      <c r="N16" s="5" t="str">
        <f>CONCATENATE(A16,98)</f>
        <v>95185000998</v>
      </c>
    </row>
    <row r="17" spans="1:14" x14ac:dyDescent="0.25">
      <c r="A17" s="4">
        <v>959030254</v>
      </c>
      <c r="B17" s="5" t="s">
        <v>215</v>
      </c>
      <c r="C17" s="5" t="s">
        <v>194</v>
      </c>
      <c r="D17" s="5">
        <v>16865615</v>
      </c>
      <c r="E17" s="5" t="s">
        <v>196</v>
      </c>
      <c r="F17" s="5" t="s">
        <v>191</v>
      </c>
      <c r="G17" s="6">
        <v>45717</v>
      </c>
      <c r="I17" s="5" t="s">
        <v>51</v>
      </c>
      <c r="J17" s="7">
        <v>626</v>
      </c>
      <c r="L17" s="5" t="s">
        <v>337</v>
      </c>
      <c r="M17" s="9" t="s">
        <v>339</v>
      </c>
      <c r="N17" s="5" t="str">
        <f>CONCATENATE(A17,98)</f>
        <v>95903025498</v>
      </c>
    </row>
    <row r="18" spans="1:14" x14ac:dyDescent="0.25">
      <c r="A18" s="4">
        <v>966497714</v>
      </c>
      <c r="B18" s="5" t="s">
        <v>219</v>
      </c>
      <c r="C18" s="5" t="s">
        <v>102</v>
      </c>
      <c r="D18" s="5">
        <v>16865615</v>
      </c>
      <c r="E18" s="5" t="s">
        <v>196</v>
      </c>
      <c r="F18" s="5" t="s">
        <v>191</v>
      </c>
      <c r="G18" s="6">
        <v>45717</v>
      </c>
      <c r="I18" s="5" t="s">
        <v>51</v>
      </c>
      <c r="J18" s="7">
        <v>626</v>
      </c>
      <c r="L18" s="5" t="s">
        <v>337</v>
      </c>
      <c r="M18" s="9" t="s">
        <v>339</v>
      </c>
      <c r="N18" s="5" t="str">
        <f>CONCATENATE(A18,98)</f>
        <v>96649771498</v>
      </c>
    </row>
    <row r="19" spans="1:14" x14ac:dyDescent="0.25">
      <c r="A19" s="4">
        <v>924420238</v>
      </c>
      <c r="B19" s="5" t="s">
        <v>193</v>
      </c>
      <c r="C19" s="5" t="s">
        <v>194</v>
      </c>
      <c r="D19" s="5">
        <v>16865615</v>
      </c>
      <c r="E19" s="5" t="s">
        <v>196</v>
      </c>
      <c r="F19" s="5" t="s">
        <v>197</v>
      </c>
      <c r="G19" s="6">
        <v>45748</v>
      </c>
      <c r="I19" s="5" t="s">
        <v>51</v>
      </c>
      <c r="J19" s="7">
        <v>234.75</v>
      </c>
      <c r="K19" s="5" t="s">
        <v>198</v>
      </c>
      <c r="L19" s="5" t="s">
        <v>343</v>
      </c>
      <c r="M19" s="9" t="s">
        <v>342</v>
      </c>
      <c r="N19" s="5" t="str">
        <f>CONCATENATE(A19,99)</f>
        <v>92442023899</v>
      </c>
    </row>
    <row r="20" spans="1:14" x14ac:dyDescent="0.25">
      <c r="A20" s="4" t="s">
        <v>315</v>
      </c>
      <c r="B20" s="5" t="s">
        <v>209</v>
      </c>
      <c r="C20" s="5" t="s">
        <v>194</v>
      </c>
      <c r="D20" s="5">
        <v>16865615</v>
      </c>
      <c r="E20" s="5" t="s">
        <v>196</v>
      </c>
      <c r="F20" s="5" t="s">
        <v>197</v>
      </c>
      <c r="G20" s="6">
        <v>45689</v>
      </c>
      <c r="I20" s="5" t="s">
        <v>51</v>
      </c>
      <c r="J20" s="8">
        <v>-286.92</v>
      </c>
      <c r="L20" s="5" t="s">
        <v>343</v>
      </c>
      <c r="M20" s="9" t="s">
        <v>346</v>
      </c>
      <c r="N20" s="5" t="str">
        <f>CONCATENATE(A20,99)</f>
        <v>951850009CB99</v>
      </c>
    </row>
    <row r="21" spans="1:14" x14ac:dyDescent="0.25">
      <c r="A21" s="4" t="s">
        <v>320</v>
      </c>
      <c r="B21" s="5" t="s">
        <v>215</v>
      </c>
      <c r="C21" s="5" t="s">
        <v>194</v>
      </c>
      <c r="D21" s="5">
        <v>16865615</v>
      </c>
      <c r="E21" s="5" t="s">
        <v>196</v>
      </c>
      <c r="F21" s="5" t="s">
        <v>197</v>
      </c>
      <c r="G21" s="6">
        <v>45717</v>
      </c>
      <c r="I21" s="5" t="s">
        <v>51</v>
      </c>
      <c r="J21" s="8">
        <v>-260.83</v>
      </c>
      <c r="L21" s="5" t="s">
        <v>343</v>
      </c>
      <c r="M21" s="9" t="s">
        <v>345</v>
      </c>
      <c r="N21" s="5" t="str">
        <f>CONCATENATE(A21,99)</f>
        <v>959030254CB99</v>
      </c>
    </row>
    <row r="22" spans="1:14" x14ac:dyDescent="0.25">
      <c r="A22" s="4" t="s">
        <v>318</v>
      </c>
      <c r="B22" s="5" t="s">
        <v>253</v>
      </c>
      <c r="C22" s="5" t="s">
        <v>159</v>
      </c>
      <c r="D22" s="5">
        <v>16683808</v>
      </c>
      <c r="E22" s="5" t="s">
        <v>255</v>
      </c>
      <c r="F22" s="5" t="s">
        <v>197</v>
      </c>
      <c r="G22" s="6">
        <v>45658</v>
      </c>
      <c r="I22" s="5" t="s">
        <v>51</v>
      </c>
      <c r="J22" s="8">
        <v>-313</v>
      </c>
      <c r="L22" s="5" t="s">
        <v>343</v>
      </c>
      <c r="M22" s="9" t="s">
        <v>338</v>
      </c>
      <c r="N22" s="5" t="str">
        <f>CONCATENATE(A22,99)</f>
        <v>957988057CB99</v>
      </c>
    </row>
    <row r="23" spans="1:14" x14ac:dyDescent="0.25">
      <c r="A23" s="4" t="s">
        <v>326</v>
      </c>
      <c r="B23" s="5" t="s">
        <v>268</v>
      </c>
      <c r="C23" s="5" t="s">
        <v>165</v>
      </c>
      <c r="D23" s="5">
        <v>16683808</v>
      </c>
      <c r="E23" s="5" t="s">
        <v>255</v>
      </c>
      <c r="F23" s="5" t="s">
        <v>197</v>
      </c>
      <c r="G23" s="6">
        <v>45658</v>
      </c>
      <c r="I23" s="5" t="s">
        <v>51</v>
      </c>
      <c r="J23" s="8">
        <v>-313</v>
      </c>
      <c r="L23" s="5" t="s">
        <v>343</v>
      </c>
      <c r="M23" s="9" t="s">
        <v>338</v>
      </c>
      <c r="N23" s="5" t="str">
        <f>CONCATENATE(A23,99)</f>
        <v>983805466CB99</v>
      </c>
    </row>
    <row r="24" spans="1:14" x14ac:dyDescent="0.25">
      <c r="A24" s="4" t="s">
        <v>312</v>
      </c>
      <c r="B24" s="5" t="s">
        <v>245</v>
      </c>
      <c r="C24" s="5" t="s">
        <v>165</v>
      </c>
      <c r="D24" s="5">
        <v>20411454</v>
      </c>
      <c r="E24" s="5" t="s">
        <v>347</v>
      </c>
      <c r="F24" s="5" t="s">
        <v>246</v>
      </c>
      <c r="G24" s="6">
        <v>45658</v>
      </c>
      <c r="I24" s="5" t="s">
        <v>51</v>
      </c>
      <c r="J24" s="8">
        <v>-50</v>
      </c>
      <c r="L24" s="5" t="s">
        <v>331</v>
      </c>
      <c r="N24" s="5" t="str">
        <f>CONCATENATE(A24,9)</f>
        <v>102133066800CB9</v>
      </c>
    </row>
    <row r="25" spans="1:14" x14ac:dyDescent="0.25">
      <c r="A25" s="4">
        <v>101211577200</v>
      </c>
      <c r="B25" s="5" t="s">
        <v>128</v>
      </c>
      <c r="C25" s="5" t="s">
        <v>129</v>
      </c>
      <c r="D25" s="5">
        <v>20411454</v>
      </c>
      <c r="E25" s="5" t="s">
        <v>347</v>
      </c>
      <c r="F25" s="5" t="s">
        <v>130</v>
      </c>
      <c r="G25" s="6">
        <v>45717</v>
      </c>
      <c r="I25" s="5" t="s">
        <v>51</v>
      </c>
      <c r="J25" s="7">
        <v>41.67</v>
      </c>
      <c r="K25" s="5" t="s">
        <v>131</v>
      </c>
      <c r="L25" s="5" t="s">
        <v>331</v>
      </c>
      <c r="N25" s="5" t="str">
        <f>CONCATENATE(A25,9)</f>
        <v>1012115772009</v>
      </c>
    </row>
    <row r="26" spans="1:14" x14ac:dyDescent="0.25">
      <c r="A26" s="4">
        <v>101218748200</v>
      </c>
      <c r="B26" s="5" t="s">
        <v>133</v>
      </c>
      <c r="C26" s="5" t="s">
        <v>102</v>
      </c>
      <c r="D26" s="5">
        <v>20411454</v>
      </c>
      <c r="E26" s="5" t="s">
        <v>347</v>
      </c>
      <c r="F26" s="5" t="s">
        <v>130</v>
      </c>
      <c r="G26" s="6">
        <v>45717</v>
      </c>
      <c r="I26" s="5" t="s">
        <v>51</v>
      </c>
      <c r="J26" s="7">
        <v>41.67</v>
      </c>
      <c r="K26" s="5" t="s">
        <v>131</v>
      </c>
      <c r="L26" s="5" t="s">
        <v>331</v>
      </c>
      <c r="N26" s="5" t="str">
        <f>CONCATENATE(A26,9)</f>
        <v>1012187482009</v>
      </c>
    </row>
    <row r="27" spans="1:14" x14ac:dyDescent="0.25">
      <c r="A27" s="4">
        <v>101291821000</v>
      </c>
      <c r="B27" s="5" t="s">
        <v>135</v>
      </c>
      <c r="C27" s="5" t="s">
        <v>102</v>
      </c>
      <c r="D27" s="5">
        <v>20411454</v>
      </c>
      <c r="E27" s="5" t="s">
        <v>347</v>
      </c>
      <c r="F27" s="5" t="s">
        <v>130</v>
      </c>
      <c r="G27" s="6">
        <v>45717</v>
      </c>
      <c r="I27" s="5" t="s">
        <v>51</v>
      </c>
      <c r="J27" s="7">
        <v>41.67</v>
      </c>
      <c r="K27" s="5" t="s">
        <v>131</v>
      </c>
      <c r="L27" s="5" t="s">
        <v>331</v>
      </c>
      <c r="N27" s="5" t="str">
        <f>CONCATENATE(A27,9)</f>
        <v>1012918210009</v>
      </c>
    </row>
    <row r="28" spans="1:14" x14ac:dyDescent="0.25">
      <c r="A28" s="4">
        <v>101527036200</v>
      </c>
      <c r="B28" s="5" t="s">
        <v>139</v>
      </c>
      <c r="C28" s="5" t="s">
        <v>46</v>
      </c>
      <c r="D28" s="5">
        <v>20411454</v>
      </c>
      <c r="E28" s="5" t="s">
        <v>347</v>
      </c>
      <c r="F28" s="5" t="s">
        <v>130</v>
      </c>
      <c r="G28" s="6">
        <v>45717</v>
      </c>
      <c r="I28" s="5" t="s">
        <v>51</v>
      </c>
      <c r="J28" s="7">
        <v>41.67</v>
      </c>
      <c r="K28" s="5" t="s">
        <v>131</v>
      </c>
      <c r="L28" s="5" t="s">
        <v>331</v>
      </c>
      <c r="N28" s="5" t="str">
        <f>CONCATENATE(A28,9)</f>
        <v>1015270362009</v>
      </c>
    </row>
    <row r="29" spans="1:14" x14ac:dyDescent="0.25">
      <c r="A29" s="4">
        <v>101528681000</v>
      </c>
      <c r="B29" s="5" t="s">
        <v>141</v>
      </c>
      <c r="C29" s="5" t="s">
        <v>129</v>
      </c>
      <c r="D29" s="5">
        <v>20411454</v>
      </c>
      <c r="E29" s="5" t="s">
        <v>347</v>
      </c>
      <c r="F29" s="5" t="s">
        <v>130</v>
      </c>
      <c r="G29" s="6">
        <v>45717</v>
      </c>
      <c r="I29" s="5" t="s">
        <v>51</v>
      </c>
      <c r="J29" s="7">
        <v>41.67</v>
      </c>
      <c r="K29" s="5" t="s">
        <v>131</v>
      </c>
      <c r="L29" s="5" t="s">
        <v>331</v>
      </c>
      <c r="N29" s="5" t="str">
        <f>CONCATENATE(A29,9)</f>
        <v>1015286810009</v>
      </c>
    </row>
    <row r="30" spans="1:14" x14ac:dyDescent="0.25">
      <c r="A30" s="4">
        <v>101666004700</v>
      </c>
      <c r="B30" s="5" t="s">
        <v>145</v>
      </c>
      <c r="C30" s="5" t="s">
        <v>146</v>
      </c>
      <c r="D30" s="5">
        <v>20411454</v>
      </c>
      <c r="E30" s="5" t="s">
        <v>347</v>
      </c>
      <c r="F30" s="5" t="s">
        <v>130</v>
      </c>
      <c r="G30" s="6">
        <v>45717</v>
      </c>
      <c r="I30" s="5" t="s">
        <v>51</v>
      </c>
      <c r="J30" s="7">
        <v>41.67</v>
      </c>
      <c r="K30" s="5" t="s">
        <v>131</v>
      </c>
      <c r="L30" s="5" t="s">
        <v>331</v>
      </c>
      <c r="N30" s="5" t="str">
        <f>CONCATENATE(A30,9)</f>
        <v>1016660047009</v>
      </c>
    </row>
    <row r="31" spans="1:14" x14ac:dyDescent="0.25">
      <c r="A31" s="4">
        <v>101930278400</v>
      </c>
      <c r="B31" s="5" t="s">
        <v>150</v>
      </c>
      <c r="C31" s="5" t="s">
        <v>151</v>
      </c>
      <c r="D31" s="5">
        <v>20411454</v>
      </c>
      <c r="E31" s="5" t="s">
        <v>347</v>
      </c>
      <c r="F31" s="5" t="s">
        <v>130</v>
      </c>
      <c r="G31" s="6">
        <v>45717</v>
      </c>
      <c r="I31" s="5" t="s">
        <v>51</v>
      </c>
      <c r="J31" s="7">
        <v>41.67</v>
      </c>
      <c r="K31" s="5" t="s">
        <v>131</v>
      </c>
      <c r="L31" s="5" t="s">
        <v>331</v>
      </c>
      <c r="N31" s="5" t="str">
        <f>CONCATENATE(A31,9)</f>
        <v>1019302784009</v>
      </c>
    </row>
    <row r="32" spans="1:14" x14ac:dyDescent="0.25">
      <c r="A32" s="4">
        <v>102029640300</v>
      </c>
      <c r="B32" s="5" t="s">
        <v>155</v>
      </c>
      <c r="C32" s="5" t="s">
        <v>156</v>
      </c>
      <c r="D32" s="5">
        <v>20411454</v>
      </c>
      <c r="E32" s="5" t="s">
        <v>347</v>
      </c>
      <c r="F32" s="5" t="s">
        <v>130</v>
      </c>
      <c r="G32" s="6">
        <v>45717</v>
      </c>
      <c r="I32" s="5" t="s">
        <v>51</v>
      </c>
      <c r="J32" s="7">
        <v>41.67</v>
      </c>
      <c r="K32" s="5" t="s">
        <v>131</v>
      </c>
      <c r="L32" s="5" t="s">
        <v>331</v>
      </c>
      <c r="N32" s="5" t="str">
        <f>CONCATENATE(A32,9)</f>
        <v>1020296403009</v>
      </c>
    </row>
    <row r="33" spans="1:14" x14ac:dyDescent="0.25">
      <c r="A33" s="4">
        <v>102150493500</v>
      </c>
      <c r="B33" s="5" t="s">
        <v>158</v>
      </c>
      <c r="C33" s="5" t="s">
        <v>159</v>
      </c>
      <c r="D33" s="5">
        <v>20411454</v>
      </c>
      <c r="E33" s="5" t="s">
        <v>347</v>
      </c>
      <c r="F33" s="5" t="s">
        <v>130</v>
      </c>
      <c r="G33" s="6">
        <v>45717</v>
      </c>
      <c r="I33" s="5" t="s">
        <v>51</v>
      </c>
      <c r="J33" s="7">
        <v>41.67</v>
      </c>
      <c r="K33" s="5" t="s">
        <v>131</v>
      </c>
      <c r="L33" s="5" t="s">
        <v>331</v>
      </c>
      <c r="N33" s="5" t="str">
        <f>CONCATENATE(A33,9)</f>
        <v>1021504935009</v>
      </c>
    </row>
    <row r="34" spans="1:14" x14ac:dyDescent="0.25">
      <c r="A34" s="4">
        <v>102150535500</v>
      </c>
      <c r="B34" s="5" t="s">
        <v>161</v>
      </c>
      <c r="C34" s="5" t="s">
        <v>129</v>
      </c>
      <c r="D34" s="5">
        <v>20411454</v>
      </c>
      <c r="E34" s="5" t="s">
        <v>347</v>
      </c>
      <c r="F34" s="5" t="s">
        <v>130</v>
      </c>
      <c r="G34" s="6">
        <v>45778</v>
      </c>
      <c r="I34" s="5" t="s">
        <v>51</v>
      </c>
      <c r="J34" s="7">
        <v>33.33</v>
      </c>
      <c r="K34" s="5" t="s">
        <v>162</v>
      </c>
      <c r="L34" s="5" t="s">
        <v>331</v>
      </c>
      <c r="N34" s="5" t="str">
        <f>CONCATENATE(A34,9)</f>
        <v>1021505355009</v>
      </c>
    </row>
    <row r="35" spans="1:14" x14ac:dyDescent="0.25">
      <c r="A35" s="4">
        <v>102150537700</v>
      </c>
      <c r="B35" s="5" t="s">
        <v>164</v>
      </c>
      <c r="C35" s="5" t="s">
        <v>165</v>
      </c>
      <c r="D35" s="5">
        <v>20411454</v>
      </c>
      <c r="E35" s="5" t="s">
        <v>347</v>
      </c>
      <c r="F35" s="5" t="s">
        <v>130</v>
      </c>
      <c r="G35" s="6">
        <v>45717</v>
      </c>
      <c r="I35" s="5" t="s">
        <v>51</v>
      </c>
      <c r="J35" s="7">
        <v>41.67</v>
      </c>
      <c r="K35" s="5" t="s">
        <v>131</v>
      </c>
      <c r="L35" s="5" t="s">
        <v>331</v>
      </c>
      <c r="N35" s="5" t="str">
        <f>CONCATENATE(A35,9)</f>
        <v>1021505377009</v>
      </c>
    </row>
    <row r="36" spans="1:14" x14ac:dyDescent="0.25">
      <c r="A36" s="4">
        <v>102150541300</v>
      </c>
      <c r="B36" s="5" t="s">
        <v>169</v>
      </c>
      <c r="C36" s="5" t="s">
        <v>165</v>
      </c>
      <c r="D36" s="5">
        <v>20411454</v>
      </c>
      <c r="E36" s="5" t="s">
        <v>347</v>
      </c>
      <c r="F36" s="5" t="s">
        <v>130</v>
      </c>
      <c r="G36" s="6">
        <v>45778</v>
      </c>
      <c r="I36" s="5" t="s">
        <v>51</v>
      </c>
      <c r="J36" s="7">
        <v>33.33</v>
      </c>
      <c r="K36" s="5" t="s">
        <v>162</v>
      </c>
      <c r="L36" s="5" t="s">
        <v>331</v>
      </c>
      <c r="N36" s="5" t="str">
        <f>CONCATENATE(A36,9)</f>
        <v>1021505413009</v>
      </c>
    </row>
    <row r="37" spans="1:14" x14ac:dyDescent="0.25">
      <c r="A37" s="4">
        <v>102150573800</v>
      </c>
      <c r="B37" s="5" t="s">
        <v>171</v>
      </c>
      <c r="C37" s="5" t="s">
        <v>102</v>
      </c>
      <c r="D37" s="5">
        <v>20411454</v>
      </c>
      <c r="E37" s="5" t="s">
        <v>347</v>
      </c>
      <c r="F37" s="5" t="s">
        <v>130</v>
      </c>
      <c r="G37" s="6">
        <v>45717</v>
      </c>
      <c r="I37" s="5" t="s">
        <v>51</v>
      </c>
      <c r="J37" s="7">
        <v>41.67</v>
      </c>
      <c r="K37" s="5" t="s">
        <v>131</v>
      </c>
      <c r="L37" s="5" t="s">
        <v>331</v>
      </c>
      <c r="N37" s="5" t="str">
        <f>CONCATENATE(A37,9)</f>
        <v>1021505738009</v>
      </c>
    </row>
    <row r="38" spans="1:14" x14ac:dyDescent="0.25">
      <c r="A38" s="4">
        <v>102151195700</v>
      </c>
      <c r="B38" s="5" t="s">
        <v>175</v>
      </c>
      <c r="C38" s="5" t="s">
        <v>176</v>
      </c>
      <c r="D38" s="5">
        <v>20411454</v>
      </c>
      <c r="E38" s="5" t="s">
        <v>347</v>
      </c>
      <c r="F38" s="5" t="s">
        <v>130</v>
      </c>
      <c r="G38" s="6">
        <v>45717</v>
      </c>
      <c r="I38" s="5" t="s">
        <v>51</v>
      </c>
      <c r="J38" s="7">
        <v>41.67</v>
      </c>
      <c r="K38" s="5" t="s">
        <v>131</v>
      </c>
      <c r="L38" s="5" t="s">
        <v>331</v>
      </c>
      <c r="N38" s="5" t="str">
        <f>CONCATENATE(A38,9)</f>
        <v>1021511957009</v>
      </c>
    </row>
    <row r="39" spans="1:14" x14ac:dyDescent="0.25">
      <c r="A39" s="4" t="s">
        <v>298</v>
      </c>
      <c r="B39" s="5" t="s">
        <v>183</v>
      </c>
      <c r="C39" s="5" t="s">
        <v>159</v>
      </c>
      <c r="D39" s="5">
        <v>20411454</v>
      </c>
      <c r="E39" s="5" t="s">
        <v>347</v>
      </c>
      <c r="F39" s="5" t="s">
        <v>186</v>
      </c>
      <c r="G39" s="6">
        <v>45689</v>
      </c>
      <c r="I39" s="5" t="s">
        <v>51</v>
      </c>
      <c r="J39" s="7">
        <v>100</v>
      </c>
      <c r="L39" s="5" t="s">
        <v>332</v>
      </c>
      <c r="N39" s="5" t="str">
        <f>CONCATENATE(A39,9)</f>
        <v>74F7F6U399</v>
      </c>
    </row>
    <row r="40" spans="1:14" x14ac:dyDescent="0.25">
      <c r="A40" s="4" t="s">
        <v>275</v>
      </c>
      <c r="B40" s="5" t="s">
        <v>45</v>
      </c>
      <c r="C40" s="5" t="s">
        <v>46</v>
      </c>
      <c r="D40" s="5">
        <v>20411454</v>
      </c>
      <c r="E40" s="5" t="s">
        <v>347</v>
      </c>
      <c r="F40" s="5" t="s">
        <v>50</v>
      </c>
      <c r="G40" s="6">
        <v>45717</v>
      </c>
      <c r="I40" s="5" t="s">
        <v>51</v>
      </c>
      <c r="J40" s="7">
        <v>175</v>
      </c>
      <c r="L40" s="5" t="s">
        <v>333</v>
      </c>
      <c r="N40" s="5" t="str">
        <f>CONCATENATE(A40,9)</f>
        <v>00007672778K9</v>
      </c>
    </row>
    <row r="41" spans="1:14" x14ac:dyDescent="0.25">
      <c r="A41" s="4" t="s">
        <v>276</v>
      </c>
      <c r="B41" s="5" t="s">
        <v>54</v>
      </c>
      <c r="C41" s="5" t="s">
        <v>46</v>
      </c>
      <c r="D41" s="5">
        <v>20411454</v>
      </c>
      <c r="E41" s="5" t="s">
        <v>347</v>
      </c>
      <c r="F41" s="5" t="s">
        <v>50</v>
      </c>
      <c r="G41" s="6">
        <v>45717</v>
      </c>
      <c r="I41" s="5" t="s">
        <v>51</v>
      </c>
      <c r="J41" s="7">
        <v>175</v>
      </c>
      <c r="L41" s="5" t="s">
        <v>333</v>
      </c>
      <c r="N41" s="5" t="str">
        <f>CONCATENATE(A41,9)</f>
        <v>00010225769K9</v>
      </c>
    </row>
    <row r="42" spans="1:14" x14ac:dyDescent="0.25">
      <c r="A42" s="4" t="s">
        <v>278</v>
      </c>
      <c r="B42" s="5" t="s">
        <v>61</v>
      </c>
      <c r="C42" s="5" t="s">
        <v>46</v>
      </c>
      <c r="D42" s="5">
        <v>20411454</v>
      </c>
      <c r="E42" s="5" t="s">
        <v>347</v>
      </c>
      <c r="F42" s="5" t="s">
        <v>50</v>
      </c>
      <c r="G42" s="6">
        <v>45717</v>
      </c>
      <c r="I42" s="5" t="s">
        <v>51</v>
      </c>
      <c r="J42" s="7">
        <v>175</v>
      </c>
      <c r="L42" s="5" t="s">
        <v>333</v>
      </c>
      <c r="N42" s="5" t="str">
        <f>CONCATENATE(A42,9)</f>
        <v>00017775058K9</v>
      </c>
    </row>
    <row r="43" spans="1:14" x14ac:dyDescent="0.25">
      <c r="A43" s="4" t="s">
        <v>279</v>
      </c>
      <c r="B43" s="5" t="s">
        <v>65</v>
      </c>
      <c r="C43" s="5" t="s">
        <v>46</v>
      </c>
      <c r="D43" s="5">
        <v>20411454</v>
      </c>
      <c r="E43" s="5" t="s">
        <v>347</v>
      </c>
      <c r="F43" s="5" t="s">
        <v>50</v>
      </c>
      <c r="G43" s="6">
        <v>45717</v>
      </c>
      <c r="I43" s="5" t="s">
        <v>51</v>
      </c>
      <c r="J43" s="7">
        <v>175</v>
      </c>
      <c r="L43" s="5" t="s">
        <v>333</v>
      </c>
      <c r="N43" s="5" t="str">
        <f>CONCATENATE(A43,9)</f>
        <v>00021086243K9</v>
      </c>
    </row>
    <row r="44" spans="1:14" x14ac:dyDescent="0.25">
      <c r="A44" s="4" t="s">
        <v>280</v>
      </c>
      <c r="B44" s="5" t="s">
        <v>69</v>
      </c>
      <c r="C44" s="5" t="s">
        <v>70</v>
      </c>
      <c r="D44" s="5">
        <v>20411454</v>
      </c>
      <c r="E44" s="5" t="s">
        <v>347</v>
      </c>
      <c r="F44" s="5" t="s">
        <v>50</v>
      </c>
      <c r="G44" s="6">
        <v>45717</v>
      </c>
      <c r="I44" s="5" t="s">
        <v>51</v>
      </c>
      <c r="J44" s="7">
        <v>175</v>
      </c>
      <c r="L44" s="5" t="s">
        <v>333</v>
      </c>
      <c r="N44" s="5" t="str">
        <f>CONCATENATE(A44,9)</f>
        <v>00021195864K9</v>
      </c>
    </row>
    <row r="45" spans="1:14" x14ac:dyDescent="0.25">
      <c r="A45" s="4" t="s">
        <v>281</v>
      </c>
      <c r="B45" s="5" t="s">
        <v>74</v>
      </c>
      <c r="C45" s="5" t="s">
        <v>46</v>
      </c>
      <c r="D45" s="5">
        <v>20411454</v>
      </c>
      <c r="E45" s="5" t="s">
        <v>347</v>
      </c>
      <c r="F45" s="5" t="s">
        <v>50</v>
      </c>
      <c r="G45" s="6">
        <v>45717</v>
      </c>
      <c r="I45" s="5" t="s">
        <v>51</v>
      </c>
      <c r="J45" s="7">
        <v>175</v>
      </c>
      <c r="L45" s="5" t="s">
        <v>333</v>
      </c>
      <c r="N45" s="5" t="str">
        <f>CONCATENATE(A45,9)</f>
        <v>00022188436K9</v>
      </c>
    </row>
    <row r="46" spans="1:14" x14ac:dyDescent="0.25">
      <c r="A46" s="4" t="s">
        <v>282</v>
      </c>
      <c r="B46" s="5" t="s">
        <v>78</v>
      </c>
      <c r="C46" s="5" t="s">
        <v>46</v>
      </c>
      <c r="D46" s="5">
        <v>20411454</v>
      </c>
      <c r="E46" s="5" t="s">
        <v>347</v>
      </c>
      <c r="F46" s="5" t="s">
        <v>50</v>
      </c>
      <c r="G46" s="6">
        <v>45717</v>
      </c>
      <c r="I46" s="5" t="s">
        <v>51</v>
      </c>
      <c r="J46" s="7">
        <v>175</v>
      </c>
      <c r="L46" s="5" t="s">
        <v>333</v>
      </c>
      <c r="N46" s="5" t="str">
        <f>CONCATENATE(A46,9)</f>
        <v>00022188500K9</v>
      </c>
    </row>
    <row r="47" spans="1:14" x14ac:dyDescent="0.25">
      <c r="A47" s="4" t="s">
        <v>283</v>
      </c>
      <c r="B47" s="5" t="s">
        <v>80</v>
      </c>
      <c r="C47" s="5" t="s">
        <v>46</v>
      </c>
      <c r="D47" s="5">
        <v>20411454</v>
      </c>
      <c r="E47" s="5" t="s">
        <v>347</v>
      </c>
      <c r="F47" s="5" t="s">
        <v>50</v>
      </c>
      <c r="G47" s="6">
        <v>45717</v>
      </c>
      <c r="I47" s="5" t="s">
        <v>51</v>
      </c>
      <c r="J47" s="7">
        <v>175</v>
      </c>
      <c r="L47" s="5" t="s">
        <v>333</v>
      </c>
      <c r="N47" s="5" t="str">
        <f>CONCATENATE(A47,9)</f>
        <v>00023132160K9</v>
      </c>
    </row>
    <row r="48" spans="1:14" x14ac:dyDescent="0.25">
      <c r="A48" s="4" t="s">
        <v>285</v>
      </c>
      <c r="B48" s="5" t="s">
        <v>89</v>
      </c>
      <c r="C48" s="5" t="s">
        <v>46</v>
      </c>
      <c r="D48" s="5">
        <v>20411454</v>
      </c>
      <c r="E48" s="5" t="s">
        <v>347</v>
      </c>
      <c r="F48" s="5" t="s">
        <v>50</v>
      </c>
      <c r="G48" s="6">
        <v>45717</v>
      </c>
      <c r="I48" s="5" t="s">
        <v>51</v>
      </c>
      <c r="J48" s="7">
        <v>175</v>
      </c>
      <c r="L48" s="5" t="s">
        <v>333</v>
      </c>
      <c r="N48" s="5" t="str">
        <f>CONCATENATE(A48,9)</f>
        <v>00023133292K9</v>
      </c>
    </row>
    <row r="49" spans="1:14" x14ac:dyDescent="0.25">
      <c r="A49" s="4" t="s">
        <v>286</v>
      </c>
      <c r="B49" s="5" t="s">
        <v>93</v>
      </c>
      <c r="C49" s="5" t="s">
        <v>46</v>
      </c>
      <c r="D49" s="5">
        <v>20411454</v>
      </c>
      <c r="E49" s="5" t="s">
        <v>347</v>
      </c>
      <c r="F49" s="5" t="s">
        <v>50</v>
      </c>
      <c r="G49" s="6">
        <v>45717</v>
      </c>
      <c r="I49" s="5" t="s">
        <v>51</v>
      </c>
      <c r="J49" s="7">
        <v>175</v>
      </c>
      <c r="L49" s="5" t="s">
        <v>333</v>
      </c>
      <c r="N49" s="5" t="str">
        <f>CONCATENATE(A49,9)</f>
        <v>00023140342K9</v>
      </c>
    </row>
    <row r="50" spans="1:14" x14ac:dyDescent="0.25">
      <c r="A50" s="4" t="s">
        <v>287</v>
      </c>
      <c r="B50" s="5" t="s">
        <v>95</v>
      </c>
      <c r="C50" s="5" t="s">
        <v>46</v>
      </c>
      <c r="D50" s="5">
        <v>20411454</v>
      </c>
      <c r="E50" s="5" t="s">
        <v>347</v>
      </c>
      <c r="F50" s="5" t="s">
        <v>50</v>
      </c>
      <c r="G50" s="6">
        <v>45717</v>
      </c>
      <c r="I50" s="5" t="s">
        <v>51</v>
      </c>
      <c r="J50" s="7">
        <v>175</v>
      </c>
      <c r="L50" s="5" t="s">
        <v>333</v>
      </c>
      <c r="N50" s="5" t="str">
        <f>CONCATENATE(A50,9)</f>
        <v>00023140550K9</v>
      </c>
    </row>
    <row r="51" spans="1:14" x14ac:dyDescent="0.25">
      <c r="A51" s="4" t="s">
        <v>288</v>
      </c>
      <c r="B51" s="5" t="s">
        <v>99</v>
      </c>
      <c r="C51" s="5" t="s">
        <v>46</v>
      </c>
      <c r="D51" s="5">
        <v>20411454</v>
      </c>
      <c r="E51" s="5" t="s">
        <v>347</v>
      </c>
      <c r="F51" s="5" t="s">
        <v>50</v>
      </c>
      <c r="G51" s="6">
        <v>45717</v>
      </c>
      <c r="I51" s="5" t="s">
        <v>51</v>
      </c>
      <c r="J51" s="7">
        <v>175</v>
      </c>
      <c r="L51" s="5" t="s">
        <v>333</v>
      </c>
      <c r="N51" s="5" t="str">
        <f>CONCATENATE(A51,9)</f>
        <v>00023140575K9</v>
      </c>
    </row>
    <row r="52" spans="1:14" x14ac:dyDescent="0.25">
      <c r="A52" s="4" t="s">
        <v>289</v>
      </c>
      <c r="B52" s="5" t="s">
        <v>101</v>
      </c>
      <c r="C52" s="5" t="s">
        <v>102</v>
      </c>
      <c r="D52" s="5">
        <v>20411454</v>
      </c>
      <c r="E52" s="5" t="s">
        <v>347</v>
      </c>
      <c r="F52" s="5" t="s">
        <v>50</v>
      </c>
      <c r="G52" s="6">
        <v>45717</v>
      </c>
      <c r="I52" s="5" t="s">
        <v>51</v>
      </c>
      <c r="J52" s="7">
        <v>175</v>
      </c>
      <c r="L52" s="5" t="s">
        <v>333</v>
      </c>
      <c r="N52" s="5" t="str">
        <f>CONCATENATE(A52,9)</f>
        <v>00023140852K9</v>
      </c>
    </row>
    <row r="53" spans="1:14" x14ac:dyDescent="0.25">
      <c r="A53" s="4" t="s">
        <v>290</v>
      </c>
      <c r="B53" s="5" t="s">
        <v>104</v>
      </c>
      <c r="C53" s="5" t="s">
        <v>46</v>
      </c>
      <c r="D53" s="5">
        <v>20411454</v>
      </c>
      <c r="E53" s="5" t="s">
        <v>347</v>
      </c>
      <c r="F53" s="5" t="s">
        <v>50</v>
      </c>
      <c r="G53" s="6">
        <v>45717</v>
      </c>
      <c r="I53" s="5" t="s">
        <v>51</v>
      </c>
      <c r="J53" s="7">
        <v>175</v>
      </c>
      <c r="L53" s="5" t="s">
        <v>333</v>
      </c>
      <c r="N53" s="5" t="str">
        <f>CONCATENATE(A53,9)</f>
        <v>00023140938K9</v>
      </c>
    </row>
    <row r="54" spans="1:14" x14ac:dyDescent="0.25">
      <c r="A54" s="4" t="s">
        <v>291</v>
      </c>
      <c r="B54" s="5" t="s">
        <v>108</v>
      </c>
      <c r="C54" s="5" t="s">
        <v>46</v>
      </c>
      <c r="D54" s="5">
        <v>20411454</v>
      </c>
      <c r="E54" s="5" t="s">
        <v>347</v>
      </c>
      <c r="F54" s="5" t="s">
        <v>50</v>
      </c>
      <c r="G54" s="6">
        <v>45778</v>
      </c>
      <c r="I54" s="5" t="s">
        <v>51</v>
      </c>
      <c r="J54" s="7">
        <v>175</v>
      </c>
      <c r="L54" s="5" t="s">
        <v>333</v>
      </c>
      <c r="N54" s="5" t="str">
        <f>CONCATENATE(A54,9)</f>
        <v>00023144851K9</v>
      </c>
    </row>
    <row r="55" spans="1:14" x14ac:dyDescent="0.25">
      <c r="A55" s="4" t="s">
        <v>292</v>
      </c>
      <c r="B55" s="5" t="s">
        <v>112</v>
      </c>
      <c r="C55" s="5" t="s">
        <v>46</v>
      </c>
      <c r="D55" s="5">
        <v>20411454</v>
      </c>
      <c r="E55" s="5" t="s">
        <v>347</v>
      </c>
      <c r="F55" s="5" t="s">
        <v>50</v>
      </c>
      <c r="G55" s="6">
        <v>45717</v>
      </c>
      <c r="I55" s="5" t="s">
        <v>51</v>
      </c>
      <c r="J55" s="7">
        <v>175</v>
      </c>
      <c r="L55" s="5" t="s">
        <v>333</v>
      </c>
      <c r="N55" s="5" t="str">
        <f>CONCATENATE(A55,9)</f>
        <v>00023146576K9</v>
      </c>
    </row>
    <row r="56" spans="1:14" x14ac:dyDescent="0.25">
      <c r="A56" s="4" t="s">
        <v>293</v>
      </c>
      <c r="B56" s="5" t="s">
        <v>116</v>
      </c>
      <c r="C56" s="5" t="s">
        <v>46</v>
      </c>
      <c r="D56" s="5">
        <v>20411454</v>
      </c>
      <c r="E56" s="5" t="s">
        <v>347</v>
      </c>
      <c r="F56" s="5" t="s">
        <v>50</v>
      </c>
      <c r="G56" s="6">
        <v>45717</v>
      </c>
      <c r="I56" s="5" t="s">
        <v>51</v>
      </c>
      <c r="J56" s="7">
        <v>175</v>
      </c>
      <c r="L56" s="5" t="s">
        <v>333</v>
      </c>
      <c r="N56" s="5" t="str">
        <f>CONCATENATE(A56,9)</f>
        <v>00023146640K9</v>
      </c>
    </row>
    <row r="57" spans="1:14" x14ac:dyDescent="0.25">
      <c r="A57" s="4" t="s">
        <v>294</v>
      </c>
      <c r="B57" s="5" t="s">
        <v>120</v>
      </c>
      <c r="C57" s="5" t="s">
        <v>46</v>
      </c>
      <c r="D57" s="5">
        <v>20411454</v>
      </c>
      <c r="E57" s="5" t="s">
        <v>347</v>
      </c>
      <c r="F57" s="5" t="s">
        <v>50</v>
      </c>
      <c r="G57" s="6">
        <v>45717</v>
      </c>
      <c r="I57" s="5" t="s">
        <v>51</v>
      </c>
      <c r="J57" s="7">
        <v>175</v>
      </c>
      <c r="L57" s="5" t="s">
        <v>333</v>
      </c>
      <c r="N57" s="5" t="str">
        <f>CONCATENATE(A57,9)</f>
        <v>00023146818K9</v>
      </c>
    </row>
    <row r="58" spans="1:14" x14ac:dyDescent="0.25">
      <c r="A58" s="4" t="s">
        <v>295</v>
      </c>
      <c r="B58" s="5" t="s">
        <v>122</v>
      </c>
      <c r="C58" s="5" t="s">
        <v>46</v>
      </c>
      <c r="D58" s="5">
        <v>20411454</v>
      </c>
      <c r="E58" s="5" t="s">
        <v>347</v>
      </c>
      <c r="F58" s="5" t="s">
        <v>50</v>
      </c>
      <c r="G58" s="6">
        <v>45809</v>
      </c>
      <c r="I58" s="5" t="s">
        <v>51</v>
      </c>
      <c r="J58" s="7">
        <v>175</v>
      </c>
      <c r="L58" s="5" t="s">
        <v>333</v>
      </c>
      <c r="N58" s="5" t="str">
        <f>CONCATENATE(A58,9)</f>
        <v>00023151397K9</v>
      </c>
    </row>
    <row r="59" spans="1:14" x14ac:dyDescent="0.25">
      <c r="A59" s="4" t="s">
        <v>296</v>
      </c>
      <c r="B59" s="5" t="s">
        <v>124</v>
      </c>
      <c r="C59" s="5" t="s">
        <v>46</v>
      </c>
      <c r="D59" s="5">
        <v>20411454</v>
      </c>
      <c r="E59" s="5" t="s">
        <v>347</v>
      </c>
      <c r="F59" s="5" t="s">
        <v>50</v>
      </c>
      <c r="G59" s="6">
        <v>45748</v>
      </c>
      <c r="I59" s="5" t="s">
        <v>51</v>
      </c>
      <c r="J59" s="7">
        <v>175</v>
      </c>
      <c r="L59" s="5" t="s">
        <v>333</v>
      </c>
      <c r="N59" s="5" t="str">
        <f>CONCATENATE(A59,9)</f>
        <v>00023151464K9</v>
      </c>
    </row>
    <row r="60" spans="1:14" x14ac:dyDescent="0.25">
      <c r="A60" s="4" t="s">
        <v>297</v>
      </c>
      <c r="B60" s="5" t="s">
        <v>126</v>
      </c>
      <c r="C60" s="5" t="s">
        <v>46</v>
      </c>
      <c r="D60" s="5">
        <v>20411454</v>
      </c>
      <c r="E60" s="5" t="s">
        <v>347</v>
      </c>
      <c r="F60" s="5" t="s">
        <v>50</v>
      </c>
      <c r="G60" s="6">
        <v>45717</v>
      </c>
      <c r="I60" s="5" t="s">
        <v>51</v>
      </c>
      <c r="J60" s="7">
        <v>175</v>
      </c>
      <c r="L60" s="5" t="s">
        <v>333</v>
      </c>
      <c r="N60" s="5" t="str">
        <f>CONCATENATE(A60,9)</f>
        <v>00023151593K9</v>
      </c>
    </row>
    <row r="61" spans="1:14" x14ac:dyDescent="0.25">
      <c r="A61" s="4" t="s">
        <v>306</v>
      </c>
      <c r="B61" s="5" t="s">
        <v>230</v>
      </c>
      <c r="C61" s="5" t="s">
        <v>46</v>
      </c>
      <c r="D61" s="5">
        <v>20411454</v>
      </c>
      <c r="E61" s="5" t="s">
        <v>347</v>
      </c>
      <c r="F61" s="5" t="s">
        <v>50</v>
      </c>
      <c r="G61" s="6">
        <v>45658</v>
      </c>
      <c r="I61" s="5" t="s">
        <v>51</v>
      </c>
      <c r="J61" s="8">
        <v>-145.25</v>
      </c>
      <c r="L61" s="5" t="s">
        <v>333</v>
      </c>
      <c r="N61" s="5" t="str">
        <f>CONCATENATE(A61,9)</f>
        <v>00015861123KPC9</v>
      </c>
    </row>
    <row r="62" spans="1:14" x14ac:dyDescent="0.25">
      <c r="A62" s="4" t="s">
        <v>308</v>
      </c>
      <c r="B62" s="5" t="s">
        <v>235</v>
      </c>
      <c r="C62" s="5" t="s">
        <v>46</v>
      </c>
      <c r="D62" s="5">
        <v>20411454</v>
      </c>
      <c r="E62" s="5" t="s">
        <v>347</v>
      </c>
      <c r="F62" s="5" t="s">
        <v>50</v>
      </c>
      <c r="G62" s="6">
        <v>45658</v>
      </c>
      <c r="I62" s="5" t="s">
        <v>51</v>
      </c>
      <c r="J62" s="8">
        <v>-145.25</v>
      </c>
      <c r="L62" s="5" t="s">
        <v>333</v>
      </c>
      <c r="N62" s="5" t="str">
        <f>CONCATENATE(A62,9)</f>
        <v>00018688193KOVPC9</v>
      </c>
    </row>
    <row r="63" spans="1:14" x14ac:dyDescent="0.25">
      <c r="A63" s="4" t="s">
        <v>310</v>
      </c>
      <c r="B63" s="5" t="s">
        <v>241</v>
      </c>
      <c r="C63" s="5" t="s">
        <v>46</v>
      </c>
      <c r="D63" s="5">
        <v>20411454</v>
      </c>
      <c r="E63" s="5" t="s">
        <v>347</v>
      </c>
      <c r="F63" s="5" t="s">
        <v>50</v>
      </c>
      <c r="G63" s="6">
        <v>45658</v>
      </c>
      <c r="I63" s="5" t="s">
        <v>51</v>
      </c>
      <c r="J63" s="8">
        <v>-145.25</v>
      </c>
      <c r="L63" s="5" t="s">
        <v>333</v>
      </c>
      <c r="N63" s="5" t="str">
        <f>CONCATENATE(A63,9)</f>
        <v>00019839193KPC9</v>
      </c>
    </row>
    <row r="64" spans="1:14" x14ac:dyDescent="0.25">
      <c r="A64" s="4" t="s">
        <v>277</v>
      </c>
      <c r="B64" s="5" t="s">
        <v>58</v>
      </c>
      <c r="C64" s="5" t="s">
        <v>46</v>
      </c>
      <c r="D64" s="5">
        <v>20411454</v>
      </c>
      <c r="E64" s="5" t="s">
        <v>347</v>
      </c>
      <c r="F64" s="5" t="s">
        <v>59</v>
      </c>
      <c r="G64" s="6">
        <v>45717</v>
      </c>
      <c r="I64" s="5" t="s">
        <v>51</v>
      </c>
      <c r="J64" s="7">
        <v>108</v>
      </c>
      <c r="L64" s="5" t="s">
        <v>333</v>
      </c>
      <c r="N64" s="5" t="str">
        <f>CONCATENATE(A64,9)</f>
        <v>00014158510K9</v>
      </c>
    </row>
    <row r="65" spans="1:14" x14ac:dyDescent="0.25">
      <c r="A65" s="4" t="s">
        <v>307</v>
      </c>
      <c r="B65" s="5" t="s">
        <v>233</v>
      </c>
      <c r="C65" s="5" t="s">
        <v>46</v>
      </c>
      <c r="D65" s="5">
        <v>20411454</v>
      </c>
      <c r="E65" s="5" t="s">
        <v>347</v>
      </c>
      <c r="F65" s="5" t="s">
        <v>59</v>
      </c>
      <c r="G65" s="6">
        <v>45658</v>
      </c>
      <c r="I65" s="5" t="s">
        <v>51</v>
      </c>
      <c r="J65" s="8">
        <v>-89.64</v>
      </c>
      <c r="L65" s="5" t="s">
        <v>333</v>
      </c>
      <c r="N65" s="5" t="str">
        <f>CONCATENATE(A65,9)</f>
        <v>00018040701KPC9</v>
      </c>
    </row>
    <row r="66" spans="1:14" x14ac:dyDescent="0.25">
      <c r="A66" s="4" t="s">
        <v>311</v>
      </c>
      <c r="B66" s="5" t="s">
        <v>243</v>
      </c>
      <c r="C66" s="5" t="s">
        <v>46</v>
      </c>
      <c r="D66" s="5">
        <v>20411454</v>
      </c>
      <c r="E66" s="5" t="s">
        <v>347</v>
      </c>
      <c r="F66" s="5" t="s">
        <v>59</v>
      </c>
      <c r="G66" s="6">
        <v>45658</v>
      </c>
      <c r="I66" s="5" t="s">
        <v>51</v>
      </c>
      <c r="J66" s="8">
        <v>-89.64</v>
      </c>
      <c r="L66" s="5" t="s">
        <v>333</v>
      </c>
      <c r="N66" s="5" t="str">
        <f>CONCATENATE(A66,9)</f>
        <v>00021664199KPC9</v>
      </c>
    </row>
    <row r="67" spans="1:14" x14ac:dyDescent="0.25">
      <c r="A67" s="4" t="s">
        <v>299</v>
      </c>
      <c r="B67" s="5" t="s">
        <v>193</v>
      </c>
      <c r="C67" s="5" t="s">
        <v>194</v>
      </c>
      <c r="D67" s="5">
        <v>20411454</v>
      </c>
      <c r="E67" s="5" t="s">
        <v>347</v>
      </c>
      <c r="F67" s="5" t="s">
        <v>200</v>
      </c>
      <c r="G67" s="6">
        <v>45748</v>
      </c>
      <c r="I67" s="5" t="s">
        <v>51</v>
      </c>
      <c r="J67" s="7">
        <v>175</v>
      </c>
      <c r="L67" s="5" t="s">
        <v>336</v>
      </c>
      <c r="N67" s="5" t="str">
        <f>CONCATENATE(A67,9)</f>
        <v>924420238OV9</v>
      </c>
    </row>
    <row r="68" spans="1:14" x14ac:dyDescent="0.25">
      <c r="A68" s="4" t="s">
        <v>300</v>
      </c>
      <c r="B68" s="5" t="s">
        <v>202</v>
      </c>
      <c r="C68" s="5" t="s">
        <v>102</v>
      </c>
      <c r="D68" s="5">
        <v>20411454</v>
      </c>
      <c r="E68" s="5" t="s">
        <v>347</v>
      </c>
      <c r="F68" s="5" t="s">
        <v>200</v>
      </c>
      <c r="G68" s="6">
        <v>45809</v>
      </c>
      <c r="I68" s="5" t="s">
        <v>51</v>
      </c>
      <c r="J68" s="7">
        <v>175</v>
      </c>
      <c r="L68" s="5" t="s">
        <v>336</v>
      </c>
      <c r="N68" s="5" t="str">
        <f>CONCATENATE(A68,9)</f>
        <v>925390858OV9</v>
      </c>
    </row>
    <row r="69" spans="1:14" x14ac:dyDescent="0.25">
      <c r="A69" s="4" t="s">
        <v>301</v>
      </c>
      <c r="B69" s="5" t="s">
        <v>206</v>
      </c>
      <c r="C69" s="5" t="s">
        <v>102</v>
      </c>
      <c r="D69" s="5">
        <v>20411454</v>
      </c>
      <c r="E69" s="5" t="s">
        <v>347</v>
      </c>
      <c r="F69" s="5" t="s">
        <v>200</v>
      </c>
      <c r="G69" s="6">
        <v>45717</v>
      </c>
      <c r="I69" s="5" t="s">
        <v>51</v>
      </c>
      <c r="J69" s="7">
        <v>175</v>
      </c>
      <c r="L69" s="5" t="s">
        <v>336</v>
      </c>
      <c r="N69" s="5" t="str">
        <f>CONCATENATE(A69,9)</f>
        <v>940795330OV9</v>
      </c>
    </row>
    <row r="70" spans="1:14" x14ac:dyDescent="0.25">
      <c r="A70" s="4" t="s">
        <v>303</v>
      </c>
      <c r="B70" s="5" t="s">
        <v>217</v>
      </c>
      <c r="C70" s="5" t="s">
        <v>102</v>
      </c>
      <c r="D70" s="5">
        <v>20411454</v>
      </c>
      <c r="E70" s="5" t="s">
        <v>347</v>
      </c>
      <c r="F70" s="5" t="s">
        <v>200</v>
      </c>
      <c r="G70" s="6">
        <v>45717</v>
      </c>
      <c r="I70" s="5" t="s">
        <v>51</v>
      </c>
      <c r="J70" s="7">
        <v>175</v>
      </c>
      <c r="L70" s="5" t="s">
        <v>336</v>
      </c>
      <c r="N70" s="5" t="str">
        <f>CONCATENATE(A70,9)</f>
        <v>960245270OV9</v>
      </c>
    </row>
    <row r="71" spans="1:14" x14ac:dyDescent="0.25">
      <c r="A71" s="4" t="s">
        <v>304</v>
      </c>
      <c r="B71" s="5" t="s">
        <v>219</v>
      </c>
      <c r="C71" s="5" t="s">
        <v>102</v>
      </c>
      <c r="D71" s="5">
        <v>20411454</v>
      </c>
      <c r="E71" s="5" t="s">
        <v>347</v>
      </c>
      <c r="F71" s="5" t="s">
        <v>200</v>
      </c>
      <c r="G71" s="6">
        <v>45717</v>
      </c>
      <c r="I71" s="5" t="s">
        <v>51</v>
      </c>
      <c r="J71" s="7">
        <v>175</v>
      </c>
      <c r="L71" s="5" t="s">
        <v>336</v>
      </c>
      <c r="N71" s="5" t="str">
        <f>CONCATENATE(A71,9)</f>
        <v>966497714OV9</v>
      </c>
    </row>
    <row r="72" spans="1:14" x14ac:dyDescent="0.25">
      <c r="A72" s="4" t="s">
        <v>317</v>
      </c>
      <c r="B72" s="5" t="s">
        <v>211</v>
      </c>
      <c r="C72" s="5" t="s">
        <v>102</v>
      </c>
      <c r="D72" s="5">
        <v>20411454</v>
      </c>
      <c r="E72" s="5" t="s">
        <v>347</v>
      </c>
      <c r="F72" s="5" t="s">
        <v>200</v>
      </c>
      <c r="G72" s="6">
        <v>45658</v>
      </c>
      <c r="I72" s="5" t="s">
        <v>51</v>
      </c>
      <c r="J72" s="8">
        <v>-175</v>
      </c>
      <c r="L72" s="5" t="s">
        <v>336</v>
      </c>
      <c r="N72" s="5" t="str">
        <f>CONCATENATE(A72,9)</f>
        <v>957421267OVCB9</v>
      </c>
    </row>
    <row r="73" spans="1:14" x14ac:dyDescent="0.25">
      <c r="A73" s="4" t="s">
        <v>319</v>
      </c>
      <c r="B73" s="5" t="s">
        <v>253</v>
      </c>
      <c r="C73" s="5" t="s">
        <v>159</v>
      </c>
      <c r="D73" s="5">
        <v>20411454</v>
      </c>
      <c r="E73" s="5" t="s">
        <v>347</v>
      </c>
      <c r="F73" s="5" t="s">
        <v>200</v>
      </c>
      <c r="G73" s="6">
        <v>45658</v>
      </c>
      <c r="I73" s="5" t="s">
        <v>51</v>
      </c>
      <c r="J73" s="8">
        <v>-175</v>
      </c>
      <c r="L73" s="5" t="s">
        <v>336</v>
      </c>
      <c r="N73" s="5" t="str">
        <f>CONCATENATE(A73,9)</f>
        <v>957988057OVCB9</v>
      </c>
    </row>
    <row r="74" spans="1:14" x14ac:dyDescent="0.25">
      <c r="A74" s="4" t="s">
        <v>321</v>
      </c>
      <c r="B74" s="5" t="s">
        <v>259</v>
      </c>
      <c r="C74" s="5" t="s">
        <v>260</v>
      </c>
      <c r="D74" s="5">
        <v>20411454</v>
      </c>
      <c r="E74" s="5" t="s">
        <v>347</v>
      </c>
      <c r="F74" s="5" t="s">
        <v>200</v>
      </c>
      <c r="G74" s="6">
        <v>45689</v>
      </c>
      <c r="I74" s="5" t="s">
        <v>51</v>
      </c>
      <c r="J74" s="8">
        <v>-159.4</v>
      </c>
      <c r="L74" s="5" t="s">
        <v>336</v>
      </c>
      <c r="N74" s="5" t="str">
        <f>CONCATENATE(A74,9)</f>
        <v>970877095OVPC9</v>
      </c>
    </row>
    <row r="75" spans="1:14" x14ac:dyDescent="0.25">
      <c r="A75" s="4" t="s">
        <v>330</v>
      </c>
      <c r="B75" s="5" t="s">
        <v>273</v>
      </c>
      <c r="C75" s="5" t="s">
        <v>102</v>
      </c>
      <c r="D75" s="5">
        <v>20411454</v>
      </c>
      <c r="E75" s="5" t="s">
        <v>347</v>
      </c>
      <c r="F75" s="5" t="s">
        <v>200</v>
      </c>
      <c r="G75" s="6">
        <v>45658</v>
      </c>
      <c r="I75" s="5" t="s">
        <v>51</v>
      </c>
      <c r="J75" s="8">
        <v>-175</v>
      </c>
      <c r="L75" s="5" t="s">
        <v>336</v>
      </c>
      <c r="N75" s="5" t="str">
        <f>CONCATENATE(A75,9)</f>
        <v>995656731OVCB9</v>
      </c>
    </row>
    <row r="76" spans="1:14" x14ac:dyDescent="0.25">
      <c r="A76" s="4" t="s">
        <v>302</v>
      </c>
      <c r="B76" s="5" t="s">
        <v>211</v>
      </c>
      <c r="C76" s="5" t="s">
        <v>102</v>
      </c>
      <c r="D76" s="5">
        <v>20411454</v>
      </c>
      <c r="E76" s="5" t="s">
        <v>347</v>
      </c>
      <c r="F76" s="5" t="s">
        <v>213</v>
      </c>
      <c r="G76" s="6">
        <v>45748</v>
      </c>
      <c r="I76" s="5" t="s">
        <v>51</v>
      </c>
      <c r="J76" s="7">
        <v>54</v>
      </c>
      <c r="K76" s="5" t="s">
        <v>198</v>
      </c>
      <c r="L76" s="5" t="s">
        <v>336</v>
      </c>
      <c r="N76" s="5" t="str">
        <f>CONCATENATE(A76,9)</f>
        <v>957421267OV9</v>
      </c>
    </row>
    <row r="77" spans="1:14" x14ac:dyDescent="0.25">
      <c r="A77" s="4" t="s">
        <v>305</v>
      </c>
      <c r="B77" s="5" t="s">
        <v>226</v>
      </c>
      <c r="C77" s="5" t="s">
        <v>102</v>
      </c>
      <c r="D77" s="5">
        <v>20411454</v>
      </c>
      <c r="E77" s="5" t="s">
        <v>347</v>
      </c>
      <c r="F77" s="5" t="s">
        <v>213</v>
      </c>
      <c r="G77" s="6">
        <v>45717</v>
      </c>
      <c r="I77" s="5" t="s">
        <v>51</v>
      </c>
      <c r="J77" s="7">
        <v>60</v>
      </c>
      <c r="K77" s="5" t="s">
        <v>131</v>
      </c>
      <c r="L77" s="5" t="s">
        <v>336</v>
      </c>
      <c r="N77" s="5" t="str">
        <f>CONCATENATE(A77,9)</f>
        <v>977962097OV9</v>
      </c>
    </row>
    <row r="78" spans="1:14" x14ac:dyDescent="0.25">
      <c r="A78" s="4" t="s">
        <v>325</v>
      </c>
      <c r="B78" s="5" t="s">
        <v>226</v>
      </c>
      <c r="C78" s="5" t="s">
        <v>102</v>
      </c>
      <c r="D78" s="5">
        <v>20411454</v>
      </c>
      <c r="E78" s="5" t="s">
        <v>347</v>
      </c>
      <c r="F78" s="5" t="s">
        <v>213</v>
      </c>
      <c r="G78" s="6">
        <v>45658</v>
      </c>
      <c r="I78" s="5" t="s">
        <v>51</v>
      </c>
      <c r="J78" s="8">
        <v>-72</v>
      </c>
      <c r="L78" s="5" t="s">
        <v>336</v>
      </c>
      <c r="N78" s="5" t="str">
        <f>CONCATENATE(A78,9)</f>
        <v>977962097OVCB9</v>
      </c>
    </row>
    <row r="79" spans="1:14" x14ac:dyDescent="0.25">
      <c r="A79" s="4" t="s">
        <v>327</v>
      </c>
      <c r="B79" s="5" t="s">
        <v>268</v>
      </c>
      <c r="C79" s="5" t="s">
        <v>165</v>
      </c>
      <c r="D79" s="5">
        <v>20411454</v>
      </c>
      <c r="E79" s="5" t="s">
        <v>347</v>
      </c>
      <c r="F79" s="5" t="s">
        <v>213</v>
      </c>
      <c r="G79" s="6">
        <v>45658</v>
      </c>
      <c r="I79" s="5" t="s">
        <v>51</v>
      </c>
      <c r="J79" s="8">
        <v>-72</v>
      </c>
      <c r="L79" s="5" t="s">
        <v>336</v>
      </c>
      <c r="N79" s="5" t="str">
        <f>CONCATENATE(A79,9)</f>
        <v>983805466OVCB9</v>
      </c>
    </row>
    <row r="80" spans="1:14" x14ac:dyDescent="0.25">
      <c r="A80" s="4" t="s">
        <v>309</v>
      </c>
      <c r="B80" s="5" t="s">
        <v>235</v>
      </c>
      <c r="C80" s="5" t="s">
        <v>46</v>
      </c>
      <c r="D80" s="5">
        <v>1706194</v>
      </c>
      <c r="E80" s="5" t="s">
        <v>237</v>
      </c>
      <c r="F80" s="5" t="s">
        <v>239</v>
      </c>
      <c r="G80" s="6">
        <v>45658</v>
      </c>
      <c r="I80" s="5" t="s">
        <v>51</v>
      </c>
      <c r="J80" s="8">
        <v>-260.83</v>
      </c>
      <c r="L80" s="5" t="s">
        <v>334</v>
      </c>
      <c r="N80" s="5" t="str">
        <f>CONCATENATE(A80,99)</f>
        <v>00018688193KPC99</v>
      </c>
    </row>
    <row r="81" spans="1:14" x14ac:dyDescent="0.25">
      <c r="A81" s="4">
        <v>132358274</v>
      </c>
      <c r="B81" s="5" t="s">
        <v>178</v>
      </c>
      <c r="C81" s="5" t="s">
        <v>179</v>
      </c>
      <c r="D81" s="5">
        <v>19200754</v>
      </c>
      <c r="E81" s="5" t="s">
        <v>148</v>
      </c>
      <c r="F81" s="5" t="s">
        <v>180</v>
      </c>
      <c r="G81" s="6">
        <v>45689</v>
      </c>
      <c r="I81" s="5" t="s">
        <v>51</v>
      </c>
      <c r="J81" s="7">
        <v>573.83000000000004</v>
      </c>
      <c r="K81" s="5" t="s">
        <v>181</v>
      </c>
      <c r="L81" s="5" t="s">
        <v>337</v>
      </c>
      <c r="M81" s="9" t="s">
        <v>340</v>
      </c>
      <c r="N81" s="5" t="str">
        <f>CONCATENATE(A81,98)</f>
        <v>13235827498</v>
      </c>
    </row>
    <row r="82" spans="1:14" x14ac:dyDescent="0.25">
      <c r="A82" s="4" t="s">
        <v>313</v>
      </c>
      <c r="B82" s="5" t="s">
        <v>178</v>
      </c>
      <c r="C82" s="5" t="s">
        <v>179</v>
      </c>
      <c r="D82" s="5">
        <v>19200754</v>
      </c>
      <c r="E82" s="5" t="s">
        <v>148</v>
      </c>
      <c r="F82" s="5" t="s">
        <v>197</v>
      </c>
      <c r="G82" s="6">
        <v>45689</v>
      </c>
      <c r="I82" s="5" t="s">
        <v>51</v>
      </c>
      <c r="J82" s="8">
        <v>-286.92</v>
      </c>
      <c r="L82" s="5" t="s">
        <v>343</v>
      </c>
      <c r="M82" s="9" t="s">
        <v>346</v>
      </c>
      <c r="N82" s="5" t="str">
        <f>CONCATENATE(A82,99)</f>
        <v>132358274CB99</v>
      </c>
    </row>
  </sheetData>
  <sortState xmlns:xlrd2="http://schemas.microsoft.com/office/spreadsheetml/2017/richdata2" ref="A2:AL82">
    <sortCondition ref="E2:E8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2025-03-12T18:32:42Z</dcterms:created>
  <dcterms:modified xsi:type="dcterms:W3CDTF">2025-03-12T20:13:17Z</dcterms:modified>
</cp:coreProperties>
</file>