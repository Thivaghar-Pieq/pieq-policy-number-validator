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2-24-25\"/>
    </mc:Choice>
  </mc:AlternateContent>
  <xr:revisionPtr revIDLastSave="0" documentId="13_ncr:1_{ECF170C7-415B-4547-A614-8AA6F2F50F5C}" xr6:coauthVersionLast="47" xr6:coauthVersionMax="47" xr10:uidLastSave="{00000000-0000-0000-0000-000000000000}"/>
  <bookViews>
    <workbookView xWindow="28680" yWindow="-120" windowWidth="29040" windowHeight="16440" activeTab="2" xr2:uid="{241FAA35-55EA-4C92-A17D-A1E820648D25}"/>
  </bookViews>
  <sheets>
    <sheet name="New Business Agent Statement - " sheetId="1" r:id="rId1"/>
    <sheet name="Sheet1" sheetId="2" r:id="rId2"/>
    <sheet name="onhold" sheetId="3" r:id="rId3"/>
  </sheets>
  <calcPr calcId="181029"/>
</workbook>
</file>

<file path=xl/calcChain.xml><?xml version="1.0" encoding="utf-8"?>
<calcChain xmlns="http://schemas.openxmlformats.org/spreadsheetml/2006/main">
  <c r="M5" i="3" l="1"/>
  <c r="M4" i="3"/>
  <c r="M3" i="3"/>
  <c r="M2" i="3"/>
  <c r="P11" i="3"/>
  <c r="I14" i="3"/>
  <c r="N11" i="3"/>
  <c r="O11" i="3" s="1"/>
  <c r="M11" i="3"/>
  <c r="M10" i="3"/>
  <c r="N10" i="3" s="1"/>
  <c r="O10" i="3" s="1"/>
  <c r="P10" i="3" s="1"/>
  <c r="M9" i="3"/>
  <c r="N9" i="3" s="1"/>
  <c r="O9" i="3" s="1"/>
  <c r="P9" i="3" s="1"/>
  <c r="M8" i="3"/>
  <c r="N8" i="3" s="1"/>
  <c r="O8" i="3" s="1"/>
  <c r="P8" i="3" s="1"/>
  <c r="B209" i="2"/>
  <c r="B208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213" i="2"/>
  <c r="B212" i="2"/>
  <c r="B214" i="2"/>
  <c r="B211" i="2"/>
  <c r="B210" i="2"/>
  <c r="B207" i="2"/>
  <c r="B206" i="2"/>
  <c r="B205" i="2"/>
</calcChain>
</file>

<file path=xl/sharedStrings.xml><?xml version="1.0" encoding="utf-8"?>
<sst xmlns="http://schemas.openxmlformats.org/spreadsheetml/2006/main" count="4521" uniqueCount="751">
  <si>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</si>
  <si>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</si>
  <si>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</si>
  <si>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</si>
  <si>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</si>
  <si>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</si>
  <si>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</si>
  <si>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</si>
  <si>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</si>
  <si>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</si>
  <si>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</si>
  <si>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</si>
  <si>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</si>
  <si>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</si>
  <si>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</si>
  <si>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</si>
  <si>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</si>
  <si>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</si>
  <si>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</si>
  <si>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</si>
  <si>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</si>
  <si>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</si>
  <si>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</si>
  <si>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</si>
  <si>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</si>
  <si>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</si>
  <si>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</si>
  <si>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</si>
  <si>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</si>
  <si>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</si>
  <si>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</si>
  <si>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</si>
  <si>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</si>
  <si>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</si>
  <si>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</si>
  <si>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</si>
  <si>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</si>
  <si>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</si>
  <si>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</si>
  <si>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</si>
  <si>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</si>
  <si>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</si>
  <si>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</si>
  <si>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</si>
  <si>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'00001732672K</t>
  </si>
  <si>
    <t>STEPHEN LEE</t>
  </si>
  <si>
    <t>OK</t>
  </si>
  <si>
    <t>'043713</t>
  </si>
  <si>
    <t>JOEL LEE</t>
  </si>
  <si>
    <t>ACTIVE</t>
  </si>
  <si>
    <t>Humana MA 2019+ Level 15- 175/108</t>
  </si>
  <si>
    <t>Monthly</t>
  </si>
  <si>
    <t>AV</t>
  </si>
  <si>
    <t>'00003127959K</t>
  </si>
  <si>
    <t>STEVEN BABB</t>
  </si>
  <si>
    <t>FL</t>
  </si>
  <si>
    <t>'043813</t>
  </si>
  <si>
    <t>VICTOR FUENTES</t>
  </si>
  <si>
    <t>'00006672647K</t>
  </si>
  <si>
    <t>JAMICA PHILIP</t>
  </si>
  <si>
    <t>LA</t>
  </si>
  <si>
    <t>'045638</t>
  </si>
  <si>
    <t>RICHARD YALE</t>
  </si>
  <si>
    <t>'00008156980K</t>
  </si>
  <si>
    <t>NASREEN KHAN</t>
  </si>
  <si>
    <t>IL</t>
  </si>
  <si>
    <t>'043618</t>
  </si>
  <si>
    <t>SAADIA ABDUL</t>
  </si>
  <si>
    <t>Humana MA 2019+ Level 15- 175/108 Repl 2024</t>
  </si>
  <si>
    <t>'00009983467K</t>
  </si>
  <si>
    <t>PHILIP SCILABRA</t>
  </si>
  <si>
    <t>'045772</t>
  </si>
  <si>
    <t>JASON ROLLER</t>
  </si>
  <si>
    <t>'00011005827K</t>
  </si>
  <si>
    <t>SHEILA ELDRIDGE</t>
  </si>
  <si>
    <t>WA</t>
  </si>
  <si>
    <t>'045591</t>
  </si>
  <si>
    <t>CHRISTOPHER BROUSSEAU</t>
  </si>
  <si>
    <t>'00012091926K</t>
  </si>
  <si>
    <t>SHIRLEY GAGE</t>
  </si>
  <si>
    <t>'043638</t>
  </si>
  <si>
    <t>THOMAS PARDUE</t>
  </si>
  <si>
    <t>'00013779032K</t>
  </si>
  <si>
    <t>STEPHEN MILONE</t>
  </si>
  <si>
    <t>'045618</t>
  </si>
  <si>
    <t>STEPHANIE DRAPAC</t>
  </si>
  <si>
    <t>'00016070689K</t>
  </si>
  <si>
    <t>SYTHON KOULABOUTH</t>
  </si>
  <si>
    <t>'043625</t>
  </si>
  <si>
    <t>PATSAMON THANADABOUTH</t>
  </si>
  <si>
    <t>'00017702807K</t>
  </si>
  <si>
    <t>BETTY MCGOWAN</t>
  </si>
  <si>
    <t>'043633</t>
  </si>
  <si>
    <t>RICHARD WUENSCH</t>
  </si>
  <si>
    <t>'00018326862K</t>
  </si>
  <si>
    <t>BRUCE MCGOWAN</t>
  </si>
  <si>
    <t>'00018387547K</t>
  </si>
  <si>
    <t>SHEILA KOTECKI</t>
  </si>
  <si>
    <t>'045612</t>
  </si>
  <si>
    <t>ANTHONY HUNSBERGER</t>
  </si>
  <si>
    <t>'00018515422K</t>
  </si>
  <si>
    <t>KILE WILLIAMS</t>
  </si>
  <si>
    <t>'045421</t>
  </si>
  <si>
    <t>MATTHEW SHERMAN</t>
  </si>
  <si>
    <t>'00018818639K</t>
  </si>
  <si>
    <t>AARON FERNANDO</t>
  </si>
  <si>
    <t>'045613</t>
  </si>
  <si>
    <t>RICARDO SANTOS</t>
  </si>
  <si>
    <t>'00019277055K</t>
  </si>
  <si>
    <t>SHARON REED</t>
  </si>
  <si>
    <t>'045622</t>
  </si>
  <si>
    <t>JACOB YALE</t>
  </si>
  <si>
    <t>'00019368907K</t>
  </si>
  <si>
    <t>K CRAIG</t>
  </si>
  <si>
    <t>'045605</t>
  </si>
  <si>
    <t>GARY PORTUGAL</t>
  </si>
  <si>
    <t>'00019577700K</t>
  </si>
  <si>
    <t>SANDRA KOEHLER</t>
  </si>
  <si>
    <t>'00019902108K</t>
  </si>
  <si>
    <t>NICHOLAS CARRASCO</t>
  </si>
  <si>
    <t>'00019960682K</t>
  </si>
  <si>
    <t>MARY MCPARTLAN</t>
  </si>
  <si>
    <t>'00020375572K</t>
  </si>
  <si>
    <t>RICHARD HOBBS</t>
  </si>
  <si>
    <t>GA</t>
  </si>
  <si>
    <t>'045885</t>
  </si>
  <si>
    <t>CHAD BENDER</t>
  </si>
  <si>
    <t>'00021024359K</t>
  </si>
  <si>
    <t>GAIL DOW</t>
  </si>
  <si>
    <t>MI</t>
  </si>
  <si>
    <t>'043718</t>
  </si>
  <si>
    <t>CHAD YALE</t>
  </si>
  <si>
    <t>'00021511325K</t>
  </si>
  <si>
    <t>GLORIA BEGAY</t>
  </si>
  <si>
    <t>NM</t>
  </si>
  <si>
    <t>'00022085971KA</t>
  </si>
  <si>
    <t>SUSAN MADETE</t>
  </si>
  <si>
    <t>Active</t>
  </si>
  <si>
    <t>'00022094990KA</t>
  </si>
  <si>
    <t>HENRY ASEGA</t>
  </si>
  <si>
    <t>'00023134452K</t>
  </si>
  <si>
    <t>ASHFAQ HUSSAIN</t>
  </si>
  <si>
    <t>'00023161319K</t>
  </si>
  <si>
    <t>PATRICIA CHILDRESS</t>
  </si>
  <si>
    <t>'00023281587K</t>
  </si>
  <si>
    <t>MARCELLA SUERO</t>
  </si>
  <si>
    <t>'00023306985K</t>
  </si>
  <si>
    <t>SHELLY CHRISTIAN</t>
  </si>
  <si>
    <t>IN</t>
  </si>
  <si>
    <t>'045967</t>
  </si>
  <si>
    <t>DANNA GREEN</t>
  </si>
  <si>
    <t>'00023621536K</t>
  </si>
  <si>
    <t>JOHN MENDENHALL</t>
  </si>
  <si>
    <t>'045601</t>
  </si>
  <si>
    <t>CAROL FOLEY</t>
  </si>
  <si>
    <t>'00023623857K</t>
  </si>
  <si>
    <t>TRINA DENNIS</t>
  </si>
  <si>
    <t>'046024</t>
  </si>
  <si>
    <t>LATESHA (TC) ROSE</t>
  </si>
  <si>
    <t>'00023757618K</t>
  </si>
  <si>
    <t>GEORGE POLASKI</t>
  </si>
  <si>
    <t>'043725</t>
  </si>
  <si>
    <t>MICHAEL SEMPREVIVO</t>
  </si>
  <si>
    <t>'00023758280K</t>
  </si>
  <si>
    <t>MICHAEL KATZ</t>
  </si>
  <si>
    <t>'00024267849K</t>
  </si>
  <si>
    <t>LOU ANDREWS</t>
  </si>
  <si>
    <t>'00024344065K</t>
  </si>
  <si>
    <t>NATHANIEL JOHNSON</t>
  </si>
  <si>
    <t>'045966</t>
  </si>
  <si>
    <t>ANTONIA NEVAREZ</t>
  </si>
  <si>
    <t>'00024672069K</t>
  </si>
  <si>
    <t>NEMR AOUN</t>
  </si>
  <si>
    <t>'00025284991K</t>
  </si>
  <si>
    <t>ANTHONY MITCHELL</t>
  </si>
  <si>
    <t>KY</t>
  </si>
  <si>
    <t>'045604</t>
  </si>
  <si>
    <t>JEFFREY HORN</t>
  </si>
  <si>
    <t>'00025745430K</t>
  </si>
  <si>
    <t>ELIZABETH TESCHNER</t>
  </si>
  <si>
    <t>'043637</t>
  </si>
  <si>
    <t>CHRISTIAN TAUGNER</t>
  </si>
  <si>
    <t>'00025746940K</t>
  </si>
  <si>
    <t>RAMON TEJEDA</t>
  </si>
  <si>
    <t>'00025749801K</t>
  </si>
  <si>
    <t>PAUL BLUCHER</t>
  </si>
  <si>
    <t>OH</t>
  </si>
  <si>
    <t>'045684</t>
  </si>
  <si>
    <t>JILL SHEPARD</t>
  </si>
  <si>
    <t>'00025750006K</t>
  </si>
  <si>
    <t>LAVAL DIXON</t>
  </si>
  <si>
    <t>WI</t>
  </si>
  <si>
    <t>'043969</t>
  </si>
  <si>
    <t>STACEY PORTUGAL</t>
  </si>
  <si>
    <t>'00025750039K</t>
  </si>
  <si>
    <t>KENNETH WEITZMAN</t>
  </si>
  <si>
    <t>'046124</t>
  </si>
  <si>
    <t>'00025757852K</t>
  </si>
  <si>
    <t>PAUL SMITHEY</t>
  </si>
  <si>
    <t>'00025760366K</t>
  </si>
  <si>
    <t>LUCIO ROCHA VEGA</t>
  </si>
  <si>
    <t>'045709</t>
  </si>
  <si>
    <t>ESTHER HERRERA-LARSEN</t>
  </si>
  <si>
    <t>'00025761648K</t>
  </si>
  <si>
    <t>CAROL UNTISZ</t>
  </si>
  <si>
    <t>'00025761939K</t>
  </si>
  <si>
    <t>JIMMY LAWRENCE</t>
  </si>
  <si>
    <t>TX</t>
  </si>
  <si>
    <t>'00025761946K</t>
  </si>
  <si>
    <t>DEBORAH MURRAY</t>
  </si>
  <si>
    <t>'00025761952K</t>
  </si>
  <si>
    <t>THERESA CRAWLEY</t>
  </si>
  <si>
    <t>AZ</t>
  </si>
  <si>
    <t>'00025764116K</t>
  </si>
  <si>
    <t>GLENN HARRIS</t>
  </si>
  <si>
    <t>'00025765398K</t>
  </si>
  <si>
    <t>ROBERT BRADBURY</t>
  </si>
  <si>
    <t>'00025765520K</t>
  </si>
  <si>
    <t>KAREN VERBA</t>
  </si>
  <si>
    <t>'00025769060K</t>
  </si>
  <si>
    <t>BEULAH HOWARD</t>
  </si>
  <si>
    <t>'00025772709K</t>
  </si>
  <si>
    <t>DARRYL ROCKFIELD</t>
  </si>
  <si>
    <t>'00025779716K</t>
  </si>
  <si>
    <t>JOANNE MEYERS</t>
  </si>
  <si>
    <t>'045639</t>
  </si>
  <si>
    <t>STEVEN WERNER</t>
  </si>
  <si>
    <t>'00025779792K</t>
  </si>
  <si>
    <t>ROBERT BAUER</t>
  </si>
  <si>
    <t>'043714</t>
  </si>
  <si>
    <t>BRIAN STROHMAN</t>
  </si>
  <si>
    <t>'00025780645K</t>
  </si>
  <si>
    <t>PAUL HUBER</t>
  </si>
  <si>
    <t>'00025798284K</t>
  </si>
  <si>
    <t>SARA BENSON</t>
  </si>
  <si>
    <t>'045611</t>
  </si>
  <si>
    <t>FRANK LISKOVEC</t>
  </si>
  <si>
    <t>'00025798515K</t>
  </si>
  <si>
    <t>DIANA URICK</t>
  </si>
  <si>
    <t>MD</t>
  </si>
  <si>
    <t>'046026</t>
  </si>
  <si>
    <t>JARED KINYUA</t>
  </si>
  <si>
    <t>'00025798597K</t>
  </si>
  <si>
    <t>ARTHUR FRANKE</t>
  </si>
  <si>
    <t>'043682</t>
  </si>
  <si>
    <t>GREGORY TEIPEL</t>
  </si>
  <si>
    <t>'00025801213K</t>
  </si>
  <si>
    <t>PATRICIA JASZCZAK</t>
  </si>
  <si>
    <t>'00025802354K</t>
  </si>
  <si>
    <t>LOIS OLIVER</t>
  </si>
  <si>
    <t>DE</t>
  </si>
  <si>
    <t>'045904</t>
  </si>
  <si>
    <t>BRITTANY OLIVER</t>
  </si>
  <si>
    <t>'00025802859K</t>
  </si>
  <si>
    <t>SUSAN CORDES</t>
  </si>
  <si>
    <t>'00025803364K</t>
  </si>
  <si>
    <t>LOMALINDA VALERIO</t>
  </si>
  <si>
    <t>'047621</t>
  </si>
  <si>
    <t>TOM SERIO</t>
  </si>
  <si>
    <t>'000W24385</t>
  </si>
  <si>
    <t>DANNY VORIS</t>
  </si>
  <si>
    <t>'045937</t>
  </si>
  <si>
    <t>MARSHA SANDEROCK</t>
  </si>
  <si>
    <t>Anthem BCBS Med Supp Percentage 2025</t>
  </si>
  <si>
    <t>'101065029200</t>
  </si>
  <si>
    <t>DENISE CORBETT</t>
  </si>
  <si>
    <t>'043611</t>
  </si>
  <si>
    <t>TIMOTHY POWERS</t>
  </si>
  <si>
    <t>Aetna MAPD NMO to MMO - 2025+ New E-App</t>
  </si>
  <si>
    <t>'101094473100</t>
  </si>
  <si>
    <t>ROBERT CORBETT</t>
  </si>
  <si>
    <t>'101115668000</t>
  </si>
  <si>
    <t>LOIS GORFIDO</t>
  </si>
  <si>
    <t>'101238392400</t>
  </si>
  <si>
    <t>MICHAEL WALLACE</t>
  </si>
  <si>
    <t>CO</t>
  </si>
  <si>
    <t>'101463128100</t>
  </si>
  <si>
    <t>JAMES DAVIS</t>
  </si>
  <si>
    <t>'043832</t>
  </si>
  <si>
    <t>CAROL FRITZ</t>
  </si>
  <si>
    <t>'101464484200</t>
  </si>
  <si>
    <t>VICKY SOULES</t>
  </si>
  <si>
    <t>'101467049000</t>
  </si>
  <si>
    <t>POMONA PETERSEN</t>
  </si>
  <si>
    <t>NA</t>
  </si>
  <si>
    <t>'101494169600</t>
  </si>
  <si>
    <t>LELIA MARKLE</t>
  </si>
  <si>
    <t>'101500691700</t>
  </si>
  <si>
    <t>JOSEPH GUSTAFSON</t>
  </si>
  <si>
    <t>'101530995100</t>
  </si>
  <si>
    <t>KATHRYN WADE</t>
  </si>
  <si>
    <t>'101545610900</t>
  </si>
  <si>
    <t>PAMELA SCHULLER</t>
  </si>
  <si>
    <t>'101618621700</t>
  </si>
  <si>
    <t>LORIE SMITH</t>
  </si>
  <si>
    <t>'101696157100</t>
  </si>
  <si>
    <t>VICTORIA LALONDE</t>
  </si>
  <si>
    <t>'101702480300</t>
  </si>
  <si>
    <t>HAYDEN POLLOCK</t>
  </si>
  <si>
    <t>'101718422000</t>
  </si>
  <si>
    <t>ELVIA TORRES</t>
  </si>
  <si>
    <t>'043589</t>
  </si>
  <si>
    <t>JOSE TORRES</t>
  </si>
  <si>
    <t>'101794788300</t>
  </si>
  <si>
    <t>SHIRLEY STEIGHNER</t>
  </si>
  <si>
    <t>'101816009400</t>
  </si>
  <si>
    <t>BERNADETTE RAMSEY</t>
  </si>
  <si>
    <t>'101836469800</t>
  </si>
  <si>
    <t>DAWNA CRESS</t>
  </si>
  <si>
    <t>'101918291100</t>
  </si>
  <si>
    <t>GINA LAPINSKAS</t>
  </si>
  <si>
    <t>'101951418100</t>
  </si>
  <si>
    <t>CARSON HAYNES</t>
  </si>
  <si>
    <t>'102006320700</t>
  </si>
  <si>
    <t>CHARLENE MCCOY</t>
  </si>
  <si>
    <t>'102051237700</t>
  </si>
  <si>
    <t>KRISTY RICHARD</t>
  </si>
  <si>
    <t>'045896</t>
  </si>
  <si>
    <t>LENSIE GONZALEZ</t>
  </si>
  <si>
    <t>'102074151600</t>
  </si>
  <si>
    <t>SHEILA CHRISTIAN</t>
  </si>
  <si>
    <t>'043644</t>
  </si>
  <si>
    <t>TIMOTHY HODGMAN</t>
  </si>
  <si>
    <t>'102104604100A</t>
  </si>
  <si>
    <t>ALISON SPARKS</t>
  </si>
  <si>
    <t>'102111243000</t>
  </si>
  <si>
    <t>ALAN SPARKS</t>
  </si>
  <si>
    <t>'102148379700</t>
  </si>
  <si>
    <t>PAMELA FREGOSO</t>
  </si>
  <si>
    <t>'102155200900</t>
  </si>
  <si>
    <t>FRANK MERKENDORFER</t>
  </si>
  <si>
    <t>'045632</t>
  </si>
  <si>
    <t>BARRY SCHUMANN</t>
  </si>
  <si>
    <t>'102170865500</t>
  </si>
  <si>
    <t>KEVIN CALLOZZO</t>
  </si>
  <si>
    <t>'102200769600</t>
  </si>
  <si>
    <t>MELANIA DOCTORIAN</t>
  </si>
  <si>
    <t>'045607</t>
  </si>
  <si>
    <t>PAMELA DEATON</t>
  </si>
  <si>
    <t>'102214734600</t>
  </si>
  <si>
    <t>BEVERLY PALMATIER</t>
  </si>
  <si>
    <t>'102231089300</t>
  </si>
  <si>
    <t>FRANKLIN BYERS</t>
  </si>
  <si>
    <t>'102231125100</t>
  </si>
  <si>
    <t>BRENDA NAYDIHOR</t>
  </si>
  <si>
    <t>'102231217200</t>
  </si>
  <si>
    <t>JANA GRAHAM</t>
  </si>
  <si>
    <t>'102231428800</t>
  </si>
  <si>
    <t>CENOVIO CHAVEZ FARIAS</t>
  </si>
  <si>
    <t>'102231593500</t>
  </si>
  <si>
    <t>KENNETH KRAWIEC</t>
  </si>
  <si>
    <t>'045603</t>
  </si>
  <si>
    <t>ANDREW CHOI</t>
  </si>
  <si>
    <t>'102231622600</t>
  </si>
  <si>
    <t>JEFFREY PURCELL</t>
  </si>
  <si>
    <t>'102231637700</t>
  </si>
  <si>
    <t>NANCY KRAWIEC</t>
  </si>
  <si>
    <t>'102231657900</t>
  </si>
  <si>
    <t>LAWRENCE LANG</t>
  </si>
  <si>
    <t>'102231667500</t>
  </si>
  <si>
    <t>MELVIN PRITTS</t>
  </si>
  <si>
    <t>'102231991000</t>
  </si>
  <si>
    <t>LEE GOUTY</t>
  </si>
  <si>
    <t>'045637</t>
  </si>
  <si>
    <t>ALISON LUSE</t>
  </si>
  <si>
    <t>Aetna MAPD NMO to MMO - 2025+ New Paper</t>
  </si>
  <si>
    <t>'102232071000</t>
  </si>
  <si>
    <t>CAROL GOUTY</t>
  </si>
  <si>
    <t>'102232220500</t>
  </si>
  <si>
    <t>MARIA LATUSZEK</t>
  </si>
  <si>
    <t>Aetna MAPD NMO to MMO - 2025+ Replace E-App</t>
  </si>
  <si>
    <t>1/12 PRORATE</t>
  </si>
  <si>
    <t>'102232294200</t>
  </si>
  <si>
    <t>FRANCESCA LYZUN</t>
  </si>
  <si>
    <t>'045621</t>
  </si>
  <si>
    <t>HEATHER GESKE</t>
  </si>
  <si>
    <t>'102232576500</t>
  </si>
  <si>
    <t>STEVE MERCER</t>
  </si>
  <si>
    <t>'045670</t>
  </si>
  <si>
    <t>STEVEN BRANDT</t>
  </si>
  <si>
    <t>11/12 PRORATE</t>
  </si>
  <si>
    <t>'102232752000</t>
  </si>
  <si>
    <t>MARILYN LARRIMER</t>
  </si>
  <si>
    <t>'043786</t>
  </si>
  <si>
    <t>MARGARET SMITH</t>
  </si>
  <si>
    <t>'102232767500</t>
  </si>
  <si>
    <t>THOMAS LARRIMER</t>
  </si>
  <si>
    <t>'102232794000</t>
  </si>
  <si>
    <t>MARK GUILL</t>
  </si>
  <si>
    <t>'102233190600</t>
  </si>
  <si>
    <t>GAYLE BOWEN</t>
  </si>
  <si>
    <t>'102233195900</t>
  </si>
  <si>
    <t>KATHLEEN FINNEY</t>
  </si>
  <si>
    <t>'102233253900</t>
  </si>
  <si>
    <t>RICHARD WEATHERLY</t>
  </si>
  <si>
    <t>'102233313600</t>
  </si>
  <si>
    <t>PHETSAMONE CHANTHANALAY</t>
  </si>
  <si>
    <t>'102233316700</t>
  </si>
  <si>
    <t>LINDA BEVERS</t>
  </si>
  <si>
    <t>'102233329100</t>
  </si>
  <si>
    <t>CONNIE BECK</t>
  </si>
  <si>
    <t>'102233332000</t>
  </si>
  <si>
    <t>PHILLIP HERTEL</t>
  </si>
  <si>
    <t>'102233353600</t>
  </si>
  <si>
    <t>KEVIN BAILEY</t>
  </si>
  <si>
    <t>'102233525000</t>
  </si>
  <si>
    <t>RICHARD GARNETT</t>
  </si>
  <si>
    <t>'102233575800</t>
  </si>
  <si>
    <t>JANIE GARNETT</t>
  </si>
  <si>
    <t>'102233930800</t>
  </si>
  <si>
    <t>RITA KAISER</t>
  </si>
  <si>
    <t>'043705</t>
  </si>
  <si>
    <t>MICHAEL DUNAVANT</t>
  </si>
  <si>
    <t>'102233953500</t>
  </si>
  <si>
    <t>ZELDA WILLIAMS</t>
  </si>
  <si>
    <t>'102234194800</t>
  </si>
  <si>
    <t>SUE KIRKMAN</t>
  </si>
  <si>
    <t>'102234248000</t>
  </si>
  <si>
    <t>BILLY BLANDFORD</t>
  </si>
  <si>
    <t>'102234300900</t>
  </si>
  <si>
    <t>CHESTER STARKS</t>
  </si>
  <si>
    <t>'102234670000</t>
  </si>
  <si>
    <t>JOHN TRACY</t>
  </si>
  <si>
    <t>'041686</t>
  </si>
  <si>
    <t>DALE WALENGA</t>
  </si>
  <si>
    <t>'102235397000</t>
  </si>
  <si>
    <t>KWANG SHIM</t>
  </si>
  <si>
    <t>'102235486500</t>
  </si>
  <si>
    <t>LAURI KOMITA</t>
  </si>
  <si>
    <t>'102235515700</t>
  </si>
  <si>
    <t>JANE BOYD</t>
  </si>
  <si>
    <t>'102235565500</t>
  </si>
  <si>
    <t>HAE SHIM</t>
  </si>
  <si>
    <t>'102235583800</t>
  </si>
  <si>
    <t>LYNN GORDON</t>
  </si>
  <si>
    <t>'102235624100</t>
  </si>
  <si>
    <t>SCOTT KOMITA</t>
  </si>
  <si>
    <t>'102235689500</t>
  </si>
  <si>
    <t>DONNA DEISS</t>
  </si>
  <si>
    <t>'102235813800</t>
  </si>
  <si>
    <t>ANNMARIE BRINK</t>
  </si>
  <si>
    <t>'102235824900</t>
  </si>
  <si>
    <t>HAROLD BROWN</t>
  </si>
  <si>
    <t>'102236010900</t>
  </si>
  <si>
    <t>MATTHEW MALONI</t>
  </si>
  <si>
    <t>'102239000100</t>
  </si>
  <si>
    <t>ELIZABETH MARTIN</t>
  </si>
  <si>
    <t>'102239176200</t>
  </si>
  <si>
    <t>ERWIN SCHRAMM</t>
  </si>
  <si>
    <t>'102239180000</t>
  </si>
  <si>
    <t>ADELE SCHERER</t>
  </si>
  <si>
    <t>'102239189500</t>
  </si>
  <si>
    <t>MARY WILLIAMSON</t>
  </si>
  <si>
    <t>'102239327900</t>
  </si>
  <si>
    <t>SAM TURNER</t>
  </si>
  <si>
    <t>'102239591500</t>
  </si>
  <si>
    <t>ANNIE APPLETON</t>
  </si>
  <si>
    <t>'102239674100</t>
  </si>
  <si>
    <t>LEWIS VINCENTI</t>
  </si>
  <si>
    <t>'043679</t>
  </si>
  <si>
    <t>DEBORAH INSKIPT</t>
  </si>
  <si>
    <t>'102239697100</t>
  </si>
  <si>
    <t>ROBERT RAMIS</t>
  </si>
  <si>
    <t>'045712</t>
  </si>
  <si>
    <t>GREGORY HANSFORD</t>
  </si>
  <si>
    <t>'102239697200</t>
  </si>
  <si>
    <t>KAREN REID</t>
  </si>
  <si>
    <t>'043691</t>
  </si>
  <si>
    <t>MICHELLE MCCORKLE</t>
  </si>
  <si>
    <t>'102239700000</t>
  </si>
  <si>
    <t>SANDRA SCHEIDENHELM</t>
  </si>
  <si>
    <t>'102239737200</t>
  </si>
  <si>
    <t>SCOTT WITHERELL</t>
  </si>
  <si>
    <t>'102239750700</t>
  </si>
  <si>
    <t>KURT SCHEIDENHELM</t>
  </si>
  <si>
    <t>'102239785600</t>
  </si>
  <si>
    <t>CAROL MCPHERSON</t>
  </si>
  <si>
    <t>'102239812100</t>
  </si>
  <si>
    <t>GREGORY CLARK</t>
  </si>
  <si>
    <t>'102240164700</t>
  </si>
  <si>
    <t>SCOTT ADAMS</t>
  </si>
  <si>
    <t>'102240177400</t>
  </si>
  <si>
    <t>PAUL VANHOOK</t>
  </si>
  <si>
    <t>'102240585200</t>
  </si>
  <si>
    <t>ANDREA BUZZARD</t>
  </si>
  <si>
    <t>'102240682000</t>
  </si>
  <si>
    <t>RAYMOND DEMATTEO</t>
  </si>
  <si>
    <t>'102240694800</t>
  </si>
  <si>
    <t>LOIS ZIBULNIK</t>
  </si>
  <si>
    <t>'043867</t>
  </si>
  <si>
    <t>RYAN STOCKER</t>
  </si>
  <si>
    <t>'102240733100</t>
  </si>
  <si>
    <t>CONSTANCE BUCHANAN</t>
  </si>
  <si>
    <t>'102240754900</t>
  </si>
  <si>
    <t>GEORGE ZIBULNIK</t>
  </si>
  <si>
    <t>'102240829900</t>
  </si>
  <si>
    <t>GILBERT RAPE</t>
  </si>
  <si>
    <t>'102241294500</t>
  </si>
  <si>
    <t>DOMINIQUE SANTANIELLO</t>
  </si>
  <si>
    <t>'043585</t>
  </si>
  <si>
    <t>PETER RICHTER</t>
  </si>
  <si>
    <t>'102241376400</t>
  </si>
  <si>
    <t>CHRISTINE TERRA</t>
  </si>
  <si>
    <t>'043610</t>
  </si>
  <si>
    <t>KLAUS HERCHENRODER</t>
  </si>
  <si>
    <t>Aetna MAPD NMO to MMO - 2025+ Replace Paper</t>
  </si>
  <si>
    <t>'102241430500</t>
  </si>
  <si>
    <t>MABLE HARSTON ALFRED</t>
  </si>
  <si>
    <t>'102241447400</t>
  </si>
  <si>
    <t>RAFAEL TREVINO VALDES</t>
  </si>
  <si>
    <t>'102241448400</t>
  </si>
  <si>
    <t>MARIA GOMEZ DE SEGOVIANO</t>
  </si>
  <si>
    <t>'102241559400</t>
  </si>
  <si>
    <t>JEFFREY MALINOWSKI</t>
  </si>
  <si>
    <t>'102241638000</t>
  </si>
  <si>
    <t>SANDRA LYTLE</t>
  </si>
  <si>
    <t>'043689</t>
  </si>
  <si>
    <t>ANNE MARIE KOZACHECK</t>
  </si>
  <si>
    <t>'102241742900</t>
  </si>
  <si>
    <t>MARYTHERESA MILLER</t>
  </si>
  <si>
    <t>'102241799900</t>
  </si>
  <si>
    <t>VICTORIA TROCCIOLA</t>
  </si>
  <si>
    <t>'102241820800</t>
  </si>
  <si>
    <t>PAUL PARSONS</t>
  </si>
  <si>
    <t>'102241826800</t>
  </si>
  <si>
    <t>BENJAMIN MILLER</t>
  </si>
  <si>
    <t>'102241852900</t>
  </si>
  <si>
    <t>MARTIN BROPHY</t>
  </si>
  <si>
    <t>'102241906300</t>
  </si>
  <si>
    <t>MICHAEL TYMOSZCZUK</t>
  </si>
  <si>
    <t>'102241910200</t>
  </si>
  <si>
    <t>GREGORY HENSON</t>
  </si>
  <si>
    <t>'102241940900</t>
  </si>
  <si>
    <t>PAMELA SADLER</t>
  </si>
  <si>
    <t>'102241978000</t>
  </si>
  <si>
    <t>RAMONA HARRISON</t>
  </si>
  <si>
    <t>'102242109400</t>
  </si>
  <si>
    <t>DENNIS MEEHAN</t>
  </si>
  <si>
    <t>'102242109600</t>
  </si>
  <si>
    <t>MICHAEL KANE</t>
  </si>
  <si>
    <t>'102242126100</t>
  </si>
  <si>
    <t>CAROL HUNT</t>
  </si>
  <si>
    <t>'102242142700</t>
  </si>
  <si>
    <t>ROBERT HUNT</t>
  </si>
  <si>
    <t>'102242237500</t>
  </si>
  <si>
    <t>LANCE MORALES</t>
  </si>
  <si>
    <t>'102242332100</t>
  </si>
  <si>
    <t>MARY FRY</t>
  </si>
  <si>
    <t>'102242366600</t>
  </si>
  <si>
    <t>BRIAN WILLIAMS</t>
  </si>
  <si>
    <t>'102242387200</t>
  </si>
  <si>
    <t>ROBERTA WILLIAMS</t>
  </si>
  <si>
    <t>'102242752700</t>
  </si>
  <si>
    <t>JUSTIN SHAFFER</t>
  </si>
  <si>
    <t>'139W24765</t>
  </si>
  <si>
    <t>JAMES BOLYARD</t>
  </si>
  <si>
    <t>Anthem MA 2025</t>
  </si>
  <si>
    <t>'498W24972</t>
  </si>
  <si>
    <t>JAMES WOMBLES</t>
  </si>
  <si>
    <t>'926371909</t>
  </si>
  <si>
    <t>CHERI PENNY</t>
  </si>
  <si>
    <t>VA</t>
  </si>
  <si>
    <t>'043692</t>
  </si>
  <si>
    <t>ADAM RICHTER</t>
  </si>
  <si>
    <t>UHC MA Direct 2025 New Full</t>
  </si>
  <si>
    <t>'A04393760</t>
  </si>
  <si>
    <t>JOSEPH JUWLE</t>
  </si>
  <si>
    <t>'045627</t>
  </si>
  <si>
    <t>CATHY LEMON</t>
  </si>
  <si>
    <t>UHC AARP Med Supp 2026+ DE MD OK OR VA - Plans N Select N</t>
  </si>
  <si>
    <t>'A04394006</t>
  </si>
  <si>
    <t>NEIL GAMBONY</t>
  </si>
  <si>
    <t>NJ</t>
  </si>
  <si>
    <t>'045609</t>
  </si>
  <si>
    <t>MURRAY STERNER</t>
  </si>
  <si>
    <t>UHC AARP Med Supp 2026+ AR AZ IL KS MS NC NJ PA SC Plan N</t>
  </si>
  <si>
    <t>'A04394035</t>
  </si>
  <si>
    <t>ROXANN WILBERT</t>
  </si>
  <si>
    <t>UHC AARP Med Supp 2025+ IN All Plans</t>
  </si>
  <si>
    <t>'A04396930</t>
  </si>
  <si>
    <t>TERESA RUSSELL</t>
  </si>
  <si>
    <t>'A04397880</t>
  </si>
  <si>
    <t>MARYMARGARET PERNOT</t>
  </si>
  <si>
    <t>UHC AARP Med Supp 2026+ AR AZ IL KS MS NC NJ PA SC - Plans F G</t>
  </si>
  <si>
    <t>'A04398333</t>
  </si>
  <si>
    <t>ROBERT BLACKWELL</t>
  </si>
  <si>
    <t>'A04398540</t>
  </si>
  <si>
    <t>JOHN GAIMARI</t>
  </si>
  <si>
    <t>UHC AARP Med Supp 2026+ AZ IL KS ME NC TN WV Plan B C D F G</t>
  </si>
  <si>
    <t>'MEQNDVYM00000144308</t>
  </si>
  <si>
    <t>DERRICK WILLIAMS</t>
  </si>
  <si>
    <t>'043736</t>
  </si>
  <si>
    <t>DENNIS HOLYN</t>
  </si>
  <si>
    <t>'MEQNDVYM00000144316</t>
  </si>
  <si>
    <t>RIBHIA ZUGHAYER</t>
  </si>
  <si>
    <t>'MEQNDVYM00000147342</t>
  </si>
  <si>
    <t>ENGIN DASDELEN</t>
  </si>
  <si>
    <t>'MEQNDVZM00000153055</t>
  </si>
  <si>
    <t>DEBBIE SHELDON</t>
  </si>
  <si>
    <t>CB</t>
  </si>
  <si>
    <t>'00000751052HCB</t>
  </si>
  <si>
    <t>KAY ANKLAM</t>
  </si>
  <si>
    <t>CHARGEBACK</t>
  </si>
  <si>
    <t>'00000953613ICB</t>
  </si>
  <si>
    <t>LILY BUENCILLO</t>
  </si>
  <si>
    <t>'00023765948KACB</t>
  </si>
  <si>
    <t>RUSSELL LANCE</t>
  </si>
  <si>
    <t>'00023894614KCB</t>
  </si>
  <si>
    <t>GUADALUPE LOPEZ</t>
  </si>
  <si>
    <t>'00024241121KCB</t>
  </si>
  <si>
    <t>WILLIAM SCHNIDE</t>
  </si>
  <si>
    <t>'00024567963KPDPCB</t>
  </si>
  <si>
    <t>RICK LYNN</t>
  </si>
  <si>
    <t>Humana PDP 2019+ Level 15- 15/0</t>
  </si>
  <si>
    <t>'00024740480KPDPCB</t>
  </si>
  <si>
    <t>JEFFREY WEINTRAUB</t>
  </si>
  <si>
    <t>'00024892170KCB</t>
  </si>
  <si>
    <t>SANDRA MONEYMAKER</t>
  </si>
  <si>
    <t>NY</t>
  </si>
  <si>
    <t>'00025067705KPDPCB</t>
  </si>
  <si>
    <t>ANNE CLARK</t>
  </si>
  <si>
    <t>'00025088543KCB</t>
  </si>
  <si>
    <t>JEFFREY KROHN</t>
  </si>
  <si>
    <t>'00025274180KCB</t>
  </si>
  <si>
    <t>CHRISTINE SHAW</t>
  </si>
  <si>
    <t>'101876971400PC</t>
  </si>
  <si>
    <t>MARK CILYK</t>
  </si>
  <si>
    <t>Aetna MAPD NMO to GMO - 4-1-23+  New E-App</t>
  </si>
  <si>
    <t>'102214734600CB</t>
  </si>
  <si>
    <t>'77X5L4L64PC</t>
  </si>
  <si>
    <t>WADE BEST</t>
  </si>
  <si>
    <t>Cigna MAPD FMO to GA 1-1-19+ - New</t>
  </si>
  <si>
    <t>'940823604CB</t>
  </si>
  <si>
    <t>AUGENIJA INCISI</t>
  </si>
  <si>
    <t>UHC MAPD Street payable to upline - 2025 New</t>
  </si>
  <si>
    <t>'946535914CB</t>
  </si>
  <si>
    <t>DANIEL FEENEY</t>
  </si>
  <si>
    <t>'954564449CB</t>
  </si>
  <si>
    <t>MAE BAYONA</t>
  </si>
  <si>
    <t>UHC MAPD Street payable to upline- 2025 Pro New</t>
  </si>
  <si>
    <t>'976643581CB</t>
  </si>
  <si>
    <t>ALPHONSE BECCARD</t>
  </si>
  <si>
    <t>PA</t>
  </si>
  <si>
    <t>UHC MAPD Street payable to upline PA/CT- 2025 New</t>
  </si>
  <si>
    <t>'977936680CB</t>
  </si>
  <si>
    <t>JOAN KENNY</t>
  </si>
  <si>
    <t>'977936680OVCB</t>
  </si>
  <si>
    <t>UHC MA Direct 2025 New Prorated - Other</t>
  </si>
  <si>
    <t>00001732672K</t>
  </si>
  <si>
    <t>00003127959K</t>
  </si>
  <si>
    <t>00006672647K</t>
  </si>
  <si>
    <t>00008156980K</t>
  </si>
  <si>
    <t>00009983467K</t>
  </si>
  <si>
    <t>00011005827K</t>
  </si>
  <si>
    <t>00012091926K</t>
  </si>
  <si>
    <t>00013779032K</t>
  </si>
  <si>
    <t>00016070689K</t>
  </si>
  <si>
    <t>00017702807K</t>
  </si>
  <si>
    <t>00018326862K</t>
  </si>
  <si>
    <t>00018387547K</t>
  </si>
  <si>
    <t>00018515422K</t>
  </si>
  <si>
    <t>00018818639K</t>
  </si>
  <si>
    <t>00019277055K</t>
  </si>
  <si>
    <t>00019368907K</t>
  </si>
  <si>
    <t>00019577700K</t>
  </si>
  <si>
    <t>00019902108K</t>
  </si>
  <si>
    <t>00019960682K</t>
  </si>
  <si>
    <t>00020375572K</t>
  </si>
  <si>
    <t>00021024359K</t>
  </si>
  <si>
    <t>00021511325K</t>
  </si>
  <si>
    <t>00022085971KA</t>
  </si>
  <si>
    <t>00022094990KA</t>
  </si>
  <si>
    <t>00023134452K</t>
  </si>
  <si>
    <t>00023161319K</t>
  </si>
  <si>
    <t>00023281587K</t>
  </si>
  <si>
    <t>00023306985K</t>
  </si>
  <si>
    <t>00023621536K</t>
  </si>
  <si>
    <t>00023623857K</t>
  </si>
  <si>
    <t>00023757618K</t>
  </si>
  <si>
    <t>00023758280K</t>
  </si>
  <si>
    <t>00024267849K</t>
  </si>
  <si>
    <t>00024344065K</t>
  </si>
  <si>
    <t>00024672069K</t>
  </si>
  <si>
    <t>00025284991K</t>
  </si>
  <si>
    <t>00025745430K</t>
  </si>
  <si>
    <t>00025746940K</t>
  </si>
  <si>
    <t>00025749801K</t>
  </si>
  <si>
    <t>00025750006K</t>
  </si>
  <si>
    <t>00025750039K</t>
  </si>
  <si>
    <t>00025757852K</t>
  </si>
  <si>
    <t>00025760366K</t>
  </si>
  <si>
    <t>00025761648K</t>
  </si>
  <si>
    <t>00025761939K</t>
  </si>
  <si>
    <t>00025761946K</t>
  </si>
  <si>
    <t>00025761952K</t>
  </si>
  <si>
    <t>00025764116K</t>
  </si>
  <si>
    <t>00025765398K</t>
  </si>
  <si>
    <t>00025765520K</t>
  </si>
  <si>
    <t>00025769060K</t>
  </si>
  <si>
    <t>00025772709K</t>
  </si>
  <si>
    <t>00025779716K</t>
  </si>
  <si>
    <t>00025779792K</t>
  </si>
  <si>
    <t>00025780645K</t>
  </si>
  <si>
    <t>00025798284K</t>
  </si>
  <si>
    <t>00025798515K</t>
  </si>
  <si>
    <t>00025798597K</t>
  </si>
  <si>
    <t>00025801213K</t>
  </si>
  <si>
    <t>00025802354K</t>
  </si>
  <si>
    <t>00025802859K</t>
  </si>
  <si>
    <t>00025803364K</t>
  </si>
  <si>
    <t>000W24385</t>
  </si>
  <si>
    <t>102104604100A</t>
  </si>
  <si>
    <t>139W24765</t>
  </si>
  <si>
    <t>498W24972</t>
  </si>
  <si>
    <t>A04393760</t>
  </si>
  <si>
    <t>A04394006</t>
  </si>
  <si>
    <t>A04394035</t>
  </si>
  <si>
    <t>A04396930</t>
  </si>
  <si>
    <t>A04397880</t>
  </si>
  <si>
    <t>A04398333</t>
  </si>
  <si>
    <t>A04398540</t>
  </si>
  <si>
    <t>MEQNDVYM00000144308</t>
  </si>
  <si>
    <t>MEQNDVYM00000144316</t>
  </si>
  <si>
    <t>MEQNDVYM00000147342</t>
  </si>
  <si>
    <t>MEQNDVZM00000153055</t>
  </si>
  <si>
    <t>Aetna MAPD OVR 2025</t>
  </si>
  <si>
    <t>Anthem MAPD 2025 OVR</t>
  </si>
  <si>
    <t>Cigna MAPD 2025 Ovr</t>
  </si>
  <si>
    <t>Humana MAPD OVR 2025</t>
  </si>
  <si>
    <t>Humana PDP 2025!</t>
  </si>
  <si>
    <t>UHC MAPD Ovr 2025</t>
  </si>
  <si>
    <t>UHC MAPD 2025*</t>
  </si>
  <si>
    <t>UHC 2025</t>
  </si>
  <si>
    <t>UHC 2025 CT, PA, DC</t>
  </si>
  <si>
    <t>[%/$=313][prorate=2/12]</t>
  </si>
  <si>
    <t>[%/$=626]</t>
  </si>
  <si>
    <t>[%/$=705]</t>
  </si>
  <si>
    <t>Main Line Benefits</t>
  </si>
  <si>
    <t>77X5L4L64</t>
  </si>
  <si>
    <t>00000751052H</t>
  </si>
  <si>
    <t>00000953613I</t>
  </si>
  <si>
    <t>00023894614K</t>
  </si>
  <si>
    <t>00024241121K</t>
  </si>
  <si>
    <t>00024892170K</t>
  </si>
  <si>
    <t>00025088543K</t>
  </si>
  <si>
    <t>00025274180K</t>
  </si>
  <si>
    <t>00023765948KA</t>
  </si>
  <si>
    <t>00024567963KPDP</t>
  </si>
  <si>
    <t>00024740480KPDP</t>
  </si>
  <si>
    <t>00025067705KPDP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</si>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</sst>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" fontId="0" fillId="34" borderId="0" xfId="0" applyNumberFormat="1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2" fontId="0" fillId="0" borderId="0" xfId="0" applyNumberFormat="1"/>
    <xf numFmtId="1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D64E-30B9-4AEE-B512-5FD6377EB4F8}">
  <dimension ref="A1:AL218"/>
  <sheetViews>
    <sheetView topLeftCell="F172" workbookViewId="0">
      <selection activeCell="S177" sqref="S177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46014</v>
      </c>
      <c r="B2" s="1">
        <v>46015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6121033</v>
      </c>
    </row>
    <row r="3" spans="1:38" x14ac:dyDescent="0.25">
      <c r="A3" s="1">
        <v>46014</v>
      </c>
      <c r="B3" s="1">
        <v>46015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46023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6121084</v>
      </c>
    </row>
    <row r="4" spans="1:38" x14ac:dyDescent="0.25">
      <c r="A4" s="1">
        <v>46014</v>
      </c>
      <c r="B4" s="1">
        <v>46015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60</v>
      </c>
      <c r="O4" t="s">
        <v>61</v>
      </c>
      <c r="P4" t="s">
        <v>62</v>
      </c>
      <c r="Q4" t="s">
        <v>49</v>
      </c>
      <c r="R4" t="s">
        <v>50</v>
      </c>
      <c r="S4" s="1">
        <v>46023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6121085</v>
      </c>
    </row>
    <row r="5" spans="1:38" x14ac:dyDescent="0.25">
      <c r="A5" s="1">
        <v>46014</v>
      </c>
      <c r="B5" s="1">
        <v>46015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65</v>
      </c>
      <c r="O5" t="s">
        <v>66</v>
      </c>
      <c r="P5" t="s">
        <v>67</v>
      </c>
      <c r="Q5" t="s">
        <v>49</v>
      </c>
      <c r="R5" t="s">
        <v>68</v>
      </c>
      <c r="S5" s="1">
        <v>46023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6120911</v>
      </c>
    </row>
    <row r="6" spans="1:38" x14ac:dyDescent="0.25">
      <c r="A6" s="1">
        <v>46014</v>
      </c>
      <c r="B6" s="1">
        <v>46015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M6" t="s">
        <v>65</v>
      </c>
      <c r="O6" t="s">
        <v>71</v>
      </c>
      <c r="P6" t="s">
        <v>72</v>
      </c>
      <c r="Q6" t="s">
        <v>49</v>
      </c>
      <c r="R6" t="s">
        <v>50</v>
      </c>
      <c r="S6" s="1">
        <v>46023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6121086</v>
      </c>
    </row>
    <row r="7" spans="1:38" x14ac:dyDescent="0.25">
      <c r="A7" s="1">
        <v>46014</v>
      </c>
      <c r="B7" s="1">
        <v>46015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73</v>
      </c>
      <c r="J7" t="s">
        <v>74</v>
      </c>
      <c r="M7" t="s">
        <v>75</v>
      </c>
      <c r="O7" t="s">
        <v>76</v>
      </c>
      <c r="P7" t="s">
        <v>77</v>
      </c>
      <c r="Q7" t="s">
        <v>49</v>
      </c>
      <c r="R7" t="s">
        <v>68</v>
      </c>
      <c r="S7" s="1">
        <v>46023</v>
      </c>
      <c r="U7" t="s">
        <v>51</v>
      </c>
      <c r="X7" t="s">
        <v>52</v>
      </c>
      <c r="Y7" s="2">
        <v>0</v>
      </c>
      <c r="Z7" s="2">
        <v>108</v>
      </c>
      <c r="AA7">
        <v>1</v>
      </c>
      <c r="AB7" s="3">
        <v>1</v>
      </c>
      <c r="AC7" s="2">
        <v>108</v>
      </c>
      <c r="AD7" s="3">
        <v>0</v>
      </c>
      <c r="AE7" s="2">
        <v>0</v>
      </c>
      <c r="AF7" s="2">
        <v>108</v>
      </c>
      <c r="AK7">
        <v>6120912</v>
      </c>
    </row>
    <row r="8" spans="1:38" x14ac:dyDescent="0.25">
      <c r="A8" s="1">
        <v>46014</v>
      </c>
      <c r="B8" s="1">
        <v>46015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78</v>
      </c>
      <c r="J8" t="s">
        <v>79</v>
      </c>
      <c r="M8" t="s">
        <v>46</v>
      </c>
      <c r="O8" t="s">
        <v>80</v>
      </c>
      <c r="P8" t="s">
        <v>81</v>
      </c>
      <c r="Q8" t="s">
        <v>49</v>
      </c>
      <c r="R8" t="s">
        <v>50</v>
      </c>
      <c r="S8" s="1">
        <v>46023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6121087</v>
      </c>
    </row>
    <row r="9" spans="1:38" x14ac:dyDescent="0.25">
      <c r="A9" s="1">
        <v>46014</v>
      </c>
      <c r="B9" s="1">
        <v>46015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82</v>
      </c>
      <c r="J9" t="s">
        <v>83</v>
      </c>
      <c r="M9" t="s">
        <v>65</v>
      </c>
      <c r="O9" t="s">
        <v>84</v>
      </c>
      <c r="P9" t="s">
        <v>85</v>
      </c>
      <c r="Q9" t="s">
        <v>49</v>
      </c>
      <c r="R9" t="s">
        <v>68</v>
      </c>
      <c r="S9" s="1">
        <v>46023</v>
      </c>
      <c r="U9" t="s">
        <v>51</v>
      </c>
      <c r="X9" t="s">
        <v>52</v>
      </c>
      <c r="Y9" s="2">
        <v>0</v>
      </c>
      <c r="Z9" s="2">
        <v>108</v>
      </c>
      <c r="AA9">
        <v>1</v>
      </c>
      <c r="AB9" s="3">
        <v>1</v>
      </c>
      <c r="AC9" s="2">
        <v>108</v>
      </c>
      <c r="AD9" s="3">
        <v>0</v>
      </c>
      <c r="AE9" s="2">
        <v>0</v>
      </c>
      <c r="AF9" s="2">
        <v>108</v>
      </c>
      <c r="AK9">
        <v>6120913</v>
      </c>
    </row>
    <row r="10" spans="1:38" x14ac:dyDescent="0.25">
      <c r="A10" s="1">
        <v>46014</v>
      </c>
      <c r="B10" s="1">
        <v>46015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86</v>
      </c>
      <c r="J10" t="s">
        <v>87</v>
      </c>
      <c r="M10" t="s">
        <v>65</v>
      </c>
      <c r="O10" t="s">
        <v>88</v>
      </c>
      <c r="P10" t="s">
        <v>89</v>
      </c>
      <c r="Q10" t="s">
        <v>49</v>
      </c>
      <c r="R10" t="s">
        <v>68</v>
      </c>
      <c r="S10" s="1">
        <v>46023</v>
      </c>
      <c r="U10" t="s">
        <v>51</v>
      </c>
      <c r="X10" t="s">
        <v>52</v>
      </c>
      <c r="Y10" s="2">
        <v>0</v>
      </c>
      <c r="Z10" s="2">
        <v>108</v>
      </c>
      <c r="AA10">
        <v>1</v>
      </c>
      <c r="AB10" s="3">
        <v>1</v>
      </c>
      <c r="AC10" s="2">
        <v>108</v>
      </c>
      <c r="AD10" s="3">
        <v>0</v>
      </c>
      <c r="AE10" s="2">
        <v>0</v>
      </c>
      <c r="AF10" s="2">
        <v>108</v>
      </c>
      <c r="AK10">
        <v>6120914</v>
      </c>
    </row>
    <row r="11" spans="1:38" x14ac:dyDescent="0.25">
      <c r="A11" s="1">
        <v>46014</v>
      </c>
      <c r="B11" s="1">
        <v>46015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90</v>
      </c>
      <c r="J11" t="s">
        <v>91</v>
      </c>
      <c r="M11" t="s">
        <v>65</v>
      </c>
      <c r="O11" t="s">
        <v>92</v>
      </c>
      <c r="P11" t="s">
        <v>93</v>
      </c>
      <c r="Q11" t="s">
        <v>49</v>
      </c>
      <c r="R11" t="s">
        <v>68</v>
      </c>
      <c r="S11" s="1">
        <v>46023</v>
      </c>
      <c r="U11" t="s">
        <v>51</v>
      </c>
      <c r="X11" t="s">
        <v>52</v>
      </c>
      <c r="Y11" s="2">
        <v>0</v>
      </c>
      <c r="Z11" s="2">
        <v>108</v>
      </c>
      <c r="AA11">
        <v>1</v>
      </c>
      <c r="AB11" s="3">
        <v>1</v>
      </c>
      <c r="AC11" s="2">
        <v>108</v>
      </c>
      <c r="AD11" s="3">
        <v>0</v>
      </c>
      <c r="AE11" s="2">
        <v>0</v>
      </c>
      <c r="AF11" s="2">
        <v>108</v>
      </c>
      <c r="AK11">
        <v>6120915</v>
      </c>
    </row>
    <row r="12" spans="1:38" x14ac:dyDescent="0.25">
      <c r="A12" s="1">
        <v>46014</v>
      </c>
      <c r="B12" s="1">
        <v>46015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94</v>
      </c>
      <c r="J12" t="s">
        <v>95</v>
      </c>
      <c r="M12" t="s">
        <v>65</v>
      </c>
      <c r="O12" t="s">
        <v>92</v>
      </c>
      <c r="P12" t="s">
        <v>93</v>
      </c>
      <c r="Q12" t="s">
        <v>49</v>
      </c>
      <c r="R12" t="s">
        <v>68</v>
      </c>
      <c r="S12" s="1">
        <v>46023</v>
      </c>
      <c r="U12" t="s">
        <v>51</v>
      </c>
      <c r="X12" t="s">
        <v>52</v>
      </c>
      <c r="Y12" s="2">
        <v>0</v>
      </c>
      <c r="Z12" s="2">
        <v>108</v>
      </c>
      <c r="AA12">
        <v>1</v>
      </c>
      <c r="AB12" s="3">
        <v>1</v>
      </c>
      <c r="AC12" s="2">
        <v>108</v>
      </c>
      <c r="AD12" s="3">
        <v>0</v>
      </c>
      <c r="AE12" s="2">
        <v>0</v>
      </c>
      <c r="AF12" s="2">
        <v>108</v>
      </c>
      <c r="AK12">
        <v>6120916</v>
      </c>
    </row>
    <row r="13" spans="1:38" x14ac:dyDescent="0.25">
      <c r="A13" s="1">
        <v>46014</v>
      </c>
      <c r="B13" s="1">
        <v>46015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96</v>
      </c>
      <c r="J13" t="s">
        <v>97</v>
      </c>
      <c r="M13" t="s">
        <v>65</v>
      </c>
      <c r="O13" t="s">
        <v>98</v>
      </c>
      <c r="P13" t="s">
        <v>99</v>
      </c>
      <c r="Q13" t="s">
        <v>49</v>
      </c>
      <c r="R13" t="s">
        <v>68</v>
      </c>
      <c r="S13" s="1">
        <v>46023</v>
      </c>
      <c r="U13" t="s">
        <v>51</v>
      </c>
      <c r="X13" t="s">
        <v>52</v>
      </c>
      <c r="Y13" s="2">
        <v>0</v>
      </c>
      <c r="Z13" s="2">
        <v>108</v>
      </c>
      <c r="AA13">
        <v>1</v>
      </c>
      <c r="AB13" s="3">
        <v>1</v>
      </c>
      <c r="AC13" s="2">
        <v>108</v>
      </c>
      <c r="AD13" s="3">
        <v>0</v>
      </c>
      <c r="AE13" s="2">
        <v>0</v>
      </c>
      <c r="AF13" s="2">
        <v>108</v>
      </c>
      <c r="AK13">
        <v>6120917</v>
      </c>
    </row>
    <row r="14" spans="1:38" x14ac:dyDescent="0.25">
      <c r="A14" s="1">
        <v>46014</v>
      </c>
      <c r="B14" s="1">
        <v>46015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100</v>
      </c>
      <c r="J14" t="s">
        <v>101</v>
      </c>
      <c r="M14" t="s">
        <v>65</v>
      </c>
      <c r="O14" t="s">
        <v>102</v>
      </c>
      <c r="P14" t="s">
        <v>103</v>
      </c>
      <c r="Q14" t="s">
        <v>49</v>
      </c>
      <c r="R14" t="s">
        <v>50</v>
      </c>
      <c r="S14" s="1">
        <v>46023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6121088</v>
      </c>
    </row>
    <row r="15" spans="1:38" x14ac:dyDescent="0.25">
      <c r="A15" s="1">
        <v>46014</v>
      </c>
      <c r="B15" s="1">
        <v>46015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104</v>
      </c>
      <c r="J15" t="s">
        <v>105</v>
      </c>
      <c r="M15" t="s">
        <v>65</v>
      </c>
      <c r="O15" t="s">
        <v>106</v>
      </c>
      <c r="P15" t="s">
        <v>107</v>
      </c>
      <c r="Q15" t="s">
        <v>49</v>
      </c>
      <c r="R15" t="s">
        <v>68</v>
      </c>
      <c r="S15" s="1">
        <v>46023</v>
      </c>
      <c r="U15" t="s">
        <v>51</v>
      </c>
      <c r="X15" t="s">
        <v>52</v>
      </c>
      <c r="Y15" s="2">
        <v>0</v>
      </c>
      <c r="Z15" s="2">
        <v>108</v>
      </c>
      <c r="AA15">
        <v>1</v>
      </c>
      <c r="AB15" s="3">
        <v>1</v>
      </c>
      <c r="AC15" s="2">
        <v>108</v>
      </c>
      <c r="AD15" s="3">
        <v>0</v>
      </c>
      <c r="AE15" s="2">
        <v>0</v>
      </c>
      <c r="AF15" s="2">
        <v>108</v>
      </c>
      <c r="AK15">
        <v>6120918</v>
      </c>
    </row>
    <row r="16" spans="1:38" x14ac:dyDescent="0.25">
      <c r="A16" s="1">
        <v>46014</v>
      </c>
      <c r="B16" s="1">
        <v>46015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108</v>
      </c>
      <c r="J16" t="s">
        <v>109</v>
      </c>
      <c r="M16" t="s">
        <v>65</v>
      </c>
      <c r="O16" t="s">
        <v>110</v>
      </c>
      <c r="P16" t="s">
        <v>111</v>
      </c>
      <c r="Q16" t="s">
        <v>49</v>
      </c>
      <c r="R16" t="s">
        <v>68</v>
      </c>
      <c r="S16" s="1">
        <v>46023</v>
      </c>
      <c r="U16" t="s">
        <v>51</v>
      </c>
      <c r="X16" t="s">
        <v>52</v>
      </c>
      <c r="Y16" s="2">
        <v>0</v>
      </c>
      <c r="Z16" s="2">
        <v>108</v>
      </c>
      <c r="AA16">
        <v>1</v>
      </c>
      <c r="AB16" s="3">
        <v>1</v>
      </c>
      <c r="AC16" s="2">
        <v>108</v>
      </c>
      <c r="AD16" s="3">
        <v>0</v>
      </c>
      <c r="AE16" s="2">
        <v>0</v>
      </c>
      <c r="AF16" s="2">
        <v>108</v>
      </c>
      <c r="AK16">
        <v>6120919</v>
      </c>
    </row>
    <row r="17" spans="1:37" x14ac:dyDescent="0.25">
      <c r="A17" s="1">
        <v>46014</v>
      </c>
      <c r="B17" s="1">
        <v>46015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112</v>
      </c>
      <c r="J17" t="s">
        <v>113</v>
      </c>
      <c r="M17" t="s">
        <v>65</v>
      </c>
      <c r="O17" t="s">
        <v>114</v>
      </c>
      <c r="P17" t="s">
        <v>115</v>
      </c>
      <c r="Q17" t="s">
        <v>49</v>
      </c>
      <c r="R17" t="s">
        <v>68</v>
      </c>
      <c r="S17" s="1">
        <v>46023</v>
      </c>
      <c r="U17" t="s">
        <v>51</v>
      </c>
      <c r="X17" t="s">
        <v>52</v>
      </c>
      <c r="Y17" s="2">
        <v>0</v>
      </c>
      <c r="Z17" s="2">
        <v>108</v>
      </c>
      <c r="AA17">
        <v>1</v>
      </c>
      <c r="AB17" s="3">
        <v>1</v>
      </c>
      <c r="AC17" s="2">
        <v>108</v>
      </c>
      <c r="AD17" s="3">
        <v>0</v>
      </c>
      <c r="AE17" s="2">
        <v>0</v>
      </c>
      <c r="AF17" s="2">
        <v>108</v>
      </c>
      <c r="AK17">
        <v>6120920</v>
      </c>
    </row>
    <row r="18" spans="1:37" x14ac:dyDescent="0.25">
      <c r="A18" s="1">
        <v>46014</v>
      </c>
      <c r="B18" s="1">
        <v>46015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116</v>
      </c>
      <c r="J18" t="s">
        <v>117</v>
      </c>
      <c r="M18" t="s">
        <v>65</v>
      </c>
      <c r="O18" t="s">
        <v>98</v>
      </c>
      <c r="P18" t="s">
        <v>99</v>
      </c>
      <c r="Q18" t="s">
        <v>49</v>
      </c>
      <c r="R18" t="s">
        <v>68</v>
      </c>
      <c r="S18" s="1">
        <v>46023</v>
      </c>
      <c r="U18" t="s">
        <v>51</v>
      </c>
      <c r="X18" t="s">
        <v>52</v>
      </c>
      <c r="Y18" s="2">
        <v>0</v>
      </c>
      <c r="Z18" s="2">
        <v>108</v>
      </c>
      <c r="AA18">
        <v>1</v>
      </c>
      <c r="AB18" s="3">
        <v>1</v>
      </c>
      <c r="AC18" s="2">
        <v>108</v>
      </c>
      <c r="AD18" s="3">
        <v>0</v>
      </c>
      <c r="AE18" s="2">
        <v>0</v>
      </c>
      <c r="AF18" s="2">
        <v>108</v>
      </c>
      <c r="AK18">
        <v>6120921</v>
      </c>
    </row>
    <row r="19" spans="1:37" x14ac:dyDescent="0.25">
      <c r="A19" s="1">
        <v>46014</v>
      </c>
      <c r="B19" s="1">
        <v>46015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118</v>
      </c>
      <c r="J19" t="s">
        <v>119</v>
      </c>
      <c r="M19" t="s">
        <v>65</v>
      </c>
      <c r="O19" t="s">
        <v>92</v>
      </c>
      <c r="P19" t="s">
        <v>93</v>
      </c>
      <c r="Q19" t="s">
        <v>49</v>
      </c>
      <c r="R19" t="s">
        <v>68</v>
      </c>
      <c r="S19" s="1">
        <v>46023</v>
      </c>
      <c r="U19" t="s">
        <v>51</v>
      </c>
      <c r="X19" t="s">
        <v>52</v>
      </c>
      <c r="Y19" s="2">
        <v>0</v>
      </c>
      <c r="Z19" s="2">
        <v>108</v>
      </c>
      <c r="AA19">
        <v>1</v>
      </c>
      <c r="AB19" s="3">
        <v>1</v>
      </c>
      <c r="AC19" s="2">
        <v>108</v>
      </c>
      <c r="AD19" s="3">
        <v>0</v>
      </c>
      <c r="AE19" s="2">
        <v>0</v>
      </c>
      <c r="AF19" s="2">
        <v>108</v>
      </c>
      <c r="AK19">
        <v>6120922</v>
      </c>
    </row>
    <row r="20" spans="1:37" x14ac:dyDescent="0.25">
      <c r="A20" s="1">
        <v>46014</v>
      </c>
      <c r="B20" s="1">
        <v>46015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120</v>
      </c>
      <c r="J20" t="s">
        <v>121</v>
      </c>
      <c r="M20" t="s">
        <v>65</v>
      </c>
      <c r="O20" t="s">
        <v>114</v>
      </c>
      <c r="P20" t="s">
        <v>115</v>
      </c>
      <c r="Q20" t="s">
        <v>49</v>
      </c>
      <c r="R20" t="s">
        <v>68</v>
      </c>
      <c r="S20" s="1">
        <v>46023</v>
      </c>
      <c r="U20" t="s">
        <v>51</v>
      </c>
      <c r="X20" t="s">
        <v>52</v>
      </c>
      <c r="Y20" s="2">
        <v>0</v>
      </c>
      <c r="Z20" s="2">
        <v>108</v>
      </c>
      <c r="AA20">
        <v>1</v>
      </c>
      <c r="AB20" s="3">
        <v>1</v>
      </c>
      <c r="AC20" s="2">
        <v>108</v>
      </c>
      <c r="AD20" s="3">
        <v>0</v>
      </c>
      <c r="AE20" s="2">
        <v>0</v>
      </c>
      <c r="AF20" s="2">
        <v>108</v>
      </c>
      <c r="AK20">
        <v>6120923</v>
      </c>
    </row>
    <row r="21" spans="1:37" x14ac:dyDescent="0.25">
      <c r="A21" s="1">
        <v>46014</v>
      </c>
      <c r="B21" s="1">
        <v>46015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122</v>
      </c>
      <c r="J21" t="s">
        <v>123</v>
      </c>
      <c r="M21" t="s">
        <v>124</v>
      </c>
      <c r="O21" t="s">
        <v>125</v>
      </c>
      <c r="P21" t="s">
        <v>126</v>
      </c>
      <c r="Q21" t="s">
        <v>49</v>
      </c>
      <c r="R21" t="s">
        <v>68</v>
      </c>
      <c r="S21" s="1">
        <v>46023</v>
      </c>
      <c r="U21" t="s">
        <v>51</v>
      </c>
      <c r="X21" t="s">
        <v>52</v>
      </c>
      <c r="Y21" s="2">
        <v>0</v>
      </c>
      <c r="Z21" s="2">
        <v>108</v>
      </c>
      <c r="AA21">
        <v>1</v>
      </c>
      <c r="AB21" s="3">
        <v>1</v>
      </c>
      <c r="AC21" s="2">
        <v>108</v>
      </c>
      <c r="AD21" s="3">
        <v>0</v>
      </c>
      <c r="AE21" s="2">
        <v>0</v>
      </c>
      <c r="AF21" s="2">
        <v>108</v>
      </c>
      <c r="AK21">
        <v>6120924</v>
      </c>
    </row>
    <row r="22" spans="1:37" x14ac:dyDescent="0.25">
      <c r="A22" s="1">
        <v>46014</v>
      </c>
      <c r="B22" s="1">
        <v>46015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127</v>
      </c>
      <c r="J22" t="s">
        <v>128</v>
      </c>
      <c r="M22" t="s">
        <v>129</v>
      </c>
      <c r="O22" t="s">
        <v>130</v>
      </c>
      <c r="P22" t="s">
        <v>131</v>
      </c>
      <c r="Q22" t="s">
        <v>49</v>
      </c>
      <c r="R22" t="s">
        <v>68</v>
      </c>
      <c r="S22" s="1">
        <v>46023</v>
      </c>
      <c r="U22" t="s">
        <v>51</v>
      </c>
      <c r="X22" t="s">
        <v>52</v>
      </c>
      <c r="Y22" s="2">
        <v>0</v>
      </c>
      <c r="Z22" s="2">
        <v>108</v>
      </c>
      <c r="AA22">
        <v>1</v>
      </c>
      <c r="AB22" s="3">
        <v>1</v>
      </c>
      <c r="AC22" s="2">
        <v>108</v>
      </c>
      <c r="AD22" s="3">
        <v>0</v>
      </c>
      <c r="AE22" s="2">
        <v>0</v>
      </c>
      <c r="AF22" s="2">
        <v>108</v>
      </c>
      <c r="AK22">
        <v>6120925</v>
      </c>
    </row>
    <row r="23" spans="1:37" x14ac:dyDescent="0.25">
      <c r="A23" s="1">
        <v>46014</v>
      </c>
      <c r="B23" s="1">
        <v>46015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132</v>
      </c>
      <c r="J23" t="s">
        <v>133</v>
      </c>
      <c r="M23" t="s">
        <v>134</v>
      </c>
      <c r="O23" t="s">
        <v>80</v>
      </c>
      <c r="P23" t="s">
        <v>81</v>
      </c>
      <c r="Q23" t="s">
        <v>49</v>
      </c>
      <c r="R23" t="s">
        <v>68</v>
      </c>
      <c r="S23" s="1">
        <v>46023</v>
      </c>
      <c r="U23" t="s">
        <v>51</v>
      </c>
      <c r="X23" t="s">
        <v>52</v>
      </c>
      <c r="Y23" s="2">
        <v>0</v>
      </c>
      <c r="Z23" s="2">
        <v>108</v>
      </c>
      <c r="AA23">
        <v>1</v>
      </c>
      <c r="AB23" s="3">
        <v>1</v>
      </c>
      <c r="AC23" s="2">
        <v>108</v>
      </c>
      <c r="AD23" s="3">
        <v>0</v>
      </c>
      <c r="AE23" s="2">
        <v>0</v>
      </c>
      <c r="AF23" s="2">
        <v>108</v>
      </c>
      <c r="AK23">
        <v>6120926</v>
      </c>
    </row>
    <row r="24" spans="1:37" x14ac:dyDescent="0.25">
      <c r="A24" s="1">
        <v>46014</v>
      </c>
      <c r="B24" s="1">
        <v>46015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135</v>
      </c>
      <c r="J24" t="s">
        <v>136</v>
      </c>
      <c r="M24" t="s">
        <v>65</v>
      </c>
      <c r="O24" t="s">
        <v>106</v>
      </c>
      <c r="P24" t="s">
        <v>107</v>
      </c>
      <c r="Q24" t="s">
        <v>137</v>
      </c>
      <c r="R24" t="s">
        <v>68</v>
      </c>
      <c r="S24" s="1">
        <v>46023</v>
      </c>
      <c r="U24" t="s">
        <v>51</v>
      </c>
      <c r="X24" t="s">
        <v>52</v>
      </c>
      <c r="Y24" s="2">
        <v>0</v>
      </c>
      <c r="Z24" s="2">
        <v>108</v>
      </c>
      <c r="AA24">
        <v>1</v>
      </c>
      <c r="AB24" s="3">
        <v>1</v>
      </c>
      <c r="AC24" s="2">
        <v>108</v>
      </c>
      <c r="AD24" s="3">
        <v>0</v>
      </c>
      <c r="AE24" s="2">
        <v>0</v>
      </c>
      <c r="AF24" s="2">
        <v>108</v>
      </c>
      <c r="AK24">
        <v>6120927</v>
      </c>
    </row>
    <row r="25" spans="1:37" x14ac:dyDescent="0.25">
      <c r="A25" s="1">
        <v>46014</v>
      </c>
      <c r="B25" s="1">
        <v>46015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138</v>
      </c>
      <c r="J25" t="s">
        <v>139</v>
      </c>
      <c r="M25" t="s">
        <v>65</v>
      </c>
      <c r="O25" t="s">
        <v>106</v>
      </c>
      <c r="P25" t="s">
        <v>107</v>
      </c>
      <c r="Q25" t="s">
        <v>137</v>
      </c>
      <c r="R25" t="s">
        <v>68</v>
      </c>
      <c r="S25" s="1">
        <v>46023</v>
      </c>
      <c r="U25" t="s">
        <v>51</v>
      </c>
      <c r="X25" t="s">
        <v>52</v>
      </c>
      <c r="Y25" s="2">
        <v>0</v>
      </c>
      <c r="Z25" s="2">
        <v>108</v>
      </c>
      <c r="AA25">
        <v>1</v>
      </c>
      <c r="AB25" s="3">
        <v>1</v>
      </c>
      <c r="AC25" s="2">
        <v>108</v>
      </c>
      <c r="AD25" s="3">
        <v>0</v>
      </c>
      <c r="AE25" s="2">
        <v>0</v>
      </c>
      <c r="AF25" s="2">
        <v>108</v>
      </c>
      <c r="AK25">
        <v>6120928</v>
      </c>
    </row>
    <row r="26" spans="1:37" x14ac:dyDescent="0.25">
      <c r="A26" s="1">
        <v>46014</v>
      </c>
      <c r="B26" s="1">
        <v>46015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140</v>
      </c>
      <c r="J26" t="s">
        <v>141</v>
      </c>
      <c r="M26" t="s">
        <v>65</v>
      </c>
      <c r="O26" t="s">
        <v>66</v>
      </c>
      <c r="P26" t="s">
        <v>67</v>
      </c>
      <c r="Q26" t="s">
        <v>49</v>
      </c>
      <c r="R26" t="s">
        <v>68</v>
      </c>
      <c r="S26" s="1">
        <v>46023</v>
      </c>
      <c r="U26" t="s">
        <v>51</v>
      </c>
      <c r="X26" t="s">
        <v>52</v>
      </c>
      <c r="Y26" s="2">
        <v>0</v>
      </c>
      <c r="Z26" s="2">
        <v>108</v>
      </c>
      <c r="AA26">
        <v>1</v>
      </c>
      <c r="AB26" s="3">
        <v>1</v>
      </c>
      <c r="AC26" s="2">
        <v>108</v>
      </c>
      <c r="AD26" s="3">
        <v>0</v>
      </c>
      <c r="AE26" s="2">
        <v>0</v>
      </c>
      <c r="AF26" s="2">
        <v>108</v>
      </c>
      <c r="AK26">
        <v>6120929</v>
      </c>
    </row>
    <row r="27" spans="1:37" x14ac:dyDescent="0.25">
      <c r="A27" s="1">
        <v>46014</v>
      </c>
      <c r="B27" s="1">
        <v>46015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142</v>
      </c>
      <c r="J27" t="s">
        <v>143</v>
      </c>
      <c r="M27" t="s">
        <v>46</v>
      </c>
      <c r="O27" t="s">
        <v>80</v>
      </c>
      <c r="P27" t="s">
        <v>81</v>
      </c>
      <c r="Q27" t="s">
        <v>49</v>
      </c>
      <c r="R27" t="s">
        <v>68</v>
      </c>
      <c r="S27" s="1">
        <v>46023</v>
      </c>
      <c r="U27" t="s">
        <v>51</v>
      </c>
      <c r="X27" t="s">
        <v>52</v>
      </c>
      <c r="Y27" s="2">
        <v>0</v>
      </c>
      <c r="Z27" s="2">
        <v>108</v>
      </c>
      <c r="AA27">
        <v>1</v>
      </c>
      <c r="AB27" s="3">
        <v>1</v>
      </c>
      <c r="AC27" s="2">
        <v>108</v>
      </c>
      <c r="AD27" s="3">
        <v>0</v>
      </c>
      <c r="AE27" s="2">
        <v>0</v>
      </c>
      <c r="AF27" s="2">
        <v>108</v>
      </c>
      <c r="AK27">
        <v>6120930</v>
      </c>
    </row>
    <row r="28" spans="1:37" x14ac:dyDescent="0.25">
      <c r="A28" s="1">
        <v>46014</v>
      </c>
      <c r="B28" s="1">
        <v>46015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144</v>
      </c>
      <c r="J28" t="s">
        <v>145</v>
      </c>
      <c r="M28" t="s">
        <v>65</v>
      </c>
      <c r="O28" t="s">
        <v>66</v>
      </c>
      <c r="P28" t="s">
        <v>67</v>
      </c>
      <c r="Q28" t="s">
        <v>49</v>
      </c>
      <c r="R28" t="s">
        <v>68</v>
      </c>
      <c r="S28" s="1">
        <v>46023</v>
      </c>
      <c r="U28" t="s">
        <v>51</v>
      </c>
      <c r="X28" t="s">
        <v>52</v>
      </c>
      <c r="Y28" s="2">
        <v>0</v>
      </c>
      <c r="Z28" s="2">
        <v>108</v>
      </c>
      <c r="AA28">
        <v>1</v>
      </c>
      <c r="AB28" s="3">
        <v>1</v>
      </c>
      <c r="AC28" s="2">
        <v>108</v>
      </c>
      <c r="AD28" s="3">
        <v>0</v>
      </c>
      <c r="AE28" s="2">
        <v>0</v>
      </c>
      <c r="AF28" s="2">
        <v>108</v>
      </c>
      <c r="AK28">
        <v>6120931</v>
      </c>
    </row>
    <row r="29" spans="1:37" x14ac:dyDescent="0.25">
      <c r="A29" s="1">
        <v>46014</v>
      </c>
      <c r="B29" s="1">
        <v>46015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146</v>
      </c>
      <c r="J29" t="s">
        <v>147</v>
      </c>
      <c r="M29" t="s">
        <v>148</v>
      </c>
      <c r="O29" t="s">
        <v>149</v>
      </c>
      <c r="P29" t="s">
        <v>150</v>
      </c>
      <c r="Q29" t="s">
        <v>49</v>
      </c>
      <c r="R29" t="s">
        <v>50</v>
      </c>
      <c r="S29" s="1">
        <v>46023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6121090</v>
      </c>
    </row>
    <row r="30" spans="1:37" x14ac:dyDescent="0.25">
      <c r="A30" s="1">
        <v>46014</v>
      </c>
      <c r="B30" s="1">
        <v>46015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151</v>
      </c>
      <c r="J30" t="s">
        <v>152</v>
      </c>
      <c r="M30" t="s">
        <v>60</v>
      </c>
      <c r="O30" t="s">
        <v>153</v>
      </c>
      <c r="P30" t="s">
        <v>154</v>
      </c>
      <c r="Q30" t="s">
        <v>49</v>
      </c>
      <c r="R30" t="s">
        <v>50</v>
      </c>
      <c r="S30" s="1">
        <v>46023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6121091</v>
      </c>
    </row>
    <row r="31" spans="1:37" x14ac:dyDescent="0.25">
      <c r="A31" s="1">
        <v>46014</v>
      </c>
      <c r="B31" s="1">
        <v>46015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155</v>
      </c>
      <c r="J31" t="s">
        <v>156</v>
      </c>
      <c r="M31" t="s">
        <v>124</v>
      </c>
      <c r="O31" t="s">
        <v>157</v>
      </c>
      <c r="P31" t="s">
        <v>158</v>
      </c>
      <c r="Q31" t="s">
        <v>49</v>
      </c>
      <c r="R31" t="s">
        <v>68</v>
      </c>
      <c r="S31" s="1">
        <v>46023</v>
      </c>
      <c r="U31" t="s">
        <v>51</v>
      </c>
      <c r="X31" t="s">
        <v>52</v>
      </c>
      <c r="Y31" s="2">
        <v>0</v>
      </c>
      <c r="Z31" s="2">
        <v>108</v>
      </c>
      <c r="AA31">
        <v>1</v>
      </c>
      <c r="AB31" s="3">
        <v>1</v>
      </c>
      <c r="AC31" s="2">
        <v>108</v>
      </c>
      <c r="AD31" s="3">
        <v>0</v>
      </c>
      <c r="AE31" s="2">
        <v>0</v>
      </c>
      <c r="AF31" s="2">
        <v>108</v>
      </c>
      <c r="AK31">
        <v>6120932</v>
      </c>
    </row>
    <row r="32" spans="1:37" x14ac:dyDescent="0.25">
      <c r="A32" s="1">
        <v>46014</v>
      </c>
      <c r="B32" s="1">
        <v>46015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159</v>
      </c>
      <c r="J32" t="s">
        <v>160</v>
      </c>
      <c r="M32" t="s">
        <v>65</v>
      </c>
      <c r="O32" t="s">
        <v>161</v>
      </c>
      <c r="P32" t="s">
        <v>162</v>
      </c>
      <c r="Q32" t="s">
        <v>49</v>
      </c>
      <c r="R32" t="s">
        <v>68</v>
      </c>
      <c r="S32" s="1">
        <v>46023</v>
      </c>
      <c r="U32" t="s">
        <v>51</v>
      </c>
      <c r="X32" t="s">
        <v>52</v>
      </c>
      <c r="Y32" s="2">
        <v>0</v>
      </c>
      <c r="Z32" s="2">
        <v>108</v>
      </c>
      <c r="AA32">
        <v>1</v>
      </c>
      <c r="AB32" s="3">
        <v>1</v>
      </c>
      <c r="AC32" s="2">
        <v>108</v>
      </c>
      <c r="AD32" s="3">
        <v>0</v>
      </c>
      <c r="AE32" s="2">
        <v>0</v>
      </c>
      <c r="AF32" s="2">
        <v>108</v>
      </c>
      <c r="AK32">
        <v>6120890</v>
      </c>
    </row>
    <row r="33" spans="1:37" x14ac:dyDescent="0.25">
      <c r="A33" s="1">
        <v>46014</v>
      </c>
      <c r="B33" s="1">
        <v>46015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163</v>
      </c>
      <c r="J33" t="s">
        <v>164</v>
      </c>
      <c r="M33" t="s">
        <v>55</v>
      </c>
      <c r="O33" t="s">
        <v>153</v>
      </c>
      <c r="P33" t="s">
        <v>154</v>
      </c>
      <c r="Q33" t="s">
        <v>49</v>
      </c>
      <c r="R33" t="s">
        <v>68</v>
      </c>
      <c r="S33" s="1">
        <v>45992</v>
      </c>
      <c r="U33" t="s">
        <v>51</v>
      </c>
      <c r="X33" t="s">
        <v>52</v>
      </c>
      <c r="Y33" s="2">
        <v>0</v>
      </c>
      <c r="Z33" s="2">
        <v>108</v>
      </c>
      <c r="AA33">
        <v>1</v>
      </c>
      <c r="AB33" s="3">
        <v>1</v>
      </c>
      <c r="AC33" s="2">
        <v>108</v>
      </c>
      <c r="AD33" s="3">
        <v>0</v>
      </c>
      <c r="AE33" s="2">
        <v>0</v>
      </c>
      <c r="AF33" s="2">
        <v>108</v>
      </c>
      <c r="AK33">
        <v>6120933</v>
      </c>
    </row>
    <row r="34" spans="1:37" x14ac:dyDescent="0.25">
      <c r="A34" s="1">
        <v>46014</v>
      </c>
      <c r="B34" s="1">
        <v>46015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165</v>
      </c>
      <c r="J34" t="s">
        <v>166</v>
      </c>
      <c r="M34" t="s">
        <v>129</v>
      </c>
      <c r="O34" t="s">
        <v>76</v>
      </c>
      <c r="P34" t="s">
        <v>77</v>
      </c>
      <c r="Q34" t="s">
        <v>49</v>
      </c>
      <c r="R34" t="s">
        <v>50</v>
      </c>
      <c r="S34" s="1">
        <v>46023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6121092</v>
      </c>
    </row>
    <row r="35" spans="1:37" x14ac:dyDescent="0.25">
      <c r="A35" s="1">
        <v>46014</v>
      </c>
      <c r="B35" s="1">
        <v>46015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167</v>
      </c>
      <c r="J35" t="s">
        <v>168</v>
      </c>
      <c r="M35" t="s">
        <v>65</v>
      </c>
      <c r="O35" t="s">
        <v>169</v>
      </c>
      <c r="P35" t="s">
        <v>170</v>
      </c>
      <c r="Q35" t="s">
        <v>49</v>
      </c>
      <c r="R35" t="s">
        <v>50</v>
      </c>
      <c r="S35" s="1">
        <v>46023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6121093</v>
      </c>
    </row>
    <row r="36" spans="1:37" x14ac:dyDescent="0.25">
      <c r="A36" s="1">
        <v>46014</v>
      </c>
      <c r="B36" s="1">
        <v>46015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171</v>
      </c>
      <c r="J36" t="s">
        <v>172</v>
      </c>
      <c r="M36" t="s">
        <v>65</v>
      </c>
      <c r="O36" t="s">
        <v>61</v>
      </c>
      <c r="P36" t="s">
        <v>62</v>
      </c>
      <c r="Q36" t="s">
        <v>49</v>
      </c>
      <c r="R36" t="s">
        <v>68</v>
      </c>
      <c r="S36" s="1">
        <v>46023</v>
      </c>
      <c r="U36" t="s">
        <v>51</v>
      </c>
      <c r="X36" t="s">
        <v>52</v>
      </c>
      <c r="Y36" s="2">
        <v>0</v>
      </c>
      <c r="Z36" s="2">
        <v>108</v>
      </c>
      <c r="AA36">
        <v>1</v>
      </c>
      <c r="AB36" s="3">
        <v>1</v>
      </c>
      <c r="AC36" s="2">
        <v>108</v>
      </c>
      <c r="AD36" s="3">
        <v>0</v>
      </c>
      <c r="AE36" s="2">
        <v>0</v>
      </c>
      <c r="AF36" s="2">
        <v>108</v>
      </c>
      <c r="AK36">
        <v>6120934</v>
      </c>
    </row>
    <row r="37" spans="1:37" x14ac:dyDescent="0.25">
      <c r="A37" s="1">
        <v>46014</v>
      </c>
      <c r="B37" s="1">
        <v>46015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173</v>
      </c>
      <c r="J37" t="s">
        <v>174</v>
      </c>
      <c r="M37" t="s">
        <v>175</v>
      </c>
      <c r="O37" t="s">
        <v>176</v>
      </c>
      <c r="P37" t="s">
        <v>177</v>
      </c>
      <c r="Q37" t="s">
        <v>49</v>
      </c>
      <c r="R37" t="s">
        <v>68</v>
      </c>
      <c r="S37" s="1">
        <v>46023</v>
      </c>
      <c r="U37" t="s">
        <v>51</v>
      </c>
      <c r="X37" t="s">
        <v>52</v>
      </c>
      <c r="Y37" s="2">
        <v>0</v>
      </c>
      <c r="Z37" s="2">
        <v>108</v>
      </c>
      <c r="AA37">
        <v>1</v>
      </c>
      <c r="AB37" s="3">
        <v>1</v>
      </c>
      <c r="AC37" s="2">
        <v>108</v>
      </c>
      <c r="AD37" s="3">
        <v>0</v>
      </c>
      <c r="AE37" s="2">
        <v>0</v>
      </c>
      <c r="AF37" s="2">
        <v>108</v>
      </c>
      <c r="AK37">
        <v>6120935</v>
      </c>
    </row>
    <row r="38" spans="1:37" x14ac:dyDescent="0.25">
      <c r="A38" s="1">
        <v>46014</v>
      </c>
      <c r="B38" s="1">
        <v>46015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178</v>
      </c>
      <c r="J38" t="s">
        <v>179</v>
      </c>
      <c r="M38" t="s">
        <v>65</v>
      </c>
      <c r="O38" t="s">
        <v>180</v>
      </c>
      <c r="P38" t="s">
        <v>181</v>
      </c>
      <c r="Q38" t="s">
        <v>49</v>
      </c>
      <c r="R38" t="s">
        <v>50</v>
      </c>
      <c r="S38" s="1">
        <v>46023</v>
      </c>
      <c r="U38" t="s">
        <v>51</v>
      </c>
      <c r="X38" t="s">
        <v>52</v>
      </c>
      <c r="Y38" s="2">
        <v>0</v>
      </c>
      <c r="Z38" s="2">
        <v>175</v>
      </c>
      <c r="AA38">
        <v>1</v>
      </c>
      <c r="AB38" s="3">
        <v>1</v>
      </c>
      <c r="AC38" s="2">
        <v>175</v>
      </c>
      <c r="AD38" s="3">
        <v>0</v>
      </c>
      <c r="AE38" s="2">
        <v>0</v>
      </c>
      <c r="AF38" s="2">
        <v>175</v>
      </c>
      <c r="AK38">
        <v>6121045</v>
      </c>
    </row>
    <row r="39" spans="1:37" x14ac:dyDescent="0.25">
      <c r="A39" s="1">
        <v>46014</v>
      </c>
      <c r="B39" s="1">
        <v>46015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182</v>
      </c>
      <c r="J39" t="s">
        <v>183</v>
      </c>
      <c r="M39" t="s">
        <v>65</v>
      </c>
      <c r="O39" t="s">
        <v>169</v>
      </c>
      <c r="P39" t="s">
        <v>170</v>
      </c>
      <c r="Q39" t="s">
        <v>49</v>
      </c>
      <c r="R39" t="s">
        <v>50</v>
      </c>
      <c r="S39" s="1">
        <v>46023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6121094</v>
      </c>
    </row>
    <row r="40" spans="1:37" x14ac:dyDescent="0.25">
      <c r="A40" s="1">
        <v>46014</v>
      </c>
      <c r="B40" s="1">
        <v>46015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184</v>
      </c>
      <c r="J40" t="s">
        <v>185</v>
      </c>
      <c r="M40" t="s">
        <v>186</v>
      </c>
      <c r="O40" t="s">
        <v>187</v>
      </c>
      <c r="P40" t="s">
        <v>188</v>
      </c>
      <c r="Q40" t="s">
        <v>49</v>
      </c>
      <c r="R40" t="s">
        <v>50</v>
      </c>
      <c r="S40" s="1">
        <v>46023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6121046</v>
      </c>
    </row>
    <row r="41" spans="1:37" x14ac:dyDescent="0.25">
      <c r="A41" s="1">
        <v>46014</v>
      </c>
      <c r="B41" s="1">
        <v>46015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189</v>
      </c>
      <c r="J41" t="s">
        <v>190</v>
      </c>
      <c r="M41" t="s">
        <v>191</v>
      </c>
      <c r="O41" t="s">
        <v>192</v>
      </c>
      <c r="P41" t="s">
        <v>193</v>
      </c>
      <c r="Q41" t="s">
        <v>49</v>
      </c>
      <c r="R41" t="s">
        <v>50</v>
      </c>
      <c r="S41" s="1">
        <v>46082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6121095</v>
      </c>
    </row>
    <row r="42" spans="1:37" x14ac:dyDescent="0.25">
      <c r="A42" s="1">
        <v>46014</v>
      </c>
      <c r="B42" s="1">
        <v>46015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194</v>
      </c>
      <c r="J42" t="s">
        <v>195</v>
      </c>
      <c r="M42" t="s">
        <v>65</v>
      </c>
      <c r="O42" t="s">
        <v>196</v>
      </c>
      <c r="P42" t="s">
        <v>195</v>
      </c>
      <c r="Q42" t="s">
        <v>49</v>
      </c>
      <c r="R42" t="s">
        <v>50</v>
      </c>
      <c r="S42" s="1">
        <v>46023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6121047</v>
      </c>
    </row>
    <row r="43" spans="1:37" x14ac:dyDescent="0.25">
      <c r="A43" s="1">
        <v>46014</v>
      </c>
      <c r="B43" s="1">
        <v>46015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197</v>
      </c>
      <c r="J43" t="s">
        <v>198</v>
      </c>
      <c r="M43" t="s">
        <v>46</v>
      </c>
      <c r="O43" t="s">
        <v>80</v>
      </c>
      <c r="P43" t="s">
        <v>81</v>
      </c>
      <c r="Q43" t="s">
        <v>49</v>
      </c>
      <c r="R43" t="s">
        <v>50</v>
      </c>
      <c r="S43" s="1">
        <v>46023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6121096</v>
      </c>
    </row>
    <row r="44" spans="1:37" x14ac:dyDescent="0.25">
      <c r="A44" s="1">
        <v>46014</v>
      </c>
      <c r="B44" s="1">
        <v>46015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199</v>
      </c>
      <c r="J44" t="s">
        <v>200</v>
      </c>
      <c r="M44" t="s">
        <v>65</v>
      </c>
      <c r="O44" t="s">
        <v>201</v>
      </c>
      <c r="P44" t="s">
        <v>202</v>
      </c>
      <c r="Q44" t="s">
        <v>49</v>
      </c>
      <c r="R44" t="s">
        <v>50</v>
      </c>
      <c r="S44" s="1">
        <v>46023</v>
      </c>
      <c r="U44" t="s">
        <v>51</v>
      </c>
      <c r="X44" t="s">
        <v>52</v>
      </c>
      <c r="Y44" s="2">
        <v>0</v>
      </c>
      <c r="Z44" s="2">
        <v>175</v>
      </c>
      <c r="AA44">
        <v>1</v>
      </c>
      <c r="AB44" s="3">
        <v>1</v>
      </c>
      <c r="AC44" s="2">
        <v>175</v>
      </c>
      <c r="AD44" s="3">
        <v>0</v>
      </c>
      <c r="AE44" s="2">
        <v>0</v>
      </c>
      <c r="AF44" s="2">
        <v>175</v>
      </c>
      <c r="AK44">
        <v>6121097</v>
      </c>
    </row>
    <row r="45" spans="1:37" x14ac:dyDescent="0.25">
      <c r="A45" s="1">
        <v>46014</v>
      </c>
      <c r="B45" s="1">
        <v>46015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203</v>
      </c>
      <c r="J45" t="s">
        <v>204</v>
      </c>
      <c r="M45" t="s">
        <v>186</v>
      </c>
      <c r="O45" t="s">
        <v>187</v>
      </c>
      <c r="P45" t="s">
        <v>188</v>
      </c>
      <c r="Q45" t="s">
        <v>49</v>
      </c>
      <c r="R45" t="s">
        <v>50</v>
      </c>
      <c r="S45" s="1">
        <v>46023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6121052</v>
      </c>
    </row>
    <row r="46" spans="1:37" x14ac:dyDescent="0.25">
      <c r="A46" s="1">
        <v>46014</v>
      </c>
      <c r="B46" s="1">
        <v>46015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205</v>
      </c>
      <c r="J46" t="s">
        <v>206</v>
      </c>
      <c r="M46" t="s">
        <v>207</v>
      </c>
      <c r="O46" t="s">
        <v>157</v>
      </c>
      <c r="P46" t="s">
        <v>158</v>
      </c>
      <c r="Q46" t="s">
        <v>49</v>
      </c>
      <c r="R46" t="s">
        <v>50</v>
      </c>
      <c r="S46" s="1">
        <v>46023</v>
      </c>
      <c r="U46" t="s">
        <v>51</v>
      </c>
      <c r="X46" t="s">
        <v>52</v>
      </c>
      <c r="Y46" s="2">
        <v>0</v>
      </c>
      <c r="Z46" s="2">
        <v>175</v>
      </c>
      <c r="AA46">
        <v>1</v>
      </c>
      <c r="AB46" s="3">
        <v>1</v>
      </c>
      <c r="AC46" s="2">
        <v>175</v>
      </c>
      <c r="AD46" s="3">
        <v>0</v>
      </c>
      <c r="AE46" s="2">
        <v>0</v>
      </c>
      <c r="AF46" s="2">
        <v>175</v>
      </c>
      <c r="AK46">
        <v>6121098</v>
      </c>
    </row>
    <row r="47" spans="1:37" x14ac:dyDescent="0.25">
      <c r="A47" s="1">
        <v>46014</v>
      </c>
      <c r="B47" s="1">
        <v>46015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208</v>
      </c>
      <c r="J47" t="s">
        <v>209</v>
      </c>
      <c r="M47" t="s">
        <v>191</v>
      </c>
      <c r="O47" t="s">
        <v>71</v>
      </c>
      <c r="P47" t="s">
        <v>72</v>
      </c>
      <c r="Q47" t="s">
        <v>49</v>
      </c>
      <c r="R47" t="s">
        <v>50</v>
      </c>
      <c r="S47" s="1">
        <v>46023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2">
        <v>175</v>
      </c>
      <c r="AD47" s="3">
        <v>0</v>
      </c>
      <c r="AE47" s="2">
        <v>0</v>
      </c>
      <c r="AF47" s="2">
        <v>175</v>
      </c>
      <c r="AK47">
        <v>6121099</v>
      </c>
    </row>
    <row r="48" spans="1:37" x14ac:dyDescent="0.25">
      <c r="A48" s="1">
        <v>46014</v>
      </c>
      <c r="B48" s="1">
        <v>46015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210</v>
      </c>
      <c r="J48" t="s">
        <v>211</v>
      </c>
      <c r="M48" t="s">
        <v>212</v>
      </c>
      <c r="O48" t="s">
        <v>157</v>
      </c>
      <c r="P48" t="s">
        <v>158</v>
      </c>
      <c r="Q48" t="s">
        <v>49</v>
      </c>
      <c r="R48" t="s">
        <v>50</v>
      </c>
      <c r="S48" s="1">
        <v>46023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6121100</v>
      </c>
    </row>
    <row r="49" spans="1:37" x14ac:dyDescent="0.25">
      <c r="A49" s="1">
        <v>46014</v>
      </c>
      <c r="B49" s="1">
        <v>46015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213</v>
      </c>
      <c r="J49" t="s">
        <v>214</v>
      </c>
      <c r="M49" t="s">
        <v>65</v>
      </c>
      <c r="O49" t="s">
        <v>71</v>
      </c>
      <c r="P49" t="s">
        <v>72</v>
      </c>
      <c r="Q49" t="s">
        <v>49</v>
      </c>
      <c r="R49" t="s">
        <v>50</v>
      </c>
      <c r="S49" s="1">
        <v>46023</v>
      </c>
      <c r="U49" t="s">
        <v>51</v>
      </c>
      <c r="X49" t="s">
        <v>52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6121101</v>
      </c>
    </row>
    <row r="50" spans="1:37" x14ac:dyDescent="0.25">
      <c r="A50" s="1">
        <v>46014</v>
      </c>
      <c r="B50" s="1">
        <v>46015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215</v>
      </c>
      <c r="J50" t="s">
        <v>216</v>
      </c>
      <c r="M50" t="s">
        <v>65</v>
      </c>
      <c r="O50" t="s">
        <v>176</v>
      </c>
      <c r="P50" t="s">
        <v>177</v>
      </c>
      <c r="Q50" t="s">
        <v>49</v>
      </c>
      <c r="R50" t="s">
        <v>50</v>
      </c>
      <c r="S50" s="1">
        <v>46023</v>
      </c>
      <c r="U50" t="s">
        <v>51</v>
      </c>
      <c r="X50" t="s">
        <v>52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6121102</v>
      </c>
    </row>
    <row r="51" spans="1:37" x14ac:dyDescent="0.25">
      <c r="A51" s="1">
        <v>46014</v>
      </c>
      <c r="B51" s="1">
        <v>46015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217</v>
      </c>
      <c r="J51" t="s">
        <v>218</v>
      </c>
      <c r="M51" t="s">
        <v>186</v>
      </c>
      <c r="O51" t="s">
        <v>187</v>
      </c>
      <c r="P51" t="s">
        <v>188</v>
      </c>
      <c r="Q51" t="s">
        <v>49</v>
      </c>
      <c r="R51" t="s">
        <v>50</v>
      </c>
      <c r="S51" s="1">
        <v>46023</v>
      </c>
      <c r="U51" t="s">
        <v>51</v>
      </c>
      <c r="X51" t="s">
        <v>52</v>
      </c>
      <c r="Y51" s="2">
        <v>0</v>
      </c>
      <c r="Z51" s="2">
        <v>175</v>
      </c>
      <c r="AA51">
        <v>1</v>
      </c>
      <c r="AB51" s="3">
        <v>1</v>
      </c>
      <c r="AC51" s="2">
        <v>175</v>
      </c>
      <c r="AD51" s="3">
        <v>0</v>
      </c>
      <c r="AE51" s="2">
        <v>0</v>
      </c>
      <c r="AF51" s="2">
        <v>175</v>
      </c>
      <c r="AK51">
        <v>6121053</v>
      </c>
    </row>
    <row r="52" spans="1:37" x14ac:dyDescent="0.25">
      <c r="A52" s="1">
        <v>46014</v>
      </c>
      <c r="B52" s="1">
        <v>46015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219</v>
      </c>
      <c r="J52" t="s">
        <v>220</v>
      </c>
      <c r="M52" t="s">
        <v>65</v>
      </c>
      <c r="O52" t="s">
        <v>169</v>
      </c>
      <c r="P52" t="s">
        <v>170</v>
      </c>
      <c r="Q52" t="s">
        <v>49</v>
      </c>
      <c r="R52" t="s">
        <v>50</v>
      </c>
      <c r="S52" s="1">
        <v>46023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6121103</v>
      </c>
    </row>
    <row r="53" spans="1:37" x14ac:dyDescent="0.25">
      <c r="A53" s="1">
        <v>46014</v>
      </c>
      <c r="B53" s="1">
        <v>46015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221</v>
      </c>
      <c r="J53" t="s">
        <v>222</v>
      </c>
      <c r="M53" t="s">
        <v>65</v>
      </c>
      <c r="O53" t="s">
        <v>98</v>
      </c>
      <c r="P53" t="s">
        <v>99</v>
      </c>
      <c r="Q53" t="s">
        <v>49</v>
      </c>
      <c r="R53" t="s">
        <v>50</v>
      </c>
      <c r="S53" s="1">
        <v>46023</v>
      </c>
      <c r="U53" t="s">
        <v>51</v>
      </c>
      <c r="X53" t="s">
        <v>52</v>
      </c>
      <c r="Y53" s="2">
        <v>0</v>
      </c>
      <c r="Z53" s="2">
        <v>175</v>
      </c>
      <c r="AA53">
        <v>1</v>
      </c>
      <c r="AB53" s="3">
        <v>1</v>
      </c>
      <c r="AC53" s="2">
        <v>175</v>
      </c>
      <c r="AD53" s="3">
        <v>0</v>
      </c>
      <c r="AE53" s="2">
        <v>0</v>
      </c>
      <c r="AF53" s="2">
        <v>175</v>
      </c>
      <c r="AK53">
        <v>6121104</v>
      </c>
    </row>
    <row r="54" spans="1:37" x14ac:dyDescent="0.25">
      <c r="A54" s="1">
        <v>46014</v>
      </c>
      <c r="B54" s="1">
        <v>46015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223</v>
      </c>
      <c r="J54" t="s">
        <v>224</v>
      </c>
      <c r="M54" t="s">
        <v>65</v>
      </c>
      <c r="O54" t="s">
        <v>225</v>
      </c>
      <c r="P54" t="s">
        <v>226</v>
      </c>
      <c r="Q54" t="s">
        <v>49</v>
      </c>
      <c r="R54" t="s">
        <v>50</v>
      </c>
      <c r="S54" s="1">
        <v>46023</v>
      </c>
      <c r="U54" t="s">
        <v>51</v>
      </c>
      <c r="X54" t="s">
        <v>52</v>
      </c>
      <c r="Y54" s="2">
        <v>0</v>
      </c>
      <c r="Z54" s="2">
        <v>175</v>
      </c>
      <c r="AA54">
        <v>1</v>
      </c>
      <c r="AB54" s="3">
        <v>1</v>
      </c>
      <c r="AC54" s="2">
        <v>175</v>
      </c>
      <c r="AD54" s="3">
        <v>0</v>
      </c>
      <c r="AE54" s="2">
        <v>0</v>
      </c>
      <c r="AF54" s="2">
        <v>175</v>
      </c>
      <c r="AK54">
        <v>6121105</v>
      </c>
    </row>
    <row r="55" spans="1:37" x14ac:dyDescent="0.25">
      <c r="A55" s="1">
        <v>46014</v>
      </c>
      <c r="B55" s="1">
        <v>46015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227</v>
      </c>
      <c r="J55" t="s">
        <v>228</v>
      </c>
      <c r="M55" t="s">
        <v>65</v>
      </c>
      <c r="O55" t="s">
        <v>229</v>
      </c>
      <c r="P55" t="s">
        <v>230</v>
      </c>
      <c r="Q55" t="s">
        <v>49</v>
      </c>
      <c r="R55" t="s">
        <v>50</v>
      </c>
      <c r="S55" s="1">
        <v>46023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6121054</v>
      </c>
    </row>
    <row r="56" spans="1:37" x14ac:dyDescent="0.25">
      <c r="A56" s="1">
        <v>46014</v>
      </c>
      <c r="B56" s="1">
        <v>46015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231</v>
      </c>
      <c r="J56" t="s">
        <v>232</v>
      </c>
      <c r="M56" t="s">
        <v>55</v>
      </c>
      <c r="O56" t="s">
        <v>80</v>
      </c>
      <c r="P56" t="s">
        <v>81</v>
      </c>
      <c r="Q56" t="s">
        <v>49</v>
      </c>
      <c r="R56" t="s">
        <v>50</v>
      </c>
      <c r="S56" s="1">
        <v>46023</v>
      </c>
      <c r="U56" t="s">
        <v>51</v>
      </c>
      <c r="X56" t="s">
        <v>52</v>
      </c>
      <c r="Y56" s="2">
        <v>0</v>
      </c>
      <c r="Z56" s="2">
        <v>175</v>
      </c>
      <c r="AA56">
        <v>1</v>
      </c>
      <c r="AB56" s="3">
        <v>1</v>
      </c>
      <c r="AC56" s="2">
        <v>175</v>
      </c>
      <c r="AD56" s="3">
        <v>0</v>
      </c>
      <c r="AE56" s="2">
        <v>0</v>
      </c>
      <c r="AF56" s="2">
        <v>175</v>
      </c>
      <c r="AK56">
        <v>6121106</v>
      </c>
    </row>
    <row r="57" spans="1:37" x14ac:dyDescent="0.25">
      <c r="A57" s="1">
        <v>46014</v>
      </c>
      <c r="B57" s="1">
        <v>46015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233</v>
      </c>
      <c r="J57" t="s">
        <v>234</v>
      </c>
      <c r="M57" t="s">
        <v>65</v>
      </c>
      <c r="O57" t="s">
        <v>235</v>
      </c>
      <c r="P57" t="s">
        <v>236</v>
      </c>
      <c r="Q57" t="s">
        <v>49</v>
      </c>
      <c r="R57" t="s">
        <v>50</v>
      </c>
      <c r="S57" s="1">
        <v>46023</v>
      </c>
      <c r="U57" t="s">
        <v>51</v>
      </c>
      <c r="X57" t="s">
        <v>52</v>
      </c>
      <c r="Y57" s="2">
        <v>0</v>
      </c>
      <c r="Z57" s="2">
        <v>175</v>
      </c>
      <c r="AA57">
        <v>1</v>
      </c>
      <c r="AB57" s="3">
        <v>1</v>
      </c>
      <c r="AC57" s="2">
        <v>175</v>
      </c>
      <c r="AD57" s="3">
        <v>0</v>
      </c>
      <c r="AE57" s="2">
        <v>0</v>
      </c>
      <c r="AF57" s="2">
        <v>175</v>
      </c>
      <c r="AK57">
        <v>6121107</v>
      </c>
    </row>
    <row r="58" spans="1:37" x14ac:dyDescent="0.25">
      <c r="A58" s="1">
        <v>46014</v>
      </c>
      <c r="B58" s="1">
        <v>46015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237</v>
      </c>
      <c r="J58" t="s">
        <v>238</v>
      </c>
      <c r="M58" t="s">
        <v>239</v>
      </c>
      <c r="O58" t="s">
        <v>240</v>
      </c>
      <c r="P58" t="s">
        <v>241</v>
      </c>
      <c r="Q58" t="s">
        <v>49</v>
      </c>
      <c r="R58" t="s">
        <v>50</v>
      </c>
      <c r="S58" s="1">
        <v>46023</v>
      </c>
      <c r="U58" t="s">
        <v>51</v>
      </c>
      <c r="X58" t="s">
        <v>52</v>
      </c>
      <c r="Y58" s="2">
        <v>0</v>
      </c>
      <c r="Z58" s="2">
        <v>175</v>
      </c>
      <c r="AA58">
        <v>1</v>
      </c>
      <c r="AB58" s="3">
        <v>1</v>
      </c>
      <c r="AC58" s="2">
        <v>175</v>
      </c>
      <c r="AD58" s="3">
        <v>0</v>
      </c>
      <c r="AE58" s="2">
        <v>0</v>
      </c>
      <c r="AF58" s="2">
        <v>175</v>
      </c>
      <c r="AK58">
        <v>6121089</v>
      </c>
    </row>
    <row r="59" spans="1:37" x14ac:dyDescent="0.25">
      <c r="A59" s="1">
        <v>46014</v>
      </c>
      <c r="B59" s="1">
        <v>46015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242</v>
      </c>
      <c r="J59" t="s">
        <v>243</v>
      </c>
      <c r="M59" t="s">
        <v>65</v>
      </c>
      <c r="O59" t="s">
        <v>244</v>
      </c>
      <c r="P59" t="s">
        <v>245</v>
      </c>
      <c r="Q59" t="s">
        <v>49</v>
      </c>
      <c r="R59" t="s">
        <v>50</v>
      </c>
      <c r="S59" s="1">
        <v>46023</v>
      </c>
      <c r="U59" t="s">
        <v>51</v>
      </c>
      <c r="X59" t="s">
        <v>52</v>
      </c>
      <c r="Y59" s="2">
        <v>0</v>
      </c>
      <c r="Z59" s="2">
        <v>175</v>
      </c>
      <c r="AA59">
        <v>1</v>
      </c>
      <c r="AB59" s="3">
        <v>1</v>
      </c>
      <c r="AC59" s="2">
        <v>175</v>
      </c>
      <c r="AD59" s="3">
        <v>0</v>
      </c>
      <c r="AE59" s="2">
        <v>0</v>
      </c>
      <c r="AF59" s="2">
        <v>175</v>
      </c>
      <c r="AK59">
        <v>6121108</v>
      </c>
    </row>
    <row r="60" spans="1:37" x14ac:dyDescent="0.25">
      <c r="A60" s="1">
        <v>46014</v>
      </c>
      <c r="B60" s="1">
        <v>46015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246</v>
      </c>
      <c r="J60" t="s">
        <v>247</v>
      </c>
      <c r="M60" t="s">
        <v>65</v>
      </c>
      <c r="O60" t="s">
        <v>98</v>
      </c>
      <c r="P60" t="s">
        <v>99</v>
      </c>
      <c r="Q60" t="s">
        <v>49</v>
      </c>
      <c r="R60" t="s">
        <v>50</v>
      </c>
      <c r="S60" s="1">
        <v>46023</v>
      </c>
      <c r="U60" t="s">
        <v>51</v>
      </c>
      <c r="X60" t="s">
        <v>52</v>
      </c>
      <c r="Y60" s="2">
        <v>0</v>
      </c>
      <c r="Z60" s="2">
        <v>175</v>
      </c>
      <c r="AA60">
        <v>1</v>
      </c>
      <c r="AB60" s="3">
        <v>1</v>
      </c>
      <c r="AC60" s="2">
        <v>175</v>
      </c>
      <c r="AD60" s="3">
        <v>0</v>
      </c>
      <c r="AE60" s="2">
        <v>0</v>
      </c>
      <c r="AF60" s="2">
        <v>175</v>
      </c>
      <c r="AK60">
        <v>6121109</v>
      </c>
    </row>
    <row r="61" spans="1:37" x14ac:dyDescent="0.25">
      <c r="A61" s="1">
        <v>46014</v>
      </c>
      <c r="B61" s="1">
        <v>46015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248</v>
      </c>
      <c r="J61" t="s">
        <v>249</v>
      </c>
      <c r="M61" t="s">
        <v>250</v>
      </c>
      <c r="O61" t="s">
        <v>251</v>
      </c>
      <c r="P61" t="s">
        <v>252</v>
      </c>
      <c r="Q61" t="s">
        <v>49</v>
      </c>
      <c r="R61" t="s">
        <v>50</v>
      </c>
      <c r="S61" s="1">
        <v>46023</v>
      </c>
      <c r="U61" t="s">
        <v>51</v>
      </c>
      <c r="X61" t="s">
        <v>52</v>
      </c>
      <c r="Y61" s="2">
        <v>0</v>
      </c>
      <c r="Z61" s="2">
        <v>175</v>
      </c>
      <c r="AA61">
        <v>1</v>
      </c>
      <c r="AB61" s="3">
        <v>1</v>
      </c>
      <c r="AC61" s="2">
        <v>175</v>
      </c>
      <c r="AD61" s="3">
        <v>0</v>
      </c>
      <c r="AE61" s="2">
        <v>0</v>
      </c>
      <c r="AF61" s="2">
        <v>175</v>
      </c>
      <c r="AK61">
        <v>6121110</v>
      </c>
    </row>
    <row r="62" spans="1:37" x14ac:dyDescent="0.25">
      <c r="A62" s="1">
        <v>46014</v>
      </c>
      <c r="B62" s="1">
        <v>46015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253</v>
      </c>
      <c r="J62" t="s">
        <v>254</v>
      </c>
      <c r="M62" t="s">
        <v>65</v>
      </c>
      <c r="O62" t="s">
        <v>98</v>
      </c>
      <c r="P62" t="s">
        <v>99</v>
      </c>
      <c r="Q62" t="s">
        <v>49</v>
      </c>
      <c r="R62" t="s">
        <v>50</v>
      </c>
      <c r="S62" s="1">
        <v>46023</v>
      </c>
      <c r="U62" t="s">
        <v>51</v>
      </c>
      <c r="X62" t="s">
        <v>52</v>
      </c>
      <c r="Y62" s="2">
        <v>0</v>
      </c>
      <c r="Z62" s="2">
        <v>175</v>
      </c>
      <c r="AA62">
        <v>1</v>
      </c>
      <c r="AB62" s="3">
        <v>1</v>
      </c>
      <c r="AC62" s="2">
        <v>175</v>
      </c>
      <c r="AD62" s="3">
        <v>0</v>
      </c>
      <c r="AE62" s="2">
        <v>0</v>
      </c>
      <c r="AF62" s="2">
        <v>175</v>
      </c>
      <c r="AK62">
        <v>6121111</v>
      </c>
    </row>
    <row r="63" spans="1:37" x14ac:dyDescent="0.25">
      <c r="A63" s="1">
        <v>46014</v>
      </c>
      <c r="B63" s="1">
        <v>46015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255</v>
      </c>
      <c r="J63" t="s">
        <v>256</v>
      </c>
      <c r="M63" t="s">
        <v>65</v>
      </c>
      <c r="O63" t="s">
        <v>257</v>
      </c>
      <c r="P63" t="s">
        <v>258</v>
      </c>
      <c r="Q63" t="s">
        <v>49</v>
      </c>
      <c r="R63" t="s">
        <v>50</v>
      </c>
      <c r="S63" s="1">
        <v>46023</v>
      </c>
      <c r="U63" t="s">
        <v>51</v>
      </c>
      <c r="X63" t="s">
        <v>52</v>
      </c>
      <c r="Y63" s="2">
        <v>0</v>
      </c>
      <c r="Z63" s="2">
        <v>175</v>
      </c>
      <c r="AA63">
        <v>1</v>
      </c>
      <c r="AB63" s="3">
        <v>1</v>
      </c>
      <c r="AC63" s="2">
        <v>175</v>
      </c>
      <c r="AD63" s="3">
        <v>0</v>
      </c>
      <c r="AE63" s="2">
        <v>0</v>
      </c>
      <c r="AF63" s="2">
        <v>175</v>
      </c>
      <c r="AK63">
        <v>6121112</v>
      </c>
    </row>
    <row r="64" spans="1:37" x14ac:dyDescent="0.25">
      <c r="A64" s="1">
        <v>46014</v>
      </c>
      <c r="B64" s="1">
        <v>46015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259</v>
      </c>
      <c r="J64" t="s">
        <v>260</v>
      </c>
      <c r="O64" t="s">
        <v>261</v>
      </c>
      <c r="P64" t="s">
        <v>262</v>
      </c>
      <c r="Q64" t="s">
        <v>137</v>
      </c>
      <c r="R64" t="s">
        <v>263</v>
      </c>
      <c r="S64" s="1">
        <v>45962</v>
      </c>
      <c r="U64" t="s">
        <v>51</v>
      </c>
      <c r="X64" t="s">
        <v>52</v>
      </c>
      <c r="Y64" s="2">
        <v>163.4</v>
      </c>
      <c r="Z64" s="2">
        <v>163.4</v>
      </c>
      <c r="AA64">
        <v>9</v>
      </c>
      <c r="AB64" s="3">
        <v>0.03</v>
      </c>
      <c r="AC64" s="2">
        <v>44.12</v>
      </c>
      <c r="AD64" s="3">
        <v>0</v>
      </c>
      <c r="AE64" s="2">
        <v>0</v>
      </c>
      <c r="AF64" s="2">
        <v>44.12</v>
      </c>
      <c r="AK64">
        <v>6121244</v>
      </c>
    </row>
    <row r="65" spans="1:37" x14ac:dyDescent="0.25">
      <c r="A65" s="1">
        <v>46014</v>
      </c>
      <c r="B65" s="1">
        <v>46015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264</v>
      </c>
      <c r="J65" t="s">
        <v>265</v>
      </c>
      <c r="O65" t="s">
        <v>266</v>
      </c>
      <c r="P65" t="s">
        <v>267</v>
      </c>
      <c r="Q65" t="s">
        <v>49</v>
      </c>
      <c r="R65" t="s">
        <v>268</v>
      </c>
      <c r="S65" s="1">
        <v>46023</v>
      </c>
      <c r="U65" t="s">
        <v>51</v>
      </c>
      <c r="X65" t="s">
        <v>52</v>
      </c>
      <c r="Y65" s="2">
        <v>0</v>
      </c>
      <c r="Z65" s="2">
        <v>25</v>
      </c>
      <c r="AA65">
        <v>1</v>
      </c>
      <c r="AB65" s="3">
        <v>1</v>
      </c>
      <c r="AC65" s="2">
        <v>25</v>
      </c>
      <c r="AD65" s="3">
        <v>0</v>
      </c>
      <c r="AE65" s="2">
        <v>0</v>
      </c>
      <c r="AF65" s="2">
        <v>25</v>
      </c>
      <c r="AK65">
        <v>6120270</v>
      </c>
    </row>
    <row r="66" spans="1:37" x14ac:dyDescent="0.25">
      <c r="A66" s="1">
        <v>46014</v>
      </c>
      <c r="B66" s="1">
        <v>46015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269</v>
      </c>
      <c r="J66" t="s">
        <v>270</v>
      </c>
      <c r="O66" t="s">
        <v>266</v>
      </c>
      <c r="P66" t="s">
        <v>267</v>
      </c>
      <c r="Q66" t="s">
        <v>49</v>
      </c>
      <c r="R66" t="s">
        <v>268</v>
      </c>
      <c r="S66" s="1">
        <v>46023</v>
      </c>
      <c r="U66" t="s">
        <v>51</v>
      </c>
      <c r="X66" t="s">
        <v>52</v>
      </c>
      <c r="Y66" s="2">
        <v>0</v>
      </c>
      <c r="Z66" s="2">
        <v>25</v>
      </c>
      <c r="AA66">
        <v>1</v>
      </c>
      <c r="AB66" s="3">
        <v>1</v>
      </c>
      <c r="AC66" s="2">
        <v>25</v>
      </c>
      <c r="AD66" s="3">
        <v>0</v>
      </c>
      <c r="AE66" s="2">
        <v>0</v>
      </c>
      <c r="AF66" s="2">
        <v>25</v>
      </c>
      <c r="AK66">
        <v>6120271</v>
      </c>
    </row>
    <row r="67" spans="1:37" x14ac:dyDescent="0.25">
      <c r="A67" s="1">
        <v>46014</v>
      </c>
      <c r="B67" s="1">
        <v>46015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271</v>
      </c>
      <c r="J67" t="s">
        <v>272</v>
      </c>
      <c r="O67" t="s">
        <v>187</v>
      </c>
      <c r="P67" t="s">
        <v>188</v>
      </c>
      <c r="Q67" t="s">
        <v>49</v>
      </c>
      <c r="R67" t="s">
        <v>268</v>
      </c>
      <c r="S67" s="1">
        <v>46023</v>
      </c>
      <c r="U67" t="s">
        <v>51</v>
      </c>
      <c r="X67" t="s">
        <v>52</v>
      </c>
      <c r="Y67" s="2">
        <v>0</v>
      </c>
      <c r="Z67" s="2">
        <v>25</v>
      </c>
      <c r="AA67">
        <v>1</v>
      </c>
      <c r="AB67" s="3">
        <v>1</v>
      </c>
      <c r="AC67" s="2">
        <v>25</v>
      </c>
      <c r="AD67" s="3">
        <v>0</v>
      </c>
      <c r="AE67" s="2">
        <v>0</v>
      </c>
      <c r="AF67" s="2">
        <v>25</v>
      </c>
      <c r="AK67">
        <v>6120325</v>
      </c>
    </row>
    <row r="68" spans="1:37" x14ac:dyDescent="0.25">
      <c r="A68" s="1">
        <v>46014</v>
      </c>
      <c r="B68" s="1">
        <v>46015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273</v>
      </c>
      <c r="J68" t="s">
        <v>274</v>
      </c>
      <c r="M68" t="s">
        <v>275</v>
      </c>
      <c r="O68" t="s">
        <v>47</v>
      </c>
      <c r="P68" t="s">
        <v>48</v>
      </c>
      <c r="Q68" t="s">
        <v>49</v>
      </c>
      <c r="R68" t="s">
        <v>268</v>
      </c>
      <c r="S68" s="1">
        <v>46023</v>
      </c>
      <c r="U68" t="s">
        <v>51</v>
      </c>
      <c r="X68" t="s">
        <v>52</v>
      </c>
      <c r="Y68" s="2">
        <v>0</v>
      </c>
      <c r="Z68" s="2">
        <v>25</v>
      </c>
      <c r="AA68">
        <v>1</v>
      </c>
      <c r="AB68" s="3">
        <v>1</v>
      </c>
      <c r="AC68" s="2">
        <v>25</v>
      </c>
      <c r="AD68" s="3">
        <v>0</v>
      </c>
      <c r="AE68" s="2">
        <v>0</v>
      </c>
      <c r="AF68" s="2">
        <v>25</v>
      </c>
      <c r="AK68">
        <v>6120623</v>
      </c>
    </row>
    <row r="69" spans="1:37" x14ac:dyDescent="0.25">
      <c r="A69" s="1">
        <v>46014</v>
      </c>
      <c r="B69" s="1">
        <v>46015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276</v>
      </c>
      <c r="J69" t="s">
        <v>277</v>
      </c>
      <c r="O69" t="s">
        <v>278</v>
      </c>
      <c r="P69" t="s">
        <v>279</v>
      </c>
      <c r="Q69" t="s">
        <v>49</v>
      </c>
      <c r="R69" t="s">
        <v>268</v>
      </c>
      <c r="S69" s="1">
        <v>46023</v>
      </c>
      <c r="U69" t="s">
        <v>51</v>
      </c>
      <c r="X69" t="s">
        <v>52</v>
      </c>
      <c r="Y69" s="2">
        <v>0</v>
      </c>
      <c r="Z69" s="2">
        <v>25</v>
      </c>
      <c r="AA69">
        <v>1</v>
      </c>
      <c r="AB69" s="3">
        <v>1</v>
      </c>
      <c r="AC69" s="2">
        <v>25</v>
      </c>
      <c r="AD69" s="3">
        <v>0</v>
      </c>
      <c r="AE69" s="2">
        <v>0</v>
      </c>
      <c r="AF69" s="2">
        <v>25</v>
      </c>
      <c r="AK69">
        <v>6120280</v>
      </c>
    </row>
    <row r="70" spans="1:37" x14ac:dyDescent="0.25">
      <c r="A70" s="1">
        <v>46014</v>
      </c>
      <c r="B70" s="1">
        <v>46015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280</v>
      </c>
      <c r="J70" t="s">
        <v>281</v>
      </c>
      <c r="O70" t="s">
        <v>125</v>
      </c>
      <c r="P70" t="s">
        <v>126</v>
      </c>
      <c r="Q70" t="s">
        <v>49</v>
      </c>
      <c r="R70" t="s">
        <v>268</v>
      </c>
      <c r="S70" s="1">
        <v>46023</v>
      </c>
      <c r="U70" t="s">
        <v>51</v>
      </c>
      <c r="X70" t="s">
        <v>52</v>
      </c>
      <c r="Y70" s="2">
        <v>0</v>
      </c>
      <c r="Z70" s="2">
        <v>25</v>
      </c>
      <c r="AA70">
        <v>1</v>
      </c>
      <c r="AB70" s="3">
        <v>1</v>
      </c>
      <c r="AC70" s="2">
        <v>25</v>
      </c>
      <c r="AD70" s="3">
        <v>0</v>
      </c>
      <c r="AE70" s="2">
        <v>0</v>
      </c>
      <c r="AF70" s="2">
        <v>25</v>
      </c>
      <c r="AK70">
        <v>6120573</v>
      </c>
    </row>
    <row r="71" spans="1:37" x14ac:dyDescent="0.25">
      <c r="A71" s="1">
        <v>46014</v>
      </c>
      <c r="B71" s="1">
        <v>46015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282</v>
      </c>
      <c r="J71" t="s">
        <v>283</v>
      </c>
      <c r="M71" t="s">
        <v>284</v>
      </c>
      <c r="O71" t="s">
        <v>114</v>
      </c>
      <c r="P71" t="s">
        <v>115</v>
      </c>
      <c r="Q71" t="s">
        <v>49</v>
      </c>
      <c r="R71" t="s">
        <v>268</v>
      </c>
      <c r="S71" s="1">
        <v>46023</v>
      </c>
      <c r="U71" t="s">
        <v>51</v>
      </c>
      <c r="X71" t="s">
        <v>52</v>
      </c>
      <c r="Y71" s="2">
        <v>0</v>
      </c>
      <c r="Z71" s="2">
        <v>25</v>
      </c>
      <c r="AA71">
        <v>1</v>
      </c>
      <c r="AB71" s="3">
        <v>1</v>
      </c>
      <c r="AC71" s="2">
        <v>25</v>
      </c>
      <c r="AD71" s="3">
        <v>0</v>
      </c>
      <c r="AE71" s="2">
        <v>0</v>
      </c>
      <c r="AF71" s="2">
        <v>25</v>
      </c>
      <c r="AK71">
        <v>6120499</v>
      </c>
    </row>
    <row r="72" spans="1:37" x14ac:dyDescent="0.25">
      <c r="A72" s="1">
        <v>46014</v>
      </c>
      <c r="B72" s="1">
        <v>46015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285</v>
      </c>
      <c r="J72" t="s">
        <v>286</v>
      </c>
      <c r="O72" t="s">
        <v>266</v>
      </c>
      <c r="P72" t="s">
        <v>267</v>
      </c>
      <c r="Q72" t="s">
        <v>49</v>
      </c>
      <c r="R72" t="s">
        <v>268</v>
      </c>
      <c r="S72" s="1">
        <v>46023</v>
      </c>
      <c r="U72" t="s">
        <v>51</v>
      </c>
      <c r="X72" t="s">
        <v>52</v>
      </c>
      <c r="Y72" s="2">
        <v>0</v>
      </c>
      <c r="Z72" s="2">
        <v>25</v>
      </c>
      <c r="AA72">
        <v>1</v>
      </c>
      <c r="AB72" s="3">
        <v>1</v>
      </c>
      <c r="AC72" s="2">
        <v>25</v>
      </c>
      <c r="AD72" s="3">
        <v>0</v>
      </c>
      <c r="AE72" s="2">
        <v>0</v>
      </c>
      <c r="AF72" s="2">
        <v>25</v>
      </c>
      <c r="AK72">
        <v>6120440</v>
      </c>
    </row>
    <row r="73" spans="1:37" x14ac:dyDescent="0.25">
      <c r="A73" s="1">
        <v>46014</v>
      </c>
      <c r="B73" s="1">
        <v>46015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287</v>
      </c>
      <c r="J73" t="s">
        <v>288</v>
      </c>
      <c r="O73" t="s">
        <v>114</v>
      </c>
      <c r="P73" t="s">
        <v>115</v>
      </c>
      <c r="Q73" t="s">
        <v>49</v>
      </c>
      <c r="R73" t="s">
        <v>268</v>
      </c>
      <c r="S73" s="1">
        <v>46023</v>
      </c>
      <c r="U73" t="s">
        <v>51</v>
      </c>
      <c r="X73" t="s">
        <v>52</v>
      </c>
      <c r="Y73" s="2">
        <v>0</v>
      </c>
      <c r="Z73" s="2">
        <v>25</v>
      </c>
      <c r="AA73">
        <v>1</v>
      </c>
      <c r="AB73" s="3">
        <v>1</v>
      </c>
      <c r="AC73" s="2">
        <v>25</v>
      </c>
      <c r="AD73" s="3">
        <v>0</v>
      </c>
      <c r="AE73" s="2">
        <v>0</v>
      </c>
      <c r="AF73" s="2">
        <v>25</v>
      </c>
      <c r="AK73">
        <v>6120339</v>
      </c>
    </row>
    <row r="74" spans="1:37" x14ac:dyDescent="0.25">
      <c r="A74" s="1">
        <v>46014</v>
      </c>
      <c r="B74" s="1">
        <v>46015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289</v>
      </c>
      <c r="J74" t="s">
        <v>290</v>
      </c>
      <c r="O74" t="s">
        <v>187</v>
      </c>
      <c r="P74" t="s">
        <v>188</v>
      </c>
      <c r="Q74" t="s">
        <v>49</v>
      </c>
      <c r="R74" t="s">
        <v>268</v>
      </c>
      <c r="S74" s="1">
        <v>46023</v>
      </c>
      <c r="U74" t="s">
        <v>51</v>
      </c>
      <c r="X74" t="s">
        <v>52</v>
      </c>
      <c r="Y74" s="2">
        <v>0</v>
      </c>
      <c r="Z74" s="2">
        <v>25</v>
      </c>
      <c r="AA74">
        <v>1</v>
      </c>
      <c r="AB74" s="3">
        <v>1</v>
      </c>
      <c r="AC74" s="2">
        <v>25</v>
      </c>
      <c r="AD74" s="3">
        <v>0</v>
      </c>
      <c r="AE74" s="2">
        <v>0</v>
      </c>
      <c r="AF74" s="2">
        <v>25</v>
      </c>
      <c r="AK74">
        <v>6120621</v>
      </c>
    </row>
    <row r="75" spans="1:37" x14ac:dyDescent="0.25">
      <c r="A75" s="1">
        <v>46014</v>
      </c>
      <c r="B75" s="1">
        <v>46015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291</v>
      </c>
      <c r="J75" t="s">
        <v>292</v>
      </c>
      <c r="O75" t="s">
        <v>266</v>
      </c>
      <c r="P75" t="s">
        <v>267</v>
      </c>
      <c r="Q75" t="s">
        <v>49</v>
      </c>
      <c r="R75" t="s">
        <v>268</v>
      </c>
      <c r="S75" s="1">
        <v>46023</v>
      </c>
      <c r="U75" t="s">
        <v>51</v>
      </c>
      <c r="X75" t="s">
        <v>52</v>
      </c>
      <c r="Y75" s="2">
        <v>0</v>
      </c>
      <c r="Z75" s="2">
        <v>25</v>
      </c>
      <c r="AA75">
        <v>1</v>
      </c>
      <c r="AB75" s="3">
        <v>1</v>
      </c>
      <c r="AC75" s="2">
        <v>25</v>
      </c>
      <c r="AD75" s="3">
        <v>0</v>
      </c>
      <c r="AE75" s="2">
        <v>0</v>
      </c>
      <c r="AF75" s="2">
        <v>25</v>
      </c>
      <c r="AK75">
        <v>6120547</v>
      </c>
    </row>
    <row r="76" spans="1:37" x14ac:dyDescent="0.25">
      <c r="A76" s="1">
        <v>46014</v>
      </c>
      <c r="B76" s="1">
        <v>46015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293</v>
      </c>
      <c r="J76" t="s">
        <v>294</v>
      </c>
      <c r="O76" t="s">
        <v>266</v>
      </c>
      <c r="P76" t="s">
        <v>267</v>
      </c>
      <c r="Q76" t="s">
        <v>49</v>
      </c>
      <c r="R76" t="s">
        <v>268</v>
      </c>
      <c r="S76" s="1">
        <v>46023</v>
      </c>
      <c r="U76" t="s">
        <v>51</v>
      </c>
      <c r="X76" t="s">
        <v>52</v>
      </c>
      <c r="Y76" s="2">
        <v>0</v>
      </c>
      <c r="Z76" s="2">
        <v>25</v>
      </c>
      <c r="AA76">
        <v>1</v>
      </c>
      <c r="AB76" s="3">
        <v>1</v>
      </c>
      <c r="AC76" s="2">
        <v>25</v>
      </c>
      <c r="AD76" s="3">
        <v>0</v>
      </c>
      <c r="AE76" s="2">
        <v>0</v>
      </c>
      <c r="AF76" s="2">
        <v>25</v>
      </c>
      <c r="AK76">
        <v>6120568</v>
      </c>
    </row>
    <row r="77" spans="1:37" x14ac:dyDescent="0.25">
      <c r="A77" s="1">
        <v>46014</v>
      </c>
      <c r="B77" s="1">
        <v>46015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295</v>
      </c>
      <c r="J77" t="s">
        <v>296</v>
      </c>
      <c r="O77" t="s">
        <v>76</v>
      </c>
      <c r="P77" t="s">
        <v>77</v>
      </c>
      <c r="Q77" t="s">
        <v>49</v>
      </c>
      <c r="R77" t="s">
        <v>268</v>
      </c>
      <c r="S77" s="1">
        <v>46023</v>
      </c>
      <c r="U77" t="s">
        <v>51</v>
      </c>
      <c r="X77" t="s">
        <v>52</v>
      </c>
      <c r="Y77" s="2">
        <v>0</v>
      </c>
      <c r="Z77" s="2">
        <v>25</v>
      </c>
      <c r="AA77">
        <v>1</v>
      </c>
      <c r="AB77" s="3">
        <v>1</v>
      </c>
      <c r="AC77" s="2">
        <v>25</v>
      </c>
      <c r="AD77" s="3">
        <v>0</v>
      </c>
      <c r="AE77" s="2">
        <v>0</v>
      </c>
      <c r="AF77" s="2">
        <v>25</v>
      </c>
      <c r="AK77">
        <v>6120403</v>
      </c>
    </row>
    <row r="78" spans="1:37" x14ac:dyDescent="0.25">
      <c r="A78" s="1">
        <v>46014</v>
      </c>
      <c r="B78" s="1">
        <v>46015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297</v>
      </c>
      <c r="J78" t="s">
        <v>298</v>
      </c>
      <c r="O78" t="s">
        <v>266</v>
      </c>
      <c r="P78" t="s">
        <v>267</v>
      </c>
      <c r="Q78" t="s">
        <v>49</v>
      </c>
      <c r="R78" t="s">
        <v>268</v>
      </c>
      <c r="S78" s="1">
        <v>46023</v>
      </c>
      <c r="U78" t="s">
        <v>51</v>
      </c>
      <c r="X78" t="s">
        <v>52</v>
      </c>
      <c r="Y78" s="2">
        <v>0</v>
      </c>
      <c r="Z78" s="2">
        <v>25</v>
      </c>
      <c r="AA78">
        <v>1</v>
      </c>
      <c r="AB78" s="3">
        <v>1</v>
      </c>
      <c r="AC78" s="2">
        <v>25</v>
      </c>
      <c r="AD78" s="3">
        <v>0</v>
      </c>
      <c r="AE78" s="2">
        <v>0</v>
      </c>
      <c r="AF78" s="2">
        <v>25</v>
      </c>
      <c r="AK78">
        <v>6120503</v>
      </c>
    </row>
    <row r="79" spans="1:37" x14ac:dyDescent="0.25">
      <c r="A79" s="1">
        <v>46014</v>
      </c>
      <c r="B79" s="1">
        <v>46015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299</v>
      </c>
      <c r="J79" t="s">
        <v>300</v>
      </c>
      <c r="O79" t="s">
        <v>301</v>
      </c>
      <c r="P79" t="s">
        <v>302</v>
      </c>
      <c r="Q79" t="s">
        <v>49</v>
      </c>
      <c r="R79" t="s">
        <v>268</v>
      </c>
      <c r="S79" s="1">
        <v>46023</v>
      </c>
      <c r="U79" t="s">
        <v>51</v>
      </c>
      <c r="X79" t="s">
        <v>52</v>
      </c>
      <c r="Y79" s="2">
        <v>0</v>
      </c>
      <c r="Z79" s="2">
        <v>25</v>
      </c>
      <c r="AA79">
        <v>1</v>
      </c>
      <c r="AB79" s="3">
        <v>1</v>
      </c>
      <c r="AC79" s="2">
        <v>25</v>
      </c>
      <c r="AD79" s="3">
        <v>0</v>
      </c>
      <c r="AE79" s="2">
        <v>0</v>
      </c>
      <c r="AF79" s="2">
        <v>25</v>
      </c>
      <c r="AK79">
        <v>6120600</v>
      </c>
    </row>
    <row r="80" spans="1:37" x14ac:dyDescent="0.25">
      <c r="A80" s="1">
        <v>46014</v>
      </c>
      <c r="B80" s="1">
        <v>46015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303</v>
      </c>
      <c r="J80" t="s">
        <v>304</v>
      </c>
      <c r="O80" t="s">
        <v>266</v>
      </c>
      <c r="P80" t="s">
        <v>267</v>
      </c>
      <c r="Q80" t="s">
        <v>49</v>
      </c>
      <c r="R80" t="s">
        <v>268</v>
      </c>
      <c r="S80" s="1">
        <v>46023</v>
      </c>
      <c r="U80" t="s">
        <v>51</v>
      </c>
      <c r="X80" t="s">
        <v>52</v>
      </c>
      <c r="Y80" s="2">
        <v>0</v>
      </c>
      <c r="Z80" s="2">
        <v>25</v>
      </c>
      <c r="AA80">
        <v>1</v>
      </c>
      <c r="AB80" s="3">
        <v>1</v>
      </c>
      <c r="AC80" s="2">
        <v>25</v>
      </c>
      <c r="AD80" s="3">
        <v>0</v>
      </c>
      <c r="AE80" s="2">
        <v>0</v>
      </c>
      <c r="AF80" s="2">
        <v>25</v>
      </c>
      <c r="AK80">
        <v>6120578</v>
      </c>
    </row>
    <row r="81" spans="1:37" x14ac:dyDescent="0.25">
      <c r="A81" s="1">
        <v>46014</v>
      </c>
      <c r="B81" s="1">
        <v>46015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305</v>
      </c>
      <c r="J81" t="s">
        <v>306</v>
      </c>
      <c r="O81" t="s">
        <v>187</v>
      </c>
      <c r="P81" t="s">
        <v>188</v>
      </c>
      <c r="Q81" t="s">
        <v>49</v>
      </c>
      <c r="R81" t="s">
        <v>268</v>
      </c>
      <c r="S81" s="1">
        <v>46023</v>
      </c>
      <c r="U81" t="s">
        <v>51</v>
      </c>
      <c r="X81" t="s">
        <v>52</v>
      </c>
      <c r="Y81" s="2">
        <v>0</v>
      </c>
      <c r="Z81" s="2">
        <v>25</v>
      </c>
      <c r="AA81">
        <v>1</v>
      </c>
      <c r="AB81" s="3">
        <v>1</v>
      </c>
      <c r="AC81" s="2">
        <v>25</v>
      </c>
      <c r="AD81" s="3">
        <v>0</v>
      </c>
      <c r="AE81" s="2">
        <v>0</v>
      </c>
      <c r="AF81" s="2">
        <v>25</v>
      </c>
      <c r="AK81">
        <v>6120514</v>
      </c>
    </row>
    <row r="82" spans="1:37" x14ac:dyDescent="0.25">
      <c r="A82" s="1">
        <v>46014</v>
      </c>
      <c r="B82" s="1">
        <v>46015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307</v>
      </c>
      <c r="J82" t="s">
        <v>308</v>
      </c>
      <c r="O82" t="s">
        <v>266</v>
      </c>
      <c r="P82" t="s">
        <v>267</v>
      </c>
      <c r="Q82" t="s">
        <v>49</v>
      </c>
      <c r="R82" t="s">
        <v>268</v>
      </c>
      <c r="S82" s="1">
        <v>46023</v>
      </c>
      <c r="U82" t="s">
        <v>51</v>
      </c>
      <c r="X82" t="s">
        <v>52</v>
      </c>
      <c r="Y82" s="2">
        <v>0</v>
      </c>
      <c r="Z82" s="2">
        <v>25</v>
      </c>
      <c r="AA82">
        <v>1</v>
      </c>
      <c r="AB82" s="3">
        <v>1</v>
      </c>
      <c r="AC82" s="2">
        <v>25</v>
      </c>
      <c r="AD82" s="3">
        <v>0</v>
      </c>
      <c r="AE82" s="2">
        <v>0</v>
      </c>
      <c r="AF82" s="2">
        <v>25</v>
      </c>
      <c r="AK82">
        <v>6120275</v>
      </c>
    </row>
    <row r="83" spans="1:37" x14ac:dyDescent="0.25">
      <c r="A83" s="1">
        <v>46014</v>
      </c>
      <c r="B83" s="1">
        <v>46015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309</v>
      </c>
      <c r="J83" t="s">
        <v>310</v>
      </c>
      <c r="M83" t="s">
        <v>65</v>
      </c>
      <c r="O83" t="s">
        <v>110</v>
      </c>
      <c r="P83" t="s">
        <v>111</v>
      </c>
      <c r="Q83" t="s">
        <v>49</v>
      </c>
      <c r="R83" t="s">
        <v>268</v>
      </c>
      <c r="S83" s="1">
        <v>46023</v>
      </c>
      <c r="U83" t="s">
        <v>51</v>
      </c>
      <c r="X83" t="s">
        <v>52</v>
      </c>
      <c r="Y83" s="2">
        <v>0</v>
      </c>
      <c r="Z83" s="2">
        <v>25</v>
      </c>
      <c r="AA83">
        <v>1</v>
      </c>
      <c r="AB83" s="3">
        <v>1</v>
      </c>
      <c r="AC83" s="2">
        <v>25</v>
      </c>
      <c r="AD83" s="3">
        <v>0</v>
      </c>
      <c r="AE83" s="2">
        <v>0</v>
      </c>
      <c r="AF83" s="2">
        <v>25</v>
      </c>
      <c r="AK83">
        <v>6120409</v>
      </c>
    </row>
    <row r="84" spans="1:37" x14ac:dyDescent="0.25">
      <c r="A84" s="1">
        <v>46014</v>
      </c>
      <c r="B84" s="1">
        <v>46015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311</v>
      </c>
      <c r="J84" t="s">
        <v>312</v>
      </c>
      <c r="O84" t="s">
        <v>176</v>
      </c>
      <c r="P84" t="s">
        <v>177</v>
      </c>
      <c r="Q84" t="s">
        <v>49</v>
      </c>
      <c r="R84" t="s">
        <v>268</v>
      </c>
      <c r="S84" s="1">
        <v>46023</v>
      </c>
      <c r="U84" t="s">
        <v>51</v>
      </c>
      <c r="X84" t="s">
        <v>52</v>
      </c>
      <c r="Y84" s="2">
        <v>0</v>
      </c>
      <c r="Z84" s="2">
        <v>25</v>
      </c>
      <c r="AA84">
        <v>1</v>
      </c>
      <c r="AB84" s="3">
        <v>1</v>
      </c>
      <c r="AC84" s="2">
        <v>25</v>
      </c>
      <c r="AD84" s="3">
        <v>0</v>
      </c>
      <c r="AE84" s="2">
        <v>0</v>
      </c>
      <c r="AF84" s="2">
        <v>25</v>
      </c>
      <c r="AK84">
        <v>6120352</v>
      </c>
    </row>
    <row r="85" spans="1:37" x14ac:dyDescent="0.25">
      <c r="A85" s="1">
        <v>46014</v>
      </c>
      <c r="B85" s="1">
        <v>46015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313</v>
      </c>
      <c r="J85" t="s">
        <v>314</v>
      </c>
      <c r="O85" t="s">
        <v>114</v>
      </c>
      <c r="P85" t="s">
        <v>115</v>
      </c>
      <c r="Q85" t="s">
        <v>49</v>
      </c>
      <c r="R85" t="s">
        <v>268</v>
      </c>
      <c r="S85" s="1">
        <v>46023</v>
      </c>
      <c r="U85" t="s">
        <v>51</v>
      </c>
      <c r="X85" t="s">
        <v>52</v>
      </c>
      <c r="Y85" s="2">
        <v>0</v>
      </c>
      <c r="Z85" s="2">
        <v>25</v>
      </c>
      <c r="AA85">
        <v>1</v>
      </c>
      <c r="AB85" s="3">
        <v>1</v>
      </c>
      <c r="AC85" s="2">
        <v>25</v>
      </c>
      <c r="AD85" s="3">
        <v>0</v>
      </c>
      <c r="AE85" s="2">
        <v>0</v>
      </c>
      <c r="AF85" s="2">
        <v>25</v>
      </c>
      <c r="AK85">
        <v>6120449</v>
      </c>
    </row>
    <row r="86" spans="1:37" x14ac:dyDescent="0.25">
      <c r="A86" s="1">
        <v>46014</v>
      </c>
      <c r="B86" s="1">
        <v>46015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315</v>
      </c>
      <c r="J86" t="s">
        <v>316</v>
      </c>
      <c r="O86" t="s">
        <v>317</v>
      </c>
      <c r="P86" t="s">
        <v>318</v>
      </c>
      <c r="Q86" t="s">
        <v>49</v>
      </c>
      <c r="R86" t="s">
        <v>268</v>
      </c>
      <c r="S86" s="1">
        <v>46023</v>
      </c>
      <c r="U86" t="s">
        <v>51</v>
      </c>
      <c r="X86" t="s">
        <v>52</v>
      </c>
      <c r="Y86" s="2">
        <v>0</v>
      </c>
      <c r="Z86" s="2">
        <v>25</v>
      </c>
      <c r="AA86">
        <v>1</v>
      </c>
      <c r="AB86" s="3">
        <v>1</v>
      </c>
      <c r="AC86" s="2">
        <v>25</v>
      </c>
      <c r="AD86" s="3">
        <v>0</v>
      </c>
      <c r="AE86" s="2">
        <v>0</v>
      </c>
      <c r="AF86" s="2">
        <v>25</v>
      </c>
      <c r="AK86">
        <v>6120524</v>
      </c>
    </row>
    <row r="87" spans="1:37" x14ac:dyDescent="0.25">
      <c r="A87" s="1">
        <v>46014</v>
      </c>
      <c r="B87" s="1">
        <v>46015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319</v>
      </c>
      <c r="J87" t="s">
        <v>320</v>
      </c>
      <c r="M87" t="s">
        <v>65</v>
      </c>
      <c r="O87" t="s">
        <v>321</v>
      </c>
      <c r="P87" t="s">
        <v>322</v>
      </c>
      <c r="Q87" t="s">
        <v>49</v>
      </c>
      <c r="R87" t="s">
        <v>268</v>
      </c>
      <c r="S87" s="1">
        <v>46023</v>
      </c>
      <c r="U87" t="s">
        <v>51</v>
      </c>
      <c r="X87" t="s">
        <v>52</v>
      </c>
      <c r="Y87" s="2">
        <v>0</v>
      </c>
      <c r="Z87" s="2">
        <v>25</v>
      </c>
      <c r="AA87">
        <v>1</v>
      </c>
      <c r="AB87" s="3">
        <v>1</v>
      </c>
      <c r="AC87" s="2">
        <v>25</v>
      </c>
      <c r="AD87" s="3">
        <v>0</v>
      </c>
      <c r="AE87" s="2">
        <v>0</v>
      </c>
      <c r="AF87" s="2">
        <v>25</v>
      </c>
      <c r="AK87">
        <v>6120257</v>
      </c>
    </row>
    <row r="88" spans="1:37" x14ac:dyDescent="0.25">
      <c r="A88" s="1">
        <v>46014</v>
      </c>
      <c r="B88" s="1">
        <v>46015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323</v>
      </c>
      <c r="J88" t="s">
        <v>324</v>
      </c>
      <c r="M88" t="s">
        <v>275</v>
      </c>
      <c r="O88" t="s">
        <v>47</v>
      </c>
      <c r="P88" t="s">
        <v>48</v>
      </c>
      <c r="Q88" t="s">
        <v>137</v>
      </c>
      <c r="R88" t="s">
        <v>268</v>
      </c>
      <c r="S88" s="1">
        <v>46023</v>
      </c>
      <c r="U88" t="s">
        <v>51</v>
      </c>
      <c r="X88" t="s">
        <v>52</v>
      </c>
      <c r="Y88" s="2">
        <v>0</v>
      </c>
      <c r="Z88" s="2">
        <v>25</v>
      </c>
      <c r="AA88">
        <v>1</v>
      </c>
      <c r="AB88" s="3">
        <v>1</v>
      </c>
      <c r="AC88" s="2">
        <v>25</v>
      </c>
      <c r="AD88" s="3">
        <v>0</v>
      </c>
      <c r="AE88" s="2">
        <v>0</v>
      </c>
      <c r="AF88" s="2">
        <v>25</v>
      </c>
      <c r="AK88">
        <v>6120575</v>
      </c>
    </row>
    <row r="89" spans="1:37" x14ac:dyDescent="0.25">
      <c r="A89" s="1">
        <v>46014</v>
      </c>
      <c r="B89" s="1">
        <v>46015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325</v>
      </c>
      <c r="J89" t="s">
        <v>326</v>
      </c>
      <c r="M89" t="s">
        <v>275</v>
      </c>
      <c r="O89" t="s">
        <v>47</v>
      </c>
      <c r="P89" t="s">
        <v>48</v>
      </c>
      <c r="Q89" t="s">
        <v>49</v>
      </c>
      <c r="R89" t="s">
        <v>268</v>
      </c>
      <c r="S89" s="1">
        <v>46023</v>
      </c>
      <c r="U89" t="s">
        <v>51</v>
      </c>
      <c r="X89" t="s">
        <v>52</v>
      </c>
      <c r="Y89" s="2">
        <v>0</v>
      </c>
      <c r="Z89" s="2">
        <v>25</v>
      </c>
      <c r="AA89">
        <v>1</v>
      </c>
      <c r="AB89" s="3">
        <v>1</v>
      </c>
      <c r="AC89" s="2">
        <v>25</v>
      </c>
      <c r="AD89" s="3">
        <v>0</v>
      </c>
      <c r="AE89" s="2">
        <v>0</v>
      </c>
      <c r="AF89" s="2">
        <v>25</v>
      </c>
      <c r="AK89">
        <v>6120574</v>
      </c>
    </row>
    <row r="90" spans="1:37" x14ac:dyDescent="0.25">
      <c r="A90" s="1">
        <v>46014</v>
      </c>
      <c r="B90" s="1">
        <v>46015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327</v>
      </c>
      <c r="J90" t="s">
        <v>328</v>
      </c>
      <c r="M90" t="s">
        <v>65</v>
      </c>
      <c r="O90" t="s">
        <v>192</v>
      </c>
      <c r="P90" t="s">
        <v>193</v>
      </c>
      <c r="Q90" t="s">
        <v>49</v>
      </c>
      <c r="R90" t="s">
        <v>268</v>
      </c>
      <c r="S90" s="1">
        <v>46023</v>
      </c>
      <c r="U90" t="s">
        <v>51</v>
      </c>
      <c r="X90" t="s">
        <v>52</v>
      </c>
      <c r="Y90" s="2">
        <v>0</v>
      </c>
      <c r="Z90" s="2">
        <v>25</v>
      </c>
      <c r="AA90">
        <v>1</v>
      </c>
      <c r="AB90" s="3">
        <v>1</v>
      </c>
      <c r="AC90" s="2">
        <v>25</v>
      </c>
      <c r="AD90" s="3">
        <v>0</v>
      </c>
      <c r="AE90" s="2">
        <v>0</v>
      </c>
      <c r="AF90" s="2">
        <v>25</v>
      </c>
      <c r="AK90">
        <v>6120310</v>
      </c>
    </row>
    <row r="91" spans="1:37" x14ac:dyDescent="0.25">
      <c r="A91" s="1">
        <v>46014</v>
      </c>
      <c r="B91" s="1">
        <v>46015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329</v>
      </c>
      <c r="J91" t="s">
        <v>330</v>
      </c>
      <c r="M91" t="s">
        <v>65</v>
      </c>
      <c r="O91" t="s">
        <v>331</v>
      </c>
      <c r="P91" t="s">
        <v>332</v>
      </c>
      <c r="Q91" t="s">
        <v>49</v>
      </c>
      <c r="R91" t="s">
        <v>268</v>
      </c>
      <c r="S91" s="1">
        <v>46023</v>
      </c>
      <c r="U91" t="s">
        <v>51</v>
      </c>
      <c r="X91" t="s">
        <v>52</v>
      </c>
      <c r="Y91" s="2">
        <v>0</v>
      </c>
      <c r="Z91" s="2">
        <v>25</v>
      </c>
      <c r="AA91">
        <v>1</v>
      </c>
      <c r="AB91" s="3">
        <v>1</v>
      </c>
      <c r="AC91" s="2">
        <v>25</v>
      </c>
      <c r="AD91" s="3">
        <v>0</v>
      </c>
      <c r="AE91" s="2">
        <v>0</v>
      </c>
      <c r="AF91" s="2">
        <v>25</v>
      </c>
      <c r="AK91">
        <v>6120461</v>
      </c>
    </row>
    <row r="92" spans="1:37" x14ac:dyDescent="0.25">
      <c r="A92" s="1">
        <v>46014</v>
      </c>
      <c r="B92" s="1">
        <v>46015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333</v>
      </c>
      <c r="J92" t="s">
        <v>334</v>
      </c>
      <c r="M92" t="s">
        <v>191</v>
      </c>
      <c r="O92" t="s">
        <v>321</v>
      </c>
      <c r="P92" t="s">
        <v>322</v>
      </c>
      <c r="Q92" t="s">
        <v>49</v>
      </c>
      <c r="R92" t="s">
        <v>268</v>
      </c>
      <c r="S92" s="1">
        <v>46023</v>
      </c>
      <c r="U92" t="s">
        <v>51</v>
      </c>
      <c r="X92" t="s">
        <v>52</v>
      </c>
      <c r="Y92" s="2">
        <v>0</v>
      </c>
      <c r="Z92" s="2">
        <v>25</v>
      </c>
      <c r="AA92">
        <v>1</v>
      </c>
      <c r="AB92" s="3">
        <v>1</v>
      </c>
      <c r="AC92" s="2">
        <v>25</v>
      </c>
      <c r="AD92" s="3">
        <v>0</v>
      </c>
      <c r="AE92" s="2">
        <v>0</v>
      </c>
      <c r="AF92" s="2">
        <v>25</v>
      </c>
      <c r="AK92">
        <v>6120246</v>
      </c>
    </row>
    <row r="93" spans="1:37" x14ac:dyDescent="0.25">
      <c r="A93" s="1">
        <v>46014</v>
      </c>
      <c r="B93" s="1">
        <v>46015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335</v>
      </c>
      <c r="J93" t="s">
        <v>336</v>
      </c>
      <c r="O93" t="s">
        <v>337</v>
      </c>
      <c r="P93" t="s">
        <v>338</v>
      </c>
      <c r="Q93" t="s">
        <v>49</v>
      </c>
      <c r="R93" t="s">
        <v>268</v>
      </c>
      <c r="S93" s="1">
        <v>46023</v>
      </c>
      <c r="U93" t="s">
        <v>51</v>
      </c>
      <c r="X93" t="s">
        <v>52</v>
      </c>
      <c r="Y93" s="2">
        <v>0</v>
      </c>
      <c r="Z93" s="2">
        <v>25</v>
      </c>
      <c r="AA93">
        <v>1</v>
      </c>
      <c r="AB93" s="3">
        <v>1</v>
      </c>
      <c r="AC93" s="2">
        <v>25</v>
      </c>
      <c r="AD93" s="3">
        <v>0</v>
      </c>
      <c r="AE93" s="2">
        <v>0</v>
      </c>
      <c r="AF93" s="2">
        <v>25</v>
      </c>
      <c r="AK93">
        <v>6120292</v>
      </c>
    </row>
    <row r="94" spans="1:37" x14ac:dyDescent="0.25">
      <c r="A94" s="1">
        <v>46014</v>
      </c>
      <c r="B94" s="1">
        <v>46015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339</v>
      </c>
      <c r="J94" t="s">
        <v>340</v>
      </c>
      <c r="M94" t="s">
        <v>65</v>
      </c>
      <c r="O94" t="s">
        <v>337</v>
      </c>
      <c r="P94" t="s">
        <v>338</v>
      </c>
      <c r="Q94" t="s">
        <v>49</v>
      </c>
      <c r="R94" t="s">
        <v>268</v>
      </c>
      <c r="S94" s="1">
        <v>46023</v>
      </c>
      <c r="U94" t="s">
        <v>51</v>
      </c>
      <c r="X94" t="s">
        <v>52</v>
      </c>
      <c r="Y94" s="2">
        <v>0</v>
      </c>
      <c r="Z94" s="2">
        <v>25</v>
      </c>
      <c r="AA94">
        <v>1</v>
      </c>
      <c r="AB94" s="3">
        <v>1</v>
      </c>
      <c r="AC94" s="2">
        <v>25</v>
      </c>
      <c r="AD94" s="3">
        <v>0</v>
      </c>
      <c r="AE94" s="2">
        <v>0</v>
      </c>
      <c r="AF94" s="2">
        <v>25</v>
      </c>
      <c r="AK94">
        <v>6120660</v>
      </c>
    </row>
    <row r="95" spans="1:37" x14ac:dyDescent="0.25">
      <c r="A95" s="1">
        <v>46014</v>
      </c>
      <c r="B95" s="1">
        <v>46015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341</v>
      </c>
      <c r="J95" t="s">
        <v>342</v>
      </c>
      <c r="O95" t="s">
        <v>102</v>
      </c>
      <c r="P95" t="s">
        <v>103</v>
      </c>
      <c r="Q95" t="s">
        <v>49</v>
      </c>
      <c r="R95" t="s">
        <v>268</v>
      </c>
      <c r="S95" s="1">
        <v>46023</v>
      </c>
      <c r="U95" t="s">
        <v>51</v>
      </c>
      <c r="X95" t="s">
        <v>52</v>
      </c>
      <c r="Y95" s="2">
        <v>0</v>
      </c>
      <c r="Z95" s="2">
        <v>25</v>
      </c>
      <c r="AA95">
        <v>1</v>
      </c>
      <c r="AB95" s="3">
        <v>1</v>
      </c>
      <c r="AC95" s="2">
        <v>25</v>
      </c>
      <c r="AD95" s="3">
        <v>0</v>
      </c>
      <c r="AE95" s="2">
        <v>0</v>
      </c>
      <c r="AF95" s="2">
        <v>25</v>
      </c>
      <c r="AK95">
        <v>6120245</v>
      </c>
    </row>
    <row r="96" spans="1:37" x14ac:dyDescent="0.25">
      <c r="A96" s="1">
        <v>46014</v>
      </c>
      <c r="B96" s="1">
        <v>46015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343</v>
      </c>
      <c r="J96" t="s">
        <v>344</v>
      </c>
      <c r="O96" t="s">
        <v>321</v>
      </c>
      <c r="P96" t="s">
        <v>322</v>
      </c>
      <c r="Q96" t="s">
        <v>49</v>
      </c>
      <c r="R96" t="s">
        <v>268</v>
      </c>
      <c r="S96" s="1">
        <v>46023</v>
      </c>
      <c r="U96" t="s">
        <v>51</v>
      </c>
      <c r="X96" t="s">
        <v>52</v>
      </c>
      <c r="Y96" s="2">
        <v>0</v>
      </c>
      <c r="Z96" s="2">
        <v>25</v>
      </c>
      <c r="AA96">
        <v>1</v>
      </c>
      <c r="AB96" s="3">
        <v>1</v>
      </c>
      <c r="AC96" s="2">
        <v>25</v>
      </c>
      <c r="AD96" s="3">
        <v>0</v>
      </c>
      <c r="AE96" s="2">
        <v>0</v>
      </c>
      <c r="AF96" s="2">
        <v>25</v>
      </c>
      <c r="AK96">
        <v>6120484</v>
      </c>
    </row>
    <row r="97" spans="1:38" x14ac:dyDescent="0.25">
      <c r="A97" s="1">
        <v>46014</v>
      </c>
      <c r="B97" s="1">
        <v>46015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345</v>
      </c>
      <c r="J97" t="s">
        <v>346</v>
      </c>
      <c r="O97" t="s">
        <v>337</v>
      </c>
      <c r="P97" t="s">
        <v>338</v>
      </c>
      <c r="Q97" t="s">
        <v>49</v>
      </c>
      <c r="R97" t="s">
        <v>268</v>
      </c>
      <c r="S97" s="1">
        <v>46023</v>
      </c>
      <c r="U97" t="s">
        <v>51</v>
      </c>
      <c r="X97" t="s">
        <v>52</v>
      </c>
      <c r="Y97" s="2">
        <v>0</v>
      </c>
      <c r="Z97" s="2">
        <v>25</v>
      </c>
      <c r="AA97">
        <v>1</v>
      </c>
      <c r="AB97" s="3">
        <v>1</v>
      </c>
      <c r="AC97" s="2">
        <v>25</v>
      </c>
      <c r="AD97" s="3">
        <v>0</v>
      </c>
      <c r="AE97" s="2">
        <v>0</v>
      </c>
      <c r="AF97" s="2">
        <v>25</v>
      </c>
      <c r="AK97">
        <v>6120329</v>
      </c>
    </row>
    <row r="98" spans="1:38" x14ac:dyDescent="0.25">
      <c r="A98" s="1">
        <v>46014</v>
      </c>
      <c r="B98" s="1">
        <v>46015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347</v>
      </c>
      <c r="J98" t="s">
        <v>348</v>
      </c>
      <c r="O98" t="s">
        <v>56</v>
      </c>
      <c r="P98" t="s">
        <v>57</v>
      </c>
      <c r="Q98" t="s">
        <v>49</v>
      </c>
      <c r="R98" t="s">
        <v>268</v>
      </c>
      <c r="S98" s="1">
        <v>46023</v>
      </c>
      <c r="U98" t="s">
        <v>51</v>
      </c>
      <c r="X98" t="s">
        <v>52</v>
      </c>
      <c r="Y98" s="2">
        <v>0</v>
      </c>
      <c r="Z98" s="2">
        <v>25</v>
      </c>
      <c r="AA98">
        <v>1</v>
      </c>
      <c r="AB98" s="3">
        <v>1</v>
      </c>
      <c r="AC98" s="2">
        <v>25</v>
      </c>
      <c r="AD98" s="3">
        <v>0</v>
      </c>
      <c r="AE98" s="2">
        <v>0</v>
      </c>
      <c r="AF98" s="2">
        <v>25</v>
      </c>
      <c r="AK98">
        <v>6120254</v>
      </c>
    </row>
    <row r="99" spans="1:38" x14ac:dyDescent="0.25">
      <c r="A99" s="1">
        <v>46014</v>
      </c>
      <c r="B99" s="1">
        <v>46015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349</v>
      </c>
      <c r="J99" t="s">
        <v>350</v>
      </c>
      <c r="O99" t="s">
        <v>351</v>
      </c>
      <c r="P99" t="s">
        <v>352</v>
      </c>
      <c r="Q99" t="s">
        <v>49</v>
      </c>
      <c r="R99" t="s">
        <v>268</v>
      </c>
      <c r="S99" s="1">
        <v>46023</v>
      </c>
      <c r="U99" t="s">
        <v>51</v>
      </c>
      <c r="X99" t="s">
        <v>52</v>
      </c>
      <c r="Y99" s="2">
        <v>0</v>
      </c>
      <c r="Z99" s="2">
        <v>25</v>
      </c>
      <c r="AA99">
        <v>1</v>
      </c>
      <c r="AB99" s="3">
        <v>1</v>
      </c>
      <c r="AC99" s="2">
        <v>25</v>
      </c>
      <c r="AD99" s="3">
        <v>0</v>
      </c>
      <c r="AE99" s="2">
        <v>0</v>
      </c>
      <c r="AF99" s="2">
        <v>25</v>
      </c>
      <c r="AK99">
        <v>6120400</v>
      </c>
    </row>
    <row r="100" spans="1:38" x14ac:dyDescent="0.25">
      <c r="A100" s="1">
        <v>46014</v>
      </c>
      <c r="B100" s="1">
        <v>46015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353</v>
      </c>
      <c r="J100" t="s">
        <v>354</v>
      </c>
      <c r="O100" t="s">
        <v>244</v>
      </c>
      <c r="P100" t="s">
        <v>245</v>
      </c>
      <c r="Q100" t="s">
        <v>49</v>
      </c>
      <c r="R100" t="s">
        <v>268</v>
      </c>
      <c r="S100" s="1">
        <v>46023</v>
      </c>
      <c r="U100" t="s">
        <v>51</v>
      </c>
      <c r="X100" t="s">
        <v>52</v>
      </c>
      <c r="Y100" s="2">
        <v>0</v>
      </c>
      <c r="Z100" s="2">
        <v>25</v>
      </c>
      <c r="AA100">
        <v>1</v>
      </c>
      <c r="AB100" s="3">
        <v>1</v>
      </c>
      <c r="AC100" s="2">
        <v>25</v>
      </c>
      <c r="AD100" s="3">
        <v>0</v>
      </c>
      <c r="AE100" s="2">
        <v>0</v>
      </c>
      <c r="AF100" s="2">
        <v>25</v>
      </c>
      <c r="AK100">
        <v>6120510</v>
      </c>
    </row>
    <row r="101" spans="1:38" x14ac:dyDescent="0.25">
      <c r="A101" s="1">
        <v>46014</v>
      </c>
      <c r="B101" s="1">
        <v>46015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355</v>
      </c>
      <c r="J101" t="s">
        <v>356</v>
      </c>
      <c r="O101" t="s">
        <v>351</v>
      </c>
      <c r="P101" t="s">
        <v>352</v>
      </c>
      <c r="Q101" t="s">
        <v>49</v>
      </c>
      <c r="R101" t="s">
        <v>268</v>
      </c>
      <c r="S101" s="1">
        <v>46023</v>
      </c>
      <c r="U101" t="s">
        <v>51</v>
      </c>
      <c r="X101" t="s">
        <v>52</v>
      </c>
      <c r="Y101" s="2">
        <v>0</v>
      </c>
      <c r="Z101" s="2">
        <v>25</v>
      </c>
      <c r="AA101">
        <v>1</v>
      </c>
      <c r="AB101" s="3">
        <v>1</v>
      </c>
      <c r="AC101" s="2">
        <v>25</v>
      </c>
      <c r="AD101" s="3">
        <v>0</v>
      </c>
      <c r="AE101" s="2">
        <v>0</v>
      </c>
      <c r="AF101" s="2">
        <v>25</v>
      </c>
      <c r="AK101">
        <v>6120399</v>
      </c>
    </row>
    <row r="102" spans="1:38" x14ac:dyDescent="0.25">
      <c r="A102" s="1">
        <v>46014</v>
      </c>
      <c r="B102" s="1">
        <v>46015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357</v>
      </c>
      <c r="J102" t="s">
        <v>358</v>
      </c>
      <c r="O102" t="s">
        <v>266</v>
      </c>
      <c r="P102" t="s">
        <v>267</v>
      </c>
      <c r="Q102" t="s">
        <v>49</v>
      </c>
      <c r="R102" t="s">
        <v>268</v>
      </c>
      <c r="S102" s="1">
        <v>46023</v>
      </c>
      <c r="U102" t="s">
        <v>51</v>
      </c>
      <c r="X102" t="s">
        <v>52</v>
      </c>
      <c r="Y102" s="2">
        <v>0</v>
      </c>
      <c r="Z102" s="2">
        <v>25</v>
      </c>
      <c r="AA102">
        <v>1</v>
      </c>
      <c r="AB102" s="3">
        <v>1</v>
      </c>
      <c r="AC102" s="2">
        <v>25</v>
      </c>
      <c r="AD102" s="3">
        <v>0</v>
      </c>
      <c r="AE102" s="2">
        <v>0</v>
      </c>
      <c r="AF102" s="2">
        <v>25</v>
      </c>
      <c r="AK102">
        <v>6120407</v>
      </c>
    </row>
    <row r="103" spans="1:38" x14ac:dyDescent="0.25">
      <c r="A103" s="1">
        <v>46014</v>
      </c>
      <c r="B103" s="1">
        <v>46015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359</v>
      </c>
      <c r="J103" t="s">
        <v>360</v>
      </c>
      <c r="O103" t="s">
        <v>266</v>
      </c>
      <c r="P103" t="s">
        <v>267</v>
      </c>
      <c r="Q103" t="s">
        <v>49</v>
      </c>
      <c r="R103" t="s">
        <v>268</v>
      </c>
      <c r="S103" s="1">
        <v>46023</v>
      </c>
      <c r="U103" t="s">
        <v>51</v>
      </c>
      <c r="X103" t="s">
        <v>52</v>
      </c>
      <c r="Y103" s="2">
        <v>0</v>
      </c>
      <c r="Z103" s="2">
        <v>25</v>
      </c>
      <c r="AA103">
        <v>1</v>
      </c>
      <c r="AB103" s="3">
        <v>1</v>
      </c>
      <c r="AC103" s="2">
        <v>25</v>
      </c>
      <c r="AD103" s="3">
        <v>0</v>
      </c>
      <c r="AE103" s="2">
        <v>0</v>
      </c>
      <c r="AF103" s="2">
        <v>25</v>
      </c>
      <c r="AK103">
        <v>6120508</v>
      </c>
    </row>
    <row r="104" spans="1:38" x14ac:dyDescent="0.25">
      <c r="A104" s="1">
        <v>46014</v>
      </c>
      <c r="B104" s="1">
        <v>46015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361</v>
      </c>
      <c r="J104" t="s">
        <v>362</v>
      </c>
      <c r="O104" t="s">
        <v>363</v>
      </c>
      <c r="P104" t="s">
        <v>364</v>
      </c>
      <c r="Q104" t="s">
        <v>49</v>
      </c>
      <c r="R104" t="s">
        <v>365</v>
      </c>
      <c r="S104" s="1">
        <v>46023</v>
      </c>
      <c r="U104" t="s">
        <v>51</v>
      </c>
      <c r="X104" t="s">
        <v>52</v>
      </c>
      <c r="Y104" s="2">
        <v>0</v>
      </c>
      <c r="Z104" s="2">
        <v>15</v>
      </c>
      <c r="AA104">
        <v>1</v>
      </c>
      <c r="AB104" s="3">
        <v>1</v>
      </c>
      <c r="AC104" s="2">
        <v>15</v>
      </c>
      <c r="AD104" s="3">
        <v>0</v>
      </c>
      <c r="AE104" s="2">
        <v>0</v>
      </c>
      <c r="AF104" s="2">
        <v>15</v>
      </c>
      <c r="AK104">
        <v>6120328</v>
      </c>
    </row>
    <row r="105" spans="1:38" x14ac:dyDescent="0.25">
      <c r="A105" s="1">
        <v>46014</v>
      </c>
      <c r="B105" s="1">
        <v>46015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366</v>
      </c>
      <c r="J105" t="s">
        <v>367</v>
      </c>
      <c r="O105" t="s">
        <v>363</v>
      </c>
      <c r="P105" t="s">
        <v>364</v>
      </c>
      <c r="Q105" t="s">
        <v>49</v>
      </c>
      <c r="R105" t="s">
        <v>365</v>
      </c>
      <c r="S105" s="1">
        <v>46023</v>
      </c>
      <c r="U105" t="s">
        <v>51</v>
      </c>
      <c r="X105" t="s">
        <v>52</v>
      </c>
      <c r="Y105" s="2">
        <v>0</v>
      </c>
      <c r="Z105" s="2">
        <v>15</v>
      </c>
      <c r="AA105">
        <v>1</v>
      </c>
      <c r="AB105" s="3">
        <v>1</v>
      </c>
      <c r="AC105" s="2">
        <v>15</v>
      </c>
      <c r="AD105" s="3">
        <v>0</v>
      </c>
      <c r="AE105" s="2">
        <v>0</v>
      </c>
      <c r="AF105" s="2">
        <v>15</v>
      </c>
      <c r="AK105">
        <v>6120327</v>
      </c>
    </row>
    <row r="106" spans="1:38" x14ac:dyDescent="0.25">
      <c r="A106" s="1">
        <v>46014</v>
      </c>
      <c r="B106" s="1">
        <v>46015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368</v>
      </c>
      <c r="J106" t="s">
        <v>369</v>
      </c>
      <c r="O106" t="s">
        <v>114</v>
      </c>
      <c r="P106" t="s">
        <v>115</v>
      </c>
      <c r="Q106" t="s">
        <v>49</v>
      </c>
      <c r="R106" t="s">
        <v>370</v>
      </c>
      <c r="S106" s="1">
        <v>45992</v>
      </c>
      <c r="U106" t="s">
        <v>51</v>
      </c>
      <c r="X106" t="s">
        <v>52</v>
      </c>
      <c r="Y106" s="2">
        <v>0</v>
      </c>
      <c r="Z106" s="2">
        <v>2.08</v>
      </c>
      <c r="AA106">
        <v>1</v>
      </c>
      <c r="AB106" s="3">
        <v>1</v>
      </c>
      <c r="AC106" s="2">
        <v>2.08</v>
      </c>
      <c r="AD106" s="3">
        <v>0</v>
      </c>
      <c r="AE106" s="2">
        <v>0</v>
      </c>
      <c r="AF106" s="2">
        <v>2.08</v>
      </c>
      <c r="AK106">
        <v>6120413</v>
      </c>
      <c r="AL106" t="s">
        <v>371</v>
      </c>
    </row>
    <row r="107" spans="1:38" x14ac:dyDescent="0.25">
      <c r="A107" s="1">
        <v>46014</v>
      </c>
      <c r="B107" s="1">
        <v>46015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372</v>
      </c>
      <c r="J107" t="s">
        <v>373</v>
      </c>
      <c r="O107" t="s">
        <v>374</v>
      </c>
      <c r="P107" t="s">
        <v>375</v>
      </c>
      <c r="Q107" t="s">
        <v>49</v>
      </c>
      <c r="R107" t="s">
        <v>268</v>
      </c>
      <c r="S107" s="1">
        <v>46023</v>
      </c>
      <c r="U107" t="s">
        <v>51</v>
      </c>
      <c r="X107" t="s">
        <v>52</v>
      </c>
      <c r="Y107" s="2">
        <v>0</v>
      </c>
      <c r="Z107" s="2">
        <v>25</v>
      </c>
      <c r="AA107">
        <v>1</v>
      </c>
      <c r="AB107" s="3">
        <v>1</v>
      </c>
      <c r="AC107" s="2">
        <v>25</v>
      </c>
      <c r="AD107" s="3">
        <v>0</v>
      </c>
      <c r="AE107" s="2">
        <v>0</v>
      </c>
      <c r="AF107" s="2">
        <v>25</v>
      </c>
      <c r="AK107">
        <v>6120432</v>
      </c>
    </row>
    <row r="108" spans="1:38" x14ac:dyDescent="0.25">
      <c r="A108" s="1">
        <v>46014</v>
      </c>
      <c r="B108" s="1">
        <v>46015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376</v>
      </c>
      <c r="J108" t="s">
        <v>377</v>
      </c>
      <c r="O108" t="s">
        <v>378</v>
      </c>
      <c r="P108" t="s">
        <v>379</v>
      </c>
      <c r="Q108" t="s">
        <v>49</v>
      </c>
      <c r="R108" t="s">
        <v>370</v>
      </c>
      <c r="S108" s="1">
        <v>46054</v>
      </c>
      <c r="U108" t="s">
        <v>51</v>
      </c>
      <c r="X108" t="s">
        <v>52</v>
      </c>
      <c r="Y108" s="2">
        <v>0</v>
      </c>
      <c r="Z108" s="2">
        <v>22.92</v>
      </c>
      <c r="AA108">
        <v>1</v>
      </c>
      <c r="AB108" s="3">
        <v>1</v>
      </c>
      <c r="AC108" s="2">
        <v>22.92</v>
      </c>
      <c r="AD108" s="3">
        <v>0</v>
      </c>
      <c r="AE108" s="2">
        <v>0</v>
      </c>
      <c r="AF108" s="2">
        <v>22.92</v>
      </c>
      <c r="AK108">
        <v>6120460</v>
      </c>
      <c r="AL108" t="s">
        <v>380</v>
      </c>
    </row>
    <row r="109" spans="1:38" x14ac:dyDescent="0.25">
      <c r="A109" s="1">
        <v>46014</v>
      </c>
      <c r="B109" s="1">
        <v>46015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381</v>
      </c>
      <c r="J109" t="s">
        <v>382</v>
      </c>
      <c r="O109" t="s">
        <v>383</v>
      </c>
      <c r="P109" t="s">
        <v>384</v>
      </c>
      <c r="Q109" t="s">
        <v>49</v>
      </c>
      <c r="R109" t="s">
        <v>370</v>
      </c>
      <c r="S109" s="1">
        <v>45992</v>
      </c>
      <c r="U109" t="s">
        <v>51</v>
      </c>
      <c r="X109" t="s">
        <v>52</v>
      </c>
      <c r="Y109" s="2">
        <v>0</v>
      </c>
      <c r="Z109" s="2">
        <v>2.08</v>
      </c>
      <c r="AA109">
        <v>1</v>
      </c>
      <c r="AB109" s="3">
        <v>1</v>
      </c>
      <c r="AC109" s="2">
        <v>2.08</v>
      </c>
      <c r="AD109" s="3">
        <v>0</v>
      </c>
      <c r="AE109" s="2">
        <v>0</v>
      </c>
      <c r="AF109" s="2">
        <v>2.08</v>
      </c>
      <c r="AK109">
        <v>6120412</v>
      </c>
      <c r="AL109" t="s">
        <v>371</v>
      </c>
    </row>
    <row r="110" spans="1:38" x14ac:dyDescent="0.25">
      <c r="A110" s="1">
        <v>46014</v>
      </c>
      <c r="B110" s="1">
        <v>46015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385</v>
      </c>
      <c r="J110" t="s">
        <v>386</v>
      </c>
      <c r="O110" t="s">
        <v>383</v>
      </c>
      <c r="P110" t="s">
        <v>384</v>
      </c>
      <c r="Q110" t="s">
        <v>49</v>
      </c>
      <c r="R110" t="s">
        <v>370</v>
      </c>
      <c r="S110" s="1">
        <v>45992</v>
      </c>
      <c r="U110" t="s">
        <v>51</v>
      </c>
      <c r="X110" t="s">
        <v>52</v>
      </c>
      <c r="Y110" s="2">
        <v>0</v>
      </c>
      <c r="Z110" s="2">
        <v>2.08</v>
      </c>
      <c r="AA110">
        <v>1</v>
      </c>
      <c r="AB110" s="3">
        <v>1</v>
      </c>
      <c r="AC110" s="2">
        <v>2.08</v>
      </c>
      <c r="AD110" s="3">
        <v>0</v>
      </c>
      <c r="AE110" s="2">
        <v>0</v>
      </c>
      <c r="AF110" s="2">
        <v>2.08</v>
      </c>
      <c r="AK110">
        <v>6120411</v>
      </c>
      <c r="AL110" t="s">
        <v>371</v>
      </c>
    </row>
    <row r="111" spans="1:38" x14ac:dyDescent="0.25">
      <c r="A111" s="1">
        <v>46014</v>
      </c>
      <c r="B111" s="1">
        <v>46015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387</v>
      </c>
      <c r="J111" t="s">
        <v>388</v>
      </c>
      <c r="O111" t="s">
        <v>187</v>
      </c>
      <c r="P111" t="s">
        <v>188</v>
      </c>
      <c r="Q111" t="s">
        <v>49</v>
      </c>
      <c r="R111" t="s">
        <v>370</v>
      </c>
      <c r="S111" s="1">
        <v>45992</v>
      </c>
      <c r="U111" t="s">
        <v>51</v>
      </c>
      <c r="X111" t="s">
        <v>52</v>
      </c>
      <c r="Y111" s="2">
        <v>0</v>
      </c>
      <c r="Z111" s="2">
        <v>2.08</v>
      </c>
      <c r="AA111">
        <v>1</v>
      </c>
      <c r="AB111" s="3">
        <v>1</v>
      </c>
      <c r="AC111" s="2">
        <v>2.08</v>
      </c>
      <c r="AD111" s="3">
        <v>0</v>
      </c>
      <c r="AE111" s="2">
        <v>0</v>
      </c>
      <c r="AF111" s="2">
        <v>2.08</v>
      </c>
      <c r="AK111">
        <v>6120338</v>
      </c>
      <c r="AL111" t="s">
        <v>371</v>
      </c>
    </row>
    <row r="112" spans="1:38" x14ac:dyDescent="0.25">
      <c r="A112" s="1">
        <v>46014</v>
      </c>
      <c r="B112" s="1">
        <v>46015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389</v>
      </c>
      <c r="J112" t="s">
        <v>390</v>
      </c>
      <c r="O112" t="s">
        <v>378</v>
      </c>
      <c r="P112" t="s">
        <v>379</v>
      </c>
      <c r="Q112" t="s">
        <v>49</v>
      </c>
      <c r="R112" t="s">
        <v>268</v>
      </c>
      <c r="S112" s="1">
        <v>46023</v>
      </c>
      <c r="U112" t="s">
        <v>51</v>
      </c>
      <c r="X112" t="s">
        <v>52</v>
      </c>
      <c r="Y112" s="2">
        <v>0</v>
      </c>
      <c r="Z112" s="2">
        <v>25</v>
      </c>
      <c r="AA112">
        <v>1</v>
      </c>
      <c r="AB112" s="3">
        <v>1</v>
      </c>
      <c r="AC112" s="2">
        <v>25</v>
      </c>
      <c r="AD112" s="3">
        <v>0</v>
      </c>
      <c r="AE112" s="2">
        <v>0</v>
      </c>
      <c r="AF112" s="2">
        <v>25</v>
      </c>
      <c r="AK112">
        <v>6120222</v>
      </c>
    </row>
    <row r="113" spans="1:38" x14ac:dyDescent="0.25">
      <c r="A113" s="1">
        <v>46014</v>
      </c>
      <c r="B113" s="1">
        <v>46015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391</v>
      </c>
      <c r="J113" t="s">
        <v>392</v>
      </c>
      <c r="O113" t="s">
        <v>337</v>
      </c>
      <c r="P113" t="s">
        <v>338</v>
      </c>
      <c r="Q113" t="s">
        <v>49</v>
      </c>
      <c r="R113" t="s">
        <v>268</v>
      </c>
      <c r="S113" s="1">
        <v>46023</v>
      </c>
      <c r="U113" t="s">
        <v>51</v>
      </c>
      <c r="X113" t="s">
        <v>52</v>
      </c>
      <c r="Y113" s="2">
        <v>0</v>
      </c>
      <c r="Z113" s="2">
        <v>25</v>
      </c>
      <c r="AA113">
        <v>1</v>
      </c>
      <c r="AB113" s="3">
        <v>1</v>
      </c>
      <c r="AC113" s="2">
        <v>25</v>
      </c>
      <c r="AD113" s="3">
        <v>0</v>
      </c>
      <c r="AE113" s="2">
        <v>0</v>
      </c>
      <c r="AF113" s="2">
        <v>25</v>
      </c>
      <c r="AK113">
        <v>6120302</v>
      </c>
    </row>
    <row r="114" spans="1:38" x14ac:dyDescent="0.25">
      <c r="A114" s="1">
        <v>46014</v>
      </c>
      <c r="B114" s="1">
        <v>46015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393</v>
      </c>
      <c r="J114" t="s">
        <v>394</v>
      </c>
      <c r="O114" t="s">
        <v>337</v>
      </c>
      <c r="P114" t="s">
        <v>338</v>
      </c>
      <c r="Q114" t="s">
        <v>49</v>
      </c>
      <c r="R114" t="s">
        <v>268</v>
      </c>
      <c r="S114" s="1">
        <v>46023</v>
      </c>
      <c r="U114" t="s">
        <v>51</v>
      </c>
      <c r="X114" t="s">
        <v>52</v>
      </c>
      <c r="Y114" s="2">
        <v>0</v>
      </c>
      <c r="Z114" s="2">
        <v>25</v>
      </c>
      <c r="AA114">
        <v>1</v>
      </c>
      <c r="AB114" s="3">
        <v>1</v>
      </c>
      <c r="AC114" s="2">
        <v>25</v>
      </c>
      <c r="AD114" s="3">
        <v>0</v>
      </c>
      <c r="AE114" s="2">
        <v>0</v>
      </c>
      <c r="AF114" s="2">
        <v>25</v>
      </c>
      <c r="AK114">
        <v>6120629</v>
      </c>
    </row>
    <row r="115" spans="1:38" x14ac:dyDescent="0.25">
      <c r="A115" s="1">
        <v>46014</v>
      </c>
      <c r="B115" s="1">
        <v>46015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395</v>
      </c>
      <c r="J115" t="s">
        <v>396</v>
      </c>
      <c r="O115" t="s">
        <v>88</v>
      </c>
      <c r="P115" t="s">
        <v>89</v>
      </c>
      <c r="Q115" t="s">
        <v>49</v>
      </c>
      <c r="R115" t="s">
        <v>268</v>
      </c>
      <c r="S115" s="1">
        <v>46023</v>
      </c>
      <c r="U115" t="s">
        <v>51</v>
      </c>
      <c r="X115" t="s">
        <v>52</v>
      </c>
      <c r="Y115" s="2">
        <v>0</v>
      </c>
      <c r="Z115" s="2">
        <v>25</v>
      </c>
      <c r="AA115">
        <v>1</v>
      </c>
      <c r="AB115" s="3">
        <v>1</v>
      </c>
      <c r="AC115" s="2">
        <v>25</v>
      </c>
      <c r="AD115" s="3">
        <v>0</v>
      </c>
      <c r="AE115" s="2">
        <v>0</v>
      </c>
      <c r="AF115" s="2">
        <v>25</v>
      </c>
      <c r="AK115">
        <v>6120252</v>
      </c>
    </row>
    <row r="116" spans="1:38" x14ac:dyDescent="0.25">
      <c r="A116" s="1">
        <v>46014</v>
      </c>
      <c r="B116" s="1">
        <v>46015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397</v>
      </c>
      <c r="J116" t="s">
        <v>398</v>
      </c>
      <c r="O116" t="s">
        <v>337</v>
      </c>
      <c r="P116" t="s">
        <v>338</v>
      </c>
      <c r="Q116" t="s">
        <v>49</v>
      </c>
      <c r="R116" t="s">
        <v>268</v>
      </c>
      <c r="S116" s="1">
        <v>46023</v>
      </c>
      <c r="U116" t="s">
        <v>51</v>
      </c>
      <c r="X116" t="s">
        <v>52</v>
      </c>
      <c r="Y116" s="2">
        <v>0</v>
      </c>
      <c r="Z116" s="2">
        <v>25</v>
      </c>
      <c r="AA116">
        <v>1</v>
      </c>
      <c r="AB116" s="3">
        <v>1</v>
      </c>
      <c r="AC116" s="2">
        <v>25</v>
      </c>
      <c r="AD116" s="3">
        <v>0</v>
      </c>
      <c r="AE116" s="2">
        <v>0</v>
      </c>
      <c r="AF116" s="2">
        <v>25</v>
      </c>
      <c r="AK116">
        <v>6120215</v>
      </c>
    </row>
    <row r="117" spans="1:38" x14ac:dyDescent="0.25">
      <c r="A117" s="1">
        <v>46014</v>
      </c>
      <c r="B117" s="1">
        <v>46015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399</v>
      </c>
      <c r="J117" t="s">
        <v>400</v>
      </c>
      <c r="O117" t="s">
        <v>337</v>
      </c>
      <c r="P117" t="s">
        <v>338</v>
      </c>
      <c r="Q117" t="s">
        <v>49</v>
      </c>
      <c r="R117" t="s">
        <v>268</v>
      </c>
      <c r="S117" s="1">
        <v>46023</v>
      </c>
      <c r="U117" t="s">
        <v>51</v>
      </c>
      <c r="X117" t="s">
        <v>52</v>
      </c>
      <c r="Y117" s="2">
        <v>0</v>
      </c>
      <c r="Z117" s="2">
        <v>25</v>
      </c>
      <c r="AA117">
        <v>1</v>
      </c>
      <c r="AB117" s="3">
        <v>1</v>
      </c>
      <c r="AC117" s="2">
        <v>25</v>
      </c>
      <c r="AD117" s="3">
        <v>0</v>
      </c>
      <c r="AE117" s="2">
        <v>0</v>
      </c>
      <c r="AF117" s="2">
        <v>25</v>
      </c>
      <c r="AK117">
        <v>6120211</v>
      </c>
    </row>
    <row r="118" spans="1:38" x14ac:dyDescent="0.25">
      <c r="A118" s="1">
        <v>46014</v>
      </c>
      <c r="B118" s="1">
        <v>46015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401</v>
      </c>
      <c r="J118" t="s">
        <v>402</v>
      </c>
      <c r="O118" t="s">
        <v>114</v>
      </c>
      <c r="P118" t="s">
        <v>115</v>
      </c>
      <c r="Q118" t="s">
        <v>49</v>
      </c>
      <c r="R118" t="s">
        <v>268</v>
      </c>
      <c r="S118" s="1">
        <v>46023</v>
      </c>
      <c r="U118" t="s">
        <v>51</v>
      </c>
      <c r="X118" t="s">
        <v>52</v>
      </c>
      <c r="Y118" s="2">
        <v>0</v>
      </c>
      <c r="Z118" s="2">
        <v>25</v>
      </c>
      <c r="AA118">
        <v>1</v>
      </c>
      <c r="AB118" s="3">
        <v>1</v>
      </c>
      <c r="AC118" s="2">
        <v>25</v>
      </c>
      <c r="AD118" s="3">
        <v>0</v>
      </c>
      <c r="AE118" s="2">
        <v>0</v>
      </c>
      <c r="AF118" s="2">
        <v>25</v>
      </c>
      <c r="AK118">
        <v>6120356</v>
      </c>
    </row>
    <row r="119" spans="1:38" x14ac:dyDescent="0.25">
      <c r="A119" s="1">
        <v>46014</v>
      </c>
      <c r="B119" s="1">
        <v>46015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403</v>
      </c>
      <c r="J119" t="s">
        <v>404</v>
      </c>
      <c r="O119" t="s">
        <v>244</v>
      </c>
      <c r="P119" t="s">
        <v>245</v>
      </c>
      <c r="Q119" t="s">
        <v>49</v>
      </c>
      <c r="R119" t="s">
        <v>268</v>
      </c>
      <c r="S119" s="1">
        <v>46023</v>
      </c>
      <c r="U119" t="s">
        <v>51</v>
      </c>
      <c r="X119" t="s">
        <v>52</v>
      </c>
      <c r="Y119" s="2">
        <v>0</v>
      </c>
      <c r="Z119" s="2">
        <v>25</v>
      </c>
      <c r="AA119">
        <v>1</v>
      </c>
      <c r="AB119" s="3">
        <v>1</v>
      </c>
      <c r="AC119" s="2">
        <v>25</v>
      </c>
      <c r="AD119" s="3">
        <v>0</v>
      </c>
      <c r="AE119" s="2">
        <v>0</v>
      </c>
      <c r="AF119" s="2">
        <v>25</v>
      </c>
      <c r="AK119">
        <v>6120203</v>
      </c>
    </row>
    <row r="120" spans="1:38" x14ac:dyDescent="0.25">
      <c r="A120" s="1">
        <v>46014</v>
      </c>
      <c r="B120" s="1">
        <v>46015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405</v>
      </c>
      <c r="J120" t="s">
        <v>406</v>
      </c>
      <c r="O120" t="s">
        <v>76</v>
      </c>
      <c r="P120" t="s">
        <v>77</v>
      </c>
      <c r="Q120" t="s">
        <v>49</v>
      </c>
      <c r="R120" t="s">
        <v>268</v>
      </c>
      <c r="S120" s="1">
        <v>46023</v>
      </c>
      <c r="U120" t="s">
        <v>51</v>
      </c>
      <c r="X120" t="s">
        <v>52</v>
      </c>
      <c r="Y120" s="2">
        <v>0</v>
      </c>
      <c r="Z120" s="2">
        <v>25</v>
      </c>
      <c r="AA120">
        <v>1</v>
      </c>
      <c r="AB120" s="3">
        <v>1</v>
      </c>
      <c r="AC120" s="2">
        <v>25</v>
      </c>
      <c r="AD120" s="3">
        <v>0</v>
      </c>
      <c r="AE120" s="2">
        <v>0</v>
      </c>
      <c r="AF120" s="2">
        <v>25</v>
      </c>
      <c r="AK120">
        <v>6120313</v>
      </c>
    </row>
    <row r="121" spans="1:38" x14ac:dyDescent="0.25">
      <c r="A121" s="1">
        <v>46014</v>
      </c>
      <c r="B121" s="1">
        <v>46015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407</v>
      </c>
      <c r="J121" t="s">
        <v>408</v>
      </c>
      <c r="O121" t="s">
        <v>76</v>
      </c>
      <c r="P121" t="s">
        <v>77</v>
      </c>
      <c r="Q121" t="s">
        <v>49</v>
      </c>
      <c r="R121" t="s">
        <v>268</v>
      </c>
      <c r="S121" s="1">
        <v>46023</v>
      </c>
      <c r="U121" t="s">
        <v>51</v>
      </c>
      <c r="X121" t="s">
        <v>52</v>
      </c>
      <c r="Y121" s="2">
        <v>0</v>
      </c>
      <c r="Z121" s="2">
        <v>25</v>
      </c>
      <c r="AA121">
        <v>1</v>
      </c>
      <c r="AB121" s="3">
        <v>1</v>
      </c>
      <c r="AC121" s="2">
        <v>25</v>
      </c>
      <c r="AD121" s="3">
        <v>0</v>
      </c>
      <c r="AE121" s="2">
        <v>0</v>
      </c>
      <c r="AF121" s="2">
        <v>25</v>
      </c>
      <c r="AK121">
        <v>6120314</v>
      </c>
    </row>
    <row r="122" spans="1:38" x14ac:dyDescent="0.25">
      <c r="A122" s="1">
        <v>46014</v>
      </c>
      <c r="B122" s="1">
        <v>46015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409</v>
      </c>
      <c r="J122" t="s">
        <v>410</v>
      </c>
      <c r="O122" t="s">
        <v>411</v>
      </c>
      <c r="P122" t="s">
        <v>412</v>
      </c>
      <c r="Q122" t="s">
        <v>49</v>
      </c>
      <c r="R122" t="s">
        <v>268</v>
      </c>
      <c r="S122" s="1">
        <v>46023</v>
      </c>
      <c r="U122" t="s">
        <v>51</v>
      </c>
      <c r="X122" t="s">
        <v>52</v>
      </c>
      <c r="Y122" s="2">
        <v>0</v>
      </c>
      <c r="Z122" s="2">
        <v>25</v>
      </c>
      <c r="AA122">
        <v>1</v>
      </c>
      <c r="AB122" s="3">
        <v>1</v>
      </c>
      <c r="AC122" s="2">
        <v>25</v>
      </c>
      <c r="AD122" s="3">
        <v>0</v>
      </c>
      <c r="AE122" s="2">
        <v>0</v>
      </c>
      <c r="AF122" s="2">
        <v>25</v>
      </c>
      <c r="AK122">
        <v>6120387</v>
      </c>
    </row>
    <row r="123" spans="1:38" x14ac:dyDescent="0.25">
      <c r="A123" s="1">
        <v>46014</v>
      </c>
      <c r="B123" s="1">
        <v>46015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413</v>
      </c>
      <c r="J123" t="s">
        <v>414</v>
      </c>
      <c r="M123" t="s">
        <v>284</v>
      </c>
      <c r="O123" t="s">
        <v>331</v>
      </c>
      <c r="P123" t="s">
        <v>332</v>
      </c>
      <c r="Q123" t="s">
        <v>49</v>
      </c>
      <c r="R123" t="s">
        <v>268</v>
      </c>
      <c r="S123" s="1">
        <v>46023</v>
      </c>
      <c r="U123" t="s">
        <v>51</v>
      </c>
      <c r="X123" t="s">
        <v>52</v>
      </c>
      <c r="Y123" s="2">
        <v>0</v>
      </c>
      <c r="Z123" s="2">
        <v>25</v>
      </c>
      <c r="AA123">
        <v>1</v>
      </c>
      <c r="AB123" s="3">
        <v>1</v>
      </c>
      <c r="AC123" s="2">
        <v>25</v>
      </c>
      <c r="AD123" s="3">
        <v>0</v>
      </c>
      <c r="AE123" s="2">
        <v>0</v>
      </c>
      <c r="AF123" s="2">
        <v>25</v>
      </c>
      <c r="AK123">
        <v>6120640</v>
      </c>
    </row>
    <row r="124" spans="1:38" x14ac:dyDescent="0.25">
      <c r="A124" s="1">
        <v>46014</v>
      </c>
      <c r="B124" s="1">
        <v>46015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415</v>
      </c>
      <c r="J124" t="s">
        <v>416</v>
      </c>
      <c r="O124" t="s">
        <v>378</v>
      </c>
      <c r="P124" t="s">
        <v>379</v>
      </c>
      <c r="Q124" t="s">
        <v>49</v>
      </c>
      <c r="R124" t="s">
        <v>268</v>
      </c>
      <c r="S124" s="1">
        <v>46023</v>
      </c>
      <c r="U124" t="s">
        <v>51</v>
      </c>
      <c r="X124" t="s">
        <v>52</v>
      </c>
      <c r="Y124" s="2">
        <v>0</v>
      </c>
      <c r="Z124" s="2">
        <v>25</v>
      </c>
      <c r="AA124">
        <v>1</v>
      </c>
      <c r="AB124" s="3">
        <v>1</v>
      </c>
      <c r="AC124" s="2">
        <v>25</v>
      </c>
      <c r="AD124" s="3">
        <v>0</v>
      </c>
      <c r="AE124" s="2">
        <v>0</v>
      </c>
      <c r="AF124" s="2">
        <v>25</v>
      </c>
      <c r="AK124">
        <v>6120393</v>
      </c>
    </row>
    <row r="125" spans="1:38" x14ac:dyDescent="0.25">
      <c r="A125" s="1">
        <v>46014</v>
      </c>
      <c r="B125" s="1">
        <v>46015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417</v>
      </c>
      <c r="J125" t="s">
        <v>418</v>
      </c>
      <c r="O125" t="s">
        <v>337</v>
      </c>
      <c r="P125" t="s">
        <v>338</v>
      </c>
      <c r="Q125" t="s">
        <v>49</v>
      </c>
      <c r="R125" t="s">
        <v>268</v>
      </c>
      <c r="S125" s="1">
        <v>46023</v>
      </c>
      <c r="U125" t="s">
        <v>51</v>
      </c>
      <c r="X125" t="s">
        <v>52</v>
      </c>
      <c r="Y125" s="2">
        <v>0</v>
      </c>
      <c r="Z125" s="2">
        <v>25</v>
      </c>
      <c r="AA125">
        <v>1</v>
      </c>
      <c r="AB125" s="3">
        <v>1</v>
      </c>
      <c r="AC125" s="2">
        <v>25</v>
      </c>
      <c r="AD125" s="3">
        <v>0</v>
      </c>
      <c r="AE125" s="2">
        <v>0</v>
      </c>
      <c r="AF125" s="2">
        <v>25</v>
      </c>
      <c r="AK125">
        <v>6120217</v>
      </c>
    </row>
    <row r="126" spans="1:38" x14ac:dyDescent="0.25">
      <c r="A126" s="1">
        <v>46014</v>
      </c>
      <c r="B126" s="1">
        <v>46015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419</v>
      </c>
      <c r="J126" t="s">
        <v>420</v>
      </c>
      <c r="O126" t="s">
        <v>192</v>
      </c>
      <c r="P126" t="s">
        <v>193</v>
      </c>
      <c r="Q126" t="s">
        <v>49</v>
      </c>
      <c r="R126" t="s">
        <v>370</v>
      </c>
      <c r="S126" s="1">
        <v>45992</v>
      </c>
      <c r="U126" t="s">
        <v>51</v>
      </c>
      <c r="X126" t="s">
        <v>52</v>
      </c>
      <c r="Y126" s="2">
        <v>0</v>
      </c>
      <c r="Z126" s="2">
        <v>2.08</v>
      </c>
      <c r="AA126">
        <v>1</v>
      </c>
      <c r="AB126" s="3">
        <v>1</v>
      </c>
      <c r="AC126" s="2">
        <v>2.08</v>
      </c>
      <c r="AD126" s="3">
        <v>0</v>
      </c>
      <c r="AE126" s="2">
        <v>0</v>
      </c>
      <c r="AF126" s="2">
        <v>2.08</v>
      </c>
      <c r="AK126">
        <v>6120577</v>
      </c>
      <c r="AL126" t="s">
        <v>371</v>
      </c>
    </row>
    <row r="127" spans="1:38" x14ac:dyDescent="0.25">
      <c r="A127" s="1">
        <v>46014</v>
      </c>
      <c r="B127" s="1">
        <v>46015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421</v>
      </c>
      <c r="J127" t="s">
        <v>422</v>
      </c>
      <c r="O127" t="s">
        <v>423</v>
      </c>
      <c r="P127" t="s">
        <v>424</v>
      </c>
      <c r="Q127" t="s">
        <v>49</v>
      </c>
      <c r="R127" t="s">
        <v>268</v>
      </c>
      <c r="S127" s="1">
        <v>46023</v>
      </c>
      <c r="U127" t="s">
        <v>51</v>
      </c>
      <c r="X127" t="s">
        <v>52</v>
      </c>
      <c r="Y127" s="2">
        <v>0</v>
      </c>
      <c r="Z127" s="2">
        <v>25</v>
      </c>
      <c r="AA127">
        <v>1</v>
      </c>
      <c r="AB127" s="3">
        <v>1</v>
      </c>
      <c r="AC127" s="2">
        <v>25</v>
      </c>
      <c r="AD127" s="3">
        <v>0</v>
      </c>
      <c r="AE127" s="2">
        <v>0</v>
      </c>
      <c r="AF127" s="2">
        <v>25</v>
      </c>
      <c r="AK127">
        <v>6120602</v>
      </c>
    </row>
    <row r="128" spans="1:38" x14ac:dyDescent="0.25">
      <c r="A128" s="1">
        <v>46014</v>
      </c>
      <c r="B128" s="1">
        <v>46015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425</v>
      </c>
      <c r="J128" t="s">
        <v>426</v>
      </c>
      <c r="O128" t="s">
        <v>351</v>
      </c>
      <c r="P128" t="s">
        <v>352</v>
      </c>
      <c r="Q128" t="s">
        <v>49</v>
      </c>
      <c r="R128" t="s">
        <v>268</v>
      </c>
      <c r="S128" s="1">
        <v>46023</v>
      </c>
      <c r="U128" t="s">
        <v>51</v>
      </c>
      <c r="X128" t="s">
        <v>52</v>
      </c>
      <c r="Y128" s="2">
        <v>0</v>
      </c>
      <c r="Z128" s="2">
        <v>25</v>
      </c>
      <c r="AA128">
        <v>1</v>
      </c>
      <c r="AB128" s="3">
        <v>1</v>
      </c>
      <c r="AC128" s="2">
        <v>25</v>
      </c>
      <c r="AD128" s="3">
        <v>0</v>
      </c>
      <c r="AE128" s="2">
        <v>0</v>
      </c>
      <c r="AF128" s="2">
        <v>25</v>
      </c>
      <c r="AK128">
        <v>6120560</v>
      </c>
    </row>
    <row r="129" spans="1:38" x14ac:dyDescent="0.25">
      <c r="A129" s="1">
        <v>46014</v>
      </c>
      <c r="B129" s="1">
        <v>46015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427</v>
      </c>
      <c r="J129" t="s">
        <v>428</v>
      </c>
      <c r="O129" t="s">
        <v>266</v>
      </c>
      <c r="P129" t="s">
        <v>267</v>
      </c>
      <c r="Q129" t="s">
        <v>49</v>
      </c>
      <c r="R129" t="s">
        <v>268</v>
      </c>
      <c r="S129" s="1">
        <v>46023</v>
      </c>
      <c r="U129" t="s">
        <v>51</v>
      </c>
      <c r="X129" t="s">
        <v>52</v>
      </c>
      <c r="Y129" s="2">
        <v>0</v>
      </c>
      <c r="Z129" s="2">
        <v>25</v>
      </c>
      <c r="AA129">
        <v>1</v>
      </c>
      <c r="AB129" s="3">
        <v>1</v>
      </c>
      <c r="AC129" s="2">
        <v>25</v>
      </c>
      <c r="AD129" s="3">
        <v>0</v>
      </c>
      <c r="AE129" s="2">
        <v>0</v>
      </c>
      <c r="AF129" s="2">
        <v>25</v>
      </c>
      <c r="AK129">
        <v>6120397</v>
      </c>
    </row>
    <row r="130" spans="1:38" x14ac:dyDescent="0.25">
      <c r="A130" s="1">
        <v>46014</v>
      </c>
      <c r="B130" s="1">
        <v>46015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429</v>
      </c>
      <c r="J130" t="s">
        <v>430</v>
      </c>
      <c r="O130" t="s">
        <v>244</v>
      </c>
      <c r="P130" t="s">
        <v>245</v>
      </c>
      <c r="Q130" t="s">
        <v>49</v>
      </c>
      <c r="R130" t="s">
        <v>268</v>
      </c>
      <c r="S130" s="1">
        <v>46023</v>
      </c>
      <c r="U130" t="s">
        <v>51</v>
      </c>
      <c r="X130" t="s">
        <v>52</v>
      </c>
      <c r="Y130" s="2">
        <v>0</v>
      </c>
      <c r="Z130" s="2">
        <v>25</v>
      </c>
      <c r="AA130">
        <v>1</v>
      </c>
      <c r="AB130" s="3">
        <v>1</v>
      </c>
      <c r="AC130" s="2">
        <v>25</v>
      </c>
      <c r="AD130" s="3">
        <v>0</v>
      </c>
      <c r="AE130" s="2">
        <v>0</v>
      </c>
      <c r="AF130" s="2">
        <v>25</v>
      </c>
      <c r="AK130">
        <v>6120223</v>
      </c>
    </row>
    <row r="131" spans="1:38" x14ac:dyDescent="0.25">
      <c r="A131" s="1">
        <v>46014</v>
      </c>
      <c r="B131" s="1">
        <v>46015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431</v>
      </c>
      <c r="J131" t="s">
        <v>432</v>
      </c>
      <c r="O131" t="s">
        <v>351</v>
      </c>
      <c r="P131" t="s">
        <v>352</v>
      </c>
      <c r="Q131" t="s">
        <v>49</v>
      </c>
      <c r="R131" t="s">
        <v>268</v>
      </c>
      <c r="S131" s="1">
        <v>46023</v>
      </c>
      <c r="U131" t="s">
        <v>51</v>
      </c>
      <c r="X131" t="s">
        <v>52</v>
      </c>
      <c r="Y131" s="2">
        <v>0</v>
      </c>
      <c r="Z131" s="2">
        <v>25</v>
      </c>
      <c r="AA131">
        <v>1</v>
      </c>
      <c r="AB131" s="3">
        <v>1</v>
      </c>
      <c r="AC131" s="2">
        <v>25</v>
      </c>
      <c r="AD131" s="3">
        <v>0</v>
      </c>
      <c r="AE131" s="2">
        <v>0</v>
      </c>
      <c r="AF131" s="2">
        <v>25</v>
      </c>
      <c r="AK131">
        <v>6120559</v>
      </c>
    </row>
    <row r="132" spans="1:38" x14ac:dyDescent="0.25">
      <c r="A132" s="1">
        <v>46014</v>
      </c>
      <c r="B132" s="1">
        <v>46015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433</v>
      </c>
      <c r="J132" t="s">
        <v>434</v>
      </c>
      <c r="O132" t="s">
        <v>187</v>
      </c>
      <c r="P132" t="s">
        <v>188</v>
      </c>
      <c r="Q132" t="s">
        <v>49</v>
      </c>
      <c r="R132" t="s">
        <v>268</v>
      </c>
      <c r="S132" s="1">
        <v>46023</v>
      </c>
      <c r="U132" t="s">
        <v>51</v>
      </c>
      <c r="X132" t="s">
        <v>52</v>
      </c>
      <c r="Y132" s="2">
        <v>0</v>
      </c>
      <c r="Z132" s="2">
        <v>25</v>
      </c>
      <c r="AA132">
        <v>1</v>
      </c>
      <c r="AB132" s="3">
        <v>1</v>
      </c>
      <c r="AC132" s="2">
        <v>25</v>
      </c>
      <c r="AD132" s="3">
        <v>0</v>
      </c>
      <c r="AE132" s="2">
        <v>0</v>
      </c>
      <c r="AF132" s="2">
        <v>25</v>
      </c>
      <c r="AK132">
        <v>6120323</v>
      </c>
    </row>
    <row r="133" spans="1:38" x14ac:dyDescent="0.25">
      <c r="A133" s="1">
        <v>46014</v>
      </c>
      <c r="B133" s="1">
        <v>46015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435</v>
      </c>
      <c r="J133" t="s">
        <v>436</v>
      </c>
      <c r="O133" t="s">
        <v>266</v>
      </c>
      <c r="P133" t="s">
        <v>267</v>
      </c>
      <c r="Q133" t="s">
        <v>49</v>
      </c>
      <c r="R133" t="s">
        <v>268</v>
      </c>
      <c r="S133" s="1">
        <v>46023</v>
      </c>
      <c r="U133" t="s">
        <v>51</v>
      </c>
      <c r="X133" t="s">
        <v>52</v>
      </c>
      <c r="Y133" s="2">
        <v>0</v>
      </c>
      <c r="Z133" s="2">
        <v>25</v>
      </c>
      <c r="AA133">
        <v>1</v>
      </c>
      <c r="AB133" s="3">
        <v>1</v>
      </c>
      <c r="AC133" s="2">
        <v>25</v>
      </c>
      <c r="AD133" s="3">
        <v>0</v>
      </c>
      <c r="AE133" s="2">
        <v>0</v>
      </c>
      <c r="AF133" s="2">
        <v>25</v>
      </c>
      <c r="AK133">
        <v>6120396</v>
      </c>
    </row>
    <row r="134" spans="1:38" x14ac:dyDescent="0.25">
      <c r="A134" s="1">
        <v>46014</v>
      </c>
      <c r="B134" s="1">
        <v>46015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437</v>
      </c>
      <c r="J134" t="s">
        <v>438</v>
      </c>
      <c r="O134" t="s">
        <v>411</v>
      </c>
      <c r="P134" t="s">
        <v>412</v>
      </c>
      <c r="Q134" t="s">
        <v>49</v>
      </c>
      <c r="R134" t="s">
        <v>268</v>
      </c>
      <c r="S134" s="1">
        <v>46023</v>
      </c>
      <c r="U134" t="s">
        <v>51</v>
      </c>
      <c r="X134" t="s">
        <v>52</v>
      </c>
      <c r="Y134" s="2">
        <v>0</v>
      </c>
      <c r="Z134" s="2">
        <v>25</v>
      </c>
      <c r="AA134">
        <v>1</v>
      </c>
      <c r="AB134" s="3">
        <v>1</v>
      </c>
      <c r="AC134" s="2">
        <v>25</v>
      </c>
      <c r="AD134" s="3">
        <v>0</v>
      </c>
      <c r="AE134" s="2">
        <v>0</v>
      </c>
      <c r="AF134" s="2">
        <v>25</v>
      </c>
      <c r="AK134">
        <v>6120284</v>
      </c>
    </row>
    <row r="135" spans="1:38" x14ac:dyDescent="0.25">
      <c r="A135" s="1">
        <v>46014</v>
      </c>
      <c r="B135" s="1">
        <v>46015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439</v>
      </c>
      <c r="J135" t="s">
        <v>440</v>
      </c>
      <c r="O135" t="s">
        <v>114</v>
      </c>
      <c r="P135" t="s">
        <v>115</v>
      </c>
      <c r="Q135" t="s">
        <v>49</v>
      </c>
      <c r="R135" t="s">
        <v>370</v>
      </c>
      <c r="S135" s="1">
        <v>46054</v>
      </c>
      <c r="U135" t="s">
        <v>51</v>
      </c>
      <c r="X135" t="s">
        <v>52</v>
      </c>
      <c r="Y135" s="2">
        <v>0</v>
      </c>
      <c r="Z135" s="2">
        <v>22.92</v>
      </c>
      <c r="AA135">
        <v>1</v>
      </c>
      <c r="AB135" s="3">
        <v>1</v>
      </c>
      <c r="AC135" s="2">
        <v>22.92</v>
      </c>
      <c r="AD135" s="3">
        <v>0</v>
      </c>
      <c r="AE135" s="2">
        <v>0</v>
      </c>
      <c r="AF135" s="2">
        <v>22.92</v>
      </c>
      <c r="AK135">
        <v>6120225</v>
      </c>
      <c r="AL135" t="s">
        <v>380</v>
      </c>
    </row>
    <row r="136" spans="1:38" x14ac:dyDescent="0.25">
      <c r="A136" s="1">
        <v>46014</v>
      </c>
      <c r="B136" s="1">
        <v>46015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441</v>
      </c>
      <c r="J136" t="s">
        <v>442</v>
      </c>
      <c r="O136" t="s">
        <v>411</v>
      </c>
      <c r="P136" t="s">
        <v>412</v>
      </c>
      <c r="Q136" t="s">
        <v>49</v>
      </c>
      <c r="R136" t="s">
        <v>268</v>
      </c>
      <c r="S136" s="1">
        <v>46023</v>
      </c>
      <c r="U136" t="s">
        <v>51</v>
      </c>
      <c r="X136" t="s">
        <v>52</v>
      </c>
      <c r="Y136" s="2">
        <v>0</v>
      </c>
      <c r="Z136" s="2">
        <v>25</v>
      </c>
      <c r="AA136">
        <v>1</v>
      </c>
      <c r="AB136" s="3">
        <v>1</v>
      </c>
      <c r="AC136" s="2">
        <v>25</v>
      </c>
      <c r="AD136" s="3">
        <v>0</v>
      </c>
      <c r="AE136" s="2">
        <v>0</v>
      </c>
      <c r="AF136" s="2">
        <v>25</v>
      </c>
      <c r="AK136">
        <v>6120228</v>
      </c>
    </row>
    <row r="137" spans="1:38" x14ac:dyDescent="0.25">
      <c r="A137" s="1">
        <v>46014</v>
      </c>
      <c r="B137" s="1">
        <v>46015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443</v>
      </c>
      <c r="J137" t="s">
        <v>444</v>
      </c>
      <c r="O137" t="s">
        <v>266</v>
      </c>
      <c r="P137" t="s">
        <v>267</v>
      </c>
      <c r="Q137" t="s">
        <v>49</v>
      </c>
      <c r="R137" t="s">
        <v>268</v>
      </c>
      <c r="S137" s="1">
        <v>46023</v>
      </c>
      <c r="U137" t="s">
        <v>51</v>
      </c>
      <c r="X137" t="s">
        <v>52</v>
      </c>
      <c r="Y137" s="2">
        <v>0</v>
      </c>
      <c r="Z137" s="2">
        <v>25</v>
      </c>
      <c r="AA137">
        <v>1</v>
      </c>
      <c r="AB137" s="3">
        <v>1</v>
      </c>
      <c r="AC137" s="2">
        <v>25</v>
      </c>
      <c r="AD137" s="3">
        <v>0</v>
      </c>
      <c r="AE137" s="2">
        <v>0</v>
      </c>
      <c r="AF137" s="2">
        <v>25</v>
      </c>
      <c r="AK137">
        <v>6120437</v>
      </c>
    </row>
    <row r="138" spans="1:38" x14ac:dyDescent="0.25">
      <c r="A138" s="1">
        <v>46014</v>
      </c>
      <c r="B138" s="1">
        <v>46015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445</v>
      </c>
      <c r="J138" t="s">
        <v>446</v>
      </c>
      <c r="O138" t="s">
        <v>76</v>
      </c>
      <c r="P138" t="s">
        <v>77</v>
      </c>
      <c r="Q138" t="s">
        <v>49</v>
      </c>
      <c r="R138" t="s">
        <v>268</v>
      </c>
      <c r="S138" s="1">
        <v>46023</v>
      </c>
      <c r="U138" t="s">
        <v>51</v>
      </c>
      <c r="X138" t="s">
        <v>52</v>
      </c>
      <c r="Y138" s="2">
        <v>0</v>
      </c>
      <c r="Z138" s="2">
        <v>25</v>
      </c>
      <c r="AA138">
        <v>1</v>
      </c>
      <c r="AB138" s="3">
        <v>1</v>
      </c>
      <c r="AC138" s="2">
        <v>25</v>
      </c>
      <c r="AD138" s="3">
        <v>0</v>
      </c>
      <c r="AE138" s="2">
        <v>0</v>
      </c>
      <c r="AF138" s="2">
        <v>25</v>
      </c>
      <c r="AK138">
        <v>6120442</v>
      </c>
    </row>
    <row r="139" spans="1:38" x14ac:dyDescent="0.25">
      <c r="A139" s="1">
        <v>46014</v>
      </c>
      <c r="B139" s="1">
        <v>46015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447</v>
      </c>
      <c r="J139" t="s">
        <v>448</v>
      </c>
      <c r="O139" t="s">
        <v>266</v>
      </c>
      <c r="P139" t="s">
        <v>267</v>
      </c>
      <c r="Q139" t="s">
        <v>49</v>
      </c>
      <c r="R139" t="s">
        <v>268</v>
      </c>
      <c r="S139" s="1">
        <v>46023</v>
      </c>
      <c r="U139" t="s">
        <v>51</v>
      </c>
      <c r="X139" t="s">
        <v>52</v>
      </c>
      <c r="Y139" s="2">
        <v>0</v>
      </c>
      <c r="Z139" s="2">
        <v>25</v>
      </c>
      <c r="AA139">
        <v>1</v>
      </c>
      <c r="AB139" s="3">
        <v>1</v>
      </c>
      <c r="AC139" s="2">
        <v>25</v>
      </c>
      <c r="AD139" s="3">
        <v>0</v>
      </c>
      <c r="AE139" s="2">
        <v>0</v>
      </c>
      <c r="AF139" s="2">
        <v>25</v>
      </c>
      <c r="AK139">
        <v>6120546</v>
      </c>
    </row>
    <row r="140" spans="1:38" x14ac:dyDescent="0.25">
      <c r="A140" s="1">
        <v>46014</v>
      </c>
      <c r="B140" s="1">
        <v>46015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449</v>
      </c>
      <c r="J140" t="s">
        <v>450</v>
      </c>
      <c r="O140" t="s">
        <v>266</v>
      </c>
      <c r="P140" t="s">
        <v>267</v>
      </c>
      <c r="Q140" t="s">
        <v>49</v>
      </c>
      <c r="R140" t="s">
        <v>268</v>
      </c>
      <c r="S140" s="1">
        <v>46023</v>
      </c>
      <c r="U140" t="s">
        <v>51</v>
      </c>
      <c r="X140" t="s">
        <v>52</v>
      </c>
      <c r="Y140" s="2">
        <v>0</v>
      </c>
      <c r="Z140" s="2">
        <v>25</v>
      </c>
      <c r="AA140">
        <v>1</v>
      </c>
      <c r="AB140" s="3">
        <v>1</v>
      </c>
      <c r="AC140" s="2">
        <v>25</v>
      </c>
      <c r="AD140" s="3">
        <v>0</v>
      </c>
      <c r="AE140" s="2">
        <v>0</v>
      </c>
      <c r="AF140" s="2">
        <v>25</v>
      </c>
      <c r="AK140">
        <v>6120544</v>
      </c>
    </row>
    <row r="141" spans="1:38" x14ac:dyDescent="0.25">
      <c r="A141" s="1">
        <v>46014</v>
      </c>
      <c r="B141" s="1">
        <v>46015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451</v>
      </c>
      <c r="J141" t="s">
        <v>452</v>
      </c>
      <c r="O141" t="s">
        <v>266</v>
      </c>
      <c r="P141" t="s">
        <v>267</v>
      </c>
      <c r="Q141" t="s">
        <v>49</v>
      </c>
      <c r="R141" t="s">
        <v>370</v>
      </c>
      <c r="S141" s="1">
        <v>45992</v>
      </c>
      <c r="U141" t="s">
        <v>51</v>
      </c>
      <c r="X141" t="s">
        <v>52</v>
      </c>
      <c r="Y141" s="2">
        <v>0</v>
      </c>
      <c r="Z141" s="2">
        <v>2.08</v>
      </c>
      <c r="AA141">
        <v>1</v>
      </c>
      <c r="AB141" s="3">
        <v>1</v>
      </c>
      <c r="AC141" s="2">
        <v>2.08</v>
      </c>
      <c r="AD141" s="3">
        <v>0</v>
      </c>
      <c r="AE141" s="2">
        <v>0</v>
      </c>
      <c r="AF141" s="2">
        <v>2.08</v>
      </c>
      <c r="AK141">
        <v>6120648</v>
      </c>
      <c r="AL141" t="s">
        <v>371</v>
      </c>
    </row>
    <row r="142" spans="1:38" x14ac:dyDescent="0.25">
      <c r="A142" s="1">
        <v>46014</v>
      </c>
      <c r="B142" s="1">
        <v>46015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453</v>
      </c>
      <c r="J142" t="s">
        <v>454</v>
      </c>
      <c r="O142" t="s">
        <v>266</v>
      </c>
      <c r="P142" t="s">
        <v>267</v>
      </c>
      <c r="Q142" t="s">
        <v>49</v>
      </c>
      <c r="R142" t="s">
        <v>268</v>
      </c>
      <c r="S142" s="1">
        <v>46023</v>
      </c>
      <c r="U142" t="s">
        <v>51</v>
      </c>
      <c r="X142" t="s">
        <v>52</v>
      </c>
      <c r="Y142" s="2">
        <v>0</v>
      </c>
      <c r="Z142" s="2">
        <v>25</v>
      </c>
      <c r="AA142">
        <v>1</v>
      </c>
      <c r="AB142" s="3">
        <v>1</v>
      </c>
      <c r="AC142" s="2">
        <v>25</v>
      </c>
      <c r="AD142" s="3">
        <v>0</v>
      </c>
      <c r="AE142" s="2">
        <v>0</v>
      </c>
      <c r="AF142" s="2">
        <v>25</v>
      </c>
      <c r="AK142">
        <v>6120610</v>
      </c>
    </row>
    <row r="143" spans="1:38" x14ac:dyDescent="0.25">
      <c r="A143" s="1">
        <v>46014</v>
      </c>
      <c r="B143" s="1">
        <v>46015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455</v>
      </c>
      <c r="J143" t="s">
        <v>456</v>
      </c>
      <c r="O143" t="s">
        <v>187</v>
      </c>
      <c r="P143" t="s">
        <v>188</v>
      </c>
      <c r="Q143" t="s">
        <v>49</v>
      </c>
      <c r="R143" t="s">
        <v>370</v>
      </c>
      <c r="S143" s="1">
        <v>45992</v>
      </c>
      <c r="U143" t="s">
        <v>51</v>
      </c>
      <c r="X143" t="s">
        <v>52</v>
      </c>
      <c r="Y143" s="2">
        <v>0</v>
      </c>
      <c r="Z143" s="2">
        <v>2.08</v>
      </c>
      <c r="AA143">
        <v>1</v>
      </c>
      <c r="AB143" s="3">
        <v>1</v>
      </c>
      <c r="AC143" s="2">
        <v>2.08</v>
      </c>
      <c r="AD143" s="3">
        <v>0</v>
      </c>
      <c r="AE143" s="2">
        <v>0</v>
      </c>
      <c r="AF143" s="2">
        <v>2.08</v>
      </c>
      <c r="AK143">
        <v>6120197</v>
      </c>
      <c r="AL143" t="s">
        <v>371</v>
      </c>
    </row>
    <row r="144" spans="1:38" x14ac:dyDescent="0.25">
      <c r="A144" s="1">
        <v>46014</v>
      </c>
      <c r="B144" s="1">
        <v>46015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457</v>
      </c>
      <c r="J144" t="s">
        <v>458</v>
      </c>
      <c r="O144" t="s">
        <v>459</v>
      </c>
      <c r="P144" t="s">
        <v>460</v>
      </c>
      <c r="Q144" t="s">
        <v>49</v>
      </c>
      <c r="R144" t="s">
        <v>268</v>
      </c>
      <c r="S144" s="1">
        <v>46023</v>
      </c>
      <c r="U144" t="s">
        <v>51</v>
      </c>
      <c r="X144" t="s">
        <v>52</v>
      </c>
      <c r="Y144" s="2">
        <v>0</v>
      </c>
      <c r="Z144" s="2">
        <v>25</v>
      </c>
      <c r="AA144">
        <v>1</v>
      </c>
      <c r="AB144" s="3">
        <v>1</v>
      </c>
      <c r="AC144" s="2">
        <v>25</v>
      </c>
      <c r="AD144" s="3">
        <v>0</v>
      </c>
      <c r="AE144" s="2">
        <v>0</v>
      </c>
      <c r="AF144" s="2">
        <v>25</v>
      </c>
      <c r="AK144">
        <v>6120619</v>
      </c>
    </row>
    <row r="145" spans="1:38" x14ac:dyDescent="0.25">
      <c r="A145" s="1">
        <v>46014</v>
      </c>
      <c r="B145" s="1">
        <v>46015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461</v>
      </c>
      <c r="J145" t="s">
        <v>462</v>
      </c>
      <c r="O145" t="s">
        <v>463</v>
      </c>
      <c r="P145" t="s">
        <v>464</v>
      </c>
      <c r="Q145" t="s">
        <v>49</v>
      </c>
      <c r="R145" t="s">
        <v>268</v>
      </c>
      <c r="S145" s="1">
        <v>46023</v>
      </c>
      <c r="U145" t="s">
        <v>51</v>
      </c>
      <c r="X145" t="s">
        <v>52</v>
      </c>
      <c r="Y145" s="2">
        <v>0</v>
      </c>
      <c r="Z145" s="2">
        <v>25</v>
      </c>
      <c r="AA145">
        <v>1</v>
      </c>
      <c r="AB145" s="3">
        <v>1</v>
      </c>
      <c r="AC145" s="2">
        <v>25</v>
      </c>
      <c r="AD145" s="3">
        <v>0</v>
      </c>
      <c r="AE145" s="2">
        <v>0</v>
      </c>
      <c r="AF145" s="2">
        <v>25</v>
      </c>
      <c r="AK145">
        <v>6120513</v>
      </c>
    </row>
    <row r="146" spans="1:38" x14ac:dyDescent="0.25">
      <c r="A146" s="1">
        <v>46014</v>
      </c>
      <c r="B146" s="1">
        <v>46015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465</v>
      </c>
      <c r="J146" t="s">
        <v>466</v>
      </c>
      <c r="O146" t="s">
        <v>467</v>
      </c>
      <c r="P146" t="s">
        <v>468</v>
      </c>
      <c r="Q146" t="s">
        <v>49</v>
      </c>
      <c r="R146" t="s">
        <v>268</v>
      </c>
      <c r="S146" s="1">
        <v>46023</v>
      </c>
      <c r="U146" t="s">
        <v>51</v>
      </c>
      <c r="X146" t="s">
        <v>52</v>
      </c>
      <c r="Y146" s="2">
        <v>0</v>
      </c>
      <c r="Z146" s="2">
        <v>25</v>
      </c>
      <c r="AA146">
        <v>1</v>
      </c>
      <c r="AB146" s="3">
        <v>1</v>
      </c>
      <c r="AC146" s="2">
        <v>25</v>
      </c>
      <c r="AD146" s="3">
        <v>0</v>
      </c>
      <c r="AE146" s="2">
        <v>0</v>
      </c>
      <c r="AF146" s="2">
        <v>25</v>
      </c>
      <c r="AK146">
        <v>6120520</v>
      </c>
    </row>
    <row r="147" spans="1:38" x14ac:dyDescent="0.25">
      <c r="A147" s="1">
        <v>46014</v>
      </c>
      <c r="B147" s="1">
        <v>46015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469</v>
      </c>
      <c r="J147" t="s">
        <v>470</v>
      </c>
      <c r="M147" t="s">
        <v>284</v>
      </c>
      <c r="O147" t="s">
        <v>337</v>
      </c>
      <c r="P147" t="s">
        <v>338</v>
      </c>
      <c r="Q147" t="s">
        <v>49</v>
      </c>
      <c r="R147" t="s">
        <v>268</v>
      </c>
      <c r="S147" s="1">
        <v>46023</v>
      </c>
      <c r="U147" t="s">
        <v>51</v>
      </c>
      <c r="X147" t="s">
        <v>52</v>
      </c>
      <c r="Y147" s="2">
        <v>0</v>
      </c>
      <c r="Z147" s="2">
        <v>25</v>
      </c>
      <c r="AA147">
        <v>1</v>
      </c>
      <c r="AB147" s="3">
        <v>1</v>
      </c>
      <c r="AC147" s="2">
        <v>25</v>
      </c>
      <c r="AD147" s="3">
        <v>0</v>
      </c>
      <c r="AE147" s="2">
        <v>0</v>
      </c>
      <c r="AF147" s="2">
        <v>25</v>
      </c>
      <c r="AK147">
        <v>6120543</v>
      </c>
    </row>
    <row r="148" spans="1:38" x14ac:dyDescent="0.25">
      <c r="A148" s="1">
        <v>46014</v>
      </c>
      <c r="B148" s="1">
        <v>46015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471</v>
      </c>
      <c r="J148" t="s">
        <v>472</v>
      </c>
      <c r="O148" t="s">
        <v>337</v>
      </c>
      <c r="P148" t="s">
        <v>338</v>
      </c>
      <c r="Q148" t="s">
        <v>49</v>
      </c>
      <c r="R148" t="s">
        <v>268</v>
      </c>
      <c r="S148" s="1">
        <v>46023</v>
      </c>
      <c r="U148" t="s">
        <v>51</v>
      </c>
      <c r="X148" t="s">
        <v>52</v>
      </c>
      <c r="Y148" s="2">
        <v>0</v>
      </c>
      <c r="Z148" s="2">
        <v>25</v>
      </c>
      <c r="AA148">
        <v>1</v>
      </c>
      <c r="AB148" s="3">
        <v>1</v>
      </c>
      <c r="AC148" s="2">
        <v>25</v>
      </c>
      <c r="AD148" s="3">
        <v>0</v>
      </c>
      <c r="AE148" s="2">
        <v>0</v>
      </c>
      <c r="AF148" s="2">
        <v>25</v>
      </c>
      <c r="AK148">
        <v>6120653</v>
      </c>
    </row>
    <row r="149" spans="1:38" x14ac:dyDescent="0.25">
      <c r="A149" s="1">
        <v>46014</v>
      </c>
      <c r="B149" s="1">
        <v>46015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473</v>
      </c>
      <c r="J149" t="s">
        <v>474</v>
      </c>
      <c r="O149" t="s">
        <v>337</v>
      </c>
      <c r="P149" t="s">
        <v>338</v>
      </c>
      <c r="Q149" t="s">
        <v>49</v>
      </c>
      <c r="R149" t="s">
        <v>268</v>
      </c>
      <c r="S149" s="1">
        <v>46023</v>
      </c>
      <c r="U149" t="s">
        <v>51</v>
      </c>
      <c r="X149" t="s">
        <v>52</v>
      </c>
      <c r="Y149" s="2">
        <v>0</v>
      </c>
      <c r="Z149" s="2">
        <v>25</v>
      </c>
      <c r="AA149">
        <v>1</v>
      </c>
      <c r="AB149" s="3">
        <v>1</v>
      </c>
      <c r="AC149" s="2">
        <v>25</v>
      </c>
      <c r="AD149" s="3">
        <v>0</v>
      </c>
      <c r="AE149" s="2">
        <v>0</v>
      </c>
      <c r="AF149" s="2">
        <v>25</v>
      </c>
      <c r="AK149">
        <v>6120542</v>
      </c>
    </row>
    <row r="150" spans="1:38" x14ac:dyDescent="0.25">
      <c r="A150" s="1">
        <v>46014</v>
      </c>
      <c r="B150" s="1">
        <v>46015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475</v>
      </c>
      <c r="J150" t="s">
        <v>476</v>
      </c>
      <c r="O150" t="s">
        <v>266</v>
      </c>
      <c r="P150" t="s">
        <v>267</v>
      </c>
      <c r="Q150" t="s">
        <v>49</v>
      </c>
      <c r="R150" t="s">
        <v>268</v>
      </c>
      <c r="S150" s="1">
        <v>46023</v>
      </c>
      <c r="U150" t="s">
        <v>51</v>
      </c>
      <c r="X150" t="s">
        <v>52</v>
      </c>
      <c r="Y150" s="2">
        <v>0</v>
      </c>
      <c r="Z150" s="2">
        <v>25</v>
      </c>
      <c r="AA150">
        <v>1</v>
      </c>
      <c r="AB150" s="3">
        <v>1</v>
      </c>
      <c r="AC150" s="2">
        <v>25</v>
      </c>
      <c r="AD150" s="3">
        <v>0</v>
      </c>
      <c r="AE150" s="2">
        <v>0</v>
      </c>
      <c r="AF150" s="2">
        <v>25</v>
      </c>
      <c r="AK150">
        <v>6120455</v>
      </c>
    </row>
    <row r="151" spans="1:38" x14ac:dyDescent="0.25">
      <c r="A151" s="1">
        <v>46014</v>
      </c>
      <c r="B151" s="1">
        <v>46015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477</v>
      </c>
      <c r="J151" t="s">
        <v>478</v>
      </c>
      <c r="O151" t="s">
        <v>110</v>
      </c>
      <c r="P151" t="s">
        <v>111</v>
      </c>
      <c r="Q151" t="s">
        <v>49</v>
      </c>
      <c r="R151" t="s">
        <v>268</v>
      </c>
      <c r="S151" s="1">
        <v>46023</v>
      </c>
      <c r="U151" t="s">
        <v>51</v>
      </c>
      <c r="X151" t="s">
        <v>52</v>
      </c>
      <c r="Y151" s="2">
        <v>0</v>
      </c>
      <c r="Z151" s="2">
        <v>25</v>
      </c>
      <c r="AA151">
        <v>1</v>
      </c>
      <c r="AB151" s="3">
        <v>1</v>
      </c>
      <c r="AC151" s="2">
        <v>25</v>
      </c>
      <c r="AD151" s="3">
        <v>0</v>
      </c>
      <c r="AE151" s="2">
        <v>0</v>
      </c>
      <c r="AF151" s="2">
        <v>25</v>
      </c>
      <c r="AK151">
        <v>6120260</v>
      </c>
    </row>
    <row r="152" spans="1:38" x14ac:dyDescent="0.25">
      <c r="A152" s="1">
        <v>46014</v>
      </c>
      <c r="B152" s="1">
        <v>46015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479</v>
      </c>
      <c r="J152" t="s">
        <v>480</v>
      </c>
      <c r="O152" t="s">
        <v>459</v>
      </c>
      <c r="P152" t="s">
        <v>460</v>
      </c>
      <c r="Q152" t="s">
        <v>49</v>
      </c>
      <c r="R152" t="s">
        <v>268</v>
      </c>
      <c r="S152" s="1">
        <v>46023</v>
      </c>
      <c r="U152" t="s">
        <v>51</v>
      </c>
      <c r="X152" t="s">
        <v>52</v>
      </c>
      <c r="Y152" s="2">
        <v>0</v>
      </c>
      <c r="Z152" s="2">
        <v>25</v>
      </c>
      <c r="AA152">
        <v>1</v>
      </c>
      <c r="AB152" s="3">
        <v>1</v>
      </c>
      <c r="AC152" s="2">
        <v>25</v>
      </c>
      <c r="AD152" s="3">
        <v>0</v>
      </c>
      <c r="AE152" s="2">
        <v>0</v>
      </c>
      <c r="AF152" s="2">
        <v>25</v>
      </c>
      <c r="AK152">
        <v>6120192</v>
      </c>
    </row>
    <row r="153" spans="1:38" x14ac:dyDescent="0.25">
      <c r="A153" s="1">
        <v>46014</v>
      </c>
      <c r="B153" s="1">
        <v>46015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481</v>
      </c>
      <c r="J153" t="s">
        <v>482</v>
      </c>
      <c r="O153" t="s">
        <v>411</v>
      </c>
      <c r="P153" t="s">
        <v>412</v>
      </c>
      <c r="Q153" t="s">
        <v>49</v>
      </c>
      <c r="R153" t="s">
        <v>268</v>
      </c>
      <c r="S153" s="1">
        <v>46023</v>
      </c>
      <c r="U153" t="s">
        <v>51</v>
      </c>
      <c r="X153" t="s">
        <v>52</v>
      </c>
      <c r="Y153" s="2">
        <v>0</v>
      </c>
      <c r="Z153" s="2">
        <v>25</v>
      </c>
      <c r="AA153">
        <v>1</v>
      </c>
      <c r="AB153" s="3">
        <v>1</v>
      </c>
      <c r="AC153" s="2">
        <v>25</v>
      </c>
      <c r="AD153" s="3">
        <v>0</v>
      </c>
      <c r="AE153" s="2">
        <v>0</v>
      </c>
      <c r="AF153" s="2">
        <v>25</v>
      </c>
      <c r="AK153">
        <v>6120615</v>
      </c>
    </row>
    <row r="154" spans="1:38" x14ac:dyDescent="0.25">
      <c r="A154" s="1">
        <v>46014</v>
      </c>
      <c r="B154" s="1">
        <v>46015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483</v>
      </c>
      <c r="J154" t="s">
        <v>484</v>
      </c>
      <c r="O154" t="s">
        <v>196</v>
      </c>
      <c r="P154" t="s">
        <v>195</v>
      </c>
      <c r="Q154" t="s">
        <v>49</v>
      </c>
      <c r="R154" t="s">
        <v>268</v>
      </c>
      <c r="S154" s="1">
        <v>46023</v>
      </c>
      <c r="U154" t="s">
        <v>51</v>
      </c>
      <c r="X154" t="s">
        <v>52</v>
      </c>
      <c r="Y154" s="2">
        <v>0</v>
      </c>
      <c r="Z154" s="2">
        <v>25</v>
      </c>
      <c r="AA154">
        <v>1</v>
      </c>
      <c r="AB154" s="3">
        <v>1</v>
      </c>
      <c r="AC154" s="2">
        <v>25</v>
      </c>
      <c r="AD154" s="3">
        <v>0</v>
      </c>
      <c r="AE154" s="2">
        <v>0</v>
      </c>
      <c r="AF154" s="2">
        <v>25</v>
      </c>
      <c r="AK154">
        <v>6120244</v>
      </c>
    </row>
    <row r="155" spans="1:38" x14ac:dyDescent="0.25">
      <c r="A155" s="1">
        <v>46014</v>
      </c>
      <c r="B155" s="1">
        <v>46015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485</v>
      </c>
      <c r="J155" t="s">
        <v>486</v>
      </c>
      <c r="O155" t="s">
        <v>201</v>
      </c>
      <c r="P155" t="s">
        <v>202</v>
      </c>
      <c r="Q155" t="s">
        <v>49</v>
      </c>
      <c r="R155" t="s">
        <v>370</v>
      </c>
      <c r="S155" s="1">
        <v>45992</v>
      </c>
      <c r="U155" t="s">
        <v>51</v>
      </c>
      <c r="X155" t="s">
        <v>52</v>
      </c>
      <c r="Y155" s="2">
        <v>0</v>
      </c>
      <c r="Z155" s="2">
        <v>2.08</v>
      </c>
      <c r="AA155">
        <v>1</v>
      </c>
      <c r="AB155" s="3">
        <v>1</v>
      </c>
      <c r="AC155" s="2">
        <v>2.08</v>
      </c>
      <c r="AD155" s="3">
        <v>0</v>
      </c>
      <c r="AE155" s="2">
        <v>0</v>
      </c>
      <c r="AF155" s="2">
        <v>2.08</v>
      </c>
      <c r="AK155">
        <v>6120287</v>
      </c>
      <c r="AL155" t="s">
        <v>371</v>
      </c>
    </row>
    <row r="156" spans="1:38" x14ac:dyDescent="0.25">
      <c r="A156" s="1">
        <v>46014</v>
      </c>
      <c r="B156" s="1">
        <v>46015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487</v>
      </c>
      <c r="J156" t="s">
        <v>488</v>
      </c>
      <c r="O156" t="s">
        <v>489</v>
      </c>
      <c r="P156" t="s">
        <v>490</v>
      </c>
      <c r="Q156" t="s">
        <v>49</v>
      </c>
      <c r="R156" t="s">
        <v>268</v>
      </c>
      <c r="S156" s="1">
        <v>46023</v>
      </c>
      <c r="U156" t="s">
        <v>51</v>
      </c>
      <c r="X156" t="s">
        <v>52</v>
      </c>
      <c r="Y156" s="2">
        <v>0</v>
      </c>
      <c r="Z156" s="2">
        <v>25</v>
      </c>
      <c r="AA156">
        <v>1</v>
      </c>
      <c r="AB156" s="3">
        <v>1</v>
      </c>
      <c r="AC156" s="2">
        <v>25</v>
      </c>
      <c r="AD156" s="3">
        <v>0</v>
      </c>
      <c r="AE156" s="2">
        <v>0</v>
      </c>
      <c r="AF156" s="2">
        <v>25</v>
      </c>
      <c r="AK156">
        <v>6120658</v>
      </c>
    </row>
    <row r="157" spans="1:38" x14ac:dyDescent="0.25">
      <c r="A157" s="1">
        <v>46014</v>
      </c>
      <c r="B157" s="1">
        <v>46015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491</v>
      </c>
      <c r="J157" t="s">
        <v>492</v>
      </c>
      <c r="O157" t="s">
        <v>106</v>
      </c>
      <c r="P157" t="s">
        <v>107</v>
      </c>
      <c r="Q157" t="s">
        <v>49</v>
      </c>
      <c r="R157" t="s">
        <v>268</v>
      </c>
      <c r="S157" s="1">
        <v>46023</v>
      </c>
      <c r="U157" t="s">
        <v>51</v>
      </c>
      <c r="X157" t="s">
        <v>52</v>
      </c>
      <c r="Y157" s="2">
        <v>0</v>
      </c>
      <c r="Z157" s="2">
        <v>25</v>
      </c>
      <c r="AA157">
        <v>1</v>
      </c>
      <c r="AB157" s="3">
        <v>1</v>
      </c>
      <c r="AC157" s="2">
        <v>25</v>
      </c>
      <c r="AD157" s="3">
        <v>0</v>
      </c>
      <c r="AE157" s="2">
        <v>0</v>
      </c>
      <c r="AF157" s="2">
        <v>25</v>
      </c>
      <c r="AK157">
        <v>6120236</v>
      </c>
    </row>
    <row r="158" spans="1:38" x14ac:dyDescent="0.25">
      <c r="A158" s="1">
        <v>46014</v>
      </c>
      <c r="B158" s="1">
        <v>46015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493</v>
      </c>
      <c r="J158" t="s">
        <v>494</v>
      </c>
      <c r="O158" t="s">
        <v>489</v>
      </c>
      <c r="P158" t="s">
        <v>490</v>
      </c>
      <c r="Q158" t="s">
        <v>49</v>
      </c>
      <c r="R158" t="s">
        <v>268</v>
      </c>
      <c r="S158" s="1">
        <v>46023</v>
      </c>
      <c r="U158" t="s">
        <v>51</v>
      </c>
      <c r="X158" t="s">
        <v>52</v>
      </c>
      <c r="Y158" s="2">
        <v>0</v>
      </c>
      <c r="Z158" s="2">
        <v>25</v>
      </c>
      <c r="AA158">
        <v>1</v>
      </c>
      <c r="AB158" s="3">
        <v>1</v>
      </c>
      <c r="AC158" s="2">
        <v>25</v>
      </c>
      <c r="AD158" s="3">
        <v>0</v>
      </c>
      <c r="AE158" s="2">
        <v>0</v>
      </c>
      <c r="AF158" s="2">
        <v>25</v>
      </c>
      <c r="AK158">
        <v>6120659</v>
      </c>
    </row>
    <row r="159" spans="1:38" x14ac:dyDescent="0.25">
      <c r="A159" s="1">
        <v>46014</v>
      </c>
      <c r="B159" s="1">
        <v>46015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495</v>
      </c>
      <c r="J159" t="s">
        <v>496</v>
      </c>
      <c r="O159" t="s">
        <v>187</v>
      </c>
      <c r="P159" t="s">
        <v>188</v>
      </c>
      <c r="Q159" t="s">
        <v>49</v>
      </c>
      <c r="R159" t="s">
        <v>268</v>
      </c>
      <c r="S159" s="1">
        <v>46023</v>
      </c>
      <c r="U159" t="s">
        <v>51</v>
      </c>
      <c r="X159" t="s">
        <v>52</v>
      </c>
      <c r="Y159" s="2">
        <v>0</v>
      </c>
      <c r="Z159" s="2">
        <v>25</v>
      </c>
      <c r="AA159">
        <v>1</v>
      </c>
      <c r="AB159" s="3">
        <v>1</v>
      </c>
      <c r="AC159" s="2">
        <v>25</v>
      </c>
      <c r="AD159" s="3">
        <v>0</v>
      </c>
      <c r="AE159" s="2">
        <v>0</v>
      </c>
      <c r="AF159" s="2">
        <v>25</v>
      </c>
      <c r="AK159">
        <v>6120516</v>
      </c>
    </row>
    <row r="160" spans="1:38" x14ac:dyDescent="0.25">
      <c r="A160" s="1">
        <v>46014</v>
      </c>
      <c r="B160" s="1">
        <v>46015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497</v>
      </c>
      <c r="J160" t="s">
        <v>498</v>
      </c>
      <c r="O160" t="s">
        <v>499</v>
      </c>
      <c r="P160" t="s">
        <v>500</v>
      </c>
      <c r="Q160" t="s">
        <v>49</v>
      </c>
      <c r="R160" t="s">
        <v>370</v>
      </c>
      <c r="S160" s="1">
        <v>45992</v>
      </c>
      <c r="U160" t="s">
        <v>51</v>
      </c>
      <c r="X160" t="s">
        <v>52</v>
      </c>
      <c r="Y160" s="2">
        <v>0</v>
      </c>
      <c r="Z160" s="2">
        <v>2.08</v>
      </c>
      <c r="AA160">
        <v>1</v>
      </c>
      <c r="AB160" s="3">
        <v>1</v>
      </c>
      <c r="AC160" s="2">
        <v>2.08</v>
      </c>
      <c r="AD160" s="3">
        <v>0</v>
      </c>
      <c r="AE160" s="2">
        <v>0</v>
      </c>
      <c r="AF160" s="2">
        <v>2.08</v>
      </c>
      <c r="AK160">
        <v>6120541</v>
      </c>
      <c r="AL160" t="s">
        <v>371</v>
      </c>
    </row>
    <row r="161" spans="1:38" x14ac:dyDescent="0.25">
      <c r="A161" s="1">
        <v>46014</v>
      </c>
      <c r="B161" s="1">
        <v>46015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501</v>
      </c>
      <c r="J161" t="s">
        <v>502</v>
      </c>
      <c r="O161" t="s">
        <v>503</v>
      </c>
      <c r="P161" t="s">
        <v>504</v>
      </c>
      <c r="Q161" t="s">
        <v>49</v>
      </c>
      <c r="R161" t="s">
        <v>505</v>
      </c>
      <c r="S161" s="1">
        <v>45992</v>
      </c>
      <c r="U161" t="s">
        <v>51</v>
      </c>
      <c r="X161" t="s">
        <v>52</v>
      </c>
      <c r="Y161" s="2">
        <v>0</v>
      </c>
      <c r="Z161" s="2">
        <v>1.25</v>
      </c>
      <c r="AA161">
        <v>1</v>
      </c>
      <c r="AB161" s="3">
        <v>1</v>
      </c>
      <c r="AC161" s="2">
        <v>1.25</v>
      </c>
      <c r="AD161" s="3">
        <v>0</v>
      </c>
      <c r="AE161" s="2">
        <v>0</v>
      </c>
      <c r="AF161" s="2">
        <v>1.25</v>
      </c>
      <c r="AK161">
        <v>6120595</v>
      </c>
      <c r="AL161" t="s">
        <v>371</v>
      </c>
    </row>
    <row r="162" spans="1:38" x14ac:dyDescent="0.25">
      <c r="A162" s="1">
        <v>46014</v>
      </c>
      <c r="B162" s="1">
        <v>46015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506</v>
      </c>
      <c r="J162" t="s">
        <v>507</v>
      </c>
      <c r="O162" t="s">
        <v>114</v>
      </c>
      <c r="P162" t="s">
        <v>115</v>
      </c>
      <c r="Q162" t="s">
        <v>49</v>
      </c>
      <c r="R162" t="s">
        <v>268</v>
      </c>
      <c r="S162" s="1">
        <v>46023</v>
      </c>
      <c r="U162" t="s">
        <v>51</v>
      </c>
      <c r="X162" t="s">
        <v>52</v>
      </c>
      <c r="Y162" s="2">
        <v>0</v>
      </c>
      <c r="Z162" s="2">
        <v>25</v>
      </c>
      <c r="AA162">
        <v>1</v>
      </c>
      <c r="AB162" s="3">
        <v>1</v>
      </c>
      <c r="AC162" s="2">
        <v>25</v>
      </c>
      <c r="AD162" s="3">
        <v>0</v>
      </c>
      <c r="AE162" s="2">
        <v>0</v>
      </c>
      <c r="AF162" s="2">
        <v>25</v>
      </c>
      <c r="AK162">
        <v>6120349</v>
      </c>
    </row>
    <row r="163" spans="1:38" x14ac:dyDescent="0.25">
      <c r="A163" s="1">
        <v>46014</v>
      </c>
      <c r="B163" s="1">
        <v>46015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508</v>
      </c>
      <c r="J163" t="s">
        <v>509</v>
      </c>
      <c r="O163" t="s">
        <v>201</v>
      </c>
      <c r="P163" t="s">
        <v>202</v>
      </c>
      <c r="Q163" t="s">
        <v>49</v>
      </c>
      <c r="R163" t="s">
        <v>268</v>
      </c>
      <c r="S163" s="1">
        <v>46023</v>
      </c>
      <c r="U163" t="s">
        <v>51</v>
      </c>
      <c r="X163" t="s">
        <v>52</v>
      </c>
      <c r="Y163" s="2">
        <v>0</v>
      </c>
      <c r="Z163" s="2">
        <v>25</v>
      </c>
      <c r="AA163">
        <v>1</v>
      </c>
      <c r="AB163" s="3">
        <v>1</v>
      </c>
      <c r="AC163" s="2">
        <v>25</v>
      </c>
      <c r="AD163" s="3">
        <v>0</v>
      </c>
      <c r="AE163" s="2">
        <v>0</v>
      </c>
      <c r="AF163" s="2">
        <v>25</v>
      </c>
      <c r="AK163">
        <v>6120604</v>
      </c>
    </row>
    <row r="164" spans="1:38" x14ac:dyDescent="0.25">
      <c r="A164" s="1">
        <v>46014</v>
      </c>
      <c r="B164" s="1">
        <v>46015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510</v>
      </c>
      <c r="J164" t="s">
        <v>511</v>
      </c>
      <c r="O164" t="s">
        <v>201</v>
      </c>
      <c r="P164" t="s">
        <v>202</v>
      </c>
      <c r="Q164" t="s">
        <v>49</v>
      </c>
      <c r="R164" t="s">
        <v>370</v>
      </c>
      <c r="S164" s="1">
        <v>46054</v>
      </c>
      <c r="U164" t="s">
        <v>51</v>
      </c>
      <c r="X164" t="s">
        <v>52</v>
      </c>
      <c r="Y164" s="2">
        <v>0</v>
      </c>
      <c r="Z164" s="2">
        <v>22.92</v>
      </c>
      <c r="AA164">
        <v>1</v>
      </c>
      <c r="AB164" s="3">
        <v>1</v>
      </c>
      <c r="AC164" s="2">
        <v>22.92</v>
      </c>
      <c r="AD164" s="3">
        <v>0</v>
      </c>
      <c r="AE164" s="2">
        <v>0</v>
      </c>
      <c r="AF164" s="2">
        <v>22.92</v>
      </c>
      <c r="AK164">
        <v>6120320</v>
      </c>
      <c r="AL164" t="s">
        <v>380</v>
      </c>
    </row>
    <row r="165" spans="1:38" x14ac:dyDescent="0.25">
      <c r="A165" s="1">
        <v>46014</v>
      </c>
      <c r="B165" s="1">
        <v>46015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512</v>
      </c>
      <c r="J165" t="s">
        <v>513</v>
      </c>
      <c r="O165" t="s">
        <v>337</v>
      </c>
      <c r="P165" t="s">
        <v>338</v>
      </c>
      <c r="Q165" t="s">
        <v>49</v>
      </c>
      <c r="R165" t="s">
        <v>268</v>
      </c>
      <c r="S165" s="1">
        <v>46023</v>
      </c>
      <c r="U165" t="s">
        <v>51</v>
      </c>
      <c r="X165" t="s">
        <v>52</v>
      </c>
      <c r="Y165" s="2">
        <v>0</v>
      </c>
      <c r="Z165" s="2">
        <v>25</v>
      </c>
      <c r="AA165">
        <v>1</v>
      </c>
      <c r="AB165" s="3">
        <v>1</v>
      </c>
      <c r="AC165" s="2">
        <v>25</v>
      </c>
      <c r="AD165" s="3">
        <v>0</v>
      </c>
      <c r="AE165" s="2">
        <v>0</v>
      </c>
      <c r="AF165" s="2">
        <v>25</v>
      </c>
      <c r="AK165">
        <v>6120435</v>
      </c>
    </row>
    <row r="166" spans="1:38" x14ac:dyDescent="0.25">
      <c r="A166" s="1">
        <v>46014</v>
      </c>
      <c r="B166" s="1">
        <v>46015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514</v>
      </c>
      <c r="J166" t="s">
        <v>515</v>
      </c>
      <c r="O166" t="s">
        <v>516</v>
      </c>
      <c r="P166" t="s">
        <v>517</v>
      </c>
      <c r="Q166" t="s">
        <v>49</v>
      </c>
      <c r="R166" t="s">
        <v>268</v>
      </c>
      <c r="S166" s="1">
        <v>46023</v>
      </c>
      <c r="U166" t="s">
        <v>51</v>
      </c>
      <c r="X166" t="s">
        <v>52</v>
      </c>
      <c r="Y166" s="2">
        <v>0</v>
      </c>
      <c r="Z166" s="2">
        <v>25</v>
      </c>
      <c r="AA166">
        <v>1</v>
      </c>
      <c r="AB166" s="3">
        <v>1</v>
      </c>
      <c r="AC166" s="2">
        <v>25</v>
      </c>
      <c r="AD166" s="3">
        <v>0</v>
      </c>
      <c r="AE166" s="2">
        <v>0</v>
      </c>
      <c r="AF166" s="2">
        <v>25</v>
      </c>
      <c r="AK166">
        <v>6120431</v>
      </c>
    </row>
    <row r="167" spans="1:38" x14ac:dyDescent="0.25">
      <c r="A167" s="1">
        <v>46014</v>
      </c>
      <c r="B167" s="1">
        <v>46015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518</v>
      </c>
      <c r="J167" t="s">
        <v>519</v>
      </c>
      <c r="O167" t="s">
        <v>459</v>
      </c>
      <c r="P167" t="s">
        <v>460</v>
      </c>
      <c r="Q167" t="s">
        <v>49</v>
      </c>
      <c r="R167" t="s">
        <v>268</v>
      </c>
      <c r="S167" s="1">
        <v>46023</v>
      </c>
      <c r="U167" t="s">
        <v>51</v>
      </c>
      <c r="X167" t="s">
        <v>52</v>
      </c>
      <c r="Y167" s="2">
        <v>0</v>
      </c>
      <c r="Z167" s="2">
        <v>25</v>
      </c>
      <c r="AA167">
        <v>1</v>
      </c>
      <c r="AB167" s="3">
        <v>1</v>
      </c>
      <c r="AC167" s="2">
        <v>25</v>
      </c>
      <c r="AD167" s="3">
        <v>0</v>
      </c>
      <c r="AE167" s="2">
        <v>0</v>
      </c>
      <c r="AF167" s="2">
        <v>25</v>
      </c>
      <c r="AK167">
        <v>6120463</v>
      </c>
    </row>
    <row r="168" spans="1:38" x14ac:dyDescent="0.25">
      <c r="A168" s="1">
        <v>46014</v>
      </c>
      <c r="B168" s="1">
        <v>46015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520</v>
      </c>
      <c r="J168" t="s">
        <v>521</v>
      </c>
      <c r="O168" t="s">
        <v>41</v>
      </c>
      <c r="P168" t="s">
        <v>43</v>
      </c>
      <c r="Q168" t="s">
        <v>49</v>
      </c>
      <c r="R168" t="s">
        <v>268</v>
      </c>
      <c r="S168" s="1">
        <v>46023</v>
      </c>
      <c r="U168" t="s">
        <v>51</v>
      </c>
      <c r="X168" t="s">
        <v>52</v>
      </c>
      <c r="Y168" s="2">
        <v>0</v>
      </c>
      <c r="Z168" s="2">
        <v>25</v>
      </c>
      <c r="AA168">
        <v>1</v>
      </c>
      <c r="AB168" s="3">
        <v>1</v>
      </c>
      <c r="AC168" s="2">
        <v>25</v>
      </c>
      <c r="AD168" s="3">
        <v>0</v>
      </c>
      <c r="AE168" s="2">
        <v>0</v>
      </c>
      <c r="AF168" s="2">
        <v>25</v>
      </c>
      <c r="AK168">
        <v>6120606</v>
      </c>
    </row>
    <row r="169" spans="1:38" x14ac:dyDescent="0.25">
      <c r="A169" s="1">
        <v>46014</v>
      </c>
      <c r="B169" s="1">
        <v>46015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522</v>
      </c>
      <c r="J169" t="s">
        <v>523</v>
      </c>
      <c r="O169" t="s">
        <v>411</v>
      </c>
      <c r="P169" t="s">
        <v>412</v>
      </c>
      <c r="Q169" t="s">
        <v>49</v>
      </c>
      <c r="R169" t="s">
        <v>268</v>
      </c>
      <c r="S169" s="1">
        <v>46023</v>
      </c>
      <c r="U169" t="s">
        <v>51</v>
      </c>
      <c r="X169" t="s">
        <v>52</v>
      </c>
      <c r="Y169" s="2">
        <v>0</v>
      </c>
      <c r="Z169" s="2">
        <v>25</v>
      </c>
      <c r="AA169">
        <v>1</v>
      </c>
      <c r="AB169" s="3">
        <v>1</v>
      </c>
      <c r="AC169" s="2">
        <v>25</v>
      </c>
      <c r="AD169" s="3">
        <v>0</v>
      </c>
      <c r="AE169" s="2">
        <v>0</v>
      </c>
      <c r="AF169" s="2">
        <v>25</v>
      </c>
      <c r="AK169">
        <v>6120497</v>
      </c>
    </row>
    <row r="170" spans="1:38" x14ac:dyDescent="0.25">
      <c r="A170" s="1">
        <v>46014</v>
      </c>
      <c r="B170" s="1">
        <v>46015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524</v>
      </c>
      <c r="J170" t="s">
        <v>525</v>
      </c>
      <c r="O170" t="s">
        <v>459</v>
      </c>
      <c r="P170" t="s">
        <v>460</v>
      </c>
      <c r="Q170" t="s">
        <v>49</v>
      </c>
      <c r="R170" t="s">
        <v>268</v>
      </c>
      <c r="S170" s="1">
        <v>46023</v>
      </c>
      <c r="U170" t="s">
        <v>51</v>
      </c>
      <c r="X170" t="s">
        <v>52</v>
      </c>
      <c r="Y170" s="2">
        <v>0</v>
      </c>
      <c r="Z170" s="2">
        <v>25</v>
      </c>
      <c r="AA170">
        <v>1</v>
      </c>
      <c r="AB170" s="3">
        <v>1</v>
      </c>
      <c r="AC170" s="2">
        <v>25</v>
      </c>
      <c r="AD170" s="3">
        <v>0</v>
      </c>
      <c r="AE170" s="2">
        <v>0</v>
      </c>
      <c r="AF170" s="2">
        <v>25</v>
      </c>
      <c r="AK170">
        <v>6120464</v>
      </c>
    </row>
    <row r="171" spans="1:38" x14ac:dyDescent="0.25">
      <c r="A171" s="1">
        <v>46014</v>
      </c>
      <c r="B171" s="1">
        <v>46015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526</v>
      </c>
      <c r="J171" t="s">
        <v>527</v>
      </c>
      <c r="O171" t="s">
        <v>374</v>
      </c>
      <c r="P171" t="s">
        <v>375</v>
      </c>
      <c r="Q171" t="s">
        <v>49</v>
      </c>
      <c r="R171" t="s">
        <v>268</v>
      </c>
      <c r="S171" s="1">
        <v>46023</v>
      </c>
      <c r="U171" t="s">
        <v>51</v>
      </c>
      <c r="X171" t="s">
        <v>52</v>
      </c>
      <c r="Y171" s="2">
        <v>0</v>
      </c>
      <c r="Z171" s="2">
        <v>25</v>
      </c>
      <c r="AA171">
        <v>1</v>
      </c>
      <c r="AB171" s="3">
        <v>1</v>
      </c>
      <c r="AC171" s="2">
        <v>25</v>
      </c>
      <c r="AD171" s="3">
        <v>0</v>
      </c>
      <c r="AE171" s="2">
        <v>0</v>
      </c>
      <c r="AF171" s="2">
        <v>25</v>
      </c>
      <c r="AK171">
        <v>6120227</v>
      </c>
    </row>
    <row r="172" spans="1:38" x14ac:dyDescent="0.25">
      <c r="A172" s="1">
        <v>46014</v>
      </c>
      <c r="B172" s="1">
        <v>46015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528</v>
      </c>
      <c r="J172" t="s">
        <v>529</v>
      </c>
      <c r="O172" t="s">
        <v>378</v>
      </c>
      <c r="P172" t="s">
        <v>379</v>
      </c>
      <c r="Q172" t="s">
        <v>49</v>
      </c>
      <c r="R172" t="s">
        <v>268</v>
      </c>
      <c r="S172" s="1">
        <v>46023</v>
      </c>
      <c r="U172" t="s">
        <v>51</v>
      </c>
      <c r="X172" t="s">
        <v>52</v>
      </c>
      <c r="Y172" s="2">
        <v>0</v>
      </c>
      <c r="Z172" s="2">
        <v>25</v>
      </c>
      <c r="AA172">
        <v>1</v>
      </c>
      <c r="AB172" s="3">
        <v>1</v>
      </c>
      <c r="AC172" s="2">
        <v>25</v>
      </c>
      <c r="AD172" s="3">
        <v>0</v>
      </c>
      <c r="AE172" s="2">
        <v>0</v>
      </c>
      <c r="AF172" s="2">
        <v>25</v>
      </c>
      <c r="AK172">
        <v>6120613</v>
      </c>
    </row>
    <row r="173" spans="1:38" x14ac:dyDescent="0.25">
      <c r="A173" s="1">
        <v>46014</v>
      </c>
      <c r="B173" s="1">
        <v>46015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530</v>
      </c>
      <c r="J173" t="s">
        <v>531</v>
      </c>
      <c r="O173" t="s">
        <v>337</v>
      </c>
      <c r="P173" t="s">
        <v>338</v>
      </c>
      <c r="Q173" t="s">
        <v>49</v>
      </c>
      <c r="R173" t="s">
        <v>268</v>
      </c>
      <c r="S173" s="1">
        <v>46023</v>
      </c>
      <c r="U173" t="s">
        <v>51</v>
      </c>
      <c r="X173" t="s">
        <v>52</v>
      </c>
      <c r="Y173" s="2">
        <v>0</v>
      </c>
      <c r="Z173" s="2">
        <v>25</v>
      </c>
      <c r="AA173">
        <v>1</v>
      </c>
      <c r="AB173" s="3">
        <v>1</v>
      </c>
      <c r="AC173" s="2">
        <v>25</v>
      </c>
      <c r="AD173" s="3">
        <v>0</v>
      </c>
      <c r="AE173" s="2">
        <v>0</v>
      </c>
      <c r="AF173" s="2">
        <v>25</v>
      </c>
      <c r="AK173">
        <v>6120354</v>
      </c>
    </row>
    <row r="174" spans="1:38" x14ac:dyDescent="0.25">
      <c r="A174" s="1">
        <v>46014</v>
      </c>
      <c r="B174" s="1">
        <v>46015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532</v>
      </c>
      <c r="J174" t="s">
        <v>533</v>
      </c>
      <c r="O174" t="s">
        <v>337</v>
      </c>
      <c r="P174" t="s">
        <v>338</v>
      </c>
      <c r="Q174" t="s">
        <v>49</v>
      </c>
      <c r="R174" t="s">
        <v>268</v>
      </c>
      <c r="S174" s="1">
        <v>46023</v>
      </c>
      <c r="U174" t="s">
        <v>51</v>
      </c>
      <c r="X174" t="s">
        <v>52</v>
      </c>
      <c r="Y174" s="2">
        <v>0</v>
      </c>
      <c r="Z174" s="2">
        <v>25</v>
      </c>
      <c r="AA174">
        <v>1</v>
      </c>
      <c r="AB174" s="3">
        <v>1</v>
      </c>
      <c r="AC174" s="2">
        <v>25</v>
      </c>
      <c r="AD174" s="3">
        <v>0</v>
      </c>
      <c r="AE174" s="2">
        <v>0</v>
      </c>
      <c r="AF174" s="2">
        <v>25</v>
      </c>
      <c r="AK174">
        <v>6120539</v>
      </c>
    </row>
    <row r="175" spans="1:38" x14ac:dyDescent="0.25">
      <c r="A175" s="1">
        <v>46014</v>
      </c>
      <c r="B175" s="1">
        <v>46015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534</v>
      </c>
      <c r="J175" t="s">
        <v>535</v>
      </c>
      <c r="O175" t="s">
        <v>102</v>
      </c>
      <c r="P175" t="s">
        <v>103</v>
      </c>
      <c r="Q175" t="s">
        <v>49</v>
      </c>
      <c r="R175" t="s">
        <v>370</v>
      </c>
      <c r="S175" s="1">
        <v>46054</v>
      </c>
      <c r="U175" t="s">
        <v>51</v>
      </c>
      <c r="X175" t="s">
        <v>52</v>
      </c>
      <c r="Y175" s="2">
        <v>0</v>
      </c>
      <c r="Z175" s="2">
        <v>22.92</v>
      </c>
      <c r="AA175">
        <v>1</v>
      </c>
      <c r="AB175" s="3">
        <v>1</v>
      </c>
      <c r="AC175" s="2">
        <v>22.92</v>
      </c>
      <c r="AD175" s="3">
        <v>0</v>
      </c>
      <c r="AE175" s="2">
        <v>0</v>
      </c>
      <c r="AF175" s="2">
        <v>22.92</v>
      </c>
      <c r="AK175">
        <v>6120348</v>
      </c>
      <c r="AL175" t="s">
        <v>380</v>
      </c>
    </row>
    <row r="176" spans="1:38" x14ac:dyDescent="0.25">
      <c r="A176" s="1">
        <v>46014</v>
      </c>
      <c r="B176" s="1">
        <v>46015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536</v>
      </c>
      <c r="J176" t="s">
        <v>537</v>
      </c>
      <c r="O176" t="s">
        <v>76</v>
      </c>
      <c r="P176" t="s">
        <v>77</v>
      </c>
      <c r="Q176" t="s">
        <v>49</v>
      </c>
      <c r="R176" t="s">
        <v>268</v>
      </c>
      <c r="S176" s="1">
        <v>46023</v>
      </c>
      <c r="U176" t="s">
        <v>51</v>
      </c>
      <c r="X176" t="s">
        <v>52</v>
      </c>
      <c r="Y176" s="2">
        <v>0</v>
      </c>
      <c r="Z176" s="2">
        <v>25</v>
      </c>
      <c r="AA176">
        <v>1</v>
      </c>
      <c r="AB176" s="3">
        <v>1</v>
      </c>
      <c r="AC176" s="2">
        <v>25</v>
      </c>
      <c r="AD176" s="3">
        <v>0</v>
      </c>
      <c r="AE176" s="2">
        <v>0</v>
      </c>
      <c r="AF176" s="2">
        <v>25</v>
      </c>
      <c r="AK176">
        <v>6120457</v>
      </c>
    </row>
    <row r="177" spans="1:38" x14ac:dyDescent="0.25">
      <c r="A177" s="1">
        <v>46014</v>
      </c>
      <c r="B177" s="1">
        <v>46015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538</v>
      </c>
      <c r="J177" t="s">
        <v>539</v>
      </c>
      <c r="O177" t="s">
        <v>130</v>
      </c>
      <c r="P177" t="s">
        <v>131</v>
      </c>
      <c r="Q177" t="s">
        <v>49</v>
      </c>
      <c r="R177" t="s">
        <v>268</v>
      </c>
      <c r="S177" s="1">
        <v>46023</v>
      </c>
      <c r="U177" t="s">
        <v>51</v>
      </c>
      <c r="X177" t="s">
        <v>52</v>
      </c>
      <c r="Y177" s="2">
        <v>0</v>
      </c>
      <c r="Z177" s="2">
        <v>25</v>
      </c>
      <c r="AA177">
        <v>1</v>
      </c>
      <c r="AB177" s="3">
        <v>1</v>
      </c>
      <c r="AC177" s="2">
        <v>25</v>
      </c>
      <c r="AD177" s="3">
        <v>0</v>
      </c>
      <c r="AE177" s="2">
        <v>0</v>
      </c>
      <c r="AF177" s="2">
        <v>25</v>
      </c>
      <c r="AK177">
        <v>6120389</v>
      </c>
    </row>
    <row r="178" spans="1:38" x14ac:dyDescent="0.25">
      <c r="A178" s="1">
        <v>46014</v>
      </c>
      <c r="B178" s="1">
        <v>46015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540</v>
      </c>
      <c r="J178" t="s">
        <v>541</v>
      </c>
      <c r="O178" t="s">
        <v>149</v>
      </c>
      <c r="P178" t="s">
        <v>150</v>
      </c>
      <c r="Q178" t="s">
        <v>49</v>
      </c>
      <c r="R178" t="s">
        <v>268</v>
      </c>
      <c r="S178" s="1">
        <v>46023</v>
      </c>
      <c r="U178" t="s">
        <v>51</v>
      </c>
      <c r="X178" t="s">
        <v>52</v>
      </c>
      <c r="Y178" s="2">
        <v>0</v>
      </c>
      <c r="Z178" s="2">
        <v>25</v>
      </c>
      <c r="AA178">
        <v>1</v>
      </c>
      <c r="AB178" s="3">
        <v>1</v>
      </c>
      <c r="AC178" s="2">
        <v>25</v>
      </c>
      <c r="AD178" s="3">
        <v>0</v>
      </c>
      <c r="AE178" s="2">
        <v>0</v>
      </c>
      <c r="AF178" s="2">
        <v>25</v>
      </c>
      <c r="AK178">
        <v>6120369</v>
      </c>
    </row>
    <row r="179" spans="1:38" x14ac:dyDescent="0.25">
      <c r="A179" s="1">
        <v>46014</v>
      </c>
      <c r="B179" s="1">
        <v>46015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542</v>
      </c>
      <c r="J179" t="s">
        <v>543</v>
      </c>
      <c r="O179" t="s">
        <v>149</v>
      </c>
      <c r="P179" t="s">
        <v>150</v>
      </c>
      <c r="Q179" t="s">
        <v>49</v>
      </c>
      <c r="R179" t="s">
        <v>268</v>
      </c>
      <c r="S179" s="1">
        <v>46023</v>
      </c>
      <c r="U179" t="s">
        <v>51</v>
      </c>
      <c r="X179" t="s">
        <v>52</v>
      </c>
      <c r="Y179" s="2">
        <v>0</v>
      </c>
      <c r="Z179" s="2">
        <v>25</v>
      </c>
      <c r="AA179">
        <v>1</v>
      </c>
      <c r="AB179" s="3">
        <v>1</v>
      </c>
      <c r="AC179" s="2">
        <v>25</v>
      </c>
      <c r="AD179" s="3">
        <v>0</v>
      </c>
      <c r="AE179" s="2">
        <v>0</v>
      </c>
      <c r="AF179" s="2">
        <v>25</v>
      </c>
      <c r="AK179">
        <v>6120370</v>
      </c>
    </row>
    <row r="180" spans="1:38" x14ac:dyDescent="0.25">
      <c r="A180" s="1">
        <v>46014</v>
      </c>
      <c r="B180" s="1">
        <v>46015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544</v>
      </c>
      <c r="J180" t="s">
        <v>545</v>
      </c>
      <c r="O180" t="s">
        <v>244</v>
      </c>
      <c r="P180" t="s">
        <v>245</v>
      </c>
      <c r="Q180" t="s">
        <v>49</v>
      </c>
      <c r="R180" t="s">
        <v>268</v>
      </c>
      <c r="S180" s="1">
        <v>46023</v>
      </c>
      <c r="U180" t="s">
        <v>51</v>
      </c>
      <c r="X180" t="s">
        <v>52</v>
      </c>
      <c r="Y180" s="2">
        <v>0</v>
      </c>
      <c r="Z180" s="2">
        <v>25</v>
      </c>
      <c r="AA180">
        <v>1</v>
      </c>
      <c r="AB180" s="3">
        <v>1</v>
      </c>
      <c r="AC180" s="2">
        <v>25</v>
      </c>
      <c r="AD180" s="3">
        <v>0</v>
      </c>
      <c r="AE180" s="2">
        <v>0</v>
      </c>
      <c r="AF180" s="2">
        <v>25</v>
      </c>
      <c r="AK180">
        <v>6120474</v>
      </c>
    </row>
    <row r="181" spans="1:38" x14ac:dyDescent="0.25">
      <c r="A181" s="1">
        <v>46014</v>
      </c>
      <c r="B181" s="1">
        <v>46015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546</v>
      </c>
      <c r="J181" t="s">
        <v>547</v>
      </c>
      <c r="O181" t="s">
        <v>244</v>
      </c>
      <c r="P181" t="s">
        <v>245</v>
      </c>
      <c r="Q181" t="s">
        <v>49</v>
      </c>
      <c r="R181" t="s">
        <v>370</v>
      </c>
      <c r="S181" s="1">
        <v>46054</v>
      </c>
      <c r="U181" t="s">
        <v>51</v>
      </c>
      <c r="X181" t="s">
        <v>52</v>
      </c>
      <c r="Y181" s="2">
        <v>0</v>
      </c>
      <c r="Z181" s="2">
        <v>22.92</v>
      </c>
      <c r="AA181">
        <v>1</v>
      </c>
      <c r="AB181" s="3">
        <v>1</v>
      </c>
      <c r="AC181" s="2">
        <v>22.92</v>
      </c>
      <c r="AD181" s="3">
        <v>0</v>
      </c>
      <c r="AE181" s="2">
        <v>0</v>
      </c>
      <c r="AF181" s="2">
        <v>22.92</v>
      </c>
      <c r="AK181">
        <v>6120312</v>
      </c>
      <c r="AL181" t="s">
        <v>380</v>
      </c>
    </row>
    <row r="182" spans="1:38" x14ac:dyDescent="0.25">
      <c r="A182" s="1">
        <v>46014</v>
      </c>
      <c r="B182" s="1">
        <v>46015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548</v>
      </c>
      <c r="J182" t="s">
        <v>549</v>
      </c>
      <c r="O182" t="s">
        <v>459</v>
      </c>
      <c r="P182" t="s">
        <v>460</v>
      </c>
      <c r="Q182" t="s">
        <v>49</v>
      </c>
      <c r="R182" t="s">
        <v>268</v>
      </c>
      <c r="S182" s="1">
        <v>46023</v>
      </c>
      <c r="U182" t="s">
        <v>51</v>
      </c>
      <c r="X182" t="s">
        <v>52</v>
      </c>
      <c r="Y182" s="2">
        <v>0</v>
      </c>
      <c r="Z182" s="2">
        <v>25</v>
      </c>
      <c r="AA182">
        <v>1</v>
      </c>
      <c r="AB182" s="3">
        <v>1</v>
      </c>
      <c r="AC182" s="2">
        <v>25</v>
      </c>
      <c r="AD182" s="3">
        <v>0</v>
      </c>
      <c r="AE182" s="2">
        <v>0</v>
      </c>
      <c r="AF182" s="2">
        <v>25</v>
      </c>
      <c r="AK182">
        <v>6120642</v>
      </c>
    </row>
    <row r="183" spans="1:38" x14ac:dyDescent="0.25">
      <c r="A183" s="1">
        <v>46014</v>
      </c>
      <c r="B183" s="1">
        <v>46015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550</v>
      </c>
      <c r="J183" t="s">
        <v>551</v>
      </c>
      <c r="O183" t="s">
        <v>459</v>
      </c>
      <c r="P183" t="s">
        <v>460</v>
      </c>
      <c r="Q183" t="s">
        <v>49</v>
      </c>
      <c r="R183" t="s">
        <v>268</v>
      </c>
      <c r="S183" s="1">
        <v>46023</v>
      </c>
      <c r="U183" t="s">
        <v>51</v>
      </c>
      <c r="X183" t="s">
        <v>52</v>
      </c>
      <c r="Y183" s="2">
        <v>0</v>
      </c>
      <c r="Z183" s="2">
        <v>25</v>
      </c>
      <c r="AA183">
        <v>1</v>
      </c>
      <c r="AB183" s="3">
        <v>1</v>
      </c>
      <c r="AC183" s="2">
        <v>25</v>
      </c>
      <c r="AD183" s="3">
        <v>0</v>
      </c>
      <c r="AE183" s="2">
        <v>0</v>
      </c>
      <c r="AF183" s="2">
        <v>25</v>
      </c>
      <c r="AK183">
        <v>6120644</v>
      </c>
    </row>
    <row r="184" spans="1:38" x14ac:dyDescent="0.25">
      <c r="A184" s="1">
        <v>46014</v>
      </c>
      <c r="B184" s="1">
        <v>46015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552</v>
      </c>
      <c r="J184" t="s">
        <v>553</v>
      </c>
      <c r="O184" t="s">
        <v>363</v>
      </c>
      <c r="P184" t="s">
        <v>364</v>
      </c>
      <c r="Q184" t="s">
        <v>49</v>
      </c>
      <c r="R184" t="s">
        <v>365</v>
      </c>
      <c r="S184" s="1">
        <v>46023</v>
      </c>
      <c r="U184" t="s">
        <v>51</v>
      </c>
      <c r="X184" t="s">
        <v>52</v>
      </c>
      <c r="Y184" s="2">
        <v>0</v>
      </c>
      <c r="Z184" s="2">
        <v>15</v>
      </c>
      <c r="AA184">
        <v>1</v>
      </c>
      <c r="AB184" s="3">
        <v>1</v>
      </c>
      <c r="AC184" s="2">
        <v>15</v>
      </c>
      <c r="AD184" s="3">
        <v>0</v>
      </c>
      <c r="AE184" s="2">
        <v>0</v>
      </c>
      <c r="AF184" s="2">
        <v>15</v>
      </c>
      <c r="AK184">
        <v>6120555</v>
      </c>
    </row>
    <row r="185" spans="1:38" x14ac:dyDescent="0.25">
      <c r="A185" s="1">
        <v>46014</v>
      </c>
      <c r="B185" s="1">
        <v>46015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554</v>
      </c>
      <c r="J185" t="s">
        <v>555</v>
      </c>
      <c r="M185" t="s">
        <v>284</v>
      </c>
      <c r="O185" t="s">
        <v>192</v>
      </c>
      <c r="P185" t="s">
        <v>193</v>
      </c>
      <c r="Q185" t="s">
        <v>49</v>
      </c>
      <c r="R185" t="s">
        <v>556</v>
      </c>
      <c r="S185" s="1">
        <v>45962</v>
      </c>
      <c r="U185" t="s">
        <v>51</v>
      </c>
      <c r="X185" t="s">
        <v>52</v>
      </c>
      <c r="Y185" s="2">
        <v>0</v>
      </c>
      <c r="Z185" s="2">
        <v>175</v>
      </c>
      <c r="AA185">
        <v>1</v>
      </c>
      <c r="AB185" s="3">
        <v>1</v>
      </c>
      <c r="AC185" s="2">
        <v>175</v>
      </c>
      <c r="AD185" s="3">
        <v>0</v>
      </c>
      <c r="AE185" s="2">
        <v>0</v>
      </c>
      <c r="AF185" s="2">
        <v>175</v>
      </c>
      <c r="AK185">
        <v>6120676</v>
      </c>
    </row>
    <row r="186" spans="1:38" x14ac:dyDescent="0.25">
      <c r="A186" s="1">
        <v>46014</v>
      </c>
      <c r="B186" s="1">
        <v>46015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557</v>
      </c>
      <c r="J186" t="s">
        <v>558</v>
      </c>
      <c r="M186" t="s">
        <v>284</v>
      </c>
      <c r="O186" t="s">
        <v>192</v>
      </c>
      <c r="P186" t="s">
        <v>193</v>
      </c>
      <c r="Q186" t="s">
        <v>49</v>
      </c>
      <c r="R186" t="s">
        <v>556</v>
      </c>
      <c r="S186" s="1">
        <v>45962</v>
      </c>
      <c r="U186" t="s">
        <v>51</v>
      </c>
      <c r="X186" t="s">
        <v>52</v>
      </c>
      <c r="Y186" s="2">
        <v>0</v>
      </c>
      <c r="Z186" s="2">
        <v>175</v>
      </c>
      <c r="AA186">
        <v>1</v>
      </c>
      <c r="AB186" s="3">
        <v>1</v>
      </c>
      <c r="AC186" s="2">
        <v>175</v>
      </c>
      <c r="AD186" s="3">
        <v>0</v>
      </c>
      <c r="AE186" s="2">
        <v>0</v>
      </c>
      <c r="AF186" s="2">
        <v>175</v>
      </c>
      <c r="AK186">
        <v>6120700</v>
      </c>
    </row>
    <row r="187" spans="1:38" x14ac:dyDescent="0.25">
      <c r="A187" s="1">
        <v>46014</v>
      </c>
      <c r="B187" s="1">
        <v>46015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559</v>
      </c>
      <c r="J187" t="s">
        <v>560</v>
      </c>
      <c r="M187" t="s">
        <v>561</v>
      </c>
      <c r="O187" t="s">
        <v>562</v>
      </c>
      <c r="P187" t="s">
        <v>563</v>
      </c>
      <c r="Q187" t="s">
        <v>49</v>
      </c>
      <c r="R187" t="s">
        <v>564</v>
      </c>
      <c r="S187" s="1">
        <v>46082</v>
      </c>
      <c r="U187" t="s">
        <v>51</v>
      </c>
      <c r="X187" t="s">
        <v>52</v>
      </c>
      <c r="Y187" s="2">
        <v>0</v>
      </c>
      <c r="Z187" s="2">
        <v>175</v>
      </c>
      <c r="AA187">
        <v>1</v>
      </c>
      <c r="AB187" s="3">
        <v>1</v>
      </c>
      <c r="AC187" s="2">
        <v>175</v>
      </c>
      <c r="AD187" s="3">
        <v>0</v>
      </c>
      <c r="AE187" s="2">
        <v>0</v>
      </c>
      <c r="AF187" s="2">
        <v>175</v>
      </c>
      <c r="AK187">
        <v>6121212</v>
      </c>
    </row>
    <row r="188" spans="1:38" s="10" customFormat="1" x14ac:dyDescent="0.25">
      <c r="A188" s="11">
        <v>46014</v>
      </c>
      <c r="B188" s="11">
        <v>46015</v>
      </c>
      <c r="C188" s="10" t="s">
        <v>38</v>
      </c>
      <c r="D188" s="10" t="s">
        <v>39</v>
      </c>
      <c r="E188" s="10" t="s">
        <v>40</v>
      </c>
      <c r="F188" s="10" t="s">
        <v>41</v>
      </c>
      <c r="G188" s="10" t="s">
        <v>42</v>
      </c>
      <c r="H188" s="10" t="s">
        <v>43</v>
      </c>
      <c r="I188" s="10" t="s">
        <v>565</v>
      </c>
      <c r="J188" s="10" t="s">
        <v>566</v>
      </c>
      <c r="M188" s="10" t="s">
        <v>239</v>
      </c>
      <c r="O188" s="10" t="s">
        <v>567</v>
      </c>
      <c r="P188" s="10" t="s">
        <v>568</v>
      </c>
      <c r="Q188" s="10" t="s">
        <v>49</v>
      </c>
      <c r="R188" s="10" t="s">
        <v>569</v>
      </c>
      <c r="S188" s="11">
        <v>46023</v>
      </c>
      <c r="U188" s="10" t="s">
        <v>51</v>
      </c>
      <c r="X188" s="10" t="s">
        <v>52</v>
      </c>
      <c r="Y188" s="12">
        <v>0</v>
      </c>
      <c r="Z188" s="12">
        <v>1.44</v>
      </c>
      <c r="AA188" s="10">
        <v>9</v>
      </c>
      <c r="AB188" s="14">
        <v>1</v>
      </c>
      <c r="AC188" s="12">
        <v>12.96</v>
      </c>
      <c r="AD188" s="14">
        <v>0</v>
      </c>
      <c r="AE188" s="12">
        <v>0</v>
      </c>
      <c r="AF188" s="12">
        <v>12.96</v>
      </c>
      <c r="AK188" s="10">
        <v>6121140</v>
      </c>
    </row>
    <row r="189" spans="1:38" x14ac:dyDescent="0.25">
      <c r="A189" s="1">
        <v>46014</v>
      </c>
      <c r="B189" s="1">
        <v>46015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570</v>
      </c>
      <c r="J189" t="s">
        <v>571</v>
      </c>
      <c r="M189" t="s">
        <v>572</v>
      </c>
      <c r="O189" t="s">
        <v>573</v>
      </c>
      <c r="P189" t="s">
        <v>574</v>
      </c>
      <c r="Q189" t="s">
        <v>49</v>
      </c>
      <c r="R189" t="s">
        <v>575</v>
      </c>
      <c r="S189" s="1">
        <v>46023</v>
      </c>
      <c r="U189" t="s">
        <v>51</v>
      </c>
      <c r="X189" t="s">
        <v>52</v>
      </c>
      <c r="Y189" s="2">
        <v>0</v>
      </c>
      <c r="Z189" s="2">
        <v>4.92</v>
      </c>
      <c r="AA189">
        <v>9</v>
      </c>
      <c r="AB189" s="3">
        <v>1</v>
      </c>
      <c r="AC189" s="2">
        <v>44.28</v>
      </c>
      <c r="AD189" s="3">
        <v>0</v>
      </c>
      <c r="AE189" s="2">
        <v>0</v>
      </c>
      <c r="AF189" s="2">
        <v>44.28</v>
      </c>
      <c r="AK189">
        <v>6121139</v>
      </c>
    </row>
    <row r="190" spans="1:38" x14ac:dyDescent="0.25">
      <c r="A190" s="1">
        <v>46014</v>
      </c>
      <c r="B190" s="1">
        <v>46015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576</v>
      </c>
      <c r="J190" t="s">
        <v>577</v>
      </c>
      <c r="M190" t="s">
        <v>148</v>
      </c>
      <c r="O190" t="s">
        <v>261</v>
      </c>
      <c r="P190" t="s">
        <v>262</v>
      </c>
      <c r="Q190" t="s">
        <v>49</v>
      </c>
      <c r="R190" t="s">
        <v>578</v>
      </c>
      <c r="S190" s="1">
        <v>46023</v>
      </c>
      <c r="U190" t="s">
        <v>51</v>
      </c>
      <c r="X190" t="s">
        <v>52</v>
      </c>
      <c r="Y190" s="2">
        <v>0</v>
      </c>
      <c r="Z190" s="2">
        <v>31.02</v>
      </c>
      <c r="AA190">
        <v>9</v>
      </c>
      <c r="AB190" s="3">
        <v>1</v>
      </c>
      <c r="AC190" s="2">
        <v>279.18</v>
      </c>
      <c r="AD190" s="3">
        <v>0</v>
      </c>
      <c r="AE190" s="2">
        <v>0</v>
      </c>
      <c r="AF190" s="2">
        <v>279.18</v>
      </c>
      <c r="AK190">
        <v>6121138</v>
      </c>
    </row>
    <row r="191" spans="1:38" x14ac:dyDescent="0.25">
      <c r="A191" s="1">
        <v>46014</v>
      </c>
      <c r="B191" s="1">
        <v>46015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579</v>
      </c>
      <c r="J191" t="s">
        <v>580</v>
      </c>
      <c r="M191" t="s">
        <v>148</v>
      </c>
      <c r="O191" t="s">
        <v>261</v>
      </c>
      <c r="P191" t="s">
        <v>262</v>
      </c>
      <c r="Q191" t="s">
        <v>49</v>
      </c>
      <c r="R191" t="s">
        <v>578</v>
      </c>
      <c r="S191" s="1">
        <v>46023</v>
      </c>
      <c r="U191" t="s">
        <v>51</v>
      </c>
      <c r="X191" t="s">
        <v>52</v>
      </c>
      <c r="Y191" s="2">
        <v>0</v>
      </c>
      <c r="Z191" s="2">
        <v>31.02</v>
      </c>
      <c r="AA191">
        <v>9</v>
      </c>
      <c r="AB191" s="3">
        <v>1</v>
      </c>
      <c r="AC191" s="2">
        <v>279.18</v>
      </c>
      <c r="AD191" s="3">
        <v>0</v>
      </c>
      <c r="AE191" s="2">
        <v>0</v>
      </c>
      <c r="AF191" s="2">
        <v>279.18</v>
      </c>
      <c r="AK191">
        <v>6121137</v>
      </c>
    </row>
    <row r="192" spans="1:38" s="10" customFormat="1" x14ac:dyDescent="0.25">
      <c r="A192" s="11">
        <v>46014</v>
      </c>
      <c r="B192" s="11">
        <v>46015</v>
      </c>
      <c r="C192" s="10" t="s">
        <v>38</v>
      </c>
      <c r="D192" s="10" t="s">
        <v>39</v>
      </c>
      <c r="E192" s="10" t="s">
        <v>40</v>
      </c>
      <c r="F192" s="10" t="s">
        <v>41</v>
      </c>
      <c r="G192" s="10" t="s">
        <v>42</v>
      </c>
      <c r="H192" s="10" t="s">
        <v>43</v>
      </c>
      <c r="I192" s="10" t="s">
        <v>581</v>
      </c>
      <c r="J192" s="10" t="s">
        <v>582</v>
      </c>
      <c r="M192" s="10" t="s">
        <v>572</v>
      </c>
      <c r="O192" s="10" t="s">
        <v>516</v>
      </c>
      <c r="P192" s="10" t="s">
        <v>517</v>
      </c>
      <c r="Q192" s="10" t="s">
        <v>49</v>
      </c>
      <c r="R192" s="10" t="s">
        <v>583</v>
      </c>
      <c r="S192" s="11">
        <v>46023</v>
      </c>
      <c r="U192" s="10" t="s">
        <v>51</v>
      </c>
      <c r="X192" s="10" t="s">
        <v>52</v>
      </c>
      <c r="Y192" s="12">
        <v>0</v>
      </c>
      <c r="Z192" s="12">
        <v>9.83</v>
      </c>
      <c r="AA192" s="10">
        <v>9</v>
      </c>
      <c r="AB192" s="14">
        <v>1</v>
      </c>
      <c r="AC192" s="12">
        <v>88.47</v>
      </c>
      <c r="AD192" s="14">
        <v>0</v>
      </c>
      <c r="AE192" s="12">
        <v>0</v>
      </c>
      <c r="AF192" s="12">
        <v>88.47</v>
      </c>
      <c r="AK192" s="10">
        <v>6121136</v>
      </c>
    </row>
    <row r="193" spans="1:37" x14ac:dyDescent="0.25">
      <c r="A193" s="1">
        <v>46014</v>
      </c>
      <c r="B193" s="1">
        <v>46015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584</v>
      </c>
      <c r="J193" t="s">
        <v>585</v>
      </c>
      <c r="M193" t="s">
        <v>148</v>
      </c>
      <c r="O193" t="s">
        <v>149</v>
      </c>
      <c r="P193" t="s">
        <v>150</v>
      </c>
      <c r="Q193" t="s">
        <v>49</v>
      </c>
      <c r="R193" t="s">
        <v>578</v>
      </c>
      <c r="S193" s="1">
        <v>46023</v>
      </c>
      <c r="U193" t="s">
        <v>51</v>
      </c>
      <c r="X193" t="s">
        <v>52</v>
      </c>
      <c r="Y193" s="2">
        <v>0</v>
      </c>
      <c r="Z193" s="2">
        <v>31.02</v>
      </c>
      <c r="AA193">
        <v>9</v>
      </c>
      <c r="AB193" s="3">
        <v>1</v>
      </c>
      <c r="AC193" s="2">
        <v>279.18</v>
      </c>
      <c r="AD193" s="3">
        <v>0</v>
      </c>
      <c r="AE193" s="2">
        <v>0</v>
      </c>
      <c r="AF193" s="2">
        <v>279.18</v>
      </c>
      <c r="AK193">
        <v>6121135</v>
      </c>
    </row>
    <row r="194" spans="1:37" x14ac:dyDescent="0.25">
      <c r="A194" s="1">
        <v>46014</v>
      </c>
      <c r="B194" s="1">
        <v>46015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586</v>
      </c>
      <c r="J194" t="s">
        <v>587</v>
      </c>
      <c r="M194" t="s">
        <v>65</v>
      </c>
      <c r="O194" t="s">
        <v>331</v>
      </c>
      <c r="P194" t="s">
        <v>332</v>
      </c>
      <c r="Q194" t="s">
        <v>49</v>
      </c>
      <c r="R194" t="s">
        <v>588</v>
      </c>
      <c r="S194" s="1">
        <v>46023</v>
      </c>
      <c r="U194" t="s">
        <v>51</v>
      </c>
      <c r="X194" t="s">
        <v>52</v>
      </c>
      <c r="Y194" s="2">
        <v>0</v>
      </c>
      <c r="Z194" s="2">
        <v>31.5</v>
      </c>
      <c r="AA194">
        <v>9</v>
      </c>
      <c r="AB194" s="3">
        <v>1</v>
      </c>
      <c r="AC194" s="2">
        <v>283.5</v>
      </c>
      <c r="AD194" s="3">
        <v>0</v>
      </c>
      <c r="AE194" s="2">
        <v>0</v>
      </c>
      <c r="AF194" s="2">
        <v>283.5</v>
      </c>
      <c r="AK194">
        <v>6121134</v>
      </c>
    </row>
    <row r="195" spans="1:37" x14ac:dyDescent="0.25">
      <c r="A195" s="1">
        <v>46014</v>
      </c>
      <c r="B195" s="1">
        <v>46015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589</v>
      </c>
      <c r="J195" t="s">
        <v>590</v>
      </c>
      <c r="O195" t="s">
        <v>591</v>
      </c>
      <c r="P195" t="s">
        <v>592</v>
      </c>
      <c r="Q195" t="s">
        <v>49</v>
      </c>
      <c r="R195" t="s">
        <v>268</v>
      </c>
      <c r="S195" s="1">
        <v>46023</v>
      </c>
      <c r="U195" t="s">
        <v>51</v>
      </c>
      <c r="X195" t="s">
        <v>52</v>
      </c>
      <c r="Y195" s="2">
        <v>0</v>
      </c>
      <c r="Z195" s="2">
        <v>25</v>
      </c>
      <c r="AA195">
        <v>1</v>
      </c>
      <c r="AB195" s="3">
        <v>1</v>
      </c>
      <c r="AC195" s="2">
        <v>25</v>
      </c>
      <c r="AD195" s="3">
        <v>0</v>
      </c>
      <c r="AE195" s="2">
        <v>0</v>
      </c>
      <c r="AF195" s="2">
        <v>25</v>
      </c>
      <c r="AK195">
        <v>6120189</v>
      </c>
    </row>
    <row r="196" spans="1:37" x14ac:dyDescent="0.25">
      <c r="A196" s="1">
        <v>46014</v>
      </c>
      <c r="B196" s="1">
        <v>46015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593</v>
      </c>
      <c r="J196" t="s">
        <v>594</v>
      </c>
      <c r="O196" t="s">
        <v>591</v>
      </c>
      <c r="P196" t="s">
        <v>592</v>
      </c>
      <c r="Q196" t="s">
        <v>49</v>
      </c>
      <c r="R196" t="s">
        <v>268</v>
      </c>
      <c r="S196" s="1">
        <v>46023</v>
      </c>
      <c r="U196" t="s">
        <v>51</v>
      </c>
      <c r="X196" t="s">
        <v>52</v>
      </c>
      <c r="Y196" s="2">
        <v>0</v>
      </c>
      <c r="Z196" s="2">
        <v>25</v>
      </c>
      <c r="AA196">
        <v>1</v>
      </c>
      <c r="AB196" s="3">
        <v>1</v>
      </c>
      <c r="AC196" s="2">
        <v>25</v>
      </c>
      <c r="AD196" s="3">
        <v>0</v>
      </c>
      <c r="AE196" s="2">
        <v>0</v>
      </c>
      <c r="AF196" s="2">
        <v>25</v>
      </c>
      <c r="AK196">
        <v>6120190</v>
      </c>
    </row>
    <row r="197" spans="1:37" x14ac:dyDescent="0.25">
      <c r="A197" s="1">
        <v>46014</v>
      </c>
      <c r="B197" s="1">
        <v>46015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595</v>
      </c>
      <c r="J197" t="s">
        <v>596</v>
      </c>
      <c r="O197" t="s">
        <v>98</v>
      </c>
      <c r="P197" t="s">
        <v>99</v>
      </c>
      <c r="Q197" t="s">
        <v>49</v>
      </c>
      <c r="R197" t="s">
        <v>268</v>
      </c>
      <c r="S197" s="1">
        <v>46023</v>
      </c>
      <c r="U197" t="s">
        <v>51</v>
      </c>
      <c r="X197" t="s">
        <v>52</v>
      </c>
      <c r="Y197" s="2">
        <v>0</v>
      </c>
      <c r="Z197" s="2">
        <v>25</v>
      </c>
      <c r="AA197">
        <v>1</v>
      </c>
      <c r="AB197" s="3">
        <v>1</v>
      </c>
      <c r="AC197" s="2">
        <v>25</v>
      </c>
      <c r="AD197" s="3">
        <v>0</v>
      </c>
      <c r="AE197" s="2">
        <v>0</v>
      </c>
      <c r="AF197" s="2">
        <v>25</v>
      </c>
      <c r="AK197">
        <v>6120164</v>
      </c>
    </row>
    <row r="198" spans="1:37" x14ac:dyDescent="0.25">
      <c r="A198" s="1">
        <v>46014</v>
      </c>
      <c r="B198" s="1">
        <v>46015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597</v>
      </c>
      <c r="J198" t="s">
        <v>598</v>
      </c>
      <c r="O198" t="s">
        <v>196</v>
      </c>
      <c r="P198" t="s">
        <v>195</v>
      </c>
      <c r="Q198" t="s">
        <v>49</v>
      </c>
      <c r="R198" t="s">
        <v>268</v>
      </c>
      <c r="S198" s="1">
        <v>46023</v>
      </c>
      <c r="U198" t="s">
        <v>51</v>
      </c>
      <c r="X198" t="s">
        <v>52</v>
      </c>
      <c r="Y198" s="2">
        <v>0</v>
      </c>
      <c r="Z198" s="2">
        <v>25</v>
      </c>
      <c r="AA198">
        <v>1</v>
      </c>
      <c r="AB198" s="3">
        <v>1</v>
      </c>
      <c r="AC198" s="2">
        <v>25</v>
      </c>
      <c r="AD198" s="3">
        <v>0</v>
      </c>
      <c r="AE198" s="2">
        <v>0</v>
      </c>
      <c r="AF198" s="2">
        <v>25</v>
      </c>
      <c r="AK198">
        <v>6120186</v>
      </c>
    </row>
    <row r="199" spans="1:37" x14ac:dyDescent="0.25">
      <c r="A199" s="1">
        <v>46014</v>
      </c>
      <c r="B199" s="1">
        <v>46015</v>
      </c>
      <c r="C199" t="s">
        <v>599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600</v>
      </c>
      <c r="J199" t="s">
        <v>601</v>
      </c>
      <c r="M199" t="s">
        <v>191</v>
      </c>
      <c r="O199" t="s">
        <v>157</v>
      </c>
      <c r="P199" t="s">
        <v>158</v>
      </c>
      <c r="Q199" t="s">
        <v>602</v>
      </c>
      <c r="R199" t="s">
        <v>50</v>
      </c>
      <c r="S199" s="1">
        <v>46023</v>
      </c>
      <c r="U199" t="s">
        <v>51</v>
      </c>
      <c r="X199" t="s">
        <v>52</v>
      </c>
      <c r="AF199" s="2">
        <v>175</v>
      </c>
      <c r="AG199" s="2">
        <v>0</v>
      </c>
      <c r="AJ199" s="2">
        <v>175</v>
      </c>
    </row>
    <row r="200" spans="1:37" x14ac:dyDescent="0.25">
      <c r="A200" s="1">
        <v>46014</v>
      </c>
      <c r="B200" s="1">
        <v>46015</v>
      </c>
      <c r="C200" t="s">
        <v>599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603</v>
      </c>
      <c r="J200" t="s">
        <v>604</v>
      </c>
      <c r="M200" t="s">
        <v>65</v>
      </c>
      <c r="O200" t="s">
        <v>114</v>
      </c>
      <c r="P200" t="s">
        <v>115</v>
      </c>
      <c r="Q200" t="s">
        <v>602</v>
      </c>
      <c r="R200" t="s">
        <v>50</v>
      </c>
      <c r="S200" s="1">
        <v>46023</v>
      </c>
      <c r="U200" t="s">
        <v>51</v>
      </c>
      <c r="X200" t="s">
        <v>52</v>
      </c>
      <c r="AF200" s="2">
        <v>175</v>
      </c>
      <c r="AG200" s="2">
        <v>0</v>
      </c>
      <c r="AJ200" s="2">
        <v>175</v>
      </c>
    </row>
    <row r="201" spans="1:37" x14ac:dyDescent="0.25">
      <c r="A201" s="1">
        <v>46014</v>
      </c>
      <c r="B201" s="1">
        <v>46015</v>
      </c>
      <c r="C201" t="s">
        <v>599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605</v>
      </c>
      <c r="J201" t="s">
        <v>606</v>
      </c>
      <c r="M201" t="s">
        <v>55</v>
      </c>
      <c r="O201" t="s">
        <v>114</v>
      </c>
      <c r="P201" t="s">
        <v>115</v>
      </c>
      <c r="Q201" t="s">
        <v>602</v>
      </c>
      <c r="R201" t="s">
        <v>68</v>
      </c>
      <c r="S201" s="1">
        <v>46023</v>
      </c>
      <c r="U201" t="s">
        <v>51</v>
      </c>
      <c r="X201" t="s">
        <v>52</v>
      </c>
      <c r="AF201" s="2">
        <v>108</v>
      </c>
      <c r="AG201" s="2">
        <v>0</v>
      </c>
      <c r="AJ201" s="2">
        <v>108</v>
      </c>
    </row>
    <row r="202" spans="1:37" x14ac:dyDescent="0.25">
      <c r="A202" s="1">
        <v>46014</v>
      </c>
      <c r="B202" s="1">
        <v>46015</v>
      </c>
      <c r="C202" t="s">
        <v>599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607</v>
      </c>
      <c r="J202" t="s">
        <v>608</v>
      </c>
      <c r="M202" t="s">
        <v>65</v>
      </c>
      <c r="O202" t="s">
        <v>301</v>
      </c>
      <c r="P202" t="s">
        <v>302</v>
      </c>
      <c r="Q202" t="s">
        <v>602</v>
      </c>
      <c r="R202" t="s">
        <v>50</v>
      </c>
      <c r="S202" s="1">
        <v>46023</v>
      </c>
      <c r="U202" t="s">
        <v>51</v>
      </c>
      <c r="X202" t="s">
        <v>52</v>
      </c>
      <c r="AF202" s="2">
        <v>175</v>
      </c>
      <c r="AG202" s="2">
        <v>0</v>
      </c>
      <c r="AJ202" s="2">
        <v>175</v>
      </c>
    </row>
    <row r="203" spans="1:37" x14ac:dyDescent="0.25">
      <c r="A203" s="1">
        <v>46014</v>
      </c>
      <c r="B203" s="1">
        <v>46015</v>
      </c>
      <c r="C203" t="s">
        <v>599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609</v>
      </c>
      <c r="J203" t="s">
        <v>610</v>
      </c>
      <c r="M203" t="s">
        <v>65</v>
      </c>
      <c r="O203" t="s">
        <v>351</v>
      </c>
      <c r="P203" t="s">
        <v>352</v>
      </c>
      <c r="Q203" t="s">
        <v>602</v>
      </c>
      <c r="R203" t="s">
        <v>50</v>
      </c>
      <c r="S203" s="1">
        <v>46023</v>
      </c>
      <c r="U203" t="s">
        <v>51</v>
      </c>
      <c r="X203" t="s">
        <v>52</v>
      </c>
      <c r="AF203" s="2">
        <v>175</v>
      </c>
      <c r="AG203" s="2">
        <v>0</v>
      </c>
      <c r="AJ203" s="2">
        <v>175</v>
      </c>
    </row>
    <row r="204" spans="1:37" x14ac:dyDescent="0.25">
      <c r="A204" s="1">
        <v>46014</v>
      </c>
      <c r="B204" s="1">
        <v>46015</v>
      </c>
      <c r="C204" t="s">
        <v>599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611</v>
      </c>
      <c r="J204" t="s">
        <v>612</v>
      </c>
      <c r="M204" t="s">
        <v>65</v>
      </c>
      <c r="O204" t="s">
        <v>411</v>
      </c>
      <c r="P204" t="s">
        <v>412</v>
      </c>
      <c r="Q204" t="s">
        <v>602</v>
      </c>
      <c r="R204" t="s">
        <v>613</v>
      </c>
      <c r="S204" s="1">
        <v>46023</v>
      </c>
      <c r="U204" t="s">
        <v>51</v>
      </c>
      <c r="X204" t="s">
        <v>52</v>
      </c>
      <c r="AF204" s="2">
        <v>15</v>
      </c>
      <c r="AG204" s="2">
        <v>0</v>
      </c>
      <c r="AJ204" s="2">
        <v>15</v>
      </c>
    </row>
    <row r="205" spans="1:37" x14ac:dyDescent="0.25">
      <c r="A205" s="1">
        <v>46014</v>
      </c>
      <c r="B205" s="1">
        <v>46015</v>
      </c>
      <c r="C205" t="s">
        <v>599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614</v>
      </c>
      <c r="J205" t="s">
        <v>615</v>
      </c>
      <c r="M205" t="s">
        <v>239</v>
      </c>
      <c r="O205" t="s">
        <v>125</v>
      </c>
      <c r="P205" t="s">
        <v>126</v>
      </c>
      <c r="Q205" t="s">
        <v>602</v>
      </c>
      <c r="R205" t="s">
        <v>613</v>
      </c>
      <c r="S205" s="1">
        <v>46023</v>
      </c>
      <c r="U205" t="s">
        <v>51</v>
      </c>
      <c r="X205" t="s">
        <v>52</v>
      </c>
      <c r="AF205" s="2">
        <v>15</v>
      </c>
      <c r="AG205" s="2">
        <v>0</v>
      </c>
      <c r="AJ205" s="2">
        <v>15</v>
      </c>
    </row>
    <row r="206" spans="1:37" x14ac:dyDescent="0.25">
      <c r="A206" s="1">
        <v>46014</v>
      </c>
      <c r="B206" s="1">
        <v>46015</v>
      </c>
      <c r="C206" t="s">
        <v>599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616</v>
      </c>
      <c r="J206" t="s">
        <v>617</v>
      </c>
      <c r="M206" t="s">
        <v>618</v>
      </c>
      <c r="O206" t="s">
        <v>76</v>
      </c>
      <c r="P206" t="s">
        <v>77</v>
      </c>
      <c r="Q206" t="s">
        <v>602</v>
      </c>
      <c r="R206" t="s">
        <v>50</v>
      </c>
      <c r="S206" s="1">
        <v>46023</v>
      </c>
      <c r="U206" t="s">
        <v>51</v>
      </c>
      <c r="X206" t="s">
        <v>52</v>
      </c>
      <c r="AF206" s="2">
        <v>175</v>
      </c>
      <c r="AG206" s="2">
        <v>0</v>
      </c>
      <c r="AJ206" s="2">
        <v>175</v>
      </c>
    </row>
    <row r="207" spans="1:37" x14ac:dyDescent="0.25">
      <c r="A207" s="1">
        <v>46014</v>
      </c>
      <c r="B207" s="1">
        <v>46015</v>
      </c>
      <c r="C207" t="s">
        <v>599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619</v>
      </c>
      <c r="J207" t="s">
        <v>620</v>
      </c>
      <c r="M207" t="s">
        <v>65</v>
      </c>
      <c r="O207" t="s">
        <v>84</v>
      </c>
      <c r="P207" t="s">
        <v>85</v>
      </c>
      <c r="Q207" t="s">
        <v>602</v>
      </c>
      <c r="R207" t="s">
        <v>613</v>
      </c>
      <c r="S207" s="1">
        <v>46023</v>
      </c>
      <c r="U207" t="s">
        <v>51</v>
      </c>
      <c r="X207" t="s">
        <v>52</v>
      </c>
      <c r="AF207" s="2">
        <v>15</v>
      </c>
      <c r="AG207" s="2">
        <v>0</v>
      </c>
      <c r="AJ207" s="2">
        <v>15</v>
      </c>
    </row>
    <row r="208" spans="1:37" x14ac:dyDescent="0.25">
      <c r="A208" s="1">
        <v>46014</v>
      </c>
      <c r="B208" s="1">
        <v>46015</v>
      </c>
      <c r="C208" t="s">
        <v>599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621</v>
      </c>
      <c r="J208" t="s">
        <v>622</v>
      </c>
      <c r="M208" t="s">
        <v>191</v>
      </c>
      <c r="O208" t="s">
        <v>176</v>
      </c>
      <c r="P208" t="s">
        <v>177</v>
      </c>
      <c r="Q208" t="s">
        <v>602</v>
      </c>
      <c r="R208" t="s">
        <v>50</v>
      </c>
      <c r="S208" s="1">
        <v>46023</v>
      </c>
      <c r="U208" t="s">
        <v>51</v>
      </c>
      <c r="X208" t="s">
        <v>52</v>
      </c>
      <c r="AF208" s="2">
        <v>175</v>
      </c>
      <c r="AG208" s="2">
        <v>0</v>
      </c>
      <c r="AJ208" s="2">
        <v>175</v>
      </c>
    </row>
    <row r="209" spans="1:36" x14ac:dyDescent="0.25">
      <c r="A209" s="1">
        <v>46014</v>
      </c>
      <c r="B209" s="1">
        <v>46015</v>
      </c>
      <c r="C209" t="s">
        <v>599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623</v>
      </c>
      <c r="J209" t="s">
        <v>624</v>
      </c>
      <c r="M209" t="s">
        <v>207</v>
      </c>
      <c r="O209" t="s">
        <v>106</v>
      </c>
      <c r="P209" t="s">
        <v>107</v>
      </c>
      <c r="Q209" t="s">
        <v>602</v>
      </c>
      <c r="R209" t="s">
        <v>50</v>
      </c>
      <c r="S209" s="1">
        <v>46023</v>
      </c>
      <c r="U209" t="s">
        <v>51</v>
      </c>
      <c r="X209" t="s">
        <v>52</v>
      </c>
      <c r="AF209" s="2">
        <v>175</v>
      </c>
      <c r="AG209" s="2">
        <v>0</v>
      </c>
      <c r="AJ209" s="2">
        <v>175</v>
      </c>
    </row>
    <row r="210" spans="1:36" x14ac:dyDescent="0.25">
      <c r="A210" s="1">
        <v>46014</v>
      </c>
      <c r="B210" s="1">
        <v>46015</v>
      </c>
      <c r="C210" t="s">
        <v>599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625</v>
      </c>
      <c r="J210" t="s">
        <v>626</v>
      </c>
      <c r="M210" t="s">
        <v>239</v>
      </c>
      <c r="O210" t="s">
        <v>567</v>
      </c>
      <c r="P210" t="s">
        <v>568</v>
      </c>
      <c r="Q210" t="s">
        <v>602</v>
      </c>
      <c r="R210" t="s">
        <v>627</v>
      </c>
      <c r="S210" s="1">
        <v>45658</v>
      </c>
      <c r="U210" t="s">
        <v>51</v>
      </c>
      <c r="X210" t="s">
        <v>52</v>
      </c>
      <c r="AF210" s="2">
        <v>50</v>
      </c>
      <c r="AG210" s="2">
        <v>0</v>
      </c>
      <c r="AJ210" s="2">
        <v>4.17</v>
      </c>
    </row>
    <row r="211" spans="1:36" x14ac:dyDescent="0.25">
      <c r="A211" s="1">
        <v>46014</v>
      </c>
      <c r="B211" s="1">
        <v>46015</v>
      </c>
      <c r="C211" t="s">
        <v>599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628</v>
      </c>
      <c r="J211" t="s">
        <v>340</v>
      </c>
      <c r="M211" t="s">
        <v>65</v>
      </c>
      <c r="O211" t="s">
        <v>337</v>
      </c>
      <c r="P211" t="s">
        <v>338</v>
      </c>
      <c r="Q211" t="s">
        <v>602</v>
      </c>
      <c r="R211" t="s">
        <v>365</v>
      </c>
      <c r="S211" s="1">
        <v>46023</v>
      </c>
      <c r="U211" t="s">
        <v>51</v>
      </c>
      <c r="X211" t="s">
        <v>52</v>
      </c>
      <c r="AF211" s="2">
        <v>15</v>
      </c>
      <c r="AG211" s="2">
        <v>0</v>
      </c>
      <c r="AJ211" s="2">
        <v>15</v>
      </c>
    </row>
    <row r="212" spans="1:36" x14ac:dyDescent="0.25">
      <c r="A212" s="1">
        <v>46014</v>
      </c>
      <c r="B212" s="1">
        <v>46015</v>
      </c>
      <c r="C212" t="s">
        <v>599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629</v>
      </c>
      <c r="J212" t="s">
        <v>630</v>
      </c>
      <c r="M212" t="s">
        <v>134</v>
      </c>
      <c r="O212" t="s">
        <v>114</v>
      </c>
      <c r="P212" t="s">
        <v>115</v>
      </c>
      <c r="Q212" t="s">
        <v>602</v>
      </c>
      <c r="R212" t="s">
        <v>631</v>
      </c>
      <c r="S212" s="1">
        <v>45870</v>
      </c>
      <c r="U212" t="s">
        <v>51</v>
      </c>
      <c r="X212" t="s">
        <v>52</v>
      </c>
      <c r="AF212" s="2">
        <v>100</v>
      </c>
      <c r="AG212" s="2">
        <v>0</v>
      </c>
      <c r="AJ212" s="2">
        <v>75</v>
      </c>
    </row>
    <row r="213" spans="1:36" x14ac:dyDescent="0.25">
      <c r="A213" s="1">
        <v>46014</v>
      </c>
      <c r="B213" s="1">
        <v>46015</v>
      </c>
      <c r="C213" t="s">
        <v>599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632</v>
      </c>
      <c r="J213" t="s">
        <v>633</v>
      </c>
      <c r="M213" t="s">
        <v>65</v>
      </c>
      <c r="O213" t="s">
        <v>114</v>
      </c>
      <c r="P213" t="s">
        <v>115</v>
      </c>
      <c r="Q213" t="s">
        <v>602</v>
      </c>
      <c r="R213" t="s">
        <v>634</v>
      </c>
      <c r="S213" s="1">
        <v>45992</v>
      </c>
      <c r="U213" t="s">
        <v>51</v>
      </c>
      <c r="X213" t="s">
        <v>52</v>
      </c>
      <c r="AF213" s="2">
        <v>626</v>
      </c>
      <c r="AG213" s="2">
        <v>0</v>
      </c>
      <c r="AJ213" s="2">
        <v>626</v>
      </c>
    </row>
    <row r="214" spans="1:36" x14ac:dyDescent="0.25">
      <c r="A214" s="1">
        <v>46014</v>
      </c>
      <c r="B214" s="1">
        <v>46015</v>
      </c>
      <c r="C214" t="s">
        <v>599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635</v>
      </c>
      <c r="J214" t="s">
        <v>636</v>
      </c>
      <c r="M214" t="s">
        <v>65</v>
      </c>
      <c r="O214" t="s">
        <v>423</v>
      </c>
      <c r="P214" t="s">
        <v>424</v>
      </c>
      <c r="Q214" t="s">
        <v>602</v>
      </c>
      <c r="R214" t="s">
        <v>634</v>
      </c>
      <c r="S214" s="1">
        <v>45992</v>
      </c>
      <c r="U214" t="s">
        <v>51</v>
      </c>
      <c r="X214" t="s">
        <v>52</v>
      </c>
      <c r="AF214" s="2">
        <v>626</v>
      </c>
      <c r="AG214" s="2">
        <v>0</v>
      </c>
      <c r="AJ214" s="2">
        <v>626</v>
      </c>
    </row>
    <row r="215" spans="1:36" x14ac:dyDescent="0.25">
      <c r="A215" s="1">
        <v>46014</v>
      </c>
      <c r="B215" s="1">
        <v>46015</v>
      </c>
      <c r="C215" t="s">
        <v>599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637</v>
      </c>
      <c r="J215" t="s">
        <v>638</v>
      </c>
      <c r="M215" t="s">
        <v>75</v>
      </c>
      <c r="O215" t="s">
        <v>240</v>
      </c>
      <c r="P215" t="s">
        <v>241</v>
      </c>
      <c r="Q215" t="s">
        <v>602</v>
      </c>
      <c r="R215" t="s">
        <v>639</v>
      </c>
      <c r="S215" s="1">
        <v>45992</v>
      </c>
      <c r="U215" t="s">
        <v>51</v>
      </c>
      <c r="X215" t="s">
        <v>52</v>
      </c>
      <c r="AF215" s="2">
        <v>52.17</v>
      </c>
      <c r="AG215" s="2">
        <v>0</v>
      </c>
      <c r="AJ215" s="2">
        <v>52.17</v>
      </c>
    </row>
    <row r="216" spans="1:36" x14ac:dyDescent="0.25">
      <c r="A216" s="1">
        <v>46014</v>
      </c>
      <c r="B216" s="1">
        <v>46015</v>
      </c>
      <c r="C216" t="s">
        <v>599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640</v>
      </c>
      <c r="J216" t="s">
        <v>641</v>
      </c>
      <c r="M216" t="s">
        <v>642</v>
      </c>
      <c r="O216" t="s">
        <v>459</v>
      </c>
      <c r="P216" t="s">
        <v>460</v>
      </c>
      <c r="Q216" t="s">
        <v>602</v>
      </c>
      <c r="R216" t="s">
        <v>643</v>
      </c>
      <c r="S216" s="1">
        <v>45992</v>
      </c>
      <c r="U216" t="s">
        <v>51</v>
      </c>
      <c r="X216" t="s">
        <v>52</v>
      </c>
      <c r="AF216" s="2">
        <v>705</v>
      </c>
      <c r="AG216" s="2">
        <v>0</v>
      </c>
      <c r="AJ216" s="2">
        <v>705</v>
      </c>
    </row>
    <row r="217" spans="1:36" x14ac:dyDescent="0.25">
      <c r="A217" s="1">
        <v>46014</v>
      </c>
      <c r="B217" s="1">
        <v>46015</v>
      </c>
      <c r="C217" t="s">
        <v>599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644</v>
      </c>
      <c r="J217" t="s">
        <v>645</v>
      </c>
      <c r="M217" t="s">
        <v>55</v>
      </c>
      <c r="O217" t="s">
        <v>240</v>
      </c>
      <c r="P217" t="s">
        <v>241</v>
      </c>
      <c r="Q217" t="s">
        <v>602</v>
      </c>
      <c r="R217" t="s">
        <v>639</v>
      </c>
      <c r="S217" s="1">
        <v>45992</v>
      </c>
      <c r="U217" t="s">
        <v>51</v>
      </c>
      <c r="X217" t="s">
        <v>52</v>
      </c>
      <c r="AF217" s="2">
        <v>52.17</v>
      </c>
      <c r="AG217" s="2">
        <v>0</v>
      </c>
      <c r="AJ217" s="2">
        <v>52.17</v>
      </c>
    </row>
    <row r="218" spans="1:36" x14ac:dyDescent="0.25">
      <c r="A218" s="1">
        <v>46014</v>
      </c>
      <c r="B218" s="1">
        <v>46015</v>
      </c>
      <c r="C218" t="s">
        <v>599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646</v>
      </c>
      <c r="J218" t="s">
        <v>645</v>
      </c>
      <c r="M218" t="s">
        <v>55</v>
      </c>
      <c r="O218" t="s">
        <v>240</v>
      </c>
      <c r="P218" t="s">
        <v>241</v>
      </c>
      <c r="Q218" t="s">
        <v>602</v>
      </c>
      <c r="R218" t="s">
        <v>647</v>
      </c>
      <c r="S218" s="1">
        <v>45992</v>
      </c>
      <c r="U218" t="s">
        <v>51</v>
      </c>
      <c r="X218" t="s">
        <v>52</v>
      </c>
      <c r="AF218" s="2">
        <v>9.42</v>
      </c>
      <c r="AG218" s="2">
        <v>0</v>
      </c>
      <c r="AJ218" s="2">
        <v>9.42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51E0-8740-4DD3-AAFC-8A23780113C9}">
  <dimension ref="A1:O214"/>
  <sheetViews>
    <sheetView topLeftCell="C187" workbookViewId="0">
      <selection activeCell="H211" sqref="H211"/>
    </sheetView>
  </sheetViews>
  <sheetFormatPr defaultRowHeight="15" x14ac:dyDescent="0.25"/>
  <cols>
    <col min="1" max="1" width="23.7109375" bestFit="1" customWidth="1"/>
    <col min="2" max="2" width="23.7109375" customWidth="1"/>
    <col min="3" max="3" width="28.85546875" bestFit="1" customWidth="1"/>
    <col min="6" max="6" width="27.28515625" bestFit="1" customWidth="1"/>
    <col min="8" max="8" width="60" bestFit="1" customWidth="1"/>
    <col min="9" max="9" width="10.140625" bestFit="1" customWidth="1"/>
    <col min="14" max="14" width="36" bestFit="1" customWidth="1"/>
  </cols>
  <sheetData>
    <row r="1" spans="1:14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25</v>
      </c>
      <c r="K1" t="s">
        <v>26</v>
      </c>
      <c r="L1" t="s">
        <v>28</v>
      </c>
      <c r="M1" t="s">
        <v>37</v>
      </c>
    </row>
    <row r="2" spans="1:14" x14ac:dyDescent="0.25">
      <c r="A2" s="4">
        <v>101876971400</v>
      </c>
      <c r="B2" s="4" t="str">
        <f>CONCATENATE(A2,"OVR")</f>
        <v>101876971400OVR</v>
      </c>
      <c r="C2" t="s">
        <v>626</v>
      </c>
      <c r="D2" t="s">
        <v>239</v>
      </c>
      <c r="E2">
        <v>20411454</v>
      </c>
      <c r="F2" t="s">
        <v>737</v>
      </c>
      <c r="G2" t="s">
        <v>602</v>
      </c>
      <c r="H2" t="s">
        <v>627</v>
      </c>
      <c r="I2" s="1">
        <v>45658</v>
      </c>
      <c r="L2">
        <v>-4.17</v>
      </c>
      <c r="N2" t="s">
        <v>725</v>
      </c>
    </row>
    <row r="3" spans="1:14" x14ac:dyDescent="0.25">
      <c r="A3" s="4">
        <v>101065029200</v>
      </c>
      <c r="B3" s="4" t="str">
        <f t="shared" ref="B3:B66" si="0">CONCATENATE(A3,"OVR")</f>
        <v>101065029200OVR</v>
      </c>
      <c r="C3" t="s">
        <v>265</v>
      </c>
      <c r="E3">
        <v>20411454</v>
      </c>
      <c r="F3" t="s">
        <v>737</v>
      </c>
      <c r="G3" t="s">
        <v>49</v>
      </c>
      <c r="H3" t="s">
        <v>268</v>
      </c>
      <c r="I3" s="1">
        <v>46023</v>
      </c>
      <c r="J3" s="2">
        <v>25</v>
      </c>
      <c r="K3">
        <v>1</v>
      </c>
      <c r="L3" s="2">
        <v>25</v>
      </c>
      <c r="N3" t="s">
        <v>725</v>
      </c>
    </row>
    <row r="4" spans="1:14" x14ac:dyDescent="0.25">
      <c r="A4" s="4">
        <v>101094473100</v>
      </c>
      <c r="B4" s="4" t="str">
        <f t="shared" si="0"/>
        <v>101094473100OVR</v>
      </c>
      <c r="C4" t="s">
        <v>270</v>
      </c>
      <c r="E4">
        <v>20411454</v>
      </c>
      <c r="F4" t="s">
        <v>737</v>
      </c>
      <c r="G4" t="s">
        <v>49</v>
      </c>
      <c r="H4" t="s">
        <v>268</v>
      </c>
      <c r="I4" s="1">
        <v>46023</v>
      </c>
      <c r="J4" s="2">
        <v>25</v>
      </c>
      <c r="K4">
        <v>1</v>
      </c>
      <c r="L4" s="2">
        <v>25</v>
      </c>
      <c r="N4" t="s">
        <v>725</v>
      </c>
    </row>
    <row r="5" spans="1:14" x14ac:dyDescent="0.25">
      <c r="A5" s="4">
        <v>101115668000</v>
      </c>
      <c r="B5" s="4" t="str">
        <f t="shared" si="0"/>
        <v>101115668000OVR</v>
      </c>
      <c r="C5" t="s">
        <v>272</v>
      </c>
      <c r="E5">
        <v>20411454</v>
      </c>
      <c r="F5" t="s">
        <v>737</v>
      </c>
      <c r="G5" t="s">
        <v>49</v>
      </c>
      <c r="H5" t="s">
        <v>268</v>
      </c>
      <c r="I5" s="1">
        <v>46023</v>
      </c>
      <c r="J5" s="2">
        <v>25</v>
      </c>
      <c r="K5">
        <v>1</v>
      </c>
      <c r="L5" s="2">
        <v>25</v>
      </c>
      <c r="N5" t="s">
        <v>725</v>
      </c>
    </row>
    <row r="6" spans="1:14" x14ac:dyDescent="0.25">
      <c r="A6" s="4">
        <v>101238392400</v>
      </c>
      <c r="B6" s="4" t="str">
        <f t="shared" si="0"/>
        <v>101238392400OVR</v>
      </c>
      <c r="C6" t="s">
        <v>274</v>
      </c>
      <c r="D6" t="s">
        <v>275</v>
      </c>
      <c r="E6">
        <v>20411454</v>
      </c>
      <c r="F6" t="s">
        <v>737</v>
      </c>
      <c r="G6" t="s">
        <v>49</v>
      </c>
      <c r="H6" t="s">
        <v>268</v>
      </c>
      <c r="I6" s="1">
        <v>46023</v>
      </c>
      <c r="J6" s="2">
        <v>25</v>
      </c>
      <c r="K6">
        <v>1</v>
      </c>
      <c r="L6" s="2">
        <v>25</v>
      </c>
      <c r="N6" t="s">
        <v>725</v>
      </c>
    </row>
    <row r="7" spans="1:14" x14ac:dyDescent="0.25">
      <c r="A7" s="4">
        <v>101463128100</v>
      </c>
      <c r="B7" s="4" t="str">
        <f t="shared" si="0"/>
        <v>101463128100OVR</v>
      </c>
      <c r="C7" t="s">
        <v>277</v>
      </c>
      <c r="E7">
        <v>20411454</v>
      </c>
      <c r="F7" t="s">
        <v>737</v>
      </c>
      <c r="G7" t="s">
        <v>49</v>
      </c>
      <c r="H7" t="s">
        <v>268</v>
      </c>
      <c r="I7" s="1">
        <v>46023</v>
      </c>
      <c r="J7" s="2">
        <v>25</v>
      </c>
      <c r="K7">
        <v>1</v>
      </c>
      <c r="L7" s="2">
        <v>25</v>
      </c>
      <c r="N7" t="s">
        <v>725</v>
      </c>
    </row>
    <row r="8" spans="1:14" x14ac:dyDescent="0.25">
      <c r="A8" s="4">
        <v>101464484200</v>
      </c>
      <c r="B8" s="4" t="str">
        <f t="shared" si="0"/>
        <v>101464484200OVR</v>
      </c>
      <c r="C8" t="s">
        <v>281</v>
      </c>
      <c r="E8">
        <v>20411454</v>
      </c>
      <c r="F8" t="s">
        <v>737</v>
      </c>
      <c r="G8" t="s">
        <v>49</v>
      </c>
      <c r="H8" t="s">
        <v>268</v>
      </c>
      <c r="I8" s="1">
        <v>46023</v>
      </c>
      <c r="J8" s="2">
        <v>25</v>
      </c>
      <c r="K8">
        <v>1</v>
      </c>
      <c r="L8" s="2">
        <v>25</v>
      </c>
      <c r="N8" t="s">
        <v>725</v>
      </c>
    </row>
    <row r="9" spans="1:14" x14ac:dyDescent="0.25">
      <c r="A9" s="4">
        <v>101467049000</v>
      </c>
      <c r="B9" s="4" t="str">
        <f t="shared" si="0"/>
        <v>101467049000OVR</v>
      </c>
      <c r="C9" t="s">
        <v>283</v>
      </c>
      <c r="D9" t="s">
        <v>284</v>
      </c>
      <c r="E9">
        <v>20411454</v>
      </c>
      <c r="F9" t="s">
        <v>737</v>
      </c>
      <c r="G9" t="s">
        <v>49</v>
      </c>
      <c r="H9" t="s">
        <v>268</v>
      </c>
      <c r="I9" s="1">
        <v>46023</v>
      </c>
      <c r="J9" s="2">
        <v>25</v>
      </c>
      <c r="K9">
        <v>1</v>
      </c>
      <c r="L9" s="2">
        <v>25</v>
      </c>
      <c r="N9" t="s">
        <v>725</v>
      </c>
    </row>
    <row r="10" spans="1:14" x14ac:dyDescent="0.25">
      <c r="A10" s="4">
        <v>101494169600</v>
      </c>
      <c r="B10" s="4" t="str">
        <f t="shared" si="0"/>
        <v>101494169600OVR</v>
      </c>
      <c r="C10" t="s">
        <v>286</v>
      </c>
      <c r="E10">
        <v>20411454</v>
      </c>
      <c r="F10" t="s">
        <v>737</v>
      </c>
      <c r="G10" t="s">
        <v>49</v>
      </c>
      <c r="H10" t="s">
        <v>268</v>
      </c>
      <c r="I10" s="1">
        <v>46023</v>
      </c>
      <c r="J10" s="2">
        <v>25</v>
      </c>
      <c r="K10">
        <v>1</v>
      </c>
      <c r="L10" s="2">
        <v>25</v>
      </c>
      <c r="N10" t="s">
        <v>725</v>
      </c>
    </row>
    <row r="11" spans="1:14" x14ac:dyDescent="0.25">
      <c r="A11" s="4">
        <v>101500691700</v>
      </c>
      <c r="B11" s="4" t="str">
        <f t="shared" si="0"/>
        <v>101500691700OVR</v>
      </c>
      <c r="C11" t="s">
        <v>288</v>
      </c>
      <c r="E11">
        <v>20411454</v>
      </c>
      <c r="F11" t="s">
        <v>737</v>
      </c>
      <c r="G11" t="s">
        <v>49</v>
      </c>
      <c r="H11" t="s">
        <v>268</v>
      </c>
      <c r="I11" s="1">
        <v>46023</v>
      </c>
      <c r="J11" s="2">
        <v>25</v>
      </c>
      <c r="K11">
        <v>1</v>
      </c>
      <c r="L11" s="2">
        <v>25</v>
      </c>
      <c r="N11" t="s">
        <v>725</v>
      </c>
    </row>
    <row r="12" spans="1:14" x14ac:dyDescent="0.25">
      <c r="A12" s="4">
        <v>101530995100</v>
      </c>
      <c r="B12" s="4" t="str">
        <f t="shared" si="0"/>
        <v>101530995100OVR</v>
      </c>
      <c r="C12" t="s">
        <v>290</v>
      </c>
      <c r="E12">
        <v>20411454</v>
      </c>
      <c r="F12" t="s">
        <v>737</v>
      </c>
      <c r="G12" t="s">
        <v>49</v>
      </c>
      <c r="H12" t="s">
        <v>268</v>
      </c>
      <c r="I12" s="1">
        <v>46023</v>
      </c>
      <c r="J12" s="2">
        <v>25</v>
      </c>
      <c r="K12">
        <v>1</v>
      </c>
      <c r="L12" s="2">
        <v>25</v>
      </c>
      <c r="N12" t="s">
        <v>725</v>
      </c>
    </row>
    <row r="13" spans="1:14" x14ac:dyDescent="0.25">
      <c r="A13" s="4">
        <v>101545610900</v>
      </c>
      <c r="B13" s="4" t="str">
        <f t="shared" si="0"/>
        <v>101545610900OVR</v>
      </c>
      <c r="C13" t="s">
        <v>292</v>
      </c>
      <c r="E13">
        <v>20411454</v>
      </c>
      <c r="F13" t="s">
        <v>737</v>
      </c>
      <c r="G13" t="s">
        <v>49</v>
      </c>
      <c r="H13" t="s">
        <v>268</v>
      </c>
      <c r="I13" s="1">
        <v>46023</v>
      </c>
      <c r="J13" s="2">
        <v>25</v>
      </c>
      <c r="K13">
        <v>1</v>
      </c>
      <c r="L13" s="2">
        <v>25</v>
      </c>
      <c r="N13" t="s">
        <v>725</v>
      </c>
    </row>
    <row r="14" spans="1:14" x14ac:dyDescent="0.25">
      <c r="A14" s="4">
        <v>101618621700</v>
      </c>
      <c r="B14" s="4" t="str">
        <f t="shared" si="0"/>
        <v>101618621700OVR</v>
      </c>
      <c r="C14" t="s">
        <v>294</v>
      </c>
      <c r="E14">
        <v>20411454</v>
      </c>
      <c r="F14" t="s">
        <v>737</v>
      </c>
      <c r="G14" t="s">
        <v>49</v>
      </c>
      <c r="H14" t="s">
        <v>268</v>
      </c>
      <c r="I14" s="1">
        <v>46023</v>
      </c>
      <c r="J14" s="2">
        <v>25</v>
      </c>
      <c r="K14">
        <v>1</v>
      </c>
      <c r="L14" s="2">
        <v>25</v>
      </c>
      <c r="N14" t="s">
        <v>725</v>
      </c>
    </row>
    <row r="15" spans="1:14" x14ac:dyDescent="0.25">
      <c r="A15" s="4">
        <v>101696157100</v>
      </c>
      <c r="B15" s="4" t="str">
        <f t="shared" si="0"/>
        <v>101696157100OVR</v>
      </c>
      <c r="C15" t="s">
        <v>296</v>
      </c>
      <c r="E15">
        <v>20411454</v>
      </c>
      <c r="F15" t="s">
        <v>737</v>
      </c>
      <c r="G15" t="s">
        <v>49</v>
      </c>
      <c r="H15" t="s">
        <v>268</v>
      </c>
      <c r="I15" s="1">
        <v>46023</v>
      </c>
      <c r="J15" s="2">
        <v>25</v>
      </c>
      <c r="K15">
        <v>1</v>
      </c>
      <c r="L15" s="2">
        <v>25</v>
      </c>
      <c r="N15" t="s">
        <v>725</v>
      </c>
    </row>
    <row r="16" spans="1:14" x14ac:dyDescent="0.25">
      <c r="A16" s="4">
        <v>101702480300</v>
      </c>
      <c r="B16" s="4" t="str">
        <f t="shared" si="0"/>
        <v>101702480300OVR</v>
      </c>
      <c r="C16" t="s">
        <v>298</v>
      </c>
      <c r="E16">
        <v>20411454</v>
      </c>
      <c r="F16" t="s">
        <v>737</v>
      </c>
      <c r="G16" t="s">
        <v>49</v>
      </c>
      <c r="H16" t="s">
        <v>268</v>
      </c>
      <c r="I16" s="1">
        <v>46023</v>
      </c>
      <c r="J16" s="2">
        <v>25</v>
      </c>
      <c r="K16">
        <v>1</v>
      </c>
      <c r="L16" s="2">
        <v>25</v>
      </c>
      <c r="N16" t="s">
        <v>725</v>
      </c>
    </row>
    <row r="17" spans="1:14" x14ac:dyDescent="0.25">
      <c r="A17" s="4">
        <v>101718422000</v>
      </c>
      <c r="B17" s="4" t="str">
        <f t="shared" si="0"/>
        <v>101718422000OVR</v>
      </c>
      <c r="C17" t="s">
        <v>300</v>
      </c>
      <c r="E17">
        <v>20411454</v>
      </c>
      <c r="F17" t="s">
        <v>737</v>
      </c>
      <c r="G17" t="s">
        <v>49</v>
      </c>
      <c r="H17" t="s">
        <v>268</v>
      </c>
      <c r="I17" s="1">
        <v>46023</v>
      </c>
      <c r="J17" s="2">
        <v>25</v>
      </c>
      <c r="K17">
        <v>1</v>
      </c>
      <c r="L17" s="2">
        <v>25</v>
      </c>
      <c r="N17" t="s">
        <v>725</v>
      </c>
    </row>
    <row r="18" spans="1:14" x14ac:dyDescent="0.25">
      <c r="A18" s="4">
        <v>101794788300</v>
      </c>
      <c r="B18" s="4" t="str">
        <f t="shared" si="0"/>
        <v>101794788300OVR</v>
      </c>
      <c r="C18" t="s">
        <v>304</v>
      </c>
      <c r="E18">
        <v>20411454</v>
      </c>
      <c r="F18" t="s">
        <v>737</v>
      </c>
      <c r="G18" t="s">
        <v>49</v>
      </c>
      <c r="H18" t="s">
        <v>268</v>
      </c>
      <c r="I18" s="1">
        <v>46023</v>
      </c>
      <c r="J18" s="2">
        <v>25</v>
      </c>
      <c r="K18">
        <v>1</v>
      </c>
      <c r="L18" s="2">
        <v>25</v>
      </c>
      <c r="N18" t="s">
        <v>725</v>
      </c>
    </row>
    <row r="19" spans="1:14" x14ac:dyDescent="0.25">
      <c r="A19" s="4">
        <v>101816009400</v>
      </c>
      <c r="B19" s="4" t="str">
        <f t="shared" si="0"/>
        <v>101816009400OVR</v>
      </c>
      <c r="C19" t="s">
        <v>306</v>
      </c>
      <c r="E19">
        <v>20411454</v>
      </c>
      <c r="F19" t="s">
        <v>737</v>
      </c>
      <c r="G19" t="s">
        <v>49</v>
      </c>
      <c r="H19" t="s">
        <v>268</v>
      </c>
      <c r="I19" s="1">
        <v>46023</v>
      </c>
      <c r="J19" s="2">
        <v>25</v>
      </c>
      <c r="K19">
        <v>1</v>
      </c>
      <c r="L19" s="2">
        <v>25</v>
      </c>
      <c r="N19" t="s">
        <v>725</v>
      </c>
    </row>
    <row r="20" spans="1:14" x14ac:dyDescent="0.25">
      <c r="A20" s="4">
        <v>101836469800</v>
      </c>
      <c r="B20" s="4" t="str">
        <f t="shared" si="0"/>
        <v>101836469800OVR</v>
      </c>
      <c r="C20" t="s">
        <v>308</v>
      </c>
      <c r="E20">
        <v>20411454</v>
      </c>
      <c r="F20" t="s">
        <v>737</v>
      </c>
      <c r="G20" t="s">
        <v>49</v>
      </c>
      <c r="H20" t="s">
        <v>268</v>
      </c>
      <c r="I20" s="1">
        <v>46023</v>
      </c>
      <c r="J20" s="2">
        <v>25</v>
      </c>
      <c r="K20">
        <v>1</v>
      </c>
      <c r="L20" s="2">
        <v>25</v>
      </c>
      <c r="N20" t="s">
        <v>725</v>
      </c>
    </row>
    <row r="21" spans="1:14" x14ac:dyDescent="0.25">
      <c r="A21" s="4">
        <v>101918291100</v>
      </c>
      <c r="B21" s="4" t="str">
        <f t="shared" si="0"/>
        <v>101918291100OVR</v>
      </c>
      <c r="C21" t="s">
        <v>310</v>
      </c>
      <c r="D21" t="s">
        <v>65</v>
      </c>
      <c r="E21">
        <v>20411454</v>
      </c>
      <c r="F21" t="s">
        <v>737</v>
      </c>
      <c r="G21" t="s">
        <v>49</v>
      </c>
      <c r="H21" t="s">
        <v>268</v>
      </c>
      <c r="I21" s="1">
        <v>46023</v>
      </c>
      <c r="J21" s="2">
        <v>25</v>
      </c>
      <c r="K21">
        <v>1</v>
      </c>
      <c r="L21" s="2">
        <v>25</v>
      </c>
      <c r="N21" t="s">
        <v>725</v>
      </c>
    </row>
    <row r="22" spans="1:14" x14ac:dyDescent="0.25">
      <c r="A22" s="4">
        <v>101951418100</v>
      </c>
      <c r="B22" s="4" t="str">
        <f t="shared" si="0"/>
        <v>101951418100OVR</v>
      </c>
      <c r="C22" t="s">
        <v>312</v>
      </c>
      <c r="E22">
        <v>20411454</v>
      </c>
      <c r="F22" t="s">
        <v>737</v>
      </c>
      <c r="G22" t="s">
        <v>49</v>
      </c>
      <c r="H22" t="s">
        <v>268</v>
      </c>
      <c r="I22" s="1">
        <v>46023</v>
      </c>
      <c r="J22" s="2">
        <v>25</v>
      </c>
      <c r="K22">
        <v>1</v>
      </c>
      <c r="L22" s="2">
        <v>25</v>
      </c>
      <c r="N22" t="s">
        <v>725</v>
      </c>
    </row>
    <row r="23" spans="1:14" x14ac:dyDescent="0.25">
      <c r="A23" s="4">
        <v>102006320700</v>
      </c>
      <c r="B23" s="4" t="str">
        <f t="shared" si="0"/>
        <v>102006320700OVR</v>
      </c>
      <c r="C23" t="s">
        <v>314</v>
      </c>
      <c r="E23">
        <v>20411454</v>
      </c>
      <c r="F23" t="s">
        <v>737</v>
      </c>
      <c r="G23" t="s">
        <v>49</v>
      </c>
      <c r="H23" t="s">
        <v>268</v>
      </c>
      <c r="I23" s="1">
        <v>46023</v>
      </c>
      <c r="J23" s="2">
        <v>25</v>
      </c>
      <c r="K23">
        <v>1</v>
      </c>
      <c r="L23" s="2">
        <v>25</v>
      </c>
      <c r="N23" t="s">
        <v>725</v>
      </c>
    </row>
    <row r="24" spans="1:14" x14ac:dyDescent="0.25">
      <c r="A24" s="4">
        <v>102051237700</v>
      </c>
      <c r="B24" s="4" t="str">
        <f t="shared" si="0"/>
        <v>102051237700OVR</v>
      </c>
      <c r="C24" t="s">
        <v>316</v>
      </c>
      <c r="E24">
        <v>20411454</v>
      </c>
      <c r="F24" t="s">
        <v>737</v>
      </c>
      <c r="G24" t="s">
        <v>49</v>
      </c>
      <c r="H24" t="s">
        <v>268</v>
      </c>
      <c r="I24" s="1">
        <v>46023</v>
      </c>
      <c r="J24" s="2">
        <v>25</v>
      </c>
      <c r="K24">
        <v>1</v>
      </c>
      <c r="L24" s="2">
        <v>25</v>
      </c>
      <c r="N24" t="s">
        <v>725</v>
      </c>
    </row>
    <row r="25" spans="1:14" x14ac:dyDescent="0.25">
      <c r="A25" s="4">
        <v>102074151600</v>
      </c>
      <c r="B25" s="4" t="str">
        <f t="shared" si="0"/>
        <v>102074151600OVR</v>
      </c>
      <c r="C25" t="s">
        <v>320</v>
      </c>
      <c r="D25" t="s">
        <v>65</v>
      </c>
      <c r="E25">
        <v>20411454</v>
      </c>
      <c r="F25" t="s">
        <v>737</v>
      </c>
      <c r="G25" t="s">
        <v>49</v>
      </c>
      <c r="H25" t="s">
        <v>268</v>
      </c>
      <c r="I25" s="1">
        <v>46023</v>
      </c>
      <c r="J25" s="2">
        <v>25</v>
      </c>
      <c r="K25">
        <v>1</v>
      </c>
      <c r="L25" s="2">
        <v>25</v>
      </c>
      <c r="N25" t="s">
        <v>725</v>
      </c>
    </row>
    <row r="26" spans="1:14" x14ac:dyDescent="0.25">
      <c r="A26" s="4" t="s">
        <v>711</v>
      </c>
      <c r="B26" s="4" t="str">
        <f t="shared" si="0"/>
        <v>102104604100AOVR</v>
      </c>
      <c r="C26" t="s">
        <v>324</v>
      </c>
      <c r="D26" t="s">
        <v>275</v>
      </c>
      <c r="E26">
        <v>20411454</v>
      </c>
      <c r="F26" t="s">
        <v>737</v>
      </c>
      <c r="G26" t="s">
        <v>137</v>
      </c>
      <c r="H26" t="s">
        <v>268</v>
      </c>
      <c r="I26" s="1">
        <v>46023</v>
      </c>
      <c r="J26" s="2">
        <v>25</v>
      </c>
      <c r="K26">
        <v>1</v>
      </c>
      <c r="L26" s="2">
        <v>25</v>
      </c>
      <c r="N26" t="s">
        <v>725</v>
      </c>
    </row>
    <row r="27" spans="1:14" x14ac:dyDescent="0.25">
      <c r="A27" s="4">
        <v>102111243000</v>
      </c>
      <c r="B27" s="4" t="str">
        <f t="shared" si="0"/>
        <v>102111243000OVR</v>
      </c>
      <c r="C27" t="s">
        <v>326</v>
      </c>
      <c r="D27" t="s">
        <v>275</v>
      </c>
      <c r="E27">
        <v>20411454</v>
      </c>
      <c r="F27" t="s">
        <v>737</v>
      </c>
      <c r="G27" t="s">
        <v>49</v>
      </c>
      <c r="H27" t="s">
        <v>268</v>
      </c>
      <c r="I27" s="1">
        <v>46023</v>
      </c>
      <c r="J27" s="2">
        <v>25</v>
      </c>
      <c r="K27">
        <v>1</v>
      </c>
      <c r="L27" s="2">
        <v>25</v>
      </c>
      <c r="N27" t="s">
        <v>725</v>
      </c>
    </row>
    <row r="28" spans="1:14" x14ac:dyDescent="0.25">
      <c r="A28" s="4">
        <v>102148379700</v>
      </c>
      <c r="B28" s="4" t="str">
        <f t="shared" si="0"/>
        <v>102148379700OVR</v>
      </c>
      <c r="C28" t="s">
        <v>328</v>
      </c>
      <c r="D28" t="s">
        <v>65</v>
      </c>
      <c r="E28">
        <v>20411454</v>
      </c>
      <c r="F28" t="s">
        <v>737</v>
      </c>
      <c r="G28" t="s">
        <v>49</v>
      </c>
      <c r="H28" t="s">
        <v>268</v>
      </c>
      <c r="I28" s="1">
        <v>46023</v>
      </c>
      <c r="J28" s="2">
        <v>25</v>
      </c>
      <c r="K28">
        <v>1</v>
      </c>
      <c r="L28" s="2">
        <v>25</v>
      </c>
      <c r="N28" t="s">
        <v>725</v>
      </c>
    </row>
    <row r="29" spans="1:14" x14ac:dyDescent="0.25">
      <c r="A29" s="4">
        <v>102155200900</v>
      </c>
      <c r="B29" s="4" t="str">
        <f t="shared" si="0"/>
        <v>102155200900OVR</v>
      </c>
      <c r="C29" t="s">
        <v>330</v>
      </c>
      <c r="D29" t="s">
        <v>65</v>
      </c>
      <c r="E29">
        <v>20411454</v>
      </c>
      <c r="F29" t="s">
        <v>737</v>
      </c>
      <c r="G29" t="s">
        <v>49</v>
      </c>
      <c r="H29" t="s">
        <v>268</v>
      </c>
      <c r="I29" s="1">
        <v>46023</v>
      </c>
      <c r="J29" s="2">
        <v>25</v>
      </c>
      <c r="K29">
        <v>1</v>
      </c>
      <c r="L29" s="2">
        <v>25</v>
      </c>
      <c r="N29" t="s">
        <v>725</v>
      </c>
    </row>
    <row r="30" spans="1:14" x14ac:dyDescent="0.25">
      <c r="A30" s="4">
        <v>102170865500</v>
      </c>
      <c r="B30" s="4" t="str">
        <f t="shared" si="0"/>
        <v>102170865500OVR</v>
      </c>
      <c r="C30" t="s">
        <v>334</v>
      </c>
      <c r="D30" t="s">
        <v>191</v>
      </c>
      <c r="E30">
        <v>20411454</v>
      </c>
      <c r="F30" t="s">
        <v>737</v>
      </c>
      <c r="G30" t="s">
        <v>49</v>
      </c>
      <c r="H30" t="s">
        <v>268</v>
      </c>
      <c r="I30" s="1">
        <v>46023</v>
      </c>
      <c r="J30" s="2">
        <v>25</v>
      </c>
      <c r="K30">
        <v>1</v>
      </c>
      <c r="L30" s="2">
        <v>25</v>
      </c>
      <c r="N30" t="s">
        <v>725</v>
      </c>
    </row>
    <row r="31" spans="1:14" x14ac:dyDescent="0.25">
      <c r="A31" s="4">
        <v>102200769600</v>
      </c>
      <c r="B31" s="4" t="str">
        <f t="shared" si="0"/>
        <v>102200769600OVR</v>
      </c>
      <c r="C31" t="s">
        <v>336</v>
      </c>
      <c r="E31">
        <v>20411454</v>
      </c>
      <c r="F31" t="s">
        <v>737</v>
      </c>
      <c r="G31" t="s">
        <v>49</v>
      </c>
      <c r="H31" t="s">
        <v>268</v>
      </c>
      <c r="I31" s="1">
        <v>46023</v>
      </c>
      <c r="J31" s="2">
        <v>25</v>
      </c>
      <c r="K31">
        <v>1</v>
      </c>
      <c r="L31" s="2">
        <v>25</v>
      </c>
      <c r="N31" t="s">
        <v>725</v>
      </c>
    </row>
    <row r="32" spans="1:14" x14ac:dyDescent="0.25">
      <c r="A32" s="4">
        <v>102214734600</v>
      </c>
      <c r="B32" s="4" t="str">
        <f t="shared" si="0"/>
        <v>102214734600OVR</v>
      </c>
      <c r="C32" t="s">
        <v>340</v>
      </c>
      <c r="D32" t="s">
        <v>65</v>
      </c>
      <c r="E32">
        <v>20411454</v>
      </c>
      <c r="F32" t="s">
        <v>737</v>
      </c>
      <c r="G32" t="s">
        <v>49</v>
      </c>
      <c r="H32" t="s">
        <v>268</v>
      </c>
      <c r="I32" s="1">
        <v>46023</v>
      </c>
      <c r="J32" s="2">
        <v>25</v>
      </c>
      <c r="K32">
        <v>1</v>
      </c>
      <c r="L32" s="2">
        <v>25</v>
      </c>
      <c r="N32" t="s">
        <v>725</v>
      </c>
    </row>
    <row r="33" spans="1:14" x14ac:dyDescent="0.25">
      <c r="A33" s="4">
        <v>102231089300</v>
      </c>
      <c r="B33" s="4" t="str">
        <f t="shared" si="0"/>
        <v>102231089300OVR</v>
      </c>
      <c r="C33" t="s">
        <v>342</v>
      </c>
      <c r="E33">
        <v>20411454</v>
      </c>
      <c r="F33" t="s">
        <v>737</v>
      </c>
      <c r="G33" t="s">
        <v>49</v>
      </c>
      <c r="H33" t="s">
        <v>268</v>
      </c>
      <c r="I33" s="1">
        <v>46023</v>
      </c>
      <c r="J33" s="2">
        <v>25</v>
      </c>
      <c r="K33">
        <v>1</v>
      </c>
      <c r="L33" s="2">
        <v>25</v>
      </c>
      <c r="N33" t="s">
        <v>725</v>
      </c>
    </row>
    <row r="34" spans="1:14" x14ac:dyDescent="0.25">
      <c r="A34" s="4">
        <v>102231125100</v>
      </c>
      <c r="B34" s="4" t="str">
        <f t="shared" si="0"/>
        <v>102231125100OVR</v>
      </c>
      <c r="C34" t="s">
        <v>344</v>
      </c>
      <c r="E34">
        <v>20411454</v>
      </c>
      <c r="F34" t="s">
        <v>737</v>
      </c>
      <c r="G34" t="s">
        <v>49</v>
      </c>
      <c r="H34" t="s">
        <v>268</v>
      </c>
      <c r="I34" s="1">
        <v>46023</v>
      </c>
      <c r="J34" s="2">
        <v>25</v>
      </c>
      <c r="K34">
        <v>1</v>
      </c>
      <c r="L34" s="2">
        <v>25</v>
      </c>
      <c r="N34" t="s">
        <v>725</v>
      </c>
    </row>
    <row r="35" spans="1:14" x14ac:dyDescent="0.25">
      <c r="A35" s="4">
        <v>102231217200</v>
      </c>
      <c r="B35" s="4" t="str">
        <f t="shared" si="0"/>
        <v>102231217200OVR</v>
      </c>
      <c r="C35" t="s">
        <v>346</v>
      </c>
      <c r="E35">
        <v>20411454</v>
      </c>
      <c r="F35" t="s">
        <v>737</v>
      </c>
      <c r="G35" t="s">
        <v>49</v>
      </c>
      <c r="H35" t="s">
        <v>268</v>
      </c>
      <c r="I35" s="1">
        <v>46023</v>
      </c>
      <c r="J35" s="2">
        <v>25</v>
      </c>
      <c r="K35">
        <v>1</v>
      </c>
      <c r="L35" s="2">
        <v>25</v>
      </c>
      <c r="N35" t="s">
        <v>725</v>
      </c>
    </row>
    <row r="36" spans="1:14" x14ac:dyDescent="0.25">
      <c r="A36" s="4">
        <v>102231428800</v>
      </c>
      <c r="B36" s="4" t="str">
        <f t="shared" si="0"/>
        <v>102231428800OVR</v>
      </c>
      <c r="C36" t="s">
        <v>348</v>
      </c>
      <c r="E36">
        <v>20411454</v>
      </c>
      <c r="F36" t="s">
        <v>737</v>
      </c>
      <c r="G36" t="s">
        <v>49</v>
      </c>
      <c r="H36" t="s">
        <v>268</v>
      </c>
      <c r="I36" s="1">
        <v>46023</v>
      </c>
      <c r="J36" s="2">
        <v>25</v>
      </c>
      <c r="K36">
        <v>1</v>
      </c>
      <c r="L36" s="2">
        <v>25</v>
      </c>
      <c r="N36" t="s">
        <v>725</v>
      </c>
    </row>
    <row r="37" spans="1:14" x14ac:dyDescent="0.25">
      <c r="A37" s="4">
        <v>102231593500</v>
      </c>
      <c r="B37" s="4" t="str">
        <f t="shared" si="0"/>
        <v>102231593500OVR</v>
      </c>
      <c r="C37" t="s">
        <v>350</v>
      </c>
      <c r="E37">
        <v>20411454</v>
      </c>
      <c r="F37" t="s">
        <v>737</v>
      </c>
      <c r="G37" t="s">
        <v>49</v>
      </c>
      <c r="H37" t="s">
        <v>268</v>
      </c>
      <c r="I37" s="1">
        <v>46023</v>
      </c>
      <c r="J37" s="2">
        <v>25</v>
      </c>
      <c r="K37">
        <v>1</v>
      </c>
      <c r="L37" s="2">
        <v>25</v>
      </c>
      <c r="N37" t="s">
        <v>725</v>
      </c>
    </row>
    <row r="38" spans="1:14" x14ac:dyDescent="0.25">
      <c r="A38" s="4">
        <v>102231622600</v>
      </c>
      <c r="B38" s="4" t="str">
        <f t="shared" si="0"/>
        <v>102231622600OVR</v>
      </c>
      <c r="C38" t="s">
        <v>354</v>
      </c>
      <c r="E38">
        <v>20411454</v>
      </c>
      <c r="F38" t="s">
        <v>737</v>
      </c>
      <c r="G38" t="s">
        <v>49</v>
      </c>
      <c r="H38" t="s">
        <v>268</v>
      </c>
      <c r="I38" s="1">
        <v>46023</v>
      </c>
      <c r="J38" s="2">
        <v>25</v>
      </c>
      <c r="K38">
        <v>1</v>
      </c>
      <c r="L38" s="2">
        <v>25</v>
      </c>
      <c r="N38" t="s">
        <v>725</v>
      </c>
    </row>
    <row r="39" spans="1:14" x14ac:dyDescent="0.25">
      <c r="A39" s="4">
        <v>102231637700</v>
      </c>
      <c r="B39" s="4" t="str">
        <f t="shared" si="0"/>
        <v>102231637700OVR</v>
      </c>
      <c r="C39" t="s">
        <v>356</v>
      </c>
      <c r="E39">
        <v>20411454</v>
      </c>
      <c r="F39" t="s">
        <v>737</v>
      </c>
      <c r="G39" t="s">
        <v>49</v>
      </c>
      <c r="H39" t="s">
        <v>268</v>
      </c>
      <c r="I39" s="1">
        <v>46023</v>
      </c>
      <c r="J39" s="2">
        <v>25</v>
      </c>
      <c r="K39">
        <v>1</v>
      </c>
      <c r="L39" s="2">
        <v>25</v>
      </c>
      <c r="N39" t="s">
        <v>725</v>
      </c>
    </row>
    <row r="40" spans="1:14" x14ac:dyDescent="0.25">
      <c r="A40" s="4">
        <v>102231657900</v>
      </c>
      <c r="B40" s="4" t="str">
        <f t="shared" si="0"/>
        <v>102231657900OVR</v>
      </c>
      <c r="C40" t="s">
        <v>358</v>
      </c>
      <c r="E40">
        <v>20411454</v>
      </c>
      <c r="F40" t="s">
        <v>737</v>
      </c>
      <c r="G40" t="s">
        <v>49</v>
      </c>
      <c r="H40" t="s">
        <v>268</v>
      </c>
      <c r="I40" s="1">
        <v>46023</v>
      </c>
      <c r="J40" s="2">
        <v>25</v>
      </c>
      <c r="K40">
        <v>1</v>
      </c>
      <c r="L40" s="2">
        <v>25</v>
      </c>
      <c r="N40" t="s">
        <v>725</v>
      </c>
    </row>
    <row r="41" spans="1:14" x14ac:dyDescent="0.25">
      <c r="A41" s="4">
        <v>102231667500</v>
      </c>
      <c r="B41" s="4" t="str">
        <f t="shared" si="0"/>
        <v>102231667500OVR</v>
      </c>
      <c r="C41" t="s">
        <v>360</v>
      </c>
      <c r="E41">
        <v>20411454</v>
      </c>
      <c r="F41" t="s">
        <v>737</v>
      </c>
      <c r="G41" t="s">
        <v>49</v>
      </c>
      <c r="H41" t="s">
        <v>268</v>
      </c>
      <c r="I41" s="1">
        <v>46023</v>
      </c>
      <c r="J41" s="2">
        <v>25</v>
      </c>
      <c r="K41">
        <v>1</v>
      </c>
      <c r="L41" s="2">
        <v>25</v>
      </c>
      <c r="N41" t="s">
        <v>725</v>
      </c>
    </row>
    <row r="42" spans="1:14" x14ac:dyDescent="0.25">
      <c r="A42" s="4">
        <v>102232294200</v>
      </c>
      <c r="B42" s="4" t="str">
        <f t="shared" si="0"/>
        <v>102232294200OVR</v>
      </c>
      <c r="C42" t="s">
        <v>373</v>
      </c>
      <c r="E42">
        <v>20411454</v>
      </c>
      <c r="F42" t="s">
        <v>737</v>
      </c>
      <c r="G42" t="s">
        <v>49</v>
      </c>
      <c r="H42" t="s">
        <v>268</v>
      </c>
      <c r="I42" s="1">
        <v>46023</v>
      </c>
      <c r="J42" s="2">
        <v>25</v>
      </c>
      <c r="K42">
        <v>1</v>
      </c>
      <c r="L42" s="2">
        <v>25</v>
      </c>
      <c r="N42" t="s">
        <v>725</v>
      </c>
    </row>
    <row r="43" spans="1:14" x14ac:dyDescent="0.25">
      <c r="A43" s="4">
        <v>102233190600</v>
      </c>
      <c r="B43" s="4" t="str">
        <f t="shared" si="0"/>
        <v>102233190600OVR</v>
      </c>
      <c r="C43" t="s">
        <v>390</v>
      </c>
      <c r="E43">
        <v>20411454</v>
      </c>
      <c r="F43" t="s">
        <v>737</v>
      </c>
      <c r="G43" t="s">
        <v>49</v>
      </c>
      <c r="H43" t="s">
        <v>268</v>
      </c>
      <c r="I43" s="1">
        <v>46023</v>
      </c>
      <c r="J43" s="2">
        <v>25</v>
      </c>
      <c r="K43">
        <v>1</v>
      </c>
      <c r="L43" s="2">
        <v>25</v>
      </c>
      <c r="N43" t="s">
        <v>725</v>
      </c>
    </row>
    <row r="44" spans="1:14" x14ac:dyDescent="0.25">
      <c r="A44" s="4">
        <v>102233195900</v>
      </c>
      <c r="B44" s="4" t="str">
        <f t="shared" si="0"/>
        <v>102233195900OVR</v>
      </c>
      <c r="C44" t="s">
        <v>392</v>
      </c>
      <c r="E44">
        <v>20411454</v>
      </c>
      <c r="F44" t="s">
        <v>737</v>
      </c>
      <c r="G44" t="s">
        <v>49</v>
      </c>
      <c r="H44" t="s">
        <v>268</v>
      </c>
      <c r="I44" s="1">
        <v>46023</v>
      </c>
      <c r="J44" s="2">
        <v>25</v>
      </c>
      <c r="K44">
        <v>1</v>
      </c>
      <c r="L44" s="2">
        <v>25</v>
      </c>
      <c r="N44" t="s">
        <v>725</v>
      </c>
    </row>
    <row r="45" spans="1:14" x14ac:dyDescent="0.25">
      <c r="A45" s="4">
        <v>102233253900</v>
      </c>
      <c r="B45" s="4" t="str">
        <f t="shared" si="0"/>
        <v>102233253900OVR</v>
      </c>
      <c r="C45" t="s">
        <v>394</v>
      </c>
      <c r="E45">
        <v>20411454</v>
      </c>
      <c r="F45" t="s">
        <v>737</v>
      </c>
      <c r="G45" t="s">
        <v>49</v>
      </c>
      <c r="H45" t="s">
        <v>268</v>
      </c>
      <c r="I45" s="1">
        <v>46023</v>
      </c>
      <c r="J45" s="2">
        <v>25</v>
      </c>
      <c r="K45">
        <v>1</v>
      </c>
      <c r="L45" s="2">
        <v>25</v>
      </c>
      <c r="N45" t="s">
        <v>725</v>
      </c>
    </row>
    <row r="46" spans="1:14" x14ac:dyDescent="0.25">
      <c r="A46" s="4">
        <v>102233313600</v>
      </c>
      <c r="B46" s="4" t="str">
        <f t="shared" si="0"/>
        <v>102233313600OVR</v>
      </c>
      <c r="C46" t="s">
        <v>396</v>
      </c>
      <c r="E46">
        <v>20411454</v>
      </c>
      <c r="F46" t="s">
        <v>737</v>
      </c>
      <c r="G46" t="s">
        <v>49</v>
      </c>
      <c r="H46" t="s">
        <v>268</v>
      </c>
      <c r="I46" s="1">
        <v>46023</v>
      </c>
      <c r="J46" s="2">
        <v>25</v>
      </c>
      <c r="K46">
        <v>1</v>
      </c>
      <c r="L46" s="2">
        <v>25</v>
      </c>
      <c r="N46" t="s">
        <v>725</v>
      </c>
    </row>
    <row r="47" spans="1:14" x14ac:dyDescent="0.25">
      <c r="A47" s="4">
        <v>102233316700</v>
      </c>
      <c r="B47" s="4" t="str">
        <f t="shared" si="0"/>
        <v>102233316700OVR</v>
      </c>
      <c r="C47" t="s">
        <v>398</v>
      </c>
      <c r="E47">
        <v>20411454</v>
      </c>
      <c r="F47" t="s">
        <v>737</v>
      </c>
      <c r="G47" t="s">
        <v>49</v>
      </c>
      <c r="H47" t="s">
        <v>268</v>
      </c>
      <c r="I47" s="1">
        <v>46023</v>
      </c>
      <c r="J47" s="2">
        <v>25</v>
      </c>
      <c r="K47">
        <v>1</v>
      </c>
      <c r="L47" s="2">
        <v>25</v>
      </c>
      <c r="N47" t="s">
        <v>725</v>
      </c>
    </row>
    <row r="48" spans="1:14" x14ac:dyDescent="0.25">
      <c r="A48" s="4">
        <v>102233329100</v>
      </c>
      <c r="B48" s="4" t="str">
        <f t="shared" si="0"/>
        <v>102233329100OVR</v>
      </c>
      <c r="C48" t="s">
        <v>400</v>
      </c>
      <c r="E48">
        <v>20411454</v>
      </c>
      <c r="F48" t="s">
        <v>737</v>
      </c>
      <c r="G48" t="s">
        <v>49</v>
      </c>
      <c r="H48" t="s">
        <v>268</v>
      </c>
      <c r="I48" s="1">
        <v>46023</v>
      </c>
      <c r="J48" s="2">
        <v>25</v>
      </c>
      <c r="K48">
        <v>1</v>
      </c>
      <c r="L48" s="2">
        <v>25</v>
      </c>
      <c r="N48" t="s">
        <v>725</v>
      </c>
    </row>
    <row r="49" spans="1:14" x14ac:dyDescent="0.25">
      <c r="A49" s="4">
        <v>102233332000</v>
      </c>
      <c r="B49" s="4" t="str">
        <f t="shared" si="0"/>
        <v>102233332000OVR</v>
      </c>
      <c r="C49" t="s">
        <v>402</v>
      </c>
      <c r="E49">
        <v>20411454</v>
      </c>
      <c r="F49" t="s">
        <v>737</v>
      </c>
      <c r="G49" t="s">
        <v>49</v>
      </c>
      <c r="H49" t="s">
        <v>268</v>
      </c>
      <c r="I49" s="1">
        <v>46023</v>
      </c>
      <c r="J49" s="2">
        <v>25</v>
      </c>
      <c r="K49">
        <v>1</v>
      </c>
      <c r="L49" s="2">
        <v>25</v>
      </c>
      <c r="N49" t="s">
        <v>725</v>
      </c>
    </row>
    <row r="50" spans="1:14" x14ac:dyDescent="0.25">
      <c r="A50" s="4">
        <v>102233353600</v>
      </c>
      <c r="B50" s="4" t="str">
        <f t="shared" si="0"/>
        <v>102233353600OVR</v>
      </c>
      <c r="C50" t="s">
        <v>404</v>
      </c>
      <c r="E50">
        <v>20411454</v>
      </c>
      <c r="F50" t="s">
        <v>737</v>
      </c>
      <c r="G50" t="s">
        <v>49</v>
      </c>
      <c r="H50" t="s">
        <v>268</v>
      </c>
      <c r="I50" s="1">
        <v>46023</v>
      </c>
      <c r="J50" s="2">
        <v>25</v>
      </c>
      <c r="K50">
        <v>1</v>
      </c>
      <c r="L50" s="2">
        <v>25</v>
      </c>
      <c r="N50" t="s">
        <v>725</v>
      </c>
    </row>
    <row r="51" spans="1:14" x14ac:dyDescent="0.25">
      <c r="A51" s="4">
        <v>102233525000</v>
      </c>
      <c r="B51" s="4" t="str">
        <f t="shared" si="0"/>
        <v>102233525000OVR</v>
      </c>
      <c r="C51" t="s">
        <v>406</v>
      </c>
      <c r="E51">
        <v>20411454</v>
      </c>
      <c r="F51" t="s">
        <v>737</v>
      </c>
      <c r="G51" t="s">
        <v>49</v>
      </c>
      <c r="H51" t="s">
        <v>268</v>
      </c>
      <c r="I51" s="1">
        <v>46023</v>
      </c>
      <c r="J51" s="2">
        <v>25</v>
      </c>
      <c r="K51">
        <v>1</v>
      </c>
      <c r="L51" s="2">
        <v>25</v>
      </c>
      <c r="N51" t="s">
        <v>725</v>
      </c>
    </row>
    <row r="52" spans="1:14" x14ac:dyDescent="0.25">
      <c r="A52" s="4">
        <v>102233575800</v>
      </c>
      <c r="B52" s="4" t="str">
        <f t="shared" si="0"/>
        <v>102233575800OVR</v>
      </c>
      <c r="C52" t="s">
        <v>408</v>
      </c>
      <c r="E52">
        <v>20411454</v>
      </c>
      <c r="F52" t="s">
        <v>737</v>
      </c>
      <c r="G52" t="s">
        <v>49</v>
      </c>
      <c r="H52" t="s">
        <v>268</v>
      </c>
      <c r="I52" s="1">
        <v>46023</v>
      </c>
      <c r="J52" s="2">
        <v>25</v>
      </c>
      <c r="K52">
        <v>1</v>
      </c>
      <c r="L52" s="2">
        <v>25</v>
      </c>
      <c r="N52" t="s">
        <v>725</v>
      </c>
    </row>
    <row r="53" spans="1:14" x14ac:dyDescent="0.25">
      <c r="A53" s="4">
        <v>102233930800</v>
      </c>
      <c r="B53" s="4" t="str">
        <f t="shared" si="0"/>
        <v>102233930800OVR</v>
      </c>
      <c r="C53" t="s">
        <v>410</v>
      </c>
      <c r="E53">
        <v>20411454</v>
      </c>
      <c r="F53" t="s">
        <v>737</v>
      </c>
      <c r="G53" t="s">
        <v>49</v>
      </c>
      <c r="H53" t="s">
        <v>268</v>
      </c>
      <c r="I53" s="1">
        <v>46023</v>
      </c>
      <c r="J53" s="2">
        <v>25</v>
      </c>
      <c r="K53">
        <v>1</v>
      </c>
      <c r="L53" s="2">
        <v>25</v>
      </c>
      <c r="N53" t="s">
        <v>725</v>
      </c>
    </row>
    <row r="54" spans="1:14" x14ac:dyDescent="0.25">
      <c r="A54" s="4">
        <v>102233953500</v>
      </c>
      <c r="B54" s="4" t="str">
        <f t="shared" si="0"/>
        <v>102233953500OVR</v>
      </c>
      <c r="C54" t="s">
        <v>414</v>
      </c>
      <c r="D54" t="s">
        <v>284</v>
      </c>
      <c r="E54">
        <v>20411454</v>
      </c>
      <c r="F54" t="s">
        <v>737</v>
      </c>
      <c r="G54" t="s">
        <v>49</v>
      </c>
      <c r="H54" t="s">
        <v>268</v>
      </c>
      <c r="I54" s="1">
        <v>46023</v>
      </c>
      <c r="J54" s="2">
        <v>25</v>
      </c>
      <c r="K54">
        <v>1</v>
      </c>
      <c r="L54" s="2">
        <v>25</v>
      </c>
      <c r="N54" t="s">
        <v>725</v>
      </c>
    </row>
    <row r="55" spans="1:14" x14ac:dyDescent="0.25">
      <c r="A55" s="4">
        <v>102234194800</v>
      </c>
      <c r="B55" s="4" t="str">
        <f t="shared" si="0"/>
        <v>102234194800OVR</v>
      </c>
      <c r="C55" t="s">
        <v>416</v>
      </c>
      <c r="E55">
        <v>20411454</v>
      </c>
      <c r="F55" t="s">
        <v>737</v>
      </c>
      <c r="G55" t="s">
        <v>49</v>
      </c>
      <c r="H55" t="s">
        <v>268</v>
      </c>
      <c r="I55" s="1">
        <v>46023</v>
      </c>
      <c r="J55" s="2">
        <v>25</v>
      </c>
      <c r="K55">
        <v>1</v>
      </c>
      <c r="L55" s="2">
        <v>25</v>
      </c>
      <c r="N55" t="s">
        <v>725</v>
      </c>
    </row>
    <row r="56" spans="1:14" x14ac:dyDescent="0.25">
      <c r="A56" s="4">
        <v>102234248000</v>
      </c>
      <c r="B56" s="4" t="str">
        <f t="shared" si="0"/>
        <v>102234248000OVR</v>
      </c>
      <c r="C56" t="s">
        <v>418</v>
      </c>
      <c r="E56">
        <v>20411454</v>
      </c>
      <c r="F56" t="s">
        <v>737</v>
      </c>
      <c r="G56" t="s">
        <v>49</v>
      </c>
      <c r="H56" t="s">
        <v>268</v>
      </c>
      <c r="I56" s="1">
        <v>46023</v>
      </c>
      <c r="J56" s="2">
        <v>25</v>
      </c>
      <c r="K56">
        <v>1</v>
      </c>
      <c r="L56" s="2">
        <v>25</v>
      </c>
      <c r="N56" t="s">
        <v>725</v>
      </c>
    </row>
    <row r="57" spans="1:14" x14ac:dyDescent="0.25">
      <c r="A57" s="4">
        <v>102234670000</v>
      </c>
      <c r="B57" s="4" t="str">
        <f t="shared" si="0"/>
        <v>102234670000OVR</v>
      </c>
      <c r="C57" t="s">
        <v>422</v>
      </c>
      <c r="E57">
        <v>20411454</v>
      </c>
      <c r="F57" t="s">
        <v>737</v>
      </c>
      <c r="G57" t="s">
        <v>49</v>
      </c>
      <c r="H57" t="s">
        <v>268</v>
      </c>
      <c r="I57" s="1">
        <v>46023</v>
      </c>
      <c r="J57" s="2">
        <v>25</v>
      </c>
      <c r="K57">
        <v>1</v>
      </c>
      <c r="L57" s="2">
        <v>25</v>
      </c>
      <c r="N57" t="s">
        <v>725</v>
      </c>
    </row>
    <row r="58" spans="1:14" x14ac:dyDescent="0.25">
      <c r="A58" s="4">
        <v>102235397000</v>
      </c>
      <c r="B58" s="4" t="str">
        <f t="shared" si="0"/>
        <v>102235397000OVR</v>
      </c>
      <c r="C58" t="s">
        <v>426</v>
      </c>
      <c r="E58">
        <v>20411454</v>
      </c>
      <c r="F58" t="s">
        <v>737</v>
      </c>
      <c r="G58" t="s">
        <v>49</v>
      </c>
      <c r="H58" t="s">
        <v>268</v>
      </c>
      <c r="I58" s="1">
        <v>46023</v>
      </c>
      <c r="J58" s="2">
        <v>25</v>
      </c>
      <c r="K58">
        <v>1</v>
      </c>
      <c r="L58" s="2">
        <v>25</v>
      </c>
      <c r="N58" t="s">
        <v>725</v>
      </c>
    </row>
    <row r="59" spans="1:14" x14ac:dyDescent="0.25">
      <c r="A59" s="4">
        <v>102235486500</v>
      </c>
      <c r="B59" s="4" t="str">
        <f t="shared" si="0"/>
        <v>102235486500OVR</v>
      </c>
      <c r="C59" t="s">
        <v>428</v>
      </c>
      <c r="E59">
        <v>20411454</v>
      </c>
      <c r="F59" t="s">
        <v>737</v>
      </c>
      <c r="G59" t="s">
        <v>49</v>
      </c>
      <c r="H59" t="s">
        <v>268</v>
      </c>
      <c r="I59" s="1">
        <v>46023</v>
      </c>
      <c r="J59" s="2">
        <v>25</v>
      </c>
      <c r="K59">
        <v>1</v>
      </c>
      <c r="L59" s="2">
        <v>25</v>
      </c>
      <c r="N59" t="s">
        <v>725</v>
      </c>
    </row>
    <row r="60" spans="1:14" x14ac:dyDescent="0.25">
      <c r="A60" s="4">
        <v>102235515700</v>
      </c>
      <c r="B60" s="4" t="str">
        <f t="shared" si="0"/>
        <v>102235515700OVR</v>
      </c>
      <c r="C60" t="s">
        <v>430</v>
      </c>
      <c r="E60">
        <v>20411454</v>
      </c>
      <c r="F60" t="s">
        <v>737</v>
      </c>
      <c r="G60" t="s">
        <v>49</v>
      </c>
      <c r="H60" t="s">
        <v>268</v>
      </c>
      <c r="I60" s="1">
        <v>46023</v>
      </c>
      <c r="J60" s="2">
        <v>25</v>
      </c>
      <c r="K60">
        <v>1</v>
      </c>
      <c r="L60" s="2">
        <v>25</v>
      </c>
      <c r="N60" t="s">
        <v>725</v>
      </c>
    </row>
    <row r="61" spans="1:14" x14ac:dyDescent="0.25">
      <c r="A61" s="4">
        <v>102235565500</v>
      </c>
      <c r="B61" s="4" t="str">
        <f t="shared" si="0"/>
        <v>102235565500OVR</v>
      </c>
      <c r="C61" t="s">
        <v>432</v>
      </c>
      <c r="E61">
        <v>20411454</v>
      </c>
      <c r="F61" t="s">
        <v>737</v>
      </c>
      <c r="G61" t="s">
        <v>49</v>
      </c>
      <c r="H61" t="s">
        <v>268</v>
      </c>
      <c r="I61" s="1">
        <v>46023</v>
      </c>
      <c r="J61" s="2">
        <v>25</v>
      </c>
      <c r="K61">
        <v>1</v>
      </c>
      <c r="L61" s="2">
        <v>25</v>
      </c>
      <c r="N61" t="s">
        <v>725</v>
      </c>
    </row>
    <row r="62" spans="1:14" x14ac:dyDescent="0.25">
      <c r="A62" s="4">
        <v>102235583800</v>
      </c>
      <c r="B62" s="4" t="str">
        <f t="shared" si="0"/>
        <v>102235583800OVR</v>
      </c>
      <c r="C62" t="s">
        <v>434</v>
      </c>
      <c r="E62">
        <v>20411454</v>
      </c>
      <c r="F62" t="s">
        <v>737</v>
      </c>
      <c r="G62" t="s">
        <v>49</v>
      </c>
      <c r="H62" t="s">
        <v>268</v>
      </c>
      <c r="I62" s="1">
        <v>46023</v>
      </c>
      <c r="J62" s="2">
        <v>25</v>
      </c>
      <c r="K62">
        <v>1</v>
      </c>
      <c r="L62" s="2">
        <v>25</v>
      </c>
      <c r="N62" t="s">
        <v>725</v>
      </c>
    </row>
    <row r="63" spans="1:14" x14ac:dyDescent="0.25">
      <c r="A63" s="4">
        <v>102235624100</v>
      </c>
      <c r="B63" s="4" t="str">
        <f t="shared" si="0"/>
        <v>102235624100OVR</v>
      </c>
      <c r="C63" t="s">
        <v>436</v>
      </c>
      <c r="E63">
        <v>20411454</v>
      </c>
      <c r="F63" t="s">
        <v>737</v>
      </c>
      <c r="G63" t="s">
        <v>49</v>
      </c>
      <c r="H63" t="s">
        <v>268</v>
      </c>
      <c r="I63" s="1">
        <v>46023</v>
      </c>
      <c r="J63" s="2">
        <v>25</v>
      </c>
      <c r="K63">
        <v>1</v>
      </c>
      <c r="L63" s="2">
        <v>25</v>
      </c>
      <c r="N63" t="s">
        <v>725</v>
      </c>
    </row>
    <row r="64" spans="1:14" x14ac:dyDescent="0.25">
      <c r="A64" s="4">
        <v>102235689500</v>
      </c>
      <c r="B64" s="4" t="str">
        <f t="shared" si="0"/>
        <v>102235689500OVR</v>
      </c>
      <c r="C64" t="s">
        <v>438</v>
      </c>
      <c r="E64">
        <v>20411454</v>
      </c>
      <c r="F64" t="s">
        <v>737</v>
      </c>
      <c r="G64" t="s">
        <v>49</v>
      </c>
      <c r="H64" t="s">
        <v>268</v>
      </c>
      <c r="I64" s="1">
        <v>46023</v>
      </c>
      <c r="J64" s="2">
        <v>25</v>
      </c>
      <c r="K64">
        <v>1</v>
      </c>
      <c r="L64" s="2">
        <v>25</v>
      </c>
      <c r="N64" t="s">
        <v>725</v>
      </c>
    </row>
    <row r="65" spans="1:14" x14ac:dyDescent="0.25">
      <c r="A65" s="4">
        <v>102235824900</v>
      </c>
      <c r="B65" s="4" t="str">
        <f t="shared" si="0"/>
        <v>102235824900OVR</v>
      </c>
      <c r="C65" t="s">
        <v>442</v>
      </c>
      <c r="E65">
        <v>20411454</v>
      </c>
      <c r="F65" t="s">
        <v>737</v>
      </c>
      <c r="G65" t="s">
        <v>49</v>
      </c>
      <c r="H65" t="s">
        <v>268</v>
      </c>
      <c r="I65" s="1">
        <v>46023</v>
      </c>
      <c r="J65" s="2">
        <v>25</v>
      </c>
      <c r="K65">
        <v>1</v>
      </c>
      <c r="L65" s="2">
        <v>25</v>
      </c>
      <c r="N65" t="s">
        <v>725</v>
      </c>
    </row>
    <row r="66" spans="1:14" x14ac:dyDescent="0.25">
      <c r="A66" s="4">
        <v>102236010900</v>
      </c>
      <c r="B66" s="4" t="str">
        <f t="shared" si="0"/>
        <v>102236010900OVR</v>
      </c>
      <c r="C66" t="s">
        <v>444</v>
      </c>
      <c r="E66">
        <v>20411454</v>
      </c>
      <c r="F66" t="s">
        <v>737</v>
      </c>
      <c r="G66" t="s">
        <v>49</v>
      </c>
      <c r="H66" t="s">
        <v>268</v>
      </c>
      <c r="I66" s="1">
        <v>46023</v>
      </c>
      <c r="J66" s="2">
        <v>25</v>
      </c>
      <c r="K66">
        <v>1</v>
      </c>
      <c r="L66" s="2">
        <v>25</v>
      </c>
      <c r="N66" t="s">
        <v>725</v>
      </c>
    </row>
    <row r="67" spans="1:14" x14ac:dyDescent="0.25">
      <c r="A67" s="4">
        <v>102239000100</v>
      </c>
      <c r="B67" s="4" t="str">
        <f t="shared" ref="B67:B130" si="1">CONCATENATE(A67,"OVR")</f>
        <v>102239000100OVR</v>
      </c>
      <c r="C67" t="s">
        <v>446</v>
      </c>
      <c r="E67">
        <v>20411454</v>
      </c>
      <c r="F67" t="s">
        <v>737</v>
      </c>
      <c r="G67" t="s">
        <v>49</v>
      </c>
      <c r="H67" t="s">
        <v>268</v>
      </c>
      <c r="I67" s="1">
        <v>46023</v>
      </c>
      <c r="J67" s="2">
        <v>25</v>
      </c>
      <c r="K67">
        <v>1</v>
      </c>
      <c r="L67" s="2">
        <v>25</v>
      </c>
      <c r="N67" t="s">
        <v>725</v>
      </c>
    </row>
    <row r="68" spans="1:14" x14ac:dyDescent="0.25">
      <c r="A68" s="4">
        <v>102239176200</v>
      </c>
      <c r="B68" s="4" t="str">
        <f t="shared" si="1"/>
        <v>102239176200OVR</v>
      </c>
      <c r="C68" t="s">
        <v>448</v>
      </c>
      <c r="E68">
        <v>20411454</v>
      </c>
      <c r="F68" t="s">
        <v>737</v>
      </c>
      <c r="G68" t="s">
        <v>49</v>
      </c>
      <c r="H68" t="s">
        <v>268</v>
      </c>
      <c r="I68" s="1">
        <v>46023</v>
      </c>
      <c r="J68" s="2">
        <v>25</v>
      </c>
      <c r="K68">
        <v>1</v>
      </c>
      <c r="L68" s="2">
        <v>25</v>
      </c>
      <c r="N68" t="s">
        <v>725</v>
      </c>
    </row>
    <row r="69" spans="1:14" x14ac:dyDescent="0.25">
      <c r="A69" s="4">
        <v>102239180000</v>
      </c>
      <c r="B69" s="4" t="str">
        <f t="shared" si="1"/>
        <v>102239180000OVR</v>
      </c>
      <c r="C69" t="s">
        <v>450</v>
      </c>
      <c r="E69">
        <v>20411454</v>
      </c>
      <c r="F69" t="s">
        <v>737</v>
      </c>
      <c r="G69" t="s">
        <v>49</v>
      </c>
      <c r="H69" t="s">
        <v>268</v>
      </c>
      <c r="I69" s="1">
        <v>46023</v>
      </c>
      <c r="J69" s="2">
        <v>25</v>
      </c>
      <c r="K69">
        <v>1</v>
      </c>
      <c r="L69" s="2">
        <v>25</v>
      </c>
      <c r="N69" t="s">
        <v>725</v>
      </c>
    </row>
    <row r="70" spans="1:14" x14ac:dyDescent="0.25">
      <c r="A70" s="4">
        <v>102239327900</v>
      </c>
      <c r="B70" s="4" t="str">
        <f t="shared" si="1"/>
        <v>102239327900OVR</v>
      </c>
      <c r="C70" t="s">
        <v>454</v>
      </c>
      <c r="E70">
        <v>20411454</v>
      </c>
      <c r="F70" t="s">
        <v>737</v>
      </c>
      <c r="G70" t="s">
        <v>49</v>
      </c>
      <c r="H70" t="s">
        <v>268</v>
      </c>
      <c r="I70" s="1">
        <v>46023</v>
      </c>
      <c r="J70" s="2">
        <v>25</v>
      </c>
      <c r="K70">
        <v>1</v>
      </c>
      <c r="L70" s="2">
        <v>25</v>
      </c>
      <c r="N70" t="s">
        <v>725</v>
      </c>
    </row>
    <row r="71" spans="1:14" x14ac:dyDescent="0.25">
      <c r="A71" s="4">
        <v>102239674100</v>
      </c>
      <c r="B71" s="4" t="str">
        <f t="shared" si="1"/>
        <v>102239674100OVR</v>
      </c>
      <c r="C71" t="s">
        <v>458</v>
      </c>
      <c r="E71">
        <v>20411454</v>
      </c>
      <c r="F71" t="s">
        <v>737</v>
      </c>
      <c r="G71" t="s">
        <v>49</v>
      </c>
      <c r="H71" t="s">
        <v>268</v>
      </c>
      <c r="I71" s="1">
        <v>46023</v>
      </c>
      <c r="J71" s="2">
        <v>25</v>
      </c>
      <c r="K71">
        <v>1</v>
      </c>
      <c r="L71" s="2">
        <v>25</v>
      </c>
      <c r="N71" t="s">
        <v>725</v>
      </c>
    </row>
    <row r="72" spans="1:14" x14ac:dyDescent="0.25">
      <c r="A72" s="4">
        <v>102239697100</v>
      </c>
      <c r="B72" s="4" t="str">
        <f t="shared" si="1"/>
        <v>102239697100OVR</v>
      </c>
      <c r="C72" t="s">
        <v>462</v>
      </c>
      <c r="E72">
        <v>20411454</v>
      </c>
      <c r="F72" t="s">
        <v>737</v>
      </c>
      <c r="G72" t="s">
        <v>49</v>
      </c>
      <c r="H72" t="s">
        <v>268</v>
      </c>
      <c r="I72" s="1">
        <v>46023</v>
      </c>
      <c r="J72" s="2">
        <v>25</v>
      </c>
      <c r="K72">
        <v>1</v>
      </c>
      <c r="L72" s="2">
        <v>25</v>
      </c>
      <c r="N72" t="s">
        <v>725</v>
      </c>
    </row>
    <row r="73" spans="1:14" x14ac:dyDescent="0.25">
      <c r="A73" s="4">
        <v>102239697200</v>
      </c>
      <c r="B73" s="4" t="str">
        <f t="shared" si="1"/>
        <v>102239697200OVR</v>
      </c>
      <c r="C73" t="s">
        <v>466</v>
      </c>
      <c r="E73">
        <v>20411454</v>
      </c>
      <c r="F73" t="s">
        <v>737</v>
      </c>
      <c r="G73" t="s">
        <v>49</v>
      </c>
      <c r="H73" t="s">
        <v>268</v>
      </c>
      <c r="I73" s="1">
        <v>46023</v>
      </c>
      <c r="J73" s="2">
        <v>25</v>
      </c>
      <c r="K73">
        <v>1</v>
      </c>
      <c r="L73" s="2">
        <v>25</v>
      </c>
      <c r="N73" t="s">
        <v>725</v>
      </c>
    </row>
    <row r="74" spans="1:14" x14ac:dyDescent="0.25">
      <c r="A74" s="4">
        <v>102239700000</v>
      </c>
      <c r="B74" s="4" t="str">
        <f t="shared" si="1"/>
        <v>102239700000OVR</v>
      </c>
      <c r="C74" t="s">
        <v>470</v>
      </c>
      <c r="D74" t="s">
        <v>284</v>
      </c>
      <c r="E74">
        <v>20411454</v>
      </c>
      <c r="F74" t="s">
        <v>737</v>
      </c>
      <c r="G74" t="s">
        <v>49</v>
      </c>
      <c r="H74" t="s">
        <v>268</v>
      </c>
      <c r="I74" s="1">
        <v>46023</v>
      </c>
      <c r="J74" s="2">
        <v>25</v>
      </c>
      <c r="K74">
        <v>1</v>
      </c>
      <c r="L74" s="2">
        <v>25</v>
      </c>
      <c r="N74" t="s">
        <v>725</v>
      </c>
    </row>
    <row r="75" spans="1:14" x14ac:dyDescent="0.25">
      <c r="A75" s="4">
        <v>102239737200</v>
      </c>
      <c r="B75" s="4" t="str">
        <f t="shared" si="1"/>
        <v>102239737200OVR</v>
      </c>
      <c r="C75" t="s">
        <v>472</v>
      </c>
      <c r="E75">
        <v>20411454</v>
      </c>
      <c r="F75" t="s">
        <v>737</v>
      </c>
      <c r="G75" t="s">
        <v>49</v>
      </c>
      <c r="H75" t="s">
        <v>268</v>
      </c>
      <c r="I75" s="1">
        <v>46023</v>
      </c>
      <c r="J75" s="2">
        <v>25</v>
      </c>
      <c r="K75">
        <v>1</v>
      </c>
      <c r="L75" s="2">
        <v>25</v>
      </c>
      <c r="N75" t="s">
        <v>725</v>
      </c>
    </row>
    <row r="76" spans="1:14" x14ac:dyDescent="0.25">
      <c r="A76" s="4">
        <v>102239750700</v>
      </c>
      <c r="B76" s="4" t="str">
        <f t="shared" si="1"/>
        <v>102239750700OVR</v>
      </c>
      <c r="C76" t="s">
        <v>474</v>
      </c>
      <c r="E76">
        <v>20411454</v>
      </c>
      <c r="F76" t="s">
        <v>737</v>
      </c>
      <c r="G76" t="s">
        <v>49</v>
      </c>
      <c r="H76" t="s">
        <v>268</v>
      </c>
      <c r="I76" s="1">
        <v>46023</v>
      </c>
      <c r="J76" s="2">
        <v>25</v>
      </c>
      <c r="K76">
        <v>1</v>
      </c>
      <c r="L76" s="2">
        <v>25</v>
      </c>
      <c r="N76" t="s">
        <v>725</v>
      </c>
    </row>
    <row r="77" spans="1:14" x14ac:dyDescent="0.25">
      <c r="A77" s="4">
        <v>102239785600</v>
      </c>
      <c r="B77" s="4" t="str">
        <f t="shared" si="1"/>
        <v>102239785600OVR</v>
      </c>
      <c r="C77" t="s">
        <v>476</v>
      </c>
      <c r="E77">
        <v>20411454</v>
      </c>
      <c r="F77" t="s">
        <v>737</v>
      </c>
      <c r="G77" t="s">
        <v>49</v>
      </c>
      <c r="H77" t="s">
        <v>268</v>
      </c>
      <c r="I77" s="1">
        <v>46023</v>
      </c>
      <c r="J77" s="2">
        <v>25</v>
      </c>
      <c r="K77">
        <v>1</v>
      </c>
      <c r="L77" s="2">
        <v>25</v>
      </c>
      <c r="N77" t="s">
        <v>725</v>
      </c>
    </row>
    <row r="78" spans="1:14" x14ac:dyDescent="0.25">
      <c r="A78" s="4">
        <v>102239812100</v>
      </c>
      <c r="B78" s="4" t="str">
        <f t="shared" si="1"/>
        <v>102239812100OVR</v>
      </c>
      <c r="C78" t="s">
        <v>478</v>
      </c>
      <c r="E78">
        <v>20411454</v>
      </c>
      <c r="F78" t="s">
        <v>737</v>
      </c>
      <c r="G78" t="s">
        <v>49</v>
      </c>
      <c r="H78" t="s">
        <v>268</v>
      </c>
      <c r="I78" s="1">
        <v>46023</v>
      </c>
      <c r="J78" s="2">
        <v>25</v>
      </c>
      <c r="K78">
        <v>1</v>
      </c>
      <c r="L78" s="2">
        <v>25</v>
      </c>
      <c r="N78" t="s">
        <v>725</v>
      </c>
    </row>
    <row r="79" spans="1:14" x14ac:dyDescent="0.25">
      <c r="A79" s="4">
        <v>102240164700</v>
      </c>
      <c r="B79" s="4" t="str">
        <f t="shared" si="1"/>
        <v>102240164700OVR</v>
      </c>
      <c r="C79" t="s">
        <v>480</v>
      </c>
      <c r="E79">
        <v>20411454</v>
      </c>
      <c r="F79" t="s">
        <v>737</v>
      </c>
      <c r="G79" t="s">
        <v>49</v>
      </c>
      <c r="H79" t="s">
        <v>268</v>
      </c>
      <c r="I79" s="1">
        <v>46023</v>
      </c>
      <c r="J79" s="2">
        <v>25</v>
      </c>
      <c r="K79">
        <v>1</v>
      </c>
      <c r="L79" s="2">
        <v>25</v>
      </c>
      <c r="N79" t="s">
        <v>725</v>
      </c>
    </row>
    <row r="80" spans="1:14" x14ac:dyDescent="0.25">
      <c r="A80" s="4">
        <v>102240177400</v>
      </c>
      <c r="B80" s="4" t="str">
        <f t="shared" si="1"/>
        <v>102240177400OVR</v>
      </c>
      <c r="C80" t="s">
        <v>482</v>
      </c>
      <c r="E80">
        <v>20411454</v>
      </c>
      <c r="F80" t="s">
        <v>737</v>
      </c>
      <c r="G80" t="s">
        <v>49</v>
      </c>
      <c r="H80" t="s">
        <v>268</v>
      </c>
      <c r="I80" s="1">
        <v>46023</v>
      </c>
      <c r="J80" s="2">
        <v>25</v>
      </c>
      <c r="K80">
        <v>1</v>
      </c>
      <c r="L80" s="2">
        <v>25</v>
      </c>
      <c r="N80" t="s">
        <v>725</v>
      </c>
    </row>
    <row r="81" spans="1:14" x14ac:dyDescent="0.25">
      <c r="A81" s="4">
        <v>102240585200</v>
      </c>
      <c r="B81" s="4" t="str">
        <f t="shared" si="1"/>
        <v>102240585200OVR</v>
      </c>
      <c r="C81" t="s">
        <v>484</v>
      </c>
      <c r="E81">
        <v>20411454</v>
      </c>
      <c r="F81" t="s">
        <v>737</v>
      </c>
      <c r="G81" t="s">
        <v>49</v>
      </c>
      <c r="H81" t="s">
        <v>268</v>
      </c>
      <c r="I81" s="1">
        <v>46023</v>
      </c>
      <c r="J81" s="2">
        <v>25</v>
      </c>
      <c r="K81">
        <v>1</v>
      </c>
      <c r="L81" s="2">
        <v>25</v>
      </c>
      <c r="N81" t="s">
        <v>725</v>
      </c>
    </row>
    <row r="82" spans="1:14" x14ac:dyDescent="0.25">
      <c r="A82" s="4">
        <v>102240694800</v>
      </c>
      <c r="B82" s="4" t="str">
        <f t="shared" si="1"/>
        <v>102240694800OVR</v>
      </c>
      <c r="C82" t="s">
        <v>488</v>
      </c>
      <c r="E82">
        <v>20411454</v>
      </c>
      <c r="F82" t="s">
        <v>737</v>
      </c>
      <c r="G82" t="s">
        <v>49</v>
      </c>
      <c r="H82" t="s">
        <v>268</v>
      </c>
      <c r="I82" s="1">
        <v>46023</v>
      </c>
      <c r="J82" s="2">
        <v>25</v>
      </c>
      <c r="K82">
        <v>1</v>
      </c>
      <c r="L82" s="2">
        <v>25</v>
      </c>
      <c r="N82" t="s">
        <v>725</v>
      </c>
    </row>
    <row r="83" spans="1:14" x14ac:dyDescent="0.25">
      <c r="A83" s="4">
        <v>102240733100</v>
      </c>
      <c r="B83" s="4" t="str">
        <f t="shared" si="1"/>
        <v>102240733100OVR</v>
      </c>
      <c r="C83" t="s">
        <v>492</v>
      </c>
      <c r="E83">
        <v>20411454</v>
      </c>
      <c r="F83" t="s">
        <v>737</v>
      </c>
      <c r="G83" t="s">
        <v>49</v>
      </c>
      <c r="H83" t="s">
        <v>268</v>
      </c>
      <c r="I83" s="1">
        <v>46023</v>
      </c>
      <c r="J83" s="2">
        <v>25</v>
      </c>
      <c r="K83">
        <v>1</v>
      </c>
      <c r="L83" s="2">
        <v>25</v>
      </c>
      <c r="N83" t="s">
        <v>725</v>
      </c>
    </row>
    <row r="84" spans="1:14" x14ac:dyDescent="0.25">
      <c r="A84" s="4">
        <v>102240754900</v>
      </c>
      <c r="B84" s="4" t="str">
        <f t="shared" si="1"/>
        <v>102240754900OVR</v>
      </c>
      <c r="C84" t="s">
        <v>494</v>
      </c>
      <c r="E84">
        <v>20411454</v>
      </c>
      <c r="F84" t="s">
        <v>737</v>
      </c>
      <c r="G84" t="s">
        <v>49</v>
      </c>
      <c r="H84" t="s">
        <v>268</v>
      </c>
      <c r="I84" s="1">
        <v>46023</v>
      </c>
      <c r="J84" s="2">
        <v>25</v>
      </c>
      <c r="K84">
        <v>1</v>
      </c>
      <c r="L84" s="2">
        <v>25</v>
      </c>
      <c r="N84" t="s">
        <v>725</v>
      </c>
    </row>
    <row r="85" spans="1:14" x14ac:dyDescent="0.25">
      <c r="A85" s="4">
        <v>102240829900</v>
      </c>
      <c r="B85" s="4" t="str">
        <f t="shared" si="1"/>
        <v>102240829900OVR</v>
      </c>
      <c r="C85" t="s">
        <v>496</v>
      </c>
      <c r="E85">
        <v>20411454</v>
      </c>
      <c r="F85" t="s">
        <v>737</v>
      </c>
      <c r="G85" t="s">
        <v>49</v>
      </c>
      <c r="H85" t="s">
        <v>268</v>
      </c>
      <c r="I85" s="1">
        <v>46023</v>
      </c>
      <c r="J85" s="2">
        <v>25</v>
      </c>
      <c r="K85">
        <v>1</v>
      </c>
      <c r="L85" s="2">
        <v>25</v>
      </c>
      <c r="N85" t="s">
        <v>725</v>
      </c>
    </row>
    <row r="86" spans="1:14" x14ac:dyDescent="0.25">
      <c r="A86" s="4">
        <v>102241430500</v>
      </c>
      <c r="B86" s="4" t="str">
        <f t="shared" si="1"/>
        <v>102241430500OVR</v>
      </c>
      <c r="C86" t="s">
        <v>507</v>
      </c>
      <c r="E86">
        <v>20411454</v>
      </c>
      <c r="F86" t="s">
        <v>737</v>
      </c>
      <c r="G86" t="s">
        <v>49</v>
      </c>
      <c r="H86" t="s">
        <v>268</v>
      </c>
      <c r="I86" s="1">
        <v>46023</v>
      </c>
      <c r="J86" s="2">
        <v>25</v>
      </c>
      <c r="K86">
        <v>1</v>
      </c>
      <c r="L86" s="2">
        <v>25</v>
      </c>
      <c r="N86" t="s">
        <v>725</v>
      </c>
    </row>
    <row r="87" spans="1:14" x14ac:dyDescent="0.25">
      <c r="A87" s="4">
        <v>102241447400</v>
      </c>
      <c r="B87" s="4" t="str">
        <f t="shared" si="1"/>
        <v>102241447400OVR</v>
      </c>
      <c r="C87" t="s">
        <v>509</v>
      </c>
      <c r="E87">
        <v>20411454</v>
      </c>
      <c r="F87" t="s">
        <v>737</v>
      </c>
      <c r="G87" t="s">
        <v>49</v>
      </c>
      <c r="H87" t="s">
        <v>268</v>
      </c>
      <c r="I87" s="1">
        <v>46023</v>
      </c>
      <c r="J87" s="2">
        <v>25</v>
      </c>
      <c r="K87">
        <v>1</v>
      </c>
      <c r="L87" s="2">
        <v>25</v>
      </c>
      <c r="N87" t="s">
        <v>725</v>
      </c>
    </row>
    <row r="88" spans="1:14" x14ac:dyDescent="0.25">
      <c r="A88" s="4">
        <v>102241559400</v>
      </c>
      <c r="B88" s="4" t="str">
        <f t="shared" si="1"/>
        <v>102241559400OVR</v>
      </c>
      <c r="C88" t="s">
        <v>513</v>
      </c>
      <c r="E88">
        <v>20411454</v>
      </c>
      <c r="F88" t="s">
        <v>737</v>
      </c>
      <c r="G88" t="s">
        <v>49</v>
      </c>
      <c r="H88" t="s">
        <v>268</v>
      </c>
      <c r="I88" s="1">
        <v>46023</v>
      </c>
      <c r="J88" s="2">
        <v>25</v>
      </c>
      <c r="K88">
        <v>1</v>
      </c>
      <c r="L88" s="2">
        <v>25</v>
      </c>
      <c r="N88" t="s">
        <v>725</v>
      </c>
    </row>
    <row r="89" spans="1:14" x14ac:dyDescent="0.25">
      <c r="A89" s="4">
        <v>102241638000</v>
      </c>
      <c r="B89" s="4" t="str">
        <f t="shared" si="1"/>
        <v>102241638000OVR</v>
      </c>
      <c r="C89" t="s">
        <v>515</v>
      </c>
      <c r="E89">
        <v>20411454</v>
      </c>
      <c r="F89" t="s">
        <v>737</v>
      </c>
      <c r="G89" t="s">
        <v>49</v>
      </c>
      <c r="H89" t="s">
        <v>268</v>
      </c>
      <c r="I89" s="1">
        <v>46023</v>
      </c>
      <c r="J89" s="2">
        <v>25</v>
      </c>
      <c r="K89">
        <v>1</v>
      </c>
      <c r="L89" s="2">
        <v>25</v>
      </c>
      <c r="N89" t="s">
        <v>725</v>
      </c>
    </row>
    <row r="90" spans="1:14" x14ac:dyDescent="0.25">
      <c r="A90" s="4">
        <v>102241742900</v>
      </c>
      <c r="B90" s="4" t="str">
        <f t="shared" si="1"/>
        <v>102241742900OVR</v>
      </c>
      <c r="C90" t="s">
        <v>519</v>
      </c>
      <c r="E90">
        <v>20411454</v>
      </c>
      <c r="F90" t="s">
        <v>737</v>
      </c>
      <c r="G90" t="s">
        <v>49</v>
      </c>
      <c r="H90" t="s">
        <v>268</v>
      </c>
      <c r="I90" s="1">
        <v>46023</v>
      </c>
      <c r="J90" s="2">
        <v>25</v>
      </c>
      <c r="K90">
        <v>1</v>
      </c>
      <c r="L90" s="2">
        <v>25</v>
      </c>
      <c r="N90" t="s">
        <v>725</v>
      </c>
    </row>
    <row r="91" spans="1:14" x14ac:dyDescent="0.25">
      <c r="A91" s="4">
        <v>102241799900</v>
      </c>
      <c r="B91" s="4" t="str">
        <f t="shared" si="1"/>
        <v>102241799900OVR</v>
      </c>
      <c r="C91" t="s">
        <v>521</v>
      </c>
      <c r="E91">
        <v>20411454</v>
      </c>
      <c r="F91" t="s">
        <v>737</v>
      </c>
      <c r="G91" t="s">
        <v>49</v>
      </c>
      <c r="H91" t="s">
        <v>268</v>
      </c>
      <c r="I91" s="1">
        <v>46023</v>
      </c>
      <c r="J91" s="2">
        <v>25</v>
      </c>
      <c r="K91">
        <v>1</v>
      </c>
      <c r="L91" s="2">
        <v>25</v>
      </c>
      <c r="N91" t="s">
        <v>725</v>
      </c>
    </row>
    <row r="92" spans="1:14" x14ac:dyDescent="0.25">
      <c r="A92" s="4">
        <v>102241820800</v>
      </c>
      <c r="B92" s="4" t="str">
        <f t="shared" si="1"/>
        <v>102241820800OVR</v>
      </c>
      <c r="C92" t="s">
        <v>523</v>
      </c>
      <c r="E92">
        <v>20411454</v>
      </c>
      <c r="F92" t="s">
        <v>737</v>
      </c>
      <c r="G92" t="s">
        <v>49</v>
      </c>
      <c r="H92" t="s">
        <v>268</v>
      </c>
      <c r="I92" s="1">
        <v>46023</v>
      </c>
      <c r="J92" s="2">
        <v>25</v>
      </c>
      <c r="K92">
        <v>1</v>
      </c>
      <c r="L92" s="2">
        <v>25</v>
      </c>
      <c r="N92" t="s">
        <v>725</v>
      </c>
    </row>
    <row r="93" spans="1:14" x14ac:dyDescent="0.25">
      <c r="A93" s="4">
        <v>102241826800</v>
      </c>
      <c r="B93" s="4" t="str">
        <f t="shared" si="1"/>
        <v>102241826800OVR</v>
      </c>
      <c r="C93" t="s">
        <v>525</v>
      </c>
      <c r="E93">
        <v>20411454</v>
      </c>
      <c r="F93" t="s">
        <v>737</v>
      </c>
      <c r="G93" t="s">
        <v>49</v>
      </c>
      <c r="H93" t="s">
        <v>268</v>
      </c>
      <c r="I93" s="1">
        <v>46023</v>
      </c>
      <c r="J93" s="2">
        <v>25</v>
      </c>
      <c r="K93">
        <v>1</v>
      </c>
      <c r="L93" s="2">
        <v>25</v>
      </c>
      <c r="N93" t="s">
        <v>725</v>
      </c>
    </row>
    <row r="94" spans="1:14" x14ac:dyDescent="0.25">
      <c r="A94" s="4">
        <v>102241852900</v>
      </c>
      <c r="B94" s="4" t="str">
        <f t="shared" si="1"/>
        <v>102241852900OVR</v>
      </c>
      <c r="C94" t="s">
        <v>527</v>
      </c>
      <c r="E94">
        <v>20411454</v>
      </c>
      <c r="F94" t="s">
        <v>737</v>
      </c>
      <c r="G94" t="s">
        <v>49</v>
      </c>
      <c r="H94" t="s">
        <v>268</v>
      </c>
      <c r="I94" s="1">
        <v>46023</v>
      </c>
      <c r="J94" s="2">
        <v>25</v>
      </c>
      <c r="K94">
        <v>1</v>
      </c>
      <c r="L94" s="2">
        <v>25</v>
      </c>
      <c r="N94" t="s">
        <v>725</v>
      </c>
    </row>
    <row r="95" spans="1:14" x14ac:dyDescent="0.25">
      <c r="A95" s="4">
        <v>102241906300</v>
      </c>
      <c r="B95" s="4" t="str">
        <f t="shared" si="1"/>
        <v>102241906300OVR</v>
      </c>
      <c r="C95" t="s">
        <v>529</v>
      </c>
      <c r="E95">
        <v>20411454</v>
      </c>
      <c r="F95" t="s">
        <v>737</v>
      </c>
      <c r="G95" t="s">
        <v>49</v>
      </c>
      <c r="H95" t="s">
        <v>268</v>
      </c>
      <c r="I95" s="1">
        <v>46023</v>
      </c>
      <c r="J95" s="2">
        <v>25</v>
      </c>
      <c r="K95">
        <v>1</v>
      </c>
      <c r="L95" s="2">
        <v>25</v>
      </c>
      <c r="N95" t="s">
        <v>725</v>
      </c>
    </row>
    <row r="96" spans="1:14" x14ac:dyDescent="0.25">
      <c r="A96" s="4">
        <v>102241910200</v>
      </c>
      <c r="B96" s="4" t="str">
        <f t="shared" si="1"/>
        <v>102241910200OVR</v>
      </c>
      <c r="C96" t="s">
        <v>531</v>
      </c>
      <c r="E96">
        <v>20411454</v>
      </c>
      <c r="F96" t="s">
        <v>737</v>
      </c>
      <c r="G96" t="s">
        <v>49</v>
      </c>
      <c r="H96" t="s">
        <v>268</v>
      </c>
      <c r="I96" s="1">
        <v>46023</v>
      </c>
      <c r="J96" s="2">
        <v>25</v>
      </c>
      <c r="K96">
        <v>1</v>
      </c>
      <c r="L96" s="2">
        <v>25</v>
      </c>
      <c r="N96" t="s">
        <v>725</v>
      </c>
    </row>
    <row r="97" spans="1:14" x14ac:dyDescent="0.25">
      <c r="A97" s="4">
        <v>102241940900</v>
      </c>
      <c r="B97" s="4" t="str">
        <f t="shared" si="1"/>
        <v>102241940900OVR</v>
      </c>
      <c r="C97" t="s">
        <v>533</v>
      </c>
      <c r="E97">
        <v>20411454</v>
      </c>
      <c r="F97" t="s">
        <v>737</v>
      </c>
      <c r="G97" t="s">
        <v>49</v>
      </c>
      <c r="H97" t="s">
        <v>268</v>
      </c>
      <c r="I97" s="1">
        <v>46023</v>
      </c>
      <c r="J97" s="2">
        <v>25</v>
      </c>
      <c r="K97">
        <v>1</v>
      </c>
      <c r="L97" s="2">
        <v>25</v>
      </c>
      <c r="N97" t="s">
        <v>725</v>
      </c>
    </row>
    <row r="98" spans="1:14" x14ac:dyDescent="0.25">
      <c r="A98" s="4">
        <v>102242109400</v>
      </c>
      <c r="B98" s="4" t="str">
        <f t="shared" si="1"/>
        <v>102242109400OVR</v>
      </c>
      <c r="C98" t="s">
        <v>537</v>
      </c>
      <c r="E98">
        <v>20411454</v>
      </c>
      <c r="F98" t="s">
        <v>737</v>
      </c>
      <c r="G98" t="s">
        <v>49</v>
      </c>
      <c r="H98" t="s">
        <v>268</v>
      </c>
      <c r="I98" s="1">
        <v>46023</v>
      </c>
      <c r="J98" s="2">
        <v>25</v>
      </c>
      <c r="K98">
        <v>1</v>
      </c>
      <c r="L98" s="2">
        <v>25</v>
      </c>
      <c r="N98" t="s">
        <v>725</v>
      </c>
    </row>
    <row r="99" spans="1:14" x14ac:dyDescent="0.25">
      <c r="A99" s="4">
        <v>102242109600</v>
      </c>
      <c r="B99" s="4" t="str">
        <f t="shared" si="1"/>
        <v>102242109600OVR</v>
      </c>
      <c r="C99" t="s">
        <v>539</v>
      </c>
      <c r="E99">
        <v>20411454</v>
      </c>
      <c r="F99" t="s">
        <v>737</v>
      </c>
      <c r="G99" t="s">
        <v>49</v>
      </c>
      <c r="H99" t="s">
        <v>268</v>
      </c>
      <c r="I99" s="1">
        <v>46023</v>
      </c>
      <c r="J99" s="2">
        <v>25</v>
      </c>
      <c r="K99">
        <v>1</v>
      </c>
      <c r="L99" s="2">
        <v>25</v>
      </c>
      <c r="N99" t="s">
        <v>725</v>
      </c>
    </row>
    <row r="100" spans="1:14" x14ac:dyDescent="0.25">
      <c r="A100" s="4">
        <v>102242126100</v>
      </c>
      <c r="B100" s="4" t="str">
        <f t="shared" si="1"/>
        <v>102242126100OVR</v>
      </c>
      <c r="C100" t="s">
        <v>541</v>
      </c>
      <c r="E100">
        <v>20411454</v>
      </c>
      <c r="F100" t="s">
        <v>737</v>
      </c>
      <c r="G100" t="s">
        <v>49</v>
      </c>
      <c r="H100" t="s">
        <v>268</v>
      </c>
      <c r="I100" s="1">
        <v>46023</v>
      </c>
      <c r="J100" s="2">
        <v>25</v>
      </c>
      <c r="K100">
        <v>1</v>
      </c>
      <c r="L100" s="2">
        <v>25</v>
      </c>
      <c r="N100" t="s">
        <v>725</v>
      </c>
    </row>
    <row r="101" spans="1:14" x14ac:dyDescent="0.25">
      <c r="A101" s="4">
        <v>102242142700</v>
      </c>
      <c r="B101" s="4" t="str">
        <f t="shared" si="1"/>
        <v>102242142700OVR</v>
      </c>
      <c r="C101" t="s">
        <v>543</v>
      </c>
      <c r="E101">
        <v>20411454</v>
      </c>
      <c r="F101" t="s">
        <v>737</v>
      </c>
      <c r="G101" t="s">
        <v>49</v>
      </c>
      <c r="H101" t="s">
        <v>268</v>
      </c>
      <c r="I101" s="1">
        <v>46023</v>
      </c>
      <c r="J101" s="2">
        <v>25</v>
      </c>
      <c r="K101">
        <v>1</v>
      </c>
      <c r="L101" s="2">
        <v>25</v>
      </c>
      <c r="N101" t="s">
        <v>725</v>
      </c>
    </row>
    <row r="102" spans="1:14" x14ac:dyDescent="0.25">
      <c r="A102" s="4">
        <v>102242237500</v>
      </c>
      <c r="B102" s="4" t="str">
        <f t="shared" si="1"/>
        <v>102242237500OVR</v>
      </c>
      <c r="C102" t="s">
        <v>545</v>
      </c>
      <c r="E102">
        <v>20411454</v>
      </c>
      <c r="F102" t="s">
        <v>737</v>
      </c>
      <c r="G102" t="s">
        <v>49</v>
      </c>
      <c r="H102" t="s">
        <v>268</v>
      </c>
      <c r="I102" s="1">
        <v>46023</v>
      </c>
      <c r="J102" s="2">
        <v>25</v>
      </c>
      <c r="K102">
        <v>1</v>
      </c>
      <c r="L102" s="2">
        <v>25</v>
      </c>
      <c r="N102" t="s">
        <v>725</v>
      </c>
    </row>
    <row r="103" spans="1:14" x14ac:dyDescent="0.25">
      <c r="A103" s="4">
        <v>102242366600</v>
      </c>
      <c r="B103" s="4" t="str">
        <f t="shared" si="1"/>
        <v>102242366600OVR</v>
      </c>
      <c r="C103" t="s">
        <v>549</v>
      </c>
      <c r="E103">
        <v>20411454</v>
      </c>
      <c r="F103" t="s">
        <v>737</v>
      </c>
      <c r="G103" t="s">
        <v>49</v>
      </c>
      <c r="H103" t="s">
        <v>268</v>
      </c>
      <c r="I103" s="1">
        <v>46023</v>
      </c>
      <c r="J103" s="2">
        <v>25</v>
      </c>
      <c r="K103">
        <v>1</v>
      </c>
      <c r="L103" s="2">
        <v>25</v>
      </c>
      <c r="N103" t="s">
        <v>725</v>
      </c>
    </row>
    <row r="104" spans="1:14" x14ac:dyDescent="0.25">
      <c r="A104" s="4">
        <v>102242387200</v>
      </c>
      <c r="B104" s="4" t="str">
        <f t="shared" si="1"/>
        <v>102242387200OVR</v>
      </c>
      <c r="C104" t="s">
        <v>551</v>
      </c>
      <c r="E104">
        <v>20411454</v>
      </c>
      <c r="F104" t="s">
        <v>737</v>
      </c>
      <c r="G104" t="s">
        <v>49</v>
      </c>
      <c r="H104" t="s">
        <v>268</v>
      </c>
      <c r="I104" s="1">
        <v>46023</v>
      </c>
      <c r="J104" s="2">
        <v>25</v>
      </c>
      <c r="K104">
        <v>1</v>
      </c>
      <c r="L104" s="2">
        <v>25</v>
      </c>
      <c r="N104" t="s">
        <v>725</v>
      </c>
    </row>
    <row r="105" spans="1:14" x14ac:dyDescent="0.25">
      <c r="A105" s="4" t="s">
        <v>721</v>
      </c>
      <c r="B105" s="4" t="str">
        <f t="shared" si="1"/>
        <v>MEQNDVYM00000144308OVR</v>
      </c>
      <c r="C105" t="s">
        <v>590</v>
      </c>
      <c r="E105">
        <v>20411454</v>
      </c>
      <c r="F105" t="s">
        <v>737</v>
      </c>
      <c r="G105" t="s">
        <v>49</v>
      </c>
      <c r="H105" t="s">
        <v>268</v>
      </c>
      <c r="I105" s="1">
        <v>46023</v>
      </c>
      <c r="J105" s="2">
        <v>25</v>
      </c>
      <c r="K105">
        <v>1</v>
      </c>
      <c r="L105" s="2">
        <v>25</v>
      </c>
      <c r="N105" t="s">
        <v>725</v>
      </c>
    </row>
    <row r="106" spans="1:14" x14ac:dyDescent="0.25">
      <c r="A106" s="4" t="s">
        <v>722</v>
      </c>
      <c r="B106" s="4" t="str">
        <f t="shared" si="1"/>
        <v>MEQNDVYM00000144316OVR</v>
      </c>
      <c r="C106" t="s">
        <v>594</v>
      </c>
      <c r="E106">
        <v>20411454</v>
      </c>
      <c r="F106" t="s">
        <v>737</v>
      </c>
      <c r="G106" t="s">
        <v>49</v>
      </c>
      <c r="H106" t="s">
        <v>268</v>
      </c>
      <c r="I106" s="1">
        <v>46023</v>
      </c>
      <c r="J106" s="2">
        <v>25</v>
      </c>
      <c r="K106">
        <v>1</v>
      </c>
      <c r="L106" s="2">
        <v>25</v>
      </c>
      <c r="N106" t="s">
        <v>725</v>
      </c>
    </row>
    <row r="107" spans="1:14" x14ac:dyDescent="0.25">
      <c r="A107" s="4" t="s">
        <v>723</v>
      </c>
      <c r="B107" s="4" t="str">
        <f t="shared" si="1"/>
        <v>MEQNDVYM00000147342OVR</v>
      </c>
      <c r="C107" t="s">
        <v>596</v>
      </c>
      <c r="E107">
        <v>20411454</v>
      </c>
      <c r="F107" t="s">
        <v>737</v>
      </c>
      <c r="G107" t="s">
        <v>49</v>
      </c>
      <c r="H107" t="s">
        <v>268</v>
      </c>
      <c r="I107" s="1">
        <v>46023</v>
      </c>
      <c r="J107" s="2">
        <v>25</v>
      </c>
      <c r="K107">
        <v>1</v>
      </c>
      <c r="L107" s="2">
        <v>25</v>
      </c>
      <c r="N107" t="s">
        <v>725</v>
      </c>
    </row>
    <row r="108" spans="1:14" x14ac:dyDescent="0.25">
      <c r="A108" s="4" t="s">
        <v>724</v>
      </c>
      <c r="B108" s="4" t="str">
        <f t="shared" si="1"/>
        <v>MEQNDVZM00000153055OVR</v>
      </c>
      <c r="C108" t="s">
        <v>598</v>
      </c>
      <c r="E108">
        <v>20411454</v>
      </c>
      <c r="F108" t="s">
        <v>737</v>
      </c>
      <c r="G108" t="s">
        <v>49</v>
      </c>
      <c r="H108" t="s">
        <v>268</v>
      </c>
      <c r="I108" s="1">
        <v>46023</v>
      </c>
      <c r="J108" s="2">
        <v>25</v>
      </c>
      <c r="K108">
        <v>1</v>
      </c>
      <c r="L108" s="2">
        <v>25</v>
      </c>
      <c r="N108" t="s">
        <v>725</v>
      </c>
    </row>
    <row r="109" spans="1:14" x14ac:dyDescent="0.25">
      <c r="A109" s="4">
        <v>102231991000</v>
      </c>
      <c r="B109" s="4" t="str">
        <f t="shared" si="1"/>
        <v>102231991000OVR</v>
      </c>
      <c r="C109" t="s">
        <v>362</v>
      </c>
      <c r="E109">
        <v>20411454</v>
      </c>
      <c r="F109" t="s">
        <v>737</v>
      </c>
      <c r="G109" t="s">
        <v>49</v>
      </c>
      <c r="H109" t="s">
        <v>365</v>
      </c>
      <c r="I109" s="1">
        <v>46023</v>
      </c>
      <c r="J109" s="2">
        <v>15</v>
      </c>
      <c r="K109">
        <v>1</v>
      </c>
      <c r="L109" s="2">
        <v>15</v>
      </c>
      <c r="N109" t="s">
        <v>725</v>
      </c>
    </row>
    <row r="110" spans="1:14" x14ac:dyDescent="0.25">
      <c r="A110" s="4">
        <v>102232071000</v>
      </c>
      <c r="B110" s="4" t="str">
        <f t="shared" si="1"/>
        <v>102232071000OVR</v>
      </c>
      <c r="C110" t="s">
        <v>367</v>
      </c>
      <c r="E110">
        <v>20411454</v>
      </c>
      <c r="F110" t="s">
        <v>737</v>
      </c>
      <c r="G110" t="s">
        <v>49</v>
      </c>
      <c r="H110" t="s">
        <v>365</v>
      </c>
      <c r="I110" s="1">
        <v>46023</v>
      </c>
      <c r="J110" s="2">
        <v>15</v>
      </c>
      <c r="K110">
        <v>1</v>
      </c>
      <c r="L110" s="2">
        <v>15</v>
      </c>
      <c r="N110" t="s">
        <v>725</v>
      </c>
    </row>
    <row r="111" spans="1:14" x14ac:dyDescent="0.25">
      <c r="A111" s="4">
        <v>102242752700</v>
      </c>
      <c r="B111" s="4" t="str">
        <f t="shared" si="1"/>
        <v>102242752700OVR</v>
      </c>
      <c r="C111" t="s">
        <v>553</v>
      </c>
      <c r="E111">
        <v>20411454</v>
      </c>
      <c r="F111" t="s">
        <v>737</v>
      </c>
      <c r="G111" t="s">
        <v>49</v>
      </c>
      <c r="H111" t="s">
        <v>365</v>
      </c>
      <c r="I111" s="1">
        <v>46023</v>
      </c>
      <c r="J111" s="2">
        <v>15</v>
      </c>
      <c r="K111">
        <v>1</v>
      </c>
      <c r="L111" s="2">
        <v>15</v>
      </c>
      <c r="N111" t="s">
        <v>725</v>
      </c>
    </row>
    <row r="112" spans="1:14" x14ac:dyDescent="0.25">
      <c r="A112" s="4">
        <v>102214734600</v>
      </c>
      <c r="B112" s="4" t="str">
        <f t="shared" si="1"/>
        <v>102214734600OVR</v>
      </c>
      <c r="C112" t="s">
        <v>340</v>
      </c>
      <c r="D112" t="s">
        <v>65</v>
      </c>
      <c r="E112">
        <v>20411454</v>
      </c>
      <c r="F112" t="s">
        <v>737</v>
      </c>
      <c r="G112" t="s">
        <v>602</v>
      </c>
      <c r="H112" t="s">
        <v>365</v>
      </c>
      <c r="I112" s="1">
        <v>46023</v>
      </c>
      <c r="L112">
        <v>-15</v>
      </c>
      <c r="N112" t="s">
        <v>725</v>
      </c>
    </row>
    <row r="113" spans="1:14" x14ac:dyDescent="0.25">
      <c r="A113" s="4">
        <v>102232220500</v>
      </c>
      <c r="B113" s="4" t="str">
        <f t="shared" si="1"/>
        <v>102232220500OVR</v>
      </c>
      <c r="C113" t="s">
        <v>369</v>
      </c>
      <c r="E113">
        <v>20411454</v>
      </c>
      <c r="F113" t="s">
        <v>737</v>
      </c>
      <c r="G113" t="s">
        <v>49</v>
      </c>
      <c r="H113" t="s">
        <v>370</v>
      </c>
      <c r="I113" s="1">
        <v>45992</v>
      </c>
      <c r="J113" s="2">
        <v>2.08</v>
      </c>
      <c r="K113">
        <v>1</v>
      </c>
      <c r="L113" s="2">
        <v>2.08</v>
      </c>
      <c r="M113" t="s">
        <v>371</v>
      </c>
      <c r="N113" t="s">
        <v>725</v>
      </c>
    </row>
    <row r="114" spans="1:14" x14ac:dyDescent="0.25">
      <c r="A114" s="4">
        <v>102232576500</v>
      </c>
      <c r="B114" s="4" t="str">
        <f t="shared" si="1"/>
        <v>102232576500OVR</v>
      </c>
      <c r="C114" t="s">
        <v>377</v>
      </c>
      <c r="E114">
        <v>20411454</v>
      </c>
      <c r="F114" t="s">
        <v>737</v>
      </c>
      <c r="G114" t="s">
        <v>49</v>
      </c>
      <c r="H114" t="s">
        <v>370</v>
      </c>
      <c r="I114" s="1">
        <v>46054</v>
      </c>
      <c r="J114" s="2">
        <v>22.92</v>
      </c>
      <c r="K114">
        <v>1</v>
      </c>
      <c r="L114" s="2">
        <v>22.92</v>
      </c>
      <c r="M114" t="s">
        <v>380</v>
      </c>
      <c r="N114" t="s">
        <v>725</v>
      </c>
    </row>
    <row r="115" spans="1:14" x14ac:dyDescent="0.25">
      <c r="A115" s="4">
        <v>102232752000</v>
      </c>
      <c r="B115" s="4" t="str">
        <f t="shared" si="1"/>
        <v>102232752000OVR</v>
      </c>
      <c r="C115" t="s">
        <v>382</v>
      </c>
      <c r="E115">
        <v>20411454</v>
      </c>
      <c r="F115" t="s">
        <v>737</v>
      </c>
      <c r="G115" t="s">
        <v>49</v>
      </c>
      <c r="H115" t="s">
        <v>370</v>
      </c>
      <c r="I115" s="1">
        <v>45992</v>
      </c>
      <c r="J115" s="2">
        <v>2.08</v>
      </c>
      <c r="K115">
        <v>1</v>
      </c>
      <c r="L115" s="2">
        <v>2.08</v>
      </c>
      <c r="M115" t="s">
        <v>371</v>
      </c>
      <c r="N115" t="s">
        <v>725</v>
      </c>
    </row>
    <row r="116" spans="1:14" x14ac:dyDescent="0.25">
      <c r="A116" s="4">
        <v>102232767500</v>
      </c>
      <c r="B116" s="4" t="str">
        <f t="shared" si="1"/>
        <v>102232767500OVR</v>
      </c>
      <c r="C116" t="s">
        <v>386</v>
      </c>
      <c r="E116">
        <v>20411454</v>
      </c>
      <c r="F116" t="s">
        <v>737</v>
      </c>
      <c r="G116" t="s">
        <v>49</v>
      </c>
      <c r="H116" t="s">
        <v>370</v>
      </c>
      <c r="I116" s="1">
        <v>45992</v>
      </c>
      <c r="J116" s="2">
        <v>2.08</v>
      </c>
      <c r="K116">
        <v>1</v>
      </c>
      <c r="L116" s="2">
        <v>2.08</v>
      </c>
      <c r="M116" t="s">
        <v>371</v>
      </c>
      <c r="N116" t="s">
        <v>725</v>
      </c>
    </row>
    <row r="117" spans="1:14" x14ac:dyDescent="0.25">
      <c r="A117" s="4">
        <v>102232794000</v>
      </c>
      <c r="B117" s="4" t="str">
        <f t="shared" si="1"/>
        <v>102232794000OVR</v>
      </c>
      <c r="C117" t="s">
        <v>388</v>
      </c>
      <c r="E117">
        <v>20411454</v>
      </c>
      <c r="F117" t="s">
        <v>737</v>
      </c>
      <c r="G117" t="s">
        <v>49</v>
      </c>
      <c r="H117" t="s">
        <v>370</v>
      </c>
      <c r="I117" s="1">
        <v>45992</v>
      </c>
      <c r="J117" s="2">
        <v>2.08</v>
      </c>
      <c r="K117">
        <v>1</v>
      </c>
      <c r="L117" s="2">
        <v>2.08</v>
      </c>
      <c r="M117" t="s">
        <v>371</v>
      </c>
      <c r="N117" t="s">
        <v>725</v>
      </c>
    </row>
    <row r="118" spans="1:14" x14ac:dyDescent="0.25">
      <c r="A118" s="4">
        <v>102234300900</v>
      </c>
      <c r="B118" s="4" t="str">
        <f t="shared" si="1"/>
        <v>102234300900OVR</v>
      </c>
      <c r="C118" t="s">
        <v>420</v>
      </c>
      <c r="E118">
        <v>20411454</v>
      </c>
      <c r="F118" t="s">
        <v>737</v>
      </c>
      <c r="G118" t="s">
        <v>49</v>
      </c>
      <c r="H118" t="s">
        <v>370</v>
      </c>
      <c r="I118" s="1">
        <v>45992</v>
      </c>
      <c r="J118" s="2">
        <v>2.08</v>
      </c>
      <c r="K118">
        <v>1</v>
      </c>
      <c r="L118" s="2">
        <v>2.08</v>
      </c>
      <c r="M118" t="s">
        <v>371</v>
      </c>
      <c r="N118" t="s">
        <v>725</v>
      </c>
    </row>
    <row r="119" spans="1:14" x14ac:dyDescent="0.25">
      <c r="A119" s="4">
        <v>102235813800</v>
      </c>
      <c r="B119" s="4" t="str">
        <f t="shared" si="1"/>
        <v>102235813800OVR</v>
      </c>
      <c r="C119" t="s">
        <v>440</v>
      </c>
      <c r="E119">
        <v>20411454</v>
      </c>
      <c r="F119" t="s">
        <v>737</v>
      </c>
      <c r="G119" t="s">
        <v>49</v>
      </c>
      <c r="H119" t="s">
        <v>370</v>
      </c>
      <c r="I119" s="1">
        <v>46054</v>
      </c>
      <c r="J119" s="2">
        <v>22.92</v>
      </c>
      <c r="K119">
        <v>1</v>
      </c>
      <c r="L119" s="2">
        <v>22.92</v>
      </c>
      <c r="M119" t="s">
        <v>380</v>
      </c>
      <c r="N119" t="s">
        <v>725</v>
      </c>
    </row>
    <row r="120" spans="1:14" x14ac:dyDescent="0.25">
      <c r="A120" s="4">
        <v>102239189500</v>
      </c>
      <c r="B120" s="4" t="str">
        <f t="shared" si="1"/>
        <v>102239189500OVR</v>
      </c>
      <c r="C120" t="s">
        <v>452</v>
      </c>
      <c r="E120">
        <v>20411454</v>
      </c>
      <c r="F120" t="s">
        <v>737</v>
      </c>
      <c r="G120" t="s">
        <v>49</v>
      </c>
      <c r="H120" t="s">
        <v>370</v>
      </c>
      <c r="I120" s="1">
        <v>45992</v>
      </c>
      <c r="J120" s="2">
        <v>2.08</v>
      </c>
      <c r="K120">
        <v>1</v>
      </c>
      <c r="L120" s="2">
        <v>2.08</v>
      </c>
      <c r="M120" t="s">
        <v>371</v>
      </c>
      <c r="N120" t="s">
        <v>725</v>
      </c>
    </row>
    <row r="121" spans="1:14" x14ac:dyDescent="0.25">
      <c r="A121" s="4">
        <v>102239591500</v>
      </c>
      <c r="B121" s="4" t="str">
        <f t="shared" si="1"/>
        <v>102239591500OVR</v>
      </c>
      <c r="C121" t="s">
        <v>456</v>
      </c>
      <c r="E121">
        <v>20411454</v>
      </c>
      <c r="F121" t="s">
        <v>737</v>
      </c>
      <c r="G121" t="s">
        <v>49</v>
      </c>
      <c r="H121" t="s">
        <v>370</v>
      </c>
      <c r="I121" s="1">
        <v>45992</v>
      </c>
      <c r="J121" s="2">
        <v>2.08</v>
      </c>
      <c r="K121">
        <v>1</v>
      </c>
      <c r="L121" s="2">
        <v>2.08</v>
      </c>
      <c r="M121" t="s">
        <v>371</v>
      </c>
      <c r="N121" t="s">
        <v>725</v>
      </c>
    </row>
    <row r="122" spans="1:14" x14ac:dyDescent="0.25">
      <c r="A122" s="4">
        <v>102240682000</v>
      </c>
      <c r="B122" s="4" t="str">
        <f t="shared" si="1"/>
        <v>102240682000OVR</v>
      </c>
      <c r="C122" t="s">
        <v>486</v>
      </c>
      <c r="E122">
        <v>20411454</v>
      </c>
      <c r="F122" t="s">
        <v>737</v>
      </c>
      <c r="G122" t="s">
        <v>49</v>
      </c>
      <c r="H122" t="s">
        <v>370</v>
      </c>
      <c r="I122" s="1">
        <v>45992</v>
      </c>
      <c r="J122" s="2">
        <v>2.08</v>
      </c>
      <c r="K122">
        <v>1</v>
      </c>
      <c r="L122" s="2">
        <v>2.08</v>
      </c>
      <c r="M122" t="s">
        <v>371</v>
      </c>
      <c r="N122" t="s">
        <v>725</v>
      </c>
    </row>
    <row r="123" spans="1:14" x14ac:dyDescent="0.25">
      <c r="A123" s="4">
        <v>102241294500</v>
      </c>
      <c r="B123" s="4" t="str">
        <f t="shared" si="1"/>
        <v>102241294500OVR</v>
      </c>
      <c r="C123" t="s">
        <v>498</v>
      </c>
      <c r="E123">
        <v>20411454</v>
      </c>
      <c r="F123" t="s">
        <v>737</v>
      </c>
      <c r="G123" t="s">
        <v>49</v>
      </c>
      <c r="H123" t="s">
        <v>370</v>
      </c>
      <c r="I123" s="1">
        <v>45992</v>
      </c>
      <c r="J123" s="2">
        <v>2.08</v>
      </c>
      <c r="K123">
        <v>1</v>
      </c>
      <c r="L123" s="2">
        <v>2.08</v>
      </c>
      <c r="M123" t="s">
        <v>371</v>
      </c>
      <c r="N123" t="s">
        <v>725</v>
      </c>
    </row>
    <row r="124" spans="1:14" x14ac:dyDescent="0.25">
      <c r="A124" s="4">
        <v>102241448400</v>
      </c>
      <c r="B124" s="4" t="str">
        <f t="shared" si="1"/>
        <v>102241448400OVR</v>
      </c>
      <c r="C124" t="s">
        <v>511</v>
      </c>
      <c r="E124">
        <v>20411454</v>
      </c>
      <c r="F124" t="s">
        <v>737</v>
      </c>
      <c r="G124" t="s">
        <v>49</v>
      </c>
      <c r="H124" t="s">
        <v>370</v>
      </c>
      <c r="I124" s="1">
        <v>46054</v>
      </c>
      <c r="J124" s="2">
        <v>22.92</v>
      </c>
      <c r="K124">
        <v>1</v>
      </c>
      <c r="L124" s="2">
        <v>22.92</v>
      </c>
      <c r="M124" t="s">
        <v>380</v>
      </c>
      <c r="N124" t="s">
        <v>725</v>
      </c>
    </row>
    <row r="125" spans="1:14" x14ac:dyDescent="0.25">
      <c r="A125" s="4">
        <v>102241978000</v>
      </c>
      <c r="B125" s="4" t="str">
        <f t="shared" si="1"/>
        <v>102241978000OVR</v>
      </c>
      <c r="C125" t="s">
        <v>535</v>
      </c>
      <c r="E125">
        <v>20411454</v>
      </c>
      <c r="F125" t="s">
        <v>737</v>
      </c>
      <c r="G125" t="s">
        <v>49</v>
      </c>
      <c r="H125" t="s">
        <v>370</v>
      </c>
      <c r="I125" s="1">
        <v>46054</v>
      </c>
      <c r="J125" s="2">
        <v>22.92</v>
      </c>
      <c r="K125">
        <v>1</v>
      </c>
      <c r="L125" s="2">
        <v>22.92</v>
      </c>
      <c r="M125" t="s">
        <v>380</v>
      </c>
      <c r="N125" t="s">
        <v>725</v>
      </c>
    </row>
    <row r="126" spans="1:14" x14ac:dyDescent="0.25">
      <c r="A126" s="4">
        <v>102242332100</v>
      </c>
      <c r="B126" s="4" t="str">
        <f t="shared" si="1"/>
        <v>102242332100OVR</v>
      </c>
      <c r="C126" t="s">
        <v>547</v>
      </c>
      <c r="E126">
        <v>20411454</v>
      </c>
      <c r="F126" t="s">
        <v>737</v>
      </c>
      <c r="G126" t="s">
        <v>49</v>
      </c>
      <c r="H126" t="s">
        <v>370</v>
      </c>
      <c r="I126" s="1">
        <v>46054</v>
      </c>
      <c r="J126" s="2">
        <v>22.92</v>
      </c>
      <c r="K126">
        <v>1</v>
      </c>
      <c r="L126" s="2">
        <v>22.92</v>
      </c>
      <c r="M126" t="s">
        <v>380</v>
      </c>
      <c r="N126" t="s">
        <v>725</v>
      </c>
    </row>
    <row r="127" spans="1:14" x14ac:dyDescent="0.25">
      <c r="A127" s="4">
        <v>102241376400</v>
      </c>
      <c r="B127" s="4" t="str">
        <f t="shared" si="1"/>
        <v>102241376400OVR</v>
      </c>
      <c r="C127" t="s">
        <v>502</v>
      </c>
      <c r="E127">
        <v>20411454</v>
      </c>
      <c r="F127" t="s">
        <v>737</v>
      </c>
      <c r="G127" t="s">
        <v>49</v>
      </c>
      <c r="H127" t="s">
        <v>505</v>
      </c>
      <c r="I127" s="1">
        <v>45992</v>
      </c>
      <c r="J127" s="2">
        <v>1.25</v>
      </c>
      <c r="K127">
        <v>1</v>
      </c>
      <c r="L127" s="2">
        <v>1.25</v>
      </c>
      <c r="M127" t="s">
        <v>371</v>
      </c>
      <c r="N127" t="s">
        <v>725</v>
      </c>
    </row>
    <row r="128" spans="1:14" x14ac:dyDescent="0.25">
      <c r="A128" s="4" t="s">
        <v>710</v>
      </c>
      <c r="B128" s="4" t="str">
        <f t="shared" si="1"/>
        <v>000W24385OVR</v>
      </c>
      <c r="C128" t="s">
        <v>260</v>
      </c>
      <c r="E128">
        <v>20411454</v>
      </c>
      <c r="F128" t="s">
        <v>737</v>
      </c>
      <c r="G128" t="s">
        <v>137</v>
      </c>
      <c r="H128" t="s">
        <v>263</v>
      </c>
      <c r="I128" s="1">
        <v>45962</v>
      </c>
      <c r="J128" s="2">
        <v>163.4</v>
      </c>
      <c r="K128">
        <v>9</v>
      </c>
      <c r="L128" s="2">
        <v>44.12</v>
      </c>
      <c r="N128" t="s">
        <v>726</v>
      </c>
    </row>
    <row r="129" spans="1:14" x14ac:dyDescent="0.25">
      <c r="A129" s="4" t="s">
        <v>712</v>
      </c>
      <c r="B129" s="4" t="str">
        <f t="shared" si="1"/>
        <v>139W24765OVR</v>
      </c>
      <c r="C129" t="s">
        <v>555</v>
      </c>
      <c r="D129" t="s">
        <v>284</v>
      </c>
      <c r="E129">
        <v>20411454</v>
      </c>
      <c r="F129" t="s">
        <v>737</v>
      </c>
      <c r="G129" t="s">
        <v>49</v>
      </c>
      <c r="H129" t="s">
        <v>556</v>
      </c>
      <c r="I129" s="1">
        <v>45962</v>
      </c>
      <c r="J129" s="2">
        <v>175</v>
      </c>
      <c r="K129">
        <v>1</v>
      </c>
      <c r="L129" s="2">
        <v>175</v>
      </c>
      <c r="N129" t="s">
        <v>726</v>
      </c>
    </row>
    <row r="130" spans="1:14" x14ac:dyDescent="0.25">
      <c r="A130" s="4" t="s">
        <v>713</v>
      </c>
      <c r="B130" s="4" t="str">
        <f t="shared" si="1"/>
        <v>498W24972OVR</v>
      </c>
      <c r="C130" t="s">
        <v>558</v>
      </c>
      <c r="D130" t="s">
        <v>284</v>
      </c>
      <c r="E130">
        <v>20411454</v>
      </c>
      <c r="F130" t="s">
        <v>737</v>
      </c>
      <c r="G130" t="s">
        <v>49</v>
      </c>
      <c r="H130" t="s">
        <v>556</v>
      </c>
      <c r="I130" s="1">
        <v>45962</v>
      </c>
      <c r="J130" s="2">
        <v>175</v>
      </c>
      <c r="K130">
        <v>1</v>
      </c>
      <c r="L130" s="2">
        <v>175</v>
      </c>
      <c r="N130" t="s">
        <v>726</v>
      </c>
    </row>
    <row r="131" spans="1:14" x14ac:dyDescent="0.25">
      <c r="A131" s="4" t="s">
        <v>738</v>
      </c>
      <c r="B131" s="4" t="str">
        <f t="shared" ref="B131:B194" si="2">CONCATENATE(A131,"OVR")</f>
        <v>77X5L4L64OVR</v>
      </c>
      <c r="C131" t="s">
        <v>630</v>
      </c>
      <c r="D131" t="s">
        <v>134</v>
      </c>
      <c r="E131">
        <v>20411454</v>
      </c>
      <c r="F131" t="s">
        <v>737</v>
      </c>
      <c r="G131" t="s">
        <v>602</v>
      </c>
      <c r="H131" t="s">
        <v>631</v>
      </c>
      <c r="I131" s="1">
        <v>45870</v>
      </c>
      <c r="L131">
        <v>-75</v>
      </c>
      <c r="N131" t="s">
        <v>727</v>
      </c>
    </row>
    <row r="132" spans="1:14" x14ac:dyDescent="0.25">
      <c r="A132" s="4" t="s">
        <v>648</v>
      </c>
      <c r="B132" s="4" t="str">
        <f t="shared" si="2"/>
        <v>00001732672KOVR</v>
      </c>
      <c r="C132" t="s">
        <v>45</v>
      </c>
      <c r="D132" t="s">
        <v>46</v>
      </c>
      <c r="E132">
        <v>20411454</v>
      </c>
      <c r="F132" t="s">
        <v>737</v>
      </c>
      <c r="G132" t="s">
        <v>49</v>
      </c>
      <c r="H132" t="s">
        <v>50</v>
      </c>
      <c r="I132" s="1">
        <v>46023</v>
      </c>
      <c r="J132" s="2">
        <v>175</v>
      </c>
      <c r="K132">
        <v>1</v>
      </c>
      <c r="L132" s="2">
        <v>175</v>
      </c>
      <c r="N132" t="s">
        <v>728</v>
      </c>
    </row>
    <row r="133" spans="1:14" x14ac:dyDescent="0.25">
      <c r="A133" s="4" t="s">
        <v>649</v>
      </c>
      <c r="B133" s="4" t="str">
        <f t="shared" si="2"/>
        <v>00003127959KOVR</v>
      </c>
      <c r="C133" t="s">
        <v>54</v>
      </c>
      <c r="D133" t="s">
        <v>55</v>
      </c>
      <c r="E133">
        <v>20411454</v>
      </c>
      <c r="F133" t="s">
        <v>737</v>
      </c>
      <c r="G133" t="s">
        <v>49</v>
      </c>
      <c r="H133" t="s">
        <v>50</v>
      </c>
      <c r="I133" s="1">
        <v>46023</v>
      </c>
      <c r="J133" s="2">
        <v>175</v>
      </c>
      <c r="K133">
        <v>1</v>
      </c>
      <c r="L133" s="2">
        <v>175</v>
      </c>
      <c r="N133" t="s">
        <v>728</v>
      </c>
    </row>
    <row r="134" spans="1:14" x14ac:dyDescent="0.25">
      <c r="A134" s="4" t="s">
        <v>650</v>
      </c>
      <c r="B134" s="4" t="str">
        <f t="shared" si="2"/>
        <v>00006672647KOVR</v>
      </c>
      <c r="C134" t="s">
        <v>59</v>
      </c>
      <c r="D134" t="s">
        <v>60</v>
      </c>
      <c r="E134">
        <v>20411454</v>
      </c>
      <c r="F134" t="s">
        <v>737</v>
      </c>
      <c r="G134" t="s">
        <v>49</v>
      </c>
      <c r="H134" t="s">
        <v>50</v>
      </c>
      <c r="I134" s="1">
        <v>46023</v>
      </c>
      <c r="J134" s="2">
        <v>175</v>
      </c>
      <c r="K134">
        <v>1</v>
      </c>
      <c r="L134" s="2">
        <v>175</v>
      </c>
      <c r="N134" t="s">
        <v>728</v>
      </c>
    </row>
    <row r="135" spans="1:14" x14ac:dyDescent="0.25">
      <c r="A135" s="4" t="s">
        <v>652</v>
      </c>
      <c r="B135" s="4" t="str">
        <f t="shared" si="2"/>
        <v>00009983467KOVR</v>
      </c>
      <c r="C135" t="s">
        <v>70</v>
      </c>
      <c r="D135" t="s">
        <v>65</v>
      </c>
      <c r="E135">
        <v>20411454</v>
      </c>
      <c r="F135" t="s">
        <v>737</v>
      </c>
      <c r="G135" t="s">
        <v>49</v>
      </c>
      <c r="H135" t="s">
        <v>50</v>
      </c>
      <c r="I135" s="1">
        <v>46023</v>
      </c>
      <c r="J135" s="2">
        <v>175</v>
      </c>
      <c r="K135">
        <v>1</v>
      </c>
      <c r="L135" s="2">
        <v>175</v>
      </c>
      <c r="N135" t="s">
        <v>728</v>
      </c>
    </row>
    <row r="136" spans="1:14" x14ac:dyDescent="0.25">
      <c r="A136" s="4" t="s">
        <v>654</v>
      </c>
      <c r="B136" s="4" t="str">
        <f t="shared" si="2"/>
        <v>00012091926KOVR</v>
      </c>
      <c r="C136" t="s">
        <v>79</v>
      </c>
      <c r="D136" t="s">
        <v>46</v>
      </c>
      <c r="E136">
        <v>20411454</v>
      </c>
      <c r="F136" t="s">
        <v>737</v>
      </c>
      <c r="G136" t="s">
        <v>49</v>
      </c>
      <c r="H136" t="s">
        <v>50</v>
      </c>
      <c r="I136" s="1">
        <v>46023</v>
      </c>
      <c r="J136" s="2">
        <v>175</v>
      </c>
      <c r="K136">
        <v>1</v>
      </c>
      <c r="L136" s="2">
        <v>175</v>
      </c>
      <c r="N136" t="s">
        <v>728</v>
      </c>
    </row>
    <row r="137" spans="1:14" x14ac:dyDescent="0.25">
      <c r="A137" s="4" t="s">
        <v>660</v>
      </c>
      <c r="B137" s="4" t="str">
        <f t="shared" si="2"/>
        <v>00018515422KOVR</v>
      </c>
      <c r="C137" t="s">
        <v>101</v>
      </c>
      <c r="D137" t="s">
        <v>65</v>
      </c>
      <c r="E137">
        <v>20411454</v>
      </c>
      <c r="F137" t="s">
        <v>737</v>
      </c>
      <c r="G137" t="s">
        <v>49</v>
      </c>
      <c r="H137" t="s">
        <v>50</v>
      </c>
      <c r="I137" s="1">
        <v>46023</v>
      </c>
      <c r="J137" s="2">
        <v>175</v>
      </c>
      <c r="K137">
        <v>1</v>
      </c>
      <c r="L137" s="2">
        <v>175</v>
      </c>
      <c r="N137" t="s">
        <v>728</v>
      </c>
    </row>
    <row r="138" spans="1:14" x14ac:dyDescent="0.25">
      <c r="A138" s="4" t="s">
        <v>675</v>
      </c>
      <c r="B138" s="4" t="str">
        <f t="shared" si="2"/>
        <v>00023306985KOVR</v>
      </c>
      <c r="C138" t="s">
        <v>147</v>
      </c>
      <c r="D138" t="s">
        <v>148</v>
      </c>
      <c r="E138">
        <v>20411454</v>
      </c>
      <c r="F138" t="s">
        <v>737</v>
      </c>
      <c r="G138" t="s">
        <v>49</v>
      </c>
      <c r="H138" t="s">
        <v>50</v>
      </c>
      <c r="I138" s="1">
        <v>46023</v>
      </c>
      <c r="J138" s="2">
        <v>175</v>
      </c>
      <c r="K138">
        <v>1</v>
      </c>
      <c r="L138" s="2">
        <v>175</v>
      </c>
      <c r="N138" t="s">
        <v>728</v>
      </c>
    </row>
    <row r="139" spans="1:14" x14ac:dyDescent="0.25">
      <c r="A139" s="4" t="s">
        <v>676</v>
      </c>
      <c r="B139" s="4" t="str">
        <f t="shared" si="2"/>
        <v>00023621536KOVR</v>
      </c>
      <c r="C139" t="s">
        <v>152</v>
      </c>
      <c r="D139" t="s">
        <v>60</v>
      </c>
      <c r="E139">
        <v>20411454</v>
      </c>
      <c r="F139" t="s">
        <v>737</v>
      </c>
      <c r="G139" t="s">
        <v>49</v>
      </c>
      <c r="H139" t="s">
        <v>50</v>
      </c>
      <c r="I139" s="1">
        <v>46023</v>
      </c>
      <c r="J139" s="2">
        <v>175</v>
      </c>
      <c r="K139">
        <v>1</v>
      </c>
      <c r="L139" s="2">
        <v>175</v>
      </c>
      <c r="N139" t="s">
        <v>728</v>
      </c>
    </row>
    <row r="140" spans="1:14" x14ac:dyDescent="0.25">
      <c r="A140" s="4" t="s">
        <v>680</v>
      </c>
      <c r="B140" s="4" t="str">
        <f t="shared" si="2"/>
        <v>00024267849KOVR</v>
      </c>
      <c r="C140" t="s">
        <v>166</v>
      </c>
      <c r="D140" t="s">
        <v>129</v>
      </c>
      <c r="E140">
        <v>20411454</v>
      </c>
      <c r="F140" t="s">
        <v>737</v>
      </c>
      <c r="G140" t="s">
        <v>49</v>
      </c>
      <c r="H140" t="s">
        <v>50</v>
      </c>
      <c r="I140" s="1">
        <v>46023</v>
      </c>
      <c r="J140" s="2">
        <v>175</v>
      </c>
      <c r="K140">
        <v>1</v>
      </c>
      <c r="L140" s="2">
        <v>175</v>
      </c>
      <c r="N140" t="s">
        <v>728</v>
      </c>
    </row>
    <row r="141" spans="1:14" x14ac:dyDescent="0.25">
      <c r="A141" s="4" t="s">
        <v>681</v>
      </c>
      <c r="B141" s="4" t="str">
        <f t="shared" si="2"/>
        <v>00024344065KOVR</v>
      </c>
      <c r="C141" t="s">
        <v>168</v>
      </c>
      <c r="D141" t="s">
        <v>65</v>
      </c>
      <c r="E141">
        <v>20411454</v>
      </c>
      <c r="F141" t="s">
        <v>737</v>
      </c>
      <c r="G141" t="s">
        <v>49</v>
      </c>
      <c r="H141" t="s">
        <v>50</v>
      </c>
      <c r="I141" s="1">
        <v>46023</v>
      </c>
      <c r="J141" s="2">
        <v>175</v>
      </c>
      <c r="K141">
        <v>1</v>
      </c>
      <c r="L141" s="2">
        <v>175</v>
      </c>
      <c r="N141" t="s">
        <v>728</v>
      </c>
    </row>
    <row r="142" spans="1:14" x14ac:dyDescent="0.25">
      <c r="A142" s="4" t="s">
        <v>684</v>
      </c>
      <c r="B142" s="4" t="str">
        <f t="shared" si="2"/>
        <v>00025745430KOVR</v>
      </c>
      <c r="C142" t="s">
        <v>179</v>
      </c>
      <c r="D142" t="s">
        <v>65</v>
      </c>
      <c r="E142">
        <v>20411454</v>
      </c>
      <c r="F142" t="s">
        <v>737</v>
      </c>
      <c r="G142" t="s">
        <v>49</v>
      </c>
      <c r="H142" t="s">
        <v>50</v>
      </c>
      <c r="I142" s="1">
        <v>46023</v>
      </c>
      <c r="J142" s="2">
        <v>175</v>
      </c>
      <c r="K142">
        <v>1</v>
      </c>
      <c r="L142" s="2">
        <v>175</v>
      </c>
      <c r="N142" t="s">
        <v>728</v>
      </c>
    </row>
    <row r="143" spans="1:14" x14ac:dyDescent="0.25">
      <c r="A143" s="4" t="s">
        <v>685</v>
      </c>
      <c r="B143" s="4" t="str">
        <f t="shared" si="2"/>
        <v>00025746940KOVR</v>
      </c>
      <c r="C143" t="s">
        <v>183</v>
      </c>
      <c r="D143" t="s">
        <v>65</v>
      </c>
      <c r="E143">
        <v>20411454</v>
      </c>
      <c r="F143" t="s">
        <v>737</v>
      </c>
      <c r="G143" t="s">
        <v>49</v>
      </c>
      <c r="H143" t="s">
        <v>50</v>
      </c>
      <c r="I143" s="1">
        <v>46023</v>
      </c>
      <c r="J143" s="2">
        <v>175</v>
      </c>
      <c r="K143">
        <v>1</v>
      </c>
      <c r="L143" s="2">
        <v>175</v>
      </c>
      <c r="N143" t="s">
        <v>728</v>
      </c>
    </row>
    <row r="144" spans="1:14" x14ac:dyDescent="0.25">
      <c r="A144" s="4" t="s">
        <v>686</v>
      </c>
      <c r="B144" s="4" t="str">
        <f t="shared" si="2"/>
        <v>00025749801KOVR</v>
      </c>
      <c r="C144" t="s">
        <v>185</v>
      </c>
      <c r="D144" t="s">
        <v>186</v>
      </c>
      <c r="E144">
        <v>20411454</v>
      </c>
      <c r="F144" t="s">
        <v>737</v>
      </c>
      <c r="G144" t="s">
        <v>49</v>
      </c>
      <c r="H144" t="s">
        <v>50</v>
      </c>
      <c r="I144" s="1">
        <v>46023</v>
      </c>
      <c r="J144" s="2">
        <v>175</v>
      </c>
      <c r="K144">
        <v>1</v>
      </c>
      <c r="L144" s="2">
        <v>175</v>
      </c>
      <c r="N144" t="s">
        <v>728</v>
      </c>
    </row>
    <row r="145" spans="1:14" x14ac:dyDescent="0.25">
      <c r="A145" s="4" t="s">
        <v>687</v>
      </c>
      <c r="B145" s="4" t="str">
        <f t="shared" si="2"/>
        <v>00025750006KOVR</v>
      </c>
      <c r="C145" t="s">
        <v>190</v>
      </c>
      <c r="D145" t="s">
        <v>191</v>
      </c>
      <c r="E145">
        <v>20411454</v>
      </c>
      <c r="F145" t="s">
        <v>737</v>
      </c>
      <c r="G145" t="s">
        <v>49</v>
      </c>
      <c r="H145" t="s">
        <v>50</v>
      </c>
      <c r="I145" s="1">
        <v>46082</v>
      </c>
      <c r="J145" s="2">
        <v>175</v>
      </c>
      <c r="K145">
        <v>1</v>
      </c>
      <c r="L145" s="2">
        <v>175</v>
      </c>
      <c r="N145" t="s">
        <v>728</v>
      </c>
    </row>
    <row r="146" spans="1:14" x14ac:dyDescent="0.25">
      <c r="A146" s="4" t="s">
        <v>688</v>
      </c>
      <c r="B146" s="4" t="str">
        <f t="shared" si="2"/>
        <v>00025750039KOVR</v>
      </c>
      <c r="C146" t="s">
        <v>195</v>
      </c>
      <c r="D146" t="s">
        <v>65</v>
      </c>
      <c r="E146">
        <v>20411454</v>
      </c>
      <c r="F146" t="s">
        <v>737</v>
      </c>
      <c r="G146" t="s">
        <v>49</v>
      </c>
      <c r="H146" t="s">
        <v>50</v>
      </c>
      <c r="I146" s="1">
        <v>46023</v>
      </c>
      <c r="J146" s="2">
        <v>175</v>
      </c>
      <c r="K146">
        <v>1</v>
      </c>
      <c r="L146" s="2">
        <v>175</v>
      </c>
      <c r="N146" t="s">
        <v>728</v>
      </c>
    </row>
    <row r="147" spans="1:14" x14ac:dyDescent="0.25">
      <c r="A147" s="4" t="s">
        <v>689</v>
      </c>
      <c r="B147" s="4" t="str">
        <f t="shared" si="2"/>
        <v>00025757852KOVR</v>
      </c>
      <c r="C147" t="s">
        <v>198</v>
      </c>
      <c r="D147" t="s">
        <v>46</v>
      </c>
      <c r="E147">
        <v>20411454</v>
      </c>
      <c r="F147" t="s">
        <v>737</v>
      </c>
      <c r="G147" t="s">
        <v>49</v>
      </c>
      <c r="H147" t="s">
        <v>50</v>
      </c>
      <c r="I147" s="1">
        <v>46023</v>
      </c>
      <c r="J147" s="2">
        <v>175</v>
      </c>
      <c r="K147">
        <v>1</v>
      </c>
      <c r="L147" s="2">
        <v>175</v>
      </c>
      <c r="N147" t="s">
        <v>728</v>
      </c>
    </row>
    <row r="148" spans="1:14" x14ac:dyDescent="0.25">
      <c r="A148" s="4" t="s">
        <v>690</v>
      </c>
      <c r="B148" s="4" t="str">
        <f t="shared" si="2"/>
        <v>00025760366KOVR</v>
      </c>
      <c r="C148" t="s">
        <v>200</v>
      </c>
      <c r="D148" t="s">
        <v>65</v>
      </c>
      <c r="E148">
        <v>20411454</v>
      </c>
      <c r="F148" t="s">
        <v>737</v>
      </c>
      <c r="G148" t="s">
        <v>49</v>
      </c>
      <c r="H148" t="s">
        <v>50</v>
      </c>
      <c r="I148" s="1">
        <v>46023</v>
      </c>
      <c r="J148" s="2">
        <v>175</v>
      </c>
      <c r="K148">
        <v>1</v>
      </c>
      <c r="L148" s="2">
        <v>175</v>
      </c>
      <c r="N148" t="s">
        <v>728</v>
      </c>
    </row>
    <row r="149" spans="1:14" x14ac:dyDescent="0.25">
      <c r="A149" s="4" t="s">
        <v>691</v>
      </c>
      <c r="B149" s="4" t="str">
        <f t="shared" si="2"/>
        <v>00025761648KOVR</v>
      </c>
      <c r="C149" t="s">
        <v>204</v>
      </c>
      <c r="D149" t="s">
        <v>186</v>
      </c>
      <c r="E149">
        <v>20411454</v>
      </c>
      <c r="F149" t="s">
        <v>737</v>
      </c>
      <c r="G149" t="s">
        <v>49</v>
      </c>
      <c r="H149" t="s">
        <v>50</v>
      </c>
      <c r="I149" s="1">
        <v>46023</v>
      </c>
      <c r="J149" s="2">
        <v>175</v>
      </c>
      <c r="K149">
        <v>1</v>
      </c>
      <c r="L149" s="2">
        <v>175</v>
      </c>
      <c r="N149" t="s">
        <v>728</v>
      </c>
    </row>
    <row r="150" spans="1:14" x14ac:dyDescent="0.25">
      <c r="A150" s="4" t="s">
        <v>692</v>
      </c>
      <c r="B150" s="4" t="str">
        <f t="shared" si="2"/>
        <v>00025761939KOVR</v>
      </c>
      <c r="C150" t="s">
        <v>206</v>
      </c>
      <c r="D150" t="s">
        <v>207</v>
      </c>
      <c r="E150">
        <v>20411454</v>
      </c>
      <c r="F150" t="s">
        <v>737</v>
      </c>
      <c r="G150" t="s">
        <v>49</v>
      </c>
      <c r="H150" t="s">
        <v>50</v>
      </c>
      <c r="I150" s="1">
        <v>46023</v>
      </c>
      <c r="J150" s="2">
        <v>175</v>
      </c>
      <c r="K150">
        <v>1</v>
      </c>
      <c r="L150" s="2">
        <v>175</v>
      </c>
      <c r="N150" t="s">
        <v>728</v>
      </c>
    </row>
    <row r="151" spans="1:14" x14ac:dyDescent="0.25">
      <c r="A151" s="4" t="s">
        <v>693</v>
      </c>
      <c r="B151" s="4" t="str">
        <f t="shared" si="2"/>
        <v>00025761946KOVR</v>
      </c>
      <c r="C151" t="s">
        <v>209</v>
      </c>
      <c r="D151" t="s">
        <v>191</v>
      </c>
      <c r="E151">
        <v>20411454</v>
      </c>
      <c r="F151" t="s">
        <v>737</v>
      </c>
      <c r="G151" t="s">
        <v>49</v>
      </c>
      <c r="H151" t="s">
        <v>50</v>
      </c>
      <c r="I151" s="1">
        <v>46023</v>
      </c>
      <c r="J151" s="2">
        <v>175</v>
      </c>
      <c r="K151">
        <v>1</v>
      </c>
      <c r="L151" s="2">
        <v>175</v>
      </c>
      <c r="N151" t="s">
        <v>728</v>
      </c>
    </row>
    <row r="152" spans="1:14" x14ac:dyDescent="0.25">
      <c r="A152" s="4" t="s">
        <v>694</v>
      </c>
      <c r="B152" s="4" t="str">
        <f t="shared" si="2"/>
        <v>00025761952KOVR</v>
      </c>
      <c r="C152" t="s">
        <v>211</v>
      </c>
      <c r="D152" t="s">
        <v>212</v>
      </c>
      <c r="E152">
        <v>20411454</v>
      </c>
      <c r="F152" t="s">
        <v>737</v>
      </c>
      <c r="G152" t="s">
        <v>49</v>
      </c>
      <c r="H152" t="s">
        <v>50</v>
      </c>
      <c r="I152" s="1">
        <v>46023</v>
      </c>
      <c r="J152" s="2">
        <v>175</v>
      </c>
      <c r="K152">
        <v>1</v>
      </c>
      <c r="L152" s="2">
        <v>175</v>
      </c>
      <c r="N152" t="s">
        <v>728</v>
      </c>
    </row>
    <row r="153" spans="1:14" x14ac:dyDescent="0.25">
      <c r="A153" s="4" t="s">
        <v>695</v>
      </c>
      <c r="B153" s="4" t="str">
        <f t="shared" si="2"/>
        <v>00025764116KOVR</v>
      </c>
      <c r="C153" t="s">
        <v>214</v>
      </c>
      <c r="D153" t="s">
        <v>65</v>
      </c>
      <c r="E153">
        <v>20411454</v>
      </c>
      <c r="F153" t="s">
        <v>737</v>
      </c>
      <c r="G153" t="s">
        <v>49</v>
      </c>
      <c r="H153" t="s">
        <v>50</v>
      </c>
      <c r="I153" s="1">
        <v>46023</v>
      </c>
      <c r="J153" s="2">
        <v>175</v>
      </c>
      <c r="K153">
        <v>1</v>
      </c>
      <c r="L153" s="2">
        <v>175</v>
      </c>
      <c r="N153" t="s">
        <v>728</v>
      </c>
    </row>
    <row r="154" spans="1:14" x14ac:dyDescent="0.25">
      <c r="A154" s="4" t="s">
        <v>696</v>
      </c>
      <c r="B154" s="4" t="str">
        <f t="shared" si="2"/>
        <v>00025765398KOVR</v>
      </c>
      <c r="C154" t="s">
        <v>216</v>
      </c>
      <c r="D154" t="s">
        <v>65</v>
      </c>
      <c r="E154">
        <v>20411454</v>
      </c>
      <c r="F154" t="s">
        <v>737</v>
      </c>
      <c r="G154" t="s">
        <v>49</v>
      </c>
      <c r="H154" t="s">
        <v>50</v>
      </c>
      <c r="I154" s="1">
        <v>46023</v>
      </c>
      <c r="J154" s="2">
        <v>175</v>
      </c>
      <c r="K154">
        <v>1</v>
      </c>
      <c r="L154" s="2">
        <v>175</v>
      </c>
      <c r="N154" t="s">
        <v>728</v>
      </c>
    </row>
    <row r="155" spans="1:14" x14ac:dyDescent="0.25">
      <c r="A155" s="4" t="s">
        <v>697</v>
      </c>
      <c r="B155" s="4" t="str">
        <f t="shared" si="2"/>
        <v>00025765520KOVR</v>
      </c>
      <c r="C155" t="s">
        <v>218</v>
      </c>
      <c r="D155" t="s">
        <v>186</v>
      </c>
      <c r="E155">
        <v>20411454</v>
      </c>
      <c r="F155" t="s">
        <v>737</v>
      </c>
      <c r="G155" t="s">
        <v>49</v>
      </c>
      <c r="H155" t="s">
        <v>50</v>
      </c>
      <c r="I155" s="1">
        <v>46023</v>
      </c>
      <c r="J155" s="2">
        <v>175</v>
      </c>
      <c r="K155">
        <v>1</v>
      </c>
      <c r="L155" s="2">
        <v>175</v>
      </c>
      <c r="N155" t="s">
        <v>728</v>
      </c>
    </row>
    <row r="156" spans="1:14" x14ac:dyDescent="0.25">
      <c r="A156" s="4" t="s">
        <v>698</v>
      </c>
      <c r="B156" s="4" t="str">
        <f t="shared" si="2"/>
        <v>00025769060KOVR</v>
      </c>
      <c r="C156" t="s">
        <v>220</v>
      </c>
      <c r="D156" t="s">
        <v>65</v>
      </c>
      <c r="E156">
        <v>20411454</v>
      </c>
      <c r="F156" t="s">
        <v>737</v>
      </c>
      <c r="G156" t="s">
        <v>49</v>
      </c>
      <c r="H156" t="s">
        <v>50</v>
      </c>
      <c r="I156" s="1">
        <v>46023</v>
      </c>
      <c r="J156" s="2">
        <v>175</v>
      </c>
      <c r="K156">
        <v>1</v>
      </c>
      <c r="L156" s="2">
        <v>175</v>
      </c>
      <c r="N156" t="s">
        <v>728</v>
      </c>
    </row>
    <row r="157" spans="1:14" x14ac:dyDescent="0.25">
      <c r="A157" s="4" t="s">
        <v>699</v>
      </c>
      <c r="B157" s="4" t="str">
        <f t="shared" si="2"/>
        <v>00025772709KOVR</v>
      </c>
      <c r="C157" t="s">
        <v>222</v>
      </c>
      <c r="D157" t="s">
        <v>65</v>
      </c>
      <c r="E157">
        <v>20411454</v>
      </c>
      <c r="F157" t="s">
        <v>737</v>
      </c>
      <c r="G157" t="s">
        <v>49</v>
      </c>
      <c r="H157" t="s">
        <v>50</v>
      </c>
      <c r="I157" s="1">
        <v>46023</v>
      </c>
      <c r="J157" s="2">
        <v>175</v>
      </c>
      <c r="K157">
        <v>1</v>
      </c>
      <c r="L157" s="2">
        <v>175</v>
      </c>
      <c r="N157" t="s">
        <v>728</v>
      </c>
    </row>
    <row r="158" spans="1:14" x14ac:dyDescent="0.25">
      <c r="A158" s="4" t="s">
        <v>700</v>
      </c>
      <c r="B158" s="4" t="str">
        <f t="shared" si="2"/>
        <v>00025779716KOVR</v>
      </c>
      <c r="C158" t="s">
        <v>224</v>
      </c>
      <c r="D158" t="s">
        <v>65</v>
      </c>
      <c r="E158">
        <v>20411454</v>
      </c>
      <c r="F158" t="s">
        <v>737</v>
      </c>
      <c r="G158" t="s">
        <v>49</v>
      </c>
      <c r="H158" t="s">
        <v>50</v>
      </c>
      <c r="I158" s="1">
        <v>46023</v>
      </c>
      <c r="J158" s="2">
        <v>175</v>
      </c>
      <c r="K158">
        <v>1</v>
      </c>
      <c r="L158" s="2">
        <v>175</v>
      </c>
      <c r="N158" t="s">
        <v>728</v>
      </c>
    </row>
    <row r="159" spans="1:14" x14ac:dyDescent="0.25">
      <c r="A159" s="4" t="s">
        <v>701</v>
      </c>
      <c r="B159" s="4" t="str">
        <f t="shared" si="2"/>
        <v>00025779792KOVR</v>
      </c>
      <c r="C159" t="s">
        <v>228</v>
      </c>
      <c r="D159" t="s">
        <v>65</v>
      </c>
      <c r="E159">
        <v>20411454</v>
      </c>
      <c r="F159" t="s">
        <v>737</v>
      </c>
      <c r="G159" t="s">
        <v>49</v>
      </c>
      <c r="H159" t="s">
        <v>50</v>
      </c>
      <c r="I159" s="1">
        <v>46023</v>
      </c>
      <c r="J159" s="2">
        <v>175</v>
      </c>
      <c r="K159">
        <v>1</v>
      </c>
      <c r="L159" s="2">
        <v>175</v>
      </c>
      <c r="N159" t="s">
        <v>728</v>
      </c>
    </row>
    <row r="160" spans="1:14" x14ac:dyDescent="0.25">
      <c r="A160" s="4" t="s">
        <v>702</v>
      </c>
      <c r="B160" s="4" t="str">
        <f t="shared" si="2"/>
        <v>00025780645KOVR</v>
      </c>
      <c r="C160" t="s">
        <v>232</v>
      </c>
      <c r="D160" t="s">
        <v>55</v>
      </c>
      <c r="E160">
        <v>20411454</v>
      </c>
      <c r="F160" t="s">
        <v>737</v>
      </c>
      <c r="G160" t="s">
        <v>49</v>
      </c>
      <c r="H160" t="s">
        <v>50</v>
      </c>
      <c r="I160" s="1">
        <v>46023</v>
      </c>
      <c r="J160" s="2">
        <v>175</v>
      </c>
      <c r="K160">
        <v>1</v>
      </c>
      <c r="L160" s="2">
        <v>175</v>
      </c>
      <c r="N160" t="s">
        <v>728</v>
      </c>
    </row>
    <row r="161" spans="1:14" x14ac:dyDescent="0.25">
      <c r="A161" s="4" t="s">
        <v>703</v>
      </c>
      <c r="B161" s="4" t="str">
        <f t="shared" si="2"/>
        <v>00025798284KOVR</v>
      </c>
      <c r="C161" t="s">
        <v>234</v>
      </c>
      <c r="D161" t="s">
        <v>65</v>
      </c>
      <c r="E161">
        <v>20411454</v>
      </c>
      <c r="F161" t="s">
        <v>737</v>
      </c>
      <c r="G161" t="s">
        <v>49</v>
      </c>
      <c r="H161" t="s">
        <v>50</v>
      </c>
      <c r="I161" s="1">
        <v>46023</v>
      </c>
      <c r="J161" s="2">
        <v>175</v>
      </c>
      <c r="K161">
        <v>1</v>
      </c>
      <c r="L161" s="2">
        <v>175</v>
      </c>
      <c r="N161" t="s">
        <v>728</v>
      </c>
    </row>
    <row r="162" spans="1:14" x14ac:dyDescent="0.25">
      <c r="A162" s="4" t="s">
        <v>704</v>
      </c>
      <c r="B162" s="4" t="str">
        <f t="shared" si="2"/>
        <v>00025798515KOVR</v>
      </c>
      <c r="C162" t="s">
        <v>238</v>
      </c>
      <c r="D162" t="s">
        <v>239</v>
      </c>
      <c r="E162">
        <v>20411454</v>
      </c>
      <c r="F162" t="s">
        <v>737</v>
      </c>
      <c r="G162" t="s">
        <v>49</v>
      </c>
      <c r="H162" t="s">
        <v>50</v>
      </c>
      <c r="I162" s="1">
        <v>46023</v>
      </c>
      <c r="J162" s="2">
        <v>175</v>
      </c>
      <c r="K162">
        <v>1</v>
      </c>
      <c r="L162" s="2">
        <v>175</v>
      </c>
      <c r="N162" t="s">
        <v>728</v>
      </c>
    </row>
    <row r="163" spans="1:14" x14ac:dyDescent="0.25">
      <c r="A163" s="4" t="s">
        <v>705</v>
      </c>
      <c r="B163" s="4" t="str">
        <f t="shared" si="2"/>
        <v>00025798597KOVR</v>
      </c>
      <c r="C163" t="s">
        <v>243</v>
      </c>
      <c r="D163" t="s">
        <v>65</v>
      </c>
      <c r="E163">
        <v>20411454</v>
      </c>
      <c r="F163" t="s">
        <v>737</v>
      </c>
      <c r="G163" t="s">
        <v>49</v>
      </c>
      <c r="H163" t="s">
        <v>50</v>
      </c>
      <c r="I163" s="1">
        <v>46023</v>
      </c>
      <c r="J163" s="2">
        <v>175</v>
      </c>
      <c r="K163">
        <v>1</v>
      </c>
      <c r="L163" s="2">
        <v>175</v>
      </c>
      <c r="N163" t="s">
        <v>728</v>
      </c>
    </row>
    <row r="164" spans="1:14" x14ac:dyDescent="0.25">
      <c r="A164" s="4" t="s">
        <v>706</v>
      </c>
      <c r="B164" s="4" t="str">
        <f t="shared" si="2"/>
        <v>00025801213KOVR</v>
      </c>
      <c r="C164" t="s">
        <v>247</v>
      </c>
      <c r="D164" t="s">
        <v>65</v>
      </c>
      <c r="E164">
        <v>20411454</v>
      </c>
      <c r="F164" t="s">
        <v>737</v>
      </c>
      <c r="G164" t="s">
        <v>49</v>
      </c>
      <c r="H164" t="s">
        <v>50</v>
      </c>
      <c r="I164" s="1">
        <v>46023</v>
      </c>
      <c r="J164" s="2">
        <v>175</v>
      </c>
      <c r="K164">
        <v>1</v>
      </c>
      <c r="L164" s="2">
        <v>175</v>
      </c>
      <c r="N164" t="s">
        <v>728</v>
      </c>
    </row>
    <row r="165" spans="1:14" x14ac:dyDescent="0.25">
      <c r="A165" s="4" t="s">
        <v>707</v>
      </c>
      <c r="B165" s="4" t="str">
        <f t="shared" si="2"/>
        <v>00025802354KOVR</v>
      </c>
      <c r="C165" t="s">
        <v>249</v>
      </c>
      <c r="D165" t="s">
        <v>250</v>
      </c>
      <c r="E165">
        <v>20411454</v>
      </c>
      <c r="F165" t="s">
        <v>737</v>
      </c>
      <c r="G165" t="s">
        <v>49</v>
      </c>
      <c r="H165" t="s">
        <v>50</v>
      </c>
      <c r="I165" s="1">
        <v>46023</v>
      </c>
      <c r="J165" s="2">
        <v>175</v>
      </c>
      <c r="K165">
        <v>1</v>
      </c>
      <c r="L165" s="2">
        <v>175</v>
      </c>
      <c r="N165" t="s">
        <v>728</v>
      </c>
    </row>
    <row r="166" spans="1:14" x14ac:dyDescent="0.25">
      <c r="A166" s="4" t="s">
        <v>708</v>
      </c>
      <c r="B166" s="4" t="str">
        <f t="shared" si="2"/>
        <v>00025802859KOVR</v>
      </c>
      <c r="C166" t="s">
        <v>254</v>
      </c>
      <c r="D166" t="s">
        <v>65</v>
      </c>
      <c r="E166">
        <v>20411454</v>
      </c>
      <c r="F166" t="s">
        <v>737</v>
      </c>
      <c r="G166" t="s">
        <v>49</v>
      </c>
      <c r="H166" t="s">
        <v>50</v>
      </c>
      <c r="I166" s="1">
        <v>46023</v>
      </c>
      <c r="J166" s="2">
        <v>175</v>
      </c>
      <c r="K166">
        <v>1</v>
      </c>
      <c r="L166" s="2">
        <v>175</v>
      </c>
      <c r="N166" t="s">
        <v>728</v>
      </c>
    </row>
    <row r="167" spans="1:14" x14ac:dyDescent="0.25">
      <c r="A167" s="4" t="s">
        <v>709</v>
      </c>
      <c r="B167" s="4" t="str">
        <f t="shared" si="2"/>
        <v>00025803364KOVR</v>
      </c>
      <c r="C167" t="s">
        <v>256</v>
      </c>
      <c r="D167" t="s">
        <v>65</v>
      </c>
      <c r="E167">
        <v>20411454</v>
      </c>
      <c r="F167" t="s">
        <v>737</v>
      </c>
      <c r="G167" t="s">
        <v>49</v>
      </c>
      <c r="H167" t="s">
        <v>50</v>
      </c>
      <c r="I167" s="1">
        <v>46023</v>
      </c>
      <c r="J167" s="2">
        <v>175</v>
      </c>
      <c r="K167">
        <v>1</v>
      </c>
      <c r="L167" s="2">
        <v>175</v>
      </c>
      <c r="N167" t="s">
        <v>728</v>
      </c>
    </row>
    <row r="168" spans="1:14" x14ac:dyDescent="0.25">
      <c r="A168" s="4" t="s">
        <v>739</v>
      </c>
      <c r="B168" s="4" t="str">
        <f t="shared" si="2"/>
        <v>00000751052HOVR</v>
      </c>
      <c r="C168" t="s">
        <v>601</v>
      </c>
      <c r="D168" t="s">
        <v>191</v>
      </c>
      <c r="E168">
        <v>20411454</v>
      </c>
      <c r="F168" t="s">
        <v>737</v>
      </c>
      <c r="G168" t="s">
        <v>602</v>
      </c>
      <c r="H168" t="s">
        <v>50</v>
      </c>
      <c r="I168" s="1">
        <v>46023</v>
      </c>
      <c r="L168">
        <v>-175</v>
      </c>
      <c r="N168" t="s">
        <v>728</v>
      </c>
    </row>
    <row r="169" spans="1:14" x14ac:dyDescent="0.25">
      <c r="A169" s="4" t="s">
        <v>740</v>
      </c>
      <c r="B169" s="4" t="str">
        <f t="shared" si="2"/>
        <v>00000953613IOVR</v>
      </c>
      <c r="C169" t="s">
        <v>604</v>
      </c>
      <c r="D169" t="s">
        <v>65</v>
      </c>
      <c r="E169">
        <v>20411454</v>
      </c>
      <c r="F169" t="s">
        <v>737</v>
      </c>
      <c r="G169" t="s">
        <v>602</v>
      </c>
      <c r="H169" t="s">
        <v>50</v>
      </c>
      <c r="I169" s="1">
        <v>46023</v>
      </c>
      <c r="L169">
        <v>-175</v>
      </c>
      <c r="N169" t="s">
        <v>728</v>
      </c>
    </row>
    <row r="170" spans="1:14" x14ac:dyDescent="0.25">
      <c r="A170" s="4" t="s">
        <v>741</v>
      </c>
      <c r="B170" s="4" t="str">
        <f t="shared" si="2"/>
        <v>00023894614KOVR</v>
      </c>
      <c r="C170" t="s">
        <v>608</v>
      </c>
      <c r="D170" t="s">
        <v>65</v>
      </c>
      <c r="E170">
        <v>20411454</v>
      </c>
      <c r="F170" t="s">
        <v>737</v>
      </c>
      <c r="G170" t="s">
        <v>602</v>
      </c>
      <c r="H170" t="s">
        <v>50</v>
      </c>
      <c r="I170" s="1">
        <v>46023</v>
      </c>
      <c r="L170">
        <v>-175</v>
      </c>
      <c r="N170" t="s">
        <v>728</v>
      </c>
    </row>
    <row r="171" spans="1:14" x14ac:dyDescent="0.25">
      <c r="A171" s="4" t="s">
        <v>742</v>
      </c>
      <c r="B171" s="4" t="str">
        <f t="shared" si="2"/>
        <v>00024241121KOVR</v>
      </c>
      <c r="C171" t="s">
        <v>610</v>
      </c>
      <c r="D171" t="s">
        <v>65</v>
      </c>
      <c r="E171">
        <v>20411454</v>
      </c>
      <c r="F171" t="s">
        <v>737</v>
      </c>
      <c r="G171" t="s">
        <v>602</v>
      </c>
      <c r="H171" t="s">
        <v>50</v>
      </c>
      <c r="I171" s="1">
        <v>46023</v>
      </c>
      <c r="L171">
        <v>-175</v>
      </c>
      <c r="N171" t="s">
        <v>728</v>
      </c>
    </row>
    <row r="172" spans="1:14" x14ac:dyDescent="0.25">
      <c r="A172" s="4" t="s">
        <v>743</v>
      </c>
      <c r="B172" s="4" t="str">
        <f t="shared" si="2"/>
        <v>00024892170KOVR</v>
      </c>
      <c r="C172" t="s">
        <v>617</v>
      </c>
      <c r="D172" t="s">
        <v>618</v>
      </c>
      <c r="E172">
        <v>20411454</v>
      </c>
      <c r="F172" t="s">
        <v>737</v>
      </c>
      <c r="G172" t="s">
        <v>602</v>
      </c>
      <c r="H172" t="s">
        <v>50</v>
      </c>
      <c r="I172" s="1">
        <v>46023</v>
      </c>
      <c r="L172">
        <v>-175</v>
      </c>
      <c r="N172" t="s">
        <v>728</v>
      </c>
    </row>
    <row r="173" spans="1:14" x14ac:dyDescent="0.25">
      <c r="A173" s="4" t="s">
        <v>744</v>
      </c>
      <c r="B173" s="4" t="str">
        <f t="shared" si="2"/>
        <v>00025088543KOVR</v>
      </c>
      <c r="C173" t="s">
        <v>622</v>
      </c>
      <c r="D173" t="s">
        <v>191</v>
      </c>
      <c r="E173">
        <v>20411454</v>
      </c>
      <c r="F173" t="s">
        <v>737</v>
      </c>
      <c r="G173" t="s">
        <v>602</v>
      </c>
      <c r="H173" t="s">
        <v>50</v>
      </c>
      <c r="I173" s="1">
        <v>46023</v>
      </c>
      <c r="L173">
        <v>-175</v>
      </c>
      <c r="N173" t="s">
        <v>728</v>
      </c>
    </row>
    <row r="174" spans="1:14" x14ac:dyDescent="0.25">
      <c r="A174" s="4" t="s">
        <v>745</v>
      </c>
      <c r="B174" s="4" t="str">
        <f t="shared" si="2"/>
        <v>00025274180KOVR</v>
      </c>
      <c r="C174" t="s">
        <v>624</v>
      </c>
      <c r="D174" t="s">
        <v>207</v>
      </c>
      <c r="E174">
        <v>20411454</v>
      </c>
      <c r="F174" t="s">
        <v>737</v>
      </c>
      <c r="G174" t="s">
        <v>602</v>
      </c>
      <c r="H174" t="s">
        <v>50</v>
      </c>
      <c r="I174" s="1">
        <v>46023</v>
      </c>
      <c r="L174">
        <v>-175</v>
      </c>
      <c r="N174" t="s">
        <v>728</v>
      </c>
    </row>
    <row r="175" spans="1:14" x14ac:dyDescent="0.25">
      <c r="A175" s="4" t="s">
        <v>651</v>
      </c>
      <c r="B175" s="4" t="str">
        <f t="shared" si="2"/>
        <v>00008156980KOVR</v>
      </c>
      <c r="C175" t="s">
        <v>64</v>
      </c>
      <c r="D175" t="s">
        <v>65</v>
      </c>
      <c r="E175">
        <v>20411454</v>
      </c>
      <c r="F175" t="s">
        <v>737</v>
      </c>
      <c r="G175" t="s">
        <v>49</v>
      </c>
      <c r="H175" t="s">
        <v>68</v>
      </c>
      <c r="I175" s="1">
        <v>46023</v>
      </c>
      <c r="J175" s="2">
        <v>108</v>
      </c>
      <c r="K175">
        <v>1</v>
      </c>
      <c r="L175" s="2">
        <v>108</v>
      </c>
      <c r="N175" t="s">
        <v>728</v>
      </c>
    </row>
    <row r="176" spans="1:14" x14ac:dyDescent="0.25">
      <c r="A176" s="4" t="s">
        <v>653</v>
      </c>
      <c r="B176" s="4" t="str">
        <f t="shared" si="2"/>
        <v>00011005827KOVR</v>
      </c>
      <c r="C176" t="s">
        <v>74</v>
      </c>
      <c r="D176" t="s">
        <v>75</v>
      </c>
      <c r="E176">
        <v>20411454</v>
      </c>
      <c r="F176" t="s">
        <v>737</v>
      </c>
      <c r="G176" t="s">
        <v>49</v>
      </c>
      <c r="H176" t="s">
        <v>68</v>
      </c>
      <c r="I176" s="1">
        <v>46023</v>
      </c>
      <c r="J176" s="2">
        <v>108</v>
      </c>
      <c r="K176">
        <v>1</v>
      </c>
      <c r="L176" s="2">
        <v>108</v>
      </c>
      <c r="N176" t="s">
        <v>728</v>
      </c>
    </row>
    <row r="177" spans="1:14" x14ac:dyDescent="0.25">
      <c r="A177" s="4" t="s">
        <v>655</v>
      </c>
      <c r="B177" s="4" t="str">
        <f t="shared" si="2"/>
        <v>00013779032KOVR</v>
      </c>
      <c r="C177" t="s">
        <v>83</v>
      </c>
      <c r="D177" t="s">
        <v>65</v>
      </c>
      <c r="E177">
        <v>20411454</v>
      </c>
      <c r="F177" t="s">
        <v>737</v>
      </c>
      <c r="G177" t="s">
        <v>49</v>
      </c>
      <c r="H177" t="s">
        <v>68</v>
      </c>
      <c r="I177" s="1">
        <v>46023</v>
      </c>
      <c r="J177" s="2">
        <v>108</v>
      </c>
      <c r="K177">
        <v>1</v>
      </c>
      <c r="L177" s="2">
        <v>108</v>
      </c>
      <c r="N177" t="s">
        <v>728</v>
      </c>
    </row>
    <row r="178" spans="1:14" x14ac:dyDescent="0.25">
      <c r="A178" s="4" t="s">
        <v>656</v>
      </c>
      <c r="B178" s="4" t="str">
        <f t="shared" si="2"/>
        <v>00016070689KOVR</v>
      </c>
      <c r="C178" t="s">
        <v>87</v>
      </c>
      <c r="D178" t="s">
        <v>65</v>
      </c>
      <c r="E178">
        <v>20411454</v>
      </c>
      <c r="F178" t="s">
        <v>737</v>
      </c>
      <c r="G178" t="s">
        <v>49</v>
      </c>
      <c r="H178" t="s">
        <v>68</v>
      </c>
      <c r="I178" s="1">
        <v>46023</v>
      </c>
      <c r="J178" s="2">
        <v>108</v>
      </c>
      <c r="K178">
        <v>1</v>
      </c>
      <c r="L178" s="2">
        <v>108</v>
      </c>
      <c r="N178" t="s">
        <v>728</v>
      </c>
    </row>
    <row r="179" spans="1:14" x14ac:dyDescent="0.25">
      <c r="A179" s="4" t="s">
        <v>657</v>
      </c>
      <c r="B179" s="4" t="str">
        <f t="shared" si="2"/>
        <v>00017702807KOVR</v>
      </c>
      <c r="C179" t="s">
        <v>91</v>
      </c>
      <c r="D179" t="s">
        <v>65</v>
      </c>
      <c r="E179">
        <v>20411454</v>
      </c>
      <c r="F179" t="s">
        <v>737</v>
      </c>
      <c r="G179" t="s">
        <v>49</v>
      </c>
      <c r="H179" t="s">
        <v>68</v>
      </c>
      <c r="I179" s="1">
        <v>46023</v>
      </c>
      <c r="J179" s="2">
        <v>108</v>
      </c>
      <c r="K179">
        <v>1</v>
      </c>
      <c r="L179" s="2">
        <v>108</v>
      </c>
      <c r="N179" t="s">
        <v>728</v>
      </c>
    </row>
    <row r="180" spans="1:14" x14ac:dyDescent="0.25">
      <c r="A180" s="4" t="s">
        <v>658</v>
      </c>
      <c r="B180" s="4" t="str">
        <f t="shared" si="2"/>
        <v>00018326862KOVR</v>
      </c>
      <c r="C180" t="s">
        <v>95</v>
      </c>
      <c r="D180" t="s">
        <v>65</v>
      </c>
      <c r="E180">
        <v>20411454</v>
      </c>
      <c r="F180" t="s">
        <v>737</v>
      </c>
      <c r="G180" t="s">
        <v>49</v>
      </c>
      <c r="H180" t="s">
        <v>68</v>
      </c>
      <c r="I180" s="1">
        <v>46023</v>
      </c>
      <c r="J180" s="2">
        <v>108</v>
      </c>
      <c r="K180">
        <v>1</v>
      </c>
      <c r="L180" s="2">
        <v>108</v>
      </c>
      <c r="N180" t="s">
        <v>728</v>
      </c>
    </row>
    <row r="181" spans="1:14" x14ac:dyDescent="0.25">
      <c r="A181" s="4" t="s">
        <v>659</v>
      </c>
      <c r="B181" s="4" t="str">
        <f t="shared" si="2"/>
        <v>00018387547KOVR</v>
      </c>
      <c r="C181" t="s">
        <v>97</v>
      </c>
      <c r="D181" t="s">
        <v>65</v>
      </c>
      <c r="E181">
        <v>20411454</v>
      </c>
      <c r="F181" t="s">
        <v>737</v>
      </c>
      <c r="G181" t="s">
        <v>49</v>
      </c>
      <c r="H181" t="s">
        <v>68</v>
      </c>
      <c r="I181" s="1">
        <v>46023</v>
      </c>
      <c r="J181" s="2">
        <v>108</v>
      </c>
      <c r="K181">
        <v>1</v>
      </c>
      <c r="L181" s="2">
        <v>108</v>
      </c>
      <c r="N181" t="s">
        <v>728</v>
      </c>
    </row>
    <row r="182" spans="1:14" x14ac:dyDescent="0.25">
      <c r="A182" s="4" t="s">
        <v>661</v>
      </c>
      <c r="B182" s="4" t="str">
        <f t="shared" si="2"/>
        <v>00018818639KOVR</v>
      </c>
      <c r="C182" t="s">
        <v>105</v>
      </c>
      <c r="D182" t="s">
        <v>65</v>
      </c>
      <c r="E182">
        <v>20411454</v>
      </c>
      <c r="F182" t="s">
        <v>737</v>
      </c>
      <c r="G182" t="s">
        <v>49</v>
      </c>
      <c r="H182" t="s">
        <v>68</v>
      </c>
      <c r="I182" s="1">
        <v>46023</v>
      </c>
      <c r="J182" s="2">
        <v>108</v>
      </c>
      <c r="K182">
        <v>1</v>
      </c>
      <c r="L182" s="2">
        <v>108</v>
      </c>
      <c r="N182" t="s">
        <v>728</v>
      </c>
    </row>
    <row r="183" spans="1:14" x14ac:dyDescent="0.25">
      <c r="A183" s="4" t="s">
        <v>662</v>
      </c>
      <c r="B183" s="4" t="str">
        <f t="shared" si="2"/>
        <v>00019277055KOVR</v>
      </c>
      <c r="C183" t="s">
        <v>109</v>
      </c>
      <c r="D183" t="s">
        <v>65</v>
      </c>
      <c r="E183">
        <v>20411454</v>
      </c>
      <c r="F183" t="s">
        <v>737</v>
      </c>
      <c r="G183" t="s">
        <v>49</v>
      </c>
      <c r="H183" t="s">
        <v>68</v>
      </c>
      <c r="I183" s="1">
        <v>46023</v>
      </c>
      <c r="J183" s="2">
        <v>108</v>
      </c>
      <c r="K183">
        <v>1</v>
      </c>
      <c r="L183" s="2">
        <v>108</v>
      </c>
      <c r="N183" t="s">
        <v>728</v>
      </c>
    </row>
    <row r="184" spans="1:14" x14ac:dyDescent="0.25">
      <c r="A184" s="4" t="s">
        <v>663</v>
      </c>
      <c r="B184" s="4" t="str">
        <f t="shared" si="2"/>
        <v>00019368907KOVR</v>
      </c>
      <c r="C184" t="s">
        <v>113</v>
      </c>
      <c r="D184" t="s">
        <v>65</v>
      </c>
      <c r="E184">
        <v>20411454</v>
      </c>
      <c r="F184" t="s">
        <v>737</v>
      </c>
      <c r="G184" t="s">
        <v>49</v>
      </c>
      <c r="H184" t="s">
        <v>68</v>
      </c>
      <c r="I184" s="1">
        <v>46023</v>
      </c>
      <c r="J184" s="2">
        <v>108</v>
      </c>
      <c r="K184">
        <v>1</v>
      </c>
      <c r="L184" s="2">
        <v>108</v>
      </c>
      <c r="N184" t="s">
        <v>728</v>
      </c>
    </row>
    <row r="185" spans="1:14" x14ac:dyDescent="0.25">
      <c r="A185" s="4" t="s">
        <v>664</v>
      </c>
      <c r="B185" s="4" t="str">
        <f t="shared" si="2"/>
        <v>00019577700KOVR</v>
      </c>
      <c r="C185" t="s">
        <v>117</v>
      </c>
      <c r="D185" t="s">
        <v>65</v>
      </c>
      <c r="E185">
        <v>20411454</v>
      </c>
      <c r="F185" t="s">
        <v>737</v>
      </c>
      <c r="G185" t="s">
        <v>49</v>
      </c>
      <c r="H185" t="s">
        <v>68</v>
      </c>
      <c r="I185" s="1">
        <v>46023</v>
      </c>
      <c r="J185" s="2">
        <v>108</v>
      </c>
      <c r="K185">
        <v>1</v>
      </c>
      <c r="L185" s="2">
        <v>108</v>
      </c>
      <c r="N185" t="s">
        <v>728</v>
      </c>
    </row>
    <row r="186" spans="1:14" x14ac:dyDescent="0.25">
      <c r="A186" s="4" t="s">
        <v>665</v>
      </c>
      <c r="B186" s="4" t="str">
        <f t="shared" si="2"/>
        <v>00019902108KOVR</v>
      </c>
      <c r="C186" t="s">
        <v>119</v>
      </c>
      <c r="D186" t="s">
        <v>65</v>
      </c>
      <c r="E186">
        <v>20411454</v>
      </c>
      <c r="F186" t="s">
        <v>737</v>
      </c>
      <c r="G186" t="s">
        <v>49</v>
      </c>
      <c r="H186" t="s">
        <v>68</v>
      </c>
      <c r="I186" s="1">
        <v>46023</v>
      </c>
      <c r="J186" s="2">
        <v>108</v>
      </c>
      <c r="K186">
        <v>1</v>
      </c>
      <c r="L186" s="2">
        <v>108</v>
      </c>
      <c r="N186" t="s">
        <v>728</v>
      </c>
    </row>
    <row r="187" spans="1:14" x14ac:dyDescent="0.25">
      <c r="A187" s="4" t="s">
        <v>666</v>
      </c>
      <c r="B187" s="4" t="str">
        <f t="shared" si="2"/>
        <v>00019960682KOVR</v>
      </c>
      <c r="C187" t="s">
        <v>121</v>
      </c>
      <c r="D187" t="s">
        <v>65</v>
      </c>
      <c r="E187">
        <v>20411454</v>
      </c>
      <c r="F187" t="s">
        <v>737</v>
      </c>
      <c r="G187" t="s">
        <v>49</v>
      </c>
      <c r="H187" t="s">
        <v>68</v>
      </c>
      <c r="I187" s="1">
        <v>46023</v>
      </c>
      <c r="J187" s="2">
        <v>108</v>
      </c>
      <c r="K187">
        <v>1</v>
      </c>
      <c r="L187" s="2">
        <v>108</v>
      </c>
      <c r="N187" t="s">
        <v>728</v>
      </c>
    </row>
    <row r="188" spans="1:14" x14ac:dyDescent="0.25">
      <c r="A188" s="4" t="s">
        <v>667</v>
      </c>
      <c r="B188" s="4" t="str">
        <f t="shared" si="2"/>
        <v>00020375572KOVR</v>
      </c>
      <c r="C188" t="s">
        <v>123</v>
      </c>
      <c r="D188" t="s">
        <v>124</v>
      </c>
      <c r="E188">
        <v>20411454</v>
      </c>
      <c r="F188" t="s">
        <v>737</v>
      </c>
      <c r="G188" t="s">
        <v>49</v>
      </c>
      <c r="H188" t="s">
        <v>68</v>
      </c>
      <c r="I188" s="1">
        <v>46023</v>
      </c>
      <c r="J188" s="2">
        <v>108</v>
      </c>
      <c r="K188">
        <v>1</v>
      </c>
      <c r="L188" s="2">
        <v>108</v>
      </c>
      <c r="N188" t="s">
        <v>728</v>
      </c>
    </row>
    <row r="189" spans="1:14" x14ac:dyDescent="0.25">
      <c r="A189" s="4" t="s">
        <v>668</v>
      </c>
      <c r="B189" s="4" t="str">
        <f t="shared" si="2"/>
        <v>00021024359KOVR</v>
      </c>
      <c r="C189" t="s">
        <v>128</v>
      </c>
      <c r="D189" t="s">
        <v>129</v>
      </c>
      <c r="E189">
        <v>20411454</v>
      </c>
      <c r="F189" t="s">
        <v>737</v>
      </c>
      <c r="G189" t="s">
        <v>49</v>
      </c>
      <c r="H189" t="s">
        <v>68</v>
      </c>
      <c r="I189" s="1">
        <v>46023</v>
      </c>
      <c r="J189" s="2">
        <v>108</v>
      </c>
      <c r="K189">
        <v>1</v>
      </c>
      <c r="L189" s="2">
        <v>108</v>
      </c>
      <c r="N189" t="s">
        <v>728</v>
      </c>
    </row>
    <row r="190" spans="1:14" x14ac:dyDescent="0.25">
      <c r="A190" s="4" t="s">
        <v>669</v>
      </c>
      <c r="B190" s="4" t="str">
        <f t="shared" si="2"/>
        <v>00021511325KOVR</v>
      </c>
      <c r="C190" t="s">
        <v>133</v>
      </c>
      <c r="D190" t="s">
        <v>134</v>
      </c>
      <c r="E190">
        <v>20411454</v>
      </c>
      <c r="F190" t="s">
        <v>737</v>
      </c>
      <c r="G190" t="s">
        <v>49</v>
      </c>
      <c r="H190" t="s">
        <v>68</v>
      </c>
      <c r="I190" s="1">
        <v>46023</v>
      </c>
      <c r="J190" s="2">
        <v>108</v>
      </c>
      <c r="K190">
        <v>1</v>
      </c>
      <c r="L190" s="2">
        <v>108</v>
      </c>
      <c r="N190" t="s">
        <v>728</v>
      </c>
    </row>
    <row r="191" spans="1:14" x14ac:dyDescent="0.25">
      <c r="A191" s="4" t="s">
        <v>670</v>
      </c>
      <c r="B191" s="4" t="str">
        <f t="shared" si="2"/>
        <v>00022085971KAOVR</v>
      </c>
      <c r="C191" t="s">
        <v>136</v>
      </c>
      <c r="D191" t="s">
        <v>65</v>
      </c>
      <c r="E191">
        <v>20411454</v>
      </c>
      <c r="F191" t="s">
        <v>737</v>
      </c>
      <c r="G191" t="s">
        <v>137</v>
      </c>
      <c r="H191" t="s">
        <v>68</v>
      </c>
      <c r="I191" s="1">
        <v>46023</v>
      </c>
      <c r="J191" s="2">
        <v>108</v>
      </c>
      <c r="K191">
        <v>1</v>
      </c>
      <c r="L191" s="2">
        <v>108</v>
      </c>
      <c r="N191" t="s">
        <v>728</v>
      </c>
    </row>
    <row r="192" spans="1:14" x14ac:dyDescent="0.25">
      <c r="A192" s="4" t="s">
        <v>671</v>
      </c>
      <c r="B192" s="4" t="str">
        <f t="shared" si="2"/>
        <v>00022094990KAOVR</v>
      </c>
      <c r="C192" t="s">
        <v>139</v>
      </c>
      <c r="D192" t="s">
        <v>65</v>
      </c>
      <c r="E192">
        <v>20411454</v>
      </c>
      <c r="F192" t="s">
        <v>737</v>
      </c>
      <c r="G192" t="s">
        <v>137</v>
      </c>
      <c r="H192" t="s">
        <v>68</v>
      </c>
      <c r="I192" s="1">
        <v>46023</v>
      </c>
      <c r="J192" s="2">
        <v>108</v>
      </c>
      <c r="K192">
        <v>1</v>
      </c>
      <c r="L192" s="2">
        <v>108</v>
      </c>
      <c r="N192" t="s">
        <v>728</v>
      </c>
    </row>
    <row r="193" spans="1:14" x14ac:dyDescent="0.25">
      <c r="A193" s="4" t="s">
        <v>672</v>
      </c>
      <c r="B193" s="4" t="str">
        <f t="shared" si="2"/>
        <v>00023134452KOVR</v>
      </c>
      <c r="C193" t="s">
        <v>141</v>
      </c>
      <c r="D193" t="s">
        <v>65</v>
      </c>
      <c r="E193">
        <v>20411454</v>
      </c>
      <c r="F193" t="s">
        <v>737</v>
      </c>
      <c r="G193" t="s">
        <v>49</v>
      </c>
      <c r="H193" t="s">
        <v>68</v>
      </c>
      <c r="I193" s="1">
        <v>46023</v>
      </c>
      <c r="J193" s="2">
        <v>108</v>
      </c>
      <c r="K193">
        <v>1</v>
      </c>
      <c r="L193" s="2">
        <v>108</v>
      </c>
      <c r="N193" t="s">
        <v>728</v>
      </c>
    </row>
    <row r="194" spans="1:14" x14ac:dyDescent="0.25">
      <c r="A194" s="4" t="s">
        <v>673</v>
      </c>
      <c r="B194" s="4" t="str">
        <f t="shared" si="2"/>
        <v>00023161319KOVR</v>
      </c>
      <c r="C194" t="s">
        <v>143</v>
      </c>
      <c r="D194" t="s">
        <v>46</v>
      </c>
      <c r="E194">
        <v>20411454</v>
      </c>
      <c r="F194" t="s">
        <v>737</v>
      </c>
      <c r="G194" t="s">
        <v>49</v>
      </c>
      <c r="H194" t="s">
        <v>68</v>
      </c>
      <c r="I194" s="1">
        <v>46023</v>
      </c>
      <c r="J194" s="2">
        <v>108</v>
      </c>
      <c r="K194">
        <v>1</v>
      </c>
      <c r="L194" s="2">
        <v>108</v>
      </c>
      <c r="N194" t="s">
        <v>728</v>
      </c>
    </row>
    <row r="195" spans="1:14" x14ac:dyDescent="0.25">
      <c r="A195" s="4" t="s">
        <v>674</v>
      </c>
      <c r="B195" s="4" t="str">
        <f t="shared" ref="B195:B201" si="3">CONCATENATE(A195,"OVR")</f>
        <v>00023281587KOVR</v>
      </c>
      <c r="C195" t="s">
        <v>145</v>
      </c>
      <c r="D195" t="s">
        <v>65</v>
      </c>
      <c r="E195">
        <v>20411454</v>
      </c>
      <c r="F195" t="s">
        <v>737</v>
      </c>
      <c r="G195" t="s">
        <v>49</v>
      </c>
      <c r="H195" t="s">
        <v>68</v>
      </c>
      <c r="I195" s="1">
        <v>46023</v>
      </c>
      <c r="J195" s="2">
        <v>108</v>
      </c>
      <c r="K195">
        <v>1</v>
      </c>
      <c r="L195" s="2">
        <v>108</v>
      </c>
      <c r="N195" t="s">
        <v>728</v>
      </c>
    </row>
    <row r="196" spans="1:14" x14ac:dyDescent="0.25">
      <c r="A196" s="4" t="s">
        <v>677</v>
      </c>
      <c r="B196" s="4" t="str">
        <f t="shared" si="3"/>
        <v>00023623857KOVR</v>
      </c>
      <c r="C196" t="s">
        <v>156</v>
      </c>
      <c r="D196" t="s">
        <v>124</v>
      </c>
      <c r="E196">
        <v>20411454</v>
      </c>
      <c r="F196" t="s">
        <v>737</v>
      </c>
      <c r="G196" t="s">
        <v>49</v>
      </c>
      <c r="H196" t="s">
        <v>68</v>
      </c>
      <c r="I196" s="1">
        <v>46023</v>
      </c>
      <c r="J196" s="2">
        <v>108</v>
      </c>
      <c r="K196">
        <v>1</v>
      </c>
      <c r="L196" s="2">
        <v>108</v>
      </c>
      <c r="N196" t="s">
        <v>728</v>
      </c>
    </row>
    <row r="197" spans="1:14" x14ac:dyDescent="0.25">
      <c r="A197" s="4" t="s">
        <v>678</v>
      </c>
      <c r="B197" s="4" t="str">
        <f t="shared" si="3"/>
        <v>00023757618KOVR</v>
      </c>
      <c r="C197" t="s">
        <v>160</v>
      </c>
      <c r="D197" t="s">
        <v>65</v>
      </c>
      <c r="E197">
        <v>20411454</v>
      </c>
      <c r="F197" t="s">
        <v>737</v>
      </c>
      <c r="G197" t="s">
        <v>49</v>
      </c>
      <c r="H197" t="s">
        <v>68</v>
      </c>
      <c r="I197" s="1">
        <v>46023</v>
      </c>
      <c r="J197" s="2">
        <v>108</v>
      </c>
      <c r="K197">
        <v>1</v>
      </c>
      <c r="L197" s="2">
        <v>108</v>
      </c>
      <c r="N197" t="s">
        <v>728</v>
      </c>
    </row>
    <row r="198" spans="1:14" x14ac:dyDescent="0.25">
      <c r="A198" s="4" t="s">
        <v>679</v>
      </c>
      <c r="B198" s="4" t="str">
        <f t="shared" si="3"/>
        <v>00023758280KOVR</v>
      </c>
      <c r="C198" t="s">
        <v>164</v>
      </c>
      <c r="D198" t="s">
        <v>55</v>
      </c>
      <c r="E198">
        <v>20411454</v>
      </c>
      <c r="F198" t="s">
        <v>737</v>
      </c>
      <c r="G198" t="s">
        <v>49</v>
      </c>
      <c r="H198" t="s">
        <v>68</v>
      </c>
      <c r="I198" s="1">
        <v>45992</v>
      </c>
      <c r="J198" s="2">
        <v>108</v>
      </c>
      <c r="K198">
        <v>1</v>
      </c>
      <c r="L198" s="2">
        <v>108</v>
      </c>
      <c r="N198" t="s">
        <v>728</v>
      </c>
    </row>
    <row r="199" spans="1:14" x14ac:dyDescent="0.25">
      <c r="A199" s="4" t="s">
        <v>682</v>
      </c>
      <c r="B199" s="4" t="str">
        <f t="shared" si="3"/>
        <v>00024672069KOVR</v>
      </c>
      <c r="C199" t="s">
        <v>172</v>
      </c>
      <c r="D199" t="s">
        <v>65</v>
      </c>
      <c r="E199">
        <v>20411454</v>
      </c>
      <c r="F199" t="s">
        <v>737</v>
      </c>
      <c r="G199" t="s">
        <v>49</v>
      </c>
      <c r="H199" t="s">
        <v>68</v>
      </c>
      <c r="I199" s="1">
        <v>46023</v>
      </c>
      <c r="J199" s="2">
        <v>108</v>
      </c>
      <c r="K199">
        <v>1</v>
      </c>
      <c r="L199" s="2">
        <v>108</v>
      </c>
      <c r="N199" t="s">
        <v>728</v>
      </c>
    </row>
    <row r="200" spans="1:14" x14ac:dyDescent="0.25">
      <c r="A200" s="4" t="s">
        <v>683</v>
      </c>
      <c r="B200" s="4" t="str">
        <f t="shared" si="3"/>
        <v>00025284991KOVR</v>
      </c>
      <c r="C200" t="s">
        <v>174</v>
      </c>
      <c r="D200" t="s">
        <v>175</v>
      </c>
      <c r="E200">
        <v>20411454</v>
      </c>
      <c r="F200" t="s">
        <v>737</v>
      </c>
      <c r="G200" t="s">
        <v>49</v>
      </c>
      <c r="H200" t="s">
        <v>68</v>
      </c>
      <c r="I200" s="1">
        <v>46023</v>
      </c>
      <c r="J200" s="2">
        <v>108</v>
      </c>
      <c r="K200">
        <v>1</v>
      </c>
      <c r="L200" s="2">
        <v>108</v>
      </c>
      <c r="N200" t="s">
        <v>728</v>
      </c>
    </row>
    <row r="201" spans="1:14" x14ac:dyDescent="0.25">
      <c r="A201" s="4" t="s">
        <v>746</v>
      </c>
      <c r="B201" s="4" t="str">
        <f t="shared" si="3"/>
        <v>00023765948KAOVR</v>
      </c>
      <c r="C201" t="s">
        <v>606</v>
      </c>
      <c r="D201" t="s">
        <v>55</v>
      </c>
      <c r="E201">
        <v>20411454</v>
      </c>
      <c r="F201" t="s">
        <v>737</v>
      </c>
      <c r="G201" t="s">
        <v>602</v>
      </c>
      <c r="H201" t="s">
        <v>68</v>
      </c>
      <c r="I201" s="1">
        <v>46023</v>
      </c>
      <c r="L201">
        <v>-108</v>
      </c>
      <c r="N201" t="s">
        <v>728</v>
      </c>
    </row>
    <row r="202" spans="1:14" s="6" customFormat="1" x14ac:dyDescent="0.25">
      <c r="A202" s="5" t="s">
        <v>747</v>
      </c>
      <c r="B202" s="5" t="s">
        <v>747</v>
      </c>
      <c r="C202" s="6" t="s">
        <v>612</v>
      </c>
      <c r="D202" s="6" t="s">
        <v>65</v>
      </c>
      <c r="E202" s="6">
        <v>18828278</v>
      </c>
      <c r="F202" s="6" t="s">
        <v>412</v>
      </c>
      <c r="G202" s="6" t="s">
        <v>602</v>
      </c>
      <c r="H202" s="6" t="s">
        <v>613</v>
      </c>
      <c r="I202" s="7">
        <v>46023</v>
      </c>
      <c r="L202" s="6">
        <v>-15</v>
      </c>
      <c r="N202" s="6" t="s">
        <v>729</v>
      </c>
    </row>
    <row r="203" spans="1:14" s="6" customFormat="1" x14ac:dyDescent="0.25">
      <c r="A203" s="5" t="s">
        <v>748</v>
      </c>
      <c r="B203" s="5" t="s">
        <v>748</v>
      </c>
      <c r="C203" s="6" t="s">
        <v>615</v>
      </c>
      <c r="D203" s="6" t="s">
        <v>239</v>
      </c>
      <c r="E203" s="6">
        <v>18598357</v>
      </c>
      <c r="F203" s="6" t="s">
        <v>126</v>
      </c>
      <c r="G203" s="6" t="s">
        <v>602</v>
      </c>
      <c r="H203" s="6" t="s">
        <v>613</v>
      </c>
      <c r="I203" s="7">
        <v>46023</v>
      </c>
      <c r="L203" s="6">
        <v>-15</v>
      </c>
      <c r="N203" s="6" t="s">
        <v>729</v>
      </c>
    </row>
    <row r="204" spans="1:14" s="6" customFormat="1" x14ac:dyDescent="0.25">
      <c r="A204" s="5" t="s">
        <v>749</v>
      </c>
      <c r="B204" s="5" t="s">
        <v>749</v>
      </c>
      <c r="C204" s="6" t="s">
        <v>620</v>
      </c>
      <c r="D204" s="6" t="s">
        <v>65</v>
      </c>
      <c r="E204" s="6">
        <v>17126004</v>
      </c>
      <c r="F204" s="6" t="s">
        <v>85</v>
      </c>
      <c r="G204" s="6" t="s">
        <v>602</v>
      </c>
      <c r="H204" s="6" t="s">
        <v>613</v>
      </c>
      <c r="I204" s="7">
        <v>46023</v>
      </c>
      <c r="L204" s="6">
        <v>-15</v>
      </c>
      <c r="N204" s="6" t="s">
        <v>729</v>
      </c>
    </row>
    <row r="205" spans="1:14" s="6" customFormat="1" x14ac:dyDescent="0.25">
      <c r="A205" s="5" t="s">
        <v>716</v>
      </c>
      <c r="B205" s="5" t="str">
        <f>CONCATENATE(A205,1)</f>
        <v>A043940351</v>
      </c>
      <c r="C205" s="6" t="s">
        <v>577</v>
      </c>
      <c r="D205" s="6" t="s">
        <v>148</v>
      </c>
      <c r="E205" s="6">
        <v>20724564</v>
      </c>
      <c r="F205" s="6" t="s">
        <v>262</v>
      </c>
      <c r="G205" s="6" t="s">
        <v>49</v>
      </c>
      <c r="H205" s="6" t="s">
        <v>578</v>
      </c>
      <c r="I205" s="7">
        <v>46023</v>
      </c>
      <c r="J205" s="8">
        <v>31.02</v>
      </c>
      <c r="K205" s="6">
        <v>9</v>
      </c>
      <c r="L205" s="8">
        <v>279.18</v>
      </c>
      <c r="N205" s="6" t="s">
        <v>578</v>
      </c>
    </row>
    <row r="206" spans="1:14" s="6" customFormat="1" x14ac:dyDescent="0.25">
      <c r="A206" s="5" t="s">
        <v>717</v>
      </c>
      <c r="B206" s="5" t="str">
        <f t="shared" ref="B206:B207" si="4">CONCATENATE(A206,1)</f>
        <v>A043969301</v>
      </c>
      <c r="C206" s="6" t="s">
        <v>580</v>
      </c>
      <c r="D206" s="6" t="s">
        <v>148</v>
      </c>
      <c r="E206" s="6">
        <v>20724564</v>
      </c>
      <c r="F206" s="6" t="s">
        <v>262</v>
      </c>
      <c r="G206" s="6" t="s">
        <v>49</v>
      </c>
      <c r="H206" s="6" t="s">
        <v>578</v>
      </c>
      <c r="I206" s="7">
        <v>46023</v>
      </c>
      <c r="J206" s="8">
        <v>31.02</v>
      </c>
      <c r="K206" s="6">
        <v>9</v>
      </c>
      <c r="L206" s="8">
        <v>279.18</v>
      </c>
      <c r="N206" s="6" t="s">
        <v>578</v>
      </c>
    </row>
    <row r="207" spans="1:14" s="6" customFormat="1" x14ac:dyDescent="0.25">
      <c r="A207" s="5" t="s">
        <v>719</v>
      </c>
      <c r="B207" s="5" t="str">
        <f t="shared" si="4"/>
        <v>A043983331</v>
      </c>
      <c r="C207" s="6" t="s">
        <v>585</v>
      </c>
      <c r="D207" s="6" t="s">
        <v>148</v>
      </c>
      <c r="E207" s="6">
        <v>16849453</v>
      </c>
      <c r="F207" s="6" t="s">
        <v>150</v>
      </c>
      <c r="G207" s="6" t="s">
        <v>49</v>
      </c>
      <c r="H207" s="6" t="s">
        <v>578</v>
      </c>
      <c r="I207" s="7">
        <v>46023</v>
      </c>
      <c r="J207" s="8">
        <v>31.02</v>
      </c>
      <c r="K207" s="6">
        <v>9</v>
      </c>
      <c r="L207" s="8">
        <v>279.18</v>
      </c>
      <c r="N207" s="6" t="s">
        <v>578</v>
      </c>
    </row>
    <row r="208" spans="1:14" x14ac:dyDescent="0.25">
      <c r="A208" s="4">
        <v>926371909</v>
      </c>
      <c r="B208" s="4" t="str">
        <f t="shared" ref="B208:B209" si="5">CONCATENATE(A208,"OVR")</f>
        <v>926371909OVR</v>
      </c>
      <c r="C208" t="s">
        <v>560</v>
      </c>
      <c r="D208" t="s">
        <v>561</v>
      </c>
      <c r="E208">
        <v>20411454</v>
      </c>
      <c r="F208" t="s">
        <v>737</v>
      </c>
      <c r="G208" t="s">
        <v>49</v>
      </c>
      <c r="H208" t="s">
        <v>564</v>
      </c>
      <c r="I208" s="1">
        <v>46082</v>
      </c>
      <c r="J208" s="2">
        <v>175</v>
      </c>
      <c r="K208">
        <v>1</v>
      </c>
      <c r="L208" s="2">
        <v>175</v>
      </c>
      <c r="N208" t="s">
        <v>730</v>
      </c>
    </row>
    <row r="209" spans="1:15" x14ac:dyDescent="0.25">
      <c r="A209" s="4">
        <v>977936680</v>
      </c>
      <c r="B209" s="4" t="str">
        <f t="shared" si="5"/>
        <v>977936680OVR</v>
      </c>
      <c r="C209" t="s">
        <v>645</v>
      </c>
      <c r="D209" t="s">
        <v>55</v>
      </c>
      <c r="E209">
        <v>20411454</v>
      </c>
      <c r="F209" t="s">
        <v>737</v>
      </c>
      <c r="G209" t="s">
        <v>602</v>
      </c>
      <c r="H209" t="s">
        <v>647</v>
      </c>
      <c r="I209" s="1">
        <v>45992</v>
      </c>
      <c r="L209">
        <v>-9.42</v>
      </c>
      <c r="N209" t="s">
        <v>730</v>
      </c>
    </row>
    <row r="210" spans="1:15" s="6" customFormat="1" x14ac:dyDescent="0.25">
      <c r="A210" s="5">
        <v>940823604</v>
      </c>
      <c r="B210" s="5" t="str">
        <f>CONCATENATE(A210,98)</f>
        <v>94082360498</v>
      </c>
      <c r="C210" s="6" t="s">
        <v>633</v>
      </c>
      <c r="D210" s="6" t="s">
        <v>65</v>
      </c>
      <c r="E210" s="6">
        <v>9213293</v>
      </c>
      <c r="F210" s="6" t="s">
        <v>115</v>
      </c>
      <c r="G210" s="6" t="s">
        <v>602</v>
      </c>
      <c r="H210" s="6" t="s">
        <v>634</v>
      </c>
      <c r="I210" s="7">
        <v>45992</v>
      </c>
      <c r="L210" s="6">
        <v>-626</v>
      </c>
      <c r="N210" s="6" t="s">
        <v>732</v>
      </c>
      <c r="O210" s="6" t="s">
        <v>735</v>
      </c>
    </row>
    <row r="211" spans="1:15" s="6" customFormat="1" x14ac:dyDescent="0.25">
      <c r="A211" s="5">
        <v>946535914</v>
      </c>
      <c r="B211" s="5" t="str">
        <f>CONCATENATE(A211,98)</f>
        <v>94653591498</v>
      </c>
      <c r="C211" s="6" t="s">
        <v>636</v>
      </c>
      <c r="D211" s="6" t="s">
        <v>65</v>
      </c>
      <c r="E211" s="6">
        <v>8325282</v>
      </c>
      <c r="F211" s="6" t="s">
        <v>424</v>
      </c>
      <c r="G211" s="6" t="s">
        <v>602</v>
      </c>
      <c r="H211" s="6" t="s">
        <v>634</v>
      </c>
      <c r="I211" s="7">
        <v>45992</v>
      </c>
      <c r="L211" s="6">
        <v>-626</v>
      </c>
      <c r="N211" s="6" t="s">
        <v>732</v>
      </c>
      <c r="O211" s="6" t="s">
        <v>735</v>
      </c>
    </row>
    <row r="212" spans="1:15" s="6" customFormat="1" x14ac:dyDescent="0.25">
      <c r="A212" s="5">
        <v>954564449</v>
      </c>
      <c r="B212" s="5" t="str">
        <f t="shared" ref="B212:B213" si="6">CONCATENATE(A212,1)</f>
        <v>9545644491</v>
      </c>
      <c r="C212" s="6" t="s">
        <v>638</v>
      </c>
      <c r="D212" s="6" t="s">
        <v>75</v>
      </c>
      <c r="E212" s="6">
        <v>19279958</v>
      </c>
      <c r="F212" s="6" t="s">
        <v>241</v>
      </c>
      <c r="G212" s="6" t="s">
        <v>602</v>
      </c>
      <c r="H212" s="6" t="s">
        <v>639</v>
      </c>
      <c r="I212" s="7">
        <v>45992</v>
      </c>
      <c r="L212" s="6">
        <v>-52.17</v>
      </c>
      <c r="N212" s="6" t="s">
        <v>731</v>
      </c>
      <c r="O212" s="6" t="s">
        <v>734</v>
      </c>
    </row>
    <row r="213" spans="1:15" s="6" customFormat="1" x14ac:dyDescent="0.25">
      <c r="A213" s="5">
        <v>977936680</v>
      </c>
      <c r="B213" s="5" t="str">
        <f t="shared" si="6"/>
        <v>9779366801</v>
      </c>
      <c r="C213" s="6" t="s">
        <v>645</v>
      </c>
      <c r="D213" s="6" t="s">
        <v>55</v>
      </c>
      <c r="E213" s="6">
        <v>19279958</v>
      </c>
      <c r="F213" s="6" t="s">
        <v>241</v>
      </c>
      <c r="G213" s="6" t="s">
        <v>602</v>
      </c>
      <c r="H213" s="6" t="s">
        <v>639</v>
      </c>
      <c r="I213" s="7">
        <v>45992</v>
      </c>
      <c r="L213" s="6">
        <v>-52.17</v>
      </c>
      <c r="N213" s="6" t="s">
        <v>731</v>
      </c>
      <c r="O213" s="6" t="s">
        <v>734</v>
      </c>
    </row>
    <row r="214" spans="1:15" s="6" customFormat="1" x14ac:dyDescent="0.25">
      <c r="A214" s="5">
        <v>976643581</v>
      </c>
      <c r="B214" s="5" t="str">
        <f>CONCATENATE(A214,98)</f>
        <v>97664358198</v>
      </c>
      <c r="C214" s="6" t="s">
        <v>641</v>
      </c>
      <c r="D214" s="6" t="s">
        <v>642</v>
      </c>
      <c r="E214" s="6" t="s">
        <v>750</v>
      </c>
      <c r="F214" s="6" t="s">
        <v>460</v>
      </c>
      <c r="G214" s="6" t="s">
        <v>602</v>
      </c>
      <c r="H214" s="6" t="s">
        <v>643</v>
      </c>
      <c r="I214" s="7">
        <v>45992</v>
      </c>
      <c r="L214" s="6">
        <v>-705</v>
      </c>
      <c r="N214" s="6" t="s">
        <v>733</v>
      </c>
      <c r="O214" s="6" t="s">
        <v>736</v>
      </c>
    </row>
  </sheetData>
  <sortState xmlns:xlrd2="http://schemas.microsoft.com/office/spreadsheetml/2017/richdata2" ref="A2:AM214">
    <sortCondition ref="H2:H2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BBE5-6C33-4CD9-AE10-80CFB23B399B}">
  <dimension ref="A1:P17"/>
  <sheetViews>
    <sheetView tabSelected="1" workbookViewId="0">
      <selection activeCell="A2" sqref="A2:XFD5"/>
    </sheetView>
  </sheetViews>
  <sheetFormatPr defaultRowHeight="15" x14ac:dyDescent="0.25"/>
  <cols>
    <col min="5" max="5" width="23.7109375" bestFit="1" customWidth="1"/>
    <col min="7" max="7" width="60" bestFit="1" customWidth="1"/>
  </cols>
  <sheetData>
    <row r="1" spans="1:16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25</v>
      </c>
      <c r="J1" t="s">
        <v>26</v>
      </c>
      <c r="K1" t="s">
        <v>28</v>
      </c>
      <c r="L1" t="s">
        <v>37</v>
      </c>
    </row>
    <row r="2" spans="1:16" s="10" customFormat="1" x14ac:dyDescent="0.25">
      <c r="A2" s="9" t="s">
        <v>718</v>
      </c>
      <c r="B2" s="10" t="s">
        <v>582</v>
      </c>
      <c r="C2" s="10" t="s">
        <v>572</v>
      </c>
      <c r="D2" s="10" t="s">
        <v>516</v>
      </c>
      <c r="E2" s="10" t="s">
        <v>517</v>
      </c>
      <c r="F2" s="10" t="s">
        <v>49</v>
      </c>
      <c r="G2" s="10" t="s">
        <v>583</v>
      </c>
      <c r="H2" s="11">
        <v>46023</v>
      </c>
      <c r="I2" s="12">
        <v>9.83</v>
      </c>
      <c r="J2" s="10">
        <v>9</v>
      </c>
      <c r="K2" s="12">
        <v>88.47</v>
      </c>
      <c r="M2" s="10">
        <f>39.69+39.6+7.47+1.71</f>
        <v>88.469999999999985</v>
      </c>
    </row>
    <row r="3" spans="1:16" s="10" customFormat="1" x14ac:dyDescent="0.25">
      <c r="A3" s="9" t="s">
        <v>715</v>
      </c>
      <c r="B3" s="10" t="s">
        <v>571</v>
      </c>
      <c r="C3" s="10" t="s">
        <v>572</v>
      </c>
      <c r="D3" s="10" t="s">
        <v>573</v>
      </c>
      <c r="E3" s="10" t="s">
        <v>574</v>
      </c>
      <c r="F3" s="10" t="s">
        <v>49</v>
      </c>
      <c r="G3" s="10" t="s">
        <v>575</v>
      </c>
      <c r="H3" s="11">
        <v>46023</v>
      </c>
      <c r="I3" s="12">
        <v>4.92</v>
      </c>
      <c r="J3" s="10">
        <v>9</v>
      </c>
      <c r="K3" s="12">
        <v>44.28</v>
      </c>
      <c r="M3" s="10">
        <f>38.7+2.79+2.79</f>
        <v>44.28</v>
      </c>
    </row>
    <row r="4" spans="1:16" s="10" customFormat="1" x14ac:dyDescent="0.25">
      <c r="A4" s="9" t="s">
        <v>720</v>
      </c>
      <c r="B4" s="10" t="s">
        <v>587</v>
      </c>
      <c r="C4" s="10" t="s">
        <v>65</v>
      </c>
      <c r="D4" s="10" t="s">
        <v>331</v>
      </c>
      <c r="E4" s="10" t="s">
        <v>332</v>
      </c>
      <c r="F4" s="10" t="s">
        <v>49</v>
      </c>
      <c r="G4" s="10" t="s">
        <v>588</v>
      </c>
      <c r="H4" s="11">
        <v>46023</v>
      </c>
      <c r="I4" s="12">
        <v>31.5</v>
      </c>
      <c r="J4" s="10">
        <v>9</v>
      </c>
      <c r="K4" s="12">
        <v>283.5</v>
      </c>
      <c r="M4" s="10">
        <f>236.25+17.01+30.24</f>
        <v>283.5</v>
      </c>
    </row>
    <row r="5" spans="1:16" s="10" customFormat="1" x14ac:dyDescent="0.25">
      <c r="A5" s="9" t="s">
        <v>714</v>
      </c>
      <c r="B5" s="10" t="s">
        <v>566</v>
      </c>
      <c r="C5" s="10" t="s">
        <v>239</v>
      </c>
      <c r="D5" s="10" t="s">
        <v>567</v>
      </c>
      <c r="E5" s="10" t="s">
        <v>568</v>
      </c>
      <c r="F5" s="10" t="s">
        <v>49</v>
      </c>
      <c r="G5" s="10" t="s">
        <v>569</v>
      </c>
      <c r="H5" s="11">
        <v>46023</v>
      </c>
      <c r="I5" s="12">
        <v>1.44</v>
      </c>
      <c r="J5" s="10">
        <v>9</v>
      </c>
      <c r="K5" s="12">
        <v>12.96</v>
      </c>
      <c r="M5" s="10">
        <f>9.72+2.16+1.08</f>
        <v>12.96</v>
      </c>
    </row>
    <row r="8" spans="1:16" x14ac:dyDescent="0.25">
      <c r="H8">
        <v>1</v>
      </c>
      <c r="I8">
        <v>12</v>
      </c>
      <c r="K8">
        <v>19.2</v>
      </c>
      <c r="L8">
        <v>288</v>
      </c>
      <c r="M8">
        <f>K8*3</f>
        <v>57.599999999999994</v>
      </c>
      <c r="N8">
        <f>M8+L8</f>
        <v>345.6</v>
      </c>
      <c r="O8" s="13">
        <f>N8/12</f>
        <v>28.8</v>
      </c>
      <c r="P8">
        <f>O8*5%</f>
        <v>1.4400000000000002</v>
      </c>
    </row>
    <row r="9" spans="1:16" x14ac:dyDescent="0.25">
      <c r="H9">
        <v>13</v>
      </c>
      <c r="I9">
        <v>72</v>
      </c>
      <c r="K9">
        <v>12.8</v>
      </c>
      <c r="L9">
        <v>192</v>
      </c>
      <c r="M9">
        <f>K9*3</f>
        <v>38.400000000000006</v>
      </c>
      <c r="N9">
        <f>M9+L9</f>
        <v>230.4</v>
      </c>
      <c r="O9" s="13">
        <f>N9/12</f>
        <v>19.2</v>
      </c>
      <c r="P9">
        <f t="shared" ref="P9:P11" si="0">O9*5%</f>
        <v>0.96</v>
      </c>
    </row>
    <row r="10" spans="1:16" x14ac:dyDescent="0.25">
      <c r="H10">
        <v>73</v>
      </c>
      <c r="I10">
        <v>0</v>
      </c>
      <c r="K10">
        <v>6.4</v>
      </c>
      <c r="L10">
        <v>96</v>
      </c>
      <c r="M10">
        <f>K10*3</f>
        <v>19.200000000000003</v>
      </c>
      <c r="N10">
        <f>M10+L10</f>
        <v>115.2</v>
      </c>
      <c r="O10" s="13">
        <f>N10/12</f>
        <v>9.6</v>
      </c>
      <c r="P10">
        <f t="shared" si="0"/>
        <v>0.48</v>
      </c>
    </row>
    <row r="11" spans="1:16" x14ac:dyDescent="0.25">
      <c r="K11">
        <v>2</v>
      </c>
      <c r="L11">
        <v>30</v>
      </c>
      <c r="M11">
        <f>K11*3</f>
        <v>6</v>
      </c>
      <c r="N11">
        <f>M11+L11</f>
        <v>36</v>
      </c>
      <c r="O11" s="13">
        <f>N11/12</f>
        <v>3</v>
      </c>
      <c r="P11">
        <f t="shared" si="0"/>
        <v>0.15000000000000002</v>
      </c>
    </row>
    <row r="14" spans="1:16" x14ac:dyDescent="0.25">
      <c r="H14">
        <v>8.81</v>
      </c>
      <c r="I14">
        <f>H14*50%</f>
        <v>4.4050000000000002</v>
      </c>
    </row>
    <row r="17" spans="12:12" x14ac:dyDescent="0.25">
      <c r="L1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2025-12-26T06:31:53Z</dcterms:created>
  <dcterms:modified xsi:type="dcterms:W3CDTF">2026-01-30T16:20:39Z</dcterms:modified>
</cp:coreProperties>
</file>