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9-03-25\"/>
    </mc:Choice>
  </mc:AlternateContent>
  <xr:revisionPtr revIDLastSave="0" documentId="13_ncr:1_{35251A32-230A-4762-AC49-393B590585A0}" xr6:coauthVersionLast="47" xr6:coauthVersionMax="47" xr10:uidLastSave="{00000000-0000-0000-0000-000000000000}"/>
  <bookViews>
    <workbookView xWindow="28680" yWindow="-120" windowWidth="29040" windowHeight="16440" xr2:uid="{E0E5D2C2-9D7A-49FF-ACB1-DE844D2A5F61}"/>
  </bookViews>
  <sheets>
    <sheet name="New Business Agent Statement - 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B94" i="2" l="1"/>
  <c r="B88" i="2"/>
  <c r="B82" i="2"/>
  <c r="B81" i="2"/>
  <c r="B80" i="2"/>
  <c r="B79" i="2"/>
  <c r="B78" i="2"/>
  <c r="B77" i="2"/>
  <c r="B76" i="2"/>
  <c r="B75" i="2"/>
  <c r="B74" i="2"/>
  <c r="B73" i="2"/>
  <c r="B72" i="2"/>
  <c r="B70" i="2"/>
  <c r="B69" i="2"/>
  <c r="B37" i="2"/>
  <c r="B36" i="2"/>
  <c r="B35" i="2"/>
  <c r="B34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92" i="2"/>
  <c r="T93" i="2"/>
  <c r="B93" i="2"/>
  <c r="T92" i="2"/>
</calcChain>
</file>

<file path=xl/sharedStrings.xml><?xml version="1.0" encoding="utf-8"?>
<sst xmlns="http://schemas.openxmlformats.org/spreadsheetml/2006/main" count="2118" uniqueCount="359">
  <si>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</si>
  <si>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</si>
  <si>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</si>
  <si>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</si>
  <si>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</si>
  <si>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</si>
  <si>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</si>
  <si>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</si>
  <si>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</si>
  <si>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</si>
  <si>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</si>
  <si>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</si>
  <si>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</si>
  <si>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</si>
  <si>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</si>
  <si>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</si>
  <si>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</si>
  <si>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</si>
  <si>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</si>
  <si>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</si>
  <si>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</si>
  <si>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</si>
  <si>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</si>
  <si>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</si>
  <si>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</si>
  <si>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</si>
  <si>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</si>
  <si>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</si>
  <si>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</si>
  <si>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</si>
  <si>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</si>
  <si>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</si>
  <si>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</si>
  <si>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</si>
  <si>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</si>
  <si>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</si>
  <si>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</si>
  <si>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</si>
  <si>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</si>
  <si>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</si>
  <si>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</si>
  <si>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</si>
  <si>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</si>
  <si>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</si>
  <si>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'00012290150KPC</t>
  </si>
  <si>
    <t>VICKY DOWNS</t>
  </si>
  <si>
    <t>NA</t>
  </si>
  <si>
    <t>'045605</t>
  </si>
  <si>
    <t>GARY PORTUGAL</t>
  </si>
  <si>
    <t>Active</t>
  </si>
  <si>
    <t>Humana MA 2019+ Level 15- 175/108 Repl 2024</t>
  </si>
  <si>
    <t>Monthly</t>
  </si>
  <si>
    <t>AV</t>
  </si>
  <si>
    <t>Humana MA Bonus Upload 09-03-2025.xlsx</t>
  </si>
  <si>
    <t>'00023571210K</t>
  </si>
  <si>
    <t>JEANNE TURF</t>
  </si>
  <si>
    <t>IL</t>
  </si>
  <si>
    <t>ACTIVE</t>
  </si>
  <si>
    <t>Humana MA 2019+ Level 15- 175/108</t>
  </si>
  <si>
    <t>'00023573496K</t>
  </si>
  <si>
    <t>JAMES STAUB</t>
  </si>
  <si>
    <t>'045618</t>
  </si>
  <si>
    <t>STEPHANIE DRAPAC</t>
  </si>
  <si>
    <t>'00023573821K</t>
  </si>
  <si>
    <t>NANCY BREHME</t>
  </si>
  <si>
    <t>'043618</t>
  </si>
  <si>
    <t>SAADIA ABDUL</t>
  </si>
  <si>
    <t>'00023575071K</t>
  </si>
  <si>
    <t>ROARK JOHNSON</t>
  </si>
  <si>
    <t>'00023576096KPDP</t>
  </si>
  <si>
    <t>BERNADETTE KOMENDA</t>
  </si>
  <si>
    <t>IN</t>
  </si>
  <si>
    <t>'045612</t>
  </si>
  <si>
    <t>ANTHONY HUNSBERGER</t>
  </si>
  <si>
    <t>Humana PDP 2019+ Level 15- 15/0</t>
  </si>
  <si>
    <t>'00023576258K</t>
  </si>
  <si>
    <t>DUMITRU LUPOU</t>
  </si>
  <si>
    <t>'00023576347K</t>
  </si>
  <si>
    <t>PATRICIA KOLLMAN THOMPSON</t>
  </si>
  <si>
    <t>'046015</t>
  </si>
  <si>
    <t>SANDRA SENTMAN</t>
  </si>
  <si>
    <t>'00023578181K</t>
  </si>
  <si>
    <t>EDMUND RODRIGUEZ</t>
  </si>
  <si>
    <t>AZ</t>
  </si>
  <si>
    <t>'043969</t>
  </si>
  <si>
    <t>STACEY PORTUGAL</t>
  </si>
  <si>
    <t>'00023581570KPDP</t>
  </si>
  <si>
    <t>MONTI HARRIS</t>
  </si>
  <si>
    <t>'045937</t>
  </si>
  <si>
    <t>MARSHA SANDEROCK</t>
  </si>
  <si>
    <t>'00023582058K</t>
  </si>
  <si>
    <t>ALVIN FRANKLIN</t>
  </si>
  <si>
    <t>TN</t>
  </si>
  <si>
    <t>'043682</t>
  </si>
  <si>
    <t>GREGORY TEIPEL</t>
  </si>
  <si>
    <t>'00023584377K</t>
  </si>
  <si>
    <t>ROY THOMPSON</t>
  </si>
  <si>
    <t>'043705</t>
  </si>
  <si>
    <t>MICHAEL DUNAVANT</t>
  </si>
  <si>
    <t>'00023584451K</t>
  </si>
  <si>
    <t>MARIANNE BOWMAN</t>
  </si>
  <si>
    <t>'043813</t>
  </si>
  <si>
    <t>VICTOR FUENTES</t>
  </si>
  <si>
    <t>'00023584480K</t>
  </si>
  <si>
    <t>CORAL COOPER</t>
  </si>
  <si>
    <t>WI</t>
  </si>
  <si>
    <t>'043637</t>
  </si>
  <si>
    <t>CHRISTIAN TAUGNER</t>
  </si>
  <si>
    <t>'101930241000</t>
  </si>
  <si>
    <t>BELINDA SCOTT</t>
  </si>
  <si>
    <t>PA</t>
  </si>
  <si>
    <t>'045673</t>
  </si>
  <si>
    <t>MARK ROCCIA</t>
  </si>
  <si>
    <t>Aetna MAPD NMO to GMO - 4-1-23+  Replace E-App</t>
  </si>
  <si>
    <t>3/12 PRORATE</t>
  </si>
  <si>
    <t>'102181870900</t>
  </si>
  <si>
    <t>KAREN SCHNORR</t>
  </si>
  <si>
    <t>Aetna MAPD NMO to GMO - 4-1-23+  New E-App</t>
  </si>
  <si>
    <t>'102181883500</t>
  </si>
  <si>
    <t>GENETTE AFFRUNTI</t>
  </si>
  <si>
    <t>'045611</t>
  </si>
  <si>
    <t>FRANK LISKOVEC</t>
  </si>
  <si>
    <t>'102182237600</t>
  </si>
  <si>
    <t>PATRICK BAYSINGER</t>
  </si>
  <si>
    <t>'045632</t>
  </si>
  <si>
    <t>BARRY SCHUMANN</t>
  </si>
  <si>
    <t>'102182536000</t>
  </si>
  <si>
    <t>CHERYL WILLOCKS</t>
  </si>
  <si>
    <t>GA</t>
  </si>
  <si>
    <t>'102183051300</t>
  </si>
  <si>
    <t>CHARLOTTE ANDRESKY</t>
  </si>
  <si>
    <t>NC</t>
  </si>
  <si>
    <t>'102183195600</t>
  </si>
  <si>
    <t>SHARON NELSEN</t>
  </si>
  <si>
    <t>'045604</t>
  </si>
  <si>
    <t>JEFFREY HORN</t>
  </si>
  <si>
    <t>'102183716700</t>
  </si>
  <si>
    <t>EDWARD JONES</t>
  </si>
  <si>
    <t>'043679</t>
  </si>
  <si>
    <t>DEBORAH INSKIPT</t>
  </si>
  <si>
    <t>'102183764700</t>
  </si>
  <si>
    <t>THOMAS VONBERG</t>
  </si>
  <si>
    <t>TX</t>
  </si>
  <si>
    <t>'102184098400</t>
  </si>
  <si>
    <t>TERRIE PALAZZO</t>
  </si>
  <si>
    <t>'043644</t>
  </si>
  <si>
    <t>TIMOTHY HODGMAN</t>
  </si>
  <si>
    <t>'102184099700</t>
  </si>
  <si>
    <t>DOREEN WALKER</t>
  </si>
  <si>
    <t>'043691</t>
  </si>
  <si>
    <t>MICHELLE MCCORKLE</t>
  </si>
  <si>
    <t>'102184194300</t>
  </si>
  <si>
    <t>JOHN HANCHOSKY</t>
  </si>
  <si>
    <t>'043786</t>
  </si>
  <si>
    <t>MARGARET SMITH</t>
  </si>
  <si>
    <t>'102184276900</t>
  </si>
  <si>
    <t>THOMAS DANIELS</t>
  </si>
  <si>
    <t>CO</t>
  </si>
  <si>
    <t>'045621</t>
  </si>
  <si>
    <t>HEATHER GESKE</t>
  </si>
  <si>
    <t>'102184427100</t>
  </si>
  <si>
    <t>DAVID FRY</t>
  </si>
  <si>
    <t>MO</t>
  </si>
  <si>
    <t>'102184438000</t>
  </si>
  <si>
    <t>DONNA REBOLETTI</t>
  </si>
  <si>
    <t>'041686</t>
  </si>
  <si>
    <t>DALE WALENGA</t>
  </si>
  <si>
    <t>'102184490600</t>
  </si>
  <si>
    <t>NOEL SPASO</t>
  </si>
  <si>
    <t>'045603</t>
  </si>
  <si>
    <t>ANDREW CHOI</t>
  </si>
  <si>
    <t>'102184515800</t>
  </si>
  <si>
    <t>RAYMOND SPASO</t>
  </si>
  <si>
    <t>'102184690900</t>
  </si>
  <si>
    <t>NANCY MASCHMEYER</t>
  </si>
  <si>
    <t>'102184907800</t>
  </si>
  <si>
    <t>GINGER PHILLIPS</t>
  </si>
  <si>
    <t>OK</t>
  </si>
  <si>
    <t>'102185121400</t>
  </si>
  <si>
    <t>CHERYL BELLAVIA</t>
  </si>
  <si>
    <t>'102185144300</t>
  </si>
  <si>
    <t>DIANNE BALOUGH</t>
  </si>
  <si>
    <t>'047621</t>
  </si>
  <si>
    <t>TOM SERIO</t>
  </si>
  <si>
    <t>'102185649000</t>
  </si>
  <si>
    <t>DIXIE MORLEY</t>
  </si>
  <si>
    <t>'043867</t>
  </si>
  <si>
    <t>RYAN STOCKER</t>
  </si>
  <si>
    <t>'102185649100</t>
  </si>
  <si>
    <t>BARBARA DAWSON</t>
  </si>
  <si>
    <t>'102185749400</t>
  </si>
  <si>
    <t>JOHN MARTIN</t>
  </si>
  <si>
    <t>'102185986800</t>
  </si>
  <si>
    <t>SUSAN LEINENBACH</t>
  </si>
  <si>
    <t>'043611</t>
  </si>
  <si>
    <t>TIMOTHY POWERS</t>
  </si>
  <si>
    <t>'102186185100</t>
  </si>
  <si>
    <t>RUBEN RAY</t>
  </si>
  <si>
    <t>'102186402600</t>
  </si>
  <si>
    <t>RAYMOND GLACE</t>
  </si>
  <si>
    <t>'102186566000</t>
  </si>
  <si>
    <t>ELVIRA CACHO</t>
  </si>
  <si>
    <t>OH</t>
  </si>
  <si>
    <t>'045613</t>
  </si>
  <si>
    <t>RICARDO SANTOS</t>
  </si>
  <si>
    <t>Aetna MAPD NMO to GMO - 4-1-23+  New Paper</t>
  </si>
  <si>
    <t>'102186573600</t>
  </si>
  <si>
    <t>WILLIAM BYERLEY</t>
  </si>
  <si>
    <t>'043692</t>
  </si>
  <si>
    <t>ADAM RICHTER</t>
  </si>
  <si>
    <t>'102186764000</t>
  </si>
  <si>
    <t>TIM LLOYD</t>
  </si>
  <si>
    <t>WY</t>
  </si>
  <si>
    <t>'102186765800</t>
  </si>
  <si>
    <t>RONALD BEND</t>
  </si>
  <si>
    <t>'102186791500</t>
  </si>
  <si>
    <t>ANN JOHNSON</t>
  </si>
  <si>
    <t>'102186920500</t>
  </si>
  <si>
    <t>ANDREW NEY</t>
  </si>
  <si>
    <t>'102189347200</t>
  </si>
  <si>
    <t>TRACEY HODGE</t>
  </si>
  <si>
    <t>'045637</t>
  </si>
  <si>
    <t>ALISON LUSE</t>
  </si>
  <si>
    <t>Aetna MAPD NMO to GMO - 4-1-23+  Replace Paper</t>
  </si>
  <si>
    <t>5/12 PRORATE</t>
  </si>
  <si>
    <t>'102189582400</t>
  </si>
  <si>
    <t>REBECCA FERTIG</t>
  </si>
  <si>
    <t>SC</t>
  </si>
  <si>
    <t>'102189713800</t>
  </si>
  <si>
    <t>TAMMY LAPIER</t>
  </si>
  <si>
    <t>4/12 PRORATE</t>
  </si>
  <si>
    <t>'102189788900</t>
  </si>
  <si>
    <t>MICHAEL DAUGHERTY</t>
  </si>
  <si>
    <t>'991449036</t>
  </si>
  <si>
    <t>ABDUL MOHAMMED</t>
  </si>
  <si>
    <t>UHC MAPD Street payable to upline- 2025 Replace</t>
  </si>
  <si>
    <t>'991449036OV</t>
  </si>
  <si>
    <t>UHC MA Direct 2025 New Initial Prorated</t>
  </si>
  <si>
    <t>'A04322812</t>
  </si>
  <si>
    <t>ROBIN SIGMON</t>
  </si>
  <si>
    <t>MD</t>
  </si>
  <si>
    <t>UHC AARP Med Supp 2025+ MD Plan B C F G</t>
  </si>
  <si>
    <t>CB</t>
  </si>
  <si>
    <t>'00022669065KPC</t>
  </si>
  <si>
    <t>MARY JANE DUDDLESTON</t>
  </si>
  <si>
    <t>CHARGEBACK</t>
  </si>
  <si>
    <t>'00022947574KPC</t>
  </si>
  <si>
    <t>DEBRA LAWRENCE</t>
  </si>
  <si>
    <t>VA</t>
  </si>
  <si>
    <t>'043678</t>
  </si>
  <si>
    <t>MATTHEW DAUGHERTY</t>
  </si>
  <si>
    <t>'102112917400PC</t>
  </si>
  <si>
    <t>RONALD RHODEN</t>
  </si>
  <si>
    <t>'102181870900CB</t>
  </si>
  <si>
    <t>'102181883500CB</t>
  </si>
  <si>
    <t>'102182237600CB</t>
  </si>
  <si>
    <t>'102182536000CB</t>
  </si>
  <si>
    <t>'102183051300CB</t>
  </si>
  <si>
    <t>'102183195600CB</t>
  </si>
  <si>
    <t>'102183716700CB</t>
  </si>
  <si>
    <t>'102183764700CB</t>
  </si>
  <si>
    <t>'102184098400CB</t>
  </si>
  <si>
    <t>'102184099700CB</t>
  </si>
  <si>
    <t>'102184194300CB</t>
  </si>
  <si>
    <t>'102184276900CB</t>
  </si>
  <si>
    <t>'102184427100CB</t>
  </si>
  <si>
    <t>'102184438000CB</t>
  </si>
  <si>
    <t>'102184490600CB</t>
  </si>
  <si>
    <t>'102184515800CB</t>
  </si>
  <si>
    <t>'102184690900CB</t>
  </si>
  <si>
    <t>'102184907800CB</t>
  </si>
  <si>
    <t>'102185121400CB</t>
  </si>
  <si>
    <t>'102185144300CB</t>
  </si>
  <si>
    <t>'102185649000CB</t>
  </si>
  <si>
    <t>'102185649100CB</t>
  </si>
  <si>
    <t>'102185749400CB</t>
  </si>
  <si>
    <t>'102185986800CB</t>
  </si>
  <si>
    <t>'102186185100CB</t>
  </si>
  <si>
    <t>'102186402600CB</t>
  </si>
  <si>
    <t>'102186566000CB</t>
  </si>
  <si>
    <t>'102186573600CB</t>
  </si>
  <si>
    <t>'102186764000CB</t>
  </si>
  <si>
    <t>'102186765800CB</t>
  </si>
  <si>
    <t>'102186791500CB</t>
  </si>
  <si>
    <t>'102186920500CB</t>
  </si>
  <si>
    <t>'956983437OVPC</t>
  </si>
  <si>
    <t>DONNA FOX</t>
  </si>
  <si>
    <t>UHC MA Direct 2024 New Full</t>
  </si>
  <si>
    <t>'956983437PC</t>
  </si>
  <si>
    <t>UHC MAPD Street payable to upline - 2025 New</t>
  </si>
  <si>
    <t>'992802492OVPC</t>
  </si>
  <si>
    <t>RICARDO SANCHEZ</t>
  </si>
  <si>
    <t>'045709</t>
  </si>
  <si>
    <t>ESTHER HERRERA-LARSEN</t>
  </si>
  <si>
    <t>'992802492PC</t>
  </si>
  <si>
    <t>00012290150KPC</t>
  </si>
  <si>
    <t>00023571210K</t>
  </si>
  <si>
    <t>00023573496K</t>
  </si>
  <si>
    <t>00023573821K</t>
  </si>
  <si>
    <t>00023575071K</t>
  </si>
  <si>
    <t>00023576096KPDP</t>
  </si>
  <si>
    <t>00023576258K</t>
  </si>
  <si>
    <t>00023576347K</t>
  </si>
  <si>
    <t>00023578181K</t>
  </si>
  <si>
    <t>00023581570KPDP</t>
  </si>
  <si>
    <t>00023582058K</t>
  </si>
  <si>
    <t>00023584377K</t>
  </si>
  <si>
    <t>00023584451K</t>
  </si>
  <si>
    <t>00023584480K</t>
  </si>
  <si>
    <t>991449036OV</t>
  </si>
  <si>
    <t>A04322812</t>
  </si>
  <si>
    <t>00022669065KPC</t>
  </si>
  <si>
    <t>00022947574KPC</t>
  </si>
  <si>
    <t>102112917400PC</t>
  </si>
  <si>
    <t>102181870900CB</t>
  </si>
  <si>
    <t>102181883500CB</t>
  </si>
  <si>
    <t>102182237600CB</t>
  </si>
  <si>
    <t>102182536000CB</t>
  </si>
  <si>
    <t>102183051300CB</t>
  </si>
  <si>
    <t>102183195600CB</t>
  </si>
  <si>
    <t>102183716700CB</t>
  </si>
  <si>
    <t>102183764700CB</t>
  </si>
  <si>
    <t>102184098400CB</t>
  </si>
  <si>
    <t>102184099700CB</t>
  </si>
  <si>
    <t>102184194300CB</t>
  </si>
  <si>
    <t>102184276900CB</t>
  </si>
  <si>
    <t>102184427100CB</t>
  </si>
  <si>
    <t>102184438000CB</t>
  </si>
  <si>
    <t>102184490600CB</t>
  </si>
  <si>
    <t>102184515800CB</t>
  </si>
  <si>
    <t>102184690900CB</t>
  </si>
  <si>
    <t>102184907800CB</t>
  </si>
  <si>
    <t>102185121400CB</t>
  </si>
  <si>
    <t>102185144300CB</t>
  </si>
  <si>
    <t>102185649000CB</t>
  </si>
  <si>
    <t>102185649100CB</t>
  </si>
  <si>
    <t>102185749400CB</t>
  </si>
  <si>
    <t>102185986800CB</t>
  </si>
  <si>
    <t>102186185100CB</t>
  </si>
  <si>
    <t>102186402600CB</t>
  </si>
  <si>
    <t>102186566000CB</t>
  </si>
  <si>
    <t>102186573600CB</t>
  </si>
  <si>
    <t>102186764000CB</t>
  </si>
  <si>
    <t>102186765800CB</t>
  </si>
  <si>
    <t>102186791500CB</t>
  </si>
  <si>
    <t>102186920500CB</t>
  </si>
  <si>
    <t>956983437OVPC</t>
  </si>
  <si>
    <t>992802492OVPC</t>
  </si>
  <si>
    <t>Aetna MAPD OVR 2025</t>
  </si>
  <si>
    <t>Humana MAPD OVR 2025</t>
  </si>
  <si>
    <t>Humana PDP 2025!</t>
  </si>
  <si>
    <t>UHC MAPD Ovr 2025</t>
  </si>
  <si>
    <t>UHC 2025</t>
  </si>
  <si>
    <t>UHC MAPD 2025*</t>
  </si>
  <si>
    <t>UHC AARP MS MD - Plan B C D F G</t>
  </si>
  <si>
    <t>[%/$=626][prorate=4/12]</t>
  </si>
  <si>
    <t>[%/$=626][prorate=8/12]</t>
  </si>
  <si>
    <t>Main Line Benefits</t>
  </si>
  <si>
    <t>[%/$=313][prorate=4/12]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</si>
</sst>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C98A-194B-4E68-A05B-4375618FF0A6}">
  <dimension ref="A1:AL94"/>
  <sheetViews>
    <sheetView tabSelected="1" topLeftCell="T34" workbookViewId="0">
      <selection activeCell="G61" sqref="A61:XFD61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29.42578125" bestFit="1" customWidth="1"/>
    <col min="6" max="6" width="8.5703125" bestFit="1" customWidth="1"/>
    <col min="7" max="7" width="6.42578125" bestFit="1" customWidth="1"/>
    <col min="8" max="8" width="18.140625" bestFit="1" customWidth="1"/>
    <col min="9" max="9" width="17.42578125" bestFit="1" customWidth="1"/>
    <col min="10" max="10" width="29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3.7109375" bestFit="1" customWidth="1"/>
    <col min="17" max="17" width="12.85546875" bestFit="1" customWidth="1"/>
    <col min="18" max="18" width="47.1406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39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45903</v>
      </c>
      <c r="B2" s="1">
        <v>45903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115</v>
      </c>
      <c r="J2" t="s">
        <v>116</v>
      </c>
      <c r="M2" t="s">
        <v>56</v>
      </c>
      <c r="O2" t="s">
        <v>72</v>
      </c>
      <c r="P2" t="s">
        <v>73</v>
      </c>
      <c r="Q2" t="s">
        <v>57</v>
      </c>
      <c r="R2" t="s">
        <v>117</v>
      </c>
      <c r="S2" s="1">
        <v>45839</v>
      </c>
      <c r="U2" t="s">
        <v>51</v>
      </c>
      <c r="X2" t="s">
        <v>52</v>
      </c>
      <c r="Y2" s="2">
        <v>0</v>
      </c>
      <c r="Z2" s="2">
        <v>50</v>
      </c>
      <c r="AA2">
        <v>1</v>
      </c>
      <c r="AB2" s="3">
        <v>1</v>
      </c>
      <c r="AC2" s="2">
        <v>50</v>
      </c>
      <c r="AD2" s="3">
        <v>0</v>
      </c>
      <c r="AE2" s="2">
        <v>0</v>
      </c>
      <c r="AF2" s="2">
        <v>50</v>
      </c>
      <c r="AK2">
        <v>5775707</v>
      </c>
    </row>
    <row r="3" spans="1:38" x14ac:dyDescent="0.25">
      <c r="A3" s="1">
        <v>45903</v>
      </c>
      <c r="B3" s="1">
        <v>45903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118</v>
      </c>
      <c r="J3" t="s">
        <v>119</v>
      </c>
      <c r="M3" t="s">
        <v>71</v>
      </c>
      <c r="O3" t="s">
        <v>120</v>
      </c>
      <c r="P3" t="s">
        <v>121</v>
      </c>
      <c r="Q3" t="s">
        <v>57</v>
      </c>
      <c r="R3" t="s">
        <v>117</v>
      </c>
      <c r="S3" s="1">
        <v>45870</v>
      </c>
      <c r="U3" t="s">
        <v>51</v>
      </c>
      <c r="X3" t="s">
        <v>52</v>
      </c>
      <c r="Y3" s="2">
        <v>0</v>
      </c>
      <c r="Z3" s="2">
        <v>50</v>
      </c>
      <c r="AA3">
        <v>1</v>
      </c>
      <c r="AB3" s="3">
        <v>1</v>
      </c>
      <c r="AC3" s="2">
        <v>50</v>
      </c>
      <c r="AD3" s="3">
        <v>0</v>
      </c>
      <c r="AE3" s="2">
        <v>0</v>
      </c>
      <c r="AF3" s="2">
        <v>50</v>
      </c>
      <c r="AK3">
        <v>5775708</v>
      </c>
    </row>
    <row r="4" spans="1:38" x14ac:dyDescent="0.25">
      <c r="A4" s="1">
        <v>45903</v>
      </c>
      <c r="B4" s="1">
        <v>45903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122</v>
      </c>
      <c r="J4" t="s">
        <v>123</v>
      </c>
      <c r="M4" t="s">
        <v>56</v>
      </c>
      <c r="O4" t="s">
        <v>124</v>
      </c>
      <c r="P4" t="s">
        <v>125</v>
      </c>
      <c r="Q4" t="s">
        <v>57</v>
      </c>
      <c r="R4" t="s">
        <v>117</v>
      </c>
      <c r="S4" s="1">
        <v>45901</v>
      </c>
      <c r="U4" t="s">
        <v>51</v>
      </c>
      <c r="X4" t="s">
        <v>52</v>
      </c>
      <c r="Y4" s="2">
        <v>0</v>
      </c>
      <c r="Z4" s="2">
        <v>50</v>
      </c>
      <c r="AA4">
        <v>1</v>
      </c>
      <c r="AB4" s="3">
        <v>1</v>
      </c>
      <c r="AC4" s="2">
        <v>50</v>
      </c>
      <c r="AD4" s="3">
        <v>0</v>
      </c>
      <c r="AE4" s="2">
        <v>0</v>
      </c>
      <c r="AF4" s="2">
        <v>50</v>
      </c>
      <c r="AK4">
        <v>5775716</v>
      </c>
    </row>
    <row r="5" spans="1:38" x14ac:dyDescent="0.25">
      <c r="A5" s="1">
        <v>45903</v>
      </c>
      <c r="B5" s="1">
        <v>45903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126</v>
      </c>
      <c r="J5" t="s">
        <v>127</v>
      </c>
      <c r="M5" t="s">
        <v>128</v>
      </c>
      <c r="O5" t="s">
        <v>84</v>
      </c>
      <c r="P5" t="s">
        <v>85</v>
      </c>
      <c r="Q5" t="s">
        <v>57</v>
      </c>
      <c r="R5" t="s">
        <v>117</v>
      </c>
      <c r="S5" s="1">
        <v>45931</v>
      </c>
      <c r="U5" t="s">
        <v>51</v>
      </c>
      <c r="X5" t="s">
        <v>52</v>
      </c>
      <c r="Y5" s="2">
        <v>0</v>
      </c>
      <c r="Z5" s="2">
        <v>50</v>
      </c>
      <c r="AA5">
        <v>1</v>
      </c>
      <c r="AB5" s="3">
        <v>1</v>
      </c>
      <c r="AC5" s="2">
        <v>50</v>
      </c>
      <c r="AD5" s="3">
        <v>0</v>
      </c>
      <c r="AE5" s="2">
        <v>0</v>
      </c>
      <c r="AF5" s="2">
        <v>50</v>
      </c>
      <c r="AK5">
        <v>5775724</v>
      </c>
    </row>
    <row r="6" spans="1:38" x14ac:dyDescent="0.25">
      <c r="A6" s="1">
        <v>45903</v>
      </c>
      <c r="B6" s="1">
        <v>45903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129</v>
      </c>
      <c r="J6" t="s">
        <v>130</v>
      </c>
      <c r="M6" t="s">
        <v>131</v>
      </c>
      <c r="O6" t="s">
        <v>93</v>
      </c>
      <c r="P6" t="s">
        <v>94</v>
      </c>
      <c r="Q6" t="s">
        <v>57</v>
      </c>
      <c r="R6" t="s">
        <v>117</v>
      </c>
      <c r="S6" s="1">
        <v>45931</v>
      </c>
      <c r="U6" t="s">
        <v>51</v>
      </c>
      <c r="X6" t="s">
        <v>52</v>
      </c>
      <c r="Y6" s="2">
        <v>0</v>
      </c>
      <c r="Z6" s="2">
        <v>50</v>
      </c>
      <c r="AA6">
        <v>1</v>
      </c>
      <c r="AB6" s="3">
        <v>1</v>
      </c>
      <c r="AC6" s="2">
        <v>50</v>
      </c>
      <c r="AD6" s="3">
        <v>0</v>
      </c>
      <c r="AE6" s="2">
        <v>0</v>
      </c>
      <c r="AF6" s="2">
        <v>50</v>
      </c>
      <c r="AK6">
        <v>5775730</v>
      </c>
    </row>
    <row r="7" spans="1:38" x14ac:dyDescent="0.25">
      <c r="A7" s="1">
        <v>45903</v>
      </c>
      <c r="B7" s="1">
        <v>45903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132</v>
      </c>
      <c r="J7" t="s">
        <v>133</v>
      </c>
      <c r="M7" t="s">
        <v>56</v>
      </c>
      <c r="O7" t="s">
        <v>134</v>
      </c>
      <c r="P7" t="s">
        <v>135</v>
      </c>
      <c r="Q7" t="s">
        <v>57</v>
      </c>
      <c r="R7" t="s">
        <v>117</v>
      </c>
      <c r="S7" s="1">
        <v>45870</v>
      </c>
      <c r="U7" t="s">
        <v>51</v>
      </c>
      <c r="X7" t="s">
        <v>52</v>
      </c>
      <c r="Y7" s="2">
        <v>0</v>
      </c>
      <c r="Z7" s="2">
        <v>50</v>
      </c>
      <c r="AA7">
        <v>1</v>
      </c>
      <c r="AB7" s="3">
        <v>1</v>
      </c>
      <c r="AC7" s="2">
        <v>50</v>
      </c>
      <c r="AD7" s="3">
        <v>0</v>
      </c>
      <c r="AE7" s="2">
        <v>0</v>
      </c>
      <c r="AF7" s="2">
        <v>50</v>
      </c>
      <c r="AK7">
        <v>5775735</v>
      </c>
    </row>
    <row r="8" spans="1:38" x14ac:dyDescent="0.25">
      <c r="A8" s="1">
        <v>45903</v>
      </c>
      <c r="B8" s="1">
        <v>45903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136</v>
      </c>
      <c r="J8" t="s">
        <v>137</v>
      </c>
      <c r="M8" t="s">
        <v>110</v>
      </c>
      <c r="O8" t="s">
        <v>138</v>
      </c>
      <c r="P8" t="s">
        <v>139</v>
      </c>
      <c r="Q8" t="s">
        <v>57</v>
      </c>
      <c r="R8" t="s">
        <v>117</v>
      </c>
      <c r="S8" s="1">
        <v>45870</v>
      </c>
      <c r="U8" t="s">
        <v>51</v>
      </c>
      <c r="X8" t="s">
        <v>52</v>
      </c>
      <c r="Y8" s="2">
        <v>0</v>
      </c>
      <c r="Z8" s="2">
        <v>50</v>
      </c>
      <c r="AA8">
        <v>1</v>
      </c>
      <c r="AB8" s="3">
        <v>1</v>
      </c>
      <c r="AC8" s="2">
        <v>50</v>
      </c>
      <c r="AD8" s="3">
        <v>0</v>
      </c>
      <c r="AE8" s="2">
        <v>0</v>
      </c>
      <c r="AF8" s="2">
        <v>50</v>
      </c>
      <c r="AK8">
        <v>5775747</v>
      </c>
    </row>
    <row r="9" spans="1:38" x14ac:dyDescent="0.25">
      <c r="A9" s="1">
        <v>45903</v>
      </c>
      <c r="B9" s="1">
        <v>45903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140</v>
      </c>
      <c r="J9" t="s">
        <v>141</v>
      </c>
      <c r="M9" t="s">
        <v>142</v>
      </c>
      <c r="O9" t="s">
        <v>47</v>
      </c>
      <c r="P9" t="s">
        <v>48</v>
      </c>
      <c r="Q9" t="s">
        <v>57</v>
      </c>
      <c r="R9" t="s">
        <v>117</v>
      </c>
      <c r="S9" s="1">
        <v>45870</v>
      </c>
      <c r="U9" t="s">
        <v>51</v>
      </c>
      <c r="X9" t="s">
        <v>52</v>
      </c>
      <c r="Y9" s="2">
        <v>0</v>
      </c>
      <c r="Z9" s="2">
        <v>50</v>
      </c>
      <c r="AA9">
        <v>1</v>
      </c>
      <c r="AB9" s="3">
        <v>1</v>
      </c>
      <c r="AC9" s="2">
        <v>50</v>
      </c>
      <c r="AD9" s="3">
        <v>0</v>
      </c>
      <c r="AE9" s="2">
        <v>0</v>
      </c>
      <c r="AF9" s="2">
        <v>50</v>
      </c>
      <c r="AK9">
        <v>5775750</v>
      </c>
    </row>
    <row r="10" spans="1:38" x14ac:dyDescent="0.25">
      <c r="A10" s="1">
        <v>45903</v>
      </c>
      <c r="B10" s="1">
        <v>45903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143</v>
      </c>
      <c r="J10" t="s">
        <v>144</v>
      </c>
      <c r="M10" t="s">
        <v>105</v>
      </c>
      <c r="O10" t="s">
        <v>145</v>
      </c>
      <c r="P10" t="s">
        <v>146</v>
      </c>
      <c r="Q10" t="s">
        <v>57</v>
      </c>
      <c r="R10" t="s">
        <v>117</v>
      </c>
      <c r="S10" s="1">
        <v>45870</v>
      </c>
      <c r="U10" t="s">
        <v>51</v>
      </c>
      <c r="X10" t="s">
        <v>52</v>
      </c>
      <c r="Y10" s="2">
        <v>0</v>
      </c>
      <c r="Z10" s="2">
        <v>50</v>
      </c>
      <c r="AA10">
        <v>1</v>
      </c>
      <c r="AB10" s="3">
        <v>1</v>
      </c>
      <c r="AC10" s="2">
        <v>50</v>
      </c>
      <c r="AD10" s="3">
        <v>0</v>
      </c>
      <c r="AE10" s="2">
        <v>0</v>
      </c>
      <c r="AF10" s="2">
        <v>50</v>
      </c>
      <c r="AK10">
        <v>5775758</v>
      </c>
    </row>
    <row r="11" spans="1:38" x14ac:dyDescent="0.25">
      <c r="A11" s="1">
        <v>45903</v>
      </c>
      <c r="B11" s="1">
        <v>45903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147</v>
      </c>
      <c r="J11" t="s">
        <v>148</v>
      </c>
      <c r="M11" t="s">
        <v>110</v>
      </c>
      <c r="O11" t="s">
        <v>149</v>
      </c>
      <c r="P11" t="s">
        <v>150</v>
      </c>
      <c r="Q11" t="s">
        <v>57</v>
      </c>
      <c r="R11" t="s">
        <v>117</v>
      </c>
      <c r="S11" s="1">
        <v>45870</v>
      </c>
      <c r="U11" t="s">
        <v>51</v>
      </c>
      <c r="X11" t="s">
        <v>52</v>
      </c>
      <c r="Y11" s="2">
        <v>0</v>
      </c>
      <c r="Z11" s="2">
        <v>50</v>
      </c>
      <c r="AA11">
        <v>1</v>
      </c>
      <c r="AB11" s="3">
        <v>1</v>
      </c>
      <c r="AC11" s="2">
        <v>50</v>
      </c>
      <c r="AD11" s="3">
        <v>0</v>
      </c>
      <c r="AE11" s="2">
        <v>0</v>
      </c>
      <c r="AF11" s="2">
        <v>50</v>
      </c>
      <c r="AK11">
        <v>5775759</v>
      </c>
    </row>
    <row r="12" spans="1:38" x14ac:dyDescent="0.25">
      <c r="A12" s="1">
        <v>45903</v>
      </c>
      <c r="B12" s="1">
        <v>45903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151</v>
      </c>
      <c r="J12" t="s">
        <v>152</v>
      </c>
      <c r="M12" t="s">
        <v>110</v>
      </c>
      <c r="O12" t="s">
        <v>153</v>
      </c>
      <c r="P12" t="s">
        <v>154</v>
      </c>
      <c r="Q12" t="s">
        <v>57</v>
      </c>
      <c r="R12" t="s">
        <v>117</v>
      </c>
      <c r="S12" s="1">
        <v>45870</v>
      </c>
      <c r="U12" t="s">
        <v>51</v>
      </c>
      <c r="X12" t="s">
        <v>52</v>
      </c>
      <c r="Y12" s="2">
        <v>0</v>
      </c>
      <c r="Z12" s="2">
        <v>50</v>
      </c>
      <c r="AA12">
        <v>1</v>
      </c>
      <c r="AB12" s="3">
        <v>1</v>
      </c>
      <c r="AC12" s="2">
        <v>50</v>
      </c>
      <c r="AD12" s="3">
        <v>0</v>
      </c>
      <c r="AE12" s="2">
        <v>0</v>
      </c>
      <c r="AF12" s="2">
        <v>50</v>
      </c>
      <c r="AK12">
        <v>5775761</v>
      </c>
    </row>
    <row r="13" spans="1:38" x14ac:dyDescent="0.25">
      <c r="A13" s="1">
        <v>45903</v>
      </c>
      <c r="B13" s="1">
        <v>45903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155</v>
      </c>
      <c r="J13" t="s">
        <v>156</v>
      </c>
      <c r="M13" t="s">
        <v>157</v>
      </c>
      <c r="O13" t="s">
        <v>158</v>
      </c>
      <c r="P13" t="s">
        <v>159</v>
      </c>
      <c r="Q13" t="s">
        <v>57</v>
      </c>
      <c r="R13" t="s">
        <v>117</v>
      </c>
      <c r="S13" s="1">
        <v>45870</v>
      </c>
      <c r="U13" t="s">
        <v>51</v>
      </c>
      <c r="X13" t="s">
        <v>52</v>
      </c>
      <c r="Y13" s="2">
        <v>0</v>
      </c>
      <c r="Z13" s="2">
        <v>50</v>
      </c>
      <c r="AA13">
        <v>1</v>
      </c>
      <c r="AB13" s="3">
        <v>1</v>
      </c>
      <c r="AC13" s="2">
        <v>50</v>
      </c>
      <c r="AD13" s="3">
        <v>0</v>
      </c>
      <c r="AE13" s="2">
        <v>0</v>
      </c>
      <c r="AF13" s="2">
        <v>50</v>
      </c>
      <c r="AK13">
        <v>5775767</v>
      </c>
    </row>
    <row r="14" spans="1:38" x14ac:dyDescent="0.25">
      <c r="A14" s="1">
        <v>45903</v>
      </c>
      <c r="B14" s="1">
        <v>45903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160</v>
      </c>
      <c r="J14" t="s">
        <v>161</v>
      </c>
      <c r="M14" t="s">
        <v>162</v>
      </c>
      <c r="O14" t="s">
        <v>93</v>
      </c>
      <c r="P14" t="s">
        <v>94</v>
      </c>
      <c r="Q14" t="s">
        <v>57</v>
      </c>
      <c r="R14" t="s">
        <v>117</v>
      </c>
      <c r="S14" s="1">
        <v>45870</v>
      </c>
      <c r="U14" t="s">
        <v>51</v>
      </c>
      <c r="X14" t="s">
        <v>52</v>
      </c>
      <c r="Y14" s="2">
        <v>0</v>
      </c>
      <c r="Z14" s="2">
        <v>50</v>
      </c>
      <c r="AA14">
        <v>1</v>
      </c>
      <c r="AB14" s="3">
        <v>1</v>
      </c>
      <c r="AC14" s="2">
        <v>50</v>
      </c>
      <c r="AD14" s="3">
        <v>0</v>
      </c>
      <c r="AE14" s="2">
        <v>0</v>
      </c>
      <c r="AF14" s="2">
        <v>50</v>
      </c>
      <c r="AK14">
        <v>5775769</v>
      </c>
    </row>
    <row r="15" spans="1:38" x14ac:dyDescent="0.25">
      <c r="A15" s="1">
        <v>45903</v>
      </c>
      <c r="B15" s="1">
        <v>45903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163</v>
      </c>
      <c r="J15" t="s">
        <v>164</v>
      </c>
      <c r="M15" t="s">
        <v>56</v>
      </c>
      <c r="O15" t="s">
        <v>165</v>
      </c>
      <c r="P15" t="s">
        <v>166</v>
      </c>
      <c r="Q15" t="s">
        <v>57</v>
      </c>
      <c r="R15" t="s">
        <v>117</v>
      </c>
      <c r="S15" s="1">
        <v>45901</v>
      </c>
      <c r="U15" t="s">
        <v>51</v>
      </c>
      <c r="X15" t="s">
        <v>52</v>
      </c>
      <c r="Y15" s="2">
        <v>0</v>
      </c>
      <c r="Z15" s="2">
        <v>50</v>
      </c>
      <c r="AA15">
        <v>1</v>
      </c>
      <c r="AB15" s="3">
        <v>1</v>
      </c>
      <c r="AC15" s="2">
        <v>50</v>
      </c>
      <c r="AD15" s="3">
        <v>0</v>
      </c>
      <c r="AE15" s="2">
        <v>0</v>
      </c>
      <c r="AF15" s="2">
        <v>50</v>
      </c>
      <c r="AK15">
        <v>5775770</v>
      </c>
    </row>
    <row r="16" spans="1:38" x14ac:dyDescent="0.25">
      <c r="A16" s="1">
        <v>45903</v>
      </c>
      <c r="B16" s="1">
        <v>45903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167</v>
      </c>
      <c r="J16" t="s">
        <v>168</v>
      </c>
      <c r="M16" t="s">
        <v>56</v>
      </c>
      <c r="O16" t="s">
        <v>169</v>
      </c>
      <c r="P16" t="s">
        <v>170</v>
      </c>
      <c r="Q16" t="s">
        <v>57</v>
      </c>
      <c r="R16" t="s">
        <v>117</v>
      </c>
      <c r="S16" s="1">
        <v>45870</v>
      </c>
      <c r="U16" t="s">
        <v>51</v>
      </c>
      <c r="X16" t="s">
        <v>52</v>
      </c>
      <c r="Y16" s="2">
        <v>0</v>
      </c>
      <c r="Z16" s="2">
        <v>50</v>
      </c>
      <c r="AA16">
        <v>1</v>
      </c>
      <c r="AB16" s="3">
        <v>1</v>
      </c>
      <c r="AC16" s="2">
        <v>50</v>
      </c>
      <c r="AD16" s="3">
        <v>0</v>
      </c>
      <c r="AE16" s="2">
        <v>0</v>
      </c>
      <c r="AF16" s="2">
        <v>50</v>
      </c>
      <c r="AK16">
        <v>5775773</v>
      </c>
    </row>
    <row r="17" spans="1:37" x14ac:dyDescent="0.25">
      <c r="A17" s="1">
        <v>45903</v>
      </c>
      <c r="B17" s="1">
        <v>45903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171</v>
      </c>
      <c r="J17" t="s">
        <v>172</v>
      </c>
      <c r="M17" t="s">
        <v>56</v>
      </c>
      <c r="O17" t="s">
        <v>169</v>
      </c>
      <c r="P17" t="s">
        <v>170</v>
      </c>
      <c r="Q17" t="s">
        <v>57</v>
      </c>
      <c r="R17" t="s">
        <v>117</v>
      </c>
      <c r="S17" s="1">
        <v>45870</v>
      </c>
      <c r="U17" t="s">
        <v>51</v>
      </c>
      <c r="X17" t="s">
        <v>52</v>
      </c>
      <c r="Y17" s="2">
        <v>0</v>
      </c>
      <c r="Z17" s="2">
        <v>50</v>
      </c>
      <c r="AA17">
        <v>1</v>
      </c>
      <c r="AB17" s="3">
        <v>1</v>
      </c>
      <c r="AC17" s="2">
        <v>50</v>
      </c>
      <c r="AD17" s="3">
        <v>0</v>
      </c>
      <c r="AE17" s="2">
        <v>0</v>
      </c>
      <c r="AF17" s="2">
        <v>50</v>
      </c>
      <c r="AK17">
        <v>5775775</v>
      </c>
    </row>
    <row r="18" spans="1:37" x14ac:dyDescent="0.25">
      <c r="A18" s="1">
        <v>45903</v>
      </c>
      <c r="B18" s="1">
        <v>45903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173</v>
      </c>
      <c r="J18" t="s">
        <v>174</v>
      </c>
      <c r="M18" t="s">
        <v>105</v>
      </c>
      <c r="O18" t="s">
        <v>120</v>
      </c>
      <c r="P18" t="s">
        <v>121</v>
      </c>
      <c r="Q18" t="s">
        <v>57</v>
      </c>
      <c r="R18" t="s">
        <v>117</v>
      </c>
      <c r="S18" s="1">
        <v>45901</v>
      </c>
      <c r="U18" t="s">
        <v>51</v>
      </c>
      <c r="X18" t="s">
        <v>52</v>
      </c>
      <c r="Y18" s="2">
        <v>0</v>
      </c>
      <c r="Z18" s="2">
        <v>50</v>
      </c>
      <c r="AA18">
        <v>1</v>
      </c>
      <c r="AB18" s="3">
        <v>1</v>
      </c>
      <c r="AC18" s="2">
        <v>50</v>
      </c>
      <c r="AD18" s="3">
        <v>0</v>
      </c>
      <c r="AE18" s="2">
        <v>0</v>
      </c>
      <c r="AF18" s="2">
        <v>50</v>
      </c>
      <c r="AK18">
        <v>5775784</v>
      </c>
    </row>
    <row r="19" spans="1:37" x14ac:dyDescent="0.25">
      <c r="A19" s="1">
        <v>45903</v>
      </c>
      <c r="B19" s="1">
        <v>45903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175</v>
      </c>
      <c r="J19" t="s">
        <v>176</v>
      </c>
      <c r="M19" t="s">
        <v>177</v>
      </c>
      <c r="O19" t="s">
        <v>93</v>
      </c>
      <c r="P19" t="s">
        <v>94</v>
      </c>
      <c r="Q19" t="s">
        <v>57</v>
      </c>
      <c r="R19" t="s">
        <v>117</v>
      </c>
      <c r="S19" s="1">
        <v>45870</v>
      </c>
      <c r="U19" t="s">
        <v>51</v>
      </c>
      <c r="X19" t="s">
        <v>52</v>
      </c>
      <c r="Y19" s="2">
        <v>0</v>
      </c>
      <c r="Z19" s="2">
        <v>50</v>
      </c>
      <c r="AA19">
        <v>1</v>
      </c>
      <c r="AB19" s="3">
        <v>1</v>
      </c>
      <c r="AC19" s="2">
        <v>50</v>
      </c>
      <c r="AD19" s="3">
        <v>0</v>
      </c>
      <c r="AE19" s="2">
        <v>0</v>
      </c>
      <c r="AF19" s="2">
        <v>50</v>
      </c>
      <c r="AK19">
        <v>5775789</v>
      </c>
    </row>
    <row r="20" spans="1:37" x14ac:dyDescent="0.25">
      <c r="A20" s="1">
        <v>45903</v>
      </c>
      <c r="B20" s="1">
        <v>45903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178</v>
      </c>
      <c r="J20" t="s">
        <v>179</v>
      </c>
      <c r="M20" t="s">
        <v>56</v>
      </c>
      <c r="O20" t="s">
        <v>165</v>
      </c>
      <c r="P20" t="s">
        <v>166</v>
      </c>
      <c r="Q20" t="s">
        <v>57</v>
      </c>
      <c r="R20" t="s">
        <v>117</v>
      </c>
      <c r="S20" s="1">
        <v>45901</v>
      </c>
      <c r="U20" t="s">
        <v>51</v>
      </c>
      <c r="X20" t="s">
        <v>52</v>
      </c>
      <c r="Y20" s="2">
        <v>0</v>
      </c>
      <c r="Z20" s="2">
        <v>50</v>
      </c>
      <c r="AA20">
        <v>1</v>
      </c>
      <c r="AB20" s="3">
        <v>1</v>
      </c>
      <c r="AC20" s="2">
        <v>50</v>
      </c>
      <c r="AD20" s="3">
        <v>0</v>
      </c>
      <c r="AE20" s="2">
        <v>0</v>
      </c>
      <c r="AF20" s="2">
        <v>50</v>
      </c>
      <c r="AK20">
        <v>5775795</v>
      </c>
    </row>
    <row r="21" spans="1:37" x14ac:dyDescent="0.25">
      <c r="A21" s="1">
        <v>45903</v>
      </c>
      <c r="B21" s="1">
        <v>45903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180</v>
      </c>
      <c r="J21" t="s">
        <v>181</v>
      </c>
      <c r="M21" t="s">
        <v>56</v>
      </c>
      <c r="O21" t="s">
        <v>182</v>
      </c>
      <c r="P21" t="s">
        <v>183</v>
      </c>
      <c r="Q21" t="s">
        <v>57</v>
      </c>
      <c r="R21" t="s">
        <v>117</v>
      </c>
      <c r="S21" s="1">
        <v>45870</v>
      </c>
      <c r="U21" t="s">
        <v>51</v>
      </c>
      <c r="X21" t="s">
        <v>52</v>
      </c>
      <c r="Y21" s="2">
        <v>0</v>
      </c>
      <c r="Z21" s="2">
        <v>50</v>
      </c>
      <c r="AA21">
        <v>1</v>
      </c>
      <c r="AB21" s="3">
        <v>1</v>
      </c>
      <c r="AC21" s="2">
        <v>50</v>
      </c>
      <c r="AD21" s="3">
        <v>0</v>
      </c>
      <c r="AE21" s="2">
        <v>0</v>
      </c>
      <c r="AF21" s="2">
        <v>50</v>
      </c>
      <c r="AK21">
        <v>5775799</v>
      </c>
    </row>
    <row r="22" spans="1:37" x14ac:dyDescent="0.25">
      <c r="A22" s="1">
        <v>45903</v>
      </c>
      <c r="B22" s="1">
        <v>45903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184</v>
      </c>
      <c r="J22" t="s">
        <v>185</v>
      </c>
      <c r="M22" t="s">
        <v>110</v>
      </c>
      <c r="O22" t="s">
        <v>186</v>
      </c>
      <c r="P22" t="s">
        <v>187</v>
      </c>
      <c r="Q22" t="s">
        <v>57</v>
      </c>
      <c r="R22" t="s">
        <v>117</v>
      </c>
      <c r="S22" s="1">
        <v>45870</v>
      </c>
      <c r="U22" t="s">
        <v>51</v>
      </c>
      <c r="X22" t="s">
        <v>52</v>
      </c>
      <c r="Y22" s="2">
        <v>0</v>
      </c>
      <c r="Z22" s="2">
        <v>50</v>
      </c>
      <c r="AA22">
        <v>1</v>
      </c>
      <c r="AB22" s="3">
        <v>1</v>
      </c>
      <c r="AC22" s="2">
        <v>50</v>
      </c>
      <c r="AD22" s="3">
        <v>0</v>
      </c>
      <c r="AE22" s="2">
        <v>0</v>
      </c>
      <c r="AF22" s="2">
        <v>50</v>
      </c>
      <c r="AK22">
        <v>5775815</v>
      </c>
    </row>
    <row r="23" spans="1:37" x14ac:dyDescent="0.25">
      <c r="A23" s="1">
        <v>45903</v>
      </c>
      <c r="B23" s="1">
        <v>45903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188</v>
      </c>
      <c r="J23" t="s">
        <v>189</v>
      </c>
      <c r="M23" t="s">
        <v>110</v>
      </c>
      <c r="O23" t="s">
        <v>149</v>
      </c>
      <c r="P23" t="s">
        <v>150</v>
      </c>
      <c r="Q23" t="s">
        <v>57</v>
      </c>
      <c r="R23" t="s">
        <v>117</v>
      </c>
      <c r="S23" s="1">
        <v>45870</v>
      </c>
      <c r="U23" t="s">
        <v>51</v>
      </c>
      <c r="X23" t="s">
        <v>52</v>
      </c>
      <c r="Y23" s="2">
        <v>0</v>
      </c>
      <c r="Z23" s="2">
        <v>50</v>
      </c>
      <c r="AA23">
        <v>1</v>
      </c>
      <c r="AB23" s="3">
        <v>1</v>
      </c>
      <c r="AC23" s="2">
        <v>50</v>
      </c>
      <c r="AD23" s="3">
        <v>0</v>
      </c>
      <c r="AE23" s="2">
        <v>0</v>
      </c>
      <c r="AF23" s="2">
        <v>50</v>
      </c>
      <c r="AK23">
        <v>5775816</v>
      </c>
    </row>
    <row r="24" spans="1:37" x14ac:dyDescent="0.25">
      <c r="A24" s="1">
        <v>45903</v>
      </c>
      <c r="B24" s="1">
        <v>45903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190</v>
      </c>
      <c r="J24" t="s">
        <v>191</v>
      </c>
      <c r="M24" t="s">
        <v>110</v>
      </c>
      <c r="O24" t="s">
        <v>138</v>
      </c>
      <c r="P24" t="s">
        <v>139</v>
      </c>
      <c r="Q24" t="s">
        <v>57</v>
      </c>
      <c r="R24" t="s">
        <v>117</v>
      </c>
      <c r="S24" s="1">
        <v>45870</v>
      </c>
      <c r="U24" t="s">
        <v>51</v>
      </c>
      <c r="X24" t="s">
        <v>52</v>
      </c>
      <c r="Y24" s="2">
        <v>0</v>
      </c>
      <c r="Z24" s="2">
        <v>50</v>
      </c>
      <c r="AA24">
        <v>1</v>
      </c>
      <c r="AB24" s="3">
        <v>1</v>
      </c>
      <c r="AC24" s="2">
        <v>50</v>
      </c>
      <c r="AD24" s="3">
        <v>0</v>
      </c>
      <c r="AE24" s="2">
        <v>0</v>
      </c>
      <c r="AF24" s="2">
        <v>50</v>
      </c>
      <c r="AK24">
        <v>5775821</v>
      </c>
    </row>
    <row r="25" spans="1:37" x14ac:dyDescent="0.25">
      <c r="A25" s="1">
        <v>45903</v>
      </c>
      <c r="B25" s="1">
        <v>45903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192</v>
      </c>
      <c r="J25" t="s">
        <v>193</v>
      </c>
      <c r="M25" t="s">
        <v>110</v>
      </c>
      <c r="O25" t="s">
        <v>194</v>
      </c>
      <c r="P25" t="s">
        <v>195</v>
      </c>
      <c r="Q25" t="s">
        <v>57</v>
      </c>
      <c r="R25" t="s">
        <v>117</v>
      </c>
      <c r="S25" s="1">
        <v>45870</v>
      </c>
      <c r="U25" t="s">
        <v>51</v>
      </c>
      <c r="X25" t="s">
        <v>52</v>
      </c>
      <c r="Y25" s="2">
        <v>0</v>
      </c>
      <c r="Z25" s="2">
        <v>50</v>
      </c>
      <c r="AA25">
        <v>1</v>
      </c>
      <c r="AB25" s="3">
        <v>1</v>
      </c>
      <c r="AC25" s="2">
        <v>50</v>
      </c>
      <c r="AD25" s="3">
        <v>0</v>
      </c>
      <c r="AE25" s="2">
        <v>0</v>
      </c>
      <c r="AF25" s="2">
        <v>50</v>
      </c>
      <c r="AK25">
        <v>5775828</v>
      </c>
    </row>
    <row r="26" spans="1:37" x14ac:dyDescent="0.25">
      <c r="A26" s="1">
        <v>45903</v>
      </c>
      <c r="B26" s="1">
        <v>45903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196</v>
      </c>
      <c r="J26" t="s">
        <v>197</v>
      </c>
      <c r="M26" t="s">
        <v>56</v>
      </c>
      <c r="O26" t="s">
        <v>93</v>
      </c>
      <c r="P26" t="s">
        <v>94</v>
      </c>
      <c r="Q26" t="s">
        <v>57</v>
      </c>
      <c r="R26" t="s">
        <v>117</v>
      </c>
      <c r="S26" s="1">
        <v>45901</v>
      </c>
      <c r="U26" t="s">
        <v>51</v>
      </c>
      <c r="X26" t="s">
        <v>52</v>
      </c>
      <c r="Y26" s="2">
        <v>0</v>
      </c>
      <c r="Z26" s="2">
        <v>50</v>
      </c>
      <c r="AA26">
        <v>1</v>
      </c>
      <c r="AB26" s="3">
        <v>1</v>
      </c>
      <c r="AC26" s="2">
        <v>50</v>
      </c>
      <c r="AD26" s="3">
        <v>0</v>
      </c>
      <c r="AE26" s="2">
        <v>0</v>
      </c>
      <c r="AF26" s="2">
        <v>50</v>
      </c>
      <c r="AK26">
        <v>5775831</v>
      </c>
    </row>
    <row r="27" spans="1:37" x14ac:dyDescent="0.25">
      <c r="A27" s="1">
        <v>45903</v>
      </c>
      <c r="B27" s="1">
        <v>45903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198</v>
      </c>
      <c r="J27" t="s">
        <v>199</v>
      </c>
      <c r="M27" t="s">
        <v>110</v>
      </c>
      <c r="O27" t="s">
        <v>153</v>
      </c>
      <c r="P27" t="s">
        <v>154</v>
      </c>
      <c r="Q27" t="s">
        <v>57</v>
      </c>
      <c r="R27" t="s">
        <v>117</v>
      </c>
      <c r="S27" s="1">
        <v>45870</v>
      </c>
      <c r="U27" t="s">
        <v>51</v>
      </c>
      <c r="X27" t="s">
        <v>52</v>
      </c>
      <c r="Y27" s="2">
        <v>0</v>
      </c>
      <c r="Z27" s="2">
        <v>50</v>
      </c>
      <c r="AA27">
        <v>1</v>
      </c>
      <c r="AB27" s="3">
        <v>1</v>
      </c>
      <c r="AC27" s="2">
        <v>50</v>
      </c>
      <c r="AD27" s="3">
        <v>0</v>
      </c>
      <c r="AE27" s="2">
        <v>0</v>
      </c>
      <c r="AF27" s="2">
        <v>50</v>
      </c>
      <c r="AK27">
        <v>5775833</v>
      </c>
    </row>
    <row r="28" spans="1:37" x14ac:dyDescent="0.25">
      <c r="A28" s="1">
        <v>45903</v>
      </c>
      <c r="B28" s="1">
        <v>45903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206</v>
      </c>
      <c r="J28" t="s">
        <v>207</v>
      </c>
      <c r="M28" t="s">
        <v>110</v>
      </c>
      <c r="O28" t="s">
        <v>208</v>
      </c>
      <c r="P28" t="s">
        <v>209</v>
      </c>
      <c r="Q28" t="s">
        <v>57</v>
      </c>
      <c r="R28" t="s">
        <v>117</v>
      </c>
      <c r="S28" s="1">
        <v>45870</v>
      </c>
      <c r="U28" t="s">
        <v>51</v>
      </c>
      <c r="X28" t="s">
        <v>52</v>
      </c>
      <c r="Y28" s="2">
        <v>0</v>
      </c>
      <c r="Z28" s="2">
        <v>50</v>
      </c>
      <c r="AA28">
        <v>1</v>
      </c>
      <c r="AB28" s="3">
        <v>1</v>
      </c>
      <c r="AC28" s="2">
        <v>50</v>
      </c>
      <c r="AD28" s="3">
        <v>0</v>
      </c>
      <c r="AE28" s="2">
        <v>0</v>
      </c>
      <c r="AF28" s="2">
        <v>50</v>
      </c>
      <c r="AK28">
        <v>5775839</v>
      </c>
    </row>
    <row r="29" spans="1:37" x14ac:dyDescent="0.25">
      <c r="A29" s="1">
        <v>45903</v>
      </c>
      <c r="B29" s="1">
        <v>45903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210</v>
      </c>
      <c r="J29" t="s">
        <v>211</v>
      </c>
      <c r="M29" t="s">
        <v>212</v>
      </c>
      <c r="O29" t="s">
        <v>93</v>
      </c>
      <c r="P29" t="s">
        <v>94</v>
      </c>
      <c r="Q29" t="s">
        <v>57</v>
      </c>
      <c r="R29" t="s">
        <v>117</v>
      </c>
      <c r="S29" s="1">
        <v>45901</v>
      </c>
      <c r="U29" t="s">
        <v>51</v>
      </c>
      <c r="X29" t="s">
        <v>52</v>
      </c>
      <c r="Y29" s="2">
        <v>0</v>
      </c>
      <c r="Z29" s="2">
        <v>50</v>
      </c>
      <c r="AA29">
        <v>1</v>
      </c>
      <c r="AB29" s="3">
        <v>1</v>
      </c>
      <c r="AC29" s="2">
        <v>50</v>
      </c>
      <c r="AD29" s="3">
        <v>0</v>
      </c>
      <c r="AE29" s="2">
        <v>0</v>
      </c>
      <c r="AF29" s="2">
        <v>50</v>
      </c>
      <c r="AK29">
        <v>5775850</v>
      </c>
    </row>
    <row r="30" spans="1:37" x14ac:dyDescent="0.25">
      <c r="A30" s="1">
        <v>45903</v>
      </c>
      <c r="B30" s="1">
        <v>45903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213</v>
      </c>
      <c r="J30" t="s">
        <v>214</v>
      </c>
      <c r="M30" t="s">
        <v>56</v>
      </c>
      <c r="O30" t="s">
        <v>72</v>
      </c>
      <c r="P30" t="s">
        <v>73</v>
      </c>
      <c r="Q30" t="s">
        <v>57</v>
      </c>
      <c r="R30" t="s">
        <v>117</v>
      </c>
      <c r="S30" s="1">
        <v>45870</v>
      </c>
      <c r="U30" t="s">
        <v>51</v>
      </c>
      <c r="X30" t="s">
        <v>52</v>
      </c>
      <c r="Y30" s="2">
        <v>0</v>
      </c>
      <c r="Z30" s="2">
        <v>50</v>
      </c>
      <c r="AA30">
        <v>1</v>
      </c>
      <c r="AB30" s="3">
        <v>1</v>
      </c>
      <c r="AC30" s="2">
        <v>50</v>
      </c>
      <c r="AD30" s="3">
        <v>0</v>
      </c>
      <c r="AE30" s="2">
        <v>0</v>
      </c>
      <c r="AF30" s="2">
        <v>50</v>
      </c>
      <c r="AK30">
        <v>5775851</v>
      </c>
    </row>
    <row r="31" spans="1:37" x14ac:dyDescent="0.25">
      <c r="A31" s="1">
        <v>45903</v>
      </c>
      <c r="B31" s="1">
        <v>45903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215</v>
      </c>
      <c r="J31" t="s">
        <v>216</v>
      </c>
      <c r="M31" t="s">
        <v>56</v>
      </c>
      <c r="O31" t="s">
        <v>72</v>
      </c>
      <c r="P31" t="s">
        <v>73</v>
      </c>
      <c r="Q31" t="s">
        <v>57</v>
      </c>
      <c r="R31" t="s">
        <v>117</v>
      </c>
      <c r="S31" s="1">
        <v>45870</v>
      </c>
      <c r="U31" t="s">
        <v>51</v>
      </c>
      <c r="X31" t="s">
        <v>52</v>
      </c>
      <c r="Y31" s="2">
        <v>0</v>
      </c>
      <c r="Z31" s="2">
        <v>50</v>
      </c>
      <c r="AA31">
        <v>1</v>
      </c>
      <c r="AB31" s="3">
        <v>1</v>
      </c>
      <c r="AC31" s="2">
        <v>50</v>
      </c>
      <c r="AD31" s="3">
        <v>0</v>
      </c>
      <c r="AE31" s="2">
        <v>0</v>
      </c>
      <c r="AF31" s="2">
        <v>50</v>
      </c>
      <c r="AK31">
        <v>5775853</v>
      </c>
    </row>
    <row r="32" spans="1:37" x14ac:dyDescent="0.25">
      <c r="A32" s="1">
        <v>45903</v>
      </c>
      <c r="B32" s="1">
        <v>45903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217</v>
      </c>
      <c r="J32" t="s">
        <v>218</v>
      </c>
      <c r="M32" t="s">
        <v>202</v>
      </c>
      <c r="O32" t="s">
        <v>93</v>
      </c>
      <c r="P32" t="s">
        <v>94</v>
      </c>
      <c r="Q32" t="s">
        <v>57</v>
      </c>
      <c r="R32" t="s">
        <v>117</v>
      </c>
      <c r="S32" s="1">
        <v>45870</v>
      </c>
      <c r="U32" t="s">
        <v>51</v>
      </c>
      <c r="X32" t="s">
        <v>52</v>
      </c>
      <c r="Y32" s="2">
        <v>0</v>
      </c>
      <c r="Z32" s="2">
        <v>50</v>
      </c>
      <c r="AA32">
        <v>1</v>
      </c>
      <c r="AB32" s="3">
        <v>1</v>
      </c>
      <c r="AC32" s="2">
        <v>50</v>
      </c>
      <c r="AD32" s="3">
        <v>0</v>
      </c>
      <c r="AE32" s="2">
        <v>0</v>
      </c>
      <c r="AF32" s="2">
        <v>50</v>
      </c>
      <c r="AK32">
        <v>5775855</v>
      </c>
    </row>
    <row r="33" spans="1:38" x14ac:dyDescent="0.25">
      <c r="A33" s="1">
        <v>45903</v>
      </c>
      <c r="B33" s="1">
        <v>45903</v>
      </c>
      <c r="C33" t="s">
        <v>242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251</v>
      </c>
      <c r="J33" t="s">
        <v>252</v>
      </c>
      <c r="M33" t="s">
        <v>157</v>
      </c>
      <c r="O33" t="s">
        <v>47</v>
      </c>
      <c r="P33" t="s">
        <v>48</v>
      </c>
      <c r="Q33" t="s">
        <v>245</v>
      </c>
      <c r="R33" t="s">
        <v>117</v>
      </c>
      <c r="S33" s="1">
        <v>45658</v>
      </c>
      <c r="U33" t="s">
        <v>51</v>
      </c>
      <c r="X33" t="s">
        <v>52</v>
      </c>
      <c r="AF33" s="2">
        <v>50</v>
      </c>
      <c r="AG33" s="2">
        <v>0</v>
      </c>
      <c r="AJ33" s="2">
        <v>16.670000000000002</v>
      </c>
    </row>
    <row r="34" spans="1:38" x14ac:dyDescent="0.25">
      <c r="A34" s="1">
        <v>45903</v>
      </c>
      <c r="B34" s="1">
        <v>45903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200</v>
      </c>
      <c r="J34" t="s">
        <v>201</v>
      </c>
      <c r="M34" t="s">
        <v>202</v>
      </c>
      <c r="O34" t="s">
        <v>203</v>
      </c>
      <c r="P34" t="s">
        <v>204</v>
      </c>
      <c r="Q34" t="s">
        <v>57</v>
      </c>
      <c r="R34" t="s">
        <v>205</v>
      </c>
      <c r="S34" s="1">
        <v>45870</v>
      </c>
      <c r="U34" t="s">
        <v>51</v>
      </c>
      <c r="X34" t="s">
        <v>52</v>
      </c>
      <c r="Y34" s="2">
        <v>0</v>
      </c>
      <c r="Z34" s="2">
        <v>40</v>
      </c>
      <c r="AA34">
        <v>1</v>
      </c>
      <c r="AB34" s="3">
        <v>1</v>
      </c>
      <c r="AC34" s="2">
        <v>40</v>
      </c>
      <c r="AD34" s="3">
        <v>0</v>
      </c>
      <c r="AE34" s="2">
        <v>0</v>
      </c>
      <c r="AF34" s="2">
        <v>40</v>
      </c>
      <c r="AK34">
        <v>5775838</v>
      </c>
    </row>
    <row r="35" spans="1:38" x14ac:dyDescent="0.25">
      <c r="A35" s="1">
        <v>45903</v>
      </c>
      <c r="B35" s="1">
        <v>45903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108</v>
      </c>
      <c r="J35" t="s">
        <v>109</v>
      </c>
      <c r="M35" t="s">
        <v>110</v>
      </c>
      <c r="O35" t="s">
        <v>111</v>
      </c>
      <c r="P35" t="s">
        <v>112</v>
      </c>
      <c r="Q35" t="s">
        <v>57</v>
      </c>
      <c r="R35" t="s">
        <v>113</v>
      </c>
      <c r="S35" s="1">
        <v>45931</v>
      </c>
      <c r="U35" t="s">
        <v>51</v>
      </c>
      <c r="X35" t="s">
        <v>52</v>
      </c>
      <c r="Y35" s="2">
        <v>0</v>
      </c>
      <c r="Z35" s="2">
        <v>12.5</v>
      </c>
      <c r="AA35">
        <v>1</v>
      </c>
      <c r="AB35" s="3">
        <v>1</v>
      </c>
      <c r="AC35" s="2">
        <v>12.5</v>
      </c>
      <c r="AD35" s="3">
        <v>0</v>
      </c>
      <c r="AE35" s="2">
        <v>0</v>
      </c>
      <c r="AF35" s="2">
        <v>12.5</v>
      </c>
      <c r="AK35">
        <v>5775648</v>
      </c>
      <c r="AL35" t="s">
        <v>114</v>
      </c>
    </row>
    <row r="36" spans="1:38" x14ac:dyDescent="0.25">
      <c r="A36" s="1">
        <v>45903</v>
      </c>
      <c r="B36" s="1">
        <v>45903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225</v>
      </c>
      <c r="J36" t="s">
        <v>226</v>
      </c>
      <c r="M36" t="s">
        <v>227</v>
      </c>
      <c r="O36" t="s">
        <v>93</v>
      </c>
      <c r="P36" t="s">
        <v>94</v>
      </c>
      <c r="Q36" t="s">
        <v>57</v>
      </c>
      <c r="R36" t="s">
        <v>113</v>
      </c>
      <c r="S36" s="1">
        <v>45931</v>
      </c>
      <c r="U36" t="s">
        <v>51</v>
      </c>
      <c r="X36" t="s">
        <v>52</v>
      </c>
      <c r="Y36" s="2">
        <v>0</v>
      </c>
      <c r="Z36" s="2">
        <v>12.5</v>
      </c>
      <c r="AA36">
        <v>1</v>
      </c>
      <c r="AB36" s="3">
        <v>1</v>
      </c>
      <c r="AC36" s="2">
        <v>12.5</v>
      </c>
      <c r="AD36" s="3">
        <v>0</v>
      </c>
      <c r="AE36" s="2">
        <v>0</v>
      </c>
      <c r="AF36" s="2">
        <v>12.5</v>
      </c>
      <c r="AK36">
        <v>5775684</v>
      </c>
      <c r="AL36" t="s">
        <v>114</v>
      </c>
    </row>
    <row r="37" spans="1:38" x14ac:dyDescent="0.25">
      <c r="A37" s="1">
        <v>45903</v>
      </c>
      <c r="B37" s="1">
        <v>45903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231</v>
      </c>
      <c r="J37" t="s">
        <v>232</v>
      </c>
      <c r="M37" t="s">
        <v>202</v>
      </c>
      <c r="O37" t="s">
        <v>93</v>
      </c>
      <c r="P37" t="s">
        <v>94</v>
      </c>
      <c r="Q37" t="s">
        <v>57</v>
      </c>
      <c r="R37" t="s">
        <v>113</v>
      </c>
      <c r="S37" s="1">
        <v>45931</v>
      </c>
      <c r="U37" t="s">
        <v>51</v>
      </c>
      <c r="X37" t="s">
        <v>52</v>
      </c>
      <c r="Y37" s="2">
        <v>0</v>
      </c>
      <c r="Z37" s="2">
        <v>12.5</v>
      </c>
      <c r="AA37">
        <v>1</v>
      </c>
      <c r="AB37" s="3">
        <v>1</v>
      </c>
      <c r="AC37" s="2">
        <v>12.5</v>
      </c>
      <c r="AD37" s="3">
        <v>0</v>
      </c>
      <c r="AE37" s="2">
        <v>0</v>
      </c>
      <c r="AF37" s="2">
        <v>12.5</v>
      </c>
      <c r="AK37">
        <v>5775692</v>
      </c>
      <c r="AL37" t="s">
        <v>114</v>
      </c>
    </row>
    <row r="38" spans="1:38" x14ac:dyDescent="0.25">
      <c r="A38" s="1">
        <v>45903</v>
      </c>
      <c r="B38" s="1">
        <v>45903</v>
      </c>
      <c r="C38" t="s">
        <v>242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253</v>
      </c>
      <c r="J38" t="s">
        <v>116</v>
      </c>
      <c r="M38" t="s">
        <v>56</v>
      </c>
      <c r="O38" t="s">
        <v>72</v>
      </c>
      <c r="P38" t="s">
        <v>73</v>
      </c>
      <c r="Q38" t="s">
        <v>245</v>
      </c>
      <c r="R38" t="s">
        <v>113</v>
      </c>
      <c r="S38" s="1">
        <v>45839</v>
      </c>
      <c r="U38" t="s">
        <v>51</v>
      </c>
      <c r="X38" t="s">
        <v>52</v>
      </c>
      <c r="AF38" s="2">
        <v>25</v>
      </c>
      <c r="AG38" s="2">
        <v>0</v>
      </c>
      <c r="AJ38" s="2">
        <v>25</v>
      </c>
    </row>
    <row r="39" spans="1:38" x14ac:dyDescent="0.25">
      <c r="A39" s="1">
        <v>45903</v>
      </c>
      <c r="B39" s="1">
        <v>45903</v>
      </c>
      <c r="C39" t="s">
        <v>242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254</v>
      </c>
      <c r="J39" t="s">
        <v>119</v>
      </c>
      <c r="M39" t="s">
        <v>71</v>
      </c>
      <c r="O39" t="s">
        <v>120</v>
      </c>
      <c r="P39" t="s">
        <v>121</v>
      </c>
      <c r="Q39" t="s">
        <v>245</v>
      </c>
      <c r="R39" t="s">
        <v>113</v>
      </c>
      <c r="S39" s="1">
        <v>45870</v>
      </c>
      <c r="U39" t="s">
        <v>51</v>
      </c>
      <c r="X39" t="s">
        <v>52</v>
      </c>
      <c r="AF39" s="2">
        <v>20.83</v>
      </c>
      <c r="AG39" s="2">
        <v>0</v>
      </c>
      <c r="AJ39" s="2">
        <v>20.83</v>
      </c>
    </row>
    <row r="40" spans="1:38" x14ac:dyDescent="0.25">
      <c r="A40" s="1">
        <v>45903</v>
      </c>
      <c r="B40" s="1">
        <v>45903</v>
      </c>
      <c r="C40" t="s">
        <v>242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255</v>
      </c>
      <c r="J40" t="s">
        <v>123</v>
      </c>
      <c r="M40" t="s">
        <v>56</v>
      </c>
      <c r="O40" t="s">
        <v>124</v>
      </c>
      <c r="P40" t="s">
        <v>125</v>
      </c>
      <c r="Q40" t="s">
        <v>245</v>
      </c>
      <c r="R40" t="s">
        <v>113</v>
      </c>
      <c r="S40" s="1">
        <v>45901</v>
      </c>
      <c r="U40" t="s">
        <v>51</v>
      </c>
      <c r="X40" t="s">
        <v>52</v>
      </c>
      <c r="AF40" s="2">
        <v>16.670000000000002</v>
      </c>
      <c r="AG40" s="2">
        <v>0</v>
      </c>
      <c r="AJ40" s="2">
        <v>16.670000000000002</v>
      </c>
    </row>
    <row r="41" spans="1:38" x14ac:dyDescent="0.25">
      <c r="A41" s="1">
        <v>45903</v>
      </c>
      <c r="B41" s="1">
        <v>45903</v>
      </c>
      <c r="C41" t="s">
        <v>242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256</v>
      </c>
      <c r="J41" t="s">
        <v>127</v>
      </c>
      <c r="M41" t="s">
        <v>128</v>
      </c>
      <c r="O41" t="s">
        <v>84</v>
      </c>
      <c r="P41" t="s">
        <v>85</v>
      </c>
      <c r="Q41" t="s">
        <v>245</v>
      </c>
      <c r="R41" t="s">
        <v>113</v>
      </c>
      <c r="S41" s="1">
        <v>45931</v>
      </c>
      <c r="U41" t="s">
        <v>51</v>
      </c>
      <c r="X41" t="s">
        <v>52</v>
      </c>
      <c r="AF41" s="2">
        <v>12.5</v>
      </c>
      <c r="AG41" s="2">
        <v>0</v>
      </c>
      <c r="AJ41" s="2">
        <v>12.5</v>
      </c>
    </row>
    <row r="42" spans="1:38" x14ac:dyDescent="0.25">
      <c r="A42" s="1">
        <v>45903</v>
      </c>
      <c r="B42" s="1">
        <v>45903</v>
      </c>
      <c r="C42" t="s">
        <v>242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257</v>
      </c>
      <c r="J42" t="s">
        <v>130</v>
      </c>
      <c r="M42" t="s">
        <v>131</v>
      </c>
      <c r="O42" t="s">
        <v>93</v>
      </c>
      <c r="P42" t="s">
        <v>94</v>
      </c>
      <c r="Q42" t="s">
        <v>245</v>
      </c>
      <c r="R42" t="s">
        <v>113</v>
      </c>
      <c r="S42" s="1">
        <v>45931</v>
      </c>
      <c r="U42" t="s">
        <v>51</v>
      </c>
      <c r="X42" t="s">
        <v>52</v>
      </c>
      <c r="AF42" s="2">
        <v>12.5</v>
      </c>
      <c r="AG42" s="2">
        <v>0</v>
      </c>
      <c r="AJ42" s="2">
        <v>12.5</v>
      </c>
    </row>
    <row r="43" spans="1:38" x14ac:dyDescent="0.25">
      <c r="A43" s="1">
        <v>45903</v>
      </c>
      <c r="B43" s="1">
        <v>45903</v>
      </c>
      <c r="C43" t="s">
        <v>242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258</v>
      </c>
      <c r="J43" t="s">
        <v>133</v>
      </c>
      <c r="M43" t="s">
        <v>56</v>
      </c>
      <c r="O43" t="s">
        <v>134</v>
      </c>
      <c r="P43" t="s">
        <v>135</v>
      </c>
      <c r="Q43" t="s">
        <v>245</v>
      </c>
      <c r="R43" t="s">
        <v>113</v>
      </c>
      <c r="S43" s="1">
        <v>45870</v>
      </c>
      <c r="U43" t="s">
        <v>51</v>
      </c>
      <c r="X43" t="s">
        <v>52</v>
      </c>
      <c r="AF43" s="2">
        <v>20.83</v>
      </c>
      <c r="AG43" s="2">
        <v>0</v>
      </c>
      <c r="AJ43" s="2">
        <v>20.83</v>
      </c>
    </row>
    <row r="44" spans="1:38" x14ac:dyDescent="0.25">
      <c r="A44" s="1">
        <v>45903</v>
      </c>
      <c r="B44" s="1">
        <v>45903</v>
      </c>
      <c r="C44" t="s">
        <v>242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259</v>
      </c>
      <c r="J44" t="s">
        <v>137</v>
      </c>
      <c r="M44" t="s">
        <v>110</v>
      </c>
      <c r="O44" t="s">
        <v>138</v>
      </c>
      <c r="P44" t="s">
        <v>139</v>
      </c>
      <c r="Q44" t="s">
        <v>245</v>
      </c>
      <c r="R44" t="s">
        <v>113</v>
      </c>
      <c r="S44" s="1">
        <v>45870</v>
      </c>
      <c r="U44" t="s">
        <v>51</v>
      </c>
      <c r="X44" t="s">
        <v>52</v>
      </c>
      <c r="AF44" s="2">
        <v>20.83</v>
      </c>
      <c r="AG44" s="2">
        <v>0</v>
      </c>
      <c r="AJ44" s="2">
        <v>20.83</v>
      </c>
    </row>
    <row r="45" spans="1:38" x14ac:dyDescent="0.25">
      <c r="A45" s="1">
        <v>45903</v>
      </c>
      <c r="B45" s="1">
        <v>45903</v>
      </c>
      <c r="C45" t="s">
        <v>242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260</v>
      </c>
      <c r="J45" t="s">
        <v>141</v>
      </c>
      <c r="M45" t="s">
        <v>142</v>
      </c>
      <c r="O45" t="s">
        <v>47</v>
      </c>
      <c r="P45" t="s">
        <v>48</v>
      </c>
      <c r="Q45" t="s">
        <v>245</v>
      </c>
      <c r="R45" t="s">
        <v>113</v>
      </c>
      <c r="S45" s="1">
        <v>45870</v>
      </c>
      <c r="U45" t="s">
        <v>51</v>
      </c>
      <c r="X45" t="s">
        <v>52</v>
      </c>
      <c r="AF45" s="2">
        <v>20.83</v>
      </c>
      <c r="AG45" s="2">
        <v>0</v>
      </c>
      <c r="AJ45" s="2">
        <v>20.83</v>
      </c>
    </row>
    <row r="46" spans="1:38" x14ac:dyDescent="0.25">
      <c r="A46" s="1">
        <v>45903</v>
      </c>
      <c r="B46" s="1">
        <v>45903</v>
      </c>
      <c r="C46" t="s">
        <v>242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261</v>
      </c>
      <c r="J46" t="s">
        <v>144</v>
      </c>
      <c r="M46" t="s">
        <v>105</v>
      </c>
      <c r="O46" t="s">
        <v>145</v>
      </c>
      <c r="P46" t="s">
        <v>146</v>
      </c>
      <c r="Q46" t="s">
        <v>245</v>
      </c>
      <c r="R46" t="s">
        <v>113</v>
      </c>
      <c r="S46" s="1">
        <v>45870</v>
      </c>
      <c r="U46" t="s">
        <v>51</v>
      </c>
      <c r="X46" t="s">
        <v>52</v>
      </c>
      <c r="AF46" s="2">
        <v>20.83</v>
      </c>
      <c r="AG46" s="2">
        <v>0</v>
      </c>
      <c r="AJ46" s="2">
        <v>20.83</v>
      </c>
    </row>
    <row r="47" spans="1:38" x14ac:dyDescent="0.25">
      <c r="A47" s="1">
        <v>45903</v>
      </c>
      <c r="B47" s="1">
        <v>45903</v>
      </c>
      <c r="C47" t="s">
        <v>242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262</v>
      </c>
      <c r="J47" t="s">
        <v>148</v>
      </c>
      <c r="M47" t="s">
        <v>110</v>
      </c>
      <c r="O47" t="s">
        <v>149</v>
      </c>
      <c r="P47" t="s">
        <v>150</v>
      </c>
      <c r="Q47" t="s">
        <v>245</v>
      </c>
      <c r="R47" t="s">
        <v>113</v>
      </c>
      <c r="S47" s="1">
        <v>45870</v>
      </c>
      <c r="U47" t="s">
        <v>51</v>
      </c>
      <c r="X47" t="s">
        <v>52</v>
      </c>
      <c r="AF47" s="2">
        <v>20.83</v>
      </c>
      <c r="AG47" s="2">
        <v>0</v>
      </c>
      <c r="AJ47" s="2">
        <v>20.83</v>
      </c>
    </row>
    <row r="48" spans="1:38" x14ac:dyDescent="0.25">
      <c r="A48" s="1">
        <v>45903</v>
      </c>
      <c r="B48" s="1">
        <v>45903</v>
      </c>
      <c r="C48" t="s">
        <v>242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263</v>
      </c>
      <c r="J48" t="s">
        <v>152</v>
      </c>
      <c r="M48" t="s">
        <v>110</v>
      </c>
      <c r="O48" t="s">
        <v>153</v>
      </c>
      <c r="P48" t="s">
        <v>154</v>
      </c>
      <c r="Q48" t="s">
        <v>245</v>
      </c>
      <c r="R48" t="s">
        <v>113</v>
      </c>
      <c r="S48" s="1">
        <v>45870</v>
      </c>
      <c r="U48" t="s">
        <v>51</v>
      </c>
      <c r="X48" t="s">
        <v>52</v>
      </c>
      <c r="AF48" s="2">
        <v>20.83</v>
      </c>
      <c r="AG48" s="2">
        <v>0</v>
      </c>
      <c r="AJ48" s="2">
        <v>20.83</v>
      </c>
    </row>
    <row r="49" spans="1:36" x14ac:dyDescent="0.25">
      <c r="A49" s="1">
        <v>45903</v>
      </c>
      <c r="B49" s="1">
        <v>45903</v>
      </c>
      <c r="C49" t="s">
        <v>242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264</v>
      </c>
      <c r="J49" t="s">
        <v>156</v>
      </c>
      <c r="M49" t="s">
        <v>157</v>
      </c>
      <c r="O49" t="s">
        <v>158</v>
      </c>
      <c r="P49" t="s">
        <v>159</v>
      </c>
      <c r="Q49" t="s">
        <v>245</v>
      </c>
      <c r="R49" t="s">
        <v>113</v>
      </c>
      <c r="S49" s="1">
        <v>45870</v>
      </c>
      <c r="U49" t="s">
        <v>51</v>
      </c>
      <c r="X49" t="s">
        <v>52</v>
      </c>
      <c r="AF49" s="2">
        <v>20.83</v>
      </c>
      <c r="AG49" s="2">
        <v>0</v>
      </c>
      <c r="AJ49" s="2">
        <v>20.83</v>
      </c>
    </row>
    <row r="50" spans="1:36" x14ac:dyDescent="0.25">
      <c r="A50" s="1">
        <v>45903</v>
      </c>
      <c r="B50" s="1">
        <v>45903</v>
      </c>
      <c r="C50" t="s">
        <v>242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265</v>
      </c>
      <c r="J50" t="s">
        <v>161</v>
      </c>
      <c r="M50" t="s">
        <v>162</v>
      </c>
      <c r="O50" t="s">
        <v>93</v>
      </c>
      <c r="P50" t="s">
        <v>94</v>
      </c>
      <c r="Q50" t="s">
        <v>245</v>
      </c>
      <c r="R50" t="s">
        <v>113</v>
      </c>
      <c r="S50" s="1">
        <v>45870</v>
      </c>
      <c r="U50" t="s">
        <v>51</v>
      </c>
      <c r="X50" t="s">
        <v>52</v>
      </c>
      <c r="AF50" s="2">
        <v>20.83</v>
      </c>
      <c r="AG50" s="2">
        <v>0</v>
      </c>
      <c r="AJ50" s="2">
        <v>20.83</v>
      </c>
    </row>
    <row r="51" spans="1:36" x14ac:dyDescent="0.25">
      <c r="A51" s="1">
        <v>45903</v>
      </c>
      <c r="B51" s="1">
        <v>45903</v>
      </c>
      <c r="C51" t="s">
        <v>242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266</v>
      </c>
      <c r="J51" t="s">
        <v>164</v>
      </c>
      <c r="M51" t="s">
        <v>56</v>
      </c>
      <c r="O51" t="s">
        <v>165</v>
      </c>
      <c r="P51" t="s">
        <v>166</v>
      </c>
      <c r="Q51" t="s">
        <v>245</v>
      </c>
      <c r="R51" t="s">
        <v>113</v>
      </c>
      <c r="S51" s="1">
        <v>45901</v>
      </c>
      <c r="U51" t="s">
        <v>51</v>
      </c>
      <c r="X51" t="s">
        <v>52</v>
      </c>
      <c r="AF51" s="2">
        <v>16.670000000000002</v>
      </c>
      <c r="AG51" s="2">
        <v>0</v>
      </c>
      <c r="AJ51" s="2">
        <v>16.670000000000002</v>
      </c>
    </row>
    <row r="52" spans="1:36" x14ac:dyDescent="0.25">
      <c r="A52" s="1">
        <v>45903</v>
      </c>
      <c r="B52" s="1">
        <v>45903</v>
      </c>
      <c r="C52" t="s">
        <v>242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267</v>
      </c>
      <c r="J52" t="s">
        <v>168</v>
      </c>
      <c r="M52" t="s">
        <v>56</v>
      </c>
      <c r="O52" t="s">
        <v>169</v>
      </c>
      <c r="P52" t="s">
        <v>170</v>
      </c>
      <c r="Q52" t="s">
        <v>245</v>
      </c>
      <c r="R52" t="s">
        <v>113</v>
      </c>
      <c r="S52" s="1">
        <v>45870</v>
      </c>
      <c r="U52" t="s">
        <v>51</v>
      </c>
      <c r="X52" t="s">
        <v>52</v>
      </c>
      <c r="AF52" s="2">
        <v>20.83</v>
      </c>
      <c r="AG52" s="2">
        <v>0</v>
      </c>
      <c r="AJ52" s="2">
        <v>20.83</v>
      </c>
    </row>
    <row r="53" spans="1:36" x14ac:dyDescent="0.25">
      <c r="A53" s="1">
        <v>45903</v>
      </c>
      <c r="B53" s="1">
        <v>45903</v>
      </c>
      <c r="C53" t="s">
        <v>242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268</v>
      </c>
      <c r="J53" t="s">
        <v>172</v>
      </c>
      <c r="M53" t="s">
        <v>56</v>
      </c>
      <c r="O53" t="s">
        <v>169</v>
      </c>
      <c r="P53" t="s">
        <v>170</v>
      </c>
      <c r="Q53" t="s">
        <v>245</v>
      </c>
      <c r="R53" t="s">
        <v>113</v>
      </c>
      <c r="S53" s="1">
        <v>45870</v>
      </c>
      <c r="U53" t="s">
        <v>51</v>
      </c>
      <c r="X53" t="s">
        <v>52</v>
      </c>
      <c r="AF53" s="2">
        <v>20.83</v>
      </c>
      <c r="AG53" s="2">
        <v>0</v>
      </c>
      <c r="AJ53" s="2">
        <v>20.83</v>
      </c>
    </row>
    <row r="54" spans="1:36" x14ac:dyDescent="0.25">
      <c r="A54" s="1">
        <v>45903</v>
      </c>
      <c r="B54" s="1">
        <v>45903</v>
      </c>
      <c r="C54" t="s">
        <v>242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269</v>
      </c>
      <c r="J54" t="s">
        <v>174</v>
      </c>
      <c r="M54" t="s">
        <v>105</v>
      </c>
      <c r="O54" t="s">
        <v>120</v>
      </c>
      <c r="P54" t="s">
        <v>121</v>
      </c>
      <c r="Q54" t="s">
        <v>245</v>
      </c>
      <c r="R54" t="s">
        <v>113</v>
      </c>
      <c r="S54" s="1">
        <v>45901</v>
      </c>
      <c r="U54" t="s">
        <v>51</v>
      </c>
      <c r="X54" t="s">
        <v>52</v>
      </c>
      <c r="AF54" s="2">
        <v>16.670000000000002</v>
      </c>
      <c r="AG54" s="2">
        <v>0</v>
      </c>
      <c r="AJ54" s="2">
        <v>16.670000000000002</v>
      </c>
    </row>
    <row r="55" spans="1:36" x14ac:dyDescent="0.25">
      <c r="A55" s="1">
        <v>45903</v>
      </c>
      <c r="B55" s="1">
        <v>45903</v>
      </c>
      <c r="C55" t="s">
        <v>242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270</v>
      </c>
      <c r="J55" t="s">
        <v>176</v>
      </c>
      <c r="M55" t="s">
        <v>177</v>
      </c>
      <c r="O55" t="s">
        <v>93</v>
      </c>
      <c r="P55" t="s">
        <v>94</v>
      </c>
      <c r="Q55" t="s">
        <v>245</v>
      </c>
      <c r="R55" t="s">
        <v>113</v>
      </c>
      <c r="S55" s="1">
        <v>45870</v>
      </c>
      <c r="U55" t="s">
        <v>51</v>
      </c>
      <c r="X55" t="s">
        <v>52</v>
      </c>
      <c r="AF55" s="2">
        <v>20.83</v>
      </c>
      <c r="AG55" s="2">
        <v>0</v>
      </c>
      <c r="AJ55" s="2">
        <v>20.83</v>
      </c>
    </row>
    <row r="56" spans="1:36" x14ac:dyDescent="0.25">
      <c r="A56" s="1">
        <v>45903</v>
      </c>
      <c r="B56" s="1">
        <v>45903</v>
      </c>
      <c r="C56" t="s">
        <v>242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271</v>
      </c>
      <c r="J56" t="s">
        <v>179</v>
      </c>
      <c r="M56" t="s">
        <v>56</v>
      </c>
      <c r="O56" t="s">
        <v>165</v>
      </c>
      <c r="P56" t="s">
        <v>166</v>
      </c>
      <c r="Q56" t="s">
        <v>245</v>
      </c>
      <c r="R56" t="s">
        <v>113</v>
      </c>
      <c r="S56" s="1">
        <v>45901</v>
      </c>
      <c r="U56" t="s">
        <v>51</v>
      </c>
      <c r="X56" t="s">
        <v>52</v>
      </c>
      <c r="AF56" s="2">
        <v>16.670000000000002</v>
      </c>
      <c r="AG56" s="2">
        <v>0</v>
      </c>
      <c r="AJ56" s="2">
        <v>16.670000000000002</v>
      </c>
    </row>
    <row r="57" spans="1:36" x14ac:dyDescent="0.25">
      <c r="A57" s="1">
        <v>45903</v>
      </c>
      <c r="B57" s="1">
        <v>45903</v>
      </c>
      <c r="C57" t="s">
        <v>242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272</v>
      </c>
      <c r="J57" t="s">
        <v>181</v>
      </c>
      <c r="M57" t="s">
        <v>56</v>
      </c>
      <c r="O57" t="s">
        <v>182</v>
      </c>
      <c r="P57" t="s">
        <v>183</v>
      </c>
      <c r="Q57" t="s">
        <v>245</v>
      </c>
      <c r="R57" t="s">
        <v>113</v>
      </c>
      <c r="S57" s="1">
        <v>45870</v>
      </c>
      <c r="U57" t="s">
        <v>51</v>
      </c>
      <c r="X57" t="s">
        <v>52</v>
      </c>
      <c r="AF57" s="2">
        <v>20.83</v>
      </c>
      <c r="AG57" s="2">
        <v>0</v>
      </c>
      <c r="AJ57" s="2">
        <v>20.83</v>
      </c>
    </row>
    <row r="58" spans="1:36" x14ac:dyDescent="0.25">
      <c r="A58" s="1">
        <v>45903</v>
      </c>
      <c r="B58" s="1">
        <v>45903</v>
      </c>
      <c r="C58" t="s">
        <v>242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273</v>
      </c>
      <c r="J58" t="s">
        <v>185</v>
      </c>
      <c r="M58" t="s">
        <v>110</v>
      </c>
      <c r="O58" t="s">
        <v>186</v>
      </c>
      <c r="P58" t="s">
        <v>187</v>
      </c>
      <c r="Q58" t="s">
        <v>245</v>
      </c>
      <c r="R58" t="s">
        <v>113</v>
      </c>
      <c r="S58" s="1">
        <v>45870</v>
      </c>
      <c r="U58" t="s">
        <v>51</v>
      </c>
      <c r="X58" t="s">
        <v>52</v>
      </c>
      <c r="AF58" s="2">
        <v>20.83</v>
      </c>
      <c r="AG58" s="2">
        <v>0</v>
      </c>
      <c r="AJ58" s="2">
        <v>20.83</v>
      </c>
    </row>
    <row r="59" spans="1:36" x14ac:dyDescent="0.25">
      <c r="A59" s="1">
        <v>45903</v>
      </c>
      <c r="B59" s="1">
        <v>45903</v>
      </c>
      <c r="C59" t="s">
        <v>242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274</v>
      </c>
      <c r="J59" t="s">
        <v>189</v>
      </c>
      <c r="M59" t="s">
        <v>110</v>
      </c>
      <c r="O59" t="s">
        <v>149</v>
      </c>
      <c r="P59" t="s">
        <v>150</v>
      </c>
      <c r="Q59" t="s">
        <v>245</v>
      </c>
      <c r="R59" t="s">
        <v>113</v>
      </c>
      <c r="S59" s="1">
        <v>45870</v>
      </c>
      <c r="U59" t="s">
        <v>51</v>
      </c>
      <c r="X59" t="s">
        <v>52</v>
      </c>
      <c r="AF59" s="2">
        <v>20.83</v>
      </c>
      <c r="AG59" s="2">
        <v>0</v>
      </c>
      <c r="AJ59" s="2">
        <v>20.83</v>
      </c>
    </row>
    <row r="60" spans="1:36" x14ac:dyDescent="0.25">
      <c r="A60" s="1">
        <v>45903</v>
      </c>
      <c r="B60" s="1">
        <v>45903</v>
      </c>
      <c r="C60" t="s">
        <v>242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275</v>
      </c>
      <c r="J60" t="s">
        <v>191</v>
      </c>
      <c r="M60" t="s">
        <v>110</v>
      </c>
      <c r="O60" t="s">
        <v>138</v>
      </c>
      <c r="P60" t="s">
        <v>139</v>
      </c>
      <c r="Q60" t="s">
        <v>245</v>
      </c>
      <c r="R60" t="s">
        <v>113</v>
      </c>
      <c r="S60" s="1">
        <v>45870</v>
      </c>
      <c r="U60" t="s">
        <v>51</v>
      </c>
      <c r="X60" t="s">
        <v>52</v>
      </c>
      <c r="AF60" s="2">
        <v>20.83</v>
      </c>
      <c r="AG60" s="2">
        <v>0</v>
      </c>
      <c r="AJ60" s="2">
        <v>20.83</v>
      </c>
    </row>
    <row r="61" spans="1:36" x14ac:dyDescent="0.25">
      <c r="A61" s="1">
        <v>45903</v>
      </c>
      <c r="B61" s="1">
        <v>45903</v>
      </c>
      <c r="C61" t="s">
        <v>242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276</v>
      </c>
      <c r="J61" t="s">
        <v>193</v>
      </c>
      <c r="M61" t="s">
        <v>110</v>
      </c>
      <c r="O61" t="s">
        <v>194</v>
      </c>
      <c r="P61" t="s">
        <v>195</v>
      </c>
      <c r="Q61" t="s">
        <v>245</v>
      </c>
      <c r="R61" t="s">
        <v>113</v>
      </c>
      <c r="S61" s="1">
        <v>45870</v>
      </c>
      <c r="U61" t="s">
        <v>51</v>
      </c>
      <c r="X61" t="s">
        <v>52</v>
      </c>
      <c r="AF61" s="2">
        <v>20.83</v>
      </c>
      <c r="AG61" s="2">
        <v>0</v>
      </c>
      <c r="AJ61" s="2">
        <v>20.83</v>
      </c>
    </row>
    <row r="62" spans="1:36" x14ac:dyDescent="0.25">
      <c r="A62" s="1">
        <v>45903</v>
      </c>
      <c r="B62" s="1">
        <v>45903</v>
      </c>
      <c r="C62" t="s">
        <v>242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277</v>
      </c>
      <c r="J62" t="s">
        <v>197</v>
      </c>
      <c r="M62" t="s">
        <v>56</v>
      </c>
      <c r="O62" t="s">
        <v>93</v>
      </c>
      <c r="P62" t="s">
        <v>94</v>
      </c>
      <c r="Q62" t="s">
        <v>245</v>
      </c>
      <c r="R62" t="s">
        <v>113</v>
      </c>
      <c r="S62" s="1">
        <v>45901</v>
      </c>
      <c r="U62" t="s">
        <v>51</v>
      </c>
      <c r="X62" t="s">
        <v>52</v>
      </c>
      <c r="AF62" s="2">
        <v>16.670000000000002</v>
      </c>
      <c r="AG62" s="2">
        <v>0</v>
      </c>
      <c r="AJ62" s="2">
        <v>16.670000000000002</v>
      </c>
    </row>
    <row r="63" spans="1:36" x14ac:dyDescent="0.25">
      <c r="A63" s="1">
        <v>45903</v>
      </c>
      <c r="B63" s="1">
        <v>45903</v>
      </c>
      <c r="C63" t="s">
        <v>242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278</v>
      </c>
      <c r="J63" t="s">
        <v>199</v>
      </c>
      <c r="M63" t="s">
        <v>110</v>
      </c>
      <c r="O63" t="s">
        <v>153</v>
      </c>
      <c r="P63" t="s">
        <v>154</v>
      </c>
      <c r="Q63" t="s">
        <v>245</v>
      </c>
      <c r="R63" t="s">
        <v>113</v>
      </c>
      <c r="S63" s="1">
        <v>45870</v>
      </c>
      <c r="U63" t="s">
        <v>51</v>
      </c>
      <c r="X63" t="s">
        <v>52</v>
      </c>
      <c r="AF63" s="2">
        <v>20.83</v>
      </c>
      <c r="AG63" s="2">
        <v>0</v>
      </c>
      <c r="AJ63" s="2">
        <v>20.83</v>
      </c>
    </row>
    <row r="64" spans="1:36" x14ac:dyDescent="0.25">
      <c r="A64" s="1">
        <v>45903</v>
      </c>
      <c r="B64" s="1">
        <v>45903</v>
      </c>
      <c r="C64" t="s">
        <v>242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280</v>
      </c>
      <c r="J64" t="s">
        <v>207</v>
      </c>
      <c r="M64" t="s">
        <v>110</v>
      </c>
      <c r="O64" t="s">
        <v>208</v>
      </c>
      <c r="P64" t="s">
        <v>209</v>
      </c>
      <c r="Q64" t="s">
        <v>245</v>
      </c>
      <c r="R64" t="s">
        <v>113</v>
      </c>
      <c r="S64" s="1">
        <v>45870</v>
      </c>
      <c r="U64" t="s">
        <v>51</v>
      </c>
      <c r="X64" t="s">
        <v>52</v>
      </c>
      <c r="AF64" s="2">
        <v>20.83</v>
      </c>
      <c r="AG64" s="2">
        <v>0</v>
      </c>
      <c r="AJ64" s="2">
        <v>20.83</v>
      </c>
    </row>
    <row r="65" spans="1:38" x14ac:dyDescent="0.25">
      <c r="A65" s="1">
        <v>45903</v>
      </c>
      <c r="B65" s="1">
        <v>45903</v>
      </c>
      <c r="C65" t="s">
        <v>242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281</v>
      </c>
      <c r="J65" t="s">
        <v>211</v>
      </c>
      <c r="M65" t="s">
        <v>212</v>
      </c>
      <c r="O65" t="s">
        <v>93</v>
      </c>
      <c r="P65" t="s">
        <v>94</v>
      </c>
      <c r="Q65" t="s">
        <v>245</v>
      </c>
      <c r="R65" t="s">
        <v>113</v>
      </c>
      <c r="S65" s="1">
        <v>45901</v>
      </c>
      <c r="U65" t="s">
        <v>51</v>
      </c>
      <c r="X65" t="s">
        <v>52</v>
      </c>
      <c r="AF65" s="2">
        <v>16.670000000000002</v>
      </c>
      <c r="AG65" s="2">
        <v>0</v>
      </c>
      <c r="AJ65" s="2">
        <v>16.670000000000002</v>
      </c>
    </row>
    <row r="66" spans="1:38" x14ac:dyDescent="0.25">
      <c r="A66" s="1">
        <v>45903</v>
      </c>
      <c r="B66" s="1">
        <v>45903</v>
      </c>
      <c r="C66" t="s">
        <v>242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282</v>
      </c>
      <c r="J66" t="s">
        <v>214</v>
      </c>
      <c r="M66" t="s">
        <v>56</v>
      </c>
      <c r="O66" t="s">
        <v>72</v>
      </c>
      <c r="P66" t="s">
        <v>73</v>
      </c>
      <c r="Q66" t="s">
        <v>245</v>
      </c>
      <c r="R66" t="s">
        <v>113</v>
      </c>
      <c r="S66" s="1">
        <v>45870</v>
      </c>
      <c r="U66" t="s">
        <v>51</v>
      </c>
      <c r="X66" t="s">
        <v>52</v>
      </c>
      <c r="AF66" s="2">
        <v>20.83</v>
      </c>
      <c r="AG66" s="2">
        <v>0</v>
      </c>
      <c r="AJ66" s="2">
        <v>20.83</v>
      </c>
    </row>
    <row r="67" spans="1:38" x14ac:dyDescent="0.25">
      <c r="A67" s="1">
        <v>45903</v>
      </c>
      <c r="B67" s="1">
        <v>45903</v>
      </c>
      <c r="C67" t="s">
        <v>242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283</v>
      </c>
      <c r="J67" t="s">
        <v>216</v>
      </c>
      <c r="M67" t="s">
        <v>56</v>
      </c>
      <c r="O67" t="s">
        <v>72</v>
      </c>
      <c r="P67" t="s">
        <v>73</v>
      </c>
      <c r="Q67" t="s">
        <v>245</v>
      </c>
      <c r="R67" t="s">
        <v>113</v>
      </c>
      <c r="S67" s="1">
        <v>45870</v>
      </c>
      <c r="U67" t="s">
        <v>51</v>
      </c>
      <c r="X67" t="s">
        <v>52</v>
      </c>
      <c r="AF67" s="2">
        <v>20.83</v>
      </c>
      <c r="AG67" s="2">
        <v>0</v>
      </c>
      <c r="AJ67" s="2">
        <v>20.83</v>
      </c>
    </row>
    <row r="68" spans="1:38" x14ac:dyDescent="0.25">
      <c r="A68" s="1">
        <v>45903</v>
      </c>
      <c r="B68" s="1">
        <v>45903</v>
      </c>
      <c r="C68" t="s">
        <v>242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284</v>
      </c>
      <c r="J68" t="s">
        <v>218</v>
      </c>
      <c r="M68" t="s">
        <v>202</v>
      </c>
      <c r="O68" t="s">
        <v>93</v>
      </c>
      <c r="P68" t="s">
        <v>94</v>
      </c>
      <c r="Q68" t="s">
        <v>245</v>
      </c>
      <c r="R68" t="s">
        <v>113</v>
      </c>
      <c r="S68" s="1">
        <v>45870</v>
      </c>
      <c r="U68" t="s">
        <v>51</v>
      </c>
      <c r="X68" t="s">
        <v>52</v>
      </c>
      <c r="AF68" s="2">
        <v>20.83</v>
      </c>
      <c r="AG68" s="2">
        <v>0</v>
      </c>
      <c r="AJ68" s="2">
        <v>20.83</v>
      </c>
    </row>
    <row r="69" spans="1:38" x14ac:dyDescent="0.25">
      <c r="A69" s="1">
        <v>45903</v>
      </c>
      <c r="B69" s="1">
        <v>45903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219</v>
      </c>
      <c r="J69" t="s">
        <v>220</v>
      </c>
      <c r="M69" t="s">
        <v>110</v>
      </c>
      <c r="O69" t="s">
        <v>221</v>
      </c>
      <c r="P69" t="s">
        <v>222</v>
      </c>
      <c r="Q69" t="s">
        <v>57</v>
      </c>
      <c r="R69" t="s">
        <v>223</v>
      </c>
      <c r="S69" s="1">
        <v>45870</v>
      </c>
      <c r="U69" t="s">
        <v>51</v>
      </c>
      <c r="X69" t="s">
        <v>52</v>
      </c>
      <c r="Y69" s="2">
        <v>0</v>
      </c>
      <c r="Z69" s="2">
        <v>16.670000000000002</v>
      </c>
      <c r="AA69">
        <v>1</v>
      </c>
      <c r="AB69" s="3">
        <v>1</v>
      </c>
      <c r="AC69" s="2">
        <v>16.670000000000002</v>
      </c>
      <c r="AD69" s="3">
        <v>0</v>
      </c>
      <c r="AE69" s="2">
        <v>0</v>
      </c>
      <c r="AF69" s="2">
        <v>16.670000000000002</v>
      </c>
      <c r="AK69">
        <v>5775670</v>
      </c>
      <c r="AL69" t="s">
        <v>224</v>
      </c>
    </row>
    <row r="70" spans="1:38" x14ac:dyDescent="0.25">
      <c r="A70" s="1">
        <v>45903</v>
      </c>
      <c r="B70" s="1">
        <v>45903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228</v>
      </c>
      <c r="J70" t="s">
        <v>229</v>
      </c>
      <c r="M70" t="s">
        <v>56</v>
      </c>
      <c r="O70" t="s">
        <v>106</v>
      </c>
      <c r="P70" t="s">
        <v>107</v>
      </c>
      <c r="Q70" t="s">
        <v>57</v>
      </c>
      <c r="R70" t="s">
        <v>223</v>
      </c>
      <c r="S70" s="1">
        <v>45901</v>
      </c>
      <c r="U70" t="s">
        <v>51</v>
      </c>
      <c r="X70" t="s">
        <v>52</v>
      </c>
      <c r="Y70" s="2">
        <v>0</v>
      </c>
      <c r="Z70" s="2">
        <v>13.33</v>
      </c>
      <c r="AA70">
        <v>1</v>
      </c>
      <c r="AB70" s="3">
        <v>1</v>
      </c>
      <c r="AC70" s="2">
        <v>13.33</v>
      </c>
      <c r="AD70" s="3">
        <v>0</v>
      </c>
      <c r="AE70" s="2">
        <v>0</v>
      </c>
      <c r="AF70" s="2">
        <v>13.33</v>
      </c>
      <c r="AK70">
        <v>5775686</v>
      </c>
      <c r="AL70" t="s">
        <v>230</v>
      </c>
    </row>
    <row r="71" spans="1:38" x14ac:dyDescent="0.25">
      <c r="A71" s="1">
        <v>45903</v>
      </c>
      <c r="B71" s="1">
        <v>45903</v>
      </c>
      <c r="C71" t="s">
        <v>242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279</v>
      </c>
      <c r="J71" t="s">
        <v>201</v>
      </c>
      <c r="M71" t="s">
        <v>202</v>
      </c>
      <c r="O71" t="s">
        <v>203</v>
      </c>
      <c r="P71" t="s">
        <v>204</v>
      </c>
      <c r="Q71" t="s">
        <v>245</v>
      </c>
      <c r="R71" t="s">
        <v>223</v>
      </c>
      <c r="S71" s="1">
        <v>45870</v>
      </c>
      <c r="U71" t="s">
        <v>51</v>
      </c>
      <c r="X71" t="s">
        <v>52</v>
      </c>
      <c r="AF71" s="2">
        <v>16.670000000000002</v>
      </c>
      <c r="AG71" s="2">
        <v>0</v>
      </c>
      <c r="AJ71" s="2">
        <v>16.670000000000002</v>
      </c>
    </row>
    <row r="72" spans="1:38" x14ac:dyDescent="0.25">
      <c r="A72" s="1">
        <v>45903</v>
      </c>
      <c r="B72" s="1">
        <v>45903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54</v>
      </c>
      <c r="J72" t="s">
        <v>55</v>
      </c>
      <c r="M72" t="s">
        <v>56</v>
      </c>
      <c r="O72" t="s">
        <v>47</v>
      </c>
      <c r="P72" t="s">
        <v>48</v>
      </c>
      <c r="Q72" t="s">
        <v>57</v>
      </c>
      <c r="R72" t="s">
        <v>58</v>
      </c>
      <c r="S72" s="1">
        <v>45901</v>
      </c>
      <c r="U72" t="s">
        <v>51</v>
      </c>
      <c r="X72" t="s">
        <v>52</v>
      </c>
      <c r="Y72" s="2">
        <v>0</v>
      </c>
      <c r="Z72" s="2">
        <v>175</v>
      </c>
      <c r="AA72">
        <v>1</v>
      </c>
      <c r="AB72" s="3">
        <v>1</v>
      </c>
      <c r="AC72" s="2">
        <v>175</v>
      </c>
      <c r="AD72" s="3">
        <v>0</v>
      </c>
      <c r="AE72" s="2">
        <v>0</v>
      </c>
      <c r="AF72" s="2">
        <v>175</v>
      </c>
      <c r="AK72">
        <v>5776021</v>
      </c>
    </row>
    <row r="73" spans="1:38" x14ac:dyDescent="0.25">
      <c r="A73" s="1">
        <v>45903</v>
      </c>
      <c r="B73" s="1">
        <v>45903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59</v>
      </c>
      <c r="J73" t="s">
        <v>60</v>
      </c>
      <c r="M73" t="s">
        <v>56</v>
      </c>
      <c r="O73" t="s">
        <v>61</v>
      </c>
      <c r="P73" t="s">
        <v>62</v>
      </c>
      <c r="Q73" t="s">
        <v>57</v>
      </c>
      <c r="R73" t="s">
        <v>58</v>
      </c>
      <c r="S73" s="1">
        <v>45870</v>
      </c>
      <c r="U73" t="s">
        <v>51</v>
      </c>
      <c r="X73" t="s">
        <v>52</v>
      </c>
      <c r="Y73" s="2">
        <v>0</v>
      </c>
      <c r="Z73" s="2">
        <v>175</v>
      </c>
      <c r="AA73">
        <v>1</v>
      </c>
      <c r="AB73" s="3">
        <v>1</v>
      </c>
      <c r="AC73" s="2">
        <v>175</v>
      </c>
      <c r="AD73" s="3">
        <v>0</v>
      </c>
      <c r="AE73" s="2">
        <v>0</v>
      </c>
      <c r="AF73" s="2">
        <v>175</v>
      </c>
      <c r="AK73">
        <v>5776024</v>
      </c>
    </row>
    <row r="74" spans="1:38" x14ac:dyDescent="0.25">
      <c r="A74" s="1">
        <v>45903</v>
      </c>
      <c r="B74" s="1">
        <v>45903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63</v>
      </c>
      <c r="J74" t="s">
        <v>64</v>
      </c>
      <c r="M74" t="s">
        <v>56</v>
      </c>
      <c r="O74" t="s">
        <v>65</v>
      </c>
      <c r="P74" t="s">
        <v>66</v>
      </c>
      <c r="Q74" t="s">
        <v>57</v>
      </c>
      <c r="R74" t="s">
        <v>58</v>
      </c>
      <c r="S74" s="1">
        <v>45931</v>
      </c>
      <c r="U74" t="s">
        <v>51</v>
      </c>
      <c r="X74" t="s">
        <v>52</v>
      </c>
      <c r="Y74" s="2">
        <v>0</v>
      </c>
      <c r="Z74" s="2">
        <v>175</v>
      </c>
      <c r="AA74">
        <v>1</v>
      </c>
      <c r="AB74" s="3">
        <v>1</v>
      </c>
      <c r="AC74" s="2">
        <v>175</v>
      </c>
      <c r="AD74" s="3">
        <v>0</v>
      </c>
      <c r="AE74" s="2">
        <v>0</v>
      </c>
      <c r="AF74" s="2">
        <v>175</v>
      </c>
      <c r="AK74">
        <v>5776025</v>
      </c>
    </row>
    <row r="75" spans="1:38" x14ac:dyDescent="0.25">
      <c r="A75" s="1">
        <v>45903</v>
      </c>
      <c r="B75" s="1">
        <v>45903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67</v>
      </c>
      <c r="J75" t="s">
        <v>68</v>
      </c>
      <c r="M75" t="s">
        <v>56</v>
      </c>
      <c r="O75" t="s">
        <v>47</v>
      </c>
      <c r="P75" t="s">
        <v>48</v>
      </c>
      <c r="Q75" t="s">
        <v>57</v>
      </c>
      <c r="R75" t="s">
        <v>58</v>
      </c>
      <c r="S75" s="1">
        <v>45901</v>
      </c>
      <c r="U75" t="s">
        <v>51</v>
      </c>
      <c r="X75" t="s">
        <v>52</v>
      </c>
      <c r="Y75" s="2">
        <v>0</v>
      </c>
      <c r="Z75" s="2">
        <v>175</v>
      </c>
      <c r="AA75">
        <v>1</v>
      </c>
      <c r="AB75" s="3">
        <v>1</v>
      </c>
      <c r="AC75" s="2">
        <v>175</v>
      </c>
      <c r="AD75" s="3">
        <v>0</v>
      </c>
      <c r="AE75" s="2">
        <v>0</v>
      </c>
      <c r="AF75" s="2">
        <v>175</v>
      </c>
      <c r="AK75">
        <v>5776027</v>
      </c>
    </row>
    <row r="76" spans="1:38" x14ac:dyDescent="0.25">
      <c r="A76" s="1">
        <v>45903</v>
      </c>
      <c r="B76" s="1">
        <v>45903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75</v>
      </c>
      <c r="J76" t="s">
        <v>76</v>
      </c>
      <c r="M76" t="s">
        <v>56</v>
      </c>
      <c r="O76" t="s">
        <v>65</v>
      </c>
      <c r="P76" t="s">
        <v>66</v>
      </c>
      <c r="Q76" t="s">
        <v>57</v>
      </c>
      <c r="R76" t="s">
        <v>58</v>
      </c>
      <c r="S76" s="1">
        <v>45901</v>
      </c>
      <c r="U76" t="s">
        <v>51</v>
      </c>
      <c r="X76" t="s">
        <v>52</v>
      </c>
      <c r="Y76" s="2">
        <v>0</v>
      </c>
      <c r="Z76" s="2">
        <v>175</v>
      </c>
      <c r="AA76">
        <v>1</v>
      </c>
      <c r="AB76" s="3">
        <v>1</v>
      </c>
      <c r="AC76" s="2">
        <v>175</v>
      </c>
      <c r="AD76" s="3">
        <v>0</v>
      </c>
      <c r="AE76" s="2">
        <v>0</v>
      </c>
      <c r="AF76" s="2">
        <v>175</v>
      </c>
      <c r="AK76">
        <v>5776030</v>
      </c>
    </row>
    <row r="77" spans="1:38" x14ac:dyDescent="0.25">
      <c r="A77" s="1">
        <v>45903</v>
      </c>
      <c r="B77" s="1">
        <v>45903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77</v>
      </c>
      <c r="J77" t="s">
        <v>78</v>
      </c>
      <c r="M77" t="s">
        <v>56</v>
      </c>
      <c r="O77" t="s">
        <v>79</v>
      </c>
      <c r="P77" t="s">
        <v>80</v>
      </c>
      <c r="Q77" t="s">
        <v>57</v>
      </c>
      <c r="R77" t="s">
        <v>58</v>
      </c>
      <c r="S77" s="1">
        <v>45931</v>
      </c>
      <c r="U77" t="s">
        <v>51</v>
      </c>
      <c r="X77" t="s">
        <v>52</v>
      </c>
      <c r="Y77" s="2">
        <v>0</v>
      </c>
      <c r="Z77" s="2">
        <v>175</v>
      </c>
      <c r="AA77">
        <v>1</v>
      </c>
      <c r="AB77" s="3">
        <v>1</v>
      </c>
      <c r="AC77" s="2">
        <v>175</v>
      </c>
      <c r="AD77" s="3">
        <v>0</v>
      </c>
      <c r="AE77" s="2">
        <v>0</v>
      </c>
      <c r="AF77" s="2">
        <v>175</v>
      </c>
      <c r="AK77">
        <v>5776031</v>
      </c>
    </row>
    <row r="78" spans="1:38" x14ac:dyDescent="0.25">
      <c r="A78" s="1">
        <v>45903</v>
      </c>
      <c r="B78" s="1">
        <v>45903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81</v>
      </c>
      <c r="J78" t="s">
        <v>82</v>
      </c>
      <c r="M78" t="s">
        <v>83</v>
      </c>
      <c r="O78" t="s">
        <v>84</v>
      </c>
      <c r="P78" t="s">
        <v>85</v>
      </c>
      <c r="Q78" t="s">
        <v>57</v>
      </c>
      <c r="R78" t="s">
        <v>58</v>
      </c>
      <c r="S78" s="1">
        <v>45901</v>
      </c>
      <c r="U78" t="s">
        <v>51</v>
      </c>
      <c r="X78" t="s">
        <v>52</v>
      </c>
      <c r="Y78" s="2">
        <v>0</v>
      </c>
      <c r="Z78" s="2">
        <v>175</v>
      </c>
      <c r="AA78">
        <v>1</v>
      </c>
      <c r="AB78" s="3">
        <v>1</v>
      </c>
      <c r="AC78" s="2">
        <v>175</v>
      </c>
      <c r="AD78" s="3">
        <v>0</v>
      </c>
      <c r="AE78" s="2">
        <v>0</v>
      </c>
      <c r="AF78" s="2">
        <v>175</v>
      </c>
      <c r="AK78">
        <v>5776038</v>
      </c>
    </row>
    <row r="79" spans="1:38" x14ac:dyDescent="0.25">
      <c r="A79" s="1">
        <v>45903</v>
      </c>
      <c r="B79" s="1">
        <v>45903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90</v>
      </c>
      <c r="J79" t="s">
        <v>91</v>
      </c>
      <c r="M79" t="s">
        <v>92</v>
      </c>
      <c r="O79" t="s">
        <v>93</v>
      </c>
      <c r="P79" t="s">
        <v>94</v>
      </c>
      <c r="Q79" t="s">
        <v>57</v>
      </c>
      <c r="R79" t="s">
        <v>58</v>
      </c>
      <c r="S79" s="1">
        <v>45901</v>
      </c>
      <c r="U79" t="s">
        <v>51</v>
      </c>
      <c r="X79" t="s">
        <v>52</v>
      </c>
      <c r="Y79" s="2">
        <v>0</v>
      </c>
      <c r="Z79" s="2">
        <v>175</v>
      </c>
      <c r="AA79">
        <v>1</v>
      </c>
      <c r="AB79" s="3">
        <v>1</v>
      </c>
      <c r="AC79" s="2">
        <v>175</v>
      </c>
      <c r="AD79" s="3">
        <v>0</v>
      </c>
      <c r="AE79" s="2">
        <v>0</v>
      </c>
      <c r="AF79" s="2">
        <v>175</v>
      </c>
      <c r="AK79">
        <v>5776042</v>
      </c>
    </row>
    <row r="80" spans="1:38" x14ac:dyDescent="0.25">
      <c r="A80" s="1">
        <v>45903</v>
      </c>
      <c r="B80" s="1">
        <v>45903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95</v>
      </c>
      <c r="J80" t="s">
        <v>96</v>
      </c>
      <c r="M80" t="s">
        <v>56</v>
      </c>
      <c r="O80" t="s">
        <v>97</v>
      </c>
      <c r="P80" t="s">
        <v>98</v>
      </c>
      <c r="Q80" t="s">
        <v>57</v>
      </c>
      <c r="R80" t="s">
        <v>58</v>
      </c>
      <c r="S80" s="1">
        <v>45901</v>
      </c>
      <c r="U80" t="s">
        <v>51</v>
      </c>
      <c r="X80" t="s">
        <v>52</v>
      </c>
      <c r="Y80" s="2">
        <v>0</v>
      </c>
      <c r="Z80" s="2">
        <v>175</v>
      </c>
      <c r="AA80">
        <v>1</v>
      </c>
      <c r="AB80" s="3">
        <v>1</v>
      </c>
      <c r="AC80" s="2">
        <v>175</v>
      </c>
      <c r="AD80" s="3">
        <v>0</v>
      </c>
      <c r="AE80" s="2">
        <v>0</v>
      </c>
      <c r="AF80" s="2">
        <v>175</v>
      </c>
      <c r="AK80">
        <v>5776055</v>
      </c>
    </row>
    <row r="81" spans="1:38" x14ac:dyDescent="0.25">
      <c r="A81" s="1">
        <v>45903</v>
      </c>
      <c r="B81" s="1">
        <v>45903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99</v>
      </c>
      <c r="J81" t="s">
        <v>100</v>
      </c>
      <c r="M81" t="s">
        <v>56</v>
      </c>
      <c r="O81" t="s">
        <v>101</v>
      </c>
      <c r="P81" t="s">
        <v>102</v>
      </c>
      <c r="Q81" t="s">
        <v>57</v>
      </c>
      <c r="R81" t="s">
        <v>58</v>
      </c>
      <c r="S81" s="1">
        <v>45901</v>
      </c>
      <c r="U81" t="s">
        <v>51</v>
      </c>
      <c r="X81" t="s">
        <v>52</v>
      </c>
      <c r="Y81" s="2">
        <v>0</v>
      </c>
      <c r="Z81" s="2">
        <v>175</v>
      </c>
      <c r="AA81">
        <v>1</v>
      </c>
      <c r="AB81" s="3">
        <v>1</v>
      </c>
      <c r="AC81" s="2">
        <v>175</v>
      </c>
      <c r="AD81" s="3">
        <v>0</v>
      </c>
      <c r="AE81" s="2">
        <v>0</v>
      </c>
      <c r="AF81" s="2">
        <v>175</v>
      </c>
      <c r="AK81">
        <v>5776056</v>
      </c>
    </row>
    <row r="82" spans="1:38" x14ac:dyDescent="0.25">
      <c r="A82" s="1">
        <v>45903</v>
      </c>
      <c r="B82" s="1">
        <v>45903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103</v>
      </c>
      <c r="J82" t="s">
        <v>104</v>
      </c>
      <c r="M82" t="s">
        <v>105</v>
      </c>
      <c r="O82" t="s">
        <v>106</v>
      </c>
      <c r="P82" t="s">
        <v>107</v>
      </c>
      <c r="Q82" t="s">
        <v>57</v>
      </c>
      <c r="R82" t="s">
        <v>58</v>
      </c>
      <c r="S82" s="1">
        <v>45931</v>
      </c>
      <c r="U82" t="s">
        <v>51</v>
      </c>
      <c r="X82" t="s">
        <v>52</v>
      </c>
      <c r="Y82" s="2">
        <v>0</v>
      </c>
      <c r="Z82" s="2">
        <v>175</v>
      </c>
      <c r="AA82">
        <v>1</v>
      </c>
      <c r="AB82" s="3">
        <v>1</v>
      </c>
      <c r="AC82" s="2">
        <v>175</v>
      </c>
      <c r="AD82" s="3">
        <v>0</v>
      </c>
      <c r="AE82" s="2">
        <v>0</v>
      </c>
      <c r="AF82" s="2">
        <v>175</v>
      </c>
      <c r="AK82">
        <v>5776057</v>
      </c>
    </row>
    <row r="83" spans="1:38" x14ac:dyDescent="0.25">
      <c r="A83" s="1">
        <v>45903</v>
      </c>
      <c r="B83" s="1">
        <v>45903</v>
      </c>
      <c r="C83" t="s">
        <v>242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243</v>
      </c>
      <c r="J83" t="s">
        <v>244</v>
      </c>
      <c r="M83" t="s">
        <v>46</v>
      </c>
      <c r="O83" t="s">
        <v>47</v>
      </c>
      <c r="P83" t="s">
        <v>48</v>
      </c>
      <c r="Q83" t="s">
        <v>245</v>
      </c>
      <c r="R83" t="s">
        <v>58</v>
      </c>
      <c r="S83" s="1">
        <v>45658</v>
      </c>
      <c r="U83" t="s">
        <v>51</v>
      </c>
      <c r="X83" t="s">
        <v>52</v>
      </c>
      <c r="AF83" s="2">
        <v>175</v>
      </c>
      <c r="AG83" s="2">
        <v>0</v>
      </c>
      <c r="AJ83" s="2">
        <v>57.75</v>
      </c>
    </row>
    <row r="84" spans="1:38" x14ac:dyDescent="0.25">
      <c r="A84" s="1">
        <v>45903</v>
      </c>
      <c r="B84" s="1">
        <v>45903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44</v>
      </c>
      <c r="J84" t="s">
        <v>45</v>
      </c>
      <c r="M84" t="s">
        <v>46</v>
      </c>
      <c r="O84" t="s">
        <v>47</v>
      </c>
      <c r="P84" t="s">
        <v>48</v>
      </c>
      <c r="Q84" t="s">
        <v>49</v>
      </c>
      <c r="R84" t="s">
        <v>50</v>
      </c>
      <c r="S84" s="1">
        <v>45658</v>
      </c>
      <c r="U84" t="s">
        <v>51</v>
      </c>
      <c r="X84" t="s">
        <v>52</v>
      </c>
      <c r="Y84" s="2">
        <v>0</v>
      </c>
      <c r="Z84" s="2">
        <v>35.64</v>
      </c>
      <c r="AA84">
        <v>1</v>
      </c>
      <c r="AB84" s="3">
        <v>1</v>
      </c>
      <c r="AC84" s="2">
        <v>35.64</v>
      </c>
      <c r="AD84" s="3">
        <v>0</v>
      </c>
      <c r="AE84" s="2">
        <v>0</v>
      </c>
      <c r="AF84" s="2">
        <v>35.64</v>
      </c>
      <c r="AK84">
        <v>0</v>
      </c>
      <c r="AL84" t="s">
        <v>53</v>
      </c>
    </row>
    <row r="85" spans="1:38" x14ac:dyDescent="0.25">
      <c r="A85" s="1">
        <v>45903</v>
      </c>
      <c r="B85" s="1">
        <v>45903</v>
      </c>
      <c r="C85" t="s">
        <v>242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246</v>
      </c>
      <c r="J85" t="s">
        <v>247</v>
      </c>
      <c r="M85" t="s">
        <v>248</v>
      </c>
      <c r="O85" t="s">
        <v>249</v>
      </c>
      <c r="P85" t="s">
        <v>250</v>
      </c>
      <c r="Q85" t="s">
        <v>245</v>
      </c>
      <c r="R85" t="s">
        <v>50</v>
      </c>
      <c r="S85" s="1">
        <v>45689</v>
      </c>
      <c r="U85" t="s">
        <v>51</v>
      </c>
      <c r="X85" t="s">
        <v>52</v>
      </c>
      <c r="AF85" s="2">
        <v>108</v>
      </c>
      <c r="AG85" s="2">
        <v>0</v>
      </c>
      <c r="AJ85" s="2">
        <v>45.36</v>
      </c>
    </row>
    <row r="86" spans="1:38" x14ac:dyDescent="0.25">
      <c r="A86" s="1">
        <v>45903</v>
      </c>
      <c r="B86" s="1">
        <v>45903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69</v>
      </c>
      <c r="J86" t="s">
        <v>70</v>
      </c>
      <c r="M86" t="s">
        <v>71</v>
      </c>
      <c r="O86" t="s">
        <v>72</v>
      </c>
      <c r="P86" t="s">
        <v>73</v>
      </c>
      <c r="Q86" t="s">
        <v>57</v>
      </c>
      <c r="R86" t="s">
        <v>74</v>
      </c>
      <c r="S86" s="1">
        <v>45901</v>
      </c>
      <c r="U86" t="s">
        <v>51</v>
      </c>
      <c r="X86" t="s">
        <v>52</v>
      </c>
      <c r="Y86" s="2">
        <v>0</v>
      </c>
      <c r="Z86" s="2">
        <v>15</v>
      </c>
      <c r="AA86">
        <v>1</v>
      </c>
      <c r="AB86" s="3">
        <v>1</v>
      </c>
      <c r="AC86" s="2">
        <v>15</v>
      </c>
      <c r="AD86" s="3">
        <v>0</v>
      </c>
      <c r="AE86" s="2">
        <v>0</v>
      </c>
      <c r="AF86" s="2">
        <v>15</v>
      </c>
      <c r="AK86">
        <v>5775991</v>
      </c>
    </row>
    <row r="87" spans="1:38" x14ac:dyDescent="0.25">
      <c r="A87" s="1">
        <v>45903</v>
      </c>
      <c r="B87" s="1">
        <v>45903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86</v>
      </c>
      <c r="J87" t="s">
        <v>87</v>
      </c>
      <c r="M87" t="s">
        <v>71</v>
      </c>
      <c r="O87" t="s">
        <v>88</v>
      </c>
      <c r="P87" t="s">
        <v>89</v>
      </c>
      <c r="Q87" t="s">
        <v>57</v>
      </c>
      <c r="R87" t="s">
        <v>74</v>
      </c>
      <c r="S87" s="1">
        <v>45931</v>
      </c>
      <c r="U87" t="s">
        <v>51</v>
      </c>
      <c r="X87" t="s">
        <v>52</v>
      </c>
      <c r="Y87" s="2">
        <v>0</v>
      </c>
      <c r="Z87" s="2">
        <v>15</v>
      </c>
      <c r="AA87">
        <v>1</v>
      </c>
      <c r="AB87" s="3">
        <v>1</v>
      </c>
      <c r="AC87" s="2">
        <v>15</v>
      </c>
      <c r="AD87" s="3">
        <v>0</v>
      </c>
      <c r="AE87" s="2">
        <v>0</v>
      </c>
      <c r="AF87" s="2">
        <v>15</v>
      </c>
      <c r="AK87">
        <v>5775992</v>
      </c>
    </row>
    <row r="88" spans="1:38" x14ac:dyDescent="0.25">
      <c r="A88" s="1">
        <v>45903</v>
      </c>
      <c r="B88" s="1">
        <v>45903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238</v>
      </c>
      <c r="J88" t="s">
        <v>239</v>
      </c>
      <c r="M88" t="s">
        <v>240</v>
      </c>
      <c r="O88" t="s">
        <v>208</v>
      </c>
      <c r="P88" t="s">
        <v>209</v>
      </c>
      <c r="Q88" t="s">
        <v>57</v>
      </c>
      <c r="R88" t="s">
        <v>241</v>
      </c>
      <c r="S88" s="1">
        <v>45901</v>
      </c>
      <c r="U88" t="s">
        <v>51</v>
      </c>
      <c r="X88" t="s">
        <v>52</v>
      </c>
      <c r="Y88" s="2">
        <v>0</v>
      </c>
      <c r="Z88" s="2">
        <v>36</v>
      </c>
      <c r="AA88">
        <v>9</v>
      </c>
      <c r="AB88" s="3">
        <v>1</v>
      </c>
      <c r="AC88" s="2">
        <v>324</v>
      </c>
      <c r="AD88" s="3">
        <v>0</v>
      </c>
      <c r="AE88" s="2">
        <v>0</v>
      </c>
      <c r="AF88" s="2">
        <v>324</v>
      </c>
      <c r="AK88">
        <v>5776060</v>
      </c>
    </row>
    <row r="89" spans="1:38" x14ac:dyDescent="0.25">
      <c r="A89" s="1">
        <v>45903</v>
      </c>
      <c r="B89" s="1">
        <v>45903</v>
      </c>
      <c r="C89" t="s">
        <v>242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285</v>
      </c>
      <c r="J89" t="s">
        <v>286</v>
      </c>
      <c r="M89" t="s">
        <v>157</v>
      </c>
      <c r="O89" t="s">
        <v>158</v>
      </c>
      <c r="P89" t="s">
        <v>159</v>
      </c>
      <c r="Q89" t="s">
        <v>245</v>
      </c>
      <c r="R89" t="s">
        <v>287</v>
      </c>
      <c r="S89" s="1">
        <v>45658</v>
      </c>
      <c r="U89" t="s">
        <v>51</v>
      </c>
      <c r="X89" t="s">
        <v>52</v>
      </c>
      <c r="AF89" s="2">
        <v>175</v>
      </c>
      <c r="AG89" s="2">
        <v>0</v>
      </c>
      <c r="AJ89" s="2">
        <v>58.33</v>
      </c>
    </row>
    <row r="90" spans="1:38" x14ac:dyDescent="0.25">
      <c r="A90" s="1">
        <v>45903</v>
      </c>
      <c r="B90" s="1">
        <v>45903</v>
      </c>
      <c r="C90" t="s">
        <v>242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290</v>
      </c>
      <c r="J90" t="s">
        <v>291</v>
      </c>
      <c r="M90" t="s">
        <v>56</v>
      </c>
      <c r="O90" t="s">
        <v>292</v>
      </c>
      <c r="P90" t="s">
        <v>293</v>
      </c>
      <c r="Q90" t="s">
        <v>245</v>
      </c>
      <c r="R90" t="s">
        <v>287</v>
      </c>
      <c r="S90" s="1">
        <v>45748</v>
      </c>
      <c r="U90" t="s">
        <v>51</v>
      </c>
      <c r="X90" t="s">
        <v>52</v>
      </c>
      <c r="AF90" s="2">
        <v>175</v>
      </c>
      <c r="AG90" s="2">
        <v>0</v>
      </c>
      <c r="AJ90" s="2">
        <v>116.67</v>
      </c>
    </row>
    <row r="91" spans="1:38" x14ac:dyDescent="0.25">
      <c r="A91" s="1">
        <v>45903</v>
      </c>
      <c r="B91" s="1">
        <v>45903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236</v>
      </c>
      <c r="J91" t="s">
        <v>234</v>
      </c>
      <c r="M91" t="s">
        <v>56</v>
      </c>
      <c r="O91" t="s">
        <v>65</v>
      </c>
      <c r="P91" t="s">
        <v>66</v>
      </c>
      <c r="Q91" t="s">
        <v>57</v>
      </c>
      <c r="R91" t="s">
        <v>237</v>
      </c>
      <c r="S91" s="1">
        <v>45901</v>
      </c>
      <c r="U91" t="s">
        <v>51</v>
      </c>
      <c r="X91" t="s">
        <v>52</v>
      </c>
      <c r="Y91" s="2">
        <v>0</v>
      </c>
      <c r="Z91" s="2">
        <v>24</v>
      </c>
      <c r="AA91">
        <v>1</v>
      </c>
      <c r="AB91" s="3">
        <v>1</v>
      </c>
      <c r="AC91" s="2">
        <v>24</v>
      </c>
      <c r="AD91" s="3">
        <v>0</v>
      </c>
      <c r="AE91" s="2">
        <v>0</v>
      </c>
      <c r="AF91" s="2">
        <v>24</v>
      </c>
      <c r="AK91">
        <v>5776102</v>
      </c>
      <c r="AL91" t="s">
        <v>230</v>
      </c>
    </row>
    <row r="92" spans="1:38" x14ac:dyDescent="0.25">
      <c r="A92" s="1">
        <v>45903</v>
      </c>
      <c r="B92" s="1">
        <v>45903</v>
      </c>
      <c r="C92" t="s">
        <v>242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288</v>
      </c>
      <c r="J92" t="s">
        <v>286</v>
      </c>
      <c r="M92" t="s">
        <v>157</v>
      </c>
      <c r="O92" t="s">
        <v>158</v>
      </c>
      <c r="P92" t="s">
        <v>159</v>
      </c>
      <c r="Q92" t="s">
        <v>245</v>
      </c>
      <c r="R92" t="s">
        <v>289</v>
      </c>
      <c r="S92" s="1">
        <v>45658</v>
      </c>
      <c r="U92" t="s">
        <v>51</v>
      </c>
      <c r="X92" t="s">
        <v>52</v>
      </c>
      <c r="AF92" s="2">
        <v>626</v>
      </c>
      <c r="AG92" s="2">
        <v>0</v>
      </c>
      <c r="AJ92" s="2">
        <v>208.67</v>
      </c>
    </row>
    <row r="93" spans="1:38" x14ac:dyDescent="0.25">
      <c r="A93" s="1">
        <v>45903</v>
      </c>
      <c r="B93" s="1">
        <v>45903</v>
      </c>
      <c r="C93" t="s">
        <v>242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294</v>
      </c>
      <c r="J93" t="s">
        <v>291</v>
      </c>
      <c r="M93" t="s">
        <v>56</v>
      </c>
      <c r="O93" t="s">
        <v>292</v>
      </c>
      <c r="P93" t="s">
        <v>293</v>
      </c>
      <c r="Q93" t="s">
        <v>245</v>
      </c>
      <c r="R93" t="s">
        <v>289</v>
      </c>
      <c r="S93" s="1">
        <v>45748</v>
      </c>
      <c r="U93" t="s">
        <v>51</v>
      </c>
      <c r="X93" t="s">
        <v>52</v>
      </c>
      <c r="AF93" s="2">
        <v>626</v>
      </c>
      <c r="AG93" s="2">
        <v>0</v>
      </c>
      <c r="AJ93" s="2">
        <v>417.33</v>
      </c>
    </row>
    <row r="94" spans="1:38" x14ac:dyDescent="0.25">
      <c r="A94" s="1">
        <v>45903</v>
      </c>
      <c r="B94" s="1">
        <v>45903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233</v>
      </c>
      <c r="J94" t="s">
        <v>234</v>
      </c>
      <c r="M94" t="s">
        <v>56</v>
      </c>
      <c r="O94" t="s">
        <v>65</v>
      </c>
      <c r="P94" t="s">
        <v>66</v>
      </c>
      <c r="Q94" t="s">
        <v>57</v>
      </c>
      <c r="R94" t="s">
        <v>235</v>
      </c>
      <c r="S94" s="1">
        <v>45901</v>
      </c>
      <c r="U94" t="s">
        <v>51</v>
      </c>
      <c r="X94" t="s">
        <v>52</v>
      </c>
      <c r="Y94" s="2">
        <v>0</v>
      </c>
      <c r="Z94" s="2">
        <v>104.33</v>
      </c>
      <c r="AA94">
        <v>1</v>
      </c>
      <c r="AB94" s="3">
        <v>1</v>
      </c>
      <c r="AC94" s="2">
        <v>104.33</v>
      </c>
      <c r="AD94" s="3">
        <v>0</v>
      </c>
      <c r="AE94" s="2">
        <v>0</v>
      </c>
      <c r="AF94" s="2">
        <v>104.33</v>
      </c>
      <c r="AK94">
        <v>5776101</v>
      </c>
      <c r="AL94" t="s">
        <v>230</v>
      </c>
    </row>
  </sheetData>
  <sortState xmlns:xlrd2="http://schemas.microsoft.com/office/spreadsheetml/2017/richdata2" ref="A2:AL94">
    <sortCondition ref="R2:R9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F0106-BE94-4443-A552-AA110AD5EB7A}">
  <dimension ref="A1:T94"/>
  <sheetViews>
    <sheetView topLeftCell="H61" zoomScaleNormal="100" workbookViewId="0">
      <selection activeCell="Q2" sqref="Q2:Q94"/>
    </sheetView>
  </sheetViews>
  <sheetFormatPr defaultRowHeight="15" x14ac:dyDescent="0.25"/>
  <cols>
    <col min="1" max="1" width="17.42578125" style="4" bestFit="1" customWidth="1"/>
    <col min="2" max="2" width="17.42578125" customWidth="1"/>
    <col min="3" max="3" width="29.85546875" bestFit="1" customWidth="1"/>
    <col min="4" max="4" width="10.85546875" customWidth="1"/>
    <col min="5" max="5" width="23.7109375" bestFit="1" customWidth="1"/>
    <col min="7" max="7" width="47.140625" bestFit="1" customWidth="1"/>
    <col min="8" max="8" width="10.140625" bestFit="1" customWidth="1"/>
    <col min="15" max="15" width="39.140625" bestFit="1" customWidth="1"/>
    <col min="16" max="16" width="23.28515625" bestFit="1" customWidth="1"/>
  </cols>
  <sheetData>
    <row r="1" spans="1:16" x14ac:dyDescent="0.25">
      <c r="A1" s="4" t="s">
        <v>8</v>
      </c>
      <c r="C1" t="s">
        <v>9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16" x14ac:dyDescent="0.25">
      <c r="A2" s="4">
        <v>102181870900</v>
      </c>
      <c r="B2" t="str">
        <f>CONCATENATE(A2,0)</f>
        <v>1021818709000</v>
      </c>
      <c r="C2" t="s">
        <v>116</v>
      </c>
      <c r="D2">
        <v>20411454</v>
      </c>
      <c r="E2" t="s">
        <v>357</v>
      </c>
      <c r="F2" t="s">
        <v>57</v>
      </c>
      <c r="G2" t="s">
        <v>117</v>
      </c>
      <c r="H2" s="1">
        <v>45839</v>
      </c>
      <c r="I2" t="s">
        <v>52</v>
      </c>
      <c r="J2" s="2">
        <v>0</v>
      </c>
      <c r="K2" s="2">
        <v>50</v>
      </c>
      <c r="L2">
        <v>1</v>
      </c>
      <c r="M2" s="3">
        <v>1</v>
      </c>
      <c r="N2" s="2">
        <v>50</v>
      </c>
      <c r="P2" t="s">
        <v>348</v>
      </c>
    </row>
    <row r="3" spans="1:16" x14ac:dyDescent="0.25">
      <c r="A3" s="4">
        <v>102181883500</v>
      </c>
      <c r="B3" t="str">
        <f t="shared" ref="B3:B32" si="0">CONCATENATE(A3,0)</f>
        <v>1021818835000</v>
      </c>
      <c r="C3" t="s">
        <v>119</v>
      </c>
      <c r="D3">
        <v>20411454</v>
      </c>
      <c r="E3" t="s">
        <v>357</v>
      </c>
      <c r="F3" t="s">
        <v>57</v>
      </c>
      <c r="G3" t="s">
        <v>117</v>
      </c>
      <c r="H3" s="1">
        <v>45870</v>
      </c>
      <c r="I3" t="s">
        <v>52</v>
      </c>
      <c r="J3" s="2">
        <v>0</v>
      </c>
      <c r="K3" s="2">
        <v>50</v>
      </c>
      <c r="L3">
        <v>1</v>
      </c>
      <c r="M3" s="3">
        <v>1</v>
      </c>
      <c r="N3" s="2">
        <v>50</v>
      </c>
      <c r="P3" t="s">
        <v>348</v>
      </c>
    </row>
    <row r="4" spans="1:16" x14ac:dyDescent="0.25">
      <c r="A4" s="4">
        <v>102182237600</v>
      </c>
      <c r="B4" t="str">
        <f t="shared" si="0"/>
        <v>1021822376000</v>
      </c>
      <c r="C4" t="s">
        <v>123</v>
      </c>
      <c r="D4">
        <v>20411454</v>
      </c>
      <c r="E4" t="s">
        <v>357</v>
      </c>
      <c r="F4" t="s">
        <v>57</v>
      </c>
      <c r="G4" t="s">
        <v>117</v>
      </c>
      <c r="H4" s="1">
        <v>45901</v>
      </c>
      <c r="I4" t="s">
        <v>52</v>
      </c>
      <c r="J4" s="2">
        <v>0</v>
      </c>
      <c r="K4" s="2">
        <v>50</v>
      </c>
      <c r="L4">
        <v>1</v>
      </c>
      <c r="M4" s="3">
        <v>1</v>
      </c>
      <c r="N4" s="2">
        <v>50</v>
      </c>
      <c r="P4" t="s">
        <v>348</v>
      </c>
    </row>
    <row r="5" spans="1:16" x14ac:dyDescent="0.25">
      <c r="A5" s="4">
        <v>102182536000</v>
      </c>
      <c r="B5" t="str">
        <f t="shared" si="0"/>
        <v>1021825360000</v>
      </c>
      <c r="C5" t="s">
        <v>127</v>
      </c>
      <c r="D5">
        <v>20411454</v>
      </c>
      <c r="E5" t="s">
        <v>357</v>
      </c>
      <c r="F5" t="s">
        <v>57</v>
      </c>
      <c r="G5" t="s">
        <v>117</v>
      </c>
      <c r="H5" s="1">
        <v>45931</v>
      </c>
      <c r="I5" t="s">
        <v>52</v>
      </c>
      <c r="J5" s="2">
        <v>0</v>
      </c>
      <c r="K5" s="2">
        <v>50</v>
      </c>
      <c r="L5">
        <v>1</v>
      </c>
      <c r="M5" s="3">
        <v>1</v>
      </c>
      <c r="N5" s="2">
        <v>50</v>
      </c>
      <c r="P5" t="s">
        <v>348</v>
      </c>
    </row>
    <row r="6" spans="1:16" x14ac:dyDescent="0.25">
      <c r="A6" s="4">
        <v>102183051300</v>
      </c>
      <c r="B6" t="str">
        <f t="shared" si="0"/>
        <v>1021830513000</v>
      </c>
      <c r="C6" t="s">
        <v>130</v>
      </c>
      <c r="D6">
        <v>20411454</v>
      </c>
      <c r="E6" t="s">
        <v>357</v>
      </c>
      <c r="F6" t="s">
        <v>57</v>
      </c>
      <c r="G6" t="s">
        <v>117</v>
      </c>
      <c r="H6" s="1">
        <v>45931</v>
      </c>
      <c r="I6" t="s">
        <v>52</v>
      </c>
      <c r="J6" s="2">
        <v>0</v>
      </c>
      <c r="K6" s="2">
        <v>50</v>
      </c>
      <c r="L6">
        <v>1</v>
      </c>
      <c r="M6" s="3">
        <v>1</v>
      </c>
      <c r="N6" s="2">
        <v>50</v>
      </c>
      <c r="P6" t="s">
        <v>348</v>
      </c>
    </row>
    <row r="7" spans="1:16" x14ac:dyDescent="0.25">
      <c r="A7" s="4">
        <v>102183195600</v>
      </c>
      <c r="B7" t="str">
        <f t="shared" si="0"/>
        <v>1021831956000</v>
      </c>
      <c r="C7" t="s">
        <v>133</v>
      </c>
      <c r="D7">
        <v>20411454</v>
      </c>
      <c r="E7" t="s">
        <v>357</v>
      </c>
      <c r="F7" t="s">
        <v>57</v>
      </c>
      <c r="G7" t="s">
        <v>117</v>
      </c>
      <c r="H7" s="1">
        <v>45870</v>
      </c>
      <c r="I7" t="s">
        <v>52</v>
      </c>
      <c r="J7" s="2">
        <v>0</v>
      </c>
      <c r="K7" s="2">
        <v>50</v>
      </c>
      <c r="L7">
        <v>1</v>
      </c>
      <c r="M7" s="3">
        <v>1</v>
      </c>
      <c r="N7" s="2">
        <v>50</v>
      </c>
      <c r="P7" t="s">
        <v>348</v>
      </c>
    </row>
    <row r="8" spans="1:16" x14ac:dyDescent="0.25">
      <c r="A8" s="4">
        <v>102183716700</v>
      </c>
      <c r="B8" t="str">
        <f t="shared" si="0"/>
        <v>1021837167000</v>
      </c>
      <c r="C8" t="s">
        <v>137</v>
      </c>
      <c r="D8">
        <v>20411454</v>
      </c>
      <c r="E8" t="s">
        <v>357</v>
      </c>
      <c r="F8" t="s">
        <v>57</v>
      </c>
      <c r="G8" t="s">
        <v>117</v>
      </c>
      <c r="H8" s="1">
        <v>45870</v>
      </c>
      <c r="I8" t="s">
        <v>52</v>
      </c>
      <c r="J8" s="2">
        <v>0</v>
      </c>
      <c r="K8" s="2">
        <v>50</v>
      </c>
      <c r="L8">
        <v>1</v>
      </c>
      <c r="M8" s="3">
        <v>1</v>
      </c>
      <c r="N8" s="2">
        <v>50</v>
      </c>
      <c r="P8" t="s">
        <v>348</v>
      </c>
    </row>
    <row r="9" spans="1:16" x14ac:dyDescent="0.25">
      <c r="A9" s="4">
        <v>102183764700</v>
      </c>
      <c r="B9" t="str">
        <f t="shared" si="0"/>
        <v>1021837647000</v>
      </c>
      <c r="C9" t="s">
        <v>141</v>
      </c>
      <c r="D9">
        <v>20411454</v>
      </c>
      <c r="E9" t="s">
        <v>357</v>
      </c>
      <c r="F9" t="s">
        <v>57</v>
      </c>
      <c r="G9" t="s">
        <v>117</v>
      </c>
      <c r="H9" s="1">
        <v>45870</v>
      </c>
      <c r="I9" t="s">
        <v>52</v>
      </c>
      <c r="J9" s="2">
        <v>0</v>
      </c>
      <c r="K9" s="2">
        <v>50</v>
      </c>
      <c r="L9">
        <v>1</v>
      </c>
      <c r="M9" s="3">
        <v>1</v>
      </c>
      <c r="N9" s="2">
        <v>50</v>
      </c>
      <c r="P9" t="s">
        <v>348</v>
      </c>
    </row>
    <row r="10" spans="1:16" x14ac:dyDescent="0.25">
      <c r="A10" s="4">
        <v>102184098400</v>
      </c>
      <c r="B10" t="str">
        <f t="shared" si="0"/>
        <v>1021840984000</v>
      </c>
      <c r="C10" t="s">
        <v>144</v>
      </c>
      <c r="D10">
        <v>20411454</v>
      </c>
      <c r="E10" t="s">
        <v>357</v>
      </c>
      <c r="F10" t="s">
        <v>57</v>
      </c>
      <c r="G10" t="s">
        <v>117</v>
      </c>
      <c r="H10" s="1">
        <v>45870</v>
      </c>
      <c r="I10" t="s">
        <v>52</v>
      </c>
      <c r="J10" s="2">
        <v>0</v>
      </c>
      <c r="K10" s="2">
        <v>50</v>
      </c>
      <c r="L10">
        <v>1</v>
      </c>
      <c r="M10" s="3">
        <v>1</v>
      </c>
      <c r="N10" s="2">
        <v>50</v>
      </c>
      <c r="P10" t="s">
        <v>348</v>
      </c>
    </row>
    <row r="11" spans="1:16" x14ac:dyDescent="0.25">
      <c r="A11" s="4">
        <v>102184099700</v>
      </c>
      <c r="B11" t="str">
        <f t="shared" si="0"/>
        <v>1021840997000</v>
      </c>
      <c r="C11" t="s">
        <v>148</v>
      </c>
      <c r="D11">
        <v>20411454</v>
      </c>
      <c r="E11" t="s">
        <v>357</v>
      </c>
      <c r="F11" t="s">
        <v>57</v>
      </c>
      <c r="G11" t="s">
        <v>117</v>
      </c>
      <c r="H11" s="1">
        <v>45870</v>
      </c>
      <c r="I11" t="s">
        <v>52</v>
      </c>
      <c r="J11" s="2">
        <v>0</v>
      </c>
      <c r="K11" s="2">
        <v>50</v>
      </c>
      <c r="L11">
        <v>1</v>
      </c>
      <c r="M11" s="3">
        <v>1</v>
      </c>
      <c r="N11" s="2">
        <v>50</v>
      </c>
      <c r="P11" t="s">
        <v>348</v>
      </c>
    </row>
    <row r="12" spans="1:16" x14ac:dyDescent="0.25">
      <c r="A12" s="4">
        <v>102184194300</v>
      </c>
      <c r="B12" t="str">
        <f t="shared" si="0"/>
        <v>1021841943000</v>
      </c>
      <c r="C12" t="s">
        <v>152</v>
      </c>
      <c r="D12">
        <v>20411454</v>
      </c>
      <c r="E12" t="s">
        <v>357</v>
      </c>
      <c r="F12" t="s">
        <v>57</v>
      </c>
      <c r="G12" t="s">
        <v>117</v>
      </c>
      <c r="H12" s="1">
        <v>45870</v>
      </c>
      <c r="I12" t="s">
        <v>52</v>
      </c>
      <c r="J12" s="2">
        <v>0</v>
      </c>
      <c r="K12" s="2">
        <v>50</v>
      </c>
      <c r="L12">
        <v>1</v>
      </c>
      <c r="M12" s="3">
        <v>1</v>
      </c>
      <c r="N12" s="2">
        <v>50</v>
      </c>
      <c r="P12" t="s">
        <v>348</v>
      </c>
    </row>
    <row r="13" spans="1:16" x14ac:dyDescent="0.25">
      <c r="A13" s="4">
        <v>102184276900</v>
      </c>
      <c r="B13" t="str">
        <f t="shared" si="0"/>
        <v>1021842769000</v>
      </c>
      <c r="C13" t="s">
        <v>156</v>
      </c>
      <c r="D13">
        <v>20411454</v>
      </c>
      <c r="E13" t="s">
        <v>357</v>
      </c>
      <c r="F13" t="s">
        <v>57</v>
      </c>
      <c r="G13" t="s">
        <v>117</v>
      </c>
      <c r="H13" s="1">
        <v>45870</v>
      </c>
      <c r="I13" t="s">
        <v>52</v>
      </c>
      <c r="J13" s="2">
        <v>0</v>
      </c>
      <c r="K13" s="2">
        <v>50</v>
      </c>
      <c r="L13">
        <v>1</v>
      </c>
      <c r="M13" s="3">
        <v>1</v>
      </c>
      <c r="N13" s="2">
        <v>50</v>
      </c>
      <c r="P13" t="s">
        <v>348</v>
      </c>
    </row>
    <row r="14" spans="1:16" x14ac:dyDescent="0.25">
      <c r="A14" s="4">
        <v>102184427100</v>
      </c>
      <c r="B14" t="str">
        <f t="shared" si="0"/>
        <v>1021844271000</v>
      </c>
      <c r="C14" t="s">
        <v>161</v>
      </c>
      <c r="D14">
        <v>20411454</v>
      </c>
      <c r="E14" t="s">
        <v>357</v>
      </c>
      <c r="F14" t="s">
        <v>57</v>
      </c>
      <c r="G14" t="s">
        <v>117</v>
      </c>
      <c r="H14" s="1">
        <v>45870</v>
      </c>
      <c r="I14" t="s">
        <v>52</v>
      </c>
      <c r="J14" s="2">
        <v>0</v>
      </c>
      <c r="K14" s="2">
        <v>50</v>
      </c>
      <c r="L14">
        <v>1</v>
      </c>
      <c r="M14" s="3">
        <v>1</v>
      </c>
      <c r="N14" s="2">
        <v>50</v>
      </c>
      <c r="P14" t="s">
        <v>348</v>
      </c>
    </row>
    <row r="15" spans="1:16" x14ac:dyDescent="0.25">
      <c r="A15" s="4">
        <v>102184438000</v>
      </c>
      <c r="B15" t="str">
        <f t="shared" si="0"/>
        <v>1021844380000</v>
      </c>
      <c r="C15" t="s">
        <v>164</v>
      </c>
      <c r="D15">
        <v>20411454</v>
      </c>
      <c r="E15" t="s">
        <v>357</v>
      </c>
      <c r="F15" t="s">
        <v>57</v>
      </c>
      <c r="G15" t="s">
        <v>117</v>
      </c>
      <c r="H15" s="1">
        <v>45901</v>
      </c>
      <c r="I15" t="s">
        <v>52</v>
      </c>
      <c r="J15" s="2">
        <v>0</v>
      </c>
      <c r="K15" s="2">
        <v>50</v>
      </c>
      <c r="L15">
        <v>1</v>
      </c>
      <c r="M15" s="3">
        <v>1</v>
      </c>
      <c r="N15" s="2">
        <v>50</v>
      </c>
      <c r="P15" t="s">
        <v>348</v>
      </c>
    </row>
    <row r="16" spans="1:16" x14ac:dyDescent="0.25">
      <c r="A16" s="4">
        <v>102184490600</v>
      </c>
      <c r="B16" t="str">
        <f t="shared" si="0"/>
        <v>1021844906000</v>
      </c>
      <c r="C16" t="s">
        <v>168</v>
      </c>
      <c r="D16">
        <v>20411454</v>
      </c>
      <c r="E16" t="s">
        <v>357</v>
      </c>
      <c r="F16" t="s">
        <v>57</v>
      </c>
      <c r="G16" t="s">
        <v>117</v>
      </c>
      <c r="H16" s="1">
        <v>45870</v>
      </c>
      <c r="I16" t="s">
        <v>52</v>
      </c>
      <c r="J16" s="2">
        <v>0</v>
      </c>
      <c r="K16" s="2">
        <v>50</v>
      </c>
      <c r="L16">
        <v>1</v>
      </c>
      <c r="M16" s="3">
        <v>1</v>
      </c>
      <c r="N16" s="2">
        <v>50</v>
      </c>
      <c r="P16" t="s">
        <v>348</v>
      </c>
    </row>
    <row r="17" spans="1:16" x14ac:dyDescent="0.25">
      <c r="A17" s="4">
        <v>102184515800</v>
      </c>
      <c r="B17" t="str">
        <f t="shared" si="0"/>
        <v>1021845158000</v>
      </c>
      <c r="C17" t="s">
        <v>172</v>
      </c>
      <c r="D17">
        <v>20411454</v>
      </c>
      <c r="E17" t="s">
        <v>357</v>
      </c>
      <c r="F17" t="s">
        <v>57</v>
      </c>
      <c r="G17" t="s">
        <v>117</v>
      </c>
      <c r="H17" s="1">
        <v>45870</v>
      </c>
      <c r="I17" t="s">
        <v>52</v>
      </c>
      <c r="J17" s="2">
        <v>0</v>
      </c>
      <c r="K17" s="2">
        <v>50</v>
      </c>
      <c r="L17">
        <v>1</v>
      </c>
      <c r="M17" s="3">
        <v>1</v>
      </c>
      <c r="N17" s="2">
        <v>50</v>
      </c>
      <c r="P17" t="s">
        <v>348</v>
      </c>
    </row>
    <row r="18" spans="1:16" x14ac:dyDescent="0.25">
      <c r="A18" s="4">
        <v>102184690900</v>
      </c>
      <c r="B18" t="str">
        <f t="shared" si="0"/>
        <v>1021846909000</v>
      </c>
      <c r="C18" t="s">
        <v>174</v>
      </c>
      <c r="D18">
        <v>20411454</v>
      </c>
      <c r="E18" t="s">
        <v>357</v>
      </c>
      <c r="F18" t="s">
        <v>57</v>
      </c>
      <c r="G18" t="s">
        <v>117</v>
      </c>
      <c r="H18" s="1">
        <v>45901</v>
      </c>
      <c r="I18" t="s">
        <v>52</v>
      </c>
      <c r="J18" s="2">
        <v>0</v>
      </c>
      <c r="K18" s="2">
        <v>50</v>
      </c>
      <c r="L18">
        <v>1</v>
      </c>
      <c r="M18" s="3">
        <v>1</v>
      </c>
      <c r="N18" s="2">
        <v>50</v>
      </c>
      <c r="P18" t="s">
        <v>348</v>
      </c>
    </row>
    <row r="19" spans="1:16" x14ac:dyDescent="0.25">
      <c r="A19" s="4">
        <v>102184907800</v>
      </c>
      <c r="B19" t="str">
        <f t="shared" si="0"/>
        <v>1021849078000</v>
      </c>
      <c r="C19" t="s">
        <v>176</v>
      </c>
      <c r="D19">
        <v>20411454</v>
      </c>
      <c r="E19" t="s">
        <v>357</v>
      </c>
      <c r="F19" t="s">
        <v>57</v>
      </c>
      <c r="G19" t="s">
        <v>117</v>
      </c>
      <c r="H19" s="1">
        <v>45870</v>
      </c>
      <c r="I19" t="s">
        <v>52</v>
      </c>
      <c r="J19" s="2">
        <v>0</v>
      </c>
      <c r="K19" s="2">
        <v>50</v>
      </c>
      <c r="L19">
        <v>1</v>
      </c>
      <c r="M19" s="3">
        <v>1</v>
      </c>
      <c r="N19" s="2">
        <v>50</v>
      </c>
      <c r="P19" t="s">
        <v>348</v>
      </c>
    </row>
    <row r="20" spans="1:16" x14ac:dyDescent="0.25">
      <c r="A20" s="4">
        <v>102185121400</v>
      </c>
      <c r="B20" t="str">
        <f t="shared" si="0"/>
        <v>1021851214000</v>
      </c>
      <c r="C20" t="s">
        <v>179</v>
      </c>
      <c r="D20">
        <v>20411454</v>
      </c>
      <c r="E20" t="s">
        <v>357</v>
      </c>
      <c r="F20" t="s">
        <v>57</v>
      </c>
      <c r="G20" t="s">
        <v>117</v>
      </c>
      <c r="H20" s="1">
        <v>45901</v>
      </c>
      <c r="I20" t="s">
        <v>52</v>
      </c>
      <c r="J20" s="2">
        <v>0</v>
      </c>
      <c r="K20" s="2">
        <v>50</v>
      </c>
      <c r="L20">
        <v>1</v>
      </c>
      <c r="M20" s="3">
        <v>1</v>
      </c>
      <c r="N20" s="2">
        <v>50</v>
      </c>
      <c r="P20" t="s">
        <v>348</v>
      </c>
    </row>
    <row r="21" spans="1:16" x14ac:dyDescent="0.25">
      <c r="A21" s="4">
        <v>102185144300</v>
      </c>
      <c r="B21" t="str">
        <f t="shared" si="0"/>
        <v>1021851443000</v>
      </c>
      <c r="C21" t="s">
        <v>181</v>
      </c>
      <c r="D21">
        <v>20411454</v>
      </c>
      <c r="E21" t="s">
        <v>357</v>
      </c>
      <c r="F21" t="s">
        <v>57</v>
      </c>
      <c r="G21" t="s">
        <v>117</v>
      </c>
      <c r="H21" s="1">
        <v>45870</v>
      </c>
      <c r="I21" t="s">
        <v>52</v>
      </c>
      <c r="J21" s="2">
        <v>0</v>
      </c>
      <c r="K21" s="2">
        <v>50</v>
      </c>
      <c r="L21">
        <v>1</v>
      </c>
      <c r="M21" s="3">
        <v>1</v>
      </c>
      <c r="N21" s="2">
        <v>50</v>
      </c>
      <c r="P21" t="s">
        <v>348</v>
      </c>
    </row>
    <row r="22" spans="1:16" x14ac:dyDescent="0.25">
      <c r="A22" s="4">
        <v>102185649000</v>
      </c>
      <c r="B22" t="str">
        <f t="shared" si="0"/>
        <v>1021856490000</v>
      </c>
      <c r="C22" t="s">
        <v>185</v>
      </c>
      <c r="D22">
        <v>20411454</v>
      </c>
      <c r="E22" t="s">
        <v>357</v>
      </c>
      <c r="F22" t="s">
        <v>57</v>
      </c>
      <c r="G22" t="s">
        <v>117</v>
      </c>
      <c r="H22" s="1">
        <v>45870</v>
      </c>
      <c r="I22" t="s">
        <v>52</v>
      </c>
      <c r="J22" s="2">
        <v>0</v>
      </c>
      <c r="K22" s="2">
        <v>50</v>
      </c>
      <c r="L22">
        <v>1</v>
      </c>
      <c r="M22" s="3">
        <v>1</v>
      </c>
      <c r="N22" s="2">
        <v>50</v>
      </c>
      <c r="P22" t="s">
        <v>348</v>
      </c>
    </row>
    <row r="23" spans="1:16" x14ac:dyDescent="0.25">
      <c r="A23" s="4">
        <v>102185649100</v>
      </c>
      <c r="B23" t="str">
        <f t="shared" si="0"/>
        <v>1021856491000</v>
      </c>
      <c r="C23" t="s">
        <v>189</v>
      </c>
      <c r="D23">
        <v>20411454</v>
      </c>
      <c r="E23" t="s">
        <v>357</v>
      </c>
      <c r="F23" t="s">
        <v>57</v>
      </c>
      <c r="G23" t="s">
        <v>117</v>
      </c>
      <c r="H23" s="1">
        <v>45870</v>
      </c>
      <c r="I23" t="s">
        <v>52</v>
      </c>
      <c r="J23" s="2">
        <v>0</v>
      </c>
      <c r="K23" s="2">
        <v>50</v>
      </c>
      <c r="L23">
        <v>1</v>
      </c>
      <c r="M23" s="3">
        <v>1</v>
      </c>
      <c r="N23" s="2">
        <v>50</v>
      </c>
      <c r="P23" t="s">
        <v>348</v>
      </c>
    </row>
    <row r="24" spans="1:16" x14ac:dyDescent="0.25">
      <c r="A24" s="4">
        <v>102185749400</v>
      </c>
      <c r="B24" t="str">
        <f t="shared" si="0"/>
        <v>1021857494000</v>
      </c>
      <c r="C24" t="s">
        <v>191</v>
      </c>
      <c r="D24">
        <v>20411454</v>
      </c>
      <c r="E24" t="s">
        <v>357</v>
      </c>
      <c r="F24" t="s">
        <v>57</v>
      </c>
      <c r="G24" t="s">
        <v>117</v>
      </c>
      <c r="H24" s="1">
        <v>45870</v>
      </c>
      <c r="I24" t="s">
        <v>52</v>
      </c>
      <c r="J24" s="2">
        <v>0</v>
      </c>
      <c r="K24" s="2">
        <v>50</v>
      </c>
      <c r="L24">
        <v>1</v>
      </c>
      <c r="M24" s="3">
        <v>1</v>
      </c>
      <c r="N24" s="2">
        <v>50</v>
      </c>
      <c r="P24" t="s">
        <v>348</v>
      </c>
    </row>
    <row r="25" spans="1:16" x14ac:dyDescent="0.25">
      <c r="A25" s="4">
        <v>102185986800</v>
      </c>
      <c r="B25" t="str">
        <f t="shared" si="0"/>
        <v>1021859868000</v>
      </c>
      <c r="C25" t="s">
        <v>193</v>
      </c>
      <c r="D25">
        <v>20411454</v>
      </c>
      <c r="E25" t="s">
        <v>357</v>
      </c>
      <c r="F25" t="s">
        <v>57</v>
      </c>
      <c r="G25" t="s">
        <v>117</v>
      </c>
      <c r="H25" s="1">
        <v>45870</v>
      </c>
      <c r="I25" t="s">
        <v>52</v>
      </c>
      <c r="J25" s="2">
        <v>0</v>
      </c>
      <c r="K25" s="2">
        <v>50</v>
      </c>
      <c r="L25">
        <v>1</v>
      </c>
      <c r="M25" s="3">
        <v>1</v>
      </c>
      <c r="N25" s="2">
        <v>50</v>
      </c>
      <c r="P25" t="s">
        <v>348</v>
      </c>
    </row>
    <row r="26" spans="1:16" x14ac:dyDescent="0.25">
      <c r="A26" s="4">
        <v>102186185100</v>
      </c>
      <c r="B26" t="str">
        <f t="shared" si="0"/>
        <v>1021861851000</v>
      </c>
      <c r="C26" t="s">
        <v>197</v>
      </c>
      <c r="D26">
        <v>20411454</v>
      </c>
      <c r="E26" t="s">
        <v>357</v>
      </c>
      <c r="F26" t="s">
        <v>57</v>
      </c>
      <c r="G26" t="s">
        <v>117</v>
      </c>
      <c r="H26" s="1">
        <v>45901</v>
      </c>
      <c r="I26" t="s">
        <v>52</v>
      </c>
      <c r="J26" s="2">
        <v>0</v>
      </c>
      <c r="K26" s="2">
        <v>50</v>
      </c>
      <c r="L26">
        <v>1</v>
      </c>
      <c r="M26" s="3">
        <v>1</v>
      </c>
      <c r="N26" s="2">
        <v>50</v>
      </c>
      <c r="P26" t="s">
        <v>348</v>
      </c>
    </row>
    <row r="27" spans="1:16" x14ac:dyDescent="0.25">
      <c r="A27" s="4">
        <v>102186402600</v>
      </c>
      <c r="B27" t="str">
        <f t="shared" si="0"/>
        <v>1021864026000</v>
      </c>
      <c r="C27" t="s">
        <v>199</v>
      </c>
      <c r="D27">
        <v>20411454</v>
      </c>
      <c r="E27" t="s">
        <v>357</v>
      </c>
      <c r="F27" t="s">
        <v>57</v>
      </c>
      <c r="G27" t="s">
        <v>117</v>
      </c>
      <c r="H27" s="1">
        <v>45870</v>
      </c>
      <c r="I27" t="s">
        <v>52</v>
      </c>
      <c r="J27" s="2">
        <v>0</v>
      </c>
      <c r="K27" s="2">
        <v>50</v>
      </c>
      <c r="L27">
        <v>1</v>
      </c>
      <c r="M27" s="3">
        <v>1</v>
      </c>
      <c r="N27" s="2">
        <v>50</v>
      </c>
      <c r="P27" t="s">
        <v>348</v>
      </c>
    </row>
    <row r="28" spans="1:16" x14ac:dyDescent="0.25">
      <c r="A28" s="4">
        <v>102186573600</v>
      </c>
      <c r="B28" t="str">
        <f t="shared" si="0"/>
        <v>1021865736000</v>
      </c>
      <c r="C28" t="s">
        <v>207</v>
      </c>
      <c r="D28">
        <v>20411454</v>
      </c>
      <c r="E28" t="s">
        <v>357</v>
      </c>
      <c r="F28" t="s">
        <v>57</v>
      </c>
      <c r="G28" t="s">
        <v>117</v>
      </c>
      <c r="H28" s="1">
        <v>45870</v>
      </c>
      <c r="I28" t="s">
        <v>52</v>
      </c>
      <c r="J28" s="2">
        <v>0</v>
      </c>
      <c r="K28" s="2">
        <v>50</v>
      </c>
      <c r="L28">
        <v>1</v>
      </c>
      <c r="M28" s="3">
        <v>1</v>
      </c>
      <c r="N28" s="2">
        <v>50</v>
      </c>
      <c r="P28" t="s">
        <v>348</v>
      </c>
    </row>
    <row r="29" spans="1:16" x14ac:dyDescent="0.25">
      <c r="A29" s="4">
        <v>102186764000</v>
      </c>
      <c r="B29" t="str">
        <f t="shared" si="0"/>
        <v>1021867640000</v>
      </c>
      <c r="C29" t="s">
        <v>211</v>
      </c>
      <c r="D29">
        <v>20411454</v>
      </c>
      <c r="E29" t="s">
        <v>357</v>
      </c>
      <c r="F29" t="s">
        <v>57</v>
      </c>
      <c r="G29" t="s">
        <v>117</v>
      </c>
      <c r="H29" s="1">
        <v>45901</v>
      </c>
      <c r="I29" t="s">
        <v>52</v>
      </c>
      <c r="J29" s="2">
        <v>0</v>
      </c>
      <c r="K29" s="2">
        <v>50</v>
      </c>
      <c r="L29">
        <v>1</v>
      </c>
      <c r="M29" s="3">
        <v>1</v>
      </c>
      <c r="N29" s="2">
        <v>50</v>
      </c>
      <c r="P29" t="s">
        <v>348</v>
      </c>
    </row>
    <row r="30" spans="1:16" x14ac:dyDescent="0.25">
      <c r="A30" s="4">
        <v>102186765800</v>
      </c>
      <c r="B30" t="str">
        <f t="shared" si="0"/>
        <v>1021867658000</v>
      </c>
      <c r="C30" t="s">
        <v>214</v>
      </c>
      <c r="D30">
        <v>20411454</v>
      </c>
      <c r="E30" t="s">
        <v>357</v>
      </c>
      <c r="F30" t="s">
        <v>57</v>
      </c>
      <c r="G30" t="s">
        <v>117</v>
      </c>
      <c r="H30" s="1">
        <v>45870</v>
      </c>
      <c r="I30" t="s">
        <v>52</v>
      </c>
      <c r="J30" s="2">
        <v>0</v>
      </c>
      <c r="K30" s="2">
        <v>50</v>
      </c>
      <c r="L30">
        <v>1</v>
      </c>
      <c r="M30" s="3">
        <v>1</v>
      </c>
      <c r="N30" s="2">
        <v>50</v>
      </c>
      <c r="P30" t="s">
        <v>348</v>
      </c>
    </row>
    <row r="31" spans="1:16" x14ac:dyDescent="0.25">
      <c r="A31" s="4">
        <v>102186791500</v>
      </c>
      <c r="B31" t="str">
        <f t="shared" si="0"/>
        <v>1021867915000</v>
      </c>
      <c r="C31" t="s">
        <v>216</v>
      </c>
      <c r="D31">
        <v>20411454</v>
      </c>
      <c r="E31" t="s">
        <v>357</v>
      </c>
      <c r="F31" t="s">
        <v>57</v>
      </c>
      <c r="G31" t="s">
        <v>117</v>
      </c>
      <c r="H31" s="1">
        <v>45870</v>
      </c>
      <c r="I31" t="s">
        <v>52</v>
      </c>
      <c r="J31" s="2">
        <v>0</v>
      </c>
      <c r="K31" s="2">
        <v>50</v>
      </c>
      <c r="L31">
        <v>1</v>
      </c>
      <c r="M31" s="3">
        <v>1</v>
      </c>
      <c r="N31" s="2">
        <v>50</v>
      </c>
      <c r="P31" t="s">
        <v>348</v>
      </c>
    </row>
    <row r="32" spans="1:16" x14ac:dyDescent="0.25">
      <c r="A32" s="4">
        <v>102186920500</v>
      </c>
      <c r="B32" t="str">
        <f t="shared" si="0"/>
        <v>1021869205000</v>
      </c>
      <c r="C32" t="s">
        <v>218</v>
      </c>
      <c r="D32">
        <v>20411454</v>
      </c>
      <c r="E32" t="s">
        <v>357</v>
      </c>
      <c r="F32" t="s">
        <v>57</v>
      </c>
      <c r="G32" t="s">
        <v>117</v>
      </c>
      <c r="H32" s="1">
        <v>45870</v>
      </c>
      <c r="I32" t="s">
        <v>52</v>
      </c>
      <c r="J32" s="2">
        <v>0</v>
      </c>
      <c r="K32" s="2">
        <v>50</v>
      </c>
      <c r="L32">
        <v>1</v>
      </c>
      <c r="M32" s="3">
        <v>1</v>
      </c>
      <c r="N32" s="2">
        <v>50</v>
      </c>
      <c r="P32" t="s">
        <v>348</v>
      </c>
    </row>
    <row r="33" spans="1:16" x14ac:dyDescent="0.25">
      <c r="A33" s="4" t="s">
        <v>313</v>
      </c>
      <c r="B33" t="s">
        <v>313</v>
      </c>
      <c r="C33" t="s">
        <v>252</v>
      </c>
      <c r="D33">
        <v>20411454</v>
      </c>
      <c r="E33" t="s">
        <v>357</v>
      </c>
      <c r="F33" t="s">
        <v>245</v>
      </c>
      <c r="G33" t="s">
        <v>117</v>
      </c>
      <c r="H33" s="1">
        <v>45658</v>
      </c>
      <c r="I33" t="s">
        <v>52</v>
      </c>
      <c r="N33">
        <v>-16.670000000000002</v>
      </c>
      <c r="P33" t="s">
        <v>348</v>
      </c>
    </row>
    <row r="34" spans="1:16" x14ac:dyDescent="0.25">
      <c r="A34" s="4">
        <v>102186566000</v>
      </c>
      <c r="B34" t="str">
        <f t="shared" ref="B34:B37" si="1">CONCATENATE(A34,0)</f>
        <v>1021865660000</v>
      </c>
      <c r="C34" t="s">
        <v>201</v>
      </c>
      <c r="D34">
        <v>20411454</v>
      </c>
      <c r="E34" t="s">
        <v>357</v>
      </c>
      <c r="F34" t="s">
        <v>57</v>
      </c>
      <c r="G34" t="s">
        <v>205</v>
      </c>
      <c r="H34" s="1">
        <v>45870</v>
      </c>
      <c r="I34" t="s">
        <v>52</v>
      </c>
      <c r="J34" s="2">
        <v>0</v>
      </c>
      <c r="K34" s="2">
        <v>40</v>
      </c>
      <c r="L34">
        <v>1</v>
      </c>
      <c r="M34" s="3">
        <v>1</v>
      </c>
      <c r="N34" s="2">
        <v>40</v>
      </c>
      <c r="P34" t="s">
        <v>348</v>
      </c>
    </row>
    <row r="35" spans="1:16" x14ac:dyDescent="0.25">
      <c r="A35" s="4">
        <v>101930241000</v>
      </c>
      <c r="B35" t="str">
        <f t="shared" si="1"/>
        <v>1019302410000</v>
      </c>
      <c r="C35" t="s">
        <v>109</v>
      </c>
      <c r="D35">
        <v>20411454</v>
      </c>
      <c r="E35" t="s">
        <v>357</v>
      </c>
      <c r="F35" t="s">
        <v>57</v>
      </c>
      <c r="G35" t="s">
        <v>113</v>
      </c>
      <c r="H35" s="1">
        <v>45931</v>
      </c>
      <c r="I35" t="s">
        <v>52</v>
      </c>
      <c r="J35" s="2">
        <v>0</v>
      </c>
      <c r="K35" s="2">
        <v>12.5</v>
      </c>
      <c r="L35">
        <v>1</v>
      </c>
      <c r="M35" s="3">
        <v>1</v>
      </c>
      <c r="N35" s="2">
        <v>12.5</v>
      </c>
      <c r="O35" t="s">
        <v>114</v>
      </c>
      <c r="P35" t="s">
        <v>348</v>
      </c>
    </row>
    <row r="36" spans="1:16" x14ac:dyDescent="0.25">
      <c r="A36" s="4">
        <v>102189582400</v>
      </c>
      <c r="B36" t="str">
        <f t="shared" si="1"/>
        <v>1021895824000</v>
      </c>
      <c r="C36" t="s">
        <v>226</v>
      </c>
      <c r="D36">
        <v>20411454</v>
      </c>
      <c r="E36" t="s">
        <v>357</v>
      </c>
      <c r="F36" t="s">
        <v>57</v>
      </c>
      <c r="G36" t="s">
        <v>113</v>
      </c>
      <c r="H36" s="1">
        <v>45931</v>
      </c>
      <c r="I36" t="s">
        <v>52</v>
      </c>
      <c r="J36" s="2">
        <v>0</v>
      </c>
      <c r="K36" s="2">
        <v>12.5</v>
      </c>
      <c r="L36">
        <v>1</v>
      </c>
      <c r="M36" s="3">
        <v>1</v>
      </c>
      <c r="N36" s="2">
        <v>12.5</v>
      </c>
      <c r="O36" t="s">
        <v>114</v>
      </c>
      <c r="P36" t="s">
        <v>348</v>
      </c>
    </row>
    <row r="37" spans="1:16" x14ac:dyDescent="0.25">
      <c r="A37" s="4">
        <v>102189788900</v>
      </c>
      <c r="B37" t="str">
        <f t="shared" si="1"/>
        <v>1021897889000</v>
      </c>
      <c r="C37" t="s">
        <v>232</v>
      </c>
      <c r="D37">
        <v>20411454</v>
      </c>
      <c r="E37" t="s">
        <v>357</v>
      </c>
      <c r="F37" t="s">
        <v>57</v>
      </c>
      <c r="G37" t="s">
        <v>113</v>
      </c>
      <c r="H37" s="1">
        <v>45931</v>
      </c>
      <c r="I37" t="s">
        <v>52</v>
      </c>
      <c r="J37" s="2">
        <v>0</v>
      </c>
      <c r="K37" s="2">
        <v>12.5</v>
      </c>
      <c r="L37">
        <v>1</v>
      </c>
      <c r="M37" s="3">
        <v>1</v>
      </c>
      <c r="N37" s="2">
        <v>12.5</v>
      </c>
      <c r="O37" t="s">
        <v>114</v>
      </c>
      <c r="P37" t="s">
        <v>348</v>
      </c>
    </row>
    <row r="38" spans="1:16" x14ac:dyDescent="0.25">
      <c r="A38" s="4" t="s">
        <v>314</v>
      </c>
      <c r="B38" t="s">
        <v>314</v>
      </c>
      <c r="C38" t="s">
        <v>116</v>
      </c>
      <c r="D38">
        <v>20411454</v>
      </c>
      <c r="E38" t="s">
        <v>357</v>
      </c>
      <c r="F38" t="s">
        <v>245</v>
      </c>
      <c r="G38" t="s">
        <v>113</v>
      </c>
      <c r="H38" s="1">
        <v>45839</v>
      </c>
      <c r="I38" t="s">
        <v>52</v>
      </c>
      <c r="N38">
        <v>-25</v>
      </c>
      <c r="P38" t="s">
        <v>348</v>
      </c>
    </row>
    <row r="39" spans="1:16" x14ac:dyDescent="0.25">
      <c r="A39" s="4" t="s">
        <v>315</v>
      </c>
      <c r="B39" t="s">
        <v>315</v>
      </c>
      <c r="C39" t="s">
        <v>119</v>
      </c>
      <c r="D39">
        <v>20411454</v>
      </c>
      <c r="E39" t="s">
        <v>357</v>
      </c>
      <c r="F39" t="s">
        <v>245</v>
      </c>
      <c r="G39" t="s">
        <v>113</v>
      </c>
      <c r="H39" s="1">
        <v>45870</v>
      </c>
      <c r="I39" t="s">
        <v>52</v>
      </c>
      <c r="N39">
        <v>-20.83</v>
      </c>
      <c r="P39" t="s">
        <v>348</v>
      </c>
    </row>
    <row r="40" spans="1:16" x14ac:dyDescent="0.25">
      <c r="A40" s="4" t="s">
        <v>316</v>
      </c>
      <c r="B40" t="s">
        <v>316</v>
      </c>
      <c r="C40" t="s">
        <v>123</v>
      </c>
      <c r="D40">
        <v>20411454</v>
      </c>
      <c r="E40" t="s">
        <v>357</v>
      </c>
      <c r="F40" t="s">
        <v>245</v>
      </c>
      <c r="G40" t="s">
        <v>113</v>
      </c>
      <c r="H40" s="1">
        <v>45901</v>
      </c>
      <c r="I40" t="s">
        <v>52</v>
      </c>
      <c r="N40">
        <v>-16.670000000000002</v>
      </c>
      <c r="P40" t="s">
        <v>348</v>
      </c>
    </row>
    <row r="41" spans="1:16" x14ac:dyDescent="0.25">
      <c r="A41" s="4" t="s">
        <v>317</v>
      </c>
      <c r="B41" t="s">
        <v>317</v>
      </c>
      <c r="C41" t="s">
        <v>127</v>
      </c>
      <c r="D41">
        <v>20411454</v>
      </c>
      <c r="E41" t="s">
        <v>357</v>
      </c>
      <c r="F41" t="s">
        <v>245</v>
      </c>
      <c r="G41" t="s">
        <v>113</v>
      </c>
      <c r="H41" s="1">
        <v>45931</v>
      </c>
      <c r="I41" t="s">
        <v>52</v>
      </c>
      <c r="N41">
        <v>-12.5</v>
      </c>
      <c r="P41" t="s">
        <v>348</v>
      </c>
    </row>
    <row r="42" spans="1:16" x14ac:dyDescent="0.25">
      <c r="A42" s="4" t="s">
        <v>318</v>
      </c>
      <c r="B42" t="s">
        <v>318</v>
      </c>
      <c r="C42" t="s">
        <v>130</v>
      </c>
      <c r="D42">
        <v>20411454</v>
      </c>
      <c r="E42" t="s">
        <v>357</v>
      </c>
      <c r="F42" t="s">
        <v>245</v>
      </c>
      <c r="G42" t="s">
        <v>113</v>
      </c>
      <c r="H42" s="1">
        <v>45931</v>
      </c>
      <c r="I42" t="s">
        <v>52</v>
      </c>
      <c r="N42">
        <v>-12.5</v>
      </c>
      <c r="P42" t="s">
        <v>348</v>
      </c>
    </row>
    <row r="43" spans="1:16" x14ac:dyDescent="0.25">
      <c r="A43" s="4" t="s">
        <v>319</v>
      </c>
      <c r="B43" t="s">
        <v>319</v>
      </c>
      <c r="C43" t="s">
        <v>133</v>
      </c>
      <c r="D43">
        <v>20411454</v>
      </c>
      <c r="E43" t="s">
        <v>357</v>
      </c>
      <c r="F43" t="s">
        <v>245</v>
      </c>
      <c r="G43" t="s">
        <v>113</v>
      </c>
      <c r="H43" s="1">
        <v>45870</v>
      </c>
      <c r="I43" t="s">
        <v>52</v>
      </c>
      <c r="N43">
        <v>-20.83</v>
      </c>
      <c r="P43" t="s">
        <v>348</v>
      </c>
    </row>
    <row r="44" spans="1:16" x14ac:dyDescent="0.25">
      <c r="A44" s="4" t="s">
        <v>320</v>
      </c>
      <c r="B44" t="s">
        <v>320</v>
      </c>
      <c r="C44" t="s">
        <v>137</v>
      </c>
      <c r="D44">
        <v>20411454</v>
      </c>
      <c r="E44" t="s">
        <v>357</v>
      </c>
      <c r="F44" t="s">
        <v>245</v>
      </c>
      <c r="G44" t="s">
        <v>113</v>
      </c>
      <c r="H44" s="1">
        <v>45870</v>
      </c>
      <c r="I44" t="s">
        <v>52</v>
      </c>
      <c r="N44">
        <v>-20.83</v>
      </c>
      <c r="P44" t="s">
        <v>348</v>
      </c>
    </row>
    <row r="45" spans="1:16" x14ac:dyDescent="0.25">
      <c r="A45" s="4" t="s">
        <v>321</v>
      </c>
      <c r="B45" t="s">
        <v>321</v>
      </c>
      <c r="C45" t="s">
        <v>141</v>
      </c>
      <c r="D45">
        <v>20411454</v>
      </c>
      <c r="E45" t="s">
        <v>357</v>
      </c>
      <c r="F45" t="s">
        <v>245</v>
      </c>
      <c r="G45" t="s">
        <v>113</v>
      </c>
      <c r="H45" s="1">
        <v>45870</v>
      </c>
      <c r="I45" t="s">
        <v>52</v>
      </c>
      <c r="N45">
        <v>-20.83</v>
      </c>
      <c r="P45" t="s">
        <v>348</v>
      </c>
    </row>
    <row r="46" spans="1:16" x14ac:dyDescent="0.25">
      <c r="A46" s="4" t="s">
        <v>322</v>
      </c>
      <c r="B46" t="s">
        <v>322</v>
      </c>
      <c r="C46" t="s">
        <v>144</v>
      </c>
      <c r="D46">
        <v>20411454</v>
      </c>
      <c r="E46" t="s">
        <v>357</v>
      </c>
      <c r="F46" t="s">
        <v>245</v>
      </c>
      <c r="G46" t="s">
        <v>113</v>
      </c>
      <c r="H46" s="1">
        <v>45870</v>
      </c>
      <c r="I46" t="s">
        <v>52</v>
      </c>
      <c r="N46">
        <v>-20.83</v>
      </c>
      <c r="P46" t="s">
        <v>348</v>
      </c>
    </row>
    <row r="47" spans="1:16" x14ac:dyDescent="0.25">
      <c r="A47" s="4" t="s">
        <v>323</v>
      </c>
      <c r="B47" t="s">
        <v>323</v>
      </c>
      <c r="C47" t="s">
        <v>148</v>
      </c>
      <c r="D47">
        <v>20411454</v>
      </c>
      <c r="E47" t="s">
        <v>357</v>
      </c>
      <c r="F47" t="s">
        <v>245</v>
      </c>
      <c r="G47" t="s">
        <v>113</v>
      </c>
      <c r="H47" s="1">
        <v>45870</v>
      </c>
      <c r="I47" t="s">
        <v>52</v>
      </c>
      <c r="N47">
        <v>-20.83</v>
      </c>
      <c r="P47" t="s">
        <v>348</v>
      </c>
    </row>
    <row r="48" spans="1:16" x14ac:dyDescent="0.25">
      <c r="A48" s="4" t="s">
        <v>324</v>
      </c>
      <c r="B48" t="s">
        <v>324</v>
      </c>
      <c r="C48" t="s">
        <v>152</v>
      </c>
      <c r="D48">
        <v>20411454</v>
      </c>
      <c r="E48" t="s">
        <v>357</v>
      </c>
      <c r="F48" t="s">
        <v>245</v>
      </c>
      <c r="G48" t="s">
        <v>113</v>
      </c>
      <c r="H48" s="1">
        <v>45870</v>
      </c>
      <c r="I48" t="s">
        <v>52</v>
      </c>
      <c r="N48">
        <v>-20.83</v>
      </c>
      <c r="P48" t="s">
        <v>348</v>
      </c>
    </row>
    <row r="49" spans="1:16" x14ac:dyDescent="0.25">
      <c r="A49" s="4" t="s">
        <v>325</v>
      </c>
      <c r="B49" t="s">
        <v>325</v>
      </c>
      <c r="C49" t="s">
        <v>156</v>
      </c>
      <c r="D49">
        <v>20411454</v>
      </c>
      <c r="E49" t="s">
        <v>357</v>
      </c>
      <c r="F49" t="s">
        <v>245</v>
      </c>
      <c r="G49" t="s">
        <v>113</v>
      </c>
      <c r="H49" s="1">
        <v>45870</v>
      </c>
      <c r="I49" t="s">
        <v>52</v>
      </c>
      <c r="N49">
        <v>-20.83</v>
      </c>
      <c r="P49" t="s">
        <v>348</v>
      </c>
    </row>
    <row r="50" spans="1:16" x14ac:dyDescent="0.25">
      <c r="A50" s="4" t="s">
        <v>326</v>
      </c>
      <c r="B50" t="s">
        <v>326</v>
      </c>
      <c r="C50" t="s">
        <v>161</v>
      </c>
      <c r="D50">
        <v>20411454</v>
      </c>
      <c r="E50" t="s">
        <v>357</v>
      </c>
      <c r="F50" t="s">
        <v>245</v>
      </c>
      <c r="G50" t="s">
        <v>113</v>
      </c>
      <c r="H50" s="1">
        <v>45870</v>
      </c>
      <c r="I50" t="s">
        <v>52</v>
      </c>
      <c r="N50">
        <v>-20.83</v>
      </c>
      <c r="P50" t="s">
        <v>348</v>
      </c>
    </row>
    <row r="51" spans="1:16" x14ac:dyDescent="0.25">
      <c r="A51" s="4" t="s">
        <v>327</v>
      </c>
      <c r="B51" t="s">
        <v>327</v>
      </c>
      <c r="C51" t="s">
        <v>164</v>
      </c>
      <c r="D51">
        <v>20411454</v>
      </c>
      <c r="E51" t="s">
        <v>357</v>
      </c>
      <c r="F51" t="s">
        <v>245</v>
      </c>
      <c r="G51" t="s">
        <v>113</v>
      </c>
      <c r="H51" s="1">
        <v>45901</v>
      </c>
      <c r="I51" t="s">
        <v>52</v>
      </c>
      <c r="N51">
        <v>-16.670000000000002</v>
      </c>
      <c r="P51" t="s">
        <v>348</v>
      </c>
    </row>
    <row r="52" spans="1:16" x14ac:dyDescent="0.25">
      <c r="A52" s="4" t="s">
        <v>328</v>
      </c>
      <c r="B52" t="s">
        <v>328</v>
      </c>
      <c r="C52" t="s">
        <v>168</v>
      </c>
      <c r="D52">
        <v>20411454</v>
      </c>
      <c r="E52" t="s">
        <v>357</v>
      </c>
      <c r="F52" t="s">
        <v>245</v>
      </c>
      <c r="G52" t="s">
        <v>113</v>
      </c>
      <c r="H52" s="1">
        <v>45870</v>
      </c>
      <c r="I52" t="s">
        <v>52</v>
      </c>
      <c r="N52">
        <v>-20.83</v>
      </c>
      <c r="P52" t="s">
        <v>348</v>
      </c>
    </row>
    <row r="53" spans="1:16" x14ac:dyDescent="0.25">
      <c r="A53" s="4" t="s">
        <v>329</v>
      </c>
      <c r="B53" t="s">
        <v>329</v>
      </c>
      <c r="C53" t="s">
        <v>172</v>
      </c>
      <c r="D53">
        <v>20411454</v>
      </c>
      <c r="E53" t="s">
        <v>357</v>
      </c>
      <c r="F53" t="s">
        <v>245</v>
      </c>
      <c r="G53" t="s">
        <v>113</v>
      </c>
      <c r="H53" s="1">
        <v>45870</v>
      </c>
      <c r="I53" t="s">
        <v>52</v>
      </c>
      <c r="N53">
        <v>-20.83</v>
      </c>
      <c r="P53" t="s">
        <v>348</v>
      </c>
    </row>
    <row r="54" spans="1:16" x14ac:dyDescent="0.25">
      <c r="A54" s="4" t="s">
        <v>330</v>
      </c>
      <c r="B54" t="s">
        <v>330</v>
      </c>
      <c r="C54" t="s">
        <v>174</v>
      </c>
      <c r="D54">
        <v>20411454</v>
      </c>
      <c r="E54" t="s">
        <v>357</v>
      </c>
      <c r="F54" t="s">
        <v>245</v>
      </c>
      <c r="G54" t="s">
        <v>113</v>
      </c>
      <c r="H54" s="1">
        <v>45901</v>
      </c>
      <c r="I54" t="s">
        <v>52</v>
      </c>
      <c r="N54">
        <v>-16.670000000000002</v>
      </c>
      <c r="P54" t="s">
        <v>348</v>
      </c>
    </row>
    <row r="55" spans="1:16" x14ac:dyDescent="0.25">
      <c r="A55" s="4" t="s">
        <v>331</v>
      </c>
      <c r="B55" t="s">
        <v>331</v>
      </c>
      <c r="C55" t="s">
        <v>176</v>
      </c>
      <c r="D55">
        <v>20411454</v>
      </c>
      <c r="E55" t="s">
        <v>357</v>
      </c>
      <c r="F55" t="s">
        <v>245</v>
      </c>
      <c r="G55" t="s">
        <v>113</v>
      </c>
      <c r="H55" s="1">
        <v>45870</v>
      </c>
      <c r="I55" t="s">
        <v>52</v>
      </c>
      <c r="N55">
        <v>-20.83</v>
      </c>
      <c r="P55" t="s">
        <v>348</v>
      </c>
    </row>
    <row r="56" spans="1:16" x14ac:dyDescent="0.25">
      <c r="A56" s="4" t="s">
        <v>332</v>
      </c>
      <c r="B56" t="s">
        <v>332</v>
      </c>
      <c r="C56" t="s">
        <v>179</v>
      </c>
      <c r="D56">
        <v>20411454</v>
      </c>
      <c r="E56" t="s">
        <v>357</v>
      </c>
      <c r="F56" t="s">
        <v>245</v>
      </c>
      <c r="G56" t="s">
        <v>113</v>
      </c>
      <c r="H56" s="1">
        <v>45901</v>
      </c>
      <c r="I56" t="s">
        <v>52</v>
      </c>
      <c r="N56">
        <v>-16.670000000000002</v>
      </c>
      <c r="P56" t="s">
        <v>348</v>
      </c>
    </row>
    <row r="57" spans="1:16" x14ac:dyDescent="0.25">
      <c r="A57" s="4" t="s">
        <v>333</v>
      </c>
      <c r="B57" t="s">
        <v>333</v>
      </c>
      <c r="C57" t="s">
        <v>181</v>
      </c>
      <c r="D57">
        <v>20411454</v>
      </c>
      <c r="E57" t="s">
        <v>357</v>
      </c>
      <c r="F57" t="s">
        <v>245</v>
      </c>
      <c r="G57" t="s">
        <v>113</v>
      </c>
      <c r="H57" s="1">
        <v>45870</v>
      </c>
      <c r="I57" t="s">
        <v>52</v>
      </c>
      <c r="N57">
        <v>-20.83</v>
      </c>
      <c r="P57" t="s">
        <v>348</v>
      </c>
    </row>
    <row r="58" spans="1:16" x14ac:dyDescent="0.25">
      <c r="A58" s="4" t="s">
        <v>334</v>
      </c>
      <c r="B58" t="s">
        <v>334</v>
      </c>
      <c r="C58" t="s">
        <v>185</v>
      </c>
      <c r="D58">
        <v>20411454</v>
      </c>
      <c r="E58" t="s">
        <v>357</v>
      </c>
      <c r="F58" t="s">
        <v>245</v>
      </c>
      <c r="G58" t="s">
        <v>113</v>
      </c>
      <c r="H58" s="1">
        <v>45870</v>
      </c>
      <c r="I58" t="s">
        <v>52</v>
      </c>
      <c r="N58">
        <v>-20.83</v>
      </c>
      <c r="P58" t="s">
        <v>348</v>
      </c>
    </row>
    <row r="59" spans="1:16" x14ac:dyDescent="0.25">
      <c r="A59" s="4" t="s">
        <v>335</v>
      </c>
      <c r="B59" t="s">
        <v>335</v>
      </c>
      <c r="C59" t="s">
        <v>189</v>
      </c>
      <c r="D59">
        <v>20411454</v>
      </c>
      <c r="E59" t="s">
        <v>357</v>
      </c>
      <c r="F59" t="s">
        <v>245</v>
      </c>
      <c r="G59" t="s">
        <v>113</v>
      </c>
      <c r="H59" s="1">
        <v>45870</v>
      </c>
      <c r="I59" t="s">
        <v>52</v>
      </c>
      <c r="N59">
        <v>-20.83</v>
      </c>
      <c r="P59" t="s">
        <v>348</v>
      </c>
    </row>
    <row r="60" spans="1:16" x14ac:dyDescent="0.25">
      <c r="A60" s="4" t="s">
        <v>336</v>
      </c>
      <c r="B60" t="s">
        <v>336</v>
      </c>
      <c r="C60" t="s">
        <v>191</v>
      </c>
      <c r="D60">
        <v>20411454</v>
      </c>
      <c r="E60" t="s">
        <v>357</v>
      </c>
      <c r="F60" t="s">
        <v>245</v>
      </c>
      <c r="G60" t="s">
        <v>113</v>
      </c>
      <c r="H60" s="1">
        <v>45870</v>
      </c>
      <c r="I60" t="s">
        <v>52</v>
      </c>
      <c r="N60">
        <v>-20.83</v>
      </c>
      <c r="P60" t="s">
        <v>348</v>
      </c>
    </row>
    <row r="61" spans="1:16" x14ac:dyDescent="0.25">
      <c r="A61" s="4" t="s">
        <v>337</v>
      </c>
      <c r="B61" t="s">
        <v>337</v>
      </c>
      <c r="C61" t="s">
        <v>193</v>
      </c>
      <c r="D61">
        <v>20411454</v>
      </c>
      <c r="E61" t="s">
        <v>357</v>
      </c>
      <c r="F61" t="s">
        <v>245</v>
      </c>
      <c r="G61" t="s">
        <v>113</v>
      </c>
      <c r="H61" s="1">
        <v>45870</v>
      </c>
      <c r="I61" t="s">
        <v>52</v>
      </c>
      <c r="N61">
        <v>-20.83</v>
      </c>
      <c r="P61" t="s">
        <v>348</v>
      </c>
    </row>
    <row r="62" spans="1:16" x14ac:dyDescent="0.25">
      <c r="A62" s="4" t="s">
        <v>338</v>
      </c>
      <c r="B62" t="s">
        <v>338</v>
      </c>
      <c r="C62" t="s">
        <v>197</v>
      </c>
      <c r="D62">
        <v>20411454</v>
      </c>
      <c r="E62" t="s">
        <v>357</v>
      </c>
      <c r="F62" t="s">
        <v>245</v>
      </c>
      <c r="G62" t="s">
        <v>113</v>
      </c>
      <c r="H62" s="1">
        <v>45901</v>
      </c>
      <c r="I62" t="s">
        <v>52</v>
      </c>
      <c r="N62">
        <v>-16.670000000000002</v>
      </c>
      <c r="P62" t="s">
        <v>348</v>
      </c>
    </row>
    <row r="63" spans="1:16" x14ac:dyDescent="0.25">
      <c r="A63" s="4" t="s">
        <v>339</v>
      </c>
      <c r="B63" t="s">
        <v>339</v>
      </c>
      <c r="C63" t="s">
        <v>199</v>
      </c>
      <c r="D63">
        <v>20411454</v>
      </c>
      <c r="E63" t="s">
        <v>357</v>
      </c>
      <c r="F63" t="s">
        <v>245</v>
      </c>
      <c r="G63" t="s">
        <v>113</v>
      </c>
      <c r="H63" s="1">
        <v>45870</v>
      </c>
      <c r="I63" t="s">
        <v>52</v>
      </c>
      <c r="N63">
        <v>-20.83</v>
      </c>
      <c r="P63" t="s">
        <v>348</v>
      </c>
    </row>
    <row r="64" spans="1:16" x14ac:dyDescent="0.25">
      <c r="A64" s="4" t="s">
        <v>341</v>
      </c>
      <c r="B64" t="s">
        <v>341</v>
      </c>
      <c r="C64" t="s">
        <v>207</v>
      </c>
      <c r="D64">
        <v>20411454</v>
      </c>
      <c r="E64" t="s">
        <v>357</v>
      </c>
      <c r="F64" t="s">
        <v>245</v>
      </c>
      <c r="G64" t="s">
        <v>113</v>
      </c>
      <c r="H64" s="1">
        <v>45870</v>
      </c>
      <c r="I64" t="s">
        <v>52</v>
      </c>
      <c r="N64">
        <v>-20.83</v>
      </c>
      <c r="P64" t="s">
        <v>348</v>
      </c>
    </row>
    <row r="65" spans="1:16" x14ac:dyDescent="0.25">
      <c r="A65" s="4" t="s">
        <v>342</v>
      </c>
      <c r="B65" t="s">
        <v>342</v>
      </c>
      <c r="C65" t="s">
        <v>211</v>
      </c>
      <c r="D65">
        <v>20411454</v>
      </c>
      <c r="E65" t="s">
        <v>357</v>
      </c>
      <c r="F65" t="s">
        <v>245</v>
      </c>
      <c r="G65" t="s">
        <v>113</v>
      </c>
      <c r="H65" s="1">
        <v>45901</v>
      </c>
      <c r="I65" t="s">
        <v>52</v>
      </c>
      <c r="N65">
        <v>-16.670000000000002</v>
      </c>
      <c r="P65" t="s">
        <v>348</v>
      </c>
    </row>
    <row r="66" spans="1:16" x14ac:dyDescent="0.25">
      <c r="A66" s="4" t="s">
        <v>343</v>
      </c>
      <c r="B66" t="s">
        <v>343</v>
      </c>
      <c r="C66" t="s">
        <v>214</v>
      </c>
      <c r="D66">
        <v>20411454</v>
      </c>
      <c r="E66" t="s">
        <v>357</v>
      </c>
      <c r="F66" t="s">
        <v>245</v>
      </c>
      <c r="G66" t="s">
        <v>113</v>
      </c>
      <c r="H66" s="1">
        <v>45870</v>
      </c>
      <c r="I66" t="s">
        <v>52</v>
      </c>
      <c r="N66">
        <v>-20.83</v>
      </c>
      <c r="P66" t="s">
        <v>348</v>
      </c>
    </row>
    <row r="67" spans="1:16" x14ac:dyDescent="0.25">
      <c r="A67" s="4" t="s">
        <v>344</v>
      </c>
      <c r="B67" t="s">
        <v>344</v>
      </c>
      <c r="C67" t="s">
        <v>216</v>
      </c>
      <c r="D67">
        <v>20411454</v>
      </c>
      <c r="E67" t="s">
        <v>357</v>
      </c>
      <c r="F67" t="s">
        <v>245</v>
      </c>
      <c r="G67" t="s">
        <v>113</v>
      </c>
      <c r="H67" s="1">
        <v>45870</v>
      </c>
      <c r="I67" t="s">
        <v>52</v>
      </c>
      <c r="N67">
        <v>-20.83</v>
      </c>
      <c r="P67" t="s">
        <v>348</v>
      </c>
    </row>
    <row r="68" spans="1:16" x14ac:dyDescent="0.25">
      <c r="A68" s="4" t="s">
        <v>345</v>
      </c>
      <c r="B68" t="s">
        <v>345</v>
      </c>
      <c r="C68" t="s">
        <v>218</v>
      </c>
      <c r="D68">
        <v>20411454</v>
      </c>
      <c r="E68" t="s">
        <v>357</v>
      </c>
      <c r="F68" t="s">
        <v>245</v>
      </c>
      <c r="G68" t="s">
        <v>113</v>
      </c>
      <c r="H68" s="1">
        <v>45870</v>
      </c>
      <c r="I68" t="s">
        <v>52</v>
      </c>
      <c r="N68">
        <v>-20.83</v>
      </c>
      <c r="P68" t="s">
        <v>348</v>
      </c>
    </row>
    <row r="69" spans="1:16" x14ac:dyDescent="0.25">
      <c r="A69" s="4">
        <v>102189347200</v>
      </c>
      <c r="B69" t="str">
        <f t="shared" ref="B69:B70" si="2">CONCATENATE(A69,0)</f>
        <v>1021893472000</v>
      </c>
      <c r="C69" t="s">
        <v>220</v>
      </c>
      <c r="D69">
        <v>20411454</v>
      </c>
      <c r="E69" t="s">
        <v>357</v>
      </c>
      <c r="F69" t="s">
        <v>57</v>
      </c>
      <c r="G69" t="s">
        <v>223</v>
      </c>
      <c r="H69" s="1">
        <v>45870</v>
      </c>
      <c r="I69" t="s">
        <v>52</v>
      </c>
      <c r="J69" s="2">
        <v>0</v>
      </c>
      <c r="K69" s="2">
        <v>16.670000000000002</v>
      </c>
      <c r="L69">
        <v>1</v>
      </c>
      <c r="M69" s="3">
        <v>1</v>
      </c>
      <c r="N69" s="2">
        <v>16.670000000000002</v>
      </c>
      <c r="O69" t="s">
        <v>224</v>
      </c>
      <c r="P69" t="s">
        <v>348</v>
      </c>
    </row>
    <row r="70" spans="1:16" x14ac:dyDescent="0.25">
      <c r="A70" s="4">
        <v>102189713800</v>
      </c>
      <c r="B70" t="str">
        <f t="shared" si="2"/>
        <v>1021897138000</v>
      </c>
      <c r="C70" t="s">
        <v>229</v>
      </c>
      <c r="D70">
        <v>20411454</v>
      </c>
      <c r="E70" t="s">
        <v>357</v>
      </c>
      <c r="F70" t="s">
        <v>57</v>
      </c>
      <c r="G70" t="s">
        <v>223</v>
      </c>
      <c r="H70" s="1">
        <v>45901</v>
      </c>
      <c r="I70" t="s">
        <v>52</v>
      </c>
      <c r="J70" s="2">
        <v>0</v>
      </c>
      <c r="K70" s="2">
        <v>13.33</v>
      </c>
      <c r="L70">
        <v>1</v>
      </c>
      <c r="M70" s="3">
        <v>1</v>
      </c>
      <c r="N70" s="2">
        <v>13.33</v>
      </c>
      <c r="O70" t="s">
        <v>230</v>
      </c>
      <c r="P70" t="s">
        <v>348</v>
      </c>
    </row>
    <row r="71" spans="1:16" x14ac:dyDescent="0.25">
      <c r="A71" s="4" t="s">
        <v>340</v>
      </c>
      <c r="B71" t="s">
        <v>340</v>
      </c>
      <c r="C71" t="s">
        <v>201</v>
      </c>
      <c r="D71">
        <v>20411454</v>
      </c>
      <c r="E71" t="s">
        <v>357</v>
      </c>
      <c r="F71" t="s">
        <v>245</v>
      </c>
      <c r="G71" t="s">
        <v>223</v>
      </c>
      <c r="H71" s="1">
        <v>45870</v>
      </c>
      <c r="I71" t="s">
        <v>52</v>
      </c>
      <c r="N71">
        <v>-16.670000000000002</v>
      </c>
      <c r="P71" t="s">
        <v>348</v>
      </c>
    </row>
    <row r="72" spans="1:16" x14ac:dyDescent="0.25">
      <c r="A72" s="4" t="s">
        <v>296</v>
      </c>
      <c r="B72" t="str">
        <f t="shared" ref="B72:B82" si="3">CONCATENATE(A72,0)</f>
        <v>00023571210K0</v>
      </c>
      <c r="C72" t="s">
        <v>55</v>
      </c>
      <c r="D72">
        <v>20411454</v>
      </c>
      <c r="E72" t="s">
        <v>357</v>
      </c>
      <c r="F72" t="s">
        <v>57</v>
      </c>
      <c r="G72" t="s">
        <v>58</v>
      </c>
      <c r="H72" s="1">
        <v>45901</v>
      </c>
      <c r="I72" t="s">
        <v>52</v>
      </c>
      <c r="J72" s="2">
        <v>0</v>
      </c>
      <c r="K72" s="2">
        <v>175</v>
      </c>
      <c r="L72">
        <v>1</v>
      </c>
      <c r="M72" s="3">
        <v>1</v>
      </c>
      <c r="N72" s="2">
        <v>175</v>
      </c>
      <c r="P72" t="s">
        <v>349</v>
      </c>
    </row>
    <row r="73" spans="1:16" x14ac:dyDescent="0.25">
      <c r="A73" s="4" t="s">
        <v>297</v>
      </c>
      <c r="B73" t="str">
        <f t="shared" si="3"/>
        <v>00023573496K0</v>
      </c>
      <c r="C73" t="s">
        <v>60</v>
      </c>
      <c r="D73">
        <v>20411454</v>
      </c>
      <c r="E73" t="s">
        <v>357</v>
      </c>
      <c r="F73" t="s">
        <v>57</v>
      </c>
      <c r="G73" t="s">
        <v>58</v>
      </c>
      <c r="H73" s="1">
        <v>45870</v>
      </c>
      <c r="I73" t="s">
        <v>52</v>
      </c>
      <c r="J73" s="2">
        <v>0</v>
      </c>
      <c r="K73" s="2">
        <v>175</v>
      </c>
      <c r="L73">
        <v>1</v>
      </c>
      <c r="M73" s="3">
        <v>1</v>
      </c>
      <c r="N73" s="2">
        <v>175</v>
      </c>
      <c r="P73" t="s">
        <v>349</v>
      </c>
    </row>
    <row r="74" spans="1:16" x14ac:dyDescent="0.25">
      <c r="A74" s="4" t="s">
        <v>298</v>
      </c>
      <c r="B74" t="str">
        <f t="shared" si="3"/>
        <v>00023573821K0</v>
      </c>
      <c r="C74" t="s">
        <v>64</v>
      </c>
      <c r="D74">
        <v>20411454</v>
      </c>
      <c r="E74" t="s">
        <v>357</v>
      </c>
      <c r="F74" t="s">
        <v>57</v>
      </c>
      <c r="G74" t="s">
        <v>58</v>
      </c>
      <c r="H74" s="1">
        <v>45931</v>
      </c>
      <c r="I74" t="s">
        <v>52</v>
      </c>
      <c r="J74" s="2">
        <v>0</v>
      </c>
      <c r="K74" s="2">
        <v>175</v>
      </c>
      <c r="L74">
        <v>1</v>
      </c>
      <c r="M74" s="3">
        <v>1</v>
      </c>
      <c r="N74" s="2">
        <v>175</v>
      </c>
      <c r="P74" t="s">
        <v>349</v>
      </c>
    </row>
    <row r="75" spans="1:16" x14ac:dyDescent="0.25">
      <c r="A75" s="4" t="s">
        <v>299</v>
      </c>
      <c r="B75" t="str">
        <f t="shared" si="3"/>
        <v>00023575071K0</v>
      </c>
      <c r="C75" t="s">
        <v>68</v>
      </c>
      <c r="D75">
        <v>20411454</v>
      </c>
      <c r="E75" t="s">
        <v>357</v>
      </c>
      <c r="F75" t="s">
        <v>57</v>
      </c>
      <c r="G75" t="s">
        <v>58</v>
      </c>
      <c r="H75" s="1">
        <v>45901</v>
      </c>
      <c r="I75" t="s">
        <v>52</v>
      </c>
      <c r="J75" s="2">
        <v>0</v>
      </c>
      <c r="K75" s="2">
        <v>175</v>
      </c>
      <c r="L75">
        <v>1</v>
      </c>
      <c r="M75" s="3">
        <v>1</v>
      </c>
      <c r="N75" s="2">
        <v>175</v>
      </c>
      <c r="P75" t="s">
        <v>349</v>
      </c>
    </row>
    <row r="76" spans="1:16" x14ac:dyDescent="0.25">
      <c r="A76" s="4" t="s">
        <v>301</v>
      </c>
      <c r="B76" t="str">
        <f t="shared" si="3"/>
        <v>00023576258K0</v>
      </c>
      <c r="C76" t="s">
        <v>76</v>
      </c>
      <c r="D76">
        <v>20411454</v>
      </c>
      <c r="E76" t="s">
        <v>357</v>
      </c>
      <c r="F76" t="s">
        <v>57</v>
      </c>
      <c r="G76" t="s">
        <v>58</v>
      </c>
      <c r="H76" s="1">
        <v>45901</v>
      </c>
      <c r="I76" t="s">
        <v>52</v>
      </c>
      <c r="J76" s="2">
        <v>0</v>
      </c>
      <c r="K76" s="2">
        <v>175</v>
      </c>
      <c r="L76">
        <v>1</v>
      </c>
      <c r="M76" s="3">
        <v>1</v>
      </c>
      <c r="N76" s="2">
        <v>175</v>
      </c>
      <c r="P76" t="s">
        <v>349</v>
      </c>
    </row>
    <row r="77" spans="1:16" x14ac:dyDescent="0.25">
      <c r="A77" s="4" t="s">
        <v>302</v>
      </c>
      <c r="B77" t="str">
        <f t="shared" si="3"/>
        <v>00023576347K0</v>
      </c>
      <c r="C77" t="s">
        <v>78</v>
      </c>
      <c r="D77">
        <v>20411454</v>
      </c>
      <c r="E77" t="s">
        <v>357</v>
      </c>
      <c r="F77" t="s">
        <v>57</v>
      </c>
      <c r="G77" t="s">
        <v>58</v>
      </c>
      <c r="H77" s="1">
        <v>45931</v>
      </c>
      <c r="I77" t="s">
        <v>52</v>
      </c>
      <c r="J77" s="2">
        <v>0</v>
      </c>
      <c r="K77" s="2">
        <v>175</v>
      </c>
      <c r="L77">
        <v>1</v>
      </c>
      <c r="M77" s="3">
        <v>1</v>
      </c>
      <c r="N77" s="2">
        <v>175</v>
      </c>
      <c r="P77" t="s">
        <v>349</v>
      </c>
    </row>
    <row r="78" spans="1:16" x14ac:dyDescent="0.25">
      <c r="A78" s="4" t="s">
        <v>303</v>
      </c>
      <c r="B78" t="str">
        <f t="shared" si="3"/>
        <v>00023578181K0</v>
      </c>
      <c r="C78" t="s">
        <v>82</v>
      </c>
      <c r="D78">
        <v>20411454</v>
      </c>
      <c r="E78" t="s">
        <v>357</v>
      </c>
      <c r="F78" t="s">
        <v>57</v>
      </c>
      <c r="G78" t="s">
        <v>58</v>
      </c>
      <c r="H78" s="1">
        <v>45901</v>
      </c>
      <c r="I78" t="s">
        <v>52</v>
      </c>
      <c r="J78" s="2">
        <v>0</v>
      </c>
      <c r="K78" s="2">
        <v>175</v>
      </c>
      <c r="L78">
        <v>1</v>
      </c>
      <c r="M78" s="3">
        <v>1</v>
      </c>
      <c r="N78" s="2">
        <v>175</v>
      </c>
      <c r="P78" t="s">
        <v>349</v>
      </c>
    </row>
    <row r="79" spans="1:16" x14ac:dyDescent="0.25">
      <c r="A79" s="4" t="s">
        <v>305</v>
      </c>
      <c r="B79" t="str">
        <f t="shared" si="3"/>
        <v>00023582058K0</v>
      </c>
      <c r="C79" t="s">
        <v>91</v>
      </c>
      <c r="D79">
        <v>20411454</v>
      </c>
      <c r="E79" t="s">
        <v>357</v>
      </c>
      <c r="F79" t="s">
        <v>57</v>
      </c>
      <c r="G79" t="s">
        <v>58</v>
      </c>
      <c r="H79" s="1">
        <v>45901</v>
      </c>
      <c r="I79" t="s">
        <v>52</v>
      </c>
      <c r="J79" s="2">
        <v>0</v>
      </c>
      <c r="K79" s="2">
        <v>175</v>
      </c>
      <c r="L79">
        <v>1</v>
      </c>
      <c r="M79" s="3">
        <v>1</v>
      </c>
      <c r="N79" s="2">
        <v>175</v>
      </c>
      <c r="P79" t="s">
        <v>349</v>
      </c>
    </row>
    <row r="80" spans="1:16" x14ac:dyDescent="0.25">
      <c r="A80" s="4" t="s">
        <v>306</v>
      </c>
      <c r="B80" t="str">
        <f t="shared" si="3"/>
        <v>00023584377K0</v>
      </c>
      <c r="C80" t="s">
        <v>96</v>
      </c>
      <c r="D80">
        <v>20411454</v>
      </c>
      <c r="E80" t="s">
        <v>357</v>
      </c>
      <c r="F80" t="s">
        <v>57</v>
      </c>
      <c r="G80" t="s">
        <v>58</v>
      </c>
      <c r="H80" s="1">
        <v>45901</v>
      </c>
      <c r="I80" t="s">
        <v>52</v>
      </c>
      <c r="J80" s="2">
        <v>0</v>
      </c>
      <c r="K80" s="2">
        <v>175</v>
      </c>
      <c r="L80">
        <v>1</v>
      </c>
      <c r="M80" s="3">
        <v>1</v>
      </c>
      <c r="N80" s="2">
        <v>175</v>
      </c>
      <c r="P80" t="s">
        <v>349</v>
      </c>
    </row>
    <row r="81" spans="1:20" x14ac:dyDescent="0.25">
      <c r="A81" s="4" t="s">
        <v>307</v>
      </c>
      <c r="B81" t="str">
        <f t="shared" si="3"/>
        <v>00023584451K0</v>
      </c>
      <c r="C81" t="s">
        <v>100</v>
      </c>
      <c r="D81">
        <v>20411454</v>
      </c>
      <c r="E81" t="s">
        <v>357</v>
      </c>
      <c r="F81" t="s">
        <v>57</v>
      </c>
      <c r="G81" t="s">
        <v>58</v>
      </c>
      <c r="H81" s="1">
        <v>45901</v>
      </c>
      <c r="I81" t="s">
        <v>52</v>
      </c>
      <c r="J81" s="2">
        <v>0</v>
      </c>
      <c r="K81" s="2">
        <v>175</v>
      </c>
      <c r="L81">
        <v>1</v>
      </c>
      <c r="M81" s="3">
        <v>1</v>
      </c>
      <c r="N81" s="2">
        <v>175</v>
      </c>
      <c r="P81" t="s">
        <v>349</v>
      </c>
    </row>
    <row r="82" spans="1:20" x14ac:dyDescent="0.25">
      <c r="A82" s="4" t="s">
        <v>308</v>
      </c>
      <c r="B82" t="str">
        <f t="shared" si="3"/>
        <v>00023584480K0</v>
      </c>
      <c r="C82" t="s">
        <v>104</v>
      </c>
      <c r="D82">
        <v>20411454</v>
      </c>
      <c r="E82" t="s">
        <v>357</v>
      </c>
      <c r="F82" t="s">
        <v>57</v>
      </c>
      <c r="G82" t="s">
        <v>58</v>
      </c>
      <c r="H82" s="1">
        <v>45931</v>
      </c>
      <c r="I82" t="s">
        <v>52</v>
      </c>
      <c r="J82" s="2">
        <v>0</v>
      </c>
      <c r="K82" s="2">
        <v>175</v>
      </c>
      <c r="L82">
        <v>1</v>
      </c>
      <c r="M82" s="3">
        <v>1</v>
      </c>
      <c r="N82" s="2">
        <v>175</v>
      </c>
      <c r="P82" t="s">
        <v>349</v>
      </c>
    </row>
    <row r="83" spans="1:20" x14ac:dyDescent="0.25">
      <c r="A83" s="4" t="s">
        <v>311</v>
      </c>
      <c r="B83" t="s">
        <v>311</v>
      </c>
      <c r="C83" t="s">
        <v>244</v>
      </c>
      <c r="D83">
        <v>20411454</v>
      </c>
      <c r="E83" t="s">
        <v>357</v>
      </c>
      <c r="F83" t="s">
        <v>245</v>
      </c>
      <c r="G83" t="s">
        <v>58</v>
      </c>
      <c r="H83" s="1">
        <v>45658</v>
      </c>
      <c r="I83" t="s">
        <v>52</v>
      </c>
      <c r="N83">
        <v>-57.75</v>
      </c>
      <c r="P83" t="s">
        <v>349</v>
      </c>
    </row>
    <row r="84" spans="1:20" x14ac:dyDescent="0.25">
      <c r="A84" s="4" t="s">
        <v>295</v>
      </c>
      <c r="B84" s="4" t="s">
        <v>295</v>
      </c>
      <c r="C84" t="s">
        <v>45</v>
      </c>
      <c r="D84">
        <v>20411454</v>
      </c>
      <c r="E84" t="s">
        <v>357</v>
      </c>
      <c r="F84" t="s">
        <v>49</v>
      </c>
      <c r="G84" t="s">
        <v>50</v>
      </c>
      <c r="H84" s="1">
        <v>45658</v>
      </c>
      <c r="I84" t="s">
        <v>52</v>
      </c>
      <c r="J84" s="2">
        <v>0</v>
      </c>
      <c r="K84" s="2">
        <v>35.64</v>
      </c>
      <c r="L84">
        <v>1</v>
      </c>
      <c r="M84" s="3">
        <v>1</v>
      </c>
      <c r="N84" s="2">
        <v>35.64</v>
      </c>
      <c r="O84" t="s">
        <v>53</v>
      </c>
      <c r="P84" t="s">
        <v>349</v>
      </c>
    </row>
    <row r="85" spans="1:20" x14ac:dyDescent="0.25">
      <c r="A85" s="4" t="s">
        <v>312</v>
      </c>
      <c r="B85" t="s">
        <v>312</v>
      </c>
      <c r="C85" t="s">
        <v>247</v>
      </c>
      <c r="D85">
        <v>20411454</v>
      </c>
      <c r="E85" t="s">
        <v>357</v>
      </c>
      <c r="F85" t="s">
        <v>245</v>
      </c>
      <c r="G85" t="s">
        <v>50</v>
      </c>
      <c r="H85" s="1">
        <v>45689</v>
      </c>
      <c r="I85" t="s">
        <v>52</v>
      </c>
      <c r="N85">
        <v>-45.36</v>
      </c>
      <c r="P85" t="s">
        <v>349</v>
      </c>
    </row>
    <row r="86" spans="1:20" s="6" customFormat="1" x14ac:dyDescent="0.25">
      <c r="A86" s="5" t="s">
        <v>300</v>
      </c>
      <c r="B86" s="5" t="s">
        <v>300</v>
      </c>
      <c r="C86" s="6" t="s">
        <v>70</v>
      </c>
      <c r="D86" s="6">
        <v>7146581</v>
      </c>
      <c r="E86" s="6" t="s">
        <v>73</v>
      </c>
      <c r="F86" s="6" t="s">
        <v>57</v>
      </c>
      <c r="G86" s="6" t="s">
        <v>74</v>
      </c>
      <c r="H86" s="7">
        <v>45901</v>
      </c>
      <c r="I86" s="6" t="s">
        <v>52</v>
      </c>
      <c r="J86" s="8">
        <v>0</v>
      </c>
      <c r="K86" s="8">
        <v>15</v>
      </c>
      <c r="L86" s="6">
        <v>1</v>
      </c>
      <c r="M86" s="9">
        <v>1</v>
      </c>
      <c r="N86" s="8">
        <v>15</v>
      </c>
      <c r="P86" s="6" t="s">
        <v>350</v>
      </c>
    </row>
    <row r="87" spans="1:20" s="6" customFormat="1" x14ac:dyDescent="0.25">
      <c r="A87" s="5" t="s">
        <v>304</v>
      </c>
      <c r="B87" s="5" t="s">
        <v>304</v>
      </c>
      <c r="C87" s="6" t="s">
        <v>87</v>
      </c>
      <c r="D87" s="6">
        <v>20724564</v>
      </c>
      <c r="E87" s="6" t="s">
        <v>89</v>
      </c>
      <c r="F87" s="6" t="s">
        <v>57</v>
      </c>
      <c r="G87" s="6" t="s">
        <v>74</v>
      </c>
      <c r="H87" s="7">
        <v>45931</v>
      </c>
      <c r="I87" s="6" t="s">
        <v>52</v>
      </c>
      <c r="J87" s="8">
        <v>0</v>
      </c>
      <c r="K87" s="8">
        <v>15</v>
      </c>
      <c r="L87" s="6">
        <v>1</v>
      </c>
      <c r="M87" s="9">
        <v>1</v>
      </c>
      <c r="N87" s="8">
        <v>15</v>
      </c>
      <c r="P87" s="6" t="s">
        <v>350</v>
      </c>
    </row>
    <row r="88" spans="1:20" s="6" customFormat="1" x14ac:dyDescent="0.25">
      <c r="A88" s="5" t="s">
        <v>310</v>
      </c>
      <c r="B88" s="6" t="str">
        <f>CONCATENATE(A88,1)</f>
        <v>A043228121</v>
      </c>
      <c r="C88" s="6" t="s">
        <v>239</v>
      </c>
      <c r="D88" s="6">
        <v>9079571</v>
      </c>
      <c r="E88" s="6" t="s">
        <v>209</v>
      </c>
      <c r="F88" s="6" t="s">
        <v>57</v>
      </c>
      <c r="G88" s="6" t="s">
        <v>241</v>
      </c>
      <c r="H88" s="7">
        <v>45901</v>
      </c>
      <c r="I88" s="6" t="s">
        <v>52</v>
      </c>
      <c r="J88" s="8">
        <v>0</v>
      </c>
      <c r="K88" s="8">
        <v>36</v>
      </c>
      <c r="L88" s="6">
        <v>9</v>
      </c>
      <c r="M88" s="9">
        <v>1</v>
      </c>
      <c r="N88" s="8">
        <v>324</v>
      </c>
      <c r="P88" s="6" t="s">
        <v>354</v>
      </c>
    </row>
    <row r="89" spans="1:20" x14ac:dyDescent="0.25">
      <c r="A89" s="4" t="s">
        <v>346</v>
      </c>
      <c r="B89" t="s">
        <v>346</v>
      </c>
      <c r="C89" t="s">
        <v>286</v>
      </c>
      <c r="D89">
        <v>20411454</v>
      </c>
      <c r="E89" t="s">
        <v>357</v>
      </c>
      <c r="F89" t="s">
        <v>245</v>
      </c>
      <c r="G89" t="s">
        <v>287</v>
      </c>
      <c r="H89" s="1">
        <v>45658</v>
      </c>
      <c r="I89" t="s">
        <v>52</v>
      </c>
      <c r="N89">
        <v>-58.33</v>
      </c>
      <c r="P89" t="s">
        <v>351</v>
      </c>
    </row>
    <row r="90" spans="1:20" x14ac:dyDescent="0.25">
      <c r="A90" s="4" t="s">
        <v>347</v>
      </c>
      <c r="B90" t="s">
        <v>347</v>
      </c>
      <c r="C90" t="s">
        <v>291</v>
      </c>
      <c r="D90">
        <v>20411454</v>
      </c>
      <c r="E90" t="s">
        <v>357</v>
      </c>
      <c r="F90" t="s">
        <v>245</v>
      </c>
      <c r="G90" t="s">
        <v>287</v>
      </c>
      <c r="H90" s="1">
        <v>45748</v>
      </c>
      <c r="I90" t="s">
        <v>52</v>
      </c>
      <c r="N90">
        <v>-116.67</v>
      </c>
      <c r="P90" t="s">
        <v>351</v>
      </c>
    </row>
    <row r="91" spans="1:20" x14ac:dyDescent="0.25">
      <c r="A91" s="4" t="s">
        <v>309</v>
      </c>
      <c r="B91" t="s">
        <v>309</v>
      </c>
      <c r="C91" t="s">
        <v>234</v>
      </c>
      <c r="D91">
        <v>20411454</v>
      </c>
      <c r="E91" t="s">
        <v>357</v>
      </c>
      <c r="F91" t="s">
        <v>57</v>
      </c>
      <c r="G91" t="s">
        <v>237</v>
      </c>
      <c r="H91" s="1">
        <v>45901</v>
      </c>
      <c r="I91" t="s">
        <v>52</v>
      </c>
      <c r="J91" s="2">
        <v>0</v>
      </c>
      <c r="K91" s="2">
        <v>24</v>
      </c>
      <c r="L91">
        <v>1</v>
      </c>
      <c r="M91" s="3">
        <v>1</v>
      </c>
      <c r="N91" s="2">
        <v>24</v>
      </c>
      <c r="O91" t="s">
        <v>230</v>
      </c>
      <c r="P91" t="s">
        <v>351</v>
      </c>
    </row>
    <row r="92" spans="1:20" s="6" customFormat="1" x14ac:dyDescent="0.25">
      <c r="A92" s="5">
        <v>956983437</v>
      </c>
      <c r="B92" s="6" t="str">
        <f>CONCATENATE(A92,98)</f>
        <v>95698343798</v>
      </c>
      <c r="C92" s="6" t="s">
        <v>286</v>
      </c>
      <c r="D92" s="6">
        <v>16865615</v>
      </c>
      <c r="E92" s="6" t="s">
        <v>159</v>
      </c>
      <c r="F92" s="6" t="s">
        <v>245</v>
      </c>
      <c r="G92" s="6" t="s">
        <v>289</v>
      </c>
      <c r="H92" s="7">
        <v>45658</v>
      </c>
      <c r="I92" s="6" t="s">
        <v>52</v>
      </c>
      <c r="N92" s="6">
        <v>-208.67</v>
      </c>
      <c r="P92" s="6" t="s">
        <v>352</v>
      </c>
      <c r="Q92" s="6" t="s">
        <v>355</v>
      </c>
      <c r="T92" s="6">
        <f>626/12*4</f>
        <v>208.66666666666666</v>
      </c>
    </row>
    <row r="93" spans="1:20" s="6" customFormat="1" x14ac:dyDescent="0.25">
      <c r="A93" s="5">
        <v>992802492</v>
      </c>
      <c r="B93" s="6" t="str">
        <f>CONCATENATE(A93,98)</f>
        <v>99280249298</v>
      </c>
      <c r="C93" s="6" t="s">
        <v>291</v>
      </c>
      <c r="D93" s="6">
        <v>17301495</v>
      </c>
      <c r="E93" s="6" t="s">
        <v>293</v>
      </c>
      <c r="F93" s="6" t="s">
        <v>245</v>
      </c>
      <c r="G93" s="6" t="s">
        <v>289</v>
      </c>
      <c r="H93" s="7">
        <v>45748</v>
      </c>
      <c r="I93" s="6" t="s">
        <v>52</v>
      </c>
      <c r="N93" s="6">
        <v>-417.33</v>
      </c>
      <c r="P93" s="6" t="s">
        <v>352</v>
      </c>
      <c r="Q93" s="6" t="s">
        <v>356</v>
      </c>
      <c r="T93" s="6">
        <f>626/12*8</f>
        <v>417.33333333333331</v>
      </c>
    </row>
    <row r="94" spans="1:20" s="6" customFormat="1" x14ac:dyDescent="0.25">
      <c r="A94" s="5">
        <v>991449036</v>
      </c>
      <c r="B94" s="6" t="str">
        <f>CONCATENATE(A94,1)</f>
        <v>9914490361</v>
      </c>
      <c r="C94" s="6" t="s">
        <v>234</v>
      </c>
      <c r="D94" s="6">
        <v>19396223</v>
      </c>
      <c r="E94" s="6" t="s">
        <v>66</v>
      </c>
      <c r="F94" s="6" t="s">
        <v>57</v>
      </c>
      <c r="G94" s="6" t="s">
        <v>235</v>
      </c>
      <c r="H94" s="7">
        <v>45901</v>
      </c>
      <c r="I94" s="6" t="s">
        <v>52</v>
      </c>
      <c r="J94" s="8">
        <v>0</v>
      </c>
      <c r="K94" s="8">
        <v>104.33</v>
      </c>
      <c r="L94" s="6">
        <v>1</v>
      </c>
      <c r="M94" s="9">
        <v>1</v>
      </c>
      <c r="N94" s="8">
        <v>104.33</v>
      </c>
      <c r="O94" s="6" t="s">
        <v>230</v>
      </c>
      <c r="P94" s="6" t="s">
        <v>353</v>
      </c>
      <c r="Q94" s="6" t="s">
        <v>358</v>
      </c>
    </row>
  </sheetData>
  <sortState xmlns:xlrd2="http://schemas.microsoft.com/office/spreadsheetml/2017/richdata2" ref="A2:AJ94">
    <sortCondition ref="G2:G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2025-09-04T19:32:32Z</dcterms:created>
  <dcterms:modified xsi:type="dcterms:W3CDTF">2025-09-11T20:03:46Z</dcterms:modified>
</cp:coreProperties>
</file>