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8-15-25 to 08-20-25\"/>
    </mc:Choice>
  </mc:AlternateContent>
  <xr:revisionPtr revIDLastSave="0" documentId="13_ncr:1_{EED35B5E-0A07-49D1-8602-C3A6ECD3C17C}" xr6:coauthVersionLast="47" xr6:coauthVersionMax="47" xr10:uidLastSave="{00000000-0000-0000-0000-000000000000}"/>
  <bookViews>
    <workbookView xWindow="28680" yWindow="-120" windowWidth="29040" windowHeight="16440" activeTab="1" xr2:uid="{80CBCF30-9408-40E3-9FCD-9A8915CDF18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6" i="2" l="1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<sst xmlns="http://schemas.openxmlformats.org/spreadsheetml/2006/main" count="616" uniqueCount="175">
  <si>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</si>
  <si>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</si>
  <si>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</si>
  <si>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</si>
  <si>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</si>
  <si>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</si>
  <si>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</si>
  <si>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</si>
  <si>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</si>
  <si>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</si>
  <si>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</si>
  <si>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</si>
  <si>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</si>
  <si>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</si>
  <si>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</si>
  <si>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</si>
  <si>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</si>
  <si>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</si>
  <si>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</si>
  <si>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</si>
  <si>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</si>
  <si>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</si>
  <si>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</si>
  <si>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</si>
  <si>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</si>
  <si>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</si>
  <si>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</si>
  <si>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</si>
  <si>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</si>
  <si>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</si>
  <si>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</si>
  <si>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</si>
  <si>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</si>
  <si>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</si>
  <si>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</si>
  <si>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</si>
  <si>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</si>
  <si>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</si>
  <si>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</si>
  <si>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</si>
  <si>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</si>
  <si>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</si>
  <si>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</si>
  <si>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</si>
  <si>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'00023509197K</t>
  </si>
  <si>
    <t>RICHARD GALASINSKI</t>
  </si>
  <si>
    <t>IL</t>
  </si>
  <si>
    <t>'045671</t>
  </si>
  <si>
    <t>ROBERT SHAPIRO</t>
  </si>
  <si>
    <t>ACTIVE</t>
  </si>
  <si>
    <t>Humana MA 2019+ Level 15- 175/108</t>
  </si>
  <si>
    <t>Monthly</t>
  </si>
  <si>
    <t>AV</t>
  </si>
  <si>
    <t>'00023539684K</t>
  </si>
  <si>
    <t>LISA YOUNG</t>
  </si>
  <si>
    <t>NC</t>
  </si>
  <si>
    <t>'043678</t>
  </si>
  <si>
    <t>MATTHEW DAUGHERTY</t>
  </si>
  <si>
    <t>'00023542006K</t>
  </si>
  <si>
    <t>LAURA PHIPPS</t>
  </si>
  <si>
    <t>'045622</t>
  </si>
  <si>
    <t>JACOB YALE</t>
  </si>
  <si>
    <t>'00023543293K</t>
  </si>
  <si>
    <t>ZAGORKA MIRKOVIC</t>
  </si>
  <si>
    <t>FL</t>
  </si>
  <si>
    <t>'045601</t>
  </si>
  <si>
    <t>CAROL FOLEY</t>
  </si>
  <si>
    <t>'00023545006K</t>
  </si>
  <si>
    <t>SNEJANKA NIKOLOVA</t>
  </si>
  <si>
    <t>'045611</t>
  </si>
  <si>
    <t>FRANK LISKOVEC</t>
  </si>
  <si>
    <t>'00023545815KPDP</t>
  </si>
  <si>
    <t>DANNY VORIS</t>
  </si>
  <si>
    <t>IN</t>
  </si>
  <si>
    <t>'045937</t>
  </si>
  <si>
    <t>MARSHA SANDEROCK</t>
  </si>
  <si>
    <t>Humana PDP 2019+ Level 15- 15/0</t>
  </si>
  <si>
    <t>'00023550119K</t>
  </si>
  <si>
    <t>KAREN JENSEN</t>
  </si>
  <si>
    <t>'045772</t>
  </si>
  <si>
    <t>JASON ROLLER</t>
  </si>
  <si>
    <t>'00023552486K</t>
  </si>
  <si>
    <t>JAMES ELDRENKAMP</t>
  </si>
  <si>
    <t>'00023554173K</t>
  </si>
  <si>
    <t>MARILYN TIBALDI</t>
  </si>
  <si>
    <t>'00023554373K</t>
  </si>
  <si>
    <t>VIANEY ELIGIO</t>
  </si>
  <si>
    <t>'045709</t>
  </si>
  <si>
    <t>ESTHER HERRERA-LARSEN</t>
  </si>
  <si>
    <t>'101830153600</t>
  </si>
  <si>
    <t>CYNTHIA CARLSON</t>
  </si>
  <si>
    <t>SC</t>
  </si>
  <si>
    <t>'045638</t>
  </si>
  <si>
    <t>RICHARD YALE</t>
  </si>
  <si>
    <t>Aetna MAPD NMO to GMO - 4-1-23+  Replace E-App</t>
  </si>
  <si>
    <t>5/12 PRORATE</t>
  </si>
  <si>
    <t>'102185986800</t>
  </si>
  <si>
    <t>SUSAN LEINENBACH</t>
  </si>
  <si>
    <t>PA</t>
  </si>
  <si>
    <t>'043611</t>
  </si>
  <si>
    <t>TIMOTHY POWERS</t>
  </si>
  <si>
    <t>'102186185100</t>
  </si>
  <si>
    <t>RUBEN RAY</t>
  </si>
  <si>
    <t>'043682</t>
  </si>
  <si>
    <t>GREGORY TEIPEL</t>
  </si>
  <si>
    <t>4/12 PRORATE</t>
  </si>
  <si>
    <t>'102186402600</t>
  </si>
  <si>
    <t>RAYMOND GLACE</t>
  </si>
  <si>
    <t>'043786</t>
  </si>
  <si>
    <t>MARGARET SMITH</t>
  </si>
  <si>
    <t>'102186566000</t>
  </si>
  <si>
    <t>ELVIRA CACHO</t>
  </si>
  <si>
    <t>OH</t>
  </si>
  <si>
    <t>'045613</t>
  </si>
  <si>
    <t>RICARDO SANTOS</t>
  </si>
  <si>
    <t>Active</t>
  </si>
  <si>
    <t>Aetna MAPD NMO to GMO - 4-1-23+  Replace Paper</t>
  </si>
  <si>
    <t>'102186573600</t>
  </si>
  <si>
    <t>WILLIAM BYERLEY</t>
  </si>
  <si>
    <t>'043692</t>
  </si>
  <si>
    <t>ADAM RICHTER</t>
  </si>
  <si>
    <t>'102186764000</t>
  </si>
  <si>
    <t>TIM LLOYD</t>
  </si>
  <si>
    <t>WY</t>
  </si>
  <si>
    <t>'102186765800</t>
  </si>
  <si>
    <t>RONALD BEND</t>
  </si>
  <si>
    <t>'045612</t>
  </si>
  <si>
    <t>ANTHONY HUNSBERGER</t>
  </si>
  <si>
    <t>'102186791500</t>
  </si>
  <si>
    <t>ANN JOHNSON</t>
  </si>
  <si>
    <t>'102186920500</t>
  </si>
  <si>
    <t>ANDREW NEY</t>
  </si>
  <si>
    <t>'A04316329</t>
  </si>
  <si>
    <t>ALFONSO LOPEZ</t>
  </si>
  <si>
    <t>TX</t>
  </si>
  <si>
    <t>'043718</t>
  </si>
  <si>
    <t>CHAD YALE</t>
  </si>
  <si>
    <t>UHC AARP Med Supp TX Area 2  2025- Plan F &amp; G</t>
  </si>
  <si>
    <t>CB</t>
  </si>
  <si>
    <t>'00022904522KPC</t>
  </si>
  <si>
    <t>JESSE HAYDEN</t>
  </si>
  <si>
    <t>NA</t>
  </si>
  <si>
    <t>'045712</t>
  </si>
  <si>
    <t>GREGORY HANSFORD</t>
  </si>
  <si>
    <t>CHARGEBACK</t>
  </si>
  <si>
    <t>'00023509197KCB</t>
  </si>
  <si>
    <t>'102137196000PC</t>
  </si>
  <si>
    <t>QUEENAH SONYAH</t>
  </si>
  <si>
    <t>'043743</t>
  </si>
  <si>
    <t>FREDERICK GBASSANA</t>
  </si>
  <si>
    <t>Aetna MAPD NMO to GMO - 4-1-23+  New E-App</t>
  </si>
  <si>
    <t>'102168241300CB</t>
  </si>
  <si>
    <t>DWAYNE DIGBY</t>
  </si>
  <si>
    <t>'043969</t>
  </si>
  <si>
    <t>STACEY PORTUGAL</t>
  </si>
  <si>
    <t>00023509197K</t>
  </si>
  <si>
    <t>00023539684K</t>
  </si>
  <si>
    <t>00023542006K</t>
  </si>
  <si>
    <t>00023543293K</t>
  </si>
  <si>
    <t>00023545006K</t>
  </si>
  <si>
    <t>00023545815KPDP</t>
  </si>
  <si>
    <t>00023550119K</t>
  </si>
  <si>
    <t>00023552486K</t>
  </si>
  <si>
    <t>00023554173K</t>
  </si>
  <si>
    <t>00023554373K</t>
  </si>
  <si>
    <t>A04316329</t>
  </si>
  <si>
    <t>00022904522KPC</t>
  </si>
  <si>
    <t>00023509197KCB</t>
  </si>
  <si>
    <t>102137196000PC</t>
  </si>
  <si>
    <t>102168241300CB</t>
  </si>
  <si>
    <t>Aetna MAPD OVR 2025</t>
  </si>
  <si>
    <t>Humana MAPD OVR 2025</t>
  </si>
  <si>
    <t>Humana PDP 2025!</t>
  </si>
  <si>
    <t>Main Line Benefits</t>
  </si>
  <si>
    <t>AARP Med Supp TX Area 2 2025- Plan F &amp;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</si>
</sst>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85DD-6408-47E8-810F-B05D70160005}">
  <dimension ref="A1:AL26"/>
  <sheetViews>
    <sheetView topLeftCell="J1" workbookViewId="0">
      <selection activeCell="J1"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45889</v>
      </c>
      <c r="B2" s="1">
        <v>45889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45870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5774812</v>
      </c>
    </row>
    <row r="3" spans="1:38" x14ac:dyDescent="0.25">
      <c r="A3" s="1">
        <v>45889</v>
      </c>
      <c r="B3" s="1">
        <v>45889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45962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5774815</v>
      </c>
    </row>
    <row r="4" spans="1:38" x14ac:dyDescent="0.25">
      <c r="A4" s="1">
        <v>45889</v>
      </c>
      <c r="B4" s="1">
        <v>45889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50</v>
      </c>
      <c r="S4" s="1">
        <v>45962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5774817</v>
      </c>
    </row>
    <row r="5" spans="1:38" x14ac:dyDescent="0.25">
      <c r="A5" s="1">
        <v>45889</v>
      </c>
      <c r="B5" s="1">
        <v>45889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64</v>
      </c>
      <c r="O5" t="s">
        <v>65</v>
      </c>
      <c r="P5" t="s">
        <v>66</v>
      </c>
      <c r="Q5" t="s">
        <v>49</v>
      </c>
      <c r="R5" t="s">
        <v>50</v>
      </c>
      <c r="S5" s="1">
        <v>45962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5774823</v>
      </c>
    </row>
    <row r="6" spans="1:38" x14ac:dyDescent="0.25">
      <c r="A6" s="1">
        <v>45889</v>
      </c>
      <c r="B6" s="1">
        <v>45889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69</v>
      </c>
      <c r="P6" t="s">
        <v>70</v>
      </c>
      <c r="Q6" t="s">
        <v>49</v>
      </c>
      <c r="R6" t="s">
        <v>50</v>
      </c>
      <c r="S6" s="1">
        <v>45901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5774833</v>
      </c>
    </row>
    <row r="7" spans="1:38" x14ac:dyDescent="0.25">
      <c r="A7" s="1">
        <v>45889</v>
      </c>
      <c r="B7" s="1">
        <v>45889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73</v>
      </c>
      <c r="O7" t="s">
        <v>74</v>
      </c>
      <c r="P7" t="s">
        <v>75</v>
      </c>
      <c r="Q7" t="s">
        <v>49</v>
      </c>
      <c r="R7" t="s">
        <v>76</v>
      </c>
      <c r="S7" s="1">
        <v>45962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5774792</v>
      </c>
    </row>
    <row r="8" spans="1:38" x14ac:dyDescent="0.25">
      <c r="A8" s="1">
        <v>45889</v>
      </c>
      <c r="B8" s="1">
        <v>45889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46</v>
      </c>
      <c r="O8" t="s">
        <v>79</v>
      </c>
      <c r="P8" t="s">
        <v>80</v>
      </c>
      <c r="Q8" t="s">
        <v>49</v>
      </c>
      <c r="R8" t="s">
        <v>50</v>
      </c>
      <c r="S8" s="1">
        <v>45901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5774846</v>
      </c>
    </row>
    <row r="9" spans="1:38" x14ac:dyDescent="0.25">
      <c r="A9" s="1">
        <v>45889</v>
      </c>
      <c r="B9" s="1">
        <v>45889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81</v>
      </c>
      <c r="J9" t="s">
        <v>82</v>
      </c>
      <c r="M9" t="s">
        <v>46</v>
      </c>
      <c r="O9" t="s">
        <v>47</v>
      </c>
      <c r="P9" t="s">
        <v>48</v>
      </c>
      <c r="Q9" t="s">
        <v>49</v>
      </c>
      <c r="R9" t="s">
        <v>50</v>
      </c>
      <c r="S9" s="1">
        <v>45901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5774853</v>
      </c>
    </row>
    <row r="10" spans="1:38" x14ac:dyDescent="0.25">
      <c r="A10" s="1">
        <v>45889</v>
      </c>
      <c r="B10" s="1">
        <v>45889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64</v>
      </c>
      <c r="O10" t="s">
        <v>56</v>
      </c>
      <c r="P10" t="s">
        <v>57</v>
      </c>
      <c r="Q10" t="s">
        <v>49</v>
      </c>
      <c r="R10" t="s">
        <v>50</v>
      </c>
      <c r="S10" s="1">
        <v>45901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5774855</v>
      </c>
    </row>
    <row r="11" spans="1:38" x14ac:dyDescent="0.25">
      <c r="A11" s="1">
        <v>45889</v>
      </c>
      <c r="B11" s="1">
        <v>45889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87</v>
      </c>
      <c r="P11" t="s">
        <v>88</v>
      </c>
      <c r="Q11" t="s">
        <v>49</v>
      </c>
      <c r="R11" t="s">
        <v>50</v>
      </c>
      <c r="S11" s="1">
        <v>45901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5774856</v>
      </c>
    </row>
    <row r="12" spans="1:38" x14ac:dyDescent="0.25">
      <c r="A12" s="1">
        <v>45889</v>
      </c>
      <c r="B12" s="1">
        <v>45889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91</v>
      </c>
      <c r="O12" t="s">
        <v>92</v>
      </c>
      <c r="P12" t="s">
        <v>93</v>
      </c>
      <c r="Q12" t="s">
        <v>49</v>
      </c>
      <c r="R12" t="s">
        <v>94</v>
      </c>
      <c r="S12" s="1">
        <v>45870</v>
      </c>
      <c r="U12" t="s">
        <v>51</v>
      </c>
      <c r="X12" t="s">
        <v>52</v>
      </c>
      <c r="Y12" s="2">
        <v>0</v>
      </c>
      <c r="Z12" s="2">
        <v>20.83</v>
      </c>
      <c r="AA12">
        <v>1</v>
      </c>
      <c r="AB12" s="3">
        <v>1</v>
      </c>
      <c r="AC12" s="2">
        <v>20.83</v>
      </c>
      <c r="AD12" s="3">
        <v>0</v>
      </c>
      <c r="AE12" s="2">
        <v>0</v>
      </c>
      <c r="AF12" s="2">
        <v>20.83</v>
      </c>
      <c r="AK12">
        <v>5774694</v>
      </c>
      <c r="AL12" t="s">
        <v>95</v>
      </c>
    </row>
    <row r="13" spans="1:38" x14ac:dyDescent="0.25">
      <c r="A13" s="1">
        <v>45889</v>
      </c>
      <c r="B13" s="1">
        <v>45889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98</v>
      </c>
      <c r="O13" t="s">
        <v>99</v>
      </c>
      <c r="P13" t="s">
        <v>100</v>
      </c>
      <c r="Q13" t="s">
        <v>49</v>
      </c>
      <c r="R13" t="s">
        <v>94</v>
      </c>
      <c r="S13" s="1">
        <v>45870</v>
      </c>
      <c r="U13" t="s">
        <v>51</v>
      </c>
      <c r="X13" t="s">
        <v>52</v>
      </c>
      <c r="Y13" s="2">
        <v>0</v>
      </c>
      <c r="Z13" s="2">
        <v>20.83</v>
      </c>
      <c r="AA13">
        <v>1</v>
      </c>
      <c r="AB13" s="3">
        <v>1</v>
      </c>
      <c r="AC13" s="2">
        <v>20.83</v>
      </c>
      <c r="AD13" s="3">
        <v>0</v>
      </c>
      <c r="AE13" s="2">
        <v>0</v>
      </c>
      <c r="AF13" s="2">
        <v>20.83</v>
      </c>
      <c r="AK13">
        <v>5774707</v>
      </c>
      <c r="AL13" t="s">
        <v>95</v>
      </c>
    </row>
    <row r="14" spans="1:38" x14ac:dyDescent="0.25">
      <c r="A14" s="1">
        <v>45889</v>
      </c>
      <c r="B14" s="1">
        <v>45889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101</v>
      </c>
      <c r="J14" t="s">
        <v>102</v>
      </c>
      <c r="M14" t="s">
        <v>46</v>
      </c>
      <c r="O14" t="s">
        <v>103</v>
      </c>
      <c r="P14" t="s">
        <v>104</v>
      </c>
      <c r="Q14" t="s">
        <v>49</v>
      </c>
      <c r="R14" t="s">
        <v>94</v>
      </c>
      <c r="S14" s="1">
        <v>45901</v>
      </c>
      <c r="U14" t="s">
        <v>51</v>
      </c>
      <c r="X14" t="s">
        <v>52</v>
      </c>
      <c r="Y14" s="2">
        <v>0</v>
      </c>
      <c r="Z14" s="2">
        <v>16.670000000000002</v>
      </c>
      <c r="AA14">
        <v>1</v>
      </c>
      <c r="AB14" s="3">
        <v>1</v>
      </c>
      <c r="AC14" s="2">
        <v>16.670000000000002</v>
      </c>
      <c r="AD14" s="3">
        <v>0</v>
      </c>
      <c r="AE14" s="2">
        <v>0</v>
      </c>
      <c r="AF14" s="2">
        <v>16.670000000000002</v>
      </c>
      <c r="AK14">
        <v>5774710</v>
      </c>
      <c r="AL14" t="s">
        <v>105</v>
      </c>
    </row>
    <row r="15" spans="1:38" x14ac:dyDescent="0.25">
      <c r="A15" s="1">
        <v>45889</v>
      </c>
      <c r="B15" s="1">
        <v>45889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106</v>
      </c>
      <c r="J15" t="s">
        <v>107</v>
      </c>
      <c r="M15" t="s">
        <v>98</v>
      </c>
      <c r="O15" t="s">
        <v>108</v>
      </c>
      <c r="P15" t="s">
        <v>109</v>
      </c>
      <c r="Q15" t="s">
        <v>49</v>
      </c>
      <c r="R15" t="s">
        <v>94</v>
      </c>
      <c r="S15" s="1">
        <v>45870</v>
      </c>
      <c r="U15" t="s">
        <v>51</v>
      </c>
      <c r="X15" t="s">
        <v>52</v>
      </c>
      <c r="Y15" s="2">
        <v>0</v>
      </c>
      <c r="Z15" s="2">
        <v>20.83</v>
      </c>
      <c r="AA15">
        <v>1</v>
      </c>
      <c r="AB15" s="3">
        <v>1</v>
      </c>
      <c r="AC15" s="2">
        <v>20.83</v>
      </c>
      <c r="AD15" s="3">
        <v>0</v>
      </c>
      <c r="AE15" s="2">
        <v>0</v>
      </c>
      <c r="AF15" s="2">
        <v>20.83</v>
      </c>
      <c r="AK15">
        <v>5774714</v>
      </c>
      <c r="AL15" t="s">
        <v>95</v>
      </c>
    </row>
    <row r="16" spans="1:38" x14ac:dyDescent="0.25">
      <c r="A16" s="1">
        <v>45889</v>
      </c>
      <c r="B16" s="1">
        <v>45889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110</v>
      </c>
      <c r="J16" t="s">
        <v>111</v>
      </c>
      <c r="M16" t="s">
        <v>112</v>
      </c>
      <c r="O16" t="s">
        <v>113</v>
      </c>
      <c r="P16" t="s">
        <v>114</v>
      </c>
      <c r="Q16" t="s">
        <v>115</v>
      </c>
      <c r="R16" t="s">
        <v>116</v>
      </c>
      <c r="S16" s="1">
        <v>45870</v>
      </c>
      <c r="U16" t="s">
        <v>51</v>
      </c>
      <c r="X16" t="s">
        <v>52</v>
      </c>
      <c r="Y16" s="2">
        <v>0</v>
      </c>
      <c r="Z16" s="2">
        <v>16.670000000000002</v>
      </c>
      <c r="AA16">
        <v>1</v>
      </c>
      <c r="AB16" s="3">
        <v>1</v>
      </c>
      <c r="AC16" s="2">
        <v>16.670000000000002</v>
      </c>
      <c r="AD16" s="3">
        <v>0</v>
      </c>
      <c r="AE16" s="2">
        <v>0</v>
      </c>
      <c r="AF16" s="2">
        <v>16.670000000000002</v>
      </c>
      <c r="AK16">
        <v>5774719</v>
      </c>
      <c r="AL16" t="s">
        <v>95</v>
      </c>
    </row>
    <row r="17" spans="1:38" x14ac:dyDescent="0.25">
      <c r="A17" s="1">
        <v>45889</v>
      </c>
      <c r="B17" s="1">
        <v>45889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117</v>
      </c>
      <c r="J17" t="s">
        <v>118</v>
      </c>
      <c r="M17" t="s">
        <v>98</v>
      </c>
      <c r="O17" t="s">
        <v>119</v>
      </c>
      <c r="P17" t="s">
        <v>120</v>
      </c>
      <c r="Q17" t="s">
        <v>49</v>
      </c>
      <c r="R17" t="s">
        <v>94</v>
      </c>
      <c r="S17" s="1">
        <v>45870</v>
      </c>
      <c r="U17" t="s">
        <v>51</v>
      </c>
      <c r="X17" t="s">
        <v>52</v>
      </c>
      <c r="Y17" s="2">
        <v>0</v>
      </c>
      <c r="Z17" s="2">
        <v>20.83</v>
      </c>
      <c r="AA17">
        <v>1</v>
      </c>
      <c r="AB17" s="3">
        <v>1</v>
      </c>
      <c r="AC17" s="2">
        <v>20.83</v>
      </c>
      <c r="AD17" s="3">
        <v>0</v>
      </c>
      <c r="AE17" s="2">
        <v>0</v>
      </c>
      <c r="AF17" s="2">
        <v>20.83</v>
      </c>
      <c r="AK17">
        <v>5774720</v>
      </c>
      <c r="AL17" t="s">
        <v>95</v>
      </c>
    </row>
    <row r="18" spans="1:38" x14ac:dyDescent="0.25">
      <c r="A18" s="1">
        <v>45889</v>
      </c>
      <c r="B18" s="1">
        <v>45889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121</v>
      </c>
      <c r="J18" t="s">
        <v>122</v>
      </c>
      <c r="M18" t="s">
        <v>123</v>
      </c>
      <c r="O18" t="s">
        <v>103</v>
      </c>
      <c r="P18" t="s">
        <v>104</v>
      </c>
      <c r="Q18" t="s">
        <v>49</v>
      </c>
      <c r="R18" t="s">
        <v>94</v>
      </c>
      <c r="S18" s="1">
        <v>45901</v>
      </c>
      <c r="U18" t="s">
        <v>51</v>
      </c>
      <c r="X18" t="s">
        <v>52</v>
      </c>
      <c r="Y18" s="2">
        <v>0</v>
      </c>
      <c r="Z18" s="2">
        <v>16.670000000000002</v>
      </c>
      <c r="AA18">
        <v>1</v>
      </c>
      <c r="AB18" s="3">
        <v>1</v>
      </c>
      <c r="AC18" s="2">
        <v>16.670000000000002</v>
      </c>
      <c r="AD18" s="3">
        <v>0</v>
      </c>
      <c r="AE18" s="2">
        <v>0</v>
      </c>
      <c r="AF18" s="2">
        <v>16.670000000000002</v>
      </c>
      <c r="AK18">
        <v>5774734</v>
      </c>
      <c r="AL18" t="s">
        <v>105</v>
      </c>
    </row>
    <row r="19" spans="1:38" x14ac:dyDescent="0.25">
      <c r="A19" s="1">
        <v>45889</v>
      </c>
      <c r="B19" s="1">
        <v>45889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124</v>
      </c>
      <c r="J19" t="s">
        <v>125</v>
      </c>
      <c r="M19" t="s">
        <v>46</v>
      </c>
      <c r="O19" t="s">
        <v>126</v>
      </c>
      <c r="P19" t="s">
        <v>127</v>
      </c>
      <c r="Q19" t="s">
        <v>49</v>
      </c>
      <c r="R19" t="s">
        <v>94</v>
      </c>
      <c r="S19" s="1">
        <v>45870</v>
      </c>
      <c r="U19" t="s">
        <v>51</v>
      </c>
      <c r="X19" t="s">
        <v>52</v>
      </c>
      <c r="Y19" s="2">
        <v>0</v>
      </c>
      <c r="Z19" s="2">
        <v>20.83</v>
      </c>
      <c r="AA19">
        <v>1</v>
      </c>
      <c r="AB19" s="3">
        <v>1</v>
      </c>
      <c r="AC19" s="2">
        <v>20.83</v>
      </c>
      <c r="AD19" s="3">
        <v>0</v>
      </c>
      <c r="AE19" s="2">
        <v>0</v>
      </c>
      <c r="AF19" s="2">
        <v>20.83</v>
      </c>
      <c r="AK19">
        <v>5774735</v>
      </c>
      <c r="AL19" t="s">
        <v>95</v>
      </c>
    </row>
    <row r="20" spans="1:38" x14ac:dyDescent="0.25">
      <c r="A20" s="1">
        <v>45889</v>
      </c>
      <c r="B20" s="1">
        <v>45889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128</v>
      </c>
      <c r="J20" t="s">
        <v>129</v>
      </c>
      <c r="M20" t="s">
        <v>46</v>
      </c>
      <c r="O20" t="s">
        <v>126</v>
      </c>
      <c r="P20" t="s">
        <v>127</v>
      </c>
      <c r="Q20" t="s">
        <v>49</v>
      </c>
      <c r="R20" t="s">
        <v>94</v>
      </c>
      <c r="S20" s="1">
        <v>45870</v>
      </c>
      <c r="U20" t="s">
        <v>51</v>
      </c>
      <c r="X20" t="s">
        <v>52</v>
      </c>
      <c r="Y20" s="2">
        <v>0</v>
      </c>
      <c r="Z20" s="2">
        <v>20.83</v>
      </c>
      <c r="AA20">
        <v>1</v>
      </c>
      <c r="AB20" s="3">
        <v>1</v>
      </c>
      <c r="AC20" s="2">
        <v>20.83</v>
      </c>
      <c r="AD20" s="3">
        <v>0</v>
      </c>
      <c r="AE20" s="2">
        <v>0</v>
      </c>
      <c r="AF20" s="2">
        <v>20.83</v>
      </c>
      <c r="AK20">
        <v>5774737</v>
      </c>
      <c r="AL20" t="s">
        <v>95</v>
      </c>
    </row>
    <row r="21" spans="1:38" x14ac:dyDescent="0.25">
      <c r="A21" s="1">
        <v>45889</v>
      </c>
      <c r="B21" s="1">
        <v>45889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130</v>
      </c>
      <c r="J21" t="s">
        <v>131</v>
      </c>
      <c r="M21" t="s">
        <v>112</v>
      </c>
      <c r="O21" t="s">
        <v>103</v>
      </c>
      <c r="P21" t="s">
        <v>104</v>
      </c>
      <c r="Q21" t="s">
        <v>49</v>
      </c>
      <c r="R21" t="s">
        <v>94</v>
      </c>
      <c r="S21" s="1">
        <v>45870</v>
      </c>
      <c r="U21" t="s">
        <v>51</v>
      </c>
      <c r="X21" t="s">
        <v>52</v>
      </c>
      <c r="Y21" s="2">
        <v>0</v>
      </c>
      <c r="Z21" s="2">
        <v>20.83</v>
      </c>
      <c r="AA21">
        <v>1</v>
      </c>
      <c r="AB21" s="3">
        <v>1</v>
      </c>
      <c r="AC21" s="2">
        <v>20.83</v>
      </c>
      <c r="AD21" s="3">
        <v>0</v>
      </c>
      <c r="AE21" s="2">
        <v>0</v>
      </c>
      <c r="AF21" s="2">
        <v>20.83</v>
      </c>
      <c r="AK21">
        <v>5774743</v>
      </c>
      <c r="AL21" t="s">
        <v>95</v>
      </c>
    </row>
    <row r="22" spans="1:38" x14ac:dyDescent="0.25">
      <c r="A22" s="1">
        <v>45889</v>
      </c>
      <c r="B22" s="1">
        <v>45889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132</v>
      </c>
      <c r="J22" t="s">
        <v>133</v>
      </c>
      <c r="M22" t="s">
        <v>134</v>
      </c>
      <c r="O22" t="s">
        <v>135</v>
      </c>
      <c r="P22" t="s">
        <v>136</v>
      </c>
      <c r="Q22" t="s">
        <v>49</v>
      </c>
      <c r="R22" t="s">
        <v>137</v>
      </c>
      <c r="S22" s="1">
        <v>45870</v>
      </c>
      <c r="U22" t="s">
        <v>51</v>
      </c>
      <c r="X22" t="s">
        <v>52</v>
      </c>
      <c r="Y22" s="2">
        <v>0</v>
      </c>
      <c r="Z22" s="2">
        <v>30.82</v>
      </c>
      <c r="AA22">
        <v>9</v>
      </c>
      <c r="AB22" s="3">
        <v>1</v>
      </c>
      <c r="AC22" s="2">
        <v>277.38</v>
      </c>
      <c r="AD22" s="3">
        <v>0</v>
      </c>
      <c r="AE22" s="2">
        <v>0</v>
      </c>
      <c r="AF22" s="2">
        <v>277.38</v>
      </c>
      <c r="AK22">
        <v>5774860</v>
      </c>
    </row>
    <row r="23" spans="1:38" x14ac:dyDescent="0.25">
      <c r="A23" s="1">
        <v>45889</v>
      </c>
      <c r="B23" s="1">
        <v>45889</v>
      </c>
      <c r="C23" t="s">
        <v>138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139</v>
      </c>
      <c r="J23" t="s">
        <v>140</v>
      </c>
      <c r="M23" t="s">
        <v>141</v>
      </c>
      <c r="O23" t="s">
        <v>142</v>
      </c>
      <c r="P23" t="s">
        <v>143</v>
      </c>
      <c r="Q23" t="s">
        <v>144</v>
      </c>
      <c r="R23" t="s">
        <v>50</v>
      </c>
      <c r="S23" s="1">
        <v>45658</v>
      </c>
      <c r="U23" t="s">
        <v>51</v>
      </c>
      <c r="X23" t="s">
        <v>52</v>
      </c>
      <c r="AF23" s="2">
        <v>175</v>
      </c>
      <c r="AG23" s="2">
        <v>0</v>
      </c>
      <c r="AJ23" s="2">
        <v>73.5</v>
      </c>
    </row>
    <row r="24" spans="1:38" x14ac:dyDescent="0.25">
      <c r="A24" s="1">
        <v>45889</v>
      </c>
      <c r="B24" s="1">
        <v>45889</v>
      </c>
      <c r="C24" t="s">
        <v>138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145</v>
      </c>
      <c r="J24" t="s">
        <v>45</v>
      </c>
      <c r="M24" t="s">
        <v>46</v>
      </c>
      <c r="O24" t="s">
        <v>47</v>
      </c>
      <c r="P24" t="s">
        <v>48</v>
      </c>
      <c r="Q24" t="s">
        <v>144</v>
      </c>
      <c r="R24" t="s">
        <v>50</v>
      </c>
      <c r="S24" s="1">
        <v>45901</v>
      </c>
      <c r="U24" t="s">
        <v>51</v>
      </c>
      <c r="X24" t="s">
        <v>52</v>
      </c>
      <c r="AF24" s="2">
        <v>175</v>
      </c>
      <c r="AG24" s="2">
        <v>0</v>
      </c>
      <c r="AJ24" s="2">
        <v>175</v>
      </c>
    </row>
    <row r="25" spans="1:38" x14ac:dyDescent="0.25">
      <c r="A25" s="1">
        <v>45889</v>
      </c>
      <c r="B25" s="1">
        <v>45889</v>
      </c>
      <c r="C25" t="s">
        <v>138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146</v>
      </c>
      <c r="J25" t="s">
        <v>147</v>
      </c>
      <c r="M25" t="s">
        <v>98</v>
      </c>
      <c r="O25" t="s">
        <v>148</v>
      </c>
      <c r="P25" t="s">
        <v>149</v>
      </c>
      <c r="Q25" t="s">
        <v>144</v>
      </c>
      <c r="R25" t="s">
        <v>150</v>
      </c>
      <c r="S25" s="1">
        <v>45689</v>
      </c>
      <c r="U25" t="s">
        <v>51</v>
      </c>
      <c r="X25" t="s">
        <v>52</v>
      </c>
      <c r="AF25" s="2">
        <v>50</v>
      </c>
      <c r="AG25" s="2">
        <v>0</v>
      </c>
      <c r="AJ25" s="2">
        <v>25</v>
      </c>
    </row>
    <row r="26" spans="1:38" x14ac:dyDescent="0.25">
      <c r="A26" s="1">
        <v>45889</v>
      </c>
      <c r="B26" s="1">
        <v>45889</v>
      </c>
      <c r="C26" t="s">
        <v>138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151</v>
      </c>
      <c r="J26" t="s">
        <v>152</v>
      </c>
      <c r="M26" t="s">
        <v>46</v>
      </c>
      <c r="O26" t="s">
        <v>153</v>
      </c>
      <c r="P26" t="s">
        <v>154</v>
      </c>
      <c r="Q26" t="s">
        <v>144</v>
      </c>
      <c r="R26" t="s">
        <v>150</v>
      </c>
      <c r="S26" s="1">
        <v>45778</v>
      </c>
      <c r="U26" t="s">
        <v>51</v>
      </c>
      <c r="X26" t="s">
        <v>52</v>
      </c>
      <c r="AF26" s="2">
        <v>50</v>
      </c>
      <c r="AG26" s="2">
        <v>0</v>
      </c>
      <c r="AJ26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5211-7308-4EED-9CD9-999D5827B746}">
  <dimension ref="A1:O26"/>
  <sheetViews>
    <sheetView tabSelected="1" workbookViewId="0">
      <selection activeCell="M2" sqref="M2:M26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0.42578125" bestFit="1" customWidth="1"/>
    <col min="6" max="6" width="23.7109375" bestFit="1" customWidth="1"/>
    <col min="7" max="7" width="47.140625" bestFit="1" customWidth="1"/>
    <col min="14" max="14" width="16.1406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5" x14ac:dyDescent="0.25">
      <c r="A2" s="5" t="s">
        <v>168</v>
      </c>
      <c r="B2" s="5" t="s">
        <v>168</v>
      </c>
      <c r="C2" t="s">
        <v>147</v>
      </c>
      <c r="D2" t="s">
        <v>98</v>
      </c>
      <c r="E2">
        <v>20411454</v>
      </c>
      <c r="F2" t="s">
        <v>173</v>
      </c>
      <c r="G2" t="s">
        <v>150</v>
      </c>
      <c r="H2" s="1">
        <v>45689</v>
      </c>
      <c r="I2" t="s">
        <v>51</v>
      </c>
      <c r="M2" s="4">
        <v>-25</v>
      </c>
      <c r="O2" t="s">
        <v>170</v>
      </c>
    </row>
    <row r="3" spans="1:15" x14ac:dyDescent="0.25">
      <c r="A3" s="5" t="s">
        <v>169</v>
      </c>
      <c r="B3" s="5" t="s">
        <v>169</v>
      </c>
      <c r="C3" t="s">
        <v>152</v>
      </c>
      <c r="D3" t="s">
        <v>46</v>
      </c>
      <c r="E3">
        <v>20411454</v>
      </c>
      <c r="F3" t="s">
        <v>173</v>
      </c>
      <c r="G3" t="s">
        <v>150</v>
      </c>
      <c r="H3" s="1">
        <v>45778</v>
      </c>
      <c r="I3" t="s">
        <v>51</v>
      </c>
      <c r="M3" s="4">
        <v>-50</v>
      </c>
      <c r="O3" t="s">
        <v>170</v>
      </c>
    </row>
    <row r="4" spans="1:15" x14ac:dyDescent="0.25">
      <c r="A4" s="5">
        <v>101830153600</v>
      </c>
      <c r="B4" s="5" t="str">
        <f>CONCATENATE(A4,0)</f>
        <v>1018301536000</v>
      </c>
      <c r="C4" t="s">
        <v>90</v>
      </c>
      <c r="D4" t="s">
        <v>91</v>
      </c>
      <c r="E4">
        <v>20411454</v>
      </c>
      <c r="F4" t="s">
        <v>173</v>
      </c>
      <c r="G4" t="s">
        <v>94</v>
      </c>
      <c r="H4" s="1">
        <v>45870</v>
      </c>
      <c r="I4" t="s">
        <v>51</v>
      </c>
      <c r="J4" s="2">
        <v>20.83</v>
      </c>
      <c r="K4">
        <v>1</v>
      </c>
      <c r="L4" s="3">
        <v>1</v>
      </c>
      <c r="M4" s="2">
        <v>20.83</v>
      </c>
      <c r="N4" t="s">
        <v>95</v>
      </c>
      <c r="O4" t="s">
        <v>170</v>
      </c>
    </row>
    <row r="5" spans="1:15" x14ac:dyDescent="0.25">
      <c r="A5" s="5">
        <v>102185986800</v>
      </c>
      <c r="B5" s="5" t="str">
        <f t="shared" ref="B5:B22" si="0">CONCATENATE(A5,0)</f>
        <v>1021859868000</v>
      </c>
      <c r="C5" t="s">
        <v>97</v>
      </c>
      <c r="D5" t="s">
        <v>98</v>
      </c>
      <c r="E5">
        <v>20411454</v>
      </c>
      <c r="F5" t="s">
        <v>173</v>
      </c>
      <c r="G5" t="s">
        <v>94</v>
      </c>
      <c r="H5" s="1">
        <v>45870</v>
      </c>
      <c r="I5" t="s">
        <v>51</v>
      </c>
      <c r="J5" s="2">
        <v>20.83</v>
      </c>
      <c r="K5">
        <v>1</v>
      </c>
      <c r="L5" s="3">
        <v>1</v>
      </c>
      <c r="M5" s="2">
        <v>20.83</v>
      </c>
      <c r="N5" t="s">
        <v>95</v>
      </c>
      <c r="O5" t="s">
        <v>170</v>
      </c>
    </row>
    <row r="6" spans="1:15" x14ac:dyDescent="0.25">
      <c r="A6" s="5">
        <v>102186185100</v>
      </c>
      <c r="B6" s="5" t="str">
        <f t="shared" si="0"/>
        <v>1021861851000</v>
      </c>
      <c r="C6" t="s">
        <v>102</v>
      </c>
      <c r="D6" t="s">
        <v>46</v>
      </c>
      <c r="E6">
        <v>20411454</v>
      </c>
      <c r="F6" t="s">
        <v>173</v>
      </c>
      <c r="G6" t="s">
        <v>94</v>
      </c>
      <c r="H6" s="1">
        <v>45901</v>
      </c>
      <c r="I6" t="s">
        <v>51</v>
      </c>
      <c r="J6" s="2">
        <v>16.670000000000002</v>
      </c>
      <c r="K6">
        <v>1</v>
      </c>
      <c r="L6" s="3">
        <v>1</v>
      </c>
      <c r="M6" s="2">
        <v>16.670000000000002</v>
      </c>
      <c r="N6" t="s">
        <v>105</v>
      </c>
      <c r="O6" t="s">
        <v>170</v>
      </c>
    </row>
    <row r="7" spans="1:15" x14ac:dyDescent="0.25">
      <c r="A7" s="5">
        <v>102186402600</v>
      </c>
      <c r="B7" s="5" t="str">
        <f t="shared" si="0"/>
        <v>1021864026000</v>
      </c>
      <c r="C7" t="s">
        <v>107</v>
      </c>
      <c r="D7" t="s">
        <v>98</v>
      </c>
      <c r="E7">
        <v>20411454</v>
      </c>
      <c r="F7" t="s">
        <v>173</v>
      </c>
      <c r="G7" t="s">
        <v>94</v>
      </c>
      <c r="H7" s="1">
        <v>45870</v>
      </c>
      <c r="I7" t="s">
        <v>51</v>
      </c>
      <c r="J7" s="2">
        <v>20.83</v>
      </c>
      <c r="K7">
        <v>1</v>
      </c>
      <c r="L7" s="3">
        <v>1</v>
      </c>
      <c r="M7" s="2">
        <v>20.83</v>
      </c>
      <c r="N7" t="s">
        <v>95</v>
      </c>
      <c r="O7" t="s">
        <v>170</v>
      </c>
    </row>
    <row r="8" spans="1:15" x14ac:dyDescent="0.25">
      <c r="A8" s="5">
        <v>102186573600</v>
      </c>
      <c r="B8" s="5" t="str">
        <f t="shared" si="0"/>
        <v>1021865736000</v>
      </c>
      <c r="C8" t="s">
        <v>118</v>
      </c>
      <c r="D8" t="s">
        <v>98</v>
      </c>
      <c r="E8">
        <v>20411454</v>
      </c>
      <c r="F8" t="s">
        <v>173</v>
      </c>
      <c r="G8" t="s">
        <v>94</v>
      </c>
      <c r="H8" s="1">
        <v>45870</v>
      </c>
      <c r="I8" t="s">
        <v>51</v>
      </c>
      <c r="J8" s="2">
        <v>20.83</v>
      </c>
      <c r="K8">
        <v>1</v>
      </c>
      <c r="L8" s="3">
        <v>1</v>
      </c>
      <c r="M8" s="2">
        <v>20.83</v>
      </c>
      <c r="N8" t="s">
        <v>95</v>
      </c>
      <c r="O8" t="s">
        <v>170</v>
      </c>
    </row>
    <row r="9" spans="1:15" x14ac:dyDescent="0.25">
      <c r="A9" s="5">
        <v>102186764000</v>
      </c>
      <c r="B9" s="5" t="str">
        <f t="shared" si="0"/>
        <v>1021867640000</v>
      </c>
      <c r="C9" t="s">
        <v>122</v>
      </c>
      <c r="D9" t="s">
        <v>123</v>
      </c>
      <c r="E9">
        <v>20411454</v>
      </c>
      <c r="F9" t="s">
        <v>173</v>
      </c>
      <c r="G9" t="s">
        <v>94</v>
      </c>
      <c r="H9" s="1">
        <v>45901</v>
      </c>
      <c r="I9" t="s">
        <v>51</v>
      </c>
      <c r="J9" s="2">
        <v>16.670000000000002</v>
      </c>
      <c r="K9">
        <v>1</v>
      </c>
      <c r="L9" s="3">
        <v>1</v>
      </c>
      <c r="M9" s="2">
        <v>16.670000000000002</v>
      </c>
      <c r="N9" t="s">
        <v>105</v>
      </c>
      <c r="O9" t="s">
        <v>170</v>
      </c>
    </row>
    <row r="10" spans="1:15" x14ac:dyDescent="0.25">
      <c r="A10" s="5">
        <v>102186765800</v>
      </c>
      <c r="B10" s="5" t="str">
        <f t="shared" si="0"/>
        <v>1021867658000</v>
      </c>
      <c r="C10" t="s">
        <v>125</v>
      </c>
      <c r="D10" t="s">
        <v>46</v>
      </c>
      <c r="E10">
        <v>20411454</v>
      </c>
      <c r="F10" t="s">
        <v>173</v>
      </c>
      <c r="G10" t="s">
        <v>94</v>
      </c>
      <c r="H10" s="1">
        <v>45870</v>
      </c>
      <c r="I10" t="s">
        <v>51</v>
      </c>
      <c r="J10" s="2">
        <v>20.83</v>
      </c>
      <c r="K10">
        <v>1</v>
      </c>
      <c r="L10" s="3">
        <v>1</v>
      </c>
      <c r="M10" s="2">
        <v>20.83</v>
      </c>
      <c r="N10" t="s">
        <v>95</v>
      </c>
      <c r="O10" t="s">
        <v>170</v>
      </c>
    </row>
    <row r="11" spans="1:15" x14ac:dyDescent="0.25">
      <c r="A11" s="5">
        <v>102186791500</v>
      </c>
      <c r="B11" s="5" t="str">
        <f t="shared" si="0"/>
        <v>1021867915000</v>
      </c>
      <c r="C11" t="s">
        <v>129</v>
      </c>
      <c r="D11" t="s">
        <v>46</v>
      </c>
      <c r="E11">
        <v>20411454</v>
      </c>
      <c r="F11" t="s">
        <v>173</v>
      </c>
      <c r="G11" t="s">
        <v>94</v>
      </c>
      <c r="H11" s="1">
        <v>45870</v>
      </c>
      <c r="I11" t="s">
        <v>51</v>
      </c>
      <c r="J11" s="2">
        <v>20.83</v>
      </c>
      <c r="K11">
        <v>1</v>
      </c>
      <c r="L11" s="3">
        <v>1</v>
      </c>
      <c r="M11" s="2">
        <v>20.83</v>
      </c>
      <c r="N11" t="s">
        <v>95</v>
      </c>
      <c r="O11" t="s">
        <v>170</v>
      </c>
    </row>
    <row r="12" spans="1:15" x14ac:dyDescent="0.25">
      <c r="A12" s="5">
        <v>102186920500</v>
      </c>
      <c r="B12" s="5" t="str">
        <f t="shared" si="0"/>
        <v>1021869205000</v>
      </c>
      <c r="C12" t="s">
        <v>131</v>
      </c>
      <c r="D12" t="s">
        <v>112</v>
      </c>
      <c r="E12">
        <v>20411454</v>
      </c>
      <c r="F12" t="s">
        <v>173</v>
      </c>
      <c r="G12" t="s">
        <v>94</v>
      </c>
      <c r="H12" s="1">
        <v>45870</v>
      </c>
      <c r="I12" t="s">
        <v>51</v>
      </c>
      <c r="J12" s="2">
        <v>20.83</v>
      </c>
      <c r="K12">
        <v>1</v>
      </c>
      <c r="L12" s="3">
        <v>1</v>
      </c>
      <c r="M12" s="2">
        <v>20.83</v>
      </c>
      <c r="N12" t="s">
        <v>95</v>
      </c>
      <c r="O12" t="s">
        <v>170</v>
      </c>
    </row>
    <row r="13" spans="1:15" x14ac:dyDescent="0.25">
      <c r="A13" s="5">
        <v>102186566000</v>
      </c>
      <c r="B13" s="5" t="str">
        <f t="shared" si="0"/>
        <v>1021865660000</v>
      </c>
      <c r="C13" t="s">
        <v>111</v>
      </c>
      <c r="D13" t="s">
        <v>112</v>
      </c>
      <c r="E13">
        <v>20411454</v>
      </c>
      <c r="F13" t="s">
        <v>173</v>
      </c>
      <c r="G13" t="s">
        <v>116</v>
      </c>
      <c r="H13" s="1">
        <v>45870</v>
      </c>
      <c r="I13" t="s">
        <v>51</v>
      </c>
      <c r="J13" s="2">
        <v>16.670000000000002</v>
      </c>
      <c r="K13">
        <v>1</v>
      </c>
      <c r="L13" s="3">
        <v>1</v>
      </c>
      <c r="M13" s="2">
        <v>16.670000000000002</v>
      </c>
      <c r="N13" t="s">
        <v>95</v>
      </c>
      <c r="O13" t="s">
        <v>170</v>
      </c>
    </row>
    <row r="14" spans="1:15" x14ac:dyDescent="0.25">
      <c r="A14" s="5" t="s">
        <v>155</v>
      </c>
      <c r="B14" s="5" t="str">
        <f t="shared" si="0"/>
        <v>00023509197K0</v>
      </c>
      <c r="C14" t="s">
        <v>45</v>
      </c>
      <c r="D14" t="s">
        <v>46</v>
      </c>
      <c r="E14">
        <v>20411454</v>
      </c>
      <c r="F14" t="s">
        <v>173</v>
      </c>
      <c r="G14" t="s">
        <v>50</v>
      </c>
      <c r="H14" s="1">
        <v>45870</v>
      </c>
      <c r="I14" t="s">
        <v>51</v>
      </c>
      <c r="J14" s="2">
        <v>175</v>
      </c>
      <c r="K14">
        <v>1</v>
      </c>
      <c r="L14" s="3">
        <v>1</v>
      </c>
      <c r="M14" s="2">
        <v>175</v>
      </c>
      <c r="O14" t="s">
        <v>171</v>
      </c>
    </row>
    <row r="15" spans="1:15" x14ac:dyDescent="0.25">
      <c r="A15" s="5" t="s">
        <v>156</v>
      </c>
      <c r="B15" s="5" t="str">
        <f t="shared" si="0"/>
        <v>00023539684K0</v>
      </c>
      <c r="C15" t="s">
        <v>54</v>
      </c>
      <c r="D15" t="s">
        <v>55</v>
      </c>
      <c r="E15">
        <v>20411454</v>
      </c>
      <c r="F15" t="s">
        <v>173</v>
      </c>
      <c r="G15" t="s">
        <v>50</v>
      </c>
      <c r="H15" s="1">
        <v>45962</v>
      </c>
      <c r="I15" t="s">
        <v>51</v>
      </c>
      <c r="J15" s="2">
        <v>175</v>
      </c>
      <c r="K15">
        <v>1</v>
      </c>
      <c r="L15" s="3">
        <v>1</v>
      </c>
      <c r="M15" s="2">
        <v>175</v>
      </c>
      <c r="O15" t="s">
        <v>171</v>
      </c>
    </row>
    <row r="16" spans="1:15" x14ac:dyDescent="0.25">
      <c r="A16" s="5" t="s">
        <v>157</v>
      </c>
      <c r="B16" s="5" t="str">
        <f t="shared" si="0"/>
        <v>00023542006K0</v>
      </c>
      <c r="C16" t="s">
        <v>59</v>
      </c>
      <c r="D16" t="s">
        <v>46</v>
      </c>
      <c r="E16">
        <v>20411454</v>
      </c>
      <c r="F16" t="s">
        <v>173</v>
      </c>
      <c r="G16" t="s">
        <v>50</v>
      </c>
      <c r="H16" s="1">
        <v>45962</v>
      </c>
      <c r="I16" t="s">
        <v>51</v>
      </c>
      <c r="J16" s="2">
        <v>175</v>
      </c>
      <c r="K16">
        <v>1</v>
      </c>
      <c r="L16" s="3">
        <v>1</v>
      </c>
      <c r="M16" s="2">
        <v>175</v>
      </c>
      <c r="O16" t="s">
        <v>171</v>
      </c>
    </row>
    <row r="17" spans="1:15" x14ac:dyDescent="0.25">
      <c r="A17" s="5" t="s">
        <v>158</v>
      </c>
      <c r="B17" s="5" t="str">
        <f t="shared" si="0"/>
        <v>00023543293K0</v>
      </c>
      <c r="C17" t="s">
        <v>63</v>
      </c>
      <c r="D17" t="s">
        <v>64</v>
      </c>
      <c r="E17">
        <v>20411454</v>
      </c>
      <c r="F17" t="s">
        <v>173</v>
      </c>
      <c r="G17" t="s">
        <v>50</v>
      </c>
      <c r="H17" s="1">
        <v>45962</v>
      </c>
      <c r="I17" t="s">
        <v>51</v>
      </c>
      <c r="J17" s="2">
        <v>175</v>
      </c>
      <c r="K17">
        <v>1</v>
      </c>
      <c r="L17" s="3">
        <v>1</v>
      </c>
      <c r="M17" s="2">
        <v>175</v>
      </c>
      <c r="O17" t="s">
        <v>171</v>
      </c>
    </row>
    <row r="18" spans="1:15" x14ac:dyDescent="0.25">
      <c r="A18" s="5" t="s">
        <v>159</v>
      </c>
      <c r="B18" s="5" t="str">
        <f t="shared" si="0"/>
        <v>00023545006K0</v>
      </c>
      <c r="C18" t="s">
        <v>68</v>
      </c>
      <c r="D18" t="s">
        <v>46</v>
      </c>
      <c r="E18">
        <v>20411454</v>
      </c>
      <c r="F18" t="s">
        <v>173</v>
      </c>
      <c r="G18" t="s">
        <v>50</v>
      </c>
      <c r="H18" s="1">
        <v>45901</v>
      </c>
      <c r="I18" t="s">
        <v>51</v>
      </c>
      <c r="J18" s="2">
        <v>175</v>
      </c>
      <c r="K18">
        <v>1</v>
      </c>
      <c r="L18" s="3">
        <v>1</v>
      </c>
      <c r="M18" s="2">
        <v>175</v>
      </c>
      <c r="O18" t="s">
        <v>171</v>
      </c>
    </row>
    <row r="19" spans="1:15" x14ac:dyDescent="0.25">
      <c r="A19" s="5" t="s">
        <v>161</v>
      </c>
      <c r="B19" s="5" t="str">
        <f t="shared" si="0"/>
        <v>00023550119K0</v>
      </c>
      <c r="C19" t="s">
        <v>78</v>
      </c>
      <c r="D19" t="s">
        <v>46</v>
      </c>
      <c r="E19">
        <v>20411454</v>
      </c>
      <c r="F19" t="s">
        <v>173</v>
      </c>
      <c r="G19" t="s">
        <v>50</v>
      </c>
      <c r="H19" s="1">
        <v>45901</v>
      </c>
      <c r="I19" t="s">
        <v>51</v>
      </c>
      <c r="J19" s="2">
        <v>175</v>
      </c>
      <c r="K19">
        <v>1</v>
      </c>
      <c r="L19" s="3">
        <v>1</v>
      </c>
      <c r="M19" s="2">
        <v>175</v>
      </c>
      <c r="O19" t="s">
        <v>171</v>
      </c>
    </row>
    <row r="20" spans="1:15" x14ac:dyDescent="0.25">
      <c r="A20" s="5" t="s">
        <v>162</v>
      </c>
      <c r="B20" s="5" t="str">
        <f t="shared" si="0"/>
        <v>00023552486K0</v>
      </c>
      <c r="C20" t="s">
        <v>82</v>
      </c>
      <c r="D20" t="s">
        <v>46</v>
      </c>
      <c r="E20">
        <v>20411454</v>
      </c>
      <c r="F20" t="s">
        <v>173</v>
      </c>
      <c r="G20" t="s">
        <v>50</v>
      </c>
      <c r="H20" s="1">
        <v>45901</v>
      </c>
      <c r="I20" t="s">
        <v>51</v>
      </c>
      <c r="J20" s="2">
        <v>175</v>
      </c>
      <c r="K20">
        <v>1</v>
      </c>
      <c r="L20" s="3">
        <v>1</v>
      </c>
      <c r="M20" s="2">
        <v>175</v>
      </c>
      <c r="O20" t="s">
        <v>171</v>
      </c>
    </row>
    <row r="21" spans="1:15" x14ac:dyDescent="0.25">
      <c r="A21" s="5" t="s">
        <v>163</v>
      </c>
      <c r="B21" s="5" t="str">
        <f t="shared" si="0"/>
        <v>00023554173K0</v>
      </c>
      <c r="C21" t="s">
        <v>84</v>
      </c>
      <c r="D21" t="s">
        <v>64</v>
      </c>
      <c r="E21">
        <v>20411454</v>
      </c>
      <c r="F21" t="s">
        <v>173</v>
      </c>
      <c r="G21" t="s">
        <v>50</v>
      </c>
      <c r="H21" s="1">
        <v>45901</v>
      </c>
      <c r="I21" t="s">
        <v>51</v>
      </c>
      <c r="J21" s="2">
        <v>175</v>
      </c>
      <c r="K21">
        <v>1</v>
      </c>
      <c r="L21" s="3">
        <v>1</v>
      </c>
      <c r="M21" s="2">
        <v>175</v>
      </c>
      <c r="O21" t="s">
        <v>171</v>
      </c>
    </row>
    <row r="22" spans="1:15" x14ac:dyDescent="0.25">
      <c r="A22" s="5" t="s">
        <v>164</v>
      </c>
      <c r="B22" s="5" t="str">
        <f t="shared" si="0"/>
        <v>00023554373K0</v>
      </c>
      <c r="C22" t="s">
        <v>86</v>
      </c>
      <c r="D22" t="s">
        <v>46</v>
      </c>
      <c r="E22">
        <v>20411454</v>
      </c>
      <c r="F22" t="s">
        <v>173</v>
      </c>
      <c r="G22" t="s">
        <v>50</v>
      </c>
      <c r="H22" s="1">
        <v>45901</v>
      </c>
      <c r="I22" t="s">
        <v>51</v>
      </c>
      <c r="J22" s="2">
        <v>175</v>
      </c>
      <c r="K22">
        <v>1</v>
      </c>
      <c r="L22" s="3">
        <v>1</v>
      </c>
      <c r="M22" s="2">
        <v>175</v>
      </c>
      <c r="O22" t="s">
        <v>171</v>
      </c>
    </row>
    <row r="23" spans="1:15" x14ac:dyDescent="0.25">
      <c r="A23" s="5" t="s">
        <v>166</v>
      </c>
      <c r="B23" s="5" t="s">
        <v>166</v>
      </c>
      <c r="C23" t="s">
        <v>140</v>
      </c>
      <c r="D23" t="s">
        <v>141</v>
      </c>
      <c r="E23">
        <v>20411454</v>
      </c>
      <c r="F23" t="s">
        <v>173</v>
      </c>
      <c r="G23" t="s">
        <v>50</v>
      </c>
      <c r="H23" s="1">
        <v>45658</v>
      </c>
      <c r="I23" t="s">
        <v>51</v>
      </c>
      <c r="M23" s="4">
        <v>-73.5</v>
      </c>
      <c r="O23" t="s">
        <v>171</v>
      </c>
    </row>
    <row r="24" spans="1:15" x14ac:dyDescent="0.25">
      <c r="A24" s="5" t="s">
        <v>167</v>
      </c>
      <c r="B24" s="5" t="s">
        <v>167</v>
      </c>
      <c r="C24" t="s">
        <v>45</v>
      </c>
      <c r="D24" t="s">
        <v>46</v>
      </c>
      <c r="E24">
        <v>20411454</v>
      </c>
      <c r="F24" t="s">
        <v>173</v>
      </c>
      <c r="G24" t="s">
        <v>50</v>
      </c>
      <c r="H24" s="1">
        <v>45901</v>
      </c>
      <c r="I24" t="s">
        <v>51</v>
      </c>
      <c r="M24" s="4">
        <v>-175</v>
      </c>
      <c r="O24" t="s">
        <v>171</v>
      </c>
    </row>
    <row r="25" spans="1:15" s="7" customFormat="1" x14ac:dyDescent="0.25">
      <c r="A25" s="6" t="s">
        <v>160</v>
      </c>
      <c r="B25" s="6" t="s">
        <v>160</v>
      </c>
      <c r="C25" s="7" t="s">
        <v>72</v>
      </c>
      <c r="D25" s="7" t="s">
        <v>73</v>
      </c>
      <c r="E25" s="7">
        <v>20724564</v>
      </c>
      <c r="F25" s="7" t="s">
        <v>75</v>
      </c>
      <c r="G25" s="7" t="s">
        <v>76</v>
      </c>
      <c r="H25" s="8">
        <v>45962</v>
      </c>
      <c r="I25" s="7" t="s">
        <v>51</v>
      </c>
      <c r="J25" s="9">
        <v>15</v>
      </c>
      <c r="K25" s="7">
        <v>1</v>
      </c>
      <c r="L25" s="10">
        <v>1</v>
      </c>
      <c r="M25" s="9">
        <v>15</v>
      </c>
      <c r="O25" s="7" t="s">
        <v>172</v>
      </c>
    </row>
    <row r="26" spans="1:15" s="7" customFormat="1" x14ac:dyDescent="0.25">
      <c r="A26" s="6" t="s">
        <v>165</v>
      </c>
      <c r="B26" s="6" t="str">
        <f>CONCATENATE(A26,1)</f>
        <v>A043163291</v>
      </c>
      <c r="C26" s="7" t="s">
        <v>133</v>
      </c>
      <c r="D26" s="7" t="s">
        <v>134</v>
      </c>
      <c r="E26" s="7">
        <v>20003537</v>
      </c>
      <c r="F26" s="7" t="s">
        <v>136</v>
      </c>
      <c r="G26" s="7" t="s">
        <v>137</v>
      </c>
      <c r="H26" s="8">
        <v>45870</v>
      </c>
      <c r="I26" s="7" t="s">
        <v>51</v>
      </c>
      <c r="J26" s="9">
        <v>30.82</v>
      </c>
      <c r="K26" s="7">
        <v>9</v>
      </c>
      <c r="L26" s="10">
        <v>1</v>
      </c>
      <c r="M26" s="9">
        <v>277.38</v>
      </c>
      <c r="O26" s="7" t="s">
        <v>174</v>
      </c>
    </row>
  </sheetData>
  <sortState xmlns:xlrd2="http://schemas.microsoft.com/office/spreadsheetml/2017/richdata2" ref="A2:AL26">
    <sortCondition ref="G2:G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2025-08-21T12:35:08Z</dcterms:created>
  <dcterms:modified xsi:type="dcterms:W3CDTF">2025-08-26T18:46:04Z</dcterms:modified>
</cp:coreProperties>
</file>