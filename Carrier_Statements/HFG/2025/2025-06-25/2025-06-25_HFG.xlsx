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5\06-25-25\"/>
    </mc:Choice>
  </mc:AlternateContent>
  <xr:revisionPtr revIDLastSave="0" documentId="13_ncr:9_{0922B03A-A6C8-4139-8EC9-C1E2E98436AD}" xr6:coauthVersionLast="47" xr6:coauthVersionMax="47" xr10:uidLastSave="{00000000-0000-0000-0000-000000000000}"/>
  <bookViews>
    <workbookView xWindow="28680" yWindow="-120" windowWidth="29040" windowHeight="16440" activeTab="1" xr2:uid="{B38619A0-18F6-43E1-8AAD-2D3468C2A681}"/>
  </bookViews>
  <sheets>
    <sheet name="New Business Agent Statement - 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B38" i="2" l="1"/>
  <c r="B35" i="2"/>
  <c r="B34" i="2"/>
  <c r="B37" i="2"/>
  <c r="B33" i="2"/>
  <c r="B32" i="2"/>
  <c r="B40" i="2"/>
  <c r="B36" i="2"/>
  <c r="B29" i="2"/>
  <c r="B30" i="2"/>
  <c r="B31" i="2"/>
  <c r="B39" i="2"/>
  <c r="B44" i="2"/>
  <c r="B45" i="2"/>
  <c r="B43" i="2"/>
  <c r="B56" i="2"/>
  <c r="B55" i="2"/>
  <c r="B64" i="2"/>
  <c r="B63" i="2"/>
  <c r="B62" i="2"/>
  <c r="B61" i="2"/>
  <c r="B60" i="2"/>
  <c r="B59" i="2"/>
  <c r="B58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7" i="2"/>
  <c r="B6" i="2"/>
  <c r="B5" i="2"/>
  <c r="B4" i="2"/>
  <c r="B3" i="2"/>
  <c r="T57" i="2"/>
  <c r="T41" i="2"/>
  <c r="U44" i="2"/>
  <c r="U56" i="2"/>
  <c r="U38" i="2"/>
</calcChain>
</file>

<file path=xl/sharedStrings.xml><?xml version="1.0" encoding="utf-8"?>
<sst xmlns="http://schemas.openxmlformats.org/spreadsheetml/2006/main" count="1690" uniqueCount="321">
  <si>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</si>
  <si>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</si>
  <si>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</si>
  <si>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</si>
  <si>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</si>
  <si>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</si>
  <si>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</si>
  <si>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</si>
  <si>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</si>
  <si>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</si>
  <si>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</si>
  <si>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</si>
  <si>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</si>
  <si>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</si>
  <si>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</si>
  <si>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</si>
  <si>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</si>
  <si>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</si>
  <si>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</si>
  <si>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</si>
  <si>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</si>
  <si>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</si>
  <si>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</si>
  <si>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</si>
  <si>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</si>
  <si>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</si>
  <si>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</si>
  <si>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</si>
  <si>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</si>
  <si>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</si>
  <si>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</si>
  <si>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</si>
  <si>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</si>
  <si>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</si>
  <si>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</si>
  <si>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</si>
  <si>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</si>
  <si>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</si>
  <si>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</si>
  <si>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</si>
  <si>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</si>
  <si>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</si>
  <si>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</si>
  <si>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</si>
  <si>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'00012290150KPC</t>
  </si>
  <si>
    <t>VICKY DOWNS</t>
  </si>
  <si>
    <t>NA</t>
  </si>
  <si>
    <t>'045605</t>
  </si>
  <si>
    <t>GARY PORTUGAL</t>
  </si>
  <si>
    <t>Active</t>
  </si>
  <si>
    <t>Humana MA 2019+ Level 15- 175/108 Repl 2024</t>
  </si>
  <si>
    <t>Monthly</t>
  </si>
  <si>
    <t>AV</t>
  </si>
  <si>
    <t>Humana MA Bonus Upload 06-25-2025.xlsx</t>
  </si>
  <si>
    <t>'00019300649KPDP</t>
  </si>
  <si>
    <t>JOHN DYMOND</t>
  </si>
  <si>
    <t>SC</t>
  </si>
  <si>
    <t>'045603</t>
  </si>
  <si>
    <t>ANDREW CHOI</t>
  </si>
  <si>
    <t>ACTIVE</t>
  </si>
  <si>
    <t>Humana PDP 2019+ Level 15- 15/0</t>
  </si>
  <si>
    <t>'00023410059K</t>
  </si>
  <si>
    <t>JUDITH DURAY</t>
  </si>
  <si>
    <t>IL</t>
  </si>
  <si>
    <t>Humana MA 2019+ Level 15- 175/108</t>
  </si>
  <si>
    <t>'00023410586K</t>
  </si>
  <si>
    <t>JACK FINN</t>
  </si>
  <si>
    <t>'043637</t>
  </si>
  <si>
    <t>CHRISTIAN TAUGNER</t>
  </si>
  <si>
    <t>'00023410810K</t>
  </si>
  <si>
    <t>GLORIA HARRIS</t>
  </si>
  <si>
    <t>'00023411129K</t>
  </si>
  <si>
    <t>LINA BROKER</t>
  </si>
  <si>
    <t>'00023412197KPDP</t>
  </si>
  <si>
    <t>ROBERT MEGARO</t>
  </si>
  <si>
    <t>'043682</t>
  </si>
  <si>
    <t>GREGORY TEIPEL</t>
  </si>
  <si>
    <t>'00023412329K</t>
  </si>
  <si>
    <t>MYRA PLEVA</t>
  </si>
  <si>
    <t>'045612</t>
  </si>
  <si>
    <t>ANTHONY HUNSBERGER</t>
  </si>
  <si>
    <t>'00023413989K</t>
  </si>
  <si>
    <t>KIMBERLY NOWAKOWSKI</t>
  </si>
  <si>
    <t>'00023414273K</t>
  </si>
  <si>
    <t>STANLEY DICKSON</t>
  </si>
  <si>
    <t>GA</t>
  </si>
  <si>
    <t>'045601</t>
  </si>
  <si>
    <t>CAROL FOLEY</t>
  </si>
  <si>
    <t>'00023414791K</t>
  </si>
  <si>
    <t>GREGORY DURAY</t>
  </si>
  <si>
    <t>'00023416967K</t>
  </si>
  <si>
    <t>SUSAN BUSSE</t>
  </si>
  <si>
    <t>TN</t>
  </si>
  <si>
    <t>'045611</t>
  </si>
  <si>
    <t>FRANK LISKOVEC</t>
  </si>
  <si>
    <t>'00023418090K</t>
  </si>
  <si>
    <t>ROBERT SALM</t>
  </si>
  <si>
    <t>'045709</t>
  </si>
  <si>
    <t>ESTHER HERRERA-LARSEN</t>
  </si>
  <si>
    <t>'00023419237K</t>
  </si>
  <si>
    <t>PAMELA SALM</t>
  </si>
  <si>
    <t>'00023422029K</t>
  </si>
  <si>
    <t>DOUGLAS PARKER</t>
  </si>
  <si>
    <t>FL</t>
  </si>
  <si>
    <t>'045717</t>
  </si>
  <si>
    <t>RONALD MAX</t>
  </si>
  <si>
    <t>'021W23166</t>
  </si>
  <si>
    <t>Anthem MA 2025</t>
  </si>
  <si>
    <t>'023086053PDP</t>
  </si>
  <si>
    <t>DANIEL MOORE</t>
  </si>
  <si>
    <t>MD</t>
  </si>
  <si>
    <t>'043690</t>
  </si>
  <si>
    <t>THOMAS KUCAN</t>
  </si>
  <si>
    <t>UHC PDP Street payable to upline - 2025 New</t>
  </si>
  <si>
    <t>'023086053PDPOV</t>
  </si>
  <si>
    <t>UHC PDP Direct 2024 New Full</t>
  </si>
  <si>
    <t>'023095248PDP</t>
  </si>
  <si>
    <t>DONALD BURTON</t>
  </si>
  <si>
    <t>'043705</t>
  </si>
  <si>
    <t>MICHAEL DUNAVANT</t>
  </si>
  <si>
    <t>'023095248PDPOV</t>
  </si>
  <si>
    <t>'023100189PDP</t>
  </si>
  <si>
    <t>ANGELA OHLIG</t>
  </si>
  <si>
    <t>CO</t>
  </si>
  <si>
    <t>'043713</t>
  </si>
  <si>
    <t>JOEL LEE</t>
  </si>
  <si>
    <t>'023100189PDPOV</t>
  </si>
  <si>
    <t>'101478338500</t>
  </si>
  <si>
    <t>PAULA LESNEY</t>
  </si>
  <si>
    <t>PA</t>
  </si>
  <si>
    <t>'045614</t>
  </si>
  <si>
    <t>DEBORAH POWERS</t>
  </si>
  <si>
    <t>Aetna MAPD NMO to GMO - 4-1-23+  Replace E-App</t>
  </si>
  <si>
    <t>7/12 PRORATE</t>
  </si>
  <si>
    <t>'102099156000A</t>
  </si>
  <si>
    <t>KASSY KREUTZ HEISTER</t>
  </si>
  <si>
    <t>'043679</t>
  </si>
  <si>
    <t>DEBORAH INSKIPT</t>
  </si>
  <si>
    <t>'102175052800</t>
  </si>
  <si>
    <t>VALERIE PAVLICK GNAZZO</t>
  </si>
  <si>
    <t>'043691</t>
  </si>
  <si>
    <t>MICHELLE MCCORKLE</t>
  </si>
  <si>
    <t>'102175758100</t>
  </si>
  <si>
    <t>DAVID FISK</t>
  </si>
  <si>
    <t>'133085724</t>
  </si>
  <si>
    <t>LAWANNA PULLIAM</t>
  </si>
  <si>
    <t>KS</t>
  </si>
  <si>
    <t>'043969</t>
  </si>
  <si>
    <t>STACEY PORTUGAL</t>
  </si>
  <si>
    <t>UHC MAPD Street payable to upline - 2025 New</t>
  </si>
  <si>
    <t>'133512318</t>
  </si>
  <si>
    <t>CELINA RODARTE</t>
  </si>
  <si>
    <t>AZ</t>
  </si>
  <si>
    <t>UHC MAPD Street payable to upline- 2025 Replace</t>
  </si>
  <si>
    <t>6/12 PRORATE</t>
  </si>
  <si>
    <t>'133512318OV</t>
  </si>
  <si>
    <t>UHC MA Direct 2024 New Full</t>
  </si>
  <si>
    <t>'25A3R5X93</t>
  </si>
  <si>
    <t>TIMOTHY MCKENNA</t>
  </si>
  <si>
    <t>Cigna MAPD FMO to GA 1-1-19+ - Replacement</t>
  </si>
  <si>
    <t>'28X8F8L39</t>
  </si>
  <si>
    <t>LUPE GOMEZ</t>
  </si>
  <si>
    <t>'045712</t>
  </si>
  <si>
    <t>GREGORY HANSFORD</t>
  </si>
  <si>
    <t>'913275310</t>
  </si>
  <si>
    <t>DAVID KARCHNER</t>
  </si>
  <si>
    <t>'916869341</t>
  </si>
  <si>
    <t>ELLEN PASTUSZAK-LEI</t>
  </si>
  <si>
    <t>'045621</t>
  </si>
  <si>
    <t>HEATHER GESKE</t>
  </si>
  <si>
    <t>'921346722</t>
  </si>
  <si>
    <t>WILLIAM LAUR</t>
  </si>
  <si>
    <t>'043692</t>
  </si>
  <si>
    <t>ADAM RICHTER</t>
  </si>
  <si>
    <t>'922325896</t>
  </si>
  <si>
    <t>MICHAEL COGSWELL</t>
  </si>
  <si>
    <t>IN</t>
  </si>
  <si>
    <t>4/12 PRORATE</t>
  </si>
  <si>
    <t>'922325896OV</t>
  </si>
  <si>
    <t>'928801218</t>
  </si>
  <si>
    <t>PEGGY ALLEN</t>
  </si>
  <si>
    <t>'928801218OV</t>
  </si>
  <si>
    <t>'935887639</t>
  </si>
  <si>
    <t>MELISSA LUEBBERS</t>
  </si>
  <si>
    <t>'935887639OV</t>
  </si>
  <si>
    <t>'936911192</t>
  </si>
  <si>
    <t>OFELIA GEARY</t>
  </si>
  <si>
    <t>OR</t>
  </si>
  <si>
    <t>'045642</t>
  </si>
  <si>
    <t>JONATHAN ALOFF</t>
  </si>
  <si>
    <t>'936911192OV</t>
  </si>
  <si>
    <t>'937824582</t>
  </si>
  <si>
    <t>JEFF DEWEY</t>
  </si>
  <si>
    <t>WI</t>
  </si>
  <si>
    <t>'937824582OV</t>
  </si>
  <si>
    <t>'942028233</t>
  </si>
  <si>
    <t>MARK SCHMIEDBAUER</t>
  </si>
  <si>
    <t>WY</t>
  </si>
  <si>
    <t>'945012501</t>
  </si>
  <si>
    <t>JEANETTE SCHMIEDBAUER</t>
  </si>
  <si>
    <t>'954005675</t>
  </si>
  <si>
    <t>NAYYER ALI</t>
  </si>
  <si>
    <t>'045613</t>
  </si>
  <si>
    <t>RICARDO SANTOS</t>
  </si>
  <si>
    <t>'960009988</t>
  </si>
  <si>
    <t>ANDREW MADENBERG</t>
  </si>
  <si>
    <t>5/12 PRORATE</t>
  </si>
  <si>
    <t>'960009988OV</t>
  </si>
  <si>
    <t>'961205950</t>
  </si>
  <si>
    <t>ANGELITA RAMIREZ</t>
  </si>
  <si>
    <t>UHC MAPD Street payable to upline- 2025 Pro New</t>
  </si>
  <si>
    <t>'971266277</t>
  </si>
  <si>
    <t>ELIZABETH ROBERTS</t>
  </si>
  <si>
    <t>'974593974</t>
  </si>
  <si>
    <t>STEVEN MORTENSEN</t>
  </si>
  <si>
    <t>CB</t>
  </si>
  <si>
    <t>'00011355654KPC</t>
  </si>
  <si>
    <t>TIMOTHY NOWLIN</t>
  </si>
  <si>
    <t>'045637</t>
  </si>
  <si>
    <t>ALISON LUSE</t>
  </si>
  <si>
    <t>CHARGEBACK</t>
  </si>
  <si>
    <t>'00023224608KPC</t>
  </si>
  <si>
    <t>JUDI DELTORO</t>
  </si>
  <si>
    <t>'023086053PDPCB</t>
  </si>
  <si>
    <t>UHC MA GA 2024 New Initial Prorated</t>
  </si>
  <si>
    <t>'023095248PDPCB</t>
  </si>
  <si>
    <t>UHC PDP Street payable to upline - 2025 Replace</t>
  </si>
  <si>
    <t>'023100189PDPCB</t>
  </si>
  <si>
    <t>'101815601400PC</t>
  </si>
  <si>
    <t>CAROL SCIAME</t>
  </si>
  <si>
    <t>Aetna MAPD NMO to GMO - 4-1-23+  New E-App</t>
  </si>
  <si>
    <t>'133085724CB</t>
  </si>
  <si>
    <t>'23A9F4R86CB</t>
  </si>
  <si>
    <t>KAREN JOHNSON</t>
  </si>
  <si>
    <t>TX</t>
  </si>
  <si>
    <t>Cigna MAPD FMO to GA 1-1-19+ - New</t>
  </si>
  <si>
    <t>'25A3R5X93PC</t>
  </si>
  <si>
    <t>'913275310CB</t>
  </si>
  <si>
    <t>'916869341CB</t>
  </si>
  <si>
    <t>'921346722CB</t>
  </si>
  <si>
    <t>'936911192CB</t>
  </si>
  <si>
    <t>'936911192OVCB</t>
  </si>
  <si>
    <t>UHC MA Direct 2024 New Initial Prorated</t>
  </si>
  <si>
    <t>'942028233CB</t>
  </si>
  <si>
    <t>'945012501CB</t>
  </si>
  <si>
    <t>'954005675CB</t>
  </si>
  <si>
    <t>'961205950CB</t>
  </si>
  <si>
    <t>'971266277CB</t>
  </si>
  <si>
    <t>'974593974CB</t>
  </si>
  <si>
    <t>'995467121PC</t>
  </si>
  <si>
    <t>JOSEPH VEYTIA</t>
  </si>
  <si>
    <t>'043623</t>
  </si>
  <si>
    <t>DOLORES DUNBAR</t>
  </si>
  <si>
    <t>00012290150KPC</t>
  </si>
  <si>
    <t>00019300649KPDP</t>
  </si>
  <si>
    <t>00023410059K</t>
  </si>
  <si>
    <t>00023410586K</t>
  </si>
  <si>
    <t>00023410810K</t>
  </si>
  <si>
    <t>00023411129K</t>
  </si>
  <si>
    <t>00023412197KPDP</t>
  </si>
  <si>
    <t>00023412329K</t>
  </si>
  <si>
    <t>00023413989K</t>
  </si>
  <si>
    <t>00023414273K</t>
  </si>
  <si>
    <t>00023414791K</t>
  </si>
  <si>
    <t>00023416967K</t>
  </si>
  <si>
    <t>00023418090K</t>
  </si>
  <si>
    <t>00023419237K</t>
  </si>
  <si>
    <t>00023422029K</t>
  </si>
  <si>
    <t>021W23166</t>
  </si>
  <si>
    <t>023086053PDP</t>
  </si>
  <si>
    <t>023095248PDP</t>
  </si>
  <si>
    <t>023100189PDP</t>
  </si>
  <si>
    <t>102099156000A</t>
  </si>
  <si>
    <t>133512318OV</t>
  </si>
  <si>
    <t>25A3R5X93</t>
  </si>
  <si>
    <t>28X8F8L39</t>
  </si>
  <si>
    <t>922325896OV</t>
  </si>
  <si>
    <t>928801218OV</t>
  </si>
  <si>
    <t>935887639OV</t>
  </si>
  <si>
    <t>936911192OV</t>
  </si>
  <si>
    <t>937824582OV</t>
  </si>
  <si>
    <t>960009988OV</t>
  </si>
  <si>
    <t>00011355654KPC</t>
  </si>
  <si>
    <t>00023224608KPC</t>
  </si>
  <si>
    <t>023086053PDPCB</t>
  </si>
  <si>
    <t>023095248PDPCB</t>
  </si>
  <si>
    <t>023100189PDPCB</t>
  </si>
  <si>
    <t>101815601400PC</t>
  </si>
  <si>
    <t>133085724CB</t>
  </si>
  <si>
    <t>23A9F4R86CB</t>
  </si>
  <si>
    <t>25A3R5X93PC</t>
  </si>
  <si>
    <t>913275310CB</t>
  </si>
  <si>
    <t>916869341CB</t>
  </si>
  <si>
    <t>921346722CB</t>
  </si>
  <si>
    <t>936911192CB</t>
  </si>
  <si>
    <t>936911192OVCB</t>
  </si>
  <si>
    <t>942028233CB</t>
  </si>
  <si>
    <t>945012501CB</t>
  </si>
  <si>
    <t>954005675CB</t>
  </si>
  <si>
    <t>961205950CB</t>
  </si>
  <si>
    <t>971266277CB</t>
  </si>
  <si>
    <t>974593974CB</t>
  </si>
  <si>
    <t>995467121PC</t>
  </si>
  <si>
    <t>Aetna MAPD OVR 2025</t>
  </si>
  <si>
    <t>Anthem MAPD 2025 OVR</t>
  </si>
  <si>
    <t>Cigna MAPD 2025 Ovr</t>
  </si>
  <si>
    <t>Humana MAPD OVR 2025</t>
  </si>
  <si>
    <t>Humana PDP 2025!</t>
  </si>
  <si>
    <t>UHC MAPD Ovr 2025</t>
  </si>
  <si>
    <t>UHC PDP 2025!</t>
  </si>
  <si>
    <t>UHC 2025</t>
  </si>
  <si>
    <t>UHC MAPD 2025*</t>
  </si>
  <si>
    <t>[%/$=313][prorate=6/12]</t>
  </si>
  <si>
    <t>[%/$=313][prorate=12/12]</t>
  </si>
  <si>
    <t>[%/$=313][prorate=4/12]</t>
  </si>
  <si>
    <t>[%/$=313][prorate=5/12]</t>
  </si>
  <si>
    <t>[%/$=626][prorate=7/12]</t>
  </si>
  <si>
    <t>[%/$=313][prorate=7/12]</t>
  </si>
  <si>
    <t>[%/$=313][prorate=8/12]</t>
  </si>
  <si>
    <t>[%/$=626]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</si>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</sst>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10" fontId="0" fillId="33" borderId="0" xfId="0" applyNumberFormat="1" applyFill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D2E2-9F99-43A4-AA4C-83AC5A61FE69}">
  <dimension ref="A1:AL74"/>
  <sheetViews>
    <sheetView topLeftCell="J1" workbookViewId="0">
      <selection activeCell="P8" sqref="P8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45833</v>
      </c>
      <c r="B2" s="1">
        <v>45833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45658</v>
      </c>
      <c r="U2" t="s">
        <v>51</v>
      </c>
      <c r="X2" t="s">
        <v>52</v>
      </c>
      <c r="Y2" s="2">
        <v>0</v>
      </c>
      <c r="Z2" s="2">
        <v>35.64</v>
      </c>
      <c r="AA2">
        <v>1</v>
      </c>
      <c r="AB2" s="3">
        <v>1</v>
      </c>
      <c r="AC2" s="2">
        <v>35.64</v>
      </c>
      <c r="AD2" s="3">
        <v>0</v>
      </c>
      <c r="AE2" s="2">
        <v>0</v>
      </c>
      <c r="AF2" s="2">
        <v>35.64</v>
      </c>
      <c r="AK2">
        <v>0</v>
      </c>
      <c r="AL2" t="s">
        <v>53</v>
      </c>
    </row>
    <row r="3" spans="1:38" s="7" customFormat="1" x14ac:dyDescent="0.25">
      <c r="A3" s="8">
        <v>45833</v>
      </c>
      <c r="B3" s="8">
        <v>45833</v>
      </c>
      <c r="C3" s="7" t="s">
        <v>38</v>
      </c>
      <c r="D3" s="7" t="s">
        <v>39</v>
      </c>
      <c r="E3" s="7" t="s">
        <v>40</v>
      </c>
      <c r="F3" s="7" t="s">
        <v>41</v>
      </c>
      <c r="G3" s="7" t="s">
        <v>42</v>
      </c>
      <c r="H3" s="7" t="s">
        <v>43</v>
      </c>
      <c r="I3" s="7" t="s">
        <v>54</v>
      </c>
      <c r="J3" s="7" t="s">
        <v>55</v>
      </c>
      <c r="M3" s="7" t="s">
        <v>56</v>
      </c>
      <c r="O3" s="7" t="s">
        <v>57</v>
      </c>
      <c r="P3" s="7" t="s">
        <v>58</v>
      </c>
      <c r="Q3" s="7" t="s">
        <v>59</v>
      </c>
      <c r="R3" s="7" t="s">
        <v>60</v>
      </c>
      <c r="S3" s="8">
        <v>45839</v>
      </c>
      <c r="U3" s="7" t="s">
        <v>51</v>
      </c>
      <c r="X3" s="7" t="s">
        <v>52</v>
      </c>
      <c r="Y3" s="9">
        <v>0</v>
      </c>
      <c r="Z3" s="9">
        <v>15</v>
      </c>
      <c r="AA3" s="7">
        <v>1</v>
      </c>
      <c r="AB3" s="10">
        <v>1</v>
      </c>
      <c r="AC3" s="9">
        <v>15</v>
      </c>
      <c r="AD3" s="10">
        <v>0</v>
      </c>
      <c r="AE3" s="9">
        <v>0</v>
      </c>
      <c r="AF3" s="9">
        <v>15</v>
      </c>
      <c r="AK3" s="7">
        <v>5597728</v>
      </c>
    </row>
    <row r="4" spans="1:38" x14ac:dyDescent="0.25">
      <c r="A4" s="1">
        <v>45833</v>
      </c>
      <c r="B4" s="1">
        <v>45833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61</v>
      </c>
      <c r="J4" t="s">
        <v>62</v>
      </c>
      <c r="M4" t="s">
        <v>63</v>
      </c>
      <c r="O4" t="s">
        <v>57</v>
      </c>
      <c r="P4" t="s">
        <v>58</v>
      </c>
      <c r="Q4" t="s">
        <v>59</v>
      </c>
      <c r="R4" t="s">
        <v>64</v>
      </c>
      <c r="S4" s="1">
        <v>45839</v>
      </c>
      <c r="U4" t="s">
        <v>51</v>
      </c>
      <c r="X4" t="s">
        <v>52</v>
      </c>
      <c r="Y4" s="2">
        <v>0</v>
      </c>
      <c r="Z4" s="2">
        <v>175</v>
      </c>
      <c r="AA4">
        <v>1</v>
      </c>
      <c r="AB4" s="3">
        <v>1</v>
      </c>
      <c r="AC4" s="2">
        <v>175</v>
      </c>
      <c r="AD4" s="3">
        <v>0</v>
      </c>
      <c r="AE4" s="2">
        <v>0</v>
      </c>
      <c r="AF4" s="2">
        <v>175</v>
      </c>
      <c r="AK4">
        <v>5597751</v>
      </c>
    </row>
    <row r="5" spans="1:38" x14ac:dyDescent="0.25">
      <c r="A5" s="1">
        <v>45833</v>
      </c>
      <c r="B5" s="1">
        <v>45833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65</v>
      </c>
      <c r="J5" t="s">
        <v>66</v>
      </c>
      <c r="M5" t="s">
        <v>63</v>
      </c>
      <c r="O5" t="s">
        <v>67</v>
      </c>
      <c r="P5" t="s">
        <v>68</v>
      </c>
      <c r="Q5" t="s">
        <v>59</v>
      </c>
      <c r="R5" t="s">
        <v>64</v>
      </c>
      <c r="S5" s="1">
        <v>45870</v>
      </c>
      <c r="U5" t="s">
        <v>51</v>
      </c>
      <c r="X5" t="s">
        <v>52</v>
      </c>
      <c r="Y5" s="2">
        <v>0</v>
      </c>
      <c r="Z5" s="2">
        <v>175</v>
      </c>
      <c r="AA5">
        <v>1</v>
      </c>
      <c r="AB5" s="3">
        <v>1</v>
      </c>
      <c r="AC5" s="2">
        <v>175</v>
      </c>
      <c r="AD5" s="3">
        <v>0</v>
      </c>
      <c r="AE5" s="2">
        <v>0</v>
      </c>
      <c r="AF5" s="2">
        <v>175</v>
      </c>
      <c r="AK5">
        <v>5597753</v>
      </c>
    </row>
    <row r="6" spans="1:38" x14ac:dyDescent="0.25">
      <c r="A6" s="1">
        <v>45833</v>
      </c>
      <c r="B6" s="1">
        <v>45833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69</v>
      </c>
      <c r="J6" t="s">
        <v>70</v>
      </c>
      <c r="M6" t="s">
        <v>63</v>
      </c>
      <c r="O6" t="s">
        <v>47</v>
      </c>
      <c r="P6" t="s">
        <v>48</v>
      </c>
      <c r="Q6" t="s">
        <v>59</v>
      </c>
      <c r="R6" t="s">
        <v>64</v>
      </c>
      <c r="S6" s="1">
        <v>45839</v>
      </c>
      <c r="U6" t="s">
        <v>51</v>
      </c>
      <c r="X6" t="s">
        <v>52</v>
      </c>
      <c r="Y6" s="2">
        <v>0</v>
      </c>
      <c r="Z6" s="2">
        <v>175</v>
      </c>
      <c r="AA6">
        <v>1</v>
      </c>
      <c r="AB6" s="3">
        <v>1</v>
      </c>
      <c r="AC6" s="2">
        <v>175</v>
      </c>
      <c r="AD6" s="3">
        <v>0</v>
      </c>
      <c r="AE6" s="2">
        <v>0</v>
      </c>
      <c r="AF6" s="2">
        <v>175</v>
      </c>
      <c r="AK6">
        <v>5597756</v>
      </c>
    </row>
    <row r="7" spans="1:38" x14ac:dyDescent="0.25">
      <c r="A7" s="1">
        <v>45833</v>
      </c>
      <c r="B7" s="1">
        <v>45833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71</v>
      </c>
      <c r="J7" t="s">
        <v>72</v>
      </c>
      <c r="M7" t="s">
        <v>63</v>
      </c>
      <c r="O7" t="s">
        <v>47</v>
      </c>
      <c r="P7" t="s">
        <v>48</v>
      </c>
      <c r="Q7" t="s">
        <v>59</v>
      </c>
      <c r="R7" t="s">
        <v>64</v>
      </c>
      <c r="S7" s="1">
        <v>45901</v>
      </c>
      <c r="U7" t="s">
        <v>51</v>
      </c>
      <c r="X7" t="s">
        <v>52</v>
      </c>
      <c r="Y7" s="2">
        <v>0</v>
      </c>
      <c r="Z7" s="2">
        <v>175</v>
      </c>
      <c r="AA7">
        <v>1</v>
      </c>
      <c r="AB7" s="3">
        <v>1</v>
      </c>
      <c r="AC7" s="2">
        <v>175</v>
      </c>
      <c r="AD7" s="3">
        <v>0</v>
      </c>
      <c r="AE7" s="2">
        <v>0</v>
      </c>
      <c r="AF7" s="2">
        <v>175</v>
      </c>
      <c r="AK7">
        <v>5597762</v>
      </c>
    </row>
    <row r="8" spans="1:38" s="7" customFormat="1" x14ac:dyDescent="0.25">
      <c r="A8" s="8">
        <v>45833</v>
      </c>
      <c r="B8" s="8">
        <v>45833</v>
      </c>
      <c r="C8" s="7" t="s">
        <v>38</v>
      </c>
      <c r="D8" s="7" t="s">
        <v>39</v>
      </c>
      <c r="E8" s="7" t="s">
        <v>40</v>
      </c>
      <c r="F8" s="7" t="s">
        <v>41</v>
      </c>
      <c r="G8" s="7" t="s">
        <v>42</v>
      </c>
      <c r="H8" s="7" t="s">
        <v>43</v>
      </c>
      <c r="I8" s="7" t="s">
        <v>73</v>
      </c>
      <c r="J8" s="7" t="s">
        <v>74</v>
      </c>
      <c r="M8" s="7" t="s">
        <v>63</v>
      </c>
      <c r="O8" s="7" t="s">
        <v>75</v>
      </c>
      <c r="P8" s="7" t="s">
        <v>76</v>
      </c>
      <c r="Q8" s="7" t="s">
        <v>59</v>
      </c>
      <c r="R8" s="7" t="s">
        <v>60</v>
      </c>
      <c r="S8" s="8">
        <v>45839</v>
      </c>
      <c r="U8" s="7" t="s">
        <v>51</v>
      </c>
      <c r="X8" s="7" t="s">
        <v>52</v>
      </c>
      <c r="Y8" s="9">
        <v>0</v>
      </c>
      <c r="Z8" s="9">
        <v>15</v>
      </c>
      <c r="AA8" s="7">
        <v>1</v>
      </c>
      <c r="AB8" s="10">
        <v>1</v>
      </c>
      <c r="AC8" s="9">
        <v>15</v>
      </c>
      <c r="AD8" s="10">
        <v>0</v>
      </c>
      <c r="AE8" s="9">
        <v>0</v>
      </c>
      <c r="AF8" s="9">
        <v>15</v>
      </c>
      <c r="AK8" s="7">
        <v>5597730</v>
      </c>
    </row>
    <row r="9" spans="1:38" x14ac:dyDescent="0.25">
      <c r="A9" s="1">
        <v>45833</v>
      </c>
      <c r="B9" s="1">
        <v>45833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77</v>
      </c>
      <c r="J9" t="s">
        <v>78</v>
      </c>
      <c r="M9" t="s">
        <v>63</v>
      </c>
      <c r="O9" t="s">
        <v>79</v>
      </c>
      <c r="P9" t="s">
        <v>80</v>
      </c>
      <c r="Q9" t="s">
        <v>59</v>
      </c>
      <c r="R9" t="s">
        <v>64</v>
      </c>
      <c r="S9" s="1">
        <v>45870</v>
      </c>
      <c r="U9" t="s">
        <v>51</v>
      </c>
      <c r="X9" t="s">
        <v>52</v>
      </c>
      <c r="Y9" s="2">
        <v>0</v>
      </c>
      <c r="Z9" s="2">
        <v>175</v>
      </c>
      <c r="AA9">
        <v>1</v>
      </c>
      <c r="AB9" s="3">
        <v>1</v>
      </c>
      <c r="AC9" s="2">
        <v>175</v>
      </c>
      <c r="AD9" s="3">
        <v>0</v>
      </c>
      <c r="AE9" s="2">
        <v>0</v>
      </c>
      <c r="AF9" s="2">
        <v>175</v>
      </c>
      <c r="AK9">
        <v>5597770</v>
      </c>
    </row>
    <row r="10" spans="1:38" x14ac:dyDescent="0.25">
      <c r="A10" s="1">
        <v>45833</v>
      </c>
      <c r="B10" s="1">
        <v>45833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81</v>
      </c>
      <c r="J10" t="s">
        <v>82</v>
      </c>
      <c r="M10" t="s">
        <v>63</v>
      </c>
      <c r="O10" t="s">
        <v>57</v>
      </c>
      <c r="P10" t="s">
        <v>58</v>
      </c>
      <c r="Q10" t="s">
        <v>59</v>
      </c>
      <c r="R10" t="s">
        <v>64</v>
      </c>
      <c r="S10" s="1">
        <v>45839</v>
      </c>
      <c r="U10" t="s">
        <v>51</v>
      </c>
      <c r="X10" t="s">
        <v>52</v>
      </c>
      <c r="Y10" s="2">
        <v>0</v>
      </c>
      <c r="Z10" s="2">
        <v>175</v>
      </c>
      <c r="AA10">
        <v>1</v>
      </c>
      <c r="AB10" s="3">
        <v>1</v>
      </c>
      <c r="AC10" s="2">
        <v>175</v>
      </c>
      <c r="AD10" s="3">
        <v>0</v>
      </c>
      <c r="AE10" s="2">
        <v>0</v>
      </c>
      <c r="AF10" s="2">
        <v>175</v>
      </c>
      <c r="AK10">
        <v>5597777</v>
      </c>
    </row>
    <row r="11" spans="1:38" x14ac:dyDescent="0.25">
      <c r="A11" s="1">
        <v>45833</v>
      </c>
      <c r="B11" s="1">
        <v>45833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83</v>
      </c>
      <c r="J11" t="s">
        <v>84</v>
      </c>
      <c r="M11" t="s">
        <v>85</v>
      </c>
      <c r="O11" t="s">
        <v>86</v>
      </c>
      <c r="P11" t="s">
        <v>87</v>
      </c>
      <c r="Q11" t="s">
        <v>59</v>
      </c>
      <c r="R11" t="s">
        <v>64</v>
      </c>
      <c r="S11" s="1">
        <v>45901</v>
      </c>
      <c r="U11" t="s">
        <v>51</v>
      </c>
      <c r="X11" t="s">
        <v>52</v>
      </c>
      <c r="Y11" s="2">
        <v>0</v>
      </c>
      <c r="Z11" s="2">
        <v>175</v>
      </c>
      <c r="AA11">
        <v>1</v>
      </c>
      <c r="AB11" s="3">
        <v>1</v>
      </c>
      <c r="AC11" s="2">
        <v>175</v>
      </c>
      <c r="AD11" s="3">
        <v>0</v>
      </c>
      <c r="AE11" s="2">
        <v>0</v>
      </c>
      <c r="AF11" s="2">
        <v>175</v>
      </c>
      <c r="AK11">
        <v>5597781</v>
      </c>
    </row>
    <row r="12" spans="1:38" x14ac:dyDescent="0.25">
      <c r="A12" s="1">
        <v>45833</v>
      </c>
      <c r="B12" s="1">
        <v>45833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88</v>
      </c>
      <c r="J12" t="s">
        <v>89</v>
      </c>
      <c r="M12" t="s">
        <v>63</v>
      </c>
      <c r="O12" t="s">
        <v>57</v>
      </c>
      <c r="P12" t="s">
        <v>58</v>
      </c>
      <c r="Q12" t="s">
        <v>59</v>
      </c>
      <c r="R12" t="s">
        <v>64</v>
      </c>
      <c r="S12" s="1">
        <v>45839</v>
      </c>
      <c r="U12" t="s">
        <v>51</v>
      </c>
      <c r="X12" t="s">
        <v>52</v>
      </c>
      <c r="Y12" s="2">
        <v>0</v>
      </c>
      <c r="Z12" s="2">
        <v>175</v>
      </c>
      <c r="AA12">
        <v>1</v>
      </c>
      <c r="AB12" s="3">
        <v>1</v>
      </c>
      <c r="AC12" s="2">
        <v>175</v>
      </c>
      <c r="AD12" s="3">
        <v>0</v>
      </c>
      <c r="AE12" s="2">
        <v>0</v>
      </c>
      <c r="AF12" s="2">
        <v>175</v>
      </c>
      <c r="AK12">
        <v>5597784</v>
      </c>
    </row>
    <row r="13" spans="1:38" x14ac:dyDescent="0.25">
      <c r="A13" s="1">
        <v>45833</v>
      </c>
      <c r="B13" s="1">
        <v>45833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90</v>
      </c>
      <c r="J13" t="s">
        <v>91</v>
      </c>
      <c r="M13" t="s">
        <v>92</v>
      </c>
      <c r="O13" t="s">
        <v>93</v>
      </c>
      <c r="P13" t="s">
        <v>94</v>
      </c>
      <c r="Q13" t="s">
        <v>59</v>
      </c>
      <c r="R13" t="s">
        <v>64</v>
      </c>
      <c r="S13" s="1">
        <v>45839</v>
      </c>
      <c r="U13" t="s">
        <v>51</v>
      </c>
      <c r="X13" t="s">
        <v>52</v>
      </c>
      <c r="Y13" s="2">
        <v>0</v>
      </c>
      <c r="Z13" s="2">
        <v>175</v>
      </c>
      <c r="AA13">
        <v>1</v>
      </c>
      <c r="AB13" s="3">
        <v>1</v>
      </c>
      <c r="AC13" s="2">
        <v>175</v>
      </c>
      <c r="AD13" s="3">
        <v>0</v>
      </c>
      <c r="AE13" s="2">
        <v>0</v>
      </c>
      <c r="AF13" s="2">
        <v>175</v>
      </c>
      <c r="AK13">
        <v>5597801</v>
      </c>
    </row>
    <row r="14" spans="1:38" x14ac:dyDescent="0.25">
      <c r="A14" s="1">
        <v>45833</v>
      </c>
      <c r="B14" s="1">
        <v>45833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95</v>
      </c>
      <c r="J14" t="s">
        <v>96</v>
      </c>
      <c r="M14" t="s">
        <v>63</v>
      </c>
      <c r="O14" t="s">
        <v>97</v>
      </c>
      <c r="P14" t="s">
        <v>98</v>
      </c>
      <c r="Q14" t="s">
        <v>59</v>
      </c>
      <c r="R14" t="s">
        <v>64</v>
      </c>
      <c r="S14" s="1">
        <v>45839</v>
      </c>
      <c r="U14" t="s">
        <v>51</v>
      </c>
      <c r="X14" t="s">
        <v>52</v>
      </c>
      <c r="Y14" s="2">
        <v>0</v>
      </c>
      <c r="Z14" s="2">
        <v>175</v>
      </c>
      <c r="AA14">
        <v>1</v>
      </c>
      <c r="AB14" s="3">
        <v>1</v>
      </c>
      <c r="AC14" s="2">
        <v>175</v>
      </c>
      <c r="AD14" s="3">
        <v>0</v>
      </c>
      <c r="AE14" s="2">
        <v>0</v>
      </c>
      <c r="AF14" s="2">
        <v>175</v>
      </c>
      <c r="AK14">
        <v>5597806</v>
      </c>
    </row>
    <row r="15" spans="1:38" x14ac:dyDescent="0.25">
      <c r="A15" s="1">
        <v>45833</v>
      </c>
      <c r="B15" s="1">
        <v>45833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99</v>
      </c>
      <c r="J15" t="s">
        <v>100</v>
      </c>
      <c r="M15" t="s">
        <v>63</v>
      </c>
      <c r="O15" t="s">
        <v>97</v>
      </c>
      <c r="P15" t="s">
        <v>98</v>
      </c>
      <c r="Q15" t="s">
        <v>59</v>
      </c>
      <c r="R15" t="s">
        <v>64</v>
      </c>
      <c r="S15" s="1">
        <v>45839</v>
      </c>
      <c r="U15" t="s">
        <v>51</v>
      </c>
      <c r="X15" t="s">
        <v>52</v>
      </c>
      <c r="Y15" s="2">
        <v>0</v>
      </c>
      <c r="Z15" s="2">
        <v>175</v>
      </c>
      <c r="AA15">
        <v>1</v>
      </c>
      <c r="AB15" s="3">
        <v>1</v>
      </c>
      <c r="AC15" s="2">
        <v>175</v>
      </c>
      <c r="AD15" s="3">
        <v>0</v>
      </c>
      <c r="AE15" s="2">
        <v>0</v>
      </c>
      <c r="AF15" s="2">
        <v>175</v>
      </c>
      <c r="AK15">
        <v>5597814</v>
      </c>
    </row>
    <row r="16" spans="1:38" x14ac:dyDescent="0.25">
      <c r="A16" s="1">
        <v>45833</v>
      </c>
      <c r="B16" s="1">
        <v>45833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101</v>
      </c>
      <c r="J16" t="s">
        <v>102</v>
      </c>
      <c r="M16" t="s">
        <v>103</v>
      </c>
      <c r="O16" t="s">
        <v>104</v>
      </c>
      <c r="P16" t="s">
        <v>105</v>
      </c>
      <c r="Q16" t="s">
        <v>59</v>
      </c>
      <c r="R16" t="s">
        <v>64</v>
      </c>
      <c r="S16" s="1">
        <v>45839</v>
      </c>
      <c r="U16" t="s">
        <v>51</v>
      </c>
      <c r="X16" t="s">
        <v>52</v>
      </c>
      <c r="Y16" s="2">
        <v>0</v>
      </c>
      <c r="Z16" s="2">
        <v>175</v>
      </c>
      <c r="AA16">
        <v>1</v>
      </c>
      <c r="AB16" s="3">
        <v>1</v>
      </c>
      <c r="AC16" s="2">
        <v>175</v>
      </c>
      <c r="AD16" s="3">
        <v>0</v>
      </c>
      <c r="AE16" s="2">
        <v>0</v>
      </c>
      <c r="AF16" s="2">
        <v>175</v>
      </c>
      <c r="AK16">
        <v>5597834</v>
      </c>
    </row>
    <row r="17" spans="1:38" x14ac:dyDescent="0.25">
      <c r="A17" s="1">
        <v>45833</v>
      </c>
      <c r="B17" s="1">
        <v>45833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106</v>
      </c>
      <c r="J17" t="s">
        <v>48</v>
      </c>
      <c r="M17" t="s">
        <v>46</v>
      </c>
      <c r="O17" t="s">
        <v>47</v>
      </c>
      <c r="P17" t="s">
        <v>48</v>
      </c>
      <c r="Q17" t="s">
        <v>59</v>
      </c>
      <c r="R17" t="s">
        <v>107</v>
      </c>
      <c r="S17" s="1">
        <v>45778</v>
      </c>
      <c r="U17" t="s">
        <v>51</v>
      </c>
      <c r="X17" t="s">
        <v>52</v>
      </c>
      <c r="Y17" s="2">
        <v>0</v>
      </c>
      <c r="Z17" s="2">
        <v>175</v>
      </c>
      <c r="AA17">
        <v>1</v>
      </c>
      <c r="AB17" s="3">
        <v>1</v>
      </c>
      <c r="AC17" s="2">
        <v>175</v>
      </c>
      <c r="AD17" s="3">
        <v>0</v>
      </c>
      <c r="AE17" s="2">
        <v>0</v>
      </c>
      <c r="AF17" s="2">
        <v>175</v>
      </c>
      <c r="AK17">
        <v>5597547</v>
      </c>
    </row>
    <row r="18" spans="1:38" x14ac:dyDescent="0.25">
      <c r="A18" s="1">
        <v>45833</v>
      </c>
      <c r="B18" s="1">
        <v>45833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108</v>
      </c>
      <c r="J18" t="s">
        <v>109</v>
      </c>
      <c r="M18" t="s">
        <v>110</v>
      </c>
      <c r="O18" t="s">
        <v>111</v>
      </c>
      <c r="P18" t="s">
        <v>112</v>
      </c>
      <c r="Q18" t="s">
        <v>59</v>
      </c>
      <c r="R18" t="s">
        <v>113</v>
      </c>
      <c r="S18" s="1">
        <v>45809</v>
      </c>
      <c r="U18" t="s">
        <v>51</v>
      </c>
      <c r="X18" t="s">
        <v>52</v>
      </c>
      <c r="Y18" s="2">
        <v>0</v>
      </c>
      <c r="Z18" s="2">
        <v>109</v>
      </c>
      <c r="AA18">
        <v>1</v>
      </c>
      <c r="AB18" s="3">
        <v>1</v>
      </c>
      <c r="AC18" s="2">
        <v>109</v>
      </c>
      <c r="AD18" s="3">
        <v>0</v>
      </c>
      <c r="AE18" s="2">
        <v>0</v>
      </c>
      <c r="AF18" s="2">
        <v>109</v>
      </c>
      <c r="AK18">
        <v>5597910</v>
      </c>
    </row>
    <row r="19" spans="1:38" x14ac:dyDescent="0.25">
      <c r="A19" s="1">
        <v>45833</v>
      </c>
      <c r="B19" s="1">
        <v>45833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114</v>
      </c>
      <c r="J19" t="s">
        <v>109</v>
      </c>
      <c r="M19" t="s">
        <v>110</v>
      </c>
      <c r="O19" t="s">
        <v>111</v>
      </c>
      <c r="P19" t="s">
        <v>112</v>
      </c>
      <c r="Q19" t="s">
        <v>59</v>
      </c>
      <c r="R19" t="s">
        <v>115</v>
      </c>
      <c r="S19" s="1">
        <v>45809</v>
      </c>
      <c r="U19" t="s">
        <v>51</v>
      </c>
      <c r="X19" t="s">
        <v>52</v>
      </c>
      <c r="Y19" s="2">
        <v>0</v>
      </c>
      <c r="Z19" s="2">
        <v>0</v>
      </c>
      <c r="AA19">
        <v>1</v>
      </c>
      <c r="AB19" s="3">
        <v>0</v>
      </c>
      <c r="AC19" s="2">
        <v>0</v>
      </c>
      <c r="AD19" s="3">
        <v>0</v>
      </c>
      <c r="AE19" s="2">
        <v>0</v>
      </c>
      <c r="AF19" s="2">
        <v>0</v>
      </c>
      <c r="AK19">
        <v>5597916</v>
      </c>
    </row>
    <row r="20" spans="1:38" x14ac:dyDescent="0.25">
      <c r="A20" s="1">
        <v>45833</v>
      </c>
      <c r="B20" s="1">
        <v>45833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116</v>
      </c>
      <c r="J20" t="s">
        <v>117</v>
      </c>
      <c r="M20" t="s">
        <v>63</v>
      </c>
      <c r="O20" t="s">
        <v>118</v>
      </c>
      <c r="P20" t="s">
        <v>119</v>
      </c>
      <c r="Q20" t="s">
        <v>59</v>
      </c>
      <c r="R20" t="s">
        <v>113</v>
      </c>
      <c r="S20" s="1">
        <v>45839</v>
      </c>
      <c r="U20" t="s">
        <v>51</v>
      </c>
      <c r="X20" t="s">
        <v>52</v>
      </c>
      <c r="Y20" s="2">
        <v>0</v>
      </c>
      <c r="Z20" s="2">
        <v>109</v>
      </c>
      <c r="AA20">
        <v>1</v>
      </c>
      <c r="AB20" s="3">
        <v>1</v>
      </c>
      <c r="AC20" s="2">
        <v>109</v>
      </c>
      <c r="AD20" s="3">
        <v>0</v>
      </c>
      <c r="AE20" s="2">
        <v>0</v>
      </c>
      <c r="AF20" s="2">
        <v>109</v>
      </c>
      <c r="AK20">
        <v>5597917</v>
      </c>
    </row>
    <row r="21" spans="1:38" x14ac:dyDescent="0.25">
      <c r="A21" s="1">
        <v>45833</v>
      </c>
      <c r="B21" s="1">
        <v>45833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120</v>
      </c>
      <c r="J21" t="s">
        <v>117</v>
      </c>
      <c r="M21" t="s">
        <v>63</v>
      </c>
      <c r="O21" t="s">
        <v>118</v>
      </c>
      <c r="P21" t="s">
        <v>119</v>
      </c>
      <c r="Q21" t="s">
        <v>59</v>
      </c>
      <c r="R21" t="s">
        <v>115</v>
      </c>
      <c r="S21" s="1">
        <v>45839</v>
      </c>
      <c r="U21" t="s">
        <v>51</v>
      </c>
      <c r="X21" t="s">
        <v>52</v>
      </c>
      <c r="Y21" s="2">
        <v>0</v>
      </c>
      <c r="Z21" s="2">
        <v>0</v>
      </c>
      <c r="AA21">
        <v>1</v>
      </c>
      <c r="AB21" s="3">
        <v>0</v>
      </c>
      <c r="AC21" s="2">
        <v>0</v>
      </c>
      <c r="AD21" s="3">
        <v>0</v>
      </c>
      <c r="AE21" s="2">
        <v>0</v>
      </c>
      <c r="AF21" s="2">
        <v>0</v>
      </c>
      <c r="AK21">
        <v>5597918</v>
      </c>
    </row>
    <row r="22" spans="1:38" x14ac:dyDescent="0.25">
      <c r="A22" s="1">
        <v>45833</v>
      </c>
      <c r="B22" s="1">
        <v>45833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121</v>
      </c>
      <c r="J22" t="s">
        <v>122</v>
      </c>
      <c r="M22" t="s">
        <v>123</v>
      </c>
      <c r="O22" t="s">
        <v>124</v>
      </c>
      <c r="P22" t="s">
        <v>125</v>
      </c>
      <c r="Q22" t="s">
        <v>59</v>
      </c>
      <c r="R22" t="s">
        <v>113</v>
      </c>
      <c r="S22" s="1">
        <v>45839</v>
      </c>
      <c r="U22" t="s">
        <v>51</v>
      </c>
      <c r="X22" t="s">
        <v>52</v>
      </c>
      <c r="Y22" s="2">
        <v>0</v>
      </c>
      <c r="Z22" s="2">
        <v>109</v>
      </c>
      <c r="AA22">
        <v>1</v>
      </c>
      <c r="AB22" s="3">
        <v>1</v>
      </c>
      <c r="AC22" s="2">
        <v>109</v>
      </c>
      <c r="AD22" s="3">
        <v>0</v>
      </c>
      <c r="AE22" s="2">
        <v>0</v>
      </c>
      <c r="AF22" s="2">
        <v>109</v>
      </c>
      <c r="AK22">
        <v>5597919</v>
      </c>
    </row>
    <row r="23" spans="1:38" x14ac:dyDescent="0.25">
      <c r="A23" s="1">
        <v>45833</v>
      </c>
      <c r="B23" s="1">
        <v>45833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126</v>
      </c>
      <c r="J23" t="s">
        <v>122</v>
      </c>
      <c r="M23" t="s">
        <v>123</v>
      </c>
      <c r="O23" t="s">
        <v>124</v>
      </c>
      <c r="P23" t="s">
        <v>125</v>
      </c>
      <c r="Q23" t="s">
        <v>59</v>
      </c>
      <c r="R23" t="s">
        <v>115</v>
      </c>
      <c r="S23" s="1">
        <v>45839</v>
      </c>
      <c r="U23" t="s">
        <v>51</v>
      </c>
      <c r="X23" t="s">
        <v>52</v>
      </c>
      <c r="Y23" s="2">
        <v>0</v>
      </c>
      <c r="Z23" s="2">
        <v>0</v>
      </c>
      <c r="AA23">
        <v>1</v>
      </c>
      <c r="AB23" s="3">
        <v>0</v>
      </c>
      <c r="AC23" s="2">
        <v>0</v>
      </c>
      <c r="AD23" s="3">
        <v>0</v>
      </c>
      <c r="AE23" s="2">
        <v>0</v>
      </c>
      <c r="AF23" s="2">
        <v>0</v>
      </c>
      <c r="AK23">
        <v>5597929</v>
      </c>
    </row>
    <row r="24" spans="1:38" x14ac:dyDescent="0.25">
      <c r="A24" s="1">
        <v>45833</v>
      </c>
      <c r="B24" s="1">
        <v>45833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127</v>
      </c>
      <c r="J24" t="s">
        <v>128</v>
      </c>
      <c r="M24" t="s">
        <v>129</v>
      </c>
      <c r="O24" t="s">
        <v>130</v>
      </c>
      <c r="P24" t="s">
        <v>131</v>
      </c>
      <c r="Q24" t="s">
        <v>59</v>
      </c>
      <c r="R24" t="s">
        <v>132</v>
      </c>
      <c r="S24" s="1">
        <v>45809</v>
      </c>
      <c r="U24" t="s">
        <v>51</v>
      </c>
      <c r="X24" t="s">
        <v>52</v>
      </c>
      <c r="Y24" s="2">
        <v>0</v>
      </c>
      <c r="Z24" s="2">
        <v>29.17</v>
      </c>
      <c r="AA24">
        <v>1</v>
      </c>
      <c r="AB24" s="3">
        <v>1</v>
      </c>
      <c r="AC24" s="2">
        <v>29.17</v>
      </c>
      <c r="AD24" s="3">
        <v>0</v>
      </c>
      <c r="AE24" s="2">
        <v>0</v>
      </c>
      <c r="AF24" s="2">
        <v>29.17</v>
      </c>
      <c r="AK24">
        <v>5597461</v>
      </c>
      <c r="AL24" t="s">
        <v>133</v>
      </c>
    </row>
    <row r="25" spans="1:38" x14ac:dyDescent="0.25">
      <c r="A25" s="1">
        <v>45833</v>
      </c>
      <c r="B25" s="1">
        <v>45833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134</v>
      </c>
      <c r="J25" t="s">
        <v>135</v>
      </c>
      <c r="M25" t="s">
        <v>129</v>
      </c>
      <c r="O25" t="s">
        <v>136</v>
      </c>
      <c r="P25" t="s">
        <v>137</v>
      </c>
      <c r="Q25" t="s">
        <v>49</v>
      </c>
      <c r="R25" t="s">
        <v>132</v>
      </c>
      <c r="S25" s="1">
        <v>45809</v>
      </c>
      <c r="U25" t="s">
        <v>51</v>
      </c>
      <c r="X25" t="s">
        <v>52</v>
      </c>
      <c r="Y25" s="2">
        <v>0</v>
      </c>
      <c r="Z25" s="2">
        <v>29.17</v>
      </c>
      <c r="AA25">
        <v>1</v>
      </c>
      <c r="AB25" s="3">
        <v>1</v>
      </c>
      <c r="AC25" s="2">
        <v>29.17</v>
      </c>
      <c r="AD25" s="3">
        <v>0</v>
      </c>
      <c r="AE25" s="2">
        <v>0</v>
      </c>
      <c r="AF25" s="2">
        <v>29.17</v>
      </c>
      <c r="AK25">
        <v>5597472</v>
      </c>
      <c r="AL25" t="s">
        <v>133</v>
      </c>
    </row>
    <row r="26" spans="1:38" x14ac:dyDescent="0.25">
      <c r="A26" s="1">
        <v>45833</v>
      </c>
      <c r="B26" s="1">
        <v>45833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138</v>
      </c>
      <c r="J26" t="s">
        <v>139</v>
      </c>
      <c r="M26" t="s">
        <v>129</v>
      </c>
      <c r="O26" t="s">
        <v>140</v>
      </c>
      <c r="P26" t="s">
        <v>141</v>
      </c>
      <c r="Q26" t="s">
        <v>59</v>
      </c>
      <c r="R26" t="s">
        <v>132</v>
      </c>
      <c r="S26" s="1">
        <v>45809</v>
      </c>
      <c r="U26" t="s">
        <v>51</v>
      </c>
      <c r="X26" t="s">
        <v>52</v>
      </c>
      <c r="Y26" s="2">
        <v>0</v>
      </c>
      <c r="Z26" s="2">
        <v>29.17</v>
      </c>
      <c r="AA26">
        <v>1</v>
      </c>
      <c r="AB26" s="3">
        <v>1</v>
      </c>
      <c r="AC26" s="2">
        <v>29.17</v>
      </c>
      <c r="AD26" s="3">
        <v>0</v>
      </c>
      <c r="AE26" s="2">
        <v>0</v>
      </c>
      <c r="AF26" s="2">
        <v>29.17</v>
      </c>
      <c r="AK26">
        <v>5597476</v>
      </c>
      <c r="AL26" t="s">
        <v>133</v>
      </c>
    </row>
    <row r="27" spans="1:38" x14ac:dyDescent="0.25">
      <c r="A27" s="1">
        <v>45833</v>
      </c>
      <c r="B27" s="1">
        <v>45833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142</v>
      </c>
      <c r="J27" t="s">
        <v>143</v>
      </c>
      <c r="M27" t="s">
        <v>63</v>
      </c>
      <c r="O27" t="s">
        <v>47</v>
      </c>
      <c r="P27" t="s">
        <v>48</v>
      </c>
      <c r="Q27" t="s">
        <v>59</v>
      </c>
      <c r="R27" t="s">
        <v>132</v>
      </c>
      <c r="S27" s="1">
        <v>45809</v>
      </c>
      <c r="U27" t="s">
        <v>51</v>
      </c>
      <c r="X27" t="s">
        <v>52</v>
      </c>
      <c r="Y27" s="2">
        <v>0</v>
      </c>
      <c r="Z27" s="2">
        <v>29.17</v>
      </c>
      <c r="AA27">
        <v>1</v>
      </c>
      <c r="AB27" s="3">
        <v>1</v>
      </c>
      <c r="AC27" s="2">
        <v>29.17</v>
      </c>
      <c r="AD27" s="3">
        <v>0</v>
      </c>
      <c r="AE27" s="2">
        <v>0</v>
      </c>
      <c r="AF27" s="2">
        <v>29.17</v>
      </c>
      <c r="AK27">
        <v>5597500</v>
      </c>
      <c r="AL27" t="s">
        <v>133</v>
      </c>
    </row>
    <row r="28" spans="1:38" x14ac:dyDescent="0.25">
      <c r="A28" s="1">
        <v>45833</v>
      </c>
      <c r="B28" s="1">
        <v>45833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144</v>
      </c>
      <c r="J28" t="s">
        <v>145</v>
      </c>
      <c r="M28" t="s">
        <v>146</v>
      </c>
      <c r="O28" t="s">
        <v>147</v>
      </c>
      <c r="P28" t="s">
        <v>148</v>
      </c>
      <c r="Q28" t="s">
        <v>59</v>
      </c>
      <c r="R28" t="s">
        <v>149</v>
      </c>
      <c r="S28" s="1">
        <v>45809</v>
      </c>
      <c r="U28" t="s">
        <v>51</v>
      </c>
      <c r="X28" t="s">
        <v>52</v>
      </c>
      <c r="Y28" s="2">
        <v>0</v>
      </c>
      <c r="Z28" s="2">
        <v>626</v>
      </c>
      <c r="AA28">
        <v>1</v>
      </c>
      <c r="AB28" s="3">
        <v>1</v>
      </c>
      <c r="AC28" s="2">
        <v>626</v>
      </c>
      <c r="AD28" s="3">
        <v>0</v>
      </c>
      <c r="AE28" s="2">
        <v>0</v>
      </c>
      <c r="AF28" s="2">
        <v>626</v>
      </c>
      <c r="AK28">
        <v>5597939</v>
      </c>
    </row>
    <row r="29" spans="1:38" x14ac:dyDescent="0.25">
      <c r="A29" s="1">
        <v>45833</v>
      </c>
      <c r="B29" s="1">
        <v>45833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150</v>
      </c>
      <c r="J29" t="s">
        <v>151</v>
      </c>
      <c r="M29" t="s">
        <v>152</v>
      </c>
      <c r="O29" t="s">
        <v>147</v>
      </c>
      <c r="P29" t="s">
        <v>148</v>
      </c>
      <c r="Q29" t="s">
        <v>59</v>
      </c>
      <c r="R29" t="s">
        <v>153</v>
      </c>
      <c r="S29" s="1">
        <v>45839</v>
      </c>
      <c r="U29" t="s">
        <v>51</v>
      </c>
      <c r="X29" t="s">
        <v>52</v>
      </c>
      <c r="Y29" s="2">
        <v>0</v>
      </c>
      <c r="Z29" s="2">
        <v>156.5</v>
      </c>
      <c r="AA29">
        <v>1</v>
      </c>
      <c r="AB29" s="3">
        <v>1</v>
      </c>
      <c r="AC29" s="2">
        <v>156.5</v>
      </c>
      <c r="AD29" s="3">
        <v>0</v>
      </c>
      <c r="AE29" s="2">
        <v>0</v>
      </c>
      <c r="AF29" s="2">
        <v>156.5</v>
      </c>
      <c r="AK29">
        <v>5597951</v>
      </c>
      <c r="AL29" t="s">
        <v>154</v>
      </c>
    </row>
    <row r="30" spans="1:38" x14ac:dyDescent="0.25">
      <c r="A30" s="1">
        <v>45833</v>
      </c>
      <c r="B30" s="1">
        <v>45833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155</v>
      </c>
      <c r="J30" t="s">
        <v>151</v>
      </c>
      <c r="M30" t="s">
        <v>152</v>
      </c>
      <c r="O30" t="s">
        <v>147</v>
      </c>
      <c r="P30" t="s">
        <v>148</v>
      </c>
      <c r="Q30" t="s">
        <v>59</v>
      </c>
      <c r="R30" t="s">
        <v>156</v>
      </c>
      <c r="S30" s="1">
        <v>45839</v>
      </c>
      <c r="U30" t="s">
        <v>51</v>
      </c>
      <c r="X30" t="s">
        <v>52</v>
      </c>
      <c r="Y30" s="2">
        <v>0</v>
      </c>
      <c r="Z30" s="2">
        <v>175</v>
      </c>
      <c r="AA30">
        <v>1</v>
      </c>
      <c r="AB30" s="3">
        <v>1</v>
      </c>
      <c r="AC30" s="2">
        <v>175</v>
      </c>
      <c r="AD30" s="3">
        <v>0</v>
      </c>
      <c r="AE30" s="2">
        <v>0</v>
      </c>
      <c r="AF30" s="2">
        <v>175</v>
      </c>
      <c r="AK30">
        <v>5597952</v>
      </c>
    </row>
    <row r="31" spans="1:38" x14ac:dyDescent="0.25">
      <c r="A31" s="1">
        <v>45833</v>
      </c>
      <c r="B31" s="1">
        <v>45833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157</v>
      </c>
      <c r="J31" t="s">
        <v>158</v>
      </c>
      <c r="M31" t="s">
        <v>152</v>
      </c>
      <c r="O31" t="s">
        <v>147</v>
      </c>
      <c r="P31" t="s">
        <v>148</v>
      </c>
      <c r="Q31" t="s">
        <v>59</v>
      </c>
      <c r="R31" t="s">
        <v>159</v>
      </c>
      <c r="S31" s="1">
        <v>45809</v>
      </c>
      <c r="U31" t="s">
        <v>51</v>
      </c>
      <c r="X31" t="s">
        <v>52</v>
      </c>
      <c r="Y31" s="2">
        <v>0</v>
      </c>
      <c r="Z31" s="2">
        <v>50</v>
      </c>
      <c r="AA31">
        <v>1</v>
      </c>
      <c r="AB31" s="3">
        <v>1</v>
      </c>
      <c r="AC31" s="2">
        <v>50</v>
      </c>
      <c r="AD31" s="3">
        <v>0</v>
      </c>
      <c r="AE31" s="2">
        <v>0</v>
      </c>
      <c r="AF31" s="2">
        <v>50</v>
      </c>
      <c r="AK31">
        <v>5597656</v>
      </c>
    </row>
    <row r="32" spans="1:38" x14ac:dyDescent="0.25">
      <c r="A32" s="1">
        <v>45833</v>
      </c>
      <c r="B32" s="1">
        <v>45833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160</v>
      </c>
      <c r="J32" t="s">
        <v>161</v>
      </c>
      <c r="M32" t="s">
        <v>152</v>
      </c>
      <c r="O32" t="s">
        <v>162</v>
      </c>
      <c r="P32" t="s">
        <v>163</v>
      </c>
      <c r="Q32" t="s">
        <v>59</v>
      </c>
      <c r="R32" t="s">
        <v>159</v>
      </c>
      <c r="S32" s="1">
        <v>45658</v>
      </c>
      <c r="U32" t="s">
        <v>51</v>
      </c>
      <c r="X32" t="s">
        <v>52</v>
      </c>
      <c r="Y32" s="2">
        <v>0</v>
      </c>
      <c r="Z32" s="2">
        <v>50</v>
      </c>
      <c r="AA32">
        <v>1</v>
      </c>
      <c r="AB32" s="3">
        <v>1</v>
      </c>
      <c r="AC32" s="2">
        <v>50</v>
      </c>
      <c r="AD32" s="3">
        <v>0</v>
      </c>
      <c r="AE32" s="2">
        <v>0</v>
      </c>
      <c r="AF32" s="2">
        <v>50</v>
      </c>
      <c r="AK32">
        <v>5597657</v>
      </c>
    </row>
    <row r="33" spans="1:38" x14ac:dyDescent="0.25">
      <c r="A33" s="1">
        <v>45833</v>
      </c>
      <c r="B33" s="1">
        <v>45833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164</v>
      </c>
      <c r="J33" t="s">
        <v>165</v>
      </c>
      <c r="M33" t="s">
        <v>123</v>
      </c>
      <c r="O33" t="s">
        <v>124</v>
      </c>
      <c r="P33" t="s">
        <v>125</v>
      </c>
      <c r="Q33" t="s">
        <v>59</v>
      </c>
      <c r="R33" t="s">
        <v>149</v>
      </c>
      <c r="S33" s="1">
        <v>45809</v>
      </c>
      <c r="U33" t="s">
        <v>51</v>
      </c>
      <c r="X33" t="s">
        <v>52</v>
      </c>
      <c r="Y33" s="2">
        <v>0</v>
      </c>
      <c r="Z33" s="2">
        <v>626</v>
      </c>
      <c r="AA33">
        <v>1</v>
      </c>
      <c r="AB33" s="3">
        <v>1</v>
      </c>
      <c r="AC33" s="2">
        <v>626</v>
      </c>
      <c r="AD33" s="3">
        <v>0</v>
      </c>
      <c r="AE33" s="2">
        <v>0</v>
      </c>
      <c r="AF33" s="2">
        <v>626</v>
      </c>
      <c r="AK33">
        <v>5597941</v>
      </c>
    </row>
    <row r="34" spans="1:38" x14ac:dyDescent="0.25">
      <c r="A34" s="1">
        <v>45833</v>
      </c>
      <c r="B34" s="1">
        <v>45833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166</v>
      </c>
      <c r="J34" t="s">
        <v>167</v>
      </c>
      <c r="M34" t="s">
        <v>123</v>
      </c>
      <c r="O34" t="s">
        <v>168</v>
      </c>
      <c r="P34" t="s">
        <v>169</v>
      </c>
      <c r="Q34" t="s">
        <v>59</v>
      </c>
      <c r="R34" t="s">
        <v>149</v>
      </c>
      <c r="S34" s="1">
        <v>45809</v>
      </c>
      <c r="U34" t="s">
        <v>51</v>
      </c>
      <c r="X34" t="s">
        <v>52</v>
      </c>
      <c r="Y34" s="2">
        <v>0</v>
      </c>
      <c r="Z34" s="2">
        <v>626</v>
      </c>
      <c r="AA34">
        <v>1</v>
      </c>
      <c r="AB34" s="3">
        <v>1</v>
      </c>
      <c r="AC34" s="2">
        <v>626</v>
      </c>
      <c r="AD34" s="3">
        <v>0</v>
      </c>
      <c r="AE34" s="2">
        <v>0</v>
      </c>
      <c r="AF34" s="2">
        <v>626</v>
      </c>
      <c r="AK34">
        <v>5597942</v>
      </c>
    </row>
    <row r="35" spans="1:38" x14ac:dyDescent="0.25">
      <c r="A35" s="1">
        <v>45833</v>
      </c>
      <c r="B35" s="1">
        <v>45833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170</v>
      </c>
      <c r="J35" t="s">
        <v>171</v>
      </c>
      <c r="M35" t="s">
        <v>110</v>
      </c>
      <c r="O35" t="s">
        <v>172</v>
      </c>
      <c r="P35" t="s">
        <v>173</v>
      </c>
      <c r="Q35" t="s">
        <v>59</v>
      </c>
      <c r="R35" t="s">
        <v>149</v>
      </c>
      <c r="S35" s="1">
        <v>45778</v>
      </c>
      <c r="U35" t="s">
        <v>51</v>
      </c>
      <c r="X35" t="s">
        <v>52</v>
      </c>
      <c r="Y35" s="2">
        <v>0</v>
      </c>
      <c r="Z35" s="2">
        <v>626</v>
      </c>
      <c r="AA35">
        <v>1</v>
      </c>
      <c r="AB35" s="3">
        <v>1</v>
      </c>
      <c r="AC35" s="2">
        <v>626</v>
      </c>
      <c r="AD35" s="3">
        <v>0</v>
      </c>
      <c r="AE35" s="2">
        <v>0</v>
      </c>
      <c r="AF35" s="2">
        <v>626</v>
      </c>
      <c r="AK35">
        <v>5597931</v>
      </c>
    </row>
    <row r="36" spans="1:38" x14ac:dyDescent="0.25">
      <c r="A36" s="1">
        <v>45833</v>
      </c>
      <c r="B36" s="1">
        <v>45833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174</v>
      </c>
      <c r="J36" t="s">
        <v>175</v>
      </c>
      <c r="M36" t="s">
        <v>176</v>
      </c>
      <c r="O36" t="s">
        <v>147</v>
      </c>
      <c r="P36" t="s">
        <v>148</v>
      </c>
      <c r="Q36" t="s">
        <v>59</v>
      </c>
      <c r="R36" t="s">
        <v>153</v>
      </c>
      <c r="S36" s="1">
        <v>45901</v>
      </c>
      <c r="U36" t="s">
        <v>51</v>
      </c>
      <c r="X36" t="s">
        <v>52</v>
      </c>
      <c r="Y36" s="2">
        <v>0</v>
      </c>
      <c r="Z36" s="2">
        <v>104.33</v>
      </c>
      <c r="AA36">
        <v>1</v>
      </c>
      <c r="AB36" s="3">
        <v>1</v>
      </c>
      <c r="AC36" s="2">
        <v>104.33</v>
      </c>
      <c r="AD36" s="3">
        <v>0</v>
      </c>
      <c r="AE36" s="2">
        <v>0</v>
      </c>
      <c r="AF36" s="2">
        <v>104.33</v>
      </c>
      <c r="AK36">
        <v>5598144</v>
      </c>
      <c r="AL36" t="s">
        <v>177</v>
      </c>
    </row>
    <row r="37" spans="1:38" x14ac:dyDescent="0.25">
      <c r="A37" s="1">
        <v>45833</v>
      </c>
      <c r="B37" s="1">
        <v>45833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178</v>
      </c>
      <c r="J37" t="s">
        <v>175</v>
      </c>
      <c r="M37" t="s">
        <v>176</v>
      </c>
      <c r="O37" t="s">
        <v>147</v>
      </c>
      <c r="P37" t="s">
        <v>148</v>
      </c>
      <c r="Q37" t="s">
        <v>59</v>
      </c>
      <c r="R37" t="s">
        <v>156</v>
      </c>
      <c r="S37" s="1">
        <v>45901</v>
      </c>
      <c r="U37" t="s">
        <v>51</v>
      </c>
      <c r="X37" t="s">
        <v>52</v>
      </c>
      <c r="Y37" s="2">
        <v>0</v>
      </c>
      <c r="Z37" s="2">
        <v>175</v>
      </c>
      <c r="AA37">
        <v>1</v>
      </c>
      <c r="AB37" s="3">
        <v>1</v>
      </c>
      <c r="AC37" s="2">
        <v>175</v>
      </c>
      <c r="AD37" s="3">
        <v>0</v>
      </c>
      <c r="AE37" s="2">
        <v>0</v>
      </c>
      <c r="AF37" s="2">
        <v>175</v>
      </c>
      <c r="AK37">
        <v>5598145</v>
      </c>
    </row>
    <row r="38" spans="1:38" x14ac:dyDescent="0.25">
      <c r="A38" s="1">
        <v>45833</v>
      </c>
      <c r="B38" s="1">
        <v>45833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179</v>
      </c>
      <c r="J38" t="s">
        <v>180</v>
      </c>
      <c r="M38" t="s">
        <v>46</v>
      </c>
      <c r="O38" t="s">
        <v>47</v>
      </c>
      <c r="P38" t="s">
        <v>48</v>
      </c>
      <c r="Q38" t="s">
        <v>59</v>
      </c>
      <c r="R38" t="s">
        <v>153</v>
      </c>
      <c r="S38" s="1">
        <v>45839</v>
      </c>
      <c r="U38" t="s">
        <v>51</v>
      </c>
      <c r="X38" t="s">
        <v>52</v>
      </c>
      <c r="Y38" s="2">
        <v>0</v>
      </c>
      <c r="Z38" s="2">
        <v>156.5</v>
      </c>
      <c r="AA38">
        <v>1</v>
      </c>
      <c r="AB38" s="3">
        <v>1</v>
      </c>
      <c r="AC38" s="2">
        <v>156.5</v>
      </c>
      <c r="AD38" s="3">
        <v>0</v>
      </c>
      <c r="AE38" s="2">
        <v>0</v>
      </c>
      <c r="AF38" s="2">
        <v>156.5</v>
      </c>
      <c r="AK38">
        <v>5598148</v>
      </c>
      <c r="AL38" t="s">
        <v>154</v>
      </c>
    </row>
    <row r="39" spans="1:38" x14ac:dyDescent="0.25">
      <c r="A39" s="1">
        <v>45833</v>
      </c>
      <c r="B39" s="1">
        <v>45833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181</v>
      </c>
      <c r="J39" t="s">
        <v>180</v>
      </c>
      <c r="M39" t="s">
        <v>46</v>
      </c>
      <c r="O39" t="s">
        <v>47</v>
      </c>
      <c r="P39" t="s">
        <v>48</v>
      </c>
      <c r="Q39" t="s">
        <v>59</v>
      </c>
      <c r="R39" t="s">
        <v>156</v>
      </c>
      <c r="S39" s="1">
        <v>45839</v>
      </c>
      <c r="U39" t="s">
        <v>51</v>
      </c>
      <c r="X39" t="s">
        <v>52</v>
      </c>
      <c r="Y39" s="2">
        <v>0</v>
      </c>
      <c r="Z39" s="2">
        <v>175</v>
      </c>
      <c r="AA39">
        <v>1</v>
      </c>
      <c r="AB39" s="3">
        <v>1</v>
      </c>
      <c r="AC39" s="2">
        <v>175</v>
      </c>
      <c r="AD39" s="3">
        <v>0</v>
      </c>
      <c r="AE39" s="2">
        <v>0</v>
      </c>
      <c r="AF39" s="2">
        <v>175</v>
      </c>
      <c r="AK39">
        <v>5598149</v>
      </c>
    </row>
    <row r="40" spans="1:38" x14ac:dyDescent="0.25">
      <c r="A40" s="1">
        <v>45833</v>
      </c>
      <c r="B40" s="1">
        <v>45833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182</v>
      </c>
      <c r="J40" t="s">
        <v>183</v>
      </c>
      <c r="M40" t="s">
        <v>92</v>
      </c>
      <c r="O40" t="s">
        <v>168</v>
      </c>
      <c r="P40" t="s">
        <v>169</v>
      </c>
      <c r="Q40" t="s">
        <v>59</v>
      </c>
      <c r="R40" t="s">
        <v>153</v>
      </c>
      <c r="S40" s="1">
        <v>45839</v>
      </c>
      <c r="U40" t="s">
        <v>51</v>
      </c>
      <c r="X40" t="s">
        <v>52</v>
      </c>
      <c r="Y40" s="2">
        <v>0</v>
      </c>
      <c r="Z40" s="2">
        <v>156.5</v>
      </c>
      <c r="AA40">
        <v>1</v>
      </c>
      <c r="AB40" s="3">
        <v>1</v>
      </c>
      <c r="AC40" s="2">
        <v>156.5</v>
      </c>
      <c r="AD40" s="3">
        <v>0</v>
      </c>
      <c r="AE40" s="2">
        <v>0</v>
      </c>
      <c r="AF40" s="2">
        <v>156.5</v>
      </c>
      <c r="AK40">
        <v>5598150</v>
      </c>
      <c r="AL40" t="s">
        <v>154</v>
      </c>
    </row>
    <row r="41" spans="1:38" x14ac:dyDescent="0.25">
      <c r="A41" s="1">
        <v>45833</v>
      </c>
      <c r="B41" s="1">
        <v>45833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184</v>
      </c>
      <c r="J41" t="s">
        <v>183</v>
      </c>
      <c r="M41" t="s">
        <v>92</v>
      </c>
      <c r="O41" t="s">
        <v>168</v>
      </c>
      <c r="P41" t="s">
        <v>169</v>
      </c>
      <c r="Q41" t="s">
        <v>59</v>
      </c>
      <c r="R41" t="s">
        <v>156</v>
      </c>
      <c r="S41" s="1">
        <v>45839</v>
      </c>
      <c r="U41" t="s">
        <v>51</v>
      </c>
      <c r="X41" t="s">
        <v>52</v>
      </c>
      <c r="Y41" s="2">
        <v>0</v>
      </c>
      <c r="Z41" s="2">
        <v>175</v>
      </c>
      <c r="AA41">
        <v>1</v>
      </c>
      <c r="AB41" s="3">
        <v>1</v>
      </c>
      <c r="AC41" s="2">
        <v>175</v>
      </c>
      <c r="AD41" s="3">
        <v>0</v>
      </c>
      <c r="AE41" s="2">
        <v>0</v>
      </c>
      <c r="AF41" s="2">
        <v>175</v>
      </c>
      <c r="AK41">
        <v>5598151</v>
      </c>
    </row>
    <row r="42" spans="1:38" x14ac:dyDescent="0.25">
      <c r="A42" s="1">
        <v>45833</v>
      </c>
      <c r="B42" s="1">
        <v>45833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185</v>
      </c>
      <c r="J42" t="s">
        <v>186</v>
      </c>
      <c r="M42" t="s">
        <v>187</v>
      </c>
      <c r="O42" t="s">
        <v>188</v>
      </c>
      <c r="P42" t="s">
        <v>189</v>
      </c>
      <c r="Q42" t="s">
        <v>59</v>
      </c>
      <c r="R42" t="s">
        <v>149</v>
      </c>
      <c r="S42" s="1">
        <v>45778</v>
      </c>
      <c r="U42" t="s">
        <v>51</v>
      </c>
      <c r="X42" t="s">
        <v>52</v>
      </c>
      <c r="Y42" s="2">
        <v>0</v>
      </c>
      <c r="Z42" s="2">
        <v>626</v>
      </c>
      <c r="AA42">
        <v>1</v>
      </c>
      <c r="AB42" s="3">
        <v>1</v>
      </c>
      <c r="AC42" s="2">
        <v>626</v>
      </c>
      <c r="AD42" s="3">
        <v>0</v>
      </c>
      <c r="AE42" s="2">
        <v>0</v>
      </c>
      <c r="AF42" s="2">
        <v>626</v>
      </c>
      <c r="AK42">
        <v>5597950</v>
      </c>
    </row>
    <row r="43" spans="1:38" x14ac:dyDescent="0.25">
      <c r="A43" s="1">
        <v>45833</v>
      </c>
      <c r="B43" s="1">
        <v>45833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190</v>
      </c>
      <c r="J43" t="s">
        <v>186</v>
      </c>
      <c r="M43" t="s">
        <v>187</v>
      </c>
      <c r="O43" t="s">
        <v>188</v>
      </c>
      <c r="P43" t="s">
        <v>189</v>
      </c>
      <c r="Q43" t="s">
        <v>59</v>
      </c>
      <c r="R43" t="s">
        <v>156</v>
      </c>
      <c r="S43" s="1">
        <v>45778</v>
      </c>
      <c r="U43" t="s">
        <v>51</v>
      </c>
      <c r="X43" t="s">
        <v>52</v>
      </c>
      <c r="Y43" s="2">
        <v>0</v>
      </c>
      <c r="Z43" s="2">
        <v>175</v>
      </c>
      <c r="AA43">
        <v>1</v>
      </c>
      <c r="AB43" s="3">
        <v>1</v>
      </c>
      <c r="AC43" s="2">
        <v>175</v>
      </c>
      <c r="AD43" s="3">
        <v>0</v>
      </c>
      <c r="AE43" s="2">
        <v>0</v>
      </c>
      <c r="AF43" s="2">
        <v>175</v>
      </c>
      <c r="AK43">
        <v>5597953</v>
      </c>
    </row>
    <row r="44" spans="1:38" x14ac:dyDescent="0.25">
      <c r="A44" s="1">
        <v>45833</v>
      </c>
      <c r="B44" s="1">
        <v>45833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191</v>
      </c>
      <c r="J44" t="s">
        <v>192</v>
      </c>
      <c r="M44" t="s">
        <v>193</v>
      </c>
      <c r="O44" t="s">
        <v>147</v>
      </c>
      <c r="P44" t="s">
        <v>148</v>
      </c>
      <c r="Q44" t="s">
        <v>59</v>
      </c>
      <c r="R44" t="s">
        <v>149</v>
      </c>
      <c r="S44" s="1">
        <v>45809</v>
      </c>
      <c r="U44" t="s">
        <v>51</v>
      </c>
      <c r="X44" t="s">
        <v>52</v>
      </c>
      <c r="Y44" s="2">
        <v>0</v>
      </c>
      <c r="Z44" s="2">
        <v>626</v>
      </c>
      <c r="AA44">
        <v>1</v>
      </c>
      <c r="AB44" s="3">
        <v>1</v>
      </c>
      <c r="AC44" s="2">
        <v>626</v>
      </c>
      <c r="AD44" s="3">
        <v>0</v>
      </c>
      <c r="AE44" s="2">
        <v>0</v>
      </c>
      <c r="AF44" s="2">
        <v>626</v>
      </c>
      <c r="AK44">
        <v>5598152</v>
      </c>
    </row>
    <row r="45" spans="1:38" x14ac:dyDescent="0.25">
      <c r="A45" s="1">
        <v>45833</v>
      </c>
      <c r="B45" s="1">
        <v>45833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194</v>
      </c>
      <c r="J45" t="s">
        <v>192</v>
      </c>
      <c r="M45" t="s">
        <v>193</v>
      </c>
      <c r="O45" t="s">
        <v>147</v>
      </c>
      <c r="P45" t="s">
        <v>148</v>
      </c>
      <c r="Q45" t="s">
        <v>59</v>
      </c>
      <c r="R45" t="s">
        <v>156</v>
      </c>
      <c r="S45" s="1">
        <v>45809</v>
      </c>
      <c r="U45" t="s">
        <v>51</v>
      </c>
      <c r="X45" t="s">
        <v>52</v>
      </c>
      <c r="Y45" s="2">
        <v>0</v>
      </c>
      <c r="Z45" s="2">
        <v>175</v>
      </c>
      <c r="AA45">
        <v>1</v>
      </c>
      <c r="AB45" s="3">
        <v>1</v>
      </c>
      <c r="AC45" s="2">
        <v>175</v>
      </c>
      <c r="AD45" s="3">
        <v>0</v>
      </c>
      <c r="AE45" s="2">
        <v>0</v>
      </c>
      <c r="AF45" s="2">
        <v>175</v>
      </c>
      <c r="AK45">
        <v>5598153</v>
      </c>
    </row>
    <row r="46" spans="1:38" x14ac:dyDescent="0.25">
      <c r="A46" s="1">
        <v>45833</v>
      </c>
      <c r="B46" s="1">
        <v>45833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195</v>
      </c>
      <c r="J46" t="s">
        <v>196</v>
      </c>
      <c r="M46" t="s">
        <v>197</v>
      </c>
      <c r="O46" t="s">
        <v>124</v>
      </c>
      <c r="P46" t="s">
        <v>125</v>
      </c>
      <c r="Q46" t="s">
        <v>59</v>
      </c>
      <c r="R46" t="s">
        <v>149</v>
      </c>
      <c r="S46" s="1">
        <v>45778</v>
      </c>
      <c r="U46" t="s">
        <v>51</v>
      </c>
      <c r="X46" t="s">
        <v>52</v>
      </c>
      <c r="Y46" s="2">
        <v>0</v>
      </c>
      <c r="Z46" s="2">
        <v>626</v>
      </c>
      <c r="AA46">
        <v>1</v>
      </c>
      <c r="AB46" s="3">
        <v>1</v>
      </c>
      <c r="AC46" s="2">
        <v>626</v>
      </c>
      <c r="AD46" s="3">
        <v>0</v>
      </c>
      <c r="AE46" s="2">
        <v>0</v>
      </c>
      <c r="AF46" s="2">
        <v>626</v>
      </c>
      <c r="AK46">
        <v>5597932</v>
      </c>
    </row>
    <row r="47" spans="1:38" x14ac:dyDescent="0.25">
      <c r="A47" s="1">
        <v>45833</v>
      </c>
      <c r="B47" s="1">
        <v>45833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198</v>
      </c>
      <c r="J47" t="s">
        <v>199</v>
      </c>
      <c r="M47" t="s">
        <v>197</v>
      </c>
      <c r="O47" t="s">
        <v>124</v>
      </c>
      <c r="P47" t="s">
        <v>125</v>
      </c>
      <c r="Q47" t="s">
        <v>59</v>
      </c>
      <c r="R47" t="s">
        <v>149</v>
      </c>
      <c r="S47" s="1">
        <v>45778</v>
      </c>
      <c r="U47" t="s">
        <v>51</v>
      </c>
      <c r="X47" t="s">
        <v>52</v>
      </c>
      <c r="Y47" s="2">
        <v>0</v>
      </c>
      <c r="Z47" s="2">
        <v>626</v>
      </c>
      <c r="AA47">
        <v>1</v>
      </c>
      <c r="AB47" s="3">
        <v>1</v>
      </c>
      <c r="AC47" s="2">
        <v>626</v>
      </c>
      <c r="AD47" s="3">
        <v>0</v>
      </c>
      <c r="AE47" s="2">
        <v>0</v>
      </c>
      <c r="AF47" s="2">
        <v>626</v>
      </c>
      <c r="AK47">
        <v>5597937</v>
      </c>
    </row>
    <row r="48" spans="1:38" x14ac:dyDescent="0.25">
      <c r="A48" s="1">
        <v>45833</v>
      </c>
      <c r="B48" s="1">
        <v>45833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200</v>
      </c>
      <c r="J48" t="s">
        <v>201</v>
      </c>
      <c r="M48" t="s">
        <v>63</v>
      </c>
      <c r="O48" t="s">
        <v>202</v>
      </c>
      <c r="P48" t="s">
        <v>203</v>
      </c>
      <c r="Q48" t="s">
        <v>59</v>
      </c>
      <c r="R48" t="s">
        <v>149</v>
      </c>
      <c r="S48" s="1">
        <v>45809</v>
      </c>
      <c r="U48" t="s">
        <v>51</v>
      </c>
      <c r="X48" t="s">
        <v>52</v>
      </c>
      <c r="Y48" s="2">
        <v>0</v>
      </c>
      <c r="Z48" s="2">
        <v>626</v>
      </c>
      <c r="AA48">
        <v>1</v>
      </c>
      <c r="AB48" s="3">
        <v>1</v>
      </c>
      <c r="AC48" s="2">
        <v>626</v>
      </c>
      <c r="AD48" s="3">
        <v>0</v>
      </c>
      <c r="AE48" s="2">
        <v>0</v>
      </c>
      <c r="AF48" s="2">
        <v>626</v>
      </c>
      <c r="AK48">
        <v>5597944</v>
      </c>
    </row>
    <row r="49" spans="1:38" x14ac:dyDescent="0.25">
      <c r="A49" s="1">
        <v>45833</v>
      </c>
      <c r="B49" s="1">
        <v>45833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204</v>
      </c>
      <c r="J49" t="s">
        <v>205</v>
      </c>
      <c r="M49" t="s">
        <v>63</v>
      </c>
      <c r="O49" t="s">
        <v>47</v>
      </c>
      <c r="P49" t="s">
        <v>48</v>
      </c>
      <c r="Q49" t="s">
        <v>59</v>
      </c>
      <c r="R49" t="s">
        <v>153</v>
      </c>
      <c r="S49" s="1">
        <v>45870</v>
      </c>
      <c r="U49" t="s">
        <v>51</v>
      </c>
      <c r="X49" t="s">
        <v>52</v>
      </c>
      <c r="Y49" s="2">
        <v>0</v>
      </c>
      <c r="Z49" s="2">
        <v>130.41999999999999</v>
      </c>
      <c r="AA49">
        <v>1</v>
      </c>
      <c r="AB49" s="3">
        <v>1</v>
      </c>
      <c r="AC49" s="2">
        <v>130.41999999999999</v>
      </c>
      <c r="AD49" s="3">
        <v>0</v>
      </c>
      <c r="AE49" s="2">
        <v>0</v>
      </c>
      <c r="AF49" s="2">
        <v>130.41999999999999</v>
      </c>
      <c r="AK49">
        <v>5598146</v>
      </c>
      <c r="AL49" t="s">
        <v>206</v>
      </c>
    </row>
    <row r="50" spans="1:38" x14ac:dyDescent="0.25">
      <c r="A50" s="1">
        <v>45833</v>
      </c>
      <c r="B50" s="1">
        <v>45833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207</v>
      </c>
      <c r="J50" t="s">
        <v>205</v>
      </c>
      <c r="M50" t="s">
        <v>63</v>
      </c>
      <c r="O50" t="s">
        <v>47</v>
      </c>
      <c r="P50" t="s">
        <v>48</v>
      </c>
      <c r="Q50" t="s">
        <v>59</v>
      </c>
      <c r="R50" t="s">
        <v>156</v>
      </c>
      <c r="S50" s="1">
        <v>45870</v>
      </c>
      <c r="U50" t="s">
        <v>51</v>
      </c>
      <c r="X50" t="s">
        <v>52</v>
      </c>
      <c r="Y50" s="2">
        <v>0</v>
      </c>
      <c r="Z50" s="2">
        <v>175</v>
      </c>
      <c r="AA50">
        <v>1</v>
      </c>
      <c r="AB50" s="3">
        <v>1</v>
      </c>
      <c r="AC50" s="2">
        <v>175</v>
      </c>
      <c r="AD50" s="3">
        <v>0</v>
      </c>
      <c r="AE50" s="2">
        <v>0</v>
      </c>
      <c r="AF50" s="2">
        <v>175</v>
      </c>
      <c r="AK50">
        <v>5598147</v>
      </c>
    </row>
    <row r="51" spans="1:38" x14ac:dyDescent="0.25">
      <c r="A51" s="1">
        <v>45833</v>
      </c>
      <c r="B51" s="1">
        <v>45833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208</v>
      </c>
      <c r="J51" t="s">
        <v>209</v>
      </c>
      <c r="M51" t="s">
        <v>63</v>
      </c>
      <c r="O51" t="s">
        <v>202</v>
      </c>
      <c r="P51" t="s">
        <v>203</v>
      </c>
      <c r="Q51" t="s">
        <v>59</v>
      </c>
      <c r="R51" t="s">
        <v>210</v>
      </c>
      <c r="S51" s="1">
        <v>45809</v>
      </c>
      <c r="U51" t="s">
        <v>51</v>
      </c>
      <c r="X51" t="s">
        <v>52</v>
      </c>
      <c r="Y51" s="2">
        <v>0</v>
      </c>
      <c r="Z51" s="2">
        <v>365.17</v>
      </c>
      <c r="AA51">
        <v>1</v>
      </c>
      <c r="AB51" s="3">
        <v>1</v>
      </c>
      <c r="AC51" s="2">
        <v>365.17</v>
      </c>
      <c r="AD51" s="3">
        <v>0</v>
      </c>
      <c r="AE51" s="2">
        <v>0</v>
      </c>
      <c r="AF51" s="2">
        <v>365.17</v>
      </c>
      <c r="AK51">
        <v>5597930</v>
      </c>
      <c r="AL51" t="s">
        <v>133</v>
      </c>
    </row>
    <row r="52" spans="1:38" x14ac:dyDescent="0.25">
      <c r="A52" s="1">
        <v>45833</v>
      </c>
      <c r="B52" s="1">
        <v>45833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211</v>
      </c>
      <c r="J52" t="s">
        <v>212</v>
      </c>
      <c r="M52" t="s">
        <v>123</v>
      </c>
      <c r="O52" t="s">
        <v>124</v>
      </c>
      <c r="P52" t="s">
        <v>125</v>
      </c>
      <c r="Q52" t="s">
        <v>59</v>
      </c>
      <c r="R52" t="s">
        <v>149</v>
      </c>
      <c r="S52" s="1">
        <v>45809</v>
      </c>
      <c r="U52" t="s">
        <v>51</v>
      </c>
      <c r="X52" t="s">
        <v>52</v>
      </c>
      <c r="Y52" s="2">
        <v>0</v>
      </c>
      <c r="Z52" s="2">
        <v>626</v>
      </c>
      <c r="AA52">
        <v>1</v>
      </c>
      <c r="AB52" s="3">
        <v>1</v>
      </c>
      <c r="AC52" s="2">
        <v>626</v>
      </c>
      <c r="AD52" s="3">
        <v>0</v>
      </c>
      <c r="AE52" s="2">
        <v>0</v>
      </c>
      <c r="AF52" s="2">
        <v>626</v>
      </c>
      <c r="AK52">
        <v>5597946</v>
      </c>
    </row>
    <row r="53" spans="1:38" x14ac:dyDescent="0.25">
      <c r="A53" s="1">
        <v>45833</v>
      </c>
      <c r="B53" s="1">
        <v>45833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213</v>
      </c>
      <c r="J53" t="s">
        <v>214</v>
      </c>
      <c r="M53" t="s">
        <v>123</v>
      </c>
      <c r="O53" t="s">
        <v>124</v>
      </c>
      <c r="P53" t="s">
        <v>125</v>
      </c>
      <c r="Q53" t="s">
        <v>59</v>
      </c>
      <c r="R53" t="s">
        <v>149</v>
      </c>
      <c r="S53" s="1">
        <v>45809</v>
      </c>
      <c r="U53" t="s">
        <v>51</v>
      </c>
      <c r="X53" t="s">
        <v>52</v>
      </c>
      <c r="Y53" s="2">
        <v>0</v>
      </c>
      <c r="Z53" s="2">
        <v>626</v>
      </c>
      <c r="AA53">
        <v>1</v>
      </c>
      <c r="AB53" s="3">
        <v>1</v>
      </c>
      <c r="AC53" s="2">
        <v>626</v>
      </c>
      <c r="AD53" s="3">
        <v>0</v>
      </c>
      <c r="AE53" s="2">
        <v>0</v>
      </c>
      <c r="AF53" s="2">
        <v>626</v>
      </c>
      <c r="AK53">
        <v>5597947</v>
      </c>
    </row>
    <row r="54" spans="1:38" x14ac:dyDescent="0.25">
      <c r="A54" s="1">
        <v>45833</v>
      </c>
      <c r="B54" s="1">
        <v>45833</v>
      </c>
      <c r="C54" t="s">
        <v>215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216</v>
      </c>
      <c r="J54" t="s">
        <v>217</v>
      </c>
      <c r="M54" t="s">
        <v>46</v>
      </c>
      <c r="O54" t="s">
        <v>218</v>
      </c>
      <c r="P54" t="s">
        <v>219</v>
      </c>
      <c r="Q54" t="s">
        <v>220</v>
      </c>
      <c r="R54" t="s">
        <v>50</v>
      </c>
      <c r="S54" s="1">
        <v>45658</v>
      </c>
      <c r="U54" t="s">
        <v>51</v>
      </c>
      <c r="X54" t="s">
        <v>52</v>
      </c>
      <c r="AF54" s="2">
        <v>108</v>
      </c>
      <c r="AG54" s="2">
        <v>0</v>
      </c>
      <c r="AJ54" s="2">
        <v>54</v>
      </c>
    </row>
    <row r="55" spans="1:38" x14ac:dyDescent="0.25">
      <c r="A55" s="1">
        <v>45833</v>
      </c>
      <c r="B55" s="1">
        <v>45833</v>
      </c>
      <c r="C55" t="s">
        <v>215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221</v>
      </c>
      <c r="J55" t="s">
        <v>222</v>
      </c>
      <c r="M55" t="s">
        <v>46</v>
      </c>
      <c r="O55" t="s">
        <v>147</v>
      </c>
      <c r="P55" t="s">
        <v>148</v>
      </c>
      <c r="Q55" t="s">
        <v>220</v>
      </c>
      <c r="R55" t="s">
        <v>64</v>
      </c>
      <c r="S55" s="1">
        <v>45809</v>
      </c>
      <c r="U55" t="s">
        <v>51</v>
      </c>
      <c r="X55" t="s">
        <v>52</v>
      </c>
      <c r="AF55" s="2">
        <v>175</v>
      </c>
      <c r="AG55" s="2">
        <v>0</v>
      </c>
      <c r="AJ55" s="2">
        <v>87.5</v>
      </c>
    </row>
    <row r="56" spans="1:38" x14ac:dyDescent="0.25">
      <c r="A56" s="1">
        <v>45833</v>
      </c>
      <c r="B56" s="1">
        <v>45833</v>
      </c>
      <c r="C56" t="s">
        <v>215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223</v>
      </c>
      <c r="J56" t="s">
        <v>109</v>
      </c>
      <c r="M56" t="s">
        <v>110</v>
      </c>
      <c r="O56" t="s">
        <v>111</v>
      </c>
      <c r="P56" t="s">
        <v>112</v>
      </c>
      <c r="Q56" t="s">
        <v>220</v>
      </c>
      <c r="R56" t="s">
        <v>224</v>
      </c>
      <c r="S56" s="1">
        <v>45809</v>
      </c>
      <c r="U56" t="s">
        <v>51</v>
      </c>
      <c r="X56" t="s">
        <v>52</v>
      </c>
      <c r="AF56" s="2">
        <v>21.58</v>
      </c>
      <c r="AG56" s="2">
        <v>0</v>
      </c>
      <c r="AJ56" s="2">
        <v>21.58</v>
      </c>
    </row>
    <row r="57" spans="1:38" x14ac:dyDescent="0.25">
      <c r="A57" s="1">
        <v>45833</v>
      </c>
      <c r="B57" s="1">
        <v>45833</v>
      </c>
      <c r="C57" t="s">
        <v>215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225</v>
      </c>
      <c r="J57" t="s">
        <v>117</v>
      </c>
      <c r="M57" t="s">
        <v>63</v>
      </c>
      <c r="O57" t="s">
        <v>118</v>
      </c>
      <c r="P57" t="s">
        <v>119</v>
      </c>
      <c r="Q57" t="s">
        <v>220</v>
      </c>
      <c r="R57" t="s">
        <v>226</v>
      </c>
      <c r="S57" s="1">
        <v>45839</v>
      </c>
      <c r="U57" t="s">
        <v>51</v>
      </c>
      <c r="X57" t="s">
        <v>52</v>
      </c>
      <c r="AF57" s="2">
        <v>27.5</v>
      </c>
      <c r="AG57" s="2">
        <v>0</v>
      </c>
      <c r="AJ57" s="2">
        <v>27.5</v>
      </c>
    </row>
    <row r="58" spans="1:38" x14ac:dyDescent="0.25">
      <c r="A58" s="1">
        <v>45833</v>
      </c>
      <c r="B58" s="1">
        <v>45833</v>
      </c>
      <c r="C58" t="s">
        <v>215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227</v>
      </c>
      <c r="J58" t="s">
        <v>122</v>
      </c>
      <c r="M58" t="s">
        <v>123</v>
      </c>
      <c r="O58" t="s">
        <v>124</v>
      </c>
      <c r="P58" t="s">
        <v>125</v>
      </c>
      <c r="Q58" t="s">
        <v>220</v>
      </c>
      <c r="R58" t="s">
        <v>226</v>
      </c>
      <c r="S58" s="1">
        <v>45839</v>
      </c>
      <c r="U58" t="s">
        <v>51</v>
      </c>
      <c r="X58" t="s">
        <v>52</v>
      </c>
      <c r="AF58" s="2">
        <v>27.5</v>
      </c>
      <c r="AG58" s="2">
        <v>0</v>
      </c>
      <c r="AJ58" s="2">
        <v>27.5</v>
      </c>
    </row>
    <row r="59" spans="1:38" x14ac:dyDescent="0.25">
      <c r="A59" s="1">
        <v>45833</v>
      </c>
      <c r="B59" s="1">
        <v>45833</v>
      </c>
      <c r="C59" t="s">
        <v>215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228</v>
      </c>
      <c r="J59" t="s">
        <v>229</v>
      </c>
      <c r="M59" t="s">
        <v>152</v>
      </c>
      <c r="O59" t="s">
        <v>47</v>
      </c>
      <c r="P59" t="s">
        <v>48</v>
      </c>
      <c r="Q59" t="s">
        <v>220</v>
      </c>
      <c r="R59" t="s">
        <v>230</v>
      </c>
      <c r="S59" s="1">
        <v>45658</v>
      </c>
      <c r="U59" t="s">
        <v>51</v>
      </c>
      <c r="X59" t="s">
        <v>52</v>
      </c>
      <c r="AF59" s="2">
        <v>50</v>
      </c>
      <c r="AG59" s="2">
        <v>0</v>
      </c>
      <c r="AJ59" s="2">
        <v>25</v>
      </c>
    </row>
    <row r="60" spans="1:38" x14ac:dyDescent="0.25">
      <c r="A60" s="1">
        <v>45833</v>
      </c>
      <c r="B60" s="1">
        <v>45833</v>
      </c>
      <c r="C60" t="s">
        <v>215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231</v>
      </c>
      <c r="J60" t="s">
        <v>145</v>
      </c>
      <c r="M60" t="s">
        <v>146</v>
      </c>
      <c r="O60" t="s">
        <v>147</v>
      </c>
      <c r="P60" t="s">
        <v>148</v>
      </c>
      <c r="Q60" t="s">
        <v>220</v>
      </c>
      <c r="R60" t="s">
        <v>153</v>
      </c>
      <c r="S60" s="1">
        <v>45809</v>
      </c>
      <c r="U60" t="s">
        <v>51</v>
      </c>
      <c r="X60" t="s">
        <v>52</v>
      </c>
      <c r="AF60" s="2">
        <v>182.58</v>
      </c>
      <c r="AG60" s="2">
        <v>0</v>
      </c>
      <c r="AJ60" s="2">
        <v>182.58</v>
      </c>
    </row>
    <row r="61" spans="1:38" x14ac:dyDescent="0.25">
      <c r="A61" s="1">
        <v>45833</v>
      </c>
      <c r="B61" s="1">
        <v>45833</v>
      </c>
      <c r="C61" t="s">
        <v>215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232</v>
      </c>
      <c r="J61" t="s">
        <v>233</v>
      </c>
      <c r="M61" t="s">
        <v>234</v>
      </c>
      <c r="O61" t="s">
        <v>147</v>
      </c>
      <c r="P61" t="s">
        <v>148</v>
      </c>
      <c r="Q61" t="s">
        <v>220</v>
      </c>
      <c r="R61" t="s">
        <v>235</v>
      </c>
      <c r="S61" s="1">
        <v>45778</v>
      </c>
      <c r="U61" t="s">
        <v>51</v>
      </c>
      <c r="X61" t="s">
        <v>52</v>
      </c>
      <c r="AF61" s="2">
        <v>100</v>
      </c>
      <c r="AG61" s="2">
        <v>0</v>
      </c>
      <c r="AJ61" s="2">
        <v>100</v>
      </c>
    </row>
    <row r="62" spans="1:38" x14ac:dyDescent="0.25">
      <c r="A62" s="1">
        <v>45833</v>
      </c>
      <c r="B62" s="1">
        <v>45833</v>
      </c>
      <c r="C62" t="s">
        <v>215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236</v>
      </c>
      <c r="J62" t="s">
        <v>158</v>
      </c>
      <c r="M62" t="s">
        <v>152</v>
      </c>
      <c r="O62" t="s">
        <v>147</v>
      </c>
      <c r="P62" t="s">
        <v>148</v>
      </c>
      <c r="Q62" t="s">
        <v>220</v>
      </c>
      <c r="R62" t="s">
        <v>235</v>
      </c>
      <c r="S62" s="1">
        <v>45658</v>
      </c>
      <c r="U62" t="s">
        <v>51</v>
      </c>
      <c r="X62" t="s">
        <v>52</v>
      </c>
      <c r="AF62" s="2">
        <v>100</v>
      </c>
      <c r="AG62" s="2">
        <v>0</v>
      </c>
      <c r="AJ62" s="2">
        <v>58.33</v>
      </c>
    </row>
    <row r="63" spans="1:38" x14ac:dyDescent="0.25">
      <c r="A63" s="1">
        <v>45833</v>
      </c>
      <c r="B63" s="1">
        <v>45833</v>
      </c>
      <c r="C63" t="s">
        <v>215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237</v>
      </c>
      <c r="J63" t="s">
        <v>165</v>
      </c>
      <c r="M63" t="s">
        <v>123</v>
      </c>
      <c r="O63" t="s">
        <v>124</v>
      </c>
      <c r="P63" t="s">
        <v>125</v>
      </c>
      <c r="Q63" t="s">
        <v>220</v>
      </c>
      <c r="R63" t="s">
        <v>153</v>
      </c>
      <c r="S63" s="1">
        <v>45809</v>
      </c>
      <c r="U63" t="s">
        <v>51</v>
      </c>
      <c r="X63" t="s">
        <v>52</v>
      </c>
      <c r="AF63" s="2">
        <v>182.58</v>
      </c>
      <c r="AG63" s="2">
        <v>0</v>
      </c>
      <c r="AJ63" s="2">
        <v>182.58</v>
      </c>
    </row>
    <row r="64" spans="1:38" x14ac:dyDescent="0.25">
      <c r="A64" s="1">
        <v>45833</v>
      </c>
      <c r="B64" s="1">
        <v>45833</v>
      </c>
      <c r="C64" t="s">
        <v>215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238</v>
      </c>
      <c r="J64" t="s">
        <v>167</v>
      </c>
      <c r="M64" t="s">
        <v>123</v>
      </c>
      <c r="O64" t="s">
        <v>168</v>
      </c>
      <c r="P64" t="s">
        <v>169</v>
      </c>
      <c r="Q64" t="s">
        <v>220</v>
      </c>
      <c r="R64" t="s">
        <v>153</v>
      </c>
      <c r="S64" s="1">
        <v>45809</v>
      </c>
      <c r="U64" t="s">
        <v>51</v>
      </c>
      <c r="X64" t="s">
        <v>52</v>
      </c>
      <c r="AF64" s="2">
        <v>182.58</v>
      </c>
      <c r="AG64" s="2">
        <v>0</v>
      </c>
      <c r="AJ64" s="2">
        <v>182.58</v>
      </c>
    </row>
    <row r="65" spans="1:36" x14ac:dyDescent="0.25">
      <c r="A65" s="1">
        <v>45833</v>
      </c>
      <c r="B65" s="1">
        <v>45833</v>
      </c>
      <c r="C65" t="s">
        <v>215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239</v>
      </c>
      <c r="J65" t="s">
        <v>171</v>
      </c>
      <c r="M65" t="s">
        <v>110</v>
      </c>
      <c r="O65" t="s">
        <v>172</v>
      </c>
      <c r="P65" t="s">
        <v>173</v>
      </c>
      <c r="Q65" t="s">
        <v>220</v>
      </c>
      <c r="R65" t="s">
        <v>153</v>
      </c>
      <c r="S65" s="1">
        <v>45778</v>
      </c>
      <c r="U65" t="s">
        <v>51</v>
      </c>
      <c r="X65" t="s">
        <v>52</v>
      </c>
      <c r="AF65" s="2">
        <v>208.67</v>
      </c>
      <c r="AG65" s="2">
        <v>0</v>
      </c>
      <c r="AJ65" s="2">
        <v>208.67</v>
      </c>
    </row>
    <row r="66" spans="1:36" x14ac:dyDescent="0.25">
      <c r="A66" s="1">
        <v>45833</v>
      </c>
      <c r="B66" s="1">
        <v>45833</v>
      </c>
      <c r="C66" t="s">
        <v>215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240</v>
      </c>
      <c r="J66" t="s">
        <v>186</v>
      </c>
      <c r="M66" t="s">
        <v>187</v>
      </c>
      <c r="O66" t="s">
        <v>188</v>
      </c>
      <c r="P66" t="s">
        <v>189</v>
      </c>
      <c r="Q66" t="s">
        <v>220</v>
      </c>
      <c r="R66" t="s">
        <v>153</v>
      </c>
      <c r="S66" s="1">
        <v>45778</v>
      </c>
      <c r="U66" t="s">
        <v>51</v>
      </c>
      <c r="X66" t="s">
        <v>52</v>
      </c>
      <c r="AF66" s="2">
        <v>208.67</v>
      </c>
      <c r="AG66" s="2">
        <v>0</v>
      </c>
      <c r="AJ66" s="2">
        <v>208.67</v>
      </c>
    </row>
    <row r="67" spans="1:36" x14ac:dyDescent="0.25">
      <c r="A67" s="1">
        <v>45833</v>
      </c>
      <c r="B67" s="1">
        <v>45833</v>
      </c>
      <c r="C67" t="s">
        <v>215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241</v>
      </c>
      <c r="J67" t="s">
        <v>186</v>
      </c>
      <c r="M67" t="s">
        <v>187</v>
      </c>
      <c r="O67" t="s">
        <v>188</v>
      </c>
      <c r="P67" t="s">
        <v>189</v>
      </c>
      <c r="Q67" t="s">
        <v>220</v>
      </c>
      <c r="R67" t="s">
        <v>242</v>
      </c>
      <c r="S67" s="1">
        <v>45778</v>
      </c>
      <c r="U67" t="s">
        <v>51</v>
      </c>
      <c r="X67" t="s">
        <v>52</v>
      </c>
      <c r="AF67" s="2">
        <v>48</v>
      </c>
      <c r="AG67" s="2">
        <v>0</v>
      </c>
      <c r="AJ67" s="2">
        <v>48</v>
      </c>
    </row>
    <row r="68" spans="1:36" x14ac:dyDescent="0.25">
      <c r="A68" s="1">
        <v>45833</v>
      </c>
      <c r="B68" s="1">
        <v>45833</v>
      </c>
      <c r="C68" t="s">
        <v>215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243</v>
      </c>
      <c r="J68" t="s">
        <v>196</v>
      </c>
      <c r="M68" t="s">
        <v>197</v>
      </c>
      <c r="O68" t="s">
        <v>124</v>
      </c>
      <c r="P68" t="s">
        <v>125</v>
      </c>
      <c r="Q68" t="s">
        <v>220</v>
      </c>
      <c r="R68" t="s">
        <v>153</v>
      </c>
      <c r="S68" s="1">
        <v>45778</v>
      </c>
      <c r="U68" t="s">
        <v>51</v>
      </c>
      <c r="X68" t="s">
        <v>52</v>
      </c>
      <c r="AF68" s="2">
        <v>208.67</v>
      </c>
      <c r="AG68" s="2">
        <v>0</v>
      </c>
      <c r="AJ68" s="2">
        <v>208.67</v>
      </c>
    </row>
    <row r="69" spans="1:36" x14ac:dyDescent="0.25">
      <c r="A69" s="1">
        <v>45833</v>
      </c>
      <c r="B69" s="1">
        <v>45833</v>
      </c>
      <c r="C69" t="s">
        <v>215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244</v>
      </c>
      <c r="J69" t="s">
        <v>199</v>
      </c>
      <c r="M69" t="s">
        <v>197</v>
      </c>
      <c r="O69" t="s">
        <v>124</v>
      </c>
      <c r="P69" t="s">
        <v>125</v>
      </c>
      <c r="Q69" t="s">
        <v>220</v>
      </c>
      <c r="R69" t="s">
        <v>153</v>
      </c>
      <c r="S69" s="1">
        <v>45778</v>
      </c>
      <c r="U69" t="s">
        <v>51</v>
      </c>
      <c r="X69" t="s">
        <v>52</v>
      </c>
      <c r="AF69" s="2">
        <v>208.67</v>
      </c>
      <c r="AG69" s="2">
        <v>0</v>
      </c>
      <c r="AJ69" s="2">
        <v>208.67</v>
      </c>
    </row>
    <row r="70" spans="1:36" x14ac:dyDescent="0.25">
      <c r="A70" s="1">
        <v>45833</v>
      </c>
      <c r="B70" s="1">
        <v>45833</v>
      </c>
      <c r="C70" t="s">
        <v>215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245</v>
      </c>
      <c r="J70" t="s">
        <v>201</v>
      </c>
      <c r="M70" t="s">
        <v>63</v>
      </c>
      <c r="O70" t="s">
        <v>202</v>
      </c>
      <c r="P70" t="s">
        <v>203</v>
      </c>
      <c r="Q70" t="s">
        <v>220</v>
      </c>
      <c r="R70" t="s">
        <v>153</v>
      </c>
      <c r="S70" s="1">
        <v>45809</v>
      </c>
      <c r="U70" t="s">
        <v>51</v>
      </c>
      <c r="X70" t="s">
        <v>52</v>
      </c>
      <c r="AF70" s="2">
        <v>182.58</v>
      </c>
      <c r="AG70" s="2">
        <v>0</v>
      </c>
      <c r="AJ70" s="2">
        <v>182.58</v>
      </c>
    </row>
    <row r="71" spans="1:36" x14ac:dyDescent="0.25">
      <c r="A71" s="1">
        <v>45833</v>
      </c>
      <c r="B71" s="1">
        <v>45833</v>
      </c>
      <c r="C71" t="s">
        <v>215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246</v>
      </c>
      <c r="J71" t="s">
        <v>209</v>
      </c>
      <c r="M71" t="s">
        <v>63</v>
      </c>
      <c r="O71" t="s">
        <v>202</v>
      </c>
      <c r="P71" t="s">
        <v>203</v>
      </c>
      <c r="Q71" t="s">
        <v>220</v>
      </c>
      <c r="R71" t="s">
        <v>153</v>
      </c>
      <c r="S71" s="1">
        <v>45809</v>
      </c>
      <c r="U71" t="s">
        <v>51</v>
      </c>
      <c r="X71" t="s">
        <v>52</v>
      </c>
      <c r="AF71" s="2">
        <v>182.58</v>
      </c>
      <c r="AG71" s="2">
        <v>0</v>
      </c>
      <c r="AJ71" s="2">
        <v>182.58</v>
      </c>
    </row>
    <row r="72" spans="1:36" x14ac:dyDescent="0.25">
      <c r="A72" s="1">
        <v>45833</v>
      </c>
      <c r="B72" s="1">
        <v>45833</v>
      </c>
      <c r="C72" t="s">
        <v>215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247</v>
      </c>
      <c r="J72" t="s">
        <v>212</v>
      </c>
      <c r="M72" t="s">
        <v>123</v>
      </c>
      <c r="O72" t="s">
        <v>124</v>
      </c>
      <c r="P72" t="s">
        <v>125</v>
      </c>
      <c r="Q72" t="s">
        <v>220</v>
      </c>
      <c r="R72" t="s">
        <v>153</v>
      </c>
      <c r="S72" s="1">
        <v>45809</v>
      </c>
      <c r="U72" t="s">
        <v>51</v>
      </c>
      <c r="X72" t="s">
        <v>52</v>
      </c>
      <c r="AF72" s="2">
        <v>182.58</v>
      </c>
      <c r="AG72" s="2">
        <v>0</v>
      </c>
      <c r="AJ72" s="2">
        <v>182.58</v>
      </c>
    </row>
    <row r="73" spans="1:36" x14ac:dyDescent="0.25">
      <c r="A73" s="1">
        <v>45833</v>
      </c>
      <c r="B73" s="1">
        <v>45833</v>
      </c>
      <c r="C73" t="s">
        <v>215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248</v>
      </c>
      <c r="J73" t="s">
        <v>214</v>
      </c>
      <c r="M73" t="s">
        <v>123</v>
      </c>
      <c r="O73" t="s">
        <v>124</v>
      </c>
      <c r="P73" t="s">
        <v>125</v>
      </c>
      <c r="Q73" t="s">
        <v>220</v>
      </c>
      <c r="R73" t="s">
        <v>153</v>
      </c>
      <c r="S73" s="1">
        <v>45809</v>
      </c>
      <c r="U73" t="s">
        <v>51</v>
      </c>
      <c r="X73" t="s">
        <v>52</v>
      </c>
      <c r="AF73" s="2">
        <v>182.58</v>
      </c>
      <c r="AG73" s="2">
        <v>0</v>
      </c>
      <c r="AJ73" s="2">
        <v>182.58</v>
      </c>
    </row>
    <row r="74" spans="1:36" x14ac:dyDescent="0.25">
      <c r="A74" s="1">
        <v>45833</v>
      </c>
      <c r="B74" s="1">
        <v>45833</v>
      </c>
      <c r="C74" t="s">
        <v>215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249</v>
      </c>
      <c r="J74" t="s">
        <v>250</v>
      </c>
      <c r="M74" t="s">
        <v>234</v>
      </c>
      <c r="O74" t="s">
        <v>251</v>
      </c>
      <c r="P74" t="s">
        <v>252</v>
      </c>
      <c r="Q74" t="s">
        <v>220</v>
      </c>
      <c r="R74" t="s">
        <v>149</v>
      </c>
      <c r="S74" s="1">
        <v>45658</v>
      </c>
      <c r="U74" t="s">
        <v>51</v>
      </c>
      <c r="X74" t="s">
        <v>52</v>
      </c>
      <c r="AF74" s="2">
        <v>626</v>
      </c>
      <c r="AG74" s="2">
        <v>0</v>
      </c>
      <c r="AJ74" s="2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3F7E-B202-43DE-B829-76BCCB169DDC}">
  <dimension ref="A1:AM71"/>
  <sheetViews>
    <sheetView tabSelected="1" topLeftCell="A6" workbookViewId="0">
      <selection activeCell="F26" sqref="F26"/>
    </sheetView>
  </sheetViews>
  <sheetFormatPr defaultRowHeight="15" x14ac:dyDescent="0.25"/>
  <cols>
    <col min="1" max="1" width="17.42578125" style="5" bestFit="1" customWidth="1"/>
    <col min="2" max="2" width="17.42578125" style="5" customWidth="1"/>
    <col min="3" max="3" width="24.28515625" bestFit="1" customWidth="1"/>
    <col min="6" max="6" width="23.7109375" bestFit="1" customWidth="1"/>
    <col min="8" max="8" width="47.140625" bestFit="1" customWidth="1"/>
    <col min="15" max="15" width="23.28515625" bestFit="1" customWidth="1"/>
  </cols>
  <sheetData>
    <row r="1" spans="1:15" x14ac:dyDescent="0.25">
      <c r="A1" s="5" t="s">
        <v>8</v>
      </c>
      <c r="C1" t="s">
        <v>9</v>
      </c>
      <c r="D1" t="s">
        <v>12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37</v>
      </c>
    </row>
    <row r="2" spans="1:15" x14ac:dyDescent="0.25">
      <c r="A2" s="5" t="s">
        <v>287</v>
      </c>
      <c r="B2" s="5" t="s">
        <v>287</v>
      </c>
      <c r="C2" t="s">
        <v>229</v>
      </c>
      <c r="D2" t="s">
        <v>152</v>
      </c>
      <c r="E2">
        <v>20411454</v>
      </c>
      <c r="F2" t="s">
        <v>320</v>
      </c>
      <c r="G2" t="s">
        <v>220</v>
      </c>
      <c r="H2" t="s">
        <v>230</v>
      </c>
      <c r="I2" s="1">
        <v>45658</v>
      </c>
      <c r="N2" s="4">
        <v>-25</v>
      </c>
      <c r="O2" t="s">
        <v>303</v>
      </c>
    </row>
    <row r="3" spans="1:15" x14ac:dyDescent="0.25">
      <c r="A3" s="5">
        <v>101478338500</v>
      </c>
      <c r="B3" s="5" t="str">
        <f>CONCATENATE(A3,0)</f>
        <v>1014783385000</v>
      </c>
      <c r="C3" t="s">
        <v>128</v>
      </c>
      <c r="D3" t="s">
        <v>129</v>
      </c>
      <c r="E3">
        <v>20411454</v>
      </c>
      <c r="F3" t="s">
        <v>320</v>
      </c>
      <c r="G3" t="s">
        <v>59</v>
      </c>
      <c r="H3" t="s">
        <v>132</v>
      </c>
      <c r="I3" s="1">
        <v>45809</v>
      </c>
      <c r="J3" s="2">
        <v>0</v>
      </c>
      <c r="K3" s="2">
        <v>29.17</v>
      </c>
      <c r="L3">
        <v>1</v>
      </c>
      <c r="M3" s="3">
        <v>1</v>
      </c>
      <c r="N3" s="2">
        <v>29.17</v>
      </c>
      <c r="O3" t="s">
        <v>303</v>
      </c>
    </row>
    <row r="4" spans="1:15" x14ac:dyDescent="0.25">
      <c r="A4" s="5" t="s">
        <v>272</v>
      </c>
      <c r="B4" s="5" t="str">
        <f>CONCATENATE(A4,0)</f>
        <v>102099156000A0</v>
      </c>
      <c r="C4" t="s">
        <v>135</v>
      </c>
      <c r="D4" t="s">
        <v>129</v>
      </c>
      <c r="E4">
        <v>20411454</v>
      </c>
      <c r="F4" t="s">
        <v>320</v>
      </c>
      <c r="G4" t="s">
        <v>49</v>
      </c>
      <c r="H4" t="s">
        <v>132</v>
      </c>
      <c r="I4" s="1">
        <v>45809</v>
      </c>
      <c r="J4" s="2">
        <v>0</v>
      </c>
      <c r="K4" s="2">
        <v>29.17</v>
      </c>
      <c r="L4">
        <v>1</v>
      </c>
      <c r="M4" s="3">
        <v>1</v>
      </c>
      <c r="N4" s="2">
        <v>29.17</v>
      </c>
      <c r="O4" t="s">
        <v>303</v>
      </c>
    </row>
    <row r="5" spans="1:15" x14ac:dyDescent="0.25">
      <c r="A5" s="5">
        <v>102175052800</v>
      </c>
      <c r="B5" s="5" t="str">
        <f>CONCATENATE(A5,0)</f>
        <v>1021750528000</v>
      </c>
      <c r="C5" t="s">
        <v>139</v>
      </c>
      <c r="D5" t="s">
        <v>129</v>
      </c>
      <c r="E5">
        <v>20411454</v>
      </c>
      <c r="F5" t="s">
        <v>320</v>
      </c>
      <c r="G5" t="s">
        <v>59</v>
      </c>
      <c r="H5" t="s">
        <v>132</v>
      </c>
      <c r="I5" s="1">
        <v>45809</v>
      </c>
      <c r="J5" s="2">
        <v>0</v>
      </c>
      <c r="K5" s="2">
        <v>29.17</v>
      </c>
      <c r="L5">
        <v>1</v>
      </c>
      <c r="M5" s="3">
        <v>1</v>
      </c>
      <c r="N5" s="2">
        <v>29.17</v>
      </c>
      <c r="O5" t="s">
        <v>303</v>
      </c>
    </row>
    <row r="6" spans="1:15" x14ac:dyDescent="0.25">
      <c r="A6" s="5">
        <v>102175758100</v>
      </c>
      <c r="B6" s="5" t="str">
        <f>CONCATENATE(A6,0)</f>
        <v>1021757581000</v>
      </c>
      <c r="C6" t="s">
        <v>143</v>
      </c>
      <c r="D6" t="s">
        <v>63</v>
      </c>
      <c r="E6">
        <v>20411454</v>
      </c>
      <c r="F6" t="s">
        <v>320</v>
      </c>
      <c r="G6" t="s">
        <v>59</v>
      </c>
      <c r="H6" t="s">
        <v>132</v>
      </c>
      <c r="I6" s="1">
        <v>45809</v>
      </c>
      <c r="J6" s="2">
        <v>0</v>
      </c>
      <c r="K6" s="2">
        <v>29.17</v>
      </c>
      <c r="L6">
        <v>1</v>
      </c>
      <c r="M6" s="3">
        <v>1</v>
      </c>
      <c r="N6" s="2">
        <v>29.17</v>
      </c>
      <c r="O6" t="s">
        <v>303</v>
      </c>
    </row>
    <row r="7" spans="1:15" x14ac:dyDescent="0.25">
      <c r="A7" s="5" t="s">
        <v>268</v>
      </c>
      <c r="B7" s="5" t="str">
        <f>CONCATENATE(A7,0)</f>
        <v>021W231660</v>
      </c>
      <c r="C7" t="s">
        <v>48</v>
      </c>
      <c r="D7" t="s">
        <v>46</v>
      </c>
      <c r="E7">
        <v>20411454</v>
      </c>
      <c r="F7" t="s">
        <v>320</v>
      </c>
      <c r="G7" t="s">
        <v>59</v>
      </c>
      <c r="H7" t="s">
        <v>107</v>
      </c>
      <c r="I7" s="1">
        <v>45778</v>
      </c>
      <c r="J7" s="2">
        <v>0</v>
      </c>
      <c r="K7" s="2">
        <v>175</v>
      </c>
      <c r="L7">
        <v>1</v>
      </c>
      <c r="M7" s="3">
        <v>1</v>
      </c>
      <c r="N7" s="2">
        <v>175</v>
      </c>
      <c r="O7" t="s">
        <v>304</v>
      </c>
    </row>
    <row r="8" spans="1:15" x14ac:dyDescent="0.25">
      <c r="A8" s="5" t="s">
        <v>289</v>
      </c>
      <c r="B8" s="5" t="s">
        <v>289</v>
      </c>
      <c r="C8" t="s">
        <v>233</v>
      </c>
      <c r="D8" t="s">
        <v>234</v>
      </c>
      <c r="E8">
        <v>20411454</v>
      </c>
      <c r="F8" t="s">
        <v>320</v>
      </c>
      <c r="G8" t="s">
        <v>220</v>
      </c>
      <c r="H8" t="s">
        <v>235</v>
      </c>
      <c r="I8" s="1">
        <v>45778</v>
      </c>
      <c r="N8" s="4">
        <v>-100</v>
      </c>
      <c r="O8" t="s">
        <v>305</v>
      </c>
    </row>
    <row r="9" spans="1:15" x14ac:dyDescent="0.25">
      <c r="A9" s="5" t="s">
        <v>290</v>
      </c>
      <c r="B9" s="5" t="s">
        <v>290</v>
      </c>
      <c r="C9" t="s">
        <v>158</v>
      </c>
      <c r="D9" t="s">
        <v>152</v>
      </c>
      <c r="E9">
        <v>20411454</v>
      </c>
      <c r="F9" t="s">
        <v>320</v>
      </c>
      <c r="G9" t="s">
        <v>220</v>
      </c>
      <c r="H9" t="s">
        <v>235</v>
      </c>
      <c r="I9" s="1">
        <v>45658</v>
      </c>
      <c r="N9" s="4">
        <v>-58.33</v>
      </c>
      <c r="O9" t="s">
        <v>305</v>
      </c>
    </row>
    <row r="10" spans="1:15" x14ac:dyDescent="0.25">
      <c r="A10" s="5" t="s">
        <v>274</v>
      </c>
      <c r="B10" s="5" t="str">
        <f>CONCATENATE(A10,0)</f>
        <v>25A3R5X930</v>
      </c>
      <c r="C10" t="s">
        <v>158</v>
      </c>
      <c r="D10" t="s">
        <v>152</v>
      </c>
      <c r="E10">
        <v>20411454</v>
      </c>
      <c r="F10" t="s">
        <v>320</v>
      </c>
      <c r="G10" t="s">
        <v>59</v>
      </c>
      <c r="H10" t="s">
        <v>159</v>
      </c>
      <c r="I10" s="1">
        <v>45809</v>
      </c>
      <c r="J10" s="2">
        <v>0</v>
      </c>
      <c r="K10" s="2">
        <v>50</v>
      </c>
      <c r="L10">
        <v>1</v>
      </c>
      <c r="M10" s="3">
        <v>1</v>
      </c>
      <c r="N10" s="2">
        <v>50</v>
      </c>
      <c r="O10" t="s">
        <v>305</v>
      </c>
    </row>
    <row r="11" spans="1:15" x14ac:dyDescent="0.25">
      <c r="A11" s="5" t="s">
        <v>275</v>
      </c>
      <c r="B11" s="5" t="str">
        <f>CONCATENATE(A11,0)</f>
        <v>28X8F8L390</v>
      </c>
      <c r="C11" t="s">
        <v>161</v>
      </c>
      <c r="D11" t="s">
        <v>152</v>
      </c>
      <c r="E11">
        <v>20411454</v>
      </c>
      <c r="F11" t="s">
        <v>320</v>
      </c>
      <c r="G11" t="s">
        <v>59</v>
      </c>
      <c r="H11" t="s">
        <v>159</v>
      </c>
      <c r="I11" s="1">
        <v>45658</v>
      </c>
      <c r="J11" s="2">
        <v>0</v>
      </c>
      <c r="K11" s="2">
        <v>50</v>
      </c>
      <c r="L11">
        <v>1</v>
      </c>
      <c r="M11" s="3">
        <v>1</v>
      </c>
      <c r="N11" s="2">
        <v>50</v>
      </c>
      <c r="O11" t="s">
        <v>305</v>
      </c>
    </row>
    <row r="12" spans="1:15" x14ac:dyDescent="0.25">
      <c r="A12" s="5" t="s">
        <v>255</v>
      </c>
      <c r="B12" s="5" t="str">
        <f>CONCATENATE(A12,0)</f>
        <v>00023410059K0</v>
      </c>
      <c r="C12" t="s">
        <v>62</v>
      </c>
      <c r="D12" t="s">
        <v>63</v>
      </c>
      <c r="E12">
        <v>20411454</v>
      </c>
      <c r="F12" t="s">
        <v>320</v>
      </c>
      <c r="G12" t="s">
        <v>59</v>
      </c>
      <c r="H12" t="s">
        <v>64</v>
      </c>
      <c r="I12" s="1">
        <v>45839</v>
      </c>
      <c r="J12" s="2">
        <v>0</v>
      </c>
      <c r="K12" s="2">
        <v>175</v>
      </c>
      <c r="L12">
        <v>1</v>
      </c>
      <c r="M12" s="3">
        <v>1</v>
      </c>
      <c r="N12" s="2">
        <v>175</v>
      </c>
      <c r="O12" t="s">
        <v>306</v>
      </c>
    </row>
    <row r="13" spans="1:15" x14ac:dyDescent="0.25">
      <c r="A13" s="5" t="s">
        <v>256</v>
      </c>
      <c r="B13" s="5" t="str">
        <f>CONCATENATE(A13,0)</f>
        <v>00023410586K0</v>
      </c>
      <c r="C13" t="s">
        <v>66</v>
      </c>
      <c r="D13" t="s">
        <v>63</v>
      </c>
      <c r="E13">
        <v>20411454</v>
      </c>
      <c r="F13" t="s">
        <v>320</v>
      </c>
      <c r="G13" t="s">
        <v>59</v>
      </c>
      <c r="H13" t="s">
        <v>64</v>
      </c>
      <c r="I13" s="1">
        <v>45870</v>
      </c>
      <c r="J13" s="2">
        <v>0</v>
      </c>
      <c r="K13" s="2">
        <v>175</v>
      </c>
      <c r="L13">
        <v>1</v>
      </c>
      <c r="M13" s="3">
        <v>1</v>
      </c>
      <c r="N13" s="2">
        <v>175</v>
      </c>
      <c r="O13" t="s">
        <v>306</v>
      </c>
    </row>
    <row r="14" spans="1:15" x14ac:dyDescent="0.25">
      <c r="A14" s="5" t="s">
        <v>257</v>
      </c>
      <c r="B14" s="5" t="str">
        <f>CONCATENATE(A14,0)</f>
        <v>00023410810K0</v>
      </c>
      <c r="C14" t="s">
        <v>70</v>
      </c>
      <c r="D14" t="s">
        <v>63</v>
      </c>
      <c r="E14">
        <v>20411454</v>
      </c>
      <c r="F14" t="s">
        <v>320</v>
      </c>
      <c r="G14" t="s">
        <v>59</v>
      </c>
      <c r="H14" t="s">
        <v>64</v>
      </c>
      <c r="I14" s="1">
        <v>45839</v>
      </c>
      <c r="J14" s="2">
        <v>0</v>
      </c>
      <c r="K14" s="2">
        <v>175</v>
      </c>
      <c r="L14">
        <v>1</v>
      </c>
      <c r="M14" s="3">
        <v>1</v>
      </c>
      <c r="N14" s="2">
        <v>175</v>
      </c>
      <c r="O14" t="s">
        <v>306</v>
      </c>
    </row>
    <row r="15" spans="1:15" x14ac:dyDescent="0.25">
      <c r="A15" s="5" t="s">
        <v>258</v>
      </c>
      <c r="B15" s="5" t="str">
        <f>CONCATENATE(A15,0)</f>
        <v>00023411129K0</v>
      </c>
      <c r="C15" t="s">
        <v>72</v>
      </c>
      <c r="D15" t="s">
        <v>63</v>
      </c>
      <c r="E15">
        <v>20411454</v>
      </c>
      <c r="F15" t="s">
        <v>320</v>
      </c>
      <c r="G15" t="s">
        <v>59</v>
      </c>
      <c r="H15" t="s">
        <v>64</v>
      </c>
      <c r="I15" s="1">
        <v>45901</v>
      </c>
      <c r="J15" s="2">
        <v>0</v>
      </c>
      <c r="K15" s="2">
        <v>175</v>
      </c>
      <c r="L15">
        <v>1</v>
      </c>
      <c r="M15" s="3">
        <v>1</v>
      </c>
      <c r="N15" s="2">
        <v>175</v>
      </c>
      <c r="O15" t="s">
        <v>306</v>
      </c>
    </row>
    <row r="16" spans="1:15" x14ac:dyDescent="0.25">
      <c r="A16" s="5" t="s">
        <v>260</v>
      </c>
      <c r="B16" s="5" t="str">
        <f>CONCATENATE(A16,0)</f>
        <v>00023412329K0</v>
      </c>
      <c r="C16" t="s">
        <v>78</v>
      </c>
      <c r="D16" t="s">
        <v>63</v>
      </c>
      <c r="E16">
        <v>20411454</v>
      </c>
      <c r="F16" t="s">
        <v>320</v>
      </c>
      <c r="G16" t="s">
        <v>59</v>
      </c>
      <c r="H16" t="s">
        <v>64</v>
      </c>
      <c r="I16" s="1">
        <v>45870</v>
      </c>
      <c r="J16" s="2">
        <v>0</v>
      </c>
      <c r="K16" s="2">
        <v>175</v>
      </c>
      <c r="L16">
        <v>1</v>
      </c>
      <c r="M16" s="3">
        <v>1</v>
      </c>
      <c r="N16" s="2">
        <v>175</v>
      </c>
      <c r="O16" t="s">
        <v>306</v>
      </c>
    </row>
    <row r="17" spans="1:39" x14ac:dyDescent="0.25">
      <c r="A17" s="5" t="s">
        <v>261</v>
      </c>
      <c r="B17" s="5" t="str">
        <f>CONCATENATE(A17,0)</f>
        <v>00023413989K0</v>
      </c>
      <c r="C17" t="s">
        <v>82</v>
      </c>
      <c r="D17" t="s">
        <v>63</v>
      </c>
      <c r="E17">
        <v>20411454</v>
      </c>
      <c r="F17" t="s">
        <v>320</v>
      </c>
      <c r="G17" t="s">
        <v>59</v>
      </c>
      <c r="H17" t="s">
        <v>64</v>
      </c>
      <c r="I17" s="1">
        <v>45839</v>
      </c>
      <c r="J17" s="2">
        <v>0</v>
      </c>
      <c r="K17" s="2">
        <v>175</v>
      </c>
      <c r="L17">
        <v>1</v>
      </c>
      <c r="M17" s="3">
        <v>1</v>
      </c>
      <c r="N17" s="2">
        <v>175</v>
      </c>
      <c r="O17" t="s">
        <v>306</v>
      </c>
    </row>
    <row r="18" spans="1:39" x14ac:dyDescent="0.25">
      <c r="A18" s="5" t="s">
        <v>262</v>
      </c>
      <c r="B18" s="5" t="str">
        <f>CONCATENATE(A18,0)</f>
        <v>00023414273K0</v>
      </c>
      <c r="C18" t="s">
        <v>84</v>
      </c>
      <c r="D18" t="s">
        <v>85</v>
      </c>
      <c r="E18">
        <v>20411454</v>
      </c>
      <c r="F18" t="s">
        <v>320</v>
      </c>
      <c r="G18" t="s">
        <v>59</v>
      </c>
      <c r="H18" t="s">
        <v>64</v>
      </c>
      <c r="I18" s="1">
        <v>45901</v>
      </c>
      <c r="J18" s="2">
        <v>0</v>
      </c>
      <c r="K18" s="2">
        <v>175</v>
      </c>
      <c r="L18">
        <v>1</v>
      </c>
      <c r="M18" s="3">
        <v>1</v>
      </c>
      <c r="N18" s="2">
        <v>175</v>
      </c>
      <c r="O18" t="s">
        <v>306</v>
      </c>
    </row>
    <row r="19" spans="1:39" x14ac:dyDescent="0.25">
      <c r="A19" s="5" t="s">
        <v>263</v>
      </c>
      <c r="B19" s="5" t="str">
        <f>CONCATENATE(A19,0)</f>
        <v>00023414791K0</v>
      </c>
      <c r="C19" t="s">
        <v>89</v>
      </c>
      <c r="D19" t="s">
        <v>63</v>
      </c>
      <c r="E19">
        <v>20411454</v>
      </c>
      <c r="F19" t="s">
        <v>320</v>
      </c>
      <c r="G19" t="s">
        <v>59</v>
      </c>
      <c r="H19" t="s">
        <v>64</v>
      </c>
      <c r="I19" s="1">
        <v>45839</v>
      </c>
      <c r="J19" s="2">
        <v>0</v>
      </c>
      <c r="K19" s="2">
        <v>175</v>
      </c>
      <c r="L19">
        <v>1</v>
      </c>
      <c r="M19" s="3">
        <v>1</v>
      </c>
      <c r="N19" s="2">
        <v>175</v>
      </c>
      <c r="O19" t="s">
        <v>306</v>
      </c>
    </row>
    <row r="20" spans="1:39" x14ac:dyDescent="0.25">
      <c r="A20" s="5" t="s">
        <v>264</v>
      </c>
      <c r="B20" s="5" t="str">
        <f>CONCATENATE(A20,0)</f>
        <v>00023416967K0</v>
      </c>
      <c r="C20" t="s">
        <v>91</v>
      </c>
      <c r="D20" t="s">
        <v>92</v>
      </c>
      <c r="E20">
        <v>20411454</v>
      </c>
      <c r="F20" t="s">
        <v>320</v>
      </c>
      <c r="G20" t="s">
        <v>59</v>
      </c>
      <c r="H20" t="s">
        <v>64</v>
      </c>
      <c r="I20" s="1">
        <v>45839</v>
      </c>
      <c r="J20" s="2">
        <v>0</v>
      </c>
      <c r="K20" s="2">
        <v>175</v>
      </c>
      <c r="L20">
        <v>1</v>
      </c>
      <c r="M20" s="3">
        <v>1</v>
      </c>
      <c r="N20" s="2">
        <v>175</v>
      </c>
      <c r="O20" t="s">
        <v>306</v>
      </c>
    </row>
    <row r="21" spans="1:39" x14ac:dyDescent="0.25">
      <c r="A21" s="5" t="s">
        <v>265</v>
      </c>
      <c r="B21" s="5" t="str">
        <f>CONCATENATE(A21,0)</f>
        <v>00023418090K0</v>
      </c>
      <c r="C21" t="s">
        <v>96</v>
      </c>
      <c r="D21" t="s">
        <v>63</v>
      </c>
      <c r="E21">
        <v>20411454</v>
      </c>
      <c r="F21" t="s">
        <v>320</v>
      </c>
      <c r="G21" t="s">
        <v>59</v>
      </c>
      <c r="H21" t="s">
        <v>64</v>
      </c>
      <c r="I21" s="1">
        <v>45839</v>
      </c>
      <c r="J21" s="2">
        <v>0</v>
      </c>
      <c r="K21" s="2">
        <v>175</v>
      </c>
      <c r="L21">
        <v>1</v>
      </c>
      <c r="M21" s="3">
        <v>1</v>
      </c>
      <c r="N21" s="2">
        <v>175</v>
      </c>
      <c r="O21" t="s">
        <v>306</v>
      </c>
    </row>
    <row r="22" spans="1:39" x14ac:dyDescent="0.25">
      <c r="A22" s="5" t="s">
        <v>266</v>
      </c>
      <c r="B22" s="5" t="str">
        <f>CONCATENATE(A22,0)</f>
        <v>00023419237K0</v>
      </c>
      <c r="C22" t="s">
        <v>100</v>
      </c>
      <c r="D22" t="s">
        <v>63</v>
      </c>
      <c r="E22">
        <v>20411454</v>
      </c>
      <c r="F22" t="s">
        <v>320</v>
      </c>
      <c r="G22" t="s">
        <v>59</v>
      </c>
      <c r="H22" t="s">
        <v>64</v>
      </c>
      <c r="I22" s="1">
        <v>45839</v>
      </c>
      <c r="J22" s="2">
        <v>0</v>
      </c>
      <c r="K22" s="2">
        <v>175</v>
      </c>
      <c r="L22">
        <v>1</v>
      </c>
      <c r="M22" s="3">
        <v>1</v>
      </c>
      <c r="N22" s="2">
        <v>175</v>
      </c>
      <c r="O22" t="s">
        <v>306</v>
      </c>
    </row>
    <row r="23" spans="1:39" x14ac:dyDescent="0.25">
      <c r="A23" s="5" t="s">
        <v>267</v>
      </c>
      <c r="B23" s="5" t="str">
        <f>CONCATENATE(A23,0)</f>
        <v>00023422029K0</v>
      </c>
      <c r="C23" t="s">
        <v>102</v>
      </c>
      <c r="D23" t="s">
        <v>103</v>
      </c>
      <c r="E23">
        <v>20411454</v>
      </c>
      <c r="F23" t="s">
        <v>320</v>
      </c>
      <c r="G23" t="s">
        <v>59</v>
      </c>
      <c r="H23" t="s">
        <v>64</v>
      </c>
      <c r="I23" s="1">
        <v>45839</v>
      </c>
      <c r="J23" s="2">
        <v>0</v>
      </c>
      <c r="K23" s="2">
        <v>175</v>
      </c>
      <c r="L23">
        <v>1</v>
      </c>
      <c r="M23" s="3">
        <v>1</v>
      </c>
      <c r="N23" s="2">
        <v>175</v>
      </c>
      <c r="O23" t="s">
        <v>306</v>
      </c>
    </row>
    <row r="24" spans="1:39" x14ac:dyDescent="0.25">
      <c r="A24" s="5" t="s">
        <v>283</v>
      </c>
      <c r="B24" s="5" t="s">
        <v>283</v>
      </c>
      <c r="C24" t="s">
        <v>222</v>
      </c>
      <c r="D24" t="s">
        <v>46</v>
      </c>
      <c r="E24">
        <v>20411454</v>
      </c>
      <c r="F24" t="s">
        <v>320</v>
      </c>
      <c r="G24" t="s">
        <v>220</v>
      </c>
      <c r="H24" t="s">
        <v>64</v>
      </c>
      <c r="I24" s="1">
        <v>45809</v>
      </c>
      <c r="N24" s="4">
        <v>-87.5</v>
      </c>
      <c r="O24" t="s">
        <v>306</v>
      </c>
    </row>
    <row r="25" spans="1:39" x14ac:dyDescent="0.25">
      <c r="A25" s="5" t="s">
        <v>253</v>
      </c>
      <c r="B25" s="5" t="s">
        <v>253</v>
      </c>
      <c r="C25" t="s">
        <v>45</v>
      </c>
      <c r="D25" t="s">
        <v>46</v>
      </c>
      <c r="E25">
        <v>20411454</v>
      </c>
      <c r="F25" t="s">
        <v>320</v>
      </c>
      <c r="G25" t="s">
        <v>49</v>
      </c>
      <c r="H25" t="s">
        <v>50</v>
      </c>
      <c r="I25" s="1">
        <v>45658</v>
      </c>
      <c r="J25" s="2">
        <v>0</v>
      </c>
      <c r="K25" s="2">
        <v>35.64</v>
      </c>
      <c r="L25">
        <v>1</v>
      </c>
      <c r="M25" s="3">
        <v>1</v>
      </c>
      <c r="N25" s="2">
        <v>35.64</v>
      </c>
      <c r="O25" t="s">
        <v>306</v>
      </c>
    </row>
    <row r="26" spans="1:39" x14ac:dyDescent="0.25">
      <c r="A26" s="5" t="s">
        <v>282</v>
      </c>
      <c r="B26" s="5" t="s">
        <v>282</v>
      </c>
      <c r="C26" t="s">
        <v>217</v>
      </c>
      <c r="D26" t="s">
        <v>46</v>
      </c>
      <c r="E26">
        <v>20411454</v>
      </c>
      <c r="F26" t="s">
        <v>320</v>
      </c>
      <c r="G26" t="s">
        <v>220</v>
      </c>
      <c r="H26" t="s">
        <v>50</v>
      </c>
      <c r="I26" s="1">
        <v>45658</v>
      </c>
      <c r="N26" s="4">
        <v>-54</v>
      </c>
      <c r="O26" t="s">
        <v>306</v>
      </c>
    </row>
    <row r="27" spans="1:39" x14ac:dyDescent="0.25">
      <c r="A27" s="5" t="s">
        <v>254</v>
      </c>
      <c r="B27" s="5" t="s">
        <v>254</v>
      </c>
      <c r="C27" t="s">
        <v>55</v>
      </c>
      <c r="D27" t="s">
        <v>56</v>
      </c>
      <c r="F27" s="7" t="s">
        <v>58</v>
      </c>
      <c r="G27" t="s">
        <v>59</v>
      </c>
      <c r="H27" t="s">
        <v>60</v>
      </c>
      <c r="I27" s="1">
        <v>45839</v>
      </c>
      <c r="J27" s="2">
        <v>0</v>
      </c>
      <c r="K27" s="2">
        <v>15</v>
      </c>
      <c r="L27">
        <v>1</v>
      </c>
      <c r="M27" s="3">
        <v>1</v>
      </c>
      <c r="N27" s="2">
        <v>15</v>
      </c>
      <c r="O27" t="s">
        <v>307</v>
      </c>
    </row>
    <row r="28" spans="1:39" x14ac:dyDescent="0.25">
      <c r="A28" s="5" t="s">
        <v>259</v>
      </c>
      <c r="B28" s="5" t="s">
        <v>259</v>
      </c>
      <c r="C28" t="s">
        <v>74</v>
      </c>
      <c r="D28" t="s">
        <v>63</v>
      </c>
      <c r="F28" s="7" t="s">
        <v>76</v>
      </c>
      <c r="G28" t="s">
        <v>59</v>
      </c>
      <c r="H28" t="s">
        <v>60</v>
      </c>
      <c r="I28" s="1">
        <v>45839</v>
      </c>
      <c r="J28" s="2">
        <v>0</v>
      </c>
      <c r="K28" s="2">
        <v>15</v>
      </c>
      <c r="L28">
        <v>1</v>
      </c>
      <c r="M28" s="3">
        <v>1</v>
      </c>
      <c r="N28" s="2">
        <v>15</v>
      </c>
      <c r="O28" t="s">
        <v>307</v>
      </c>
    </row>
    <row r="29" spans="1:39" x14ac:dyDescent="0.25">
      <c r="A29" s="6">
        <v>921346722</v>
      </c>
      <c r="B29" s="5" t="str">
        <f>CONCATENATE(A29,98)</f>
        <v>92134672298</v>
      </c>
      <c r="C29" s="7" t="s">
        <v>171</v>
      </c>
      <c r="D29" s="7" t="s">
        <v>110</v>
      </c>
      <c r="E29" s="7">
        <v>9079571</v>
      </c>
      <c r="F29" s="7" t="s">
        <v>173</v>
      </c>
      <c r="G29" s="7" t="s">
        <v>59</v>
      </c>
      <c r="H29" s="7" t="s">
        <v>149</v>
      </c>
      <c r="I29" s="8">
        <v>45778</v>
      </c>
      <c r="J29" s="9">
        <v>0</v>
      </c>
      <c r="K29" s="9">
        <v>626</v>
      </c>
      <c r="L29" s="7">
        <v>1</v>
      </c>
      <c r="M29" s="10">
        <v>1</v>
      </c>
      <c r="N29" s="9">
        <v>626</v>
      </c>
      <c r="O29" s="7" t="s">
        <v>310</v>
      </c>
      <c r="P29" s="7" t="s">
        <v>319</v>
      </c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</row>
    <row r="30" spans="1:39" x14ac:dyDescent="0.25">
      <c r="A30" s="6">
        <v>916869341</v>
      </c>
      <c r="B30" s="5" t="str">
        <f>CONCATENATE(A30,98)</f>
        <v>91686934198</v>
      </c>
      <c r="C30" s="7" t="s">
        <v>167</v>
      </c>
      <c r="D30" s="7" t="s">
        <v>123</v>
      </c>
      <c r="E30" s="7">
        <v>16865615</v>
      </c>
      <c r="F30" s="7" t="s">
        <v>169</v>
      </c>
      <c r="G30" s="7" t="s">
        <v>59</v>
      </c>
      <c r="H30" s="7" t="s">
        <v>149</v>
      </c>
      <c r="I30" s="8">
        <v>45809</v>
      </c>
      <c r="J30" s="9">
        <v>0</v>
      </c>
      <c r="K30" s="9">
        <v>626</v>
      </c>
      <c r="L30" s="7">
        <v>1</v>
      </c>
      <c r="M30" s="10">
        <v>1</v>
      </c>
      <c r="N30" s="9">
        <v>626</v>
      </c>
      <c r="O30" s="7" t="s">
        <v>310</v>
      </c>
      <c r="P30" s="7" t="s">
        <v>319</v>
      </c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</row>
    <row r="31" spans="1:39" x14ac:dyDescent="0.25">
      <c r="A31" s="6">
        <v>913275310</v>
      </c>
      <c r="B31" s="5" t="str">
        <f>CONCATENATE(A31,98)</f>
        <v>91327531098</v>
      </c>
      <c r="C31" s="7" t="s">
        <v>165</v>
      </c>
      <c r="D31" s="7" t="s">
        <v>123</v>
      </c>
      <c r="E31" s="7">
        <v>6634327</v>
      </c>
      <c r="F31" s="7" t="s">
        <v>125</v>
      </c>
      <c r="G31" s="7" t="s">
        <v>59</v>
      </c>
      <c r="H31" s="7" t="s">
        <v>149</v>
      </c>
      <c r="I31" s="8">
        <v>45809</v>
      </c>
      <c r="J31" s="9">
        <v>0</v>
      </c>
      <c r="K31" s="9">
        <v>626</v>
      </c>
      <c r="L31" s="7">
        <v>1</v>
      </c>
      <c r="M31" s="10">
        <v>1</v>
      </c>
      <c r="N31" s="9">
        <v>626</v>
      </c>
      <c r="O31" s="7" t="s">
        <v>310</v>
      </c>
      <c r="P31" s="7" t="s">
        <v>319</v>
      </c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x14ac:dyDescent="0.25">
      <c r="A32" s="6">
        <v>942028233</v>
      </c>
      <c r="B32" s="5" t="str">
        <f>CONCATENATE(A32,98)</f>
        <v>94202823398</v>
      </c>
      <c r="C32" s="7" t="s">
        <v>196</v>
      </c>
      <c r="D32" s="7" t="s">
        <v>197</v>
      </c>
      <c r="E32" s="7">
        <v>6634327</v>
      </c>
      <c r="F32" s="7" t="s">
        <v>125</v>
      </c>
      <c r="G32" s="7" t="s">
        <v>59</v>
      </c>
      <c r="H32" s="7" t="s">
        <v>149</v>
      </c>
      <c r="I32" s="8">
        <v>45778</v>
      </c>
      <c r="J32" s="9">
        <v>0</v>
      </c>
      <c r="K32" s="9">
        <v>626</v>
      </c>
      <c r="L32" s="7">
        <v>1</v>
      </c>
      <c r="M32" s="10">
        <v>1</v>
      </c>
      <c r="N32" s="9">
        <v>626</v>
      </c>
      <c r="O32" s="7" t="s">
        <v>310</v>
      </c>
      <c r="P32" s="7" t="s">
        <v>319</v>
      </c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</row>
    <row r="33" spans="1:39" x14ac:dyDescent="0.25">
      <c r="A33" s="6">
        <v>945012501</v>
      </c>
      <c r="B33" s="5" t="str">
        <f>CONCATENATE(A33,98)</f>
        <v>94501250198</v>
      </c>
      <c r="C33" s="7" t="s">
        <v>199</v>
      </c>
      <c r="D33" s="7" t="s">
        <v>197</v>
      </c>
      <c r="E33" s="7">
        <v>6634327</v>
      </c>
      <c r="F33" s="7" t="s">
        <v>125</v>
      </c>
      <c r="G33" s="7" t="s">
        <v>59</v>
      </c>
      <c r="H33" s="7" t="s">
        <v>149</v>
      </c>
      <c r="I33" s="8">
        <v>45778</v>
      </c>
      <c r="J33" s="9">
        <v>0</v>
      </c>
      <c r="K33" s="9">
        <v>626</v>
      </c>
      <c r="L33" s="7">
        <v>1</v>
      </c>
      <c r="M33" s="10">
        <v>1</v>
      </c>
      <c r="N33" s="9">
        <v>626</v>
      </c>
      <c r="O33" s="7" t="s">
        <v>310</v>
      </c>
      <c r="P33" s="7" t="s">
        <v>319</v>
      </c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</row>
    <row r="34" spans="1:39" x14ac:dyDescent="0.25">
      <c r="A34" s="6">
        <v>971266277</v>
      </c>
      <c r="B34" s="5" t="str">
        <f>CONCATENATE(A34,98)</f>
        <v>97126627798</v>
      </c>
      <c r="C34" s="7" t="s">
        <v>212</v>
      </c>
      <c r="D34" s="7" t="s">
        <v>123</v>
      </c>
      <c r="E34" s="7">
        <v>6634327</v>
      </c>
      <c r="F34" s="7" t="s">
        <v>125</v>
      </c>
      <c r="G34" s="7" t="s">
        <v>59</v>
      </c>
      <c r="H34" s="7" t="s">
        <v>149</v>
      </c>
      <c r="I34" s="8">
        <v>45809</v>
      </c>
      <c r="J34" s="9">
        <v>0</v>
      </c>
      <c r="K34" s="9">
        <v>626</v>
      </c>
      <c r="L34" s="7">
        <v>1</v>
      </c>
      <c r="M34" s="10">
        <v>1</v>
      </c>
      <c r="N34" s="9">
        <v>626</v>
      </c>
      <c r="O34" s="7" t="s">
        <v>310</v>
      </c>
      <c r="P34" s="7" t="s">
        <v>319</v>
      </c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</row>
    <row r="35" spans="1:39" x14ac:dyDescent="0.25">
      <c r="A35" s="6">
        <v>974593974</v>
      </c>
      <c r="B35" s="5" t="str">
        <f>CONCATENATE(A35,98)</f>
        <v>97459397498</v>
      </c>
      <c r="C35" s="7" t="s">
        <v>214</v>
      </c>
      <c r="D35" s="7" t="s">
        <v>123</v>
      </c>
      <c r="E35" s="7">
        <v>6634327</v>
      </c>
      <c r="F35" s="7" t="s">
        <v>125</v>
      </c>
      <c r="G35" s="7" t="s">
        <v>59</v>
      </c>
      <c r="H35" s="7" t="s">
        <v>149</v>
      </c>
      <c r="I35" s="8">
        <v>45809</v>
      </c>
      <c r="J35" s="9">
        <v>0</v>
      </c>
      <c r="K35" s="9">
        <v>626</v>
      </c>
      <c r="L35" s="7">
        <v>1</v>
      </c>
      <c r="M35" s="10">
        <v>1</v>
      </c>
      <c r="N35" s="9">
        <v>626</v>
      </c>
      <c r="O35" s="7" t="s">
        <v>310</v>
      </c>
      <c r="P35" s="7" t="s">
        <v>319</v>
      </c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</row>
    <row r="36" spans="1:39" x14ac:dyDescent="0.25">
      <c r="A36" s="6">
        <v>936911192</v>
      </c>
      <c r="B36" s="5" t="str">
        <f>CONCATENATE(A36,98)</f>
        <v>93691119298</v>
      </c>
      <c r="C36" s="7" t="s">
        <v>186</v>
      </c>
      <c r="D36" s="7" t="s">
        <v>187</v>
      </c>
      <c r="E36" s="7">
        <v>16683808</v>
      </c>
      <c r="F36" s="7" t="s">
        <v>189</v>
      </c>
      <c r="G36" s="7" t="s">
        <v>59</v>
      </c>
      <c r="H36" s="7" t="s">
        <v>149</v>
      </c>
      <c r="I36" s="8">
        <v>45778</v>
      </c>
      <c r="J36" s="9">
        <v>0</v>
      </c>
      <c r="K36" s="9">
        <v>626</v>
      </c>
      <c r="L36" s="7">
        <v>1</v>
      </c>
      <c r="M36" s="10">
        <v>1</v>
      </c>
      <c r="N36" s="9">
        <v>626</v>
      </c>
      <c r="O36" s="7" t="s">
        <v>310</v>
      </c>
      <c r="P36" s="7" t="s">
        <v>319</v>
      </c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</row>
    <row r="37" spans="1:39" x14ac:dyDescent="0.25">
      <c r="A37" s="6">
        <v>954005675</v>
      </c>
      <c r="B37" s="5" t="str">
        <f>CONCATENATE(A37,98)</f>
        <v>95400567598</v>
      </c>
      <c r="C37" s="7" t="s">
        <v>201</v>
      </c>
      <c r="D37" s="7" t="s">
        <v>63</v>
      </c>
      <c r="E37" s="7">
        <v>19200754</v>
      </c>
      <c r="F37" s="7" t="s">
        <v>203</v>
      </c>
      <c r="G37" s="7" t="s">
        <v>59</v>
      </c>
      <c r="H37" s="7" t="s">
        <v>149</v>
      </c>
      <c r="I37" s="8">
        <v>45809</v>
      </c>
      <c r="J37" s="9">
        <v>0</v>
      </c>
      <c r="K37" s="9">
        <v>626</v>
      </c>
      <c r="L37" s="7">
        <v>1</v>
      </c>
      <c r="M37" s="10">
        <v>1</v>
      </c>
      <c r="N37" s="9">
        <v>626</v>
      </c>
      <c r="O37" s="7" t="s">
        <v>310</v>
      </c>
      <c r="P37" s="7" t="s">
        <v>319</v>
      </c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</row>
    <row r="38" spans="1:39" s="7" customFormat="1" x14ac:dyDescent="0.25">
      <c r="A38" s="6">
        <v>961205950</v>
      </c>
      <c r="B38" s="5" t="str">
        <f>CONCATENATE(A38,98)</f>
        <v>96120595098</v>
      </c>
      <c r="C38" s="7" t="s">
        <v>209</v>
      </c>
      <c r="D38" s="7" t="s">
        <v>63</v>
      </c>
      <c r="E38" s="7">
        <v>19200754</v>
      </c>
      <c r="F38" s="7" t="s">
        <v>203</v>
      </c>
      <c r="G38" s="7" t="s">
        <v>59</v>
      </c>
      <c r="H38" s="7" t="s">
        <v>210</v>
      </c>
      <c r="I38" s="8">
        <v>45809</v>
      </c>
      <c r="J38" s="9">
        <v>0</v>
      </c>
      <c r="K38" s="9">
        <v>365.17</v>
      </c>
      <c r="L38" s="7">
        <v>1</v>
      </c>
      <c r="M38" s="10">
        <v>1</v>
      </c>
      <c r="N38" s="9">
        <v>365.17</v>
      </c>
      <c r="O38" s="7" t="s">
        <v>310</v>
      </c>
      <c r="P38" s="7" t="s">
        <v>316</v>
      </c>
      <c r="S38" s="7" t="s">
        <v>133</v>
      </c>
      <c r="U38" s="7">
        <f>626/12*7</f>
        <v>365.16666666666663</v>
      </c>
    </row>
    <row r="39" spans="1:39" s="7" customFormat="1" x14ac:dyDescent="0.25">
      <c r="A39" s="6">
        <v>133085724</v>
      </c>
      <c r="B39" s="5" t="str">
        <f>CONCATENATE(A39,98)</f>
        <v>13308572498</v>
      </c>
      <c r="C39" s="7" t="s">
        <v>145</v>
      </c>
      <c r="D39" s="7" t="s">
        <v>146</v>
      </c>
      <c r="E39" s="7">
        <v>19645587</v>
      </c>
      <c r="F39" s="7" t="s">
        <v>148</v>
      </c>
      <c r="G39" s="7" t="s">
        <v>59</v>
      </c>
      <c r="H39" s="7" t="s">
        <v>149</v>
      </c>
      <c r="I39" s="8">
        <v>45809</v>
      </c>
      <c r="J39" s="9">
        <v>0</v>
      </c>
      <c r="K39" s="9">
        <v>626</v>
      </c>
      <c r="L39" s="7">
        <v>1</v>
      </c>
      <c r="M39" s="10">
        <v>1</v>
      </c>
      <c r="N39" s="9">
        <v>626</v>
      </c>
      <c r="O39" s="7" t="s">
        <v>310</v>
      </c>
      <c r="P39" s="7" t="s">
        <v>319</v>
      </c>
    </row>
    <row r="40" spans="1:39" s="7" customFormat="1" x14ac:dyDescent="0.25">
      <c r="A40" s="6">
        <v>937824582</v>
      </c>
      <c r="B40" s="5" t="str">
        <f>CONCATENATE(A40,98)</f>
        <v>93782458298</v>
      </c>
      <c r="C40" s="7" t="s">
        <v>192</v>
      </c>
      <c r="D40" s="7" t="s">
        <v>193</v>
      </c>
      <c r="E40" s="7">
        <v>19645587</v>
      </c>
      <c r="F40" s="7" t="s">
        <v>148</v>
      </c>
      <c r="G40" s="7" t="s">
        <v>59</v>
      </c>
      <c r="H40" s="7" t="s">
        <v>149</v>
      </c>
      <c r="I40" s="8">
        <v>45809</v>
      </c>
      <c r="J40" s="9">
        <v>0</v>
      </c>
      <c r="K40" s="9">
        <v>626</v>
      </c>
      <c r="L40" s="7">
        <v>1</v>
      </c>
      <c r="M40" s="10">
        <v>1</v>
      </c>
      <c r="N40" s="9">
        <v>626</v>
      </c>
      <c r="O40" s="7" t="s">
        <v>310</v>
      </c>
      <c r="P40" s="7" t="s">
        <v>319</v>
      </c>
    </row>
    <row r="41" spans="1:39" s="7" customFormat="1" x14ac:dyDescent="0.25">
      <c r="A41" s="6" t="s">
        <v>293</v>
      </c>
      <c r="B41" s="6" t="s">
        <v>293</v>
      </c>
      <c r="C41" s="7" t="s">
        <v>171</v>
      </c>
      <c r="D41" s="7" t="s">
        <v>110</v>
      </c>
      <c r="E41" s="7">
        <v>9079571</v>
      </c>
      <c r="F41" s="7" t="s">
        <v>173</v>
      </c>
      <c r="G41" s="7" t="s">
        <v>220</v>
      </c>
      <c r="H41" s="7" t="s">
        <v>153</v>
      </c>
      <c r="I41" s="8">
        <v>45778</v>
      </c>
      <c r="N41" s="11">
        <v>-208.67</v>
      </c>
      <c r="O41" s="7" t="s">
        <v>311</v>
      </c>
      <c r="P41" s="7" t="s">
        <v>318</v>
      </c>
      <c r="T41" s="7">
        <f>313/12*8</f>
        <v>208.66666666666666</v>
      </c>
      <c r="U41" s="7">
        <v>8</v>
      </c>
    </row>
    <row r="42" spans="1:39" s="7" customFormat="1" x14ac:dyDescent="0.25">
      <c r="A42" s="6" t="s">
        <v>302</v>
      </c>
      <c r="B42" s="6" t="s">
        <v>302</v>
      </c>
      <c r="C42" s="7" t="s">
        <v>250</v>
      </c>
      <c r="D42" s="7" t="s">
        <v>234</v>
      </c>
      <c r="E42" s="7">
        <v>17774994</v>
      </c>
      <c r="F42" s="7" t="s">
        <v>252</v>
      </c>
      <c r="G42" s="7" t="s">
        <v>220</v>
      </c>
      <c r="H42" s="7" t="s">
        <v>149</v>
      </c>
      <c r="I42" s="8">
        <v>45658</v>
      </c>
      <c r="N42" s="11">
        <v>-313</v>
      </c>
      <c r="O42" s="7" t="s">
        <v>311</v>
      </c>
      <c r="P42" s="7" t="s">
        <v>313</v>
      </c>
    </row>
    <row r="43" spans="1:39" s="7" customFormat="1" x14ac:dyDescent="0.25">
      <c r="A43" s="6">
        <v>928801218</v>
      </c>
      <c r="B43" s="5" t="str">
        <f>CONCATENATE(A43,1)</f>
        <v>9288012181</v>
      </c>
      <c r="C43" s="7" t="s">
        <v>180</v>
      </c>
      <c r="D43" s="7" t="s">
        <v>46</v>
      </c>
      <c r="E43" s="7">
        <v>9213293</v>
      </c>
      <c r="F43" s="7" t="s">
        <v>48</v>
      </c>
      <c r="G43" s="7" t="s">
        <v>59</v>
      </c>
      <c r="H43" s="7" t="s">
        <v>153</v>
      </c>
      <c r="I43" s="8">
        <v>45839</v>
      </c>
      <c r="J43" s="9">
        <v>0</v>
      </c>
      <c r="K43" s="9">
        <v>156.5</v>
      </c>
      <c r="L43" s="7">
        <v>1</v>
      </c>
      <c r="M43" s="10">
        <v>1</v>
      </c>
      <c r="N43" s="9">
        <v>156.5</v>
      </c>
      <c r="O43" s="7" t="s">
        <v>311</v>
      </c>
      <c r="P43" s="7" t="s">
        <v>312</v>
      </c>
      <c r="S43" s="7" t="s">
        <v>154</v>
      </c>
    </row>
    <row r="44" spans="1:39" s="7" customFormat="1" x14ac:dyDescent="0.25">
      <c r="A44" s="6">
        <v>960009988</v>
      </c>
      <c r="B44" s="5" t="str">
        <f>CONCATENATE(A44,1)</f>
        <v>9600099881</v>
      </c>
      <c r="C44" s="7" t="s">
        <v>205</v>
      </c>
      <c r="D44" s="7" t="s">
        <v>63</v>
      </c>
      <c r="E44" s="7">
        <v>9213293</v>
      </c>
      <c r="F44" s="7" t="s">
        <v>48</v>
      </c>
      <c r="G44" s="7" t="s">
        <v>59</v>
      </c>
      <c r="H44" s="7" t="s">
        <v>153</v>
      </c>
      <c r="I44" s="8">
        <v>45870</v>
      </c>
      <c r="J44" s="9">
        <v>0</v>
      </c>
      <c r="K44" s="9">
        <v>130.41999999999999</v>
      </c>
      <c r="L44" s="7">
        <v>1</v>
      </c>
      <c r="M44" s="10">
        <v>1</v>
      </c>
      <c r="N44" s="9">
        <v>130.41999999999999</v>
      </c>
      <c r="O44" s="7" t="s">
        <v>311</v>
      </c>
      <c r="P44" s="7" t="s">
        <v>315</v>
      </c>
      <c r="S44" s="7" t="s">
        <v>206</v>
      </c>
      <c r="U44" s="7">
        <f>313/12*5</f>
        <v>130.41666666666666</v>
      </c>
    </row>
    <row r="45" spans="1:39" s="7" customFormat="1" x14ac:dyDescent="0.25">
      <c r="A45" s="6">
        <v>935887639</v>
      </c>
      <c r="B45" s="5" t="str">
        <f>CONCATENATE(A45,1)</f>
        <v>9358876391</v>
      </c>
      <c r="C45" s="7" t="s">
        <v>183</v>
      </c>
      <c r="D45" s="7" t="s">
        <v>92</v>
      </c>
      <c r="E45" s="7">
        <v>16865615</v>
      </c>
      <c r="F45" s="7" t="s">
        <v>169</v>
      </c>
      <c r="G45" s="7" t="s">
        <v>59</v>
      </c>
      <c r="H45" s="7" t="s">
        <v>153</v>
      </c>
      <c r="I45" s="8">
        <v>45839</v>
      </c>
      <c r="J45" s="9">
        <v>0</v>
      </c>
      <c r="K45" s="9">
        <v>156.5</v>
      </c>
      <c r="L45" s="7">
        <v>1</v>
      </c>
      <c r="M45" s="10">
        <v>1</v>
      </c>
      <c r="N45" s="9">
        <v>156.5</v>
      </c>
      <c r="O45" s="7" t="s">
        <v>311</v>
      </c>
      <c r="P45" s="7" t="s">
        <v>312</v>
      </c>
      <c r="S45" s="7" t="s">
        <v>154</v>
      </c>
    </row>
    <row r="46" spans="1:39" s="7" customFormat="1" x14ac:dyDescent="0.25">
      <c r="A46" s="6" t="s">
        <v>292</v>
      </c>
      <c r="B46" s="6" t="s">
        <v>292</v>
      </c>
      <c r="C46" s="7" t="s">
        <v>167</v>
      </c>
      <c r="D46" s="7" t="s">
        <v>123</v>
      </c>
      <c r="E46" s="7">
        <v>16865615</v>
      </c>
      <c r="F46" s="7" t="s">
        <v>169</v>
      </c>
      <c r="G46" s="7" t="s">
        <v>220</v>
      </c>
      <c r="H46" s="7" t="s">
        <v>153</v>
      </c>
      <c r="I46" s="8">
        <v>45809</v>
      </c>
      <c r="N46" s="11">
        <v>-182.58</v>
      </c>
      <c r="O46" s="7" t="s">
        <v>311</v>
      </c>
      <c r="P46" s="7" t="s">
        <v>317</v>
      </c>
    </row>
    <row r="47" spans="1:39" s="7" customFormat="1" x14ac:dyDescent="0.25">
      <c r="A47" s="6" t="s">
        <v>291</v>
      </c>
      <c r="B47" s="6" t="s">
        <v>291</v>
      </c>
      <c r="C47" s="7" t="s">
        <v>165</v>
      </c>
      <c r="D47" s="7" t="s">
        <v>123</v>
      </c>
      <c r="E47" s="7">
        <v>6634327</v>
      </c>
      <c r="F47" s="7" t="s">
        <v>125</v>
      </c>
      <c r="G47" s="7" t="s">
        <v>220</v>
      </c>
      <c r="H47" s="7" t="s">
        <v>153</v>
      </c>
      <c r="I47" s="8">
        <v>45809</v>
      </c>
      <c r="N47" s="11">
        <v>-182.58</v>
      </c>
      <c r="O47" s="7" t="s">
        <v>311</v>
      </c>
      <c r="P47" s="7" t="s">
        <v>317</v>
      </c>
    </row>
    <row r="48" spans="1:39" s="7" customFormat="1" x14ac:dyDescent="0.25">
      <c r="A48" s="6" t="s">
        <v>296</v>
      </c>
      <c r="B48" s="6" t="s">
        <v>296</v>
      </c>
      <c r="C48" s="7" t="s">
        <v>196</v>
      </c>
      <c r="D48" s="7" t="s">
        <v>197</v>
      </c>
      <c r="E48" s="7">
        <v>6634327</v>
      </c>
      <c r="F48" s="7" t="s">
        <v>125</v>
      </c>
      <c r="G48" s="7" t="s">
        <v>220</v>
      </c>
      <c r="H48" s="7" t="s">
        <v>153</v>
      </c>
      <c r="I48" s="8">
        <v>45778</v>
      </c>
      <c r="N48" s="11">
        <v>-208.67</v>
      </c>
      <c r="O48" s="7" t="s">
        <v>311</v>
      </c>
      <c r="P48" s="7" t="s">
        <v>318</v>
      </c>
    </row>
    <row r="49" spans="1:39" s="7" customFormat="1" x14ac:dyDescent="0.25">
      <c r="A49" s="6" t="s">
        <v>297</v>
      </c>
      <c r="B49" s="6" t="s">
        <v>297</v>
      </c>
      <c r="C49" s="7" t="s">
        <v>199</v>
      </c>
      <c r="D49" s="7" t="s">
        <v>197</v>
      </c>
      <c r="E49" s="7">
        <v>6634327</v>
      </c>
      <c r="F49" s="7" t="s">
        <v>125</v>
      </c>
      <c r="G49" s="7" t="s">
        <v>220</v>
      </c>
      <c r="H49" s="7" t="s">
        <v>153</v>
      </c>
      <c r="I49" s="8">
        <v>45778</v>
      </c>
      <c r="N49" s="11">
        <v>-208.67</v>
      </c>
      <c r="O49" s="7" t="s">
        <v>311</v>
      </c>
      <c r="P49" s="7" t="s">
        <v>318</v>
      </c>
    </row>
    <row r="50" spans="1:39" s="7" customFormat="1" x14ac:dyDescent="0.25">
      <c r="A50" s="6" t="s">
        <v>300</v>
      </c>
      <c r="B50" s="6" t="s">
        <v>300</v>
      </c>
      <c r="C50" s="7" t="s">
        <v>212</v>
      </c>
      <c r="D50" s="7" t="s">
        <v>123</v>
      </c>
      <c r="E50" s="7">
        <v>6634327</v>
      </c>
      <c r="F50" s="7" t="s">
        <v>125</v>
      </c>
      <c r="G50" s="7" t="s">
        <v>220</v>
      </c>
      <c r="H50" s="7" t="s">
        <v>153</v>
      </c>
      <c r="I50" s="8">
        <v>45809</v>
      </c>
      <c r="N50" s="11">
        <v>-182.58</v>
      </c>
      <c r="O50" s="7" t="s">
        <v>311</v>
      </c>
      <c r="P50" s="7" t="s">
        <v>317</v>
      </c>
    </row>
    <row r="51" spans="1:39" s="7" customFormat="1" x14ac:dyDescent="0.25">
      <c r="A51" s="6" t="s">
        <v>301</v>
      </c>
      <c r="B51" s="6" t="s">
        <v>301</v>
      </c>
      <c r="C51" s="7" t="s">
        <v>214</v>
      </c>
      <c r="D51" s="7" t="s">
        <v>123</v>
      </c>
      <c r="E51" s="7">
        <v>6634327</v>
      </c>
      <c r="F51" s="7" t="s">
        <v>125</v>
      </c>
      <c r="G51" s="7" t="s">
        <v>220</v>
      </c>
      <c r="H51" s="7" t="s">
        <v>153</v>
      </c>
      <c r="I51" s="8">
        <v>45809</v>
      </c>
      <c r="N51" s="11">
        <v>-182.58</v>
      </c>
      <c r="O51" s="7" t="s">
        <v>311</v>
      </c>
      <c r="P51" s="7" t="s">
        <v>317</v>
      </c>
    </row>
    <row r="52" spans="1:39" s="7" customFormat="1" x14ac:dyDescent="0.25">
      <c r="A52" s="6" t="s">
        <v>294</v>
      </c>
      <c r="B52" s="6" t="s">
        <v>294</v>
      </c>
      <c r="C52" s="7" t="s">
        <v>186</v>
      </c>
      <c r="D52" s="7" t="s">
        <v>187</v>
      </c>
      <c r="E52" s="7">
        <v>16683808</v>
      </c>
      <c r="F52" s="7" t="s">
        <v>189</v>
      </c>
      <c r="G52" s="7" t="s">
        <v>220</v>
      </c>
      <c r="H52" s="7" t="s">
        <v>153</v>
      </c>
      <c r="I52" s="8">
        <v>45778</v>
      </c>
      <c r="N52" s="11">
        <v>-208.67</v>
      </c>
      <c r="O52" s="7" t="s">
        <v>311</v>
      </c>
      <c r="P52" s="7" t="s">
        <v>318</v>
      </c>
    </row>
    <row r="53" spans="1:39" s="7" customFormat="1" x14ac:dyDescent="0.25">
      <c r="A53" s="6" t="s">
        <v>298</v>
      </c>
      <c r="B53" s="6" t="s">
        <v>298</v>
      </c>
      <c r="C53" s="7" t="s">
        <v>201</v>
      </c>
      <c r="D53" s="7" t="s">
        <v>63</v>
      </c>
      <c r="E53" s="7">
        <v>19200754</v>
      </c>
      <c r="F53" s="7" t="s">
        <v>203</v>
      </c>
      <c r="G53" s="7" t="s">
        <v>220</v>
      </c>
      <c r="H53" s="7" t="s">
        <v>153</v>
      </c>
      <c r="I53" s="8">
        <v>45809</v>
      </c>
      <c r="N53" s="11">
        <v>-182.58</v>
      </c>
      <c r="O53" s="7" t="s">
        <v>311</v>
      </c>
      <c r="P53" s="7" t="s">
        <v>317</v>
      </c>
    </row>
    <row r="54" spans="1:39" s="7" customFormat="1" x14ac:dyDescent="0.25">
      <c r="A54" s="6" t="s">
        <v>299</v>
      </c>
      <c r="B54" s="6" t="s">
        <v>299</v>
      </c>
      <c r="C54" s="7" t="s">
        <v>209</v>
      </c>
      <c r="D54" s="7" t="s">
        <v>63</v>
      </c>
      <c r="E54" s="7">
        <v>19200754</v>
      </c>
      <c r="F54" s="7" t="s">
        <v>203</v>
      </c>
      <c r="G54" s="7" t="s">
        <v>220</v>
      </c>
      <c r="H54" s="7" t="s">
        <v>153</v>
      </c>
      <c r="I54" s="8">
        <v>45809</v>
      </c>
      <c r="N54" s="11">
        <v>-182.58</v>
      </c>
      <c r="O54" s="7" t="s">
        <v>311</v>
      </c>
      <c r="P54" s="7" t="s">
        <v>317</v>
      </c>
    </row>
    <row r="55" spans="1:39" s="7" customFormat="1" x14ac:dyDescent="0.25">
      <c r="A55" s="6">
        <v>133512318</v>
      </c>
      <c r="B55" s="5" t="str">
        <f>CONCATENATE(A55,1)</f>
        <v>1335123181</v>
      </c>
      <c r="C55" s="7" t="s">
        <v>151</v>
      </c>
      <c r="D55" s="7" t="s">
        <v>152</v>
      </c>
      <c r="E55" s="7">
        <v>19645587</v>
      </c>
      <c r="F55" s="7" t="s">
        <v>148</v>
      </c>
      <c r="G55" s="7" t="s">
        <v>59</v>
      </c>
      <c r="H55" s="7" t="s">
        <v>153</v>
      </c>
      <c r="I55" s="8">
        <v>45839</v>
      </c>
      <c r="J55" s="9">
        <v>0</v>
      </c>
      <c r="K55" s="9">
        <v>156.5</v>
      </c>
      <c r="L55" s="7">
        <v>1</v>
      </c>
      <c r="M55" s="10">
        <v>1</v>
      </c>
      <c r="N55" s="9">
        <v>156.5</v>
      </c>
      <c r="O55" s="7" t="s">
        <v>311</v>
      </c>
      <c r="P55" s="7" t="s">
        <v>312</v>
      </c>
      <c r="S55" s="7" t="s">
        <v>154</v>
      </c>
    </row>
    <row r="56" spans="1:39" s="7" customFormat="1" x14ac:dyDescent="0.25">
      <c r="A56" s="6">
        <v>922325896</v>
      </c>
      <c r="B56" s="5" t="str">
        <f>CONCATENATE(A56,1)</f>
        <v>9223258961</v>
      </c>
      <c r="C56" s="7" t="s">
        <v>175</v>
      </c>
      <c r="D56" s="7" t="s">
        <v>176</v>
      </c>
      <c r="E56" s="7">
        <v>19645587</v>
      </c>
      <c r="F56" s="7" t="s">
        <v>148</v>
      </c>
      <c r="G56" s="7" t="s">
        <v>59</v>
      </c>
      <c r="H56" s="7" t="s">
        <v>153</v>
      </c>
      <c r="I56" s="8">
        <v>45901</v>
      </c>
      <c r="J56" s="9">
        <v>0</v>
      </c>
      <c r="K56" s="9">
        <v>104.33</v>
      </c>
      <c r="L56" s="7">
        <v>1</v>
      </c>
      <c r="M56" s="10">
        <v>1</v>
      </c>
      <c r="N56" s="9">
        <v>104.33</v>
      </c>
      <c r="O56" s="7" t="s">
        <v>311</v>
      </c>
      <c r="P56" s="7" t="s">
        <v>314</v>
      </c>
      <c r="S56" s="7" t="s">
        <v>177</v>
      </c>
      <c r="U56" s="7">
        <f>313/12*4</f>
        <v>104.33333333333333</v>
      </c>
    </row>
    <row r="57" spans="1:39" s="7" customFormat="1" x14ac:dyDescent="0.25">
      <c r="A57" s="6" t="s">
        <v>288</v>
      </c>
      <c r="B57" s="6" t="s">
        <v>288</v>
      </c>
      <c r="C57" s="7" t="s">
        <v>145</v>
      </c>
      <c r="D57" s="7" t="s">
        <v>146</v>
      </c>
      <c r="E57" s="7">
        <v>19645587</v>
      </c>
      <c r="F57" s="7" t="s">
        <v>148</v>
      </c>
      <c r="G57" s="7" t="s">
        <v>220</v>
      </c>
      <c r="H57" s="7" t="s">
        <v>153</v>
      </c>
      <c r="I57" s="8">
        <v>45809</v>
      </c>
      <c r="N57" s="11">
        <v>-182.58</v>
      </c>
      <c r="O57" s="7" t="s">
        <v>311</v>
      </c>
      <c r="P57" s="7" t="s">
        <v>317</v>
      </c>
      <c r="T57" s="7">
        <f>313/12*7</f>
        <v>182.58333333333331</v>
      </c>
    </row>
    <row r="58" spans="1:39" s="7" customFormat="1" x14ac:dyDescent="0.25">
      <c r="A58" s="5" t="s">
        <v>273</v>
      </c>
      <c r="B58" s="5" t="str">
        <f>CONCATENATE(A58,0)</f>
        <v>133512318OV0</v>
      </c>
      <c r="C58" t="s">
        <v>151</v>
      </c>
      <c r="D58" t="s">
        <v>152</v>
      </c>
      <c r="E58">
        <v>20411454</v>
      </c>
      <c r="F58" t="s">
        <v>320</v>
      </c>
      <c r="G58" t="s">
        <v>59</v>
      </c>
      <c r="H58" t="s">
        <v>156</v>
      </c>
      <c r="I58" s="1">
        <v>45839</v>
      </c>
      <c r="J58" s="2">
        <v>0</v>
      </c>
      <c r="K58" s="2">
        <v>175</v>
      </c>
      <c r="L58">
        <v>1</v>
      </c>
      <c r="M58" s="3">
        <v>1</v>
      </c>
      <c r="N58" s="2">
        <v>175</v>
      </c>
      <c r="O58" t="s">
        <v>308</v>
      </c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</row>
    <row r="59" spans="1:39" s="7" customFormat="1" x14ac:dyDescent="0.25">
      <c r="A59" s="5" t="s">
        <v>276</v>
      </c>
      <c r="B59" s="5" t="str">
        <f>CONCATENATE(A59,0)</f>
        <v>922325896OV0</v>
      </c>
      <c r="C59" t="s">
        <v>175</v>
      </c>
      <c r="D59" t="s">
        <v>176</v>
      </c>
      <c r="E59">
        <v>20411454</v>
      </c>
      <c r="F59" t="s">
        <v>320</v>
      </c>
      <c r="G59" t="s">
        <v>59</v>
      </c>
      <c r="H59" t="s">
        <v>156</v>
      </c>
      <c r="I59" s="1">
        <v>45901</v>
      </c>
      <c r="J59" s="2">
        <v>0</v>
      </c>
      <c r="K59" s="2">
        <v>175</v>
      </c>
      <c r="L59">
        <v>1</v>
      </c>
      <c r="M59" s="3">
        <v>1</v>
      </c>
      <c r="N59" s="2">
        <v>175</v>
      </c>
      <c r="O59" t="s">
        <v>308</v>
      </c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</row>
    <row r="60" spans="1:39" s="7" customFormat="1" x14ac:dyDescent="0.25">
      <c r="A60" s="5" t="s">
        <v>277</v>
      </c>
      <c r="B60" s="5" t="str">
        <f>CONCATENATE(A60,0)</f>
        <v>928801218OV0</v>
      </c>
      <c r="C60" t="s">
        <v>180</v>
      </c>
      <c r="D60" t="s">
        <v>46</v>
      </c>
      <c r="E60">
        <v>20411454</v>
      </c>
      <c r="F60" t="s">
        <v>320</v>
      </c>
      <c r="G60" t="s">
        <v>59</v>
      </c>
      <c r="H60" t="s">
        <v>156</v>
      </c>
      <c r="I60" s="1">
        <v>45839</v>
      </c>
      <c r="J60" s="2">
        <v>0</v>
      </c>
      <c r="K60" s="2">
        <v>175</v>
      </c>
      <c r="L60">
        <v>1</v>
      </c>
      <c r="M60" s="3">
        <v>1</v>
      </c>
      <c r="N60" s="2">
        <v>175</v>
      </c>
      <c r="O60" t="s">
        <v>308</v>
      </c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</row>
    <row r="61" spans="1:39" s="7" customFormat="1" x14ac:dyDescent="0.25">
      <c r="A61" s="5" t="s">
        <v>278</v>
      </c>
      <c r="B61" s="5" t="str">
        <f>CONCATENATE(A61,0)</f>
        <v>935887639OV0</v>
      </c>
      <c r="C61" t="s">
        <v>183</v>
      </c>
      <c r="D61" t="s">
        <v>92</v>
      </c>
      <c r="E61">
        <v>20411454</v>
      </c>
      <c r="F61" t="s">
        <v>320</v>
      </c>
      <c r="G61" t="s">
        <v>59</v>
      </c>
      <c r="H61" t="s">
        <v>156</v>
      </c>
      <c r="I61" s="1">
        <v>45839</v>
      </c>
      <c r="J61" s="2">
        <v>0</v>
      </c>
      <c r="K61" s="2">
        <v>175</v>
      </c>
      <c r="L61">
        <v>1</v>
      </c>
      <c r="M61" s="3">
        <v>1</v>
      </c>
      <c r="N61" s="2">
        <v>175</v>
      </c>
      <c r="O61" t="s">
        <v>308</v>
      </c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</row>
    <row r="62" spans="1:39" s="7" customFormat="1" x14ac:dyDescent="0.25">
      <c r="A62" s="5" t="s">
        <v>279</v>
      </c>
      <c r="B62" s="5" t="str">
        <f>CONCATENATE(A62,0)</f>
        <v>936911192OV0</v>
      </c>
      <c r="C62" t="s">
        <v>186</v>
      </c>
      <c r="D62" t="s">
        <v>187</v>
      </c>
      <c r="E62">
        <v>20411454</v>
      </c>
      <c r="F62" t="s">
        <v>320</v>
      </c>
      <c r="G62" t="s">
        <v>59</v>
      </c>
      <c r="H62" t="s">
        <v>156</v>
      </c>
      <c r="I62" s="1">
        <v>45778</v>
      </c>
      <c r="J62" s="2">
        <v>0</v>
      </c>
      <c r="K62" s="2">
        <v>175</v>
      </c>
      <c r="L62">
        <v>1</v>
      </c>
      <c r="M62" s="3">
        <v>1</v>
      </c>
      <c r="N62" s="2">
        <v>175</v>
      </c>
      <c r="O62" t="s">
        <v>308</v>
      </c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</row>
    <row r="63" spans="1:39" s="7" customFormat="1" x14ac:dyDescent="0.25">
      <c r="A63" s="5" t="s">
        <v>280</v>
      </c>
      <c r="B63" s="5" t="str">
        <f>CONCATENATE(A63,0)</f>
        <v>937824582OV0</v>
      </c>
      <c r="C63" t="s">
        <v>192</v>
      </c>
      <c r="D63" t="s">
        <v>193</v>
      </c>
      <c r="E63">
        <v>20411454</v>
      </c>
      <c r="F63" t="s">
        <v>320</v>
      </c>
      <c r="G63" t="s">
        <v>59</v>
      </c>
      <c r="H63" t="s">
        <v>156</v>
      </c>
      <c r="I63" s="1">
        <v>45809</v>
      </c>
      <c r="J63" s="2">
        <v>0</v>
      </c>
      <c r="K63" s="2">
        <v>175</v>
      </c>
      <c r="L63">
        <v>1</v>
      </c>
      <c r="M63" s="3">
        <v>1</v>
      </c>
      <c r="N63" s="2">
        <v>175</v>
      </c>
      <c r="O63" t="s">
        <v>308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</row>
    <row r="64" spans="1:39" s="7" customFormat="1" x14ac:dyDescent="0.25">
      <c r="A64" s="5" t="s">
        <v>281</v>
      </c>
      <c r="B64" s="5" t="str">
        <f>CONCATENATE(A64,0)</f>
        <v>960009988OV0</v>
      </c>
      <c r="C64" t="s">
        <v>205</v>
      </c>
      <c r="D64" t="s">
        <v>63</v>
      </c>
      <c r="E64">
        <v>20411454</v>
      </c>
      <c r="F64" t="s">
        <v>320</v>
      </c>
      <c r="G64" t="s">
        <v>59</v>
      </c>
      <c r="H64" t="s">
        <v>156</v>
      </c>
      <c r="I64" s="1">
        <v>45870</v>
      </c>
      <c r="J64" s="2">
        <v>0</v>
      </c>
      <c r="K64" s="2">
        <v>175</v>
      </c>
      <c r="L64">
        <v>1</v>
      </c>
      <c r="M64" s="3">
        <v>1</v>
      </c>
      <c r="N64" s="2">
        <v>175</v>
      </c>
      <c r="O64" t="s">
        <v>308</v>
      </c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</row>
    <row r="65" spans="1:39" s="7" customFormat="1" x14ac:dyDescent="0.25">
      <c r="A65" s="5" t="s">
        <v>295</v>
      </c>
      <c r="B65" s="5" t="s">
        <v>295</v>
      </c>
      <c r="C65" t="s">
        <v>186</v>
      </c>
      <c r="D65" t="s">
        <v>187</v>
      </c>
      <c r="E65">
        <v>20411454</v>
      </c>
      <c r="F65" t="s">
        <v>320</v>
      </c>
      <c r="G65" t="s">
        <v>220</v>
      </c>
      <c r="H65" t="s">
        <v>242</v>
      </c>
      <c r="I65" s="1">
        <v>45778</v>
      </c>
      <c r="J65"/>
      <c r="K65"/>
      <c r="L65"/>
      <c r="M65"/>
      <c r="N65" s="4">
        <v>-48</v>
      </c>
      <c r="O65" t="s">
        <v>308</v>
      </c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</row>
    <row r="66" spans="1:39" s="7" customFormat="1" x14ac:dyDescent="0.25">
      <c r="A66" s="5" t="s">
        <v>284</v>
      </c>
      <c r="B66" s="5" t="s">
        <v>284</v>
      </c>
      <c r="C66" t="s">
        <v>109</v>
      </c>
      <c r="D66" t="s">
        <v>110</v>
      </c>
      <c r="E66">
        <v>20411454</v>
      </c>
      <c r="F66" t="s">
        <v>320</v>
      </c>
      <c r="G66" t="s">
        <v>220</v>
      </c>
      <c r="H66" t="s">
        <v>224</v>
      </c>
      <c r="I66" s="1">
        <v>45809</v>
      </c>
      <c r="J66"/>
      <c r="K66"/>
      <c r="L66"/>
      <c r="M66"/>
      <c r="N66" s="4">
        <v>-21.58</v>
      </c>
      <c r="O66" t="s">
        <v>308</v>
      </c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</row>
    <row r="67" spans="1:39" s="7" customFormat="1" x14ac:dyDescent="0.25">
      <c r="A67" s="6" t="s">
        <v>271</v>
      </c>
      <c r="B67" s="6" t="s">
        <v>271</v>
      </c>
      <c r="C67" s="7" t="s">
        <v>122</v>
      </c>
      <c r="D67" s="7" t="s">
        <v>123</v>
      </c>
      <c r="E67" s="7">
        <v>6634327</v>
      </c>
      <c r="F67" s="7" t="s">
        <v>125</v>
      </c>
      <c r="G67" s="7" t="s">
        <v>59</v>
      </c>
      <c r="H67" s="7" t="s">
        <v>113</v>
      </c>
      <c r="I67" s="8">
        <v>45839</v>
      </c>
      <c r="J67" s="9">
        <v>0</v>
      </c>
      <c r="K67" s="9">
        <v>109</v>
      </c>
      <c r="L67" s="7">
        <v>1</v>
      </c>
      <c r="M67" s="10">
        <v>1</v>
      </c>
      <c r="N67" s="9">
        <v>109</v>
      </c>
      <c r="O67" s="7" t="s">
        <v>309</v>
      </c>
    </row>
    <row r="68" spans="1:39" s="7" customFormat="1" x14ac:dyDescent="0.25">
      <c r="A68" s="6" t="s">
        <v>286</v>
      </c>
      <c r="B68" s="6" t="s">
        <v>286</v>
      </c>
      <c r="C68" s="7" t="s">
        <v>122</v>
      </c>
      <c r="D68" s="7" t="s">
        <v>123</v>
      </c>
      <c r="E68" s="7">
        <v>6634327</v>
      </c>
      <c r="F68" s="7" t="s">
        <v>125</v>
      </c>
      <c r="G68" s="7" t="s">
        <v>220</v>
      </c>
      <c r="H68" s="7" t="s">
        <v>226</v>
      </c>
      <c r="I68" s="8">
        <v>45839</v>
      </c>
      <c r="N68" s="11">
        <v>-27.5</v>
      </c>
      <c r="O68" s="7" t="s">
        <v>309</v>
      </c>
    </row>
    <row r="69" spans="1:39" s="7" customFormat="1" x14ac:dyDescent="0.25">
      <c r="A69" s="6" t="s">
        <v>270</v>
      </c>
      <c r="B69" s="6" t="s">
        <v>270</v>
      </c>
      <c r="C69" s="7" t="s">
        <v>117</v>
      </c>
      <c r="D69" s="7" t="s">
        <v>63</v>
      </c>
      <c r="E69" s="7">
        <v>18828278</v>
      </c>
      <c r="F69" s="7" t="s">
        <v>119</v>
      </c>
      <c r="G69" s="7" t="s">
        <v>59</v>
      </c>
      <c r="H69" s="7" t="s">
        <v>113</v>
      </c>
      <c r="I69" s="8">
        <v>45839</v>
      </c>
      <c r="J69" s="9">
        <v>0</v>
      </c>
      <c r="K69" s="9">
        <v>109</v>
      </c>
      <c r="L69" s="7">
        <v>1</v>
      </c>
      <c r="M69" s="10">
        <v>1</v>
      </c>
      <c r="N69" s="9">
        <v>109</v>
      </c>
      <c r="O69" s="7" t="s">
        <v>309</v>
      </c>
    </row>
    <row r="70" spans="1:39" s="7" customFormat="1" x14ac:dyDescent="0.25">
      <c r="A70" s="6" t="s">
        <v>285</v>
      </c>
      <c r="B70" s="6" t="s">
        <v>285</v>
      </c>
      <c r="C70" s="7" t="s">
        <v>117</v>
      </c>
      <c r="D70" s="7" t="s">
        <v>63</v>
      </c>
      <c r="E70" s="7">
        <v>18828278</v>
      </c>
      <c r="F70" s="7" t="s">
        <v>119</v>
      </c>
      <c r="G70" s="7" t="s">
        <v>220</v>
      </c>
      <c r="H70" s="7" t="s">
        <v>226</v>
      </c>
      <c r="I70" s="8">
        <v>45839</v>
      </c>
      <c r="N70" s="11">
        <v>-27.5</v>
      </c>
      <c r="O70" s="7" t="s">
        <v>309</v>
      </c>
    </row>
    <row r="71" spans="1:39" s="7" customFormat="1" x14ac:dyDescent="0.25">
      <c r="A71" s="6" t="s">
        <v>269</v>
      </c>
      <c r="B71" s="6" t="s">
        <v>269</v>
      </c>
      <c r="C71" s="7" t="s">
        <v>109</v>
      </c>
      <c r="D71" s="7" t="s">
        <v>110</v>
      </c>
      <c r="E71" s="7">
        <v>16202925</v>
      </c>
      <c r="F71" s="7" t="s">
        <v>112</v>
      </c>
      <c r="G71" s="7" t="s">
        <v>59</v>
      </c>
      <c r="H71" s="7" t="s">
        <v>113</v>
      </c>
      <c r="I71" s="8">
        <v>45809</v>
      </c>
      <c r="J71" s="9">
        <v>0</v>
      </c>
      <c r="K71" s="9">
        <v>109</v>
      </c>
      <c r="L71" s="7">
        <v>1</v>
      </c>
      <c r="M71" s="10">
        <v>1</v>
      </c>
      <c r="N71" s="9">
        <v>109</v>
      </c>
      <c r="O71" s="7" t="s">
        <v>309</v>
      </c>
    </row>
  </sheetData>
  <sortState xmlns:xlrd2="http://schemas.microsoft.com/office/spreadsheetml/2017/richdata2" ref="A2:AM71">
    <sortCondition ref="O2:O7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Business Agent Statement - 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2025-06-27T12:10:01Z</dcterms:created>
  <dcterms:modified xsi:type="dcterms:W3CDTF">2025-06-27T14:06:38Z</dcterms:modified>
</cp:coreProperties>
</file>