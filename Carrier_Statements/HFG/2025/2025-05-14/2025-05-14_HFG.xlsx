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5-14-25\"/>
    </mc:Choice>
  </mc:AlternateContent>
  <xr:revisionPtr revIDLastSave="0" documentId="13_ncr:1_{7BA1E0D1-8816-4E67-87FA-EF52748990E1}" xr6:coauthVersionLast="47" xr6:coauthVersionMax="47" xr10:uidLastSave="{00000000-0000-0000-0000-000000000000}"/>
  <bookViews>
    <workbookView xWindow="28680" yWindow="-120" windowWidth="29040" windowHeight="16440" activeTab="1" xr2:uid="{BA0E02FE-9F29-4BDE-9DAB-CDDDD00DDDB6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66" i="2" l="1"/>
  <c r="B39" i="2"/>
  <c r="B52" i="2"/>
  <c r="B44" i="2"/>
  <c r="B50" i="2"/>
  <c r="B38" i="2"/>
  <c r="B29" i="2"/>
  <c r="B37" i="2"/>
  <c r="B34" i="2"/>
  <c r="B28" i="2"/>
  <c r="B32" i="2"/>
  <c r="B36" i="2"/>
  <c r="B27" i="2"/>
  <c r="B31" i="2"/>
  <c r="B35" i="2"/>
  <c r="B33" i="2"/>
  <c r="B43" i="2"/>
  <c r="B42" i="2"/>
  <c r="B41" i="2"/>
  <c r="B22" i="2"/>
  <c r="B21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<sst xmlns="http://schemas.openxmlformats.org/spreadsheetml/2006/main" count="1659" uniqueCount="346">
  <si>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</si>
  <si>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</si>
  <si>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</si>
  <si>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</si>
  <si>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</si>
  <si>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</si>
  <si>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</si>
  <si>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</si>
  <si>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</si>
  <si>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</si>
  <si>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</si>
  <si>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</si>
  <si>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</si>
  <si>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</si>
  <si>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</si>
  <si>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</si>
  <si>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</si>
  <si>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</si>
  <si>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</si>
  <si>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</si>
  <si>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</si>
  <si>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</si>
  <si>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</si>
  <si>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</si>
  <si>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</si>
  <si>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</si>
  <si>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</si>
  <si>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</si>
  <si>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</si>
  <si>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</si>
  <si>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</si>
  <si>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</si>
  <si>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</si>
  <si>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</si>
  <si>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</si>
  <si>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</si>
  <si>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</si>
  <si>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</si>
  <si>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</si>
  <si>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</si>
  <si>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</si>
  <si>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</si>
  <si>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</si>
  <si>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</si>
  <si>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'00019330138K</t>
  </si>
  <si>
    <t>MARIA PENA</t>
  </si>
  <si>
    <t>IL</t>
  </si>
  <si>
    <t>'045709</t>
  </si>
  <si>
    <t>ESTHER HERRERA-LARSEN</t>
  </si>
  <si>
    <t>ACTIVE</t>
  </si>
  <si>
    <t>Humana MA 2019+ Level 15- 175/108</t>
  </si>
  <si>
    <t>Monthly</t>
  </si>
  <si>
    <t>AV</t>
  </si>
  <si>
    <t>'00021762005K</t>
  </si>
  <si>
    <t>ZAKEEYAW TONEY-EDWARS</t>
  </si>
  <si>
    <t>NV</t>
  </si>
  <si>
    <t>'045712</t>
  </si>
  <si>
    <t>GREGORY HANSFORD</t>
  </si>
  <si>
    <t>Humana MA 2019+ Level 15- 175/108 Repl 2024</t>
  </si>
  <si>
    <t>'00022112846K</t>
  </si>
  <si>
    <t>WILLIAM RICHAE</t>
  </si>
  <si>
    <t>NA</t>
  </si>
  <si>
    <t>'045604</t>
  </si>
  <si>
    <t>JEFFREY HORN</t>
  </si>
  <si>
    <t>Active</t>
  </si>
  <si>
    <t>Humana MA Bonus Upload 05-14-2025.xlsx</t>
  </si>
  <si>
    <t>'00022397306K</t>
  </si>
  <si>
    <t>KATHERINE FOLTZ</t>
  </si>
  <si>
    <t>TX</t>
  </si>
  <si>
    <t>'043682</t>
  </si>
  <si>
    <t>GREGORY TEIPEL</t>
  </si>
  <si>
    <t>'00022402277K</t>
  </si>
  <si>
    <t>JIM FOLTZ</t>
  </si>
  <si>
    <t>'00023312330KPDP</t>
  </si>
  <si>
    <t>BARRY DUNN</t>
  </si>
  <si>
    <t>'045613</t>
  </si>
  <si>
    <t>RICARDO SANTOS</t>
  </si>
  <si>
    <t>Humana PDP 2019+ Level 15- 15/0</t>
  </si>
  <si>
    <t>'00023312492KPDP</t>
  </si>
  <si>
    <t>NORINE STROEDE</t>
  </si>
  <si>
    <t>'043969</t>
  </si>
  <si>
    <t>STACEY PORTUGAL</t>
  </si>
  <si>
    <t>'00023312563K</t>
  </si>
  <si>
    <t>MICHAEL WILTGEN</t>
  </si>
  <si>
    <t>'045612</t>
  </si>
  <si>
    <t>ANTHONY HUNSBERGER</t>
  </si>
  <si>
    <t>'00023312872K</t>
  </si>
  <si>
    <t>ROGER GARBACZ</t>
  </si>
  <si>
    <t>'045638</t>
  </si>
  <si>
    <t>RICHARD YALE</t>
  </si>
  <si>
    <t>'00023316519K</t>
  </si>
  <si>
    <t>DUANE ORLANDO</t>
  </si>
  <si>
    <t>NJ</t>
  </si>
  <si>
    <t>'043585</t>
  </si>
  <si>
    <t>PETER RICHTER</t>
  </si>
  <si>
    <t>'00023317598K</t>
  </si>
  <si>
    <t>JASON HUBBARD</t>
  </si>
  <si>
    <t>'00023317944K</t>
  </si>
  <si>
    <t>JEANNE RODECK</t>
  </si>
  <si>
    <t>FL</t>
  </si>
  <si>
    <t>'00023318422K</t>
  </si>
  <si>
    <t>KATHERINE FONT</t>
  </si>
  <si>
    <t>CO</t>
  </si>
  <si>
    <t>'045621</t>
  </si>
  <si>
    <t>HEATHER GESKE</t>
  </si>
  <si>
    <t>'00023318474K</t>
  </si>
  <si>
    <t>KEITH LENHARDT</t>
  </si>
  <si>
    <t>PA</t>
  </si>
  <si>
    <t>'045828</t>
  </si>
  <si>
    <t>MARGARET FINNEGAN</t>
  </si>
  <si>
    <t>'00023322186K</t>
  </si>
  <si>
    <t>MARSHA WILLIAMS</t>
  </si>
  <si>
    <t>'043714</t>
  </si>
  <si>
    <t>BRIAN STROHMAN</t>
  </si>
  <si>
    <t>'00023326681K</t>
  </si>
  <si>
    <t>RANDOLPH DICKSON</t>
  </si>
  <si>
    <t>'045603</t>
  </si>
  <si>
    <t>ANDREW CHOI</t>
  </si>
  <si>
    <t>'00023328919KPDP</t>
  </si>
  <si>
    <t>LAURITS SCHLESS</t>
  </si>
  <si>
    <t>'045601</t>
  </si>
  <si>
    <t>CAROL FOLEY</t>
  </si>
  <si>
    <t>'023065880PDP</t>
  </si>
  <si>
    <t>KATHY SCHAFER</t>
  </si>
  <si>
    <t>'043705</t>
  </si>
  <si>
    <t>MICHAEL DUNAVANT</t>
  </si>
  <si>
    <t>UHC PDP Street payable to upline - 2025 New</t>
  </si>
  <si>
    <t>'023065880PDPOV</t>
  </si>
  <si>
    <t>UHC PDP Direct 2024 New Full</t>
  </si>
  <si>
    <t>'023082726PDP</t>
  </si>
  <si>
    <t>ELEFTERIA VRETTOU-GAVARIS</t>
  </si>
  <si>
    <t>'045605</t>
  </si>
  <si>
    <t>GARY PORTUGAL</t>
  </si>
  <si>
    <t>'023082726PDPOV</t>
  </si>
  <si>
    <t>'023084581PDP</t>
  </si>
  <si>
    <t>SCOTT HALL</t>
  </si>
  <si>
    <t>'043637</t>
  </si>
  <si>
    <t>CHRISTIAN TAUGNER</t>
  </si>
  <si>
    <t>'023084581PDPOV</t>
  </si>
  <si>
    <t>'023084587PDP</t>
  </si>
  <si>
    <t>THOMAS BURBA</t>
  </si>
  <si>
    <t>'045622</t>
  </si>
  <si>
    <t>JACOB YALE</t>
  </si>
  <si>
    <t>UHC PDP Street payable to upline - 2025 Pro New</t>
  </si>
  <si>
    <t>8/12 PRORATE</t>
  </si>
  <si>
    <t>'023084587PDPOV</t>
  </si>
  <si>
    <t>UHC PDP Direct 2024 New Prorated</t>
  </si>
  <si>
    <t>'023086053PDP</t>
  </si>
  <si>
    <t>DANIEL MOORE</t>
  </si>
  <si>
    <t>MD</t>
  </si>
  <si>
    <t>'043690</t>
  </si>
  <si>
    <t>THOMAS KUCAN</t>
  </si>
  <si>
    <t>UHC MA GA 2024 New Initial Prorated</t>
  </si>
  <si>
    <t>7/12 PRORATE</t>
  </si>
  <si>
    <t>'023086053PDPOV</t>
  </si>
  <si>
    <t>UHC PDP Direct 2024 New Initial Prorated</t>
  </si>
  <si>
    <t>'102158685300</t>
  </si>
  <si>
    <t>BART SECHRIST</t>
  </si>
  <si>
    <t>'043691</t>
  </si>
  <si>
    <t>MICHELLE MCCORKLE</t>
  </si>
  <si>
    <t>Aetna MAPD NMO to GMO - 4-1-23+  New Paper</t>
  </si>
  <si>
    <t>'102167666500</t>
  </si>
  <si>
    <t>ALLEN DOLPH</t>
  </si>
  <si>
    <t>Aetna MAPD NMO to GMO - 4-1-23+  Replace E-App</t>
  </si>
  <si>
    <t>'102167672000</t>
  </si>
  <si>
    <t>DANNY LAMBING</t>
  </si>
  <si>
    <t>'043786</t>
  </si>
  <si>
    <t>MARGARET SMITH</t>
  </si>
  <si>
    <t>'65U5U8U89</t>
  </si>
  <si>
    <t>CAMERON HOLUM</t>
  </si>
  <si>
    <t>Cigna MAPD FMO to GA 1-1-19+ - New</t>
  </si>
  <si>
    <t>'905577824</t>
  </si>
  <si>
    <t>JEANNE BRAMBLEY</t>
  </si>
  <si>
    <t>UHC MAPD Street payable to upline NJ- 2025 New</t>
  </si>
  <si>
    <t>'911246279</t>
  </si>
  <si>
    <t>AMANDA THOMPSON</t>
  </si>
  <si>
    <t>UHC MAPD Street payable to upline - 2025 New</t>
  </si>
  <si>
    <t>'911536941</t>
  </si>
  <si>
    <t>RICKY JUGGER</t>
  </si>
  <si>
    <t>'916869341</t>
  </si>
  <si>
    <t>ELLEN PASTUSZAK-LEI</t>
  </si>
  <si>
    <t>UHC MAPD Street payable to upline- 2025 Replace</t>
  </si>
  <si>
    <t>'916869341OV</t>
  </si>
  <si>
    <t>UHC MA Direct 2024 New Full</t>
  </si>
  <si>
    <t>'916875754</t>
  </si>
  <si>
    <t>NORMAN VINTON</t>
  </si>
  <si>
    <t>'921346722</t>
  </si>
  <si>
    <t>WILLIAM LAUR</t>
  </si>
  <si>
    <t>'043692</t>
  </si>
  <si>
    <t>ADAM RICHTER</t>
  </si>
  <si>
    <t>'921346722OV</t>
  </si>
  <si>
    <t>'935134529</t>
  </si>
  <si>
    <t>DIANNA STILWILL</t>
  </si>
  <si>
    <t>KY</t>
  </si>
  <si>
    <t>'041686</t>
  </si>
  <si>
    <t>DALE WALENGA</t>
  </si>
  <si>
    <t>'936911192</t>
  </si>
  <si>
    <t>OFELIA GEARY</t>
  </si>
  <si>
    <t>OR</t>
  </si>
  <si>
    <t>'045642</t>
  </si>
  <si>
    <t>JONATHAN ALOFF</t>
  </si>
  <si>
    <t>'936911192OV</t>
  </si>
  <si>
    <t>UHC MA Direct 2024 New Initial Prorated</t>
  </si>
  <si>
    <t>'937824582</t>
  </si>
  <si>
    <t>JEFF DEWEY</t>
  </si>
  <si>
    <t>WI</t>
  </si>
  <si>
    <t>'938957904</t>
  </si>
  <si>
    <t>HOWARD KAISER</t>
  </si>
  <si>
    <t>'953075319</t>
  </si>
  <si>
    <t>WILLIAM SHAW</t>
  </si>
  <si>
    <t>TN</t>
  </si>
  <si>
    <t>'954274028</t>
  </si>
  <si>
    <t>SHELLY NELSON</t>
  </si>
  <si>
    <t>'954274028OV</t>
  </si>
  <si>
    <t>'955775714</t>
  </si>
  <si>
    <t>DAVID MUECKE</t>
  </si>
  <si>
    <t>'957220266</t>
  </si>
  <si>
    <t>DAVID SINKAVICH</t>
  </si>
  <si>
    <t>SC</t>
  </si>
  <si>
    <t>'043679</t>
  </si>
  <si>
    <t>DEBORAH INSKIPT</t>
  </si>
  <si>
    <t>'972095971</t>
  </si>
  <si>
    <t>JAMES DUNCAN</t>
  </si>
  <si>
    <t>'972095971OV</t>
  </si>
  <si>
    <t>'992296804</t>
  </si>
  <si>
    <t>JIMMIE PERKINS</t>
  </si>
  <si>
    <t>UHC MAPD Street payable to upline- 2025 Pro New</t>
  </si>
  <si>
    <t>9/12 PRORATE</t>
  </si>
  <si>
    <t>'992296804OV</t>
  </si>
  <si>
    <t>UHC MA Direct 2024 New Prorated</t>
  </si>
  <si>
    <t>'A04270035</t>
  </si>
  <si>
    <t>MARGARET VALLETTA</t>
  </si>
  <si>
    <t>UHC AARP Med Supp IL Area 1- Plan  B C F G</t>
  </si>
  <si>
    <t>'A04270664</t>
  </si>
  <si>
    <t>UHC AARP Med Supp IL Area 2  2025- Plan B C F G Select G</t>
  </si>
  <si>
    <t>'A04273050</t>
  </si>
  <si>
    <t>CARA LAREN</t>
  </si>
  <si>
    <t>'043689</t>
  </si>
  <si>
    <t>ANNE MARIE KOZACHECK</t>
  </si>
  <si>
    <t>UHC AARP Med Supp PA Area 1 2024- Plan  N</t>
  </si>
  <si>
    <t>CB</t>
  </si>
  <si>
    <t>'00020223965KPC</t>
  </si>
  <si>
    <t>JEFFERY WOOD</t>
  </si>
  <si>
    <t>'043638</t>
  </si>
  <si>
    <t>THOMAS PARDUE</t>
  </si>
  <si>
    <t>CHARGEBACK</t>
  </si>
  <si>
    <t>'00022402277KPC</t>
  </si>
  <si>
    <t>'00023066292KPC</t>
  </si>
  <si>
    <t>LUISA GALINDO</t>
  </si>
  <si>
    <t>'043589</t>
  </si>
  <si>
    <t>JOSE TORRES</t>
  </si>
  <si>
    <t>'023082726CB</t>
  </si>
  <si>
    <t>UHC PDP Street payable to upline - 2025 Replace</t>
  </si>
  <si>
    <t>'102079701600PC</t>
  </si>
  <si>
    <t>RICHARD MARSOLAIS</t>
  </si>
  <si>
    <t>IA</t>
  </si>
  <si>
    <t>Aetna MAPD NMO to GMO - 4-1-23+  New E-App</t>
  </si>
  <si>
    <t>'905577824CB</t>
  </si>
  <si>
    <t>UHC MAPD Street payable to upline NJ- 2025 Replace</t>
  </si>
  <si>
    <t>'911246279CB</t>
  </si>
  <si>
    <t>'911536941CB</t>
  </si>
  <si>
    <t>'916875754CB</t>
  </si>
  <si>
    <t>'935134529CB</t>
  </si>
  <si>
    <t>'937824582CB</t>
  </si>
  <si>
    <t>'938957904CB</t>
  </si>
  <si>
    <t>'953075319CB</t>
  </si>
  <si>
    <t>'955775714CB</t>
  </si>
  <si>
    <t>'957220266CB</t>
  </si>
  <si>
    <t>'984496895OVPC</t>
  </si>
  <si>
    <t>MARK JACKSON</t>
  </si>
  <si>
    <t>'984496895PC</t>
  </si>
  <si>
    <t>'992296804CB</t>
  </si>
  <si>
    <t>'992296804OVCB</t>
  </si>
  <si>
    <t>00019330138K</t>
  </si>
  <si>
    <t>00021762005K</t>
  </si>
  <si>
    <t>00022112846K</t>
  </si>
  <si>
    <t>00022397306K</t>
  </si>
  <si>
    <t>00022402277K</t>
  </si>
  <si>
    <t>00023312330KPDP</t>
  </si>
  <si>
    <t>00023312492KPDP</t>
  </si>
  <si>
    <t>00023312563K</t>
  </si>
  <si>
    <t>00023312872K</t>
  </si>
  <si>
    <t>00023316519K</t>
  </si>
  <si>
    <t>00023317598K</t>
  </si>
  <si>
    <t>00023317944K</t>
  </si>
  <si>
    <t>00023318422K</t>
  </si>
  <si>
    <t>00023318474K</t>
  </si>
  <si>
    <t>00023322186K</t>
  </si>
  <si>
    <t>00023326681K</t>
  </si>
  <si>
    <t>00023328919KPDP</t>
  </si>
  <si>
    <t>023065880PDP</t>
  </si>
  <si>
    <t>023082726PDP</t>
  </si>
  <si>
    <t>023084581PDP</t>
  </si>
  <si>
    <t>023084587PDP</t>
  </si>
  <si>
    <t>65U5U8U89</t>
  </si>
  <si>
    <t>916869341OV</t>
  </si>
  <si>
    <t>921346722OV</t>
  </si>
  <si>
    <t>936911192OV</t>
  </si>
  <si>
    <t>954274028OV</t>
  </si>
  <si>
    <t>972095971OV</t>
  </si>
  <si>
    <t>992296804OV</t>
  </si>
  <si>
    <t>A04270035</t>
  </si>
  <si>
    <t>A04270664</t>
  </si>
  <si>
    <t>A04273050</t>
  </si>
  <si>
    <t>00020223965KPC</t>
  </si>
  <si>
    <t>00022402277KPC</t>
  </si>
  <si>
    <t>00023066292KPC</t>
  </si>
  <si>
    <t>023082726CB</t>
  </si>
  <si>
    <t>102079701600PC</t>
  </si>
  <si>
    <t>905577824CB</t>
  </si>
  <si>
    <t>911246279CB</t>
  </si>
  <si>
    <t>911536941CB</t>
  </si>
  <si>
    <t>916875754CB</t>
  </si>
  <si>
    <t>935134529CB</t>
  </si>
  <si>
    <t>937824582CB</t>
  </si>
  <si>
    <t>938957904CB</t>
  </si>
  <si>
    <t>953075319CB</t>
  </si>
  <si>
    <t>955775714CB</t>
  </si>
  <si>
    <t>957220266CB</t>
  </si>
  <si>
    <t>984496895OVPC</t>
  </si>
  <si>
    <t>984496895PC</t>
  </si>
  <si>
    <t>992296804CB</t>
  </si>
  <si>
    <t>992296804OVCB</t>
  </si>
  <si>
    <t>Aetna MAPD OVR 2025</t>
  </si>
  <si>
    <t>Cigna MAPD 2025 Ovr</t>
  </si>
  <si>
    <t>Humana MAPD OVR 2025</t>
  </si>
  <si>
    <t>Humana PDP 2025!</t>
  </si>
  <si>
    <t>UHC AARP MS IL Area 1 - Plan B C F G</t>
  </si>
  <si>
    <t>UHC AARP MS OR - Plan N</t>
  </si>
  <si>
    <t>UHC AARP MS PA Area 1 2024- Plan N</t>
  </si>
  <si>
    <t>UHC MAPD Ovr 2025</t>
  </si>
  <si>
    <t>UHC 2025</t>
  </si>
  <si>
    <t>UHC PDP 2025!</t>
  </si>
  <si>
    <t>[%/$=313][prorate=9/12]</t>
  </si>
  <si>
    <t>[%/$=626][prorate=9/12]</t>
  </si>
  <si>
    <t>UHC MAPD 2025*</t>
  </si>
  <si>
    <t>[%/$=313][prorate=7/12]</t>
  </si>
  <si>
    <t>[%/$=313][prorate=8/12]</t>
  </si>
  <si>
    <t>[%/$=313][prorate=6/12]</t>
  </si>
  <si>
    <t>UHC 2025 CA, NJ*</t>
  </si>
  <si>
    <t>[%/$=390][prorate=8/12]</t>
  </si>
  <si>
    <t>UHC 2025 CA, NJ</t>
  </si>
  <si>
    <t>[%/$=780]</t>
  </si>
  <si>
    <t>[%/$=626]</t>
  </si>
  <si>
    <t>Main Line Benefits</t>
  </si>
  <si>
    <t>18828278SUB2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</si>
</sst>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0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C29B-D837-4FC0-B01E-CC3E594E8D83}">
  <dimension ref="A1:AL76"/>
  <sheetViews>
    <sheetView workbookViewId="0">
      <selection activeCell="S2" sqref="S2"/>
    </sheetView>
  </sheetViews>
  <sheetFormatPr defaultRowHeight="15" x14ac:dyDescent="0.25"/>
  <cols>
    <col min="1" max="1" width="10.28515625" bestFit="1" customWidth="1"/>
    <col min="2" max="2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45791</v>
      </c>
      <c r="B2" s="1">
        <v>45791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45778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5381388</v>
      </c>
    </row>
    <row r="3" spans="1:38" x14ac:dyDescent="0.25">
      <c r="A3" s="1">
        <v>45791</v>
      </c>
      <c r="B3" s="1">
        <v>45791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58</v>
      </c>
      <c r="S3" s="1">
        <v>45778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5381369</v>
      </c>
    </row>
    <row r="4" spans="1:38" x14ac:dyDescent="0.25">
      <c r="A4" s="1">
        <v>45791</v>
      </c>
      <c r="B4" s="1">
        <v>45791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64</v>
      </c>
      <c r="R4" t="s">
        <v>50</v>
      </c>
      <c r="S4" s="1">
        <v>45658</v>
      </c>
      <c r="U4" t="s">
        <v>51</v>
      </c>
      <c r="X4" t="s">
        <v>52</v>
      </c>
      <c r="Y4" s="2">
        <v>0</v>
      </c>
      <c r="Z4" s="2">
        <v>117.25</v>
      </c>
      <c r="AA4">
        <v>1</v>
      </c>
      <c r="AB4" s="3">
        <v>1</v>
      </c>
      <c r="AC4" s="2">
        <v>117.25</v>
      </c>
      <c r="AD4" s="3">
        <v>0</v>
      </c>
      <c r="AE4" s="2">
        <v>0</v>
      </c>
      <c r="AF4" s="2">
        <v>117.25</v>
      </c>
      <c r="AK4">
        <v>0</v>
      </c>
      <c r="AL4" t="s">
        <v>65</v>
      </c>
    </row>
    <row r="5" spans="1:38" x14ac:dyDescent="0.25">
      <c r="A5" s="1">
        <v>45791</v>
      </c>
      <c r="B5" s="1">
        <v>45791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66</v>
      </c>
      <c r="J5" t="s">
        <v>67</v>
      </c>
      <c r="M5" t="s">
        <v>68</v>
      </c>
      <c r="O5" t="s">
        <v>69</v>
      </c>
      <c r="P5" t="s">
        <v>70</v>
      </c>
      <c r="Q5" t="s">
        <v>49</v>
      </c>
      <c r="R5" t="s">
        <v>50</v>
      </c>
      <c r="S5" s="1">
        <v>45809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5381396</v>
      </c>
    </row>
    <row r="6" spans="1:38" x14ac:dyDescent="0.25">
      <c r="A6" s="1">
        <v>45791</v>
      </c>
      <c r="B6" s="1">
        <v>45791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71</v>
      </c>
      <c r="J6" t="s">
        <v>72</v>
      </c>
      <c r="M6" t="s">
        <v>68</v>
      </c>
      <c r="O6" t="s">
        <v>69</v>
      </c>
      <c r="P6" t="s">
        <v>70</v>
      </c>
      <c r="Q6" t="s">
        <v>49</v>
      </c>
      <c r="R6" t="s">
        <v>58</v>
      </c>
      <c r="S6" s="1">
        <v>45809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5381371</v>
      </c>
    </row>
    <row r="7" spans="1:38" x14ac:dyDescent="0.25">
      <c r="A7" s="1">
        <v>45791</v>
      </c>
      <c r="B7" s="1">
        <v>45791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73</v>
      </c>
      <c r="J7" t="s">
        <v>74</v>
      </c>
      <c r="M7" t="s">
        <v>46</v>
      </c>
      <c r="O7" t="s">
        <v>75</v>
      </c>
      <c r="P7" t="s">
        <v>76</v>
      </c>
      <c r="Q7" t="s">
        <v>49</v>
      </c>
      <c r="R7" t="s">
        <v>77</v>
      </c>
      <c r="S7" s="1">
        <v>45778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5381339</v>
      </c>
    </row>
    <row r="8" spans="1:38" x14ac:dyDescent="0.25">
      <c r="A8" s="1">
        <v>45791</v>
      </c>
      <c r="B8" s="1">
        <v>45791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M8" t="s">
        <v>46</v>
      </c>
      <c r="O8" t="s">
        <v>80</v>
      </c>
      <c r="P8" t="s">
        <v>81</v>
      </c>
      <c r="Q8" t="s">
        <v>49</v>
      </c>
      <c r="R8" t="s">
        <v>77</v>
      </c>
      <c r="S8" s="1">
        <v>45778</v>
      </c>
      <c r="U8" t="s">
        <v>51</v>
      </c>
      <c r="X8" t="s">
        <v>52</v>
      </c>
      <c r="Y8" s="2">
        <v>0</v>
      </c>
      <c r="Z8" s="2">
        <v>15</v>
      </c>
      <c r="AA8">
        <v>1</v>
      </c>
      <c r="AB8" s="3">
        <v>1</v>
      </c>
      <c r="AC8" s="2">
        <v>15</v>
      </c>
      <c r="AD8" s="3">
        <v>0</v>
      </c>
      <c r="AE8" s="2">
        <v>0</v>
      </c>
      <c r="AF8" s="2">
        <v>15</v>
      </c>
      <c r="AK8">
        <v>5381340</v>
      </c>
    </row>
    <row r="9" spans="1:38" x14ac:dyDescent="0.25">
      <c r="A9" s="1">
        <v>45791</v>
      </c>
      <c r="B9" s="1">
        <v>45791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M9" t="s">
        <v>46</v>
      </c>
      <c r="O9" t="s">
        <v>84</v>
      </c>
      <c r="P9" t="s">
        <v>85</v>
      </c>
      <c r="Q9" t="s">
        <v>49</v>
      </c>
      <c r="R9" t="s">
        <v>50</v>
      </c>
      <c r="S9" s="1">
        <v>45778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5381416</v>
      </c>
    </row>
    <row r="10" spans="1:38" x14ac:dyDescent="0.25">
      <c r="A10" s="1">
        <v>45791</v>
      </c>
      <c r="B10" s="1">
        <v>45791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86</v>
      </c>
      <c r="J10" t="s">
        <v>87</v>
      </c>
      <c r="M10" t="s">
        <v>46</v>
      </c>
      <c r="O10" t="s">
        <v>88</v>
      </c>
      <c r="P10" t="s">
        <v>89</v>
      </c>
      <c r="Q10" t="s">
        <v>49</v>
      </c>
      <c r="R10" t="s">
        <v>50</v>
      </c>
      <c r="S10" s="1">
        <v>45778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5381420</v>
      </c>
    </row>
    <row r="11" spans="1:38" x14ac:dyDescent="0.25">
      <c r="A11" s="1">
        <v>45791</v>
      </c>
      <c r="B11" s="1">
        <v>45791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92</v>
      </c>
      <c r="O11" t="s">
        <v>93</v>
      </c>
      <c r="P11" t="s">
        <v>94</v>
      </c>
      <c r="Q11" t="s">
        <v>49</v>
      </c>
      <c r="R11" t="s">
        <v>50</v>
      </c>
      <c r="S11" s="1">
        <v>45778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5381431</v>
      </c>
    </row>
    <row r="12" spans="1:38" x14ac:dyDescent="0.25">
      <c r="A12" s="1">
        <v>45791</v>
      </c>
      <c r="B12" s="1">
        <v>45791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95</v>
      </c>
      <c r="J12" t="s">
        <v>96</v>
      </c>
      <c r="M12" t="s">
        <v>46</v>
      </c>
      <c r="O12" t="s">
        <v>84</v>
      </c>
      <c r="P12" t="s">
        <v>85</v>
      </c>
      <c r="Q12" t="s">
        <v>49</v>
      </c>
      <c r="R12" t="s">
        <v>50</v>
      </c>
      <c r="S12" s="1">
        <v>45809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5381439</v>
      </c>
    </row>
    <row r="13" spans="1:38" x14ac:dyDescent="0.25">
      <c r="A13" s="1">
        <v>45791</v>
      </c>
      <c r="B13" s="1">
        <v>45791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97</v>
      </c>
      <c r="J13" t="s">
        <v>98</v>
      </c>
      <c r="M13" t="s">
        <v>99</v>
      </c>
      <c r="O13" t="s">
        <v>69</v>
      </c>
      <c r="P13" t="s">
        <v>70</v>
      </c>
      <c r="Q13" t="s">
        <v>49</v>
      </c>
      <c r="R13" t="s">
        <v>50</v>
      </c>
      <c r="S13" s="1">
        <v>45839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5381444</v>
      </c>
    </row>
    <row r="14" spans="1:38" x14ac:dyDescent="0.25">
      <c r="A14" s="1">
        <v>45791</v>
      </c>
      <c r="B14" s="1">
        <v>45791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102</v>
      </c>
      <c r="O14" t="s">
        <v>103</v>
      </c>
      <c r="P14" t="s">
        <v>104</v>
      </c>
      <c r="Q14" t="s">
        <v>49</v>
      </c>
      <c r="R14" t="s">
        <v>50</v>
      </c>
      <c r="S14" s="1">
        <v>45778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5381448</v>
      </c>
    </row>
    <row r="15" spans="1:38" x14ac:dyDescent="0.25">
      <c r="A15" s="1">
        <v>45791</v>
      </c>
      <c r="B15" s="1">
        <v>45791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105</v>
      </c>
      <c r="J15" t="s">
        <v>106</v>
      </c>
      <c r="M15" t="s">
        <v>107</v>
      </c>
      <c r="O15" t="s">
        <v>108</v>
      </c>
      <c r="P15" t="s">
        <v>109</v>
      </c>
      <c r="Q15" t="s">
        <v>49</v>
      </c>
      <c r="R15" t="s">
        <v>50</v>
      </c>
      <c r="S15" s="1">
        <v>45778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5381451</v>
      </c>
    </row>
    <row r="16" spans="1:38" x14ac:dyDescent="0.25">
      <c r="A16" s="1">
        <v>45791</v>
      </c>
      <c r="B16" s="1">
        <v>45791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110</v>
      </c>
      <c r="J16" t="s">
        <v>111</v>
      </c>
      <c r="M16" t="s">
        <v>46</v>
      </c>
      <c r="O16" t="s">
        <v>112</v>
      </c>
      <c r="P16" t="s">
        <v>113</v>
      </c>
      <c r="Q16" t="s">
        <v>49</v>
      </c>
      <c r="R16" t="s">
        <v>50</v>
      </c>
      <c r="S16" s="1">
        <v>45839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5381472</v>
      </c>
    </row>
    <row r="17" spans="1:38" x14ac:dyDescent="0.25">
      <c r="A17" s="1">
        <v>45791</v>
      </c>
      <c r="B17" s="1">
        <v>45791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114</v>
      </c>
      <c r="J17" t="s">
        <v>115</v>
      </c>
      <c r="M17" t="s">
        <v>46</v>
      </c>
      <c r="O17" t="s">
        <v>116</v>
      </c>
      <c r="P17" t="s">
        <v>117</v>
      </c>
      <c r="Q17" t="s">
        <v>49</v>
      </c>
      <c r="R17" t="s">
        <v>50</v>
      </c>
      <c r="S17" s="1">
        <v>45809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5381486</v>
      </c>
    </row>
    <row r="18" spans="1:38" x14ac:dyDescent="0.25">
      <c r="A18" s="1">
        <v>45791</v>
      </c>
      <c r="B18" s="1">
        <v>45791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118</v>
      </c>
      <c r="J18" t="s">
        <v>119</v>
      </c>
      <c r="M18" t="s">
        <v>107</v>
      </c>
      <c r="O18" t="s">
        <v>120</v>
      </c>
      <c r="P18" t="s">
        <v>121</v>
      </c>
      <c r="Q18" t="s">
        <v>49</v>
      </c>
      <c r="R18" t="s">
        <v>77</v>
      </c>
      <c r="S18" s="1">
        <v>45870</v>
      </c>
      <c r="U18" t="s">
        <v>51</v>
      </c>
      <c r="X18" t="s">
        <v>52</v>
      </c>
      <c r="Y18" s="2">
        <v>0</v>
      </c>
      <c r="Z18" s="2">
        <v>15</v>
      </c>
      <c r="AA18">
        <v>1</v>
      </c>
      <c r="AB18" s="3">
        <v>1</v>
      </c>
      <c r="AC18" s="2">
        <v>15</v>
      </c>
      <c r="AD18" s="3">
        <v>0</v>
      </c>
      <c r="AE18" s="2">
        <v>0</v>
      </c>
      <c r="AF18" s="2">
        <v>15</v>
      </c>
      <c r="AK18">
        <v>5381345</v>
      </c>
    </row>
    <row r="19" spans="1:38" x14ac:dyDescent="0.25">
      <c r="A19" s="1">
        <v>45791</v>
      </c>
      <c r="B19" s="1">
        <v>45791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122</v>
      </c>
      <c r="J19" t="s">
        <v>123</v>
      </c>
      <c r="M19" t="s">
        <v>46</v>
      </c>
      <c r="O19" t="s">
        <v>124</v>
      </c>
      <c r="P19" t="s">
        <v>125</v>
      </c>
      <c r="Q19" t="s">
        <v>49</v>
      </c>
      <c r="R19" t="s">
        <v>126</v>
      </c>
      <c r="S19" s="1">
        <v>45778</v>
      </c>
      <c r="U19" t="s">
        <v>51</v>
      </c>
      <c r="X19" t="s">
        <v>52</v>
      </c>
      <c r="Y19" s="2">
        <v>0</v>
      </c>
      <c r="Z19" s="2">
        <v>109</v>
      </c>
      <c r="AA19">
        <v>1</v>
      </c>
      <c r="AB19" s="3">
        <v>1</v>
      </c>
      <c r="AC19" s="2">
        <v>109</v>
      </c>
      <c r="AD19" s="3">
        <v>0</v>
      </c>
      <c r="AE19" s="2">
        <v>0</v>
      </c>
      <c r="AF19" s="2">
        <v>109</v>
      </c>
      <c r="AK19">
        <v>5381737</v>
      </c>
    </row>
    <row r="20" spans="1:38" x14ac:dyDescent="0.25">
      <c r="A20" s="1">
        <v>45791</v>
      </c>
      <c r="B20" s="1">
        <v>45791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127</v>
      </c>
      <c r="J20" t="s">
        <v>123</v>
      </c>
      <c r="M20" t="s">
        <v>46</v>
      </c>
      <c r="O20" t="s">
        <v>124</v>
      </c>
      <c r="P20" t="s">
        <v>125</v>
      </c>
      <c r="Q20" t="s">
        <v>49</v>
      </c>
      <c r="R20" t="s">
        <v>128</v>
      </c>
      <c r="S20" s="1">
        <v>45778</v>
      </c>
      <c r="U20" t="s">
        <v>51</v>
      </c>
      <c r="X20" t="s">
        <v>52</v>
      </c>
      <c r="Y20" s="2">
        <v>0</v>
      </c>
      <c r="Z20" s="2">
        <v>0</v>
      </c>
      <c r="AA20">
        <v>1</v>
      </c>
      <c r="AB20" s="3">
        <v>0</v>
      </c>
      <c r="AC20" s="2">
        <v>0</v>
      </c>
      <c r="AD20" s="3">
        <v>0</v>
      </c>
      <c r="AE20" s="2">
        <v>0</v>
      </c>
      <c r="AF20" s="2">
        <v>0</v>
      </c>
      <c r="AK20">
        <v>5381736</v>
      </c>
    </row>
    <row r="21" spans="1:38" x14ac:dyDescent="0.25">
      <c r="A21" s="1">
        <v>45791</v>
      </c>
      <c r="B21" s="1">
        <v>45791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129</v>
      </c>
      <c r="J21" t="s">
        <v>130</v>
      </c>
      <c r="M21" t="s">
        <v>46</v>
      </c>
      <c r="O21" t="s">
        <v>131</v>
      </c>
      <c r="P21" t="s">
        <v>132</v>
      </c>
      <c r="Q21" t="s">
        <v>49</v>
      </c>
      <c r="R21" t="s">
        <v>126</v>
      </c>
      <c r="S21" s="1">
        <v>45778</v>
      </c>
      <c r="U21" t="s">
        <v>51</v>
      </c>
      <c r="X21" t="s">
        <v>52</v>
      </c>
      <c r="Y21" s="2">
        <v>0</v>
      </c>
      <c r="Z21" s="2">
        <v>109</v>
      </c>
      <c r="AA21">
        <v>1</v>
      </c>
      <c r="AB21" s="3">
        <v>1</v>
      </c>
      <c r="AC21" s="2">
        <v>109</v>
      </c>
      <c r="AD21" s="3">
        <v>0</v>
      </c>
      <c r="AE21" s="2">
        <v>0</v>
      </c>
      <c r="AF21" s="2">
        <v>109</v>
      </c>
      <c r="AK21">
        <v>5381528</v>
      </c>
    </row>
    <row r="22" spans="1:38" x14ac:dyDescent="0.25">
      <c r="A22" s="1">
        <v>45791</v>
      </c>
      <c r="B22" s="1">
        <v>45791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133</v>
      </c>
      <c r="J22" t="s">
        <v>130</v>
      </c>
      <c r="M22" t="s">
        <v>46</v>
      </c>
      <c r="O22" t="s">
        <v>131</v>
      </c>
      <c r="P22" t="s">
        <v>132</v>
      </c>
      <c r="Q22" t="s">
        <v>49</v>
      </c>
      <c r="R22" t="s">
        <v>128</v>
      </c>
      <c r="S22" s="1">
        <v>45778</v>
      </c>
      <c r="U22" t="s">
        <v>51</v>
      </c>
      <c r="X22" t="s">
        <v>52</v>
      </c>
      <c r="Y22" s="2">
        <v>0</v>
      </c>
      <c r="Z22" s="2">
        <v>0</v>
      </c>
      <c r="AA22">
        <v>1</v>
      </c>
      <c r="AB22" s="3">
        <v>0</v>
      </c>
      <c r="AC22" s="2">
        <v>0</v>
      </c>
      <c r="AD22" s="3">
        <v>0</v>
      </c>
      <c r="AE22" s="2">
        <v>0</v>
      </c>
      <c r="AF22" s="2">
        <v>0</v>
      </c>
      <c r="AK22">
        <v>5381527</v>
      </c>
    </row>
    <row r="23" spans="1:38" x14ac:dyDescent="0.25">
      <c r="A23" s="1">
        <v>45791</v>
      </c>
      <c r="B23" s="1">
        <v>45791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134</v>
      </c>
      <c r="J23" t="s">
        <v>135</v>
      </c>
      <c r="M23" t="s">
        <v>46</v>
      </c>
      <c r="O23" t="s">
        <v>136</v>
      </c>
      <c r="P23" t="s">
        <v>137</v>
      </c>
      <c r="Q23" t="s">
        <v>49</v>
      </c>
      <c r="R23" t="s">
        <v>126</v>
      </c>
      <c r="S23" s="1">
        <v>45778</v>
      </c>
      <c r="U23" t="s">
        <v>51</v>
      </c>
      <c r="X23" t="s">
        <v>52</v>
      </c>
      <c r="Y23" s="2">
        <v>0</v>
      </c>
      <c r="Z23" s="2">
        <v>109</v>
      </c>
      <c r="AA23">
        <v>1</v>
      </c>
      <c r="AB23" s="3">
        <v>1</v>
      </c>
      <c r="AC23" s="2">
        <v>109</v>
      </c>
      <c r="AD23" s="3">
        <v>0</v>
      </c>
      <c r="AE23" s="2">
        <v>0</v>
      </c>
      <c r="AF23" s="2">
        <v>109</v>
      </c>
      <c r="AK23">
        <v>5381747</v>
      </c>
    </row>
    <row r="24" spans="1:38" x14ac:dyDescent="0.25">
      <c r="A24" s="1">
        <v>45791</v>
      </c>
      <c r="B24" s="1">
        <v>45791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138</v>
      </c>
      <c r="J24" t="s">
        <v>135</v>
      </c>
      <c r="M24" t="s">
        <v>46</v>
      </c>
      <c r="O24" t="s">
        <v>136</v>
      </c>
      <c r="P24" t="s">
        <v>137</v>
      </c>
      <c r="Q24" t="s">
        <v>49</v>
      </c>
      <c r="R24" t="s">
        <v>128</v>
      </c>
      <c r="S24" s="1">
        <v>45778</v>
      </c>
      <c r="U24" t="s">
        <v>51</v>
      </c>
      <c r="X24" t="s">
        <v>52</v>
      </c>
      <c r="Y24" s="2">
        <v>0</v>
      </c>
      <c r="Z24" s="2">
        <v>0</v>
      </c>
      <c r="AA24">
        <v>1</v>
      </c>
      <c r="AB24" s="3">
        <v>0</v>
      </c>
      <c r="AC24" s="2">
        <v>0</v>
      </c>
      <c r="AD24" s="3">
        <v>0</v>
      </c>
      <c r="AE24" s="2">
        <v>0</v>
      </c>
      <c r="AF24" s="2">
        <v>0</v>
      </c>
      <c r="AK24">
        <v>5381746</v>
      </c>
    </row>
    <row r="25" spans="1:38" x14ac:dyDescent="0.25">
      <c r="A25" s="1">
        <v>45791</v>
      </c>
      <c r="B25" s="1">
        <v>45791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139</v>
      </c>
      <c r="J25" t="s">
        <v>140</v>
      </c>
      <c r="M25" t="s">
        <v>46</v>
      </c>
      <c r="O25" t="s">
        <v>141</v>
      </c>
      <c r="P25" t="s">
        <v>142</v>
      </c>
      <c r="Q25" t="s">
        <v>49</v>
      </c>
      <c r="R25" t="s">
        <v>143</v>
      </c>
      <c r="S25" s="1">
        <v>45778</v>
      </c>
      <c r="U25" t="s">
        <v>51</v>
      </c>
      <c r="X25" t="s">
        <v>52</v>
      </c>
      <c r="Y25" s="2">
        <v>0</v>
      </c>
      <c r="Z25" s="2">
        <v>72.67</v>
      </c>
      <c r="AA25">
        <v>1</v>
      </c>
      <c r="AB25" s="3">
        <v>1</v>
      </c>
      <c r="AC25" s="2">
        <v>72.67</v>
      </c>
      <c r="AD25" s="3">
        <v>0</v>
      </c>
      <c r="AE25" s="2">
        <v>0</v>
      </c>
      <c r="AF25" s="2">
        <v>72.67</v>
      </c>
      <c r="AK25">
        <v>5381749</v>
      </c>
      <c r="AL25" t="s">
        <v>144</v>
      </c>
    </row>
    <row r="26" spans="1:38" x14ac:dyDescent="0.25">
      <c r="A26" s="1">
        <v>45791</v>
      </c>
      <c r="B26" s="1">
        <v>45791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145</v>
      </c>
      <c r="J26" t="s">
        <v>140</v>
      </c>
      <c r="M26" t="s">
        <v>46</v>
      </c>
      <c r="O26" t="s">
        <v>141</v>
      </c>
      <c r="P26" t="s">
        <v>142</v>
      </c>
      <c r="Q26" t="s">
        <v>49</v>
      </c>
      <c r="R26" t="s">
        <v>146</v>
      </c>
      <c r="S26" s="1">
        <v>45778</v>
      </c>
      <c r="U26" t="s">
        <v>51</v>
      </c>
      <c r="X26" t="s">
        <v>52</v>
      </c>
      <c r="Y26" s="2">
        <v>0</v>
      </c>
      <c r="Z26" s="2">
        <v>0</v>
      </c>
      <c r="AA26">
        <v>1</v>
      </c>
      <c r="AB26" s="3">
        <v>0</v>
      </c>
      <c r="AC26" s="2">
        <v>0</v>
      </c>
      <c r="AD26" s="3">
        <v>0</v>
      </c>
      <c r="AE26" s="2">
        <v>0</v>
      </c>
      <c r="AF26" s="2">
        <v>0</v>
      </c>
      <c r="AK26">
        <v>5381748</v>
      </c>
      <c r="AL26" t="s">
        <v>144</v>
      </c>
    </row>
    <row r="27" spans="1:38" x14ac:dyDescent="0.25">
      <c r="A27" s="1">
        <v>45791</v>
      </c>
      <c r="B27" s="1">
        <v>45791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147</v>
      </c>
      <c r="J27" t="s">
        <v>148</v>
      </c>
      <c r="M27" t="s">
        <v>149</v>
      </c>
      <c r="O27" t="s">
        <v>150</v>
      </c>
      <c r="P27" t="s">
        <v>151</v>
      </c>
      <c r="Q27" t="s">
        <v>49</v>
      </c>
      <c r="R27" t="s">
        <v>152</v>
      </c>
      <c r="S27" s="1">
        <v>45809</v>
      </c>
      <c r="U27" t="s">
        <v>51</v>
      </c>
      <c r="X27" t="s">
        <v>52</v>
      </c>
      <c r="Y27" s="2">
        <v>0</v>
      </c>
      <c r="Z27" s="2">
        <v>21.58</v>
      </c>
      <c r="AA27">
        <v>1</v>
      </c>
      <c r="AB27" s="3">
        <v>1</v>
      </c>
      <c r="AC27" s="2">
        <v>21.58</v>
      </c>
      <c r="AD27" s="3">
        <v>0</v>
      </c>
      <c r="AE27" s="2">
        <v>0</v>
      </c>
      <c r="AF27" s="2">
        <v>21.58</v>
      </c>
      <c r="AK27">
        <v>5381533</v>
      </c>
      <c r="AL27" t="s">
        <v>153</v>
      </c>
    </row>
    <row r="28" spans="1:38" x14ac:dyDescent="0.25">
      <c r="A28" s="1">
        <v>45791</v>
      </c>
      <c r="B28" s="1">
        <v>45791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154</v>
      </c>
      <c r="J28" t="s">
        <v>148</v>
      </c>
      <c r="M28" t="s">
        <v>149</v>
      </c>
      <c r="O28" t="s">
        <v>150</v>
      </c>
      <c r="P28" t="s">
        <v>151</v>
      </c>
      <c r="Q28" t="s">
        <v>49</v>
      </c>
      <c r="R28" t="s">
        <v>155</v>
      </c>
      <c r="S28" s="1">
        <v>45809</v>
      </c>
      <c r="U28" t="s">
        <v>51</v>
      </c>
      <c r="X28" t="s">
        <v>52</v>
      </c>
      <c r="Y28" s="2">
        <v>0</v>
      </c>
      <c r="Z28" s="2">
        <v>0</v>
      </c>
      <c r="AA28">
        <v>1</v>
      </c>
      <c r="AB28" s="3">
        <v>0</v>
      </c>
      <c r="AC28" s="2">
        <v>0</v>
      </c>
      <c r="AD28" s="3">
        <v>0</v>
      </c>
      <c r="AE28" s="2">
        <v>0</v>
      </c>
      <c r="AF28" s="2">
        <v>0</v>
      </c>
      <c r="AK28">
        <v>5381534</v>
      </c>
      <c r="AL28" t="s">
        <v>153</v>
      </c>
    </row>
    <row r="29" spans="1:38" x14ac:dyDescent="0.25">
      <c r="A29" s="1">
        <v>45791</v>
      </c>
      <c r="B29" s="1">
        <v>45791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156</v>
      </c>
      <c r="J29" t="s">
        <v>157</v>
      </c>
      <c r="M29" t="s">
        <v>107</v>
      </c>
      <c r="O29" t="s">
        <v>158</v>
      </c>
      <c r="P29" t="s">
        <v>159</v>
      </c>
      <c r="Q29" t="s">
        <v>49</v>
      </c>
      <c r="R29" t="s">
        <v>160</v>
      </c>
      <c r="S29" s="1">
        <v>45717</v>
      </c>
      <c r="U29" t="s">
        <v>51</v>
      </c>
      <c r="X29" t="s">
        <v>52</v>
      </c>
      <c r="Y29" s="2">
        <v>0</v>
      </c>
      <c r="Z29" s="2">
        <v>40</v>
      </c>
      <c r="AA29">
        <v>1</v>
      </c>
      <c r="AB29" s="3">
        <v>1</v>
      </c>
      <c r="AC29" s="2">
        <v>40</v>
      </c>
      <c r="AD29" s="3">
        <v>0</v>
      </c>
      <c r="AE29" s="2">
        <v>0</v>
      </c>
      <c r="AF29" s="2">
        <v>40</v>
      </c>
      <c r="AK29">
        <v>5381135</v>
      </c>
    </row>
    <row r="30" spans="1:38" x14ac:dyDescent="0.25">
      <c r="A30" s="1">
        <v>45791</v>
      </c>
      <c r="B30" s="1">
        <v>45791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161</v>
      </c>
      <c r="J30" t="s">
        <v>162</v>
      </c>
      <c r="M30" t="s">
        <v>46</v>
      </c>
      <c r="O30" t="s">
        <v>84</v>
      </c>
      <c r="P30" t="s">
        <v>85</v>
      </c>
      <c r="Q30" t="s">
        <v>49</v>
      </c>
      <c r="R30" t="s">
        <v>163</v>
      </c>
      <c r="S30" s="1">
        <v>45778</v>
      </c>
      <c r="U30" t="s">
        <v>51</v>
      </c>
      <c r="X30" t="s">
        <v>52</v>
      </c>
      <c r="Y30" s="2">
        <v>0</v>
      </c>
      <c r="Z30" s="2">
        <v>33.33</v>
      </c>
      <c r="AA30">
        <v>1</v>
      </c>
      <c r="AB30" s="3">
        <v>1</v>
      </c>
      <c r="AC30" s="2">
        <v>33.33</v>
      </c>
      <c r="AD30" s="3">
        <v>0</v>
      </c>
      <c r="AE30" s="2">
        <v>0</v>
      </c>
      <c r="AF30" s="2">
        <v>33.33</v>
      </c>
      <c r="AK30">
        <v>5381154</v>
      </c>
      <c r="AL30" t="s">
        <v>144</v>
      </c>
    </row>
    <row r="31" spans="1:38" x14ac:dyDescent="0.25">
      <c r="A31" s="1">
        <v>45791</v>
      </c>
      <c r="B31" s="1">
        <v>45791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164</v>
      </c>
      <c r="J31" t="s">
        <v>165</v>
      </c>
      <c r="M31" t="s">
        <v>107</v>
      </c>
      <c r="O31" t="s">
        <v>166</v>
      </c>
      <c r="P31" t="s">
        <v>167</v>
      </c>
      <c r="Q31" t="s">
        <v>49</v>
      </c>
      <c r="R31" t="s">
        <v>163</v>
      </c>
      <c r="S31" s="1">
        <v>45809</v>
      </c>
      <c r="U31" t="s">
        <v>51</v>
      </c>
      <c r="X31" t="s">
        <v>52</v>
      </c>
      <c r="Y31" s="2">
        <v>0</v>
      </c>
      <c r="Z31" s="2">
        <v>29.17</v>
      </c>
      <c r="AA31">
        <v>1</v>
      </c>
      <c r="AB31" s="3">
        <v>1</v>
      </c>
      <c r="AC31" s="2">
        <v>29.17</v>
      </c>
      <c r="AD31" s="3">
        <v>0</v>
      </c>
      <c r="AE31" s="2">
        <v>0</v>
      </c>
      <c r="AF31" s="2">
        <v>29.17</v>
      </c>
      <c r="AK31">
        <v>5381155</v>
      </c>
      <c r="AL31" t="s">
        <v>153</v>
      </c>
    </row>
    <row r="32" spans="1:38" x14ac:dyDescent="0.25">
      <c r="A32" s="1">
        <v>45791</v>
      </c>
      <c r="B32" s="1">
        <v>45791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168</v>
      </c>
      <c r="J32" t="s">
        <v>169</v>
      </c>
      <c r="M32" t="s">
        <v>46</v>
      </c>
      <c r="O32" t="s">
        <v>131</v>
      </c>
      <c r="P32" t="s">
        <v>132</v>
      </c>
      <c r="Q32" t="s">
        <v>49</v>
      </c>
      <c r="R32" t="s">
        <v>170</v>
      </c>
      <c r="S32" s="1">
        <v>45778</v>
      </c>
      <c r="U32" t="s">
        <v>51</v>
      </c>
      <c r="X32" t="s">
        <v>52</v>
      </c>
      <c r="Y32" s="2">
        <v>0</v>
      </c>
      <c r="Z32" s="2">
        <v>100</v>
      </c>
      <c r="AA32">
        <v>1</v>
      </c>
      <c r="AB32" s="3">
        <v>1</v>
      </c>
      <c r="AC32" s="2">
        <v>100</v>
      </c>
      <c r="AD32" s="3">
        <v>0</v>
      </c>
      <c r="AE32" s="2">
        <v>0</v>
      </c>
      <c r="AF32" s="2">
        <v>100</v>
      </c>
      <c r="AK32">
        <v>5381301</v>
      </c>
    </row>
    <row r="33" spans="1:38" x14ac:dyDescent="0.25">
      <c r="A33" s="1">
        <v>45791</v>
      </c>
      <c r="B33" s="1">
        <v>45791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171</v>
      </c>
      <c r="J33" t="s">
        <v>172</v>
      </c>
      <c r="M33" t="s">
        <v>92</v>
      </c>
      <c r="O33" t="s">
        <v>120</v>
      </c>
      <c r="P33" t="s">
        <v>121</v>
      </c>
      <c r="Q33" t="s">
        <v>49</v>
      </c>
      <c r="R33" t="s">
        <v>173</v>
      </c>
      <c r="S33" s="1">
        <v>45778</v>
      </c>
      <c r="U33" t="s">
        <v>51</v>
      </c>
      <c r="X33" t="s">
        <v>52</v>
      </c>
      <c r="Y33" s="2">
        <v>0</v>
      </c>
      <c r="Z33" s="2">
        <v>780</v>
      </c>
      <c r="AA33">
        <v>1</v>
      </c>
      <c r="AB33" s="3">
        <v>1</v>
      </c>
      <c r="AC33" s="2">
        <v>780</v>
      </c>
      <c r="AD33" s="3">
        <v>0</v>
      </c>
      <c r="AE33" s="2">
        <v>0</v>
      </c>
      <c r="AF33" s="2">
        <v>780</v>
      </c>
      <c r="AK33">
        <v>5381590</v>
      </c>
    </row>
    <row r="34" spans="1:38" x14ac:dyDescent="0.25">
      <c r="A34" s="1">
        <v>45791</v>
      </c>
      <c r="B34" s="1">
        <v>45791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174</v>
      </c>
      <c r="J34" t="s">
        <v>175</v>
      </c>
      <c r="M34" t="s">
        <v>46</v>
      </c>
      <c r="O34" t="s">
        <v>75</v>
      </c>
      <c r="P34" t="s">
        <v>76</v>
      </c>
      <c r="Q34" t="s">
        <v>49</v>
      </c>
      <c r="R34" t="s">
        <v>176</v>
      </c>
      <c r="S34" s="1">
        <v>45778</v>
      </c>
      <c r="U34" t="s">
        <v>51</v>
      </c>
      <c r="X34" t="s">
        <v>52</v>
      </c>
      <c r="Y34" s="2">
        <v>0</v>
      </c>
      <c r="Z34" s="2">
        <v>626</v>
      </c>
      <c r="AA34">
        <v>1</v>
      </c>
      <c r="AB34" s="3">
        <v>1</v>
      </c>
      <c r="AC34" s="2">
        <v>626</v>
      </c>
      <c r="AD34" s="3">
        <v>0</v>
      </c>
      <c r="AE34" s="2">
        <v>0</v>
      </c>
      <c r="AF34" s="2">
        <v>626</v>
      </c>
      <c r="AK34">
        <v>5381599</v>
      </c>
    </row>
    <row r="35" spans="1:38" x14ac:dyDescent="0.25">
      <c r="A35" s="1">
        <v>45791</v>
      </c>
      <c r="B35" s="1">
        <v>45791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177</v>
      </c>
      <c r="J35" t="s">
        <v>178</v>
      </c>
      <c r="M35" t="s">
        <v>99</v>
      </c>
      <c r="O35" t="s">
        <v>80</v>
      </c>
      <c r="P35" t="s">
        <v>81</v>
      </c>
      <c r="Q35" t="s">
        <v>49</v>
      </c>
      <c r="R35" t="s">
        <v>176</v>
      </c>
      <c r="S35" s="1">
        <v>45778</v>
      </c>
      <c r="U35" t="s">
        <v>51</v>
      </c>
      <c r="X35" t="s">
        <v>52</v>
      </c>
      <c r="Y35" s="2">
        <v>0</v>
      </c>
      <c r="Z35" s="2">
        <v>626</v>
      </c>
      <c r="AA35">
        <v>1</v>
      </c>
      <c r="AB35" s="3">
        <v>1</v>
      </c>
      <c r="AC35" s="2">
        <v>626</v>
      </c>
      <c r="AD35" s="3">
        <v>0</v>
      </c>
      <c r="AE35" s="2">
        <v>0</v>
      </c>
      <c r="AF35" s="2">
        <v>626</v>
      </c>
      <c r="AK35">
        <v>5381600</v>
      </c>
    </row>
    <row r="36" spans="1:38" x14ac:dyDescent="0.25">
      <c r="A36" s="1">
        <v>45791</v>
      </c>
      <c r="B36" s="1">
        <v>45791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179</v>
      </c>
      <c r="J36" t="s">
        <v>180</v>
      </c>
      <c r="M36" t="s">
        <v>102</v>
      </c>
      <c r="O36" t="s">
        <v>103</v>
      </c>
      <c r="P36" t="s">
        <v>104</v>
      </c>
      <c r="Q36" t="s">
        <v>49</v>
      </c>
      <c r="R36" t="s">
        <v>181</v>
      </c>
      <c r="S36" s="1">
        <v>45809</v>
      </c>
      <c r="U36" t="s">
        <v>51</v>
      </c>
      <c r="X36" t="s">
        <v>52</v>
      </c>
      <c r="Y36" s="2">
        <v>0</v>
      </c>
      <c r="Z36" s="2">
        <v>182.58</v>
      </c>
      <c r="AA36">
        <v>1</v>
      </c>
      <c r="AB36" s="3">
        <v>1</v>
      </c>
      <c r="AC36" s="2">
        <v>182.58</v>
      </c>
      <c r="AD36" s="3">
        <v>0</v>
      </c>
      <c r="AE36" s="2">
        <v>0</v>
      </c>
      <c r="AF36" s="2">
        <v>182.58</v>
      </c>
      <c r="AK36">
        <v>5381612</v>
      </c>
      <c r="AL36" t="s">
        <v>153</v>
      </c>
    </row>
    <row r="37" spans="1:38" x14ac:dyDescent="0.25">
      <c r="A37" s="1">
        <v>45791</v>
      </c>
      <c r="B37" s="1">
        <v>45791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182</v>
      </c>
      <c r="J37" t="s">
        <v>180</v>
      </c>
      <c r="M37" t="s">
        <v>102</v>
      </c>
      <c r="O37" t="s">
        <v>103</v>
      </c>
      <c r="P37" t="s">
        <v>104</v>
      </c>
      <c r="Q37" t="s">
        <v>49</v>
      </c>
      <c r="R37" t="s">
        <v>183</v>
      </c>
      <c r="S37" s="1">
        <v>45809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5381613</v>
      </c>
    </row>
    <row r="38" spans="1:38" x14ac:dyDescent="0.25">
      <c r="A38" s="1">
        <v>45791</v>
      </c>
      <c r="B38" s="1">
        <v>45791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184</v>
      </c>
      <c r="J38" t="s">
        <v>185</v>
      </c>
      <c r="M38" t="s">
        <v>46</v>
      </c>
      <c r="O38" t="s">
        <v>131</v>
      </c>
      <c r="P38" t="s">
        <v>132</v>
      </c>
      <c r="Q38" t="s">
        <v>49</v>
      </c>
      <c r="R38" t="s">
        <v>176</v>
      </c>
      <c r="S38" s="1">
        <v>45778</v>
      </c>
      <c r="U38" t="s">
        <v>51</v>
      </c>
      <c r="X38" t="s">
        <v>52</v>
      </c>
      <c r="Y38" s="2">
        <v>0</v>
      </c>
      <c r="Z38" s="2">
        <v>626</v>
      </c>
      <c r="AA38">
        <v>1</v>
      </c>
      <c r="AB38" s="3">
        <v>1</v>
      </c>
      <c r="AC38" s="2">
        <v>626</v>
      </c>
      <c r="AD38" s="3">
        <v>0</v>
      </c>
      <c r="AE38" s="2">
        <v>0</v>
      </c>
      <c r="AF38" s="2">
        <v>626</v>
      </c>
      <c r="AK38">
        <v>5381614</v>
      </c>
    </row>
    <row r="39" spans="1:38" x14ac:dyDescent="0.25">
      <c r="A39" s="1">
        <v>45791</v>
      </c>
      <c r="B39" s="1">
        <v>45791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186</v>
      </c>
      <c r="J39" t="s">
        <v>187</v>
      </c>
      <c r="M39" t="s">
        <v>149</v>
      </c>
      <c r="O39" t="s">
        <v>188</v>
      </c>
      <c r="P39" t="s">
        <v>189</v>
      </c>
      <c r="Q39" t="s">
        <v>49</v>
      </c>
      <c r="R39" t="s">
        <v>181</v>
      </c>
      <c r="S39" s="1">
        <v>45778</v>
      </c>
      <c r="U39" t="s">
        <v>51</v>
      </c>
      <c r="X39" t="s">
        <v>52</v>
      </c>
      <c r="Y39" s="2">
        <v>0</v>
      </c>
      <c r="Z39" s="2">
        <v>208.67</v>
      </c>
      <c r="AA39">
        <v>1</v>
      </c>
      <c r="AB39" s="3">
        <v>1</v>
      </c>
      <c r="AC39" s="2">
        <v>208.67</v>
      </c>
      <c r="AD39" s="3">
        <v>0</v>
      </c>
      <c r="AE39" s="2">
        <v>0</v>
      </c>
      <c r="AF39" s="2">
        <v>208.67</v>
      </c>
      <c r="AK39">
        <v>5381625</v>
      </c>
      <c r="AL39" t="s">
        <v>144</v>
      </c>
    </row>
    <row r="40" spans="1:38" x14ac:dyDescent="0.25">
      <c r="A40" s="1">
        <v>45791</v>
      </c>
      <c r="B40" s="1">
        <v>45791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190</v>
      </c>
      <c r="J40" t="s">
        <v>187</v>
      </c>
      <c r="M40" t="s">
        <v>149</v>
      </c>
      <c r="O40" t="s">
        <v>188</v>
      </c>
      <c r="P40" t="s">
        <v>189</v>
      </c>
      <c r="Q40" t="s">
        <v>49</v>
      </c>
      <c r="R40" t="s">
        <v>183</v>
      </c>
      <c r="S40" s="1">
        <v>45778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5381626</v>
      </c>
    </row>
    <row r="41" spans="1:38" x14ac:dyDescent="0.25">
      <c r="A41" s="1">
        <v>45791</v>
      </c>
      <c r="B41" s="1">
        <v>45791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191</v>
      </c>
      <c r="J41" t="s">
        <v>192</v>
      </c>
      <c r="M41" t="s">
        <v>193</v>
      </c>
      <c r="O41" t="s">
        <v>194</v>
      </c>
      <c r="P41" t="s">
        <v>195</v>
      </c>
      <c r="Q41" t="s">
        <v>49</v>
      </c>
      <c r="R41" t="s">
        <v>176</v>
      </c>
      <c r="S41" s="1">
        <v>45778</v>
      </c>
      <c r="U41" t="s">
        <v>51</v>
      </c>
      <c r="X41" t="s">
        <v>52</v>
      </c>
      <c r="Y41" s="2">
        <v>0</v>
      </c>
      <c r="Z41" s="2">
        <v>626</v>
      </c>
      <c r="AA41">
        <v>1</v>
      </c>
      <c r="AB41" s="3">
        <v>1</v>
      </c>
      <c r="AC41" s="2">
        <v>626</v>
      </c>
      <c r="AD41" s="3">
        <v>0</v>
      </c>
      <c r="AE41" s="2">
        <v>0</v>
      </c>
      <c r="AF41" s="2">
        <v>626</v>
      </c>
      <c r="AK41">
        <v>5381643</v>
      </c>
    </row>
    <row r="42" spans="1:38" x14ac:dyDescent="0.25">
      <c r="A42" s="1">
        <v>45791</v>
      </c>
      <c r="B42" s="1">
        <v>45791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196</v>
      </c>
      <c r="J42" t="s">
        <v>197</v>
      </c>
      <c r="M42" t="s">
        <v>198</v>
      </c>
      <c r="O42" t="s">
        <v>199</v>
      </c>
      <c r="P42" t="s">
        <v>200</v>
      </c>
      <c r="Q42" t="s">
        <v>49</v>
      </c>
      <c r="R42" t="s">
        <v>181</v>
      </c>
      <c r="S42" s="1">
        <v>45778</v>
      </c>
      <c r="U42" t="s">
        <v>51</v>
      </c>
      <c r="X42" t="s">
        <v>52</v>
      </c>
      <c r="Y42" s="2">
        <v>0</v>
      </c>
      <c r="Z42" s="2">
        <v>208.67</v>
      </c>
      <c r="AA42">
        <v>1</v>
      </c>
      <c r="AB42" s="3">
        <v>1</v>
      </c>
      <c r="AC42" s="2">
        <v>208.67</v>
      </c>
      <c r="AD42" s="3">
        <v>0</v>
      </c>
      <c r="AE42" s="2">
        <v>0</v>
      </c>
      <c r="AF42" s="2">
        <v>208.67</v>
      </c>
      <c r="AK42">
        <v>5381647</v>
      </c>
      <c r="AL42" t="s">
        <v>144</v>
      </c>
    </row>
    <row r="43" spans="1:38" x14ac:dyDescent="0.25">
      <c r="A43" s="1">
        <v>45791</v>
      </c>
      <c r="B43" s="1">
        <v>45791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201</v>
      </c>
      <c r="J43" t="s">
        <v>197</v>
      </c>
      <c r="M43" t="s">
        <v>198</v>
      </c>
      <c r="O43" t="s">
        <v>199</v>
      </c>
      <c r="P43" t="s">
        <v>200</v>
      </c>
      <c r="Q43" t="s">
        <v>49</v>
      </c>
      <c r="R43" t="s">
        <v>202</v>
      </c>
      <c r="S43" s="1">
        <v>45778</v>
      </c>
      <c r="U43" t="s">
        <v>51</v>
      </c>
      <c r="X43" t="s">
        <v>52</v>
      </c>
      <c r="Y43" s="2">
        <v>0</v>
      </c>
      <c r="Z43" s="2">
        <v>48</v>
      </c>
      <c r="AA43">
        <v>1</v>
      </c>
      <c r="AB43" s="3">
        <v>1</v>
      </c>
      <c r="AC43" s="2">
        <v>48</v>
      </c>
      <c r="AD43" s="3">
        <v>0</v>
      </c>
      <c r="AE43" s="2">
        <v>0</v>
      </c>
      <c r="AF43" s="2">
        <v>48</v>
      </c>
      <c r="AK43">
        <v>5381648</v>
      </c>
      <c r="AL43" t="s">
        <v>144</v>
      </c>
    </row>
    <row r="44" spans="1:38" x14ac:dyDescent="0.25">
      <c r="A44" s="1">
        <v>45791</v>
      </c>
      <c r="B44" s="1">
        <v>45791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203</v>
      </c>
      <c r="J44" t="s">
        <v>204</v>
      </c>
      <c r="M44" t="s">
        <v>205</v>
      </c>
      <c r="O44" t="s">
        <v>80</v>
      </c>
      <c r="P44" t="s">
        <v>81</v>
      </c>
      <c r="Q44" t="s">
        <v>49</v>
      </c>
      <c r="R44" t="s">
        <v>176</v>
      </c>
      <c r="S44" s="1">
        <v>45809</v>
      </c>
      <c r="U44" t="s">
        <v>51</v>
      </c>
      <c r="X44" t="s">
        <v>52</v>
      </c>
      <c r="Y44" s="2">
        <v>0</v>
      </c>
      <c r="Z44" s="2">
        <v>626</v>
      </c>
      <c r="AA44">
        <v>1</v>
      </c>
      <c r="AB44" s="3">
        <v>1</v>
      </c>
      <c r="AC44" s="2">
        <v>626</v>
      </c>
      <c r="AD44" s="3">
        <v>0</v>
      </c>
      <c r="AE44" s="2">
        <v>0</v>
      </c>
      <c r="AF44" s="2">
        <v>626</v>
      </c>
      <c r="AK44">
        <v>5381651</v>
      </c>
    </row>
    <row r="45" spans="1:38" x14ac:dyDescent="0.25">
      <c r="A45" s="1">
        <v>45791</v>
      </c>
      <c r="B45" s="1">
        <v>45791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206</v>
      </c>
      <c r="J45" t="s">
        <v>207</v>
      </c>
      <c r="M45" t="s">
        <v>46</v>
      </c>
      <c r="O45" t="s">
        <v>141</v>
      </c>
      <c r="P45" t="s">
        <v>142</v>
      </c>
      <c r="Q45" t="s">
        <v>49</v>
      </c>
      <c r="R45" t="s">
        <v>176</v>
      </c>
      <c r="S45" s="1">
        <v>45778</v>
      </c>
      <c r="U45" t="s">
        <v>51</v>
      </c>
      <c r="X45" t="s">
        <v>52</v>
      </c>
      <c r="Y45" s="2">
        <v>0</v>
      </c>
      <c r="Z45" s="2">
        <v>626</v>
      </c>
      <c r="AA45">
        <v>1</v>
      </c>
      <c r="AB45" s="3">
        <v>1</v>
      </c>
      <c r="AC45" s="2">
        <v>626</v>
      </c>
      <c r="AD45" s="3">
        <v>0</v>
      </c>
      <c r="AE45" s="2">
        <v>0</v>
      </c>
      <c r="AF45" s="2">
        <v>626</v>
      </c>
      <c r="AK45">
        <v>5381655</v>
      </c>
    </row>
    <row r="46" spans="1:38" x14ac:dyDescent="0.25">
      <c r="A46" s="1">
        <v>45791</v>
      </c>
      <c r="B46" s="1">
        <v>45791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208</v>
      </c>
      <c r="J46" t="s">
        <v>209</v>
      </c>
      <c r="M46" t="s">
        <v>210</v>
      </c>
      <c r="O46" t="s">
        <v>194</v>
      </c>
      <c r="P46" t="s">
        <v>195</v>
      </c>
      <c r="Q46" t="s">
        <v>49</v>
      </c>
      <c r="R46" t="s">
        <v>176</v>
      </c>
      <c r="S46" s="1">
        <v>45839</v>
      </c>
      <c r="U46" t="s">
        <v>51</v>
      </c>
      <c r="X46" t="s">
        <v>52</v>
      </c>
      <c r="Y46" s="2">
        <v>0</v>
      </c>
      <c r="Z46" s="2">
        <v>626</v>
      </c>
      <c r="AA46">
        <v>1</v>
      </c>
      <c r="AB46" s="3">
        <v>1</v>
      </c>
      <c r="AC46" s="2">
        <v>626</v>
      </c>
      <c r="AD46" s="3">
        <v>0</v>
      </c>
      <c r="AE46" s="2">
        <v>0</v>
      </c>
      <c r="AF46" s="2">
        <v>626</v>
      </c>
      <c r="AK46">
        <v>5381673</v>
      </c>
    </row>
    <row r="47" spans="1:38" x14ac:dyDescent="0.25">
      <c r="A47" s="1">
        <v>45791</v>
      </c>
      <c r="B47" s="1">
        <v>45791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211</v>
      </c>
      <c r="J47" t="s">
        <v>212</v>
      </c>
      <c r="M47" t="s">
        <v>205</v>
      </c>
      <c r="O47" t="s">
        <v>75</v>
      </c>
      <c r="P47" t="s">
        <v>76</v>
      </c>
      <c r="Q47" t="s">
        <v>49</v>
      </c>
      <c r="R47" t="s">
        <v>176</v>
      </c>
      <c r="S47" s="1">
        <v>45809</v>
      </c>
      <c r="U47" t="s">
        <v>51</v>
      </c>
      <c r="X47" t="s">
        <v>52</v>
      </c>
      <c r="Y47" s="2">
        <v>0</v>
      </c>
      <c r="Z47" s="2">
        <v>626</v>
      </c>
      <c r="AA47">
        <v>1</v>
      </c>
      <c r="AB47" s="3">
        <v>1</v>
      </c>
      <c r="AC47" s="2">
        <v>626</v>
      </c>
      <c r="AD47" s="3">
        <v>0</v>
      </c>
      <c r="AE47" s="2">
        <v>0</v>
      </c>
      <c r="AF47" s="2">
        <v>626</v>
      </c>
      <c r="AK47">
        <v>5381761</v>
      </c>
    </row>
    <row r="48" spans="1:38" x14ac:dyDescent="0.25">
      <c r="A48" s="1">
        <v>45791</v>
      </c>
      <c r="B48" s="1">
        <v>45791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213</v>
      </c>
      <c r="J48" t="s">
        <v>212</v>
      </c>
      <c r="M48" t="s">
        <v>205</v>
      </c>
      <c r="O48" t="s">
        <v>75</v>
      </c>
      <c r="P48" t="s">
        <v>76</v>
      </c>
      <c r="Q48" t="s">
        <v>49</v>
      </c>
      <c r="R48" t="s">
        <v>183</v>
      </c>
      <c r="S48" s="1">
        <v>45809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5381760</v>
      </c>
    </row>
    <row r="49" spans="1:38" x14ac:dyDescent="0.25">
      <c r="A49" s="1">
        <v>45791</v>
      </c>
      <c r="B49" s="1">
        <v>45791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214</v>
      </c>
      <c r="J49" t="s">
        <v>215</v>
      </c>
      <c r="M49" t="s">
        <v>68</v>
      </c>
      <c r="O49" t="s">
        <v>80</v>
      </c>
      <c r="P49" t="s">
        <v>81</v>
      </c>
      <c r="Q49" t="s">
        <v>49</v>
      </c>
      <c r="R49" t="s">
        <v>176</v>
      </c>
      <c r="S49" s="1">
        <v>45778</v>
      </c>
      <c r="U49" t="s">
        <v>51</v>
      </c>
      <c r="X49" t="s">
        <v>52</v>
      </c>
      <c r="Y49" s="2">
        <v>0</v>
      </c>
      <c r="Z49" s="2">
        <v>626</v>
      </c>
      <c r="AA49">
        <v>1</v>
      </c>
      <c r="AB49" s="3">
        <v>1</v>
      </c>
      <c r="AC49" s="2">
        <v>626</v>
      </c>
      <c r="AD49" s="3">
        <v>0</v>
      </c>
      <c r="AE49" s="2">
        <v>0</v>
      </c>
      <c r="AF49" s="2">
        <v>626</v>
      </c>
      <c r="AK49">
        <v>5381679</v>
      </c>
    </row>
    <row r="50" spans="1:38" x14ac:dyDescent="0.25">
      <c r="A50" s="1">
        <v>45791</v>
      </c>
      <c r="B50" s="1">
        <v>45791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216</v>
      </c>
      <c r="J50" t="s">
        <v>217</v>
      </c>
      <c r="M50" t="s">
        <v>218</v>
      </c>
      <c r="O50" t="s">
        <v>219</v>
      </c>
      <c r="P50" t="s">
        <v>220</v>
      </c>
      <c r="Q50" t="s">
        <v>49</v>
      </c>
      <c r="R50" t="s">
        <v>176</v>
      </c>
      <c r="S50" s="1">
        <v>45778</v>
      </c>
      <c r="U50" t="s">
        <v>51</v>
      </c>
      <c r="X50" t="s">
        <v>52</v>
      </c>
      <c r="Y50" s="2">
        <v>0</v>
      </c>
      <c r="Z50" s="2">
        <v>626</v>
      </c>
      <c r="AA50">
        <v>1</v>
      </c>
      <c r="AB50" s="3">
        <v>1</v>
      </c>
      <c r="AC50" s="2">
        <v>626</v>
      </c>
      <c r="AD50" s="3">
        <v>0</v>
      </c>
      <c r="AE50" s="2">
        <v>0</v>
      </c>
      <c r="AF50" s="2">
        <v>626</v>
      </c>
      <c r="AK50">
        <v>5381683</v>
      </c>
    </row>
    <row r="51" spans="1:38" x14ac:dyDescent="0.25">
      <c r="A51" s="1">
        <v>45791</v>
      </c>
      <c r="B51" s="1">
        <v>45791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221</v>
      </c>
      <c r="J51" t="s">
        <v>222</v>
      </c>
      <c r="M51" t="s">
        <v>205</v>
      </c>
      <c r="O51" t="s">
        <v>80</v>
      </c>
      <c r="P51" t="s">
        <v>81</v>
      </c>
      <c r="Q51" t="s">
        <v>49</v>
      </c>
      <c r="R51" t="s">
        <v>176</v>
      </c>
      <c r="S51" s="1">
        <v>45778</v>
      </c>
      <c r="U51" t="s">
        <v>51</v>
      </c>
      <c r="X51" t="s">
        <v>52</v>
      </c>
      <c r="Y51" s="2">
        <v>0</v>
      </c>
      <c r="Z51" s="2">
        <v>626</v>
      </c>
      <c r="AA51">
        <v>1</v>
      </c>
      <c r="AB51" s="3">
        <v>1</v>
      </c>
      <c r="AC51" s="2">
        <v>626</v>
      </c>
      <c r="AD51" s="3">
        <v>0</v>
      </c>
      <c r="AE51" s="2">
        <v>0</v>
      </c>
      <c r="AF51" s="2">
        <v>626</v>
      </c>
      <c r="AK51">
        <v>5381764</v>
      </c>
    </row>
    <row r="52" spans="1:38" x14ac:dyDescent="0.25">
      <c r="A52" s="1">
        <v>45791</v>
      </c>
      <c r="B52" s="1">
        <v>45791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223</v>
      </c>
      <c r="J52" t="s">
        <v>222</v>
      </c>
      <c r="M52" t="s">
        <v>205</v>
      </c>
      <c r="O52" t="s">
        <v>80</v>
      </c>
      <c r="P52" t="s">
        <v>81</v>
      </c>
      <c r="Q52" t="s">
        <v>49</v>
      </c>
      <c r="R52" t="s">
        <v>183</v>
      </c>
      <c r="S52" s="1">
        <v>45778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5381763</v>
      </c>
    </row>
    <row r="53" spans="1:38" x14ac:dyDescent="0.25">
      <c r="A53" s="1">
        <v>45791</v>
      </c>
      <c r="B53" s="1">
        <v>45791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224</v>
      </c>
      <c r="J53" t="s">
        <v>225</v>
      </c>
      <c r="M53" t="s">
        <v>46</v>
      </c>
      <c r="O53" t="s">
        <v>47</v>
      </c>
      <c r="P53" t="s">
        <v>48</v>
      </c>
      <c r="Q53" t="s">
        <v>49</v>
      </c>
      <c r="R53" t="s">
        <v>226</v>
      </c>
      <c r="S53" s="1">
        <v>45748</v>
      </c>
      <c r="U53" t="s">
        <v>51</v>
      </c>
      <c r="X53" t="s">
        <v>52</v>
      </c>
      <c r="Y53" s="2">
        <v>0</v>
      </c>
      <c r="Z53" s="2">
        <v>469.5</v>
      </c>
      <c r="AA53">
        <v>1</v>
      </c>
      <c r="AB53" s="3">
        <v>1</v>
      </c>
      <c r="AC53" s="2">
        <v>469.5</v>
      </c>
      <c r="AD53" s="3">
        <v>0</v>
      </c>
      <c r="AE53" s="2">
        <v>0</v>
      </c>
      <c r="AF53" s="2">
        <v>469.5</v>
      </c>
      <c r="AK53">
        <v>5381725</v>
      </c>
      <c r="AL53" t="s">
        <v>227</v>
      </c>
    </row>
    <row r="54" spans="1:38" x14ac:dyDescent="0.25">
      <c r="A54" s="1">
        <v>45791</v>
      </c>
      <c r="B54" s="1">
        <v>45791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228</v>
      </c>
      <c r="J54" t="s">
        <v>225</v>
      </c>
      <c r="M54" t="s">
        <v>46</v>
      </c>
      <c r="O54" t="s">
        <v>47</v>
      </c>
      <c r="P54" t="s">
        <v>48</v>
      </c>
      <c r="Q54" t="s">
        <v>49</v>
      </c>
      <c r="R54" t="s">
        <v>229</v>
      </c>
      <c r="S54" s="1">
        <v>45748</v>
      </c>
      <c r="U54" t="s">
        <v>51</v>
      </c>
      <c r="X54" t="s">
        <v>52</v>
      </c>
      <c r="Y54" s="2">
        <v>0</v>
      </c>
      <c r="Z54" s="2">
        <v>131.25</v>
      </c>
      <c r="AA54">
        <v>1</v>
      </c>
      <c r="AB54" s="3">
        <v>1</v>
      </c>
      <c r="AC54" s="2">
        <v>131.25</v>
      </c>
      <c r="AD54" s="3">
        <v>0</v>
      </c>
      <c r="AE54" s="2">
        <v>0</v>
      </c>
      <c r="AF54" s="2">
        <v>131.25</v>
      </c>
      <c r="AK54">
        <v>5381726</v>
      </c>
      <c r="AL54" t="s">
        <v>227</v>
      </c>
    </row>
    <row r="55" spans="1:38" x14ac:dyDescent="0.25">
      <c r="A55" s="1">
        <v>45791</v>
      </c>
      <c r="B55" s="1">
        <v>45791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230</v>
      </c>
      <c r="J55" t="s">
        <v>231</v>
      </c>
      <c r="M55" t="s">
        <v>46</v>
      </c>
      <c r="O55" t="s">
        <v>194</v>
      </c>
      <c r="P55" t="s">
        <v>195</v>
      </c>
      <c r="Q55" t="s">
        <v>49</v>
      </c>
      <c r="R55" t="s">
        <v>232</v>
      </c>
      <c r="S55" s="1">
        <v>45778</v>
      </c>
      <c r="U55" t="s">
        <v>51</v>
      </c>
      <c r="X55" t="s">
        <v>52</v>
      </c>
      <c r="Y55" s="2">
        <v>0</v>
      </c>
      <c r="Z55" s="2">
        <v>31.98</v>
      </c>
      <c r="AA55">
        <v>9</v>
      </c>
      <c r="AB55" s="3">
        <v>1</v>
      </c>
      <c r="AC55" s="2">
        <v>287.82</v>
      </c>
      <c r="AD55" s="3">
        <v>0</v>
      </c>
      <c r="AE55" s="2">
        <v>0</v>
      </c>
      <c r="AF55" s="2">
        <v>287.82</v>
      </c>
      <c r="AK55">
        <v>5381508</v>
      </c>
    </row>
    <row r="56" spans="1:38" x14ac:dyDescent="0.25">
      <c r="A56" s="1">
        <v>45791</v>
      </c>
      <c r="B56" s="1">
        <v>45791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233</v>
      </c>
      <c r="J56" t="s">
        <v>79</v>
      </c>
      <c r="M56" t="s">
        <v>46</v>
      </c>
      <c r="O56" t="s">
        <v>80</v>
      </c>
      <c r="P56" t="s">
        <v>81</v>
      </c>
      <c r="Q56" t="s">
        <v>49</v>
      </c>
      <c r="R56" t="s">
        <v>234</v>
      </c>
      <c r="S56" s="1">
        <v>45778</v>
      </c>
      <c r="U56" t="s">
        <v>51</v>
      </c>
      <c r="X56" t="s">
        <v>52</v>
      </c>
      <c r="Y56" s="2">
        <v>0</v>
      </c>
      <c r="Z56" s="2">
        <v>30</v>
      </c>
      <c r="AA56">
        <v>9</v>
      </c>
      <c r="AB56" s="3">
        <v>1</v>
      </c>
      <c r="AC56" s="2">
        <v>270</v>
      </c>
      <c r="AD56" s="3">
        <v>0</v>
      </c>
      <c r="AE56" s="2">
        <v>0</v>
      </c>
      <c r="AF56" s="2">
        <v>270</v>
      </c>
      <c r="AK56">
        <v>5381509</v>
      </c>
    </row>
    <row r="57" spans="1:38" x14ac:dyDescent="0.25">
      <c r="A57" s="1">
        <v>45791</v>
      </c>
      <c r="B57" s="1">
        <v>45791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235</v>
      </c>
      <c r="J57" t="s">
        <v>236</v>
      </c>
      <c r="M57" t="s">
        <v>107</v>
      </c>
      <c r="O57" t="s">
        <v>237</v>
      </c>
      <c r="P57" t="s">
        <v>238</v>
      </c>
      <c r="Q57" t="s">
        <v>49</v>
      </c>
      <c r="R57" t="s">
        <v>239</v>
      </c>
      <c r="S57" s="1">
        <v>45809</v>
      </c>
      <c r="U57" t="s">
        <v>51</v>
      </c>
      <c r="X57" t="s">
        <v>52</v>
      </c>
      <c r="Y57" s="2">
        <v>0</v>
      </c>
      <c r="Z57" s="2">
        <v>31.02</v>
      </c>
      <c r="AA57">
        <v>9</v>
      </c>
      <c r="AB57" s="3">
        <v>1</v>
      </c>
      <c r="AC57" s="2">
        <v>279.18</v>
      </c>
      <c r="AD57" s="3">
        <v>0</v>
      </c>
      <c r="AE57" s="2">
        <v>0</v>
      </c>
      <c r="AF57" s="2">
        <v>279.18</v>
      </c>
      <c r="AK57">
        <v>5381510</v>
      </c>
    </row>
    <row r="58" spans="1:38" x14ac:dyDescent="0.25">
      <c r="A58" s="1">
        <v>45791</v>
      </c>
      <c r="B58" s="1">
        <v>45791</v>
      </c>
      <c r="C58" t="s">
        <v>240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241</v>
      </c>
      <c r="J58" t="s">
        <v>242</v>
      </c>
      <c r="M58" t="s">
        <v>61</v>
      </c>
      <c r="O58" t="s">
        <v>243</v>
      </c>
      <c r="P58" t="s">
        <v>244</v>
      </c>
      <c r="Q58" t="s">
        <v>245</v>
      </c>
      <c r="R58" t="s">
        <v>58</v>
      </c>
      <c r="S58" s="1">
        <v>45658</v>
      </c>
      <c r="U58" t="s">
        <v>51</v>
      </c>
      <c r="X58" t="s">
        <v>52</v>
      </c>
      <c r="AF58" s="2">
        <v>108</v>
      </c>
      <c r="AG58" s="2">
        <v>0</v>
      </c>
      <c r="AJ58" s="2">
        <v>72.36</v>
      </c>
    </row>
    <row r="59" spans="1:38" x14ac:dyDescent="0.25">
      <c r="A59" s="1">
        <v>45791</v>
      </c>
      <c r="B59" s="1">
        <v>45791</v>
      </c>
      <c r="C59" t="s">
        <v>240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246</v>
      </c>
      <c r="J59" t="s">
        <v>72</v>
      </c>
      <c r="M59" t="s">
        <v>61</v>
      </c>
      <c r="O59" t="s">
        <v>69</v>
      </c>
      <c r="P59" t="s">
        <v>70</v>
      </c>
      <c r="Q59" t="s">
        <v>245</v>
      </c>
      <c r="R59" t="s">
        <v>50</v>
      </c>
      <c r="S59" s="1">
        <v>45689</v>
      </c>
      <c r="U59" t="s">
        <v>51</v>
      </c>
      <c r="X59" t="s">
        <v>52</v>
      </c>
      <c r="AF59" s="2">
        <v>175</v>
      </c>
      <c r="AG59" s="2">
        <v>0</v>
      </c>
      <c r="AJ59" s="2">
        <v>117.25</v>
      </c>
    </row>
    <row r="60" spans="1:38" x14ac:dyDescent="0.25">
      <c r="A60" s="1">
        <v>45791</v>
      </c>
      <c r="B60" s="1">
        <v>45791</v>
      </c>
      <c r="C60" t="s">
        <v>240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247</v>
      </c>
      <c r="J60" t="s">
        <v>248</v>
      </c>
      <c r="M60" t="s">
        <v>61</v>
      </c>
      <c r="O60" t="s">
        <v>249</v>
      </c>
      <c r="P60" t="s">
        <v>250</v>
      </c>
      <c r="Q60" t="s">
        <v>245</v>
      </c>
      <c r="R60" t="s">
        <v>50</v>
      </c>
      <c r="S60" s="1">
        <v>45717</v>
      </c>
      <c r="U60" t="s">
        <v>51</v>
      </c>
      <c r="X60" t="s">
        <v>52</v>
      </c>
      <c r="AF60" s="2">
        <v>175</v>
      </c>
      <c r="AG60" s="2">
        <v>0</v>
      </c>
      <c r="AJ60" s="2">
        <v>145.25</v>
      </c>
    </row>
    <row r="61" spans="1:38" x14ac:dyDescent="0.25">
      <c r="A61" s="1">
        <v>45791</v>
      </c>
      <c r="B61" s="1">
        <v>45791</v>
      </c>
      <c r="C61" t="s">
        <v>240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251</v>
      </c>
      <c r="J61" t="s">
        <v>130</v>
      </c>
      <c r="M61" t="s">
        <v>46</v>
      </c>
      <c r="O61" t="s">
        <v>131</v>
      </c>
      <c r="P61" t="s">
        <v>132</v>
      </c>
      <c r="Q61" t="s">
        <v>245</v>
      </c>
      <c r="R61" t="s">
        <v>252</v>
      </c>
      <c r="S61" s="1">
        <v>45778</v>
      </c>
      <c r="U61" t="s">
        <v>51</v>
      </c>
      <c r="X61" t="s">
        <v>52</v>
      </c>
      <c r="AF61" s="2">
        <v>36.67</v>
      </c>
      <c r="AG61" s="2">
        <v>0</v>
      </c>
      <c r="AJ61" s="2">
        <v>36.67</v>
      </c>
    </row>
    <row r="62" spans="1:38" x14ac:dyDescent="0.25">
      <c r="A62" s="1">
        <v>45791</v>
      </c>
      <c r="B62" s="1">
        <v>45791</v>
      </c>
      <c r="C62" t="s">
        <v>240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253</v>
      </c>
      <c r="J62" t="s">
        <v>254</v>
      </c>
      <c r="M62" t="s">
        <v>255</v>
      </c>
      <c r="O62" t="s">
        <v>69</v>
      </c>
      <c r="P62" t="s">
        <v>70</v>
      </c>
      <c r="Q62" t="s">
        <v>245</v>
      </c>
      <c r="R62" t="s">
        <v>256</v>
      </c>
      <c r="S62" s="1">
        <v>45658</v>
      </c>
      <c r="U62" t="s">
        <v>51</v>
      </c>
      <c r="X62" t="s">
        <v>52</v>
      </c>
      <c r="AF62" s="2">
        <v>50</v>
      </c>
      <c r="AG62" s="2">
        <v>0</v>
      </c>
      <c r="AJ62" s="2">
        <v>33.33</v>
      </c>
    </row>
    <row r="63" spans="1:38" x14ac:dyDescent="0.25">
      <c r="A63" s="1">
        <v>45791</v>
      </c>
      <c r="B63" s="1">
        <v>45791</v>
      </c>
      <c r="C63" t="s">
        <v>240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257</v>
      </c>
      <c r="J63" t="s">
        <v>172</v>
      </c>
      <c r="M63" t="s">
        <v>92</v>
      </c>
      <c r="O63" t="s">
        <v>120</v>
      </c>
      <c r="P63" t="s">
        <v>121</v>
      </c>
      <c r="Q63" t="s">
        <v>245</v>
      </c>
      <c r="R63" t="s">
        <v>258</v>
      </c>
      <c r="S63" s="1">
        <v>45778</v>
      </c>
      <c r="U63" t="s">
        <v>51</v>
      </c>
      <c r="X63" t="s">
        <v>52</v>
      </c>
      <c r="AF63" s="2">
        <v>260</v>
      </c>
      <c r="AG63" s="2">
        <v>0</v>
      </c>
      <c r="AJ63" s="2">
        <v>260</v>
      </c>
    </row>
    <row r="64" spans="1:38" x14ac:dyDescent="0.25">
      <c r="A64" s="1">
        <v>45791</v>
      </c>
      <c r="B64" s="1">
        <v>45791</v>
      </c>
      <c r="C64" t="s">
        <v>240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259</v>
      </c>
      <c r="J64" t="s">
        <v>175</v>
      </c>
      <c r="M64" t="s">
        <v>46</v>
      </c>
      <c r="O64" t="s">
        <v>75</v>
      </c>
      <c r="P64" t="s">
        <v>76</v>
      </c>
      <c r="Q64" t="s">
        <v>245</v>
      </c>
      <c r="R64" t="s">
        <v>181</v>
      </c>
      <c r="S64" s="1">
        <v>45778</v>
      </c>
      <c r="U64" t="s">
        <v>51</v>
      </c>
      <c r="X64" t="s">
        <v>52</v>
      </c>
      <c r="AF64" s="2">
        <v>208.67</v>
      </c>
      <c r="AG64" s="2">
        <v>0</v>
      </c>
      <c r="AJ64" s="2">
        <v>208.67</v>
      </c>
    </row>
    <row r="65" spans="1:36" x14ac:dyDescent="0.25">
      <c r="A65" s="1">
        <v>45791</v>
      </c>
      <c r="B65" s="1">
        <v>45791</v>
      </c>
      <c r="C65" t="s">
        <v>240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260</v>
      </c>
      <c r="J65" t="s">
        <v>178</v>
      </c>
      <c r="M65" t="s">
        <v>99</v>
      </c>
      <c r="O65" t="s">
        <v>80</v>
      </c>
      <c r="P65" t="s">
        <v>81</v>
      </c>
      <c r="Q65" t="s">
        <v>245</v>
      </c>
      <c r="R65" t="s">
        <v>181</v>
      </c>
      <c r="S65" s="1">
        <v>45778</v>
      </c>
      <c r="U65" t="s">
        <v>51</v>
      </c>
      <c r="X65" t="s">
        <v>52</v>
      </c>
      <c r="AF65" s="2">
        <v>208.67</v>
      </c>
      <c r="AG65" s="2">
        <v>0</v>
      </c>
      <c r="AJ65" s="2">
        <v>208.67</v>
      </c>
    </row>
    <row r="66" spans="1:36" x14ac:dyDescent="0.25">
      <c r="A66" s="1">
        <v>45791</v>
      </c>
      <c r="B66" s="1">
        <v>45791</v>
      </c>
      <c r="C66" t="s">
        <v>240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261</v>
      </c>
      <c r="J66" t="s">
        <v>185</v>
      </c>
      <c r="M66" t="s">
        <v>46</v>
      </c>
      <c r="O66" t="s">
        <v>131</v>
      </c>
      <c r="P66" t="s">
        <v>132</v>
      </c>
      <c r="Q66" t="s">
        <v>245</v>
      </c>
      <c r="R66" t="s">
        <v>181</v>
      </c>
      <c r="S66" s="1">
        <v>45778</v>
      </c>
      <c r="U66" t="s">
        <v>51</v>
      </c>
      <c r="X66" t="s">
        <v>52</v>
      </c>
      <c r="AF66" s="2">
        <v>208.67</v>
      </c>
      <c r="AG66" s="2">
        <v>0</v>
      </c>
      <c r="AJ66" s="2">
        <v>208.67</v>
      </c>
    </row>
    <row r="67" spans="1:36" x14ac:dyDescent="0.25">
      <c r="A67" s="1">
        <v>45791</v>
      </c>
      <c r="B67" s="1">
        <v>45791</v>
      </c>
      <c r="C67" t="s">
        <v>240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262</v>
      </c>
      <c r="J67" t="s">
        <v>192</v>
      </c>
      <c r="M67" t="s">
        <v>193</v>
      </c>
      <c r="O67" t="s">
        <v>194</v>
      </c>
      <c r="P67" t="s">
        <v>195</v>
      </c>
      <c r="Q67" t="s">
        <v>245</v>
      </c>
      <c r="R67" t="s">
        <v>181</v>
      </c>
      <c r="S67" s="1">
        <v>45778</v>
      </c>
      <c r="U67" t="s">
        <v>51</v>
      </c>
      <c r="X67" t="s">
        <v>52</v>
      </c>
      <c r="AF67" s="2">
        <v>208.67</v>
      </c>
      <c r="AG67" s="2">
        <v>0</v>
      </c>
      <c r="AJ67" s="2">
        <v>208.67</v>
      </c>
    </row>
    <row r="68" spans="1:36" x14ac:dyDescent="0.25">
      <c r="A68" s="1">
        <v>45791</v>
      </c>
      <c r="B68" s="1">
        <v>45791</v>
      </c>
      <c r="C68" t="s">
        <v>240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263</v>
      </c>
      <c r="J68" t="s">
        <v>204</v>
      </c>
      <c r="M68" t="s">
        <v>205</v>
      </c>
      <c r="O68" t="s">
        <v>80</v>
      </c>
      <c r="P68" t="s">
        <v>81</v>
      </c>
      <c r="Q68" t="s">
        <v>245</v>
      </c>
      <c r="R68" t="s">
        <v>181</v>
      </c>
      <c r="S68" s="1">
        <v>45809</v>
      </c>
      <c r="U68" t="s">
        <v>51</v>
      </c>
      <c r="X68" t="s">
        <v>52</v>
      </c>
      <c r="AF68" s="2">
        <v>182.58</v>
      </c>
      <c r="AG68" s="2">
        <v>0</v>
      </c>
      <c r="AJ68" s="2">
        <v>182.58</v>
      </c>
    </row>
    <row r="69" spans="1:36" x14ac:dyDescent="0.25">
      <c r="A69" s="1">
        <v>45791</v>
      </c>
      <c r="B69" s="1">
        <v>45791</v>
      </c>
      <c r="C69" t="s">
        <v>240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264</v>
      </c>
      <c r="J69" t="s">
        <v>207</v>
      </c>
      <c r="M69" t="s">
        <v>46</v>
      </c>
      <c r="O69" t="s">
        <v>141</v>
      </c>
      <c r="P69" t="s">
        <v>142</v>
      </c>
      <c r="Q69" t="s">
        <v>245</v>
      </c>
      <c r="R69" t="s">
        <v>181</v>
      </c>
      <c r="S69" s="1">
        <v>45778</v>
      </c>
      <c r="U69" t="s">
        <v>51</v>
      </c>
      <c r="X69" t="s">
        <v>52</v>
      </c>
      <c r="AF69" s="2">
        <v>208.67</v>
      </c>
      <c r="AG69" s="2">
        <v>0</v>
      </c>
      <c r="AJ69" s="2">
        <v>208.67</v>
      </c>
    </row>
    <row r="70" spans="1:36" x14ac:dyDescent="0.25">
      <c r="A70" s="1">
        <v>45791</v>
      </c>
      <c r="B70" s="1">
        <v>45791</v>
      </c>
      <c r="C70" t="s">
        <v>240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265</v>
      </c>
      <c r="J70" t="s">
        <v>209</v>
      </c>
      <c r="M70" t="s">
        <v>210</v>
      </c>
      <c r="O70" t="s">
        <v>194</v>
      </c>
      <c r="P70" t="s">
        <v>195</v>
      </c>
      <c r="Q70" t="s">
        <v>245</v>
      </c>
      <c r="R70" t="s">
        <v>181</v>
      </c>
      <c r="S70" s="1">
        <v>45839</v>
      </c>
      <c r="U70" t="s">
        <v>51</v>
      </c>
      <c r="X70" t="s">
        <v>52</v>
      </c>
      <c r="AF70" s="2">
        <v>156.5</v>
      </c>
      <c r="AG70" s="2">
        <v>0</v>
      </c>
      <c r="AJ70" s="2">
        <v>156.5</v>
      </c>
    </row>
    <row r="71" spans="1:36" x14ac:dyDescent="0.25">
      <c r="A71" s="1">
        <v>45791</v>
      </c>
      <c r="B71" s="1">
        <v>45791</v>
      </c>
      <c r="C71" t="s">
        <v>240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266</v>
      </c>
      <c r="J71" t="s">
        <v>215</v>
      </c>
      <c r="M71" t="s">
        <v>68</v>
      </c>
      <c r="O71" t="s">
        <v>80</v>
      </c>
      <c r="P71" t="s">
        <v>81</v>
      </c>
      <c r="Q71" t="s">
        <v>245</v>
      </c>
      <c r="R71" t="s">
        <v>181</v>
      </c>
      <c r="S71" s="1">
        <v>45778</v>
      </c>
      <c r="U71" t="s">
        <v>51</v>
      </c>
      <c r="X71" t="s">
        <v>52</v>
      </c>
      <c r="AF71" s="2">
        <v>208.67</v>
      </c>
      <c r="AG71" s="2">
        <v>0</v>
      </c>
      <c r="AJ71" s="2">
        <v>208.67</v>
      </c>
    </row>
    <row r="72" spans="1:36" x14ac:dyDescent="0.25">
      <c r="A72" s="1">
        <v>45791</v>
      </c>
      <c r="B72" s="1">
        <v>45791</v>
      </c>
      <c r="C72" t="s">
        <v>240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267</v>
      </c>
      <c r="J72" t="s">
        <v>217</v>
      </c>
      <c r="M72" t="s">
        <v>218</v>
      </c>
      <c r="O72" t="s">
        <v>219</v>
      </c>
      <c r="P72" t="s">
        <v>220</v>
      </c>
      <c r="Q72" t="s">
        <v>245</v>
      </c>
      <c r="R72" t="s">
        <v>181</v>
      </c>
      <c r="S72" s="1">
        <v>45778</v>
      </c>
      <c r="U72" t="s">
        <v>51</v>
      </c>
      <c r="X72" t="s">
        <v>52</v>
      </c>
      <c r="AF72" s="2">
        <v>208.67</v>
      </c>
      <c r="AG72" s="2">
        <v>0</v>
      </c>
      <c r="AJ72" s="2">
        <v>208.67</v>
      </c>
    </row>
    <row r="73" spans="1:36" x14ac:dyDescent="0.25">
      <c r="A73" s="1">
        <v>45791</v>
      </c>
      <c r="B73" s="1">
        <v>45791</v>
      </c>
      <c r="C73" t="s">
        <v>240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268</v>
      </c>
      <c r="J73" t="s">
        <v>269</v>
      </c>
      <c r="M73" t="s">
        <v>68</v>
      </c>
      <c r="O73" t="s">
        <v>199</v>
      </c>
      <c r="P73" t="s">
        <v>200</v>
      </c>
      <c r="Q73" t="s">
        <v>245</v>
      </c>
      <c r="R73" t="s">
        <v>202</v>
      </c>
      <c r="S73" s="1">
        <v>45658</v>
      </c>
      <c r="U73" t="s">
        <v>51</v>
      </c>
      <c r="X73" t="s">
        <v>52</v>
      </c>
      <c r="AF73" s="2">
        <v>72</v>
      </c>
      <c r="AG73" s="2">
        <v>0</v>
      </c>
      <c r="AJ73" s="2">
        <v>48</v>
      </c>
    </row>
    <row r="74" spans="1:36" x14ac:dyDescent="0.25">
      <c r="A74" s="1">
        <v>45791</v>
      </c>
      <c r="B74" s="1">
        <v>45791</v>
      </c>
      <c r="C74" t="s">
        <v>240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270</v>
      </c>
      <c r="J74" t="s">
        <v>269</v>
      </c>
      <c r="M74" t="s">
        <v>68</v>
      </c>
      <c r="O74" t="s">
        <v>199</v>
      </c>
      <c r="P74" t="s">
        <v>200</v>
      </c>
      <c r="Q74" t="s">
        <v>245</v>
      </c>
      <c r="R74" t="s">
        <v>181</v>
      </c>
      <c r="S74" s="1">
        <v>45658</v>
      </c>
      <c r="U74" t="s">
        <v>51</v>
      </c>
      <c r="X74" t="s">
        <v>52</v>
      </c>
      <c r="AF74" s="2">
        <v>313</v>
      </c>
      <c r="AG74" s="2">
        <v>0</v>
      </c>
      <c r="AJ74" s="2">
        <v>208.66</v>
      </c>
    </row>
    <row r="75" spans="1:36" x14ac:dyDescent="0.25">
      <c r="A75" s="1">
        <v>45791</v>
      </c>
      <c r="B75" s="1">
        <v>45791</v>
      </c>
      <c r="C75" t="s">
        <v>240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271</v>
      </c>
      <c r="J75" t="s">
        <v>225</v>
      </c>
      <c r="M75" t="s">
        <v>46</v>
      </c>
      <c r="O75" t="s">
        <v>47</v>
      </c>
      <c r="P75" t="s">
        <v>48</v>
      </c>
      <c r="Q75" t="s">
        <v>245</v>
      </c>
      <c r="R75" t="s">
        <v>181</v>
      </c>
      <c r="S75" s="1">
        <v>45748</v>
      </c>
      <c r="U75" t="s">
        <v>51</v>
      </c>
      <c r="X75" t="s">
        <v>52</v>
      </c>
      <c r="AF75" s="2">
        <v>234.75</v>
      </c>
      <c r="AG75" s="2">
        <v>0</v>
      </c>
      <c r="AJ75" s="2">
        <v>234.75</v>
      </c>
    </row>
    <row r="76" spans="1:36" x14ac:dyDescent="0.25">
      <c r="A76" s="1">
        <v>45791</v>
      </c>
      <c r="B76" s="1">
        <v>45791</v>
      </c>
      <c r="C76" t="s">
        <v>240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272</v>
      </c>
      <c r="J76" t="s">
        <v>225</v>
      </c>
      <c r="M76" t="s">
        <v>46</v>
      </c>
      <c r="O76" t="s">
        <v>47</v>
      </c>
      <c r="P76" t="s">
        <v>48</v>
      </c>
      <c r="Q76" t="s">
        <v>245</v>
      </c>
      <c r="R76" t="s">
        <v>202</v>
      </c>
      <c r="S76" s="1">
        <v>45748</v>
      </c>
      <c r="U76" t="s">
        <v>51</v>
      </c>
      <c r="X76" t="s">
        <v>52</v>
      </c>
      <c r="AF76" s="2">
        <v>54</v>
      </c>
      <c r="AG76" s="2">
        <v>0</v>
      </c>
      <c r="AJ76" s="2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B077-E118-4ADF-B543-B73DF927E112}">
  <dimension ref="A1:N71"/>
  <sheetViews>
    <sheetView tabSelected="1" topLeftCell="A30" workbookViewId="0">
      <selection activeCell="G45" sqref="G45"/>
    </sheetView>
  </sheetViews>
  <sheetFormatPr defaultColWidth="9.28515625" defaultRowHeight="15" x14ac:dyDescent="0.25"/>
  <cols>
    <col min="1" max="1" width="17.42578125" style="4" bestFit="1" customWidth="1"/>
    <col min="2" max="2" width="17.42578125" style="5" customWidth="1"/>
    <col min="3" max="3" width="18" style="6" customWidth="1"/>
    <col min="4" max="4" width="5.5703125" style="6" bestFit="1" customWidth="1"/>
    <col min="5" max="5" width="12.140625" style="6" customWidth="1"/>
    <col min="6" max="6" width="23.7109375" style="6" bestFit="1" customWidth="1"/>
    <col min="7" max="7" width="45" style="6" customWidth="1"/>
    <col min="8" max="8" width="10.140625" style="6" bestFit="1" customWidth="1"/>
    <col min="9" max="9" width="15.85546875" style="6" bestFit="1" customWidth="1"/>
    <col min="10" max="11" width="10.7109375" style="6" customWidth="1"/>
    <col min="12" max="12" width="13.28515625" style="6" customWidth="1"/>
    <col min="13" max="13" width="34.140625" style="6" bestFit="1" customWidth="1"/>
    <col min="14" max="16384" width="9.28515625" style="6"/>
  </cols>
  <sheetData>
    <row r="1" spans="1:13" x14ac:dyDescent="0.25">
      <c r="A1" s="4" t="s">
        <v>8</v>
      </c>
      <c r="C1" s="6" t="s">
        <v>9</v>
      </c>
      <c r="D1" s="6" t="s">
        <v>12</v>
      </c>
      <c r="E1" s="6" t="s">
        <v>14</v>
      </c>
      <c r="F1" s="6" t="s">
        <v>15</v>
      </c>
      <c r="G1" s="6" t="s">
        <v>17</v>
      </c>
      <c r="H1" s="6" t="s">
        <v>18</v>
      </c>
      <c r="I1" s="6" t="s">
        <v>25</v>
      </c>
      <c r="J1" s="6" t="s">
        <v>26</v>
      </c>
      <c r="K1" s="6" t="s">
        <v>28</v>
      </c>
      <c r="L1" s="6" t="s">
        <v>37</v>
      </c>
    </row>
    <row r="2" spans="1:13" x14ac:dyDescent="0.25">
      <c r="A2" s="4" t="s">
        <v>308</v>
      </c>
      <c r="B2" s="4" t="s">
        <v>308</v>
      </c>
      <c r="C2" s="6" t="s">
        <v>254</v>
      </c>
      <c r="D2" s="6" t="s">
        <v>255</v>
      </c>
      <c r="E2" s="6">
        <v>20411454</v>
      </c>
      <c r="F2" s="6" t="s">
        <v>344</v>
      </c>
      <c r="G2" s="6" t="s">
        <v>256</v>
      </c>
      <c r="H2" s="7">
        <v>45658</v>
      </c>
      <c r="K2" s="8">
        <v>-33.33</v>
      </c>
      <c r="M2" s="6" t="s">
        <v>323</v>
      </c>
    </row>
    <row r="3" spans="1:13" x14ac:dyDescent="0.25">
      <c r="A3" s="4">
        <v>102158685300</v>
      </c>
      <c r="B3" s="5" t="str">
        <f>CONCATENATE(A3,0)</f>
        <v>1021586853000</v>
      </c>
      <c r="C3" s="6" t="s">
        <v>157</v>
      </c>
      <c r="D3" s="6" t="s">
        <v>107</v>
      </c>
      <c r="E3" s="6">
        <v>20411454</v>
      </c>
      <c r="F3" s="6" t="s">
        <v>344</v>
      </c>
      <c r="G3" s="6" t="s">
        <v>160</v>
      </c>
      <c r="H3" s="7">
        <v>45717</v>
      </c>
      <c r="I3" s="9">
        <v>40</v>
      </c>
      <c r="J3" s="6">
        <v>1</v>
      </c>
      <c r="K3" s="9">
        <v>40</v>
      </c>
      <c r="M3" s="6" t="s">
        <v>323</v>
      </c>
    </row>
    <row r="4" spans="1:13" x14ac:dyDescent="0.25">
      <c r="A4" s="4">
        <v>102167666500</v>
      </c>
      <c r="B4" s="5" t="str">
        <f>CONCATENATE(A4,0)</f>
        <v>1021676665000</v>
      </c>
      <c r="C4" s="6" t="s">
        <v>162</v>
      </c>
      <c r="D4" s="6" t="s">
        <v>46</v>
      </c>
      <c r="E4" s="6">
        <v>20411454</v>
      </c>
      <c r="F4" s="6" t="s">
        <v>344</v>
      </c>
      <c r="G4" s="6" t="s">
        <v>163</v>
      </c>
      <c r="H4" s="7">
        <v>45778</v>
      </c>
      <c r="I4" s="9">
        <v>33.33</v>
      </c>
      <c r="J4" s="6">
        <v>1</v>
      </c>
      <c r="K4" s="9">
        <v>33.33</v>
      </c>
      <c r="L4" s="6" t="s">
        <v>144</v>
      </c>
      <c r="M4" s="6" t="s">
        <v>323</v>
      </c>
    </row>
    <row r="5" spans="1:13" x14ac:dyDescent="0.25">
      <c r="A5" s="4">
        <v>102167672000</v>
      </c>
      <c r="B5" s="5" t="str">
        <f>CONCATENATE(A5,0)</f>
        <v>1021676720000</v>
      </c>
      <c r="C5" s="6" t="s">
        <v>165</v>
      </c>
      <c r="D5" s="6" t="s">
        <v>107</v>
      </c>
      <c r="E5" s="6">
        <v>20411454</v>
      </c>
      <c r="F5" s="6" t="s">
        <v>344</v>
      </c>
      <c r="G5" s="6" t="s">
        <v>163</v>
      </c>
      <c r="H5" s="7">
        <v>45809</v>
      </c>
      <c r="I5" s="9">
        <v>29.17</v>
      </c>
      <c r="J5" s="6">
        <v>1</v>
      </c>
      <c r="K5" s="9">
        <v>29.17</v>
      </c>
      <c r="L5" s="6" t="s">
        <v>153</v>
      </c>
      <c r="M5" s="6" t="s">
        <v>323</v>
      </c>
    </row>
    <row r="6" spans="1:13" x14ac:dyDescent="0.25">
      <c r="A6" s="4" t="s">
        <v>294</v>
      </c>
      <c r="B6" s="5" t="str">
        <f>CONCATENATE(A6,0)</f>
        <v>65U5U8U890</v>
      </c>
      <c r="C6" s="6" t="s">
        <v>169</v>
      </c>
      <c r="D6" s="6" t="s">
        <v>46</v>
      </c>
      <c r="E6" s="6">
        <v>20411454</v>
      </c>
      <c r="F6" s="6" t="s">
        <v>344</v>
      </c>
      <c r="G6" s="6" t="s">
        <v>170</v>
      </c>
      <c r="H6" s="7">
        <v>45778</v>
      </c>
      <c r="I6" s="9">
        <v>100</v>
      </c>
      <c r="J6" s="6">
        <v>1</v>
      </c>
      <c r="K6" s="9">
        <v>100</v>
      </c>
      <c r="M6" s="6" t="s">
        <v>324</v>
      </c>
    </row>
    <row r="7" spans="1:13" x14ac:dyDescent="0.25">
      <c r="A7" s="4" t="s">
        <v>273</v>
      </c>
      <c r="B7" s="5" t="str">
        <f>CONCATENATE(A7,0)</f>
        <v>00019330138K0</v>
      </c>
      <c r="C7" s="6" t="s">
        <v>45</v>
      </c>
      <c r="D7" s="6" t="s">
        <v>46</v>
      </c>
      <c r="E7" s="6">
        <v>20411454</v>
      </c>
      <c r="F7" s="6" t="s">
        <v>344</v>
      </c>
      <c r="G7" s="6" t="s">
        <v>50</v>
      </c>
      <c r="H7" s="7">
        <v>45778</v>
      </c>
      <c r="I7" s="9">
        <v>175</v>
      </c>
      <c r="J7" s="6">
        <v>1</v>
      </c>
      <c r="K7" s="9">
        <v>175</v>
      </c>
      <c r="M7" s="6" t="s">
        <v>325</v>
      </c>
    </row>
    <row r="8" spans="1:13" x14ac:dyDescent="0.25">
      <c r="A8" s="4" t="s">
        <v>275</v>
      </c>
      <c r="B8" s="5" t="str">
        <f>CONCATENATE(A8,0)</f>
        <v>00022112846K0</v>
      </c>
      <c r="C8" s="6" t="s">
        <v>60</v>
      </c>
      <c r="D8" s="6" t="s">
        <v>61</v>
      </c>
      <c r="E8" s="6">
        <v>20411454</v>
      </c>
      <c r="F8" s="6" t="s">
        <v>344</v>
      </c>
      <c r="G8" s="6" t="s">
        <v>50</v>
      </c>
      <c r="H8" s="7">
        <v>45658</v>
      </c>
      <c r="I8" s="9">
        <v>117.25</v>
      </c>
      <c r="J8" s="6">
        <v>1</v>
      </c>
      <c r="K8" s="9">
        <v>117.25</v>
      </c>
      <c r="L8" s="6" t="s">
        <v>65</v>
      </c>
      <c r="M8" s="6" t="s">
        <v>325</v>
      </c>
    </row>
    <row r="9" spans="1:13" x14ac:dyDescent="0.25">
      <c r="A9" s="4" t="s">
        <v>276</v>
      </c>
      <c r="B9" s="5" t="str">
        <f>CONCATENATE(A9,0)</f>
        <v>00022397306K0</v>
      </c>
      <c r="C9" s="6" t="s">
        <v>67</v>
      </c>
      <c r="D9" s="6" t="s">
        <v>68</v>
      </c>
      <c r="E9" s="6">
        <v>20411454</v>
      </c>
      <c r="F9" s="6" t="s">
        <v>344</v>
      </c>
      <c r="G9" s="6" t="s">
        <v>50</v>
      </c>
      <c r="H9" s="7">
        <v>45809</v>
      </c>
      <c r="I9" s="9">
        <v>175</v>
      </c>
      <c r="J9" s="6">
        <v>1</v>
      </c>
      <c r="K9" s="9">
        <v>175</v>
      </c>
      <c r="M9" s="6" t="s">
        <v>325</v>
      </c>
    </row>
    <row r="10" spans="1:13" x14ac:dyDescent="0.25">
      <c r="A10" s="4" t="s">
        <v>280</v>
      </c>
      <c r="B10" s="5" t="str">
        <f>CONCATENATE(A10,0)</f>
        <v>00023312563K0</v>
      </c>
      <c r="C10" s="6" t="s">
        <v>83</v>
      </c>
      <c r="D10" s="6" t="s">
        <v>46</v>
      </c>
      <c r="E10" s="6">
        <v>20411454</v>
      </c>
      <c r="F10" s="6" t="s">
        <v>344</v>
      </c>
      <c r="G10" s="6" t="s">
        <v>50</v>
      </c>
      <c r="H10" s="7">
        <v>45778</v>
      </c>
      <c r="I10" s="9">
        <v>175</v>
      </c>
      <c r="J10" s="6">
        <v>1</v>
      </c>
      <c r="K10" s="9">
        <v>175</v>
      </c>
      <c r="M10" s="6" t="s">
        <v>325</v>
      </c>
    </row>
    <row r="11" spans="1:13" x14ac:dyDescent="0.25">
      <c r="A11" s="4" t="s">
        <v>281</v>
      </c>
      <c r="B11" s="5" t="str">
        <f>CONCATENATE(A11,0)</f>
        <v>00023312872K0</v>
      </c>
      <c r="C11" s="6" t="s">
        <v>87</v>
      </c>
      <c r="D11" s="6" t="s">
        <v>46</v>
      </c>
      <c r="E11" s="6">
        <v>20411454</v>
      </c>
      <c r="F11" s="6" t="s">
        <v>344</v>
      </c>
      <c r="G11" s="6" t="s">
        <v>50</v>
      </c>
      <c r="H11" s="7">
        <v>45778</v>
      </c>
      <c r="I11" s="9">
        <v>175</v>
      </c>
      <c r="J11" s="6">
        <v>1</v>
      </c>
      <c r="K11" s="9">
        <v>175</v>
      </c>
      <c r="M11" s="6" t="s">
        <v>325</v>
      </c>
    </row>
    <row r="12" spans="1:13" x14ac:dyDescent="0.25">
      <c r="A12" s="4" t="s">
        <v>282</v>
      </c>
      <c r="B12" s="5" t="str">
        <f>CONCATENATE(A12,0)</f>
        <v>00023316519K0</v>
      </c>
      <c r="C12" s="6" t="s">
        <v>91</v>
      </c>
      <c r="D12" s="6" t="s">
        <v>92</v>
      </c>
      <c r="E12" s="6">
        <v>20411454</v>
      </c>
      <c r="F12" s="6" t="s">
        <v>344</v>
      </c>
      <c r="G12" s="6" t="s">
        <v>50</v>
      </c>
      <c r="H12" s="7">
        <v>45778</v>
      </c>
      <c r="I12" s="9">
        <v>175</v>
      </c>
      <c r="J12" s="6">
        <v>1</v>
      </c>
      <c r="K12" s="9">
        <v>175</v>
      </c>
      <c r="M12" s="6" t="s">
        <v>325</v>
      </c>
    </row>
    <row r="13" spans="1:13" x14ac:dyDescent="0.25">
      <c r="A13" s="4" t="s">
        <v>283</v>
      </c>
      <c r="B13" s="5" t="str">
        <f>CONCATENATE(A13,0)</f>
        <v>00023317598K0</v>
      </c>
      <c r="C13" s="6" t="s">
        <v>96</v>
      </c>
      <c r="D13" s="6" t="s">
        <v>46</v>
      </c>
      <c r="E13" s="6">
        <v>20411454</v>
      </c>
      <c r="F13" s="6" t="s">
        <v>344</v>
      </c>
      <c r="G13" s="6" t="s">
        <v>50</v>
      </c>
      <c r="H13" s="7">
        <v>45809</v>
      </c>
      <c r="I13" s="9">
        <v>175</v>
      </c>
      <c r="J13" s="6">
        <v>1</v>
      </c>
      <c r="K13" s="9">
        <v>175</v>
      </c>
      <c r="M13" s="6" t="s">
        <v>325</v>
      </c>
    </row>
    <row r="14" spans="1:13" x14ac:dyDescent="0.25">
      <c r="A14" s="4" t="s">
        <v>284</v>
      </c>
      <c r="B14" s="5" t="str">
        <f>CONCATENATE(A14,0)</f>
        <v>00023317944K0</v>
      </c>
      <c r="C14" s="6" t="s">
        <v>98</v>
      </c>
      <c r="D14" s="6" t="s">
        <v>99</v>
      </c>
      <c r="E14" s="6">
        <v>20411454</v>
      </c>
      <c r="F14" s="6" t="s">
        <v>344</v>
      </c>
      <c r="G14" s="6" t="s">
        <v>50</v>
      </c>
      <c r="H14" s="7">
        <v>45839</v>
      </c>
      <c r="I14" s="9">
        <v>175</v>
      </c>
      <c r="J14" s="6">
        <v>1</v>
      </c>
      <c r="K14" s="9">
        <v>175</v>
      </c>
      <c r="M14" s="6" t="s">
        <v>325</v>
      </c>
    </row>
    <row r="15" spans="1:13" x14ac:dyDescent="0.25">
      <c r="A15" s="4" t="s">
        <v>285</v>
      </c>
      <c r="B15" s="5" t="str">
        <f>CONCATENATE(A15,0)</f>
        <v>00023318422K0</v>
      </c>
      <c r="C15" s="6" t="s">
        <v>101</v>
      </c>
      <c r="D15" s="6" t="s">
        <v>102</v>
      </c>
      <c r="E15" s="6">
        <v>20411454</v>
      </c>
      <c r="F15" s="6" t="s">
        <v>344</v>
      </c>
      <c r="G15" s="6" t="s">
        <v>50</v>
      </c>
      <c r="H15" s="7">
        <v>45778</v>
      </c>
      <c r="I15" s="9">
        <v>175</v>
      </c>
      <c r="J15" s="6">
        <v>1</v>
      </c>
      <c r="K15" s="9">
        <v>175</v>
      </c>
      <c r="M15" s="6" t="s">
        <v>325</v>
      </c>
    </row>
    <row r="16" spans="1:13" x14ac:dyDescent="0.25">
      <c r="A16" s="4" t="s">
        <v>286</v>
      </c>
      <c r="B16" s="5" t="str">
        <f>CONCATENATE(A16,0)</f>
        <v>00023318474K0</v>
      </c>
      <c r="C16" s="6" t="s">
        <v>106</v>
      </c>
      <c r="D16" s="6" t="s">
        <v>107</v>
      </c>
      <c r="E16" s="6">
        <v>20411454</v>
      </c>
      <c r="F16" s="6" t="s">
        <v>344</v>
      </c>
      <c r="G16" s="6" t="s">
        <v>50</v>
      </c>
      <c r="H16" s="7">
        <v>45778</v>
      </c>
      <c r="I16" s="9">
        <v>175</v>
      </c>
      <c r="J16" s="6">
        <v>1</v>
      </c>
      <c r="K16" s="9">
        <v>175</v>
      </c>
      <c r="M16" s="6" t="s">
        <v>325</v>
      </c>
    </row>
    <row r="17" spans="1:14" x14ac:dyDescent="0.25">
      <c r="A17" s="4" t="s">
        <v>287</v>
      </c>
      <c r="B17" s="5" t="str">
        <f>CONCATENATE(A17,0)</f>
        <v>00023322186K0</v>
      </c>
      <c r="C17" s="6" t="s">
        <v>111</v>
      </c>
      <c r="D17" s="6" t="s">
        <v>46</v>
      </c>
      <c r="E17" s="6">
        <v>20411454</v>
      </c>
      <c r="F17" s="6" t="s">
        <v>344</v>
      </c>
      <c r="G17" s="6" t="s">
        <v>50</v>
      </c>
      <c r="H17" s="7">
        <v>45839</v>
      </c>
      <c r="I17" s="9">
        <v>175</v>
      </c>
      <c r="J17" s="6">
        <v>1</v>
      </c>
      <c r="K17" s="9">
        <v>175</v>
      </c>
      <c r="M17" s="6" t="s">
        <v>325</v>
      </c>
    </row>
    <row r="18" spans="1:14" x14ac:dyDescent="0.25">
      <c r="A18" s="4" t="s">
        <v>288</v>
      </c>
      <c r="B18" s="5" t="str">
        <f>CONCATENATE(A18,0)</f>
        <v>00023326681K0</v>
      </c>
      <c r="C18" s="6" t="s">
        <v>115</v>
      </c>
      <c r="D18" s="6" t="s">
        <v>46</v>
      </c>
      <c r="E18" s="6">
        <v>20411454</v>
      </c>
      <c r="F18" s="6" t="s">
        <v>344</v>
      </c>
      <c r="G18" s="6" t="s">
        <v>50</v>
      </c>
      <c r="H18" s="7">
        <v>45809</v>
      </c>
      <c r="I18" s="9">
        <v>175</v>
      </c>
      <c r="J18" s="6">
        <v>1</v>
      </c>
      <c r="K18" s="9">
        <v>175</v>
      </c>
      <c r="M18" s="6" t="s">
        <v>325</v>
      </c>
    </row>
    <row r="19" spans="1:14" x14ac:dyDescent="0.25">
      <c r="A19" s="4" t="s">
        <v>305</v>
      </c>
      <c r="B19" s="4" t="s">
        <v>305</v>
      </c>
      <c r="C19" s="6" t="s">
        <v>72</v>
      </c>
      <c r="D19" s="6" t="s">
        <v>61</v>
      </c>
      <c r="E19" s="6">
        <v>20411454</v>
      </c>
      <c r="F19" s="6" t="s">
        <v>344</v>
      </c>
      <c r="G19" s="6" t="s">
        <v>50</v>
      </c>
      <c r="H19" s="7">
        <v>45689</v>
      </c>
      <c r="K19" s="8">
        <v>-117.25</v>
      </c>
      <c r="M19" s="6" t="s">
        <v>325</v>
      </c>
    </row>
    <row r="20" spans="1:14" x14ac:dyDescent="0.25">
      <c r="A20" s="4" t="s">
        <v>306</v>
      </c>
      <c r="B20" s="4" t="s">
        <v>306</v>
      </c>
      <c r="C20" s="6" t="s">
        <v>248</v>
      </c>
      <c r="D20" s="6" t="s">
        <v>61</v>
      </c>
      <c r="E20" s="6">
        <v>20411454</v>
      </c>
      <c r="F20" s="6" t="s">
        <v>344</v>
      </c>
      <c r="G20" s="6" t="s">
        <v>50</v>
      </c>
      <c r="H20" s="7">
        <v>45717</v>
      </c>
      <c r="K20" s="8">
        <v>-145.25</v>
      </c>
      <c r="M20" s="6" t="s">
        <v>325</v>
      </c>
    </row>
    <row r="21" spans="1:14" x14ac:dyDescent="0.25">
      <c r="A21" s="4" t="s">
        <v>274</v>
      </c>
      <c r="B21" s="5" t="str">
        <f>CONCATENATE(A21,0)</f>
        <v>00021762005K0</v>
      </c>
      <c r="C21" s="6" t="s">
        <v>54</v>
      </c>
      <c r="D21" s="6" t="s">
        <v>55</v>
      </c>
      <c r="E21" s="6">
        <v>20411454</v>
      </c>
      <c r="F21" s="6" t="s">
        <v>344</v>
      </c>
      <c r="G21" s="6" t="s">
        <v>58</v>
      </c>
      <c r="H21" s="7">
        <v>45778</v>
      </c>
      <c r="I21" s="9">
        <v>108</v>
      </c>
      <c r="J21" s="6">
        <v>1</v>
      </c>
      <c r="K21" s="9">
        <v>108</v>
      </c>
      <c r="M21" s="6" t="s">
        <v>325</v>
      </c>
    </row>
    <row r="22" spans="1:14" x14ac:dyDescent="0.25">
      <c r="A22" s="4" t="s">
        <v>277</v>
      </c>
      <c r="B22" s="5" t="str">
        <f>CONCATENATE(A22,0)</f>
        <v>00022402277K0</v>
      </c>
      <c r="C22" s="6" t="s">
        <v>72</v>
      </c>
      <c r="D22" s="6" t="s">
        <v>68</v>
      </c>
      <c r="E22" s="6">
        <v>20411454</v>
      </c>
      <c r="F22" s="6" t="s">
        <v>344</v>
      </c>
      <c r="G22" s="6" t="s">
        <v>58</v>
      </c>
      <c r="H22" s="7">
        <v>45809</v>
      </c>
      <c r="I22" s="9">
        <v>108</v>
      </c>
      <c r="J22" s="6">
        <v>1</v>
      </c>
      <c r="K22" s="9">
        <v>108</v>
      </c>
      <c r="M22" s="6" t="s">
        <v>325</v>
      </c>
    </row>
    <row r="23" spans="1:14" x14ac:dyDescent="0.25">
      <c r="A23" s="4" t="s">
        <v>304</v>
      </c>
      <c r="B23" s="4" t="s">
        <v>304</v>
      </c>
      <c r="C23" s="6" t="s">
        <v>242</v>
      </c>
      <c r="D23" s="6" t="s">
        <v>61</v>
      </c>
      <c r="E23" s="6">
        <v>20411454</v>
      </c>
      <c r="F23" s="6" t="s">
        <v>344</v>
      </c>
      <c r="G23" s="6" t="s">
        <v>58</v>
      </c>
      <c r="H23" s="7">
        <v>45658</v>
      </c>
      <c r="K23" s="8">
        <v>-72.36</v>
      </c>
      <c r="M23" s="6" t="s">
        <v>325</v>
      </c>
    </row>
    <row r="24" spans="1:14" x14ac:dyDescent="0.25">
      <c r="A24" s="4" t="s">
        <v>289</v>
      </c>
      <c r="B24" s="4" t="s">
        <v>289</v>
      </c>
      <c r="C24" s="6" t="s">
        <v>119</v>
      </c>
      <c r="D24" s="6" t="s">
        <v>107</v>
      </c>
      <c r="E24" s="6">
        <v>17425766</v>
      </c>
      <c r="F24" s="6" t="s">
        <v>121</v>
      </c>
      <c r="G24" s="6" t="s">
        <v>77</v>
      </c>
      <c r="H24" s="7">
        <v>45870</v>
      </c>
      <c r="I24" s="9">
        <v>15</v>
      </c>
      <c r="J24" s="6">
        <v>1</v>
      </c>
      <c r="K24" s="9">
        <v>15</v>
      </c>
      <c r="M24" s="6" t="s">
        <v>326</v>
      </c>
    </row>
    <row r="25" spans="1:14" x14ac:dyDescent="0.25">
      <c r="A25" s="4" t="s">
        <v>278</v>
      </c>
      <c r="B25" s="4" t="s">
        <v>278</v>
      </c>
      <c r="C25" s="6" t="s">
        <v>74</v>
      </c>
      <c r="D25" s="6" t="s">
        <v>46</v>
      </c>
      <c r="E25" s="6">
        <v>19200754</v>
      </c>
      <c r="F25" s="6" t="s">
        <v>76</v>
      </c>
      <c r="G25" s="6" t="s">
        <v>77</v>
      </c>
      <c r="H25" s="7">
        <v>45778</v>
      </c>
      <c r="I25" s="9">
        <v>15</v>
      </c>
      <c r="J25" s="6">
        <v>1</v>
      </c>
      <c r="K25" s="9">
        <v>15</v>
      </c>
      <c r="M25" s="6" t="s">
        <v>326</v>
      </c>
    </row>
    <row r="26" spans="1:14" x14ac:dyDescent="0.25">
      <c r="A26" s="4" t="s">
        <v>279</v>
      </c>
      <c r="B26" s="4" t="s">
        <v>279</v>
      </c>
      <c r="C26" s="6" t="s">
        <v>79</v>
      </c>
      <c r="D26" s="6" t="s">
        <v>46</v>
      </c>
      <c r="E26" s="6">
        <v>19645587</v>
      </c>
      <c r="F26" s="6" t="s">
        <v>81</v>
      </c>
      <c r="G26" s="6" t="s">
        <v>77</v>
      </c>
      <c r="H26" s="7">
        <v>45778</v>
      </c>
      <c r="I26" s="9">
        <v>15</v>
      </c>
      <c r="J26" s="6">
        <v>1</v>
      </c>
      <c r="K26" s="9">
        <v>15</v>
      </c>
      <c r="M26" s="6" t="s">
        <v>326</v>
      </c>
    </row>
    <row r="27" spans="1:14" x14ac:dyDescent="0.25">
      <c r="A27" s="4">
        <v>935134529</v>
      </c>
      <c r="B27" s="5" t="str">
        <f>CONCATENATE(A27,98)</f>
        <v>93513452998</v>
      </c>
      <c r="C27" s="6" t="s">
        <v>192</v>
      </c>
      <c r="D27" s="6" t="s">
        <v>193</v>
      </c>
      <c r="E27" s="6">
        <v>8325282</v>
      </c>
      <c r="F27" s="6" t="s">
        <v>195</v>
      </c>
      <c r="G27" s="6" t="s">
        <v>176</v>
      </c>
      <c r="H27" s="7">
        <v>45778</v>
      </c>
      <c r="I27" s="9">
        <v>626</v>
      </c>
      <c r="J27" s="6">
        <v>1</v>
      </c>
      <c r="K27" s="9">
        <v>626</v>
      </c>
      <c r="M27" s="6" t="s">
        <v>331</v>
      </c>
      <c r="N27" s="6" t="s">
        <v>343</v>
      </c>
    </row>
    <row r="28" spans="1:14" x14ac:dyDescent="0.25">
      <c r="A28" s="4">
        <v>953075319</v>
      </c>
      <c r="B28" s="5" t="str">
        <f>CONCATENATE(A28,98)</f>
        <v>95307531998</v>
      </c>
      <c r="C28" s="6" t="s">
        <v>209</v>
      </c>
      <c r="D28" s="6" t="s">
        <v>210</v>
      </c>
      <c r="E28" s="6">
        <v>8325282</v>
      </c>
      <c r="F28" s="6" t="s">
        <v>195</v>
      </c>
      <c r="G28" s="6" t="s">
        <v>176</v>
      </c>
      <c r="H28" s="7">
        <v>45839</v>
      </c>
      <c r="I28" s="9">
        <v>626</v>
      </c>
      <c r="J28" s="6">
        <v>1</v>
      </c>
      <c r="K28" s="9">
        <v>626</v>
      </c>
      <c r="M28" s="6" t="s">
        <v>331</v>
      </c>
      <c r="N28" s="6" t="s">
        <v>343</v>
      </c>
    </row>
    <row r="29" spans="1:14" x14ac:dyDescent="0.25">
      <c r="A29" s="4">
        <v>957220266</v>
      </c>
      <c r="B29" s="5" t="str">
        <f>CONCATENATE(A29,98)</f>
        <v>95722026698</v>
      </c>
      <c r="C29" s="6" t="s">
        <v>217</v>
      </c>
      <c r="D29" s="6" t="s">
        <v>218</v>
      </c>
      <c r="E29" s="6">
        <v>17528908</v>
      </c>
      <c r="F29" s="6" t="s">
        <v>220</v>
      </c>
      <c r="G29" s="6" t="s">
        <v>176</v>
      </c>
      <c r="H29" s="7">
        <v>45778</v>
      </c>
      <c r="I29" s="9">
        <v>626</v>
      </c>
      <c r="J29" s="6">
        <v>1</v>
      </c>
      <c r="K29" s="9">
        <v>626</v>
      </c>
      <c r="M29" s="6" t="s">
        <v>331</v>
      </c>
      <c r="N29" s="6" t="s">
        <v>343</v>
      </c>
    </row>
    <row r="30" spans="1:14" x14ac:dyDescent="0.25">
      <c r="A30" s="4">
        <v>992296804</v>
      </c>
      <c r="B30" s="5">
        <v>99229680498</v>
      </c>
      <c r="C30" s="6" t="s">
        <v>225</v>
      </c>
      <c r="D30" s="6" t="s">
        <v>46</v>
      </c>
      <c r="E30" s="6">
        <v>17301495</v>
      </c>
      <c r="F30" s="6" t="s">
        <v>48</v>
      </c>
      <c r="G30" s="6" t="s">
        <v>226</v>
      </c>
      <c r="H30" s="7">
        <v>45748</v>
      </c>
      <c r="I30" s="9">
        <v>469.5</v>
      </c>
      <c r="J30" s="6">
        <v>1</v>
      </c>
      <c r="K30" s="9">
        <v>469.5</v>
      </c>
      <c r="L30" s="6" t="s">
        <v>227</v>
      </c>
      <c r="M30" s="6" t="s">
        <v>331</v>
      </c>
      <c r="N30" s="6" t="s">
        <v>334</v>
      </c>
    </row>
    <row r="31" spans="1:14" x14ac:dyDescent="0.25">
      <c r="A31" s="4">
        <v>916875754</v>
      </c>
      <c r="B31" s="5" t="str">
        <f>CONCATENATE(A31,98)</f>
        <v>91687575498</v>
      </c>
      <c r="C31" s="6" t="s">
        <v>185</v>
      </c>
      <c r="D31" s="6" t="s">
        <v>46</v>
      </c>
      <c r="E31" s="6">
        <v>9213293</v>
      </c>
      <c r="F31" s="6" t="s">
        <v>132</v>
      </c>
      <c r="G31" s="6" t="s">
        <v>176</v>
      </c>
      <c r="H31" s="7">
        <v>45778</v>
      </c>
      <c r="I31" s="9">
        <v>626</v>
      </c>
      <c r="J31" s="6">
        <v>1</v>
      </c>
      <c r="K31" s="9">
        <v>626</v>
      </c>
      <c r="M31" s="6" t="s">
        <v>331</v>
      </c>
      <c r="N31" s="6" t="s">
        <v>343</v>
      </c>
    </row>
    <row r="32" spans="1:14" x14ac:dyDescent="0.25">
      <c r="A32" s="4">
        <v>938957904</v>
      </c>
      <c r="B32" s="5" t="str">
        <f>CONCATENATE(A32,98)</f>
        <v>93895790498</v>
      </c>
      <c r="C32" s="6" t="s">
        <v>207</v>
      </c>
      <c r="D32" s="6" t="s">
        <v>46</v>
      </c>
      <c r="E32" s="6">
        <v>18754354</v>
      </c>
      <c r="F32" s="6" t="s">
        <v>142</v>
      </c>
      <c r="G32" s="6" t="s">
        <v>176</v>
      </c>
      <c r="H32" s="7">
        <v>45778</v>
      </c>
      <c r="I32" s="9">
        <v>626</v>
      </c>
      <c r="J32" s="6">
        <v>1</v>
      </c>
      <c r="K32" s="9">
        <v>626</v>
      </c>
      <c r="M32" s="6" t="s">
        <v>331</v>
      </c>
      <c r="N32" s="6" t="s">
        <v>343</v>
      </c>
    </row>
    <row r="33" spans="1:14" x14ac:dyDescent="0.25">
      <c r="A33" s="4">
        <v>911246279</v>
      </c>
      <c r="B33" s="5" t="str">
        <f>CONCATENATE(A33,98)</f>
        <v>91124627998</v>
      </c>
      <c r="C33" s="6" t="s">
        <v>175</v>
      </c>
      <c r="D33" s="6" t="s">
        <v>46</v>
      </c>
      <c r="E33" s="6">
        <v>19200754</v>
      </c>
      <c r="F33" s="6" t="s">
        <v>76</v>
      </c>
      <c r="G33" s="6" t="s">
        <v>176</v>
      </c>
      <c r="H33" s="7">
        <v>45778</v>
      </c>
      <c r="I33" s="9">
        <v>626</v>
      </c>
      <c r="J33" s="6">
        <v>1</v>
      </c>
      <c r="K33" s="9">
        <v>626</v>
      </c>
      <c r="M33" s="6" t="s">
        <v>331</v>
      </c>
      <c r="N33" s="6" t="s">
        <v>343</v>
      </c>
    </row>
    <row r="34" spans="1:14" x14ac:dyDescent="0.25">
      <c r="A34" s="4">
        <v>954274028</v>
      </c>
      <c r="B34" s="5" t="str">
        <f>CONCATENATE(A34,98)</f>
        <v>95427402898</v>
      </c>
      <c r="C34" s="6" t="s">
        <v>212</v>
      </c>
      <c r="D34" s="6" t="s">
        <v>205</v>
      </c>
      <c r="E34" s="6">
        <v>19200754</v>
      </c>
      <c r="F34" s="6" t="s">
        <v>76</v>
      </c>
      <c r="G34" s="6" t="s">
        <v>176</v>
      </c>
      <c r="H34" s="7">
        <v>45809</v>
      </c>
      <c r="I34" s="9">
        <v>626</v>
      </c>
      <c r="J34" s="6">
        <v>1</v>
      </c>
      <c r="K34" s="9">
        <v>626</v>
      </c>
      <c r="M34" s="6" t="s">
        <v>331</v>
      </c>
      <c r="N34" s="6" t="s">
        <v>343</v>
      </c>
    </row>
    <row r="35" spans="1:14" x14ac:dyDescent="0.25">
      <c r="A35" s="4">
        <v>911536941</v>
      </c>
      <c r="B35" s="5" t="str">
        <f>CONCATENATE(A35,98)</f>
        <v>91153694198</v>
      </c>
      <c r="C35" s="6" t="s">
        <v>178</v>
      </c>
      <c r="D35" s="6" t="s">
        <v>99</v>
      </c>
      <c r="E35" s="6">
        <v>19645587</v>
      </c>
      <c r="F35" s="6" t="s">
        <v>81</v>
      </c>
      <c r="G35" s="6" t="s">
        <v>176</v>
      </c>
      <c r="H35" s="7">
        <v>45778</v>
      </c>
      <c r="I35" s="9">
        <v>626</v>
      </c>
      <c r="J35" s="6">
        <v>1</v>
      </c>
      <c r="K35" s="9">
        <v>626</v>
      </c>
      <c r="M35" s="6" t="s">
        <v>331</v>
      </c>
      <c r="N35" s="6" t="s">
        <v>343</v>
      </c>
    </row>
    <row r="36" spans="1:14" x14ac:dyDescent="0.25">
      <c r="A36" s="4">
        <v>937824582</v>
      </c>
      <c r="B36" s="5" t="str">
        <f>CONCATENATE(A36,98)</f>
        <v>93782458298</v>
      </c>
      <c r="C36" s="6" t="s">
        <v>204</v>
      </c>
      <c r="D36" s="6" t="s">
        <v>205</v>
      </c>
      <c r="E36" s="6">
        <v>19645587</v>
      </c>
      <c r="F36" s="6" t="s">
        <v>81</v>
      </c>
      <c r="G36" s="6" t="s">
        <v>176</v>
      </c>
      <c r="H36" s="7">
        <v>45809</v>
      </c>
      <c r="I36" s="9">
        <v>626</v>
      </c>
      <c r="J36" s="6">
        <v>1</v>
      </c>
      <c r="K36" s="9">
        <v>626</v>
      </c>
      <c r="M36" s="6" t="s">
        <v>331</v>
      </c>
      <c r="N36" s="6" t="s">
        <v>343</v>
      </c>
    </row>
    <row r="37" spans="1:14" x14ac:dyDescent="0.25">
      <c r="A37" s="4">
        <v>955775714</v>
      </c>
      <c r="B37" s="5" t="str">
        <f>CONCATENATE(A37,98)</f>
        <v>95577571498</v>
      </c>
      <c r="C37" s="6" t="s">
        <v>215</v>
      </c>
      <c r="D37" s="6" t="s">
        <v>68</v>
      </c>
      <c r="E37" s="6">
        <v>19645587</v>
      </c>
      <c r="F37" s="6" t="s">
        <v>81</v>
      </c>
      <c r="G37" s="6" t="s">
        <v>176</v>
      </c>
      <c r="H37" s="7">
        <v>45778</v>
      </c>
      <c r="I37" s="9">
        <v>626</v>
      </c>
      <c r="J37" s="6">
        <v>1</v>
      </c>
      <c r="K37" s="9">
        <v>626</v>
      </c>
      <c r="M37" s="6" t="s">
        <v>331</v>
      </c>
      <c r="N37" s="6" t="s">
        <v>343</v>
      </c>
    </row>
    <row r="38" spans="1:14" x14ac:dyDescent="0.25">
      <c r="A38" s="4">
        <v>972095971</v>
      </c>
      <c r="B38" s="5" t="str">
        <f>CONCATENATE(A38,98)</f>
        <v>97209597198</v>
      </c>
      <c r="C38" s="6" t="s">
        <v>222</v>
      </c>
      <c r="D38" s="6" t="s">
        <v>205</v>
      </c>
      <c r="E38" s="6">
        <v>19645587</v>
      </c>
      <c r="F38" s="6" t="s">
        <v>81</v>
      </c>
      <c r="G38" s="6" t="s">
        <v>176</v>
      </c>
      <c r="H38" s="7">
        <v>45778</v>
      </c>
      <c r="I38" s="9">
        <v>626</v>
      </c>
      <c r="J38" s="6">
        <v>1</v>
      </c>
      <c r="K38" s="9">
        <v>626</v>
      </c>
      <c r="M38" s="6" t="s">
        <v>331</v>
      </c>
      <c r="N38" s="6" t="s">
        <v>343</v>
      </c>
    </row>
    <row r="39" spans="1:14" x14ac:dyDescent="0.25">
      <c r="A39" s="4">
        <v>905577824</v>
      </c>
      <c r="B39" s="5" t="str">
        <f>CONCATENATE(A39,98)</f>
        <v>90557782498</v>
      </c>
      <c r="C39" s="6" t="s">
        <v>172</v>
      </c>
      <c r="D39" s="6" t="s">
        <v>92</v>
      </c>
      <c r="E39" s="6">
        <v>17425766</v>
      </c>
      <c r="F39" s="6" t="s">
        <v>121</v>
      </c>
      <c r="G39" s="6" t="s">
        <v>173</v>
      </c>
      <c r="H39" s="7">
        <v>45778</v>
      </c>
      <c r="I39" s="9">
        <v>780</v>
      </c>
      <c r="J39" s="6">
        <v>1</v>
      </c>
      <c r="K39" s="9">
        <v>780</v>
      </c>
      <c r="M39" s="6" t="s">
        <v>341</v>
      </c>
      <c r="N39" s="6" t="s">
        <v>342</v>
      </c>
    </row>
    <row r="40" spans="1:14" x14ac:dyDescent="0.25">
      <c r="A40" s="4" t="s">
        <v>309</v>
      </c>
      <c r="B40" s="4" t="s">
        <v>309</v>
      </c>
      <c r="C40" s="6" t="s">
        <v>172</v>
      </c>
      <c r="D40" s="6" t="s">
        <v>92</v>
      </c>
      <c r="E40" s="6">
        <v>17425766</v>
      </c>
      <c r="F40" s="6" t="s">
        <v>121</v>
      </c>
      <c r="G40" s="6" t="s">
        <v>258</v>
      </c>
      <c r="H40" s="7">
        <v>45778</v>
      </c>
      <c r="K40" s="8">
        <v>-260</v>
      </c>
      <c r="M40" s="6" t="s">
        <v>339</v>
      </c>
      <c r="N40" s="6" t="s">
        <v>340</v>
      </c>
    </row>
    <row r="41" spans="1:14" x14ac:dyDescent="0.25">
      <c r="A41" s="4" t="s">
        <v>301</v>
      </c>
      <c r="B41" s="5" t="str">
        <f>CONCATENATE(A41,1)</f>
        <v>A042700351</v>
      </c>
      <c r="C41" s="6" t="s">
        <v>231</v>
      </c>
      <c r="D41" s="6" t="s">
        <v>46</v>
      </c>
      <c r="E41" s="6">
        <v>8325282</v>
      </c>
      <c r="F41" s="6" t="s">
        <v>195</v>
      </c>
      <c r="G41" s="6" t="s">
        <v>232</v>
      </c>
      <c r="H41" s="7">
        <v>45778</v>
      </c>
      <c r="I41" s="9">
        <v>31.98</v>
      </c>
      <c r="J41" s="6">
        <v>9</v>
      </c>
      <c r="K41" s="9">
        <v>287.82</v>
      </c>
      <c r="M41" s="6" t="s">
        <v>327</v>
      </c>
    </row>
    <row r="42" spans="1:14" x14ac:dyDescent="0.25">
      <c r="A42" s="4" t="s">
        <v>302</v>
      </c>
      <c r="B42" s="5" t="str">
        <f>CONCATENATE(A42,1)</f>
        <v>A042706641</v>
      </c>
      <c r="C42" s="6" t="s">
        <v>79</v>
      </c>
      <c r="D42" s="6" t="s">
        <v>46</v>
      </c>
      <c r="E42" s="6">
        <v>19645587</v>
      </c>
      <c r="F42" s="6" t="s">
        <v>81</v>
      </c>
      <c r="G42" s="6" t="s">
        <v>234</v>
      </c>
      <c r="H42" s="7">
        <v>45778</v>
      </c>
      <c r="I42" s="9">
        <v>30</v>
      </c>
      <c r="J42" s="6">
        <v>9</v>
      </c>
      <c r="K42" s="9">
        <v>270</v>
      </c>
      <c r="M42" s="6" t="s">
        <v>328</v>
      </c>
    </row>
    <row r="43" spans="1:14" x14ac:dyDescent="0.25">
      <c r="A43" s="4" t="s">
        <v>303</v>
      </c>
      <c r="B43" s="5" t="str">
        <f>CONCATENATE(A43,1)</f>
        <v>A042730501</v>
      </c>
      <c r="C43" s="6" t="s">
        <v>236</v>
      </c>
      <c r="D43" s="6" t="s">
        <v>107</v>
      </c>
      <c r="E43" s="6">
        <v>19278370</v>
      </c>
      <c r="F43" s="6" t="s">
        <v>238</v>
      </c>
      <c r="G43" s="6" t="s">
        <v>239</v>
      </c>
      <c r="H43" s="7">
        <v>45809</v>
      </c>
      <c r="I43" s="9">
        <v>31.02</v>
      </c>
      <c r="J43" s="6">
        <v>9</v>
      </c>
      <c r="K43" s="9">
        <v>279.18</v>
      </c>
      <c r="M43" s="6" t="s">
        <v>329</v>
      </c>
    </row>
    <row r="44" spans="1:14" x14ac:dyDescent="0.25">
      <c r="A44" s="4">
        <v>921346722</v>
      </c>
      <c r="B44" s="5" t="str">
        <f>CONCATENATE(A44,1)</f>
        <v>9213467221</v>
      </c>
      <c r="C44" s="6" t="s">
        <v>187</v>
      </c>
      <c r="D44" s="6" t="s">
        <v>149</v>
      </c>
      <c r="E44" s="6">
        <v>9079571</v>
      </c>
      <c r="F44" s="6" t="s">
        <v>189</v>
      </c>
      <c r="G44" s="6" t="s">
        <v>181</v>
      </c>
      <c r="H44" s="7">
        <v>45778</v>
      </c>
      <c r="I44" s="9">
        <v>208.67</v>
      </c>
      <c r="J44" s="6">
        <v>1</v>
      </c>
      <c r="K44" s="9">
        <v>208.67</v>
      </c>
      <c r="L44" s="6" t="s">
        <v>144</v>
      </c>
      <c r="M44" s="6" t="s">
        <v>335</v>
      </c>
      <c r="N44" s="6" t="s">
        <v>337</v>
      </c>
    </row>
    <row r="45" spans="1:14" x14ac:dyDescent="0.25">
      <c r="A45" s="4" t="s">
        <v>313</v>
      </c>
      <c r="B45" s="4" t="s">
        <v>313</v>
      </c>
      <c r="C45" s="6" t="s">
        <v>192</v>
      </c>
      <c r="D45" s="6" t="s">
        <v>193</v>
      </c>
      <c r="E45" s="6">
        <v>8325282</v>
      </c>
      <c r="F45" s="6" t="s">
        <v>195</v>
      </c>
      <c r="G45" s="6" t="s">
        <v>181</v>
      </c>
      <c r="H45" s="7">
        <v>45778</v>
      </c>
      <c r="K45" s="8">
        <v>-208.67</v>
      </c>
      <c r="M45" s="6" t="s">
        <v>335</v>
      </c>
      <c r="N45" s="6" t="s">
        <v>337</v>
      </c>
    </row>
    <row r="46" spans="1:14" x14ac:dyDescent="0.25">
      <c r="A46" s="4" t="s">
        <v>316</v>
      </c>
      <c r="B46" s="4" t="s">
        <v>316</v>
      </c>
      <c r="C46" s="6" t="s">
        <v>209</v>
      </c>
      <c r="D46" s="6" t="s">
        <v>210</v>
      </c>
      <c r="E46" s="6">
        <v>8325282</v>
      </c>
      <c r="F46" s="6" t="s">
        <v>195</v>
      </c>
      <c r="G46" s="6" t="s">
        <v>181</v>
      </c>
      <c r="H46" s="7">
        <v>45839</v>
      </c>
      <c r="K46" s="8">
        <v>-156.5</v>
      </c>
      <c r="M46" s="6" t="s">
        <v>335</v>
      </c>
      <c r="N46" s="6" t="s">
        <v>338</v>
      </c>
    </row>
    <row r="47" spans="1:14" x14ac:dyDescent="0.25">
      <c r="A47" s="4" t="s">
        <v>318</v>
      </c>
      <c r="B47" s="4" t="s">
        <v>318</v>
      </c>
      <c r="C47" s="6" t="s">
        <v>217</v>
      </c>
      <c r="D47" s="6" t="s">
        <v>218</v>
      </c>
      <c r="E47" s="6">
        <v>17528908</v>
      </c>
      <c r="F47" s="6" t="s">
        <v>220</v>
      </c>
      <c r="G47" s="6" t="s">
        <v>181</v>
      </c>
      <c r="H47" s="7">
        <v>45778</v>
      </c>
      <c r="K47" s="8">
        <v>-208.67</v>
      </c>
      <c r="M47" s="6" t="s">
        <v>335</v>
      </c>
      <c r="N47" s="6" t="s">
        <v>337</v>
      </c>
    </row>
    <row r="48" spans="1:14" x14ac:dyDescent="0.25">
      <c r="A48" s="4" t="s">
        <v>321</v>
      </c>
      <c r="B48" s="4" t="s">
        <v>321</v>
      </c>
      <c r="C48" s="6" t="s">
        <v>225</v>
      </c>
      <c r="D48" s="6" t="s">
        <v>46</v>
      </c>
      <c r="E48" s="6">
        <v>17301495</v>
      </c>
      <c r="F48" s="6" t="s">
        <v>48</v>
      </c>
      <c r="G48" s="6" t="s">
        <v>181</v>
      </c>
      <c r="H48" s="7">
        <v>45748</v>
      </c>
      <c r="K48" s="8">
        <v>-234.75</v>
      </c>
      <c r="M48" s="6" t="s">
        <v>335</v>
      </c>
      <c r="N48" s="6" t="s">
        <v>333</v>
      </c>
    </row>
    <row r="49" spans="1:14" x14ac:dyDescent="0.25">
      <c r="A49" s="4" t="s">
        <v>312</v>
      </c>
      <c r="B49" s="4" t="s">
        <v>312</v>
      </c>
      <c r="C49" s="6" t="s">
        <v>185</v>
      </c>
      <c r="D49" s="6" t="s">
        <v>46</v>
      </c>
      <c r="E49" s="6">
        <v>9213293</v>
      </c>
      <c r="F49" s="6" t="s">
        <v>132</v>
      </c>
      <c r="G49" s="6" t="s">
        <v>181</v>
      </c>
      <c r="H49" s="7">
        <v>45778</v>
      </c>
      <c r="K49" s="8">
        <v>-208.67</v>
      </c>
      <c r="M49" s="6" t="s">
        <v>335</v>
      </c>
      <c r="N49" s="6" t="s">
        <v>337</v>
      </c>
    </row>
    <row r="50" spans="1:14" x14ac:dyDescent="0.25">
      <c r="A50" s="4">
        <v>916869341</v>
      </c>
      <c r="B50" s="5" t="str">
        <f>CONCATENATE(A50,1)</f>
        <v>9168693411</v>
      </c>
      <c r="C50" s="6" t="s">
        <v>180</v>
      </c>
      <c r="D50" s="6" t="s">
        <v>102</v>
      </c>
      <c r="E50" s="6">
        <v>16865615</v>
      </c>
      <c r="F50" s="6" t="s">
        <v>104</v>
      </c>
      <c r="G50" s="6" t="s">
        <v>181</v>
      </c>
      <c r="H50" s="7">
        <v>45809</v>
      </c>
      <c r="I50" s="9">
        <v>182.58</v>
      </c>
      <c r="J50" s="6">
        <v>1</v>
      </c>
      <c r="K50" s="9">
        <v>182.58</v>
      </c>
      <c r="L50" s="6" t="s">
        <v>153</v>
      </c>
      <c r="M50" s="6" t="s">
        <v>335</v>
      </c>
      <c r="N50" s="6" t="s">
        <v>336</v>
      </c>
    </row>
    <row r="51" spans="1:14" x14ac:dyDescent="0.25">
      <c r="A51" s="4" t="s">
        <v>315</v>
      </c>
      <c r="B51" s="4" t="s">
        <v>315</v>
      </c>
      <c r="C51" s="6" t="s">
        <v>207</v>
      </c>
      <c r="D51" s="6" t="s">
        <v>46</v>
      </c>
      <c r="E51" s="6">
        <v>18754354</v>
      </c>
      <c r="F51" s="6" t="s">
        <v>142</v>
      </c>
      <c r="G51" s="6" t="s">
        <v>181</v>
      </c>
      <c r="H51" s="7">
        <v>45778</v>
      </c>
      <c r="K51" s="8">
        <v>-208.67</v>
      </c>
      <c r="M51" s="6" t="s">
        <v>335</v>
      </c>
      <c r="N51" s="6" t="s">
        <v>337</v>
      </c>
    </row>
    <row r="52" spans="1:14" x14ac:dyDescent="0.25">
      <c r="A52" s="4">
        <v>936911192</v>
      </c>
      <c r="B52" s="5" t="str">
        <f>CONCATENATE(A52,1)</f>
        <v>9369111921</v>
      </c>
      <c r="C52" s="6" t="s">
        <v>197</v>
      </c>
      <c r="D52" s="6" t="s">
        <v>198</v>
      </c>
      <c r="E52" s="6">
        <v>16683808</v>
      </c>
      <c r="F52" s="6" t="s">
        <v>200</v>
      </c>
      <c r="G52" s="6" t="s">
        <v>181</v>
      </c>
      <c r="H52" s="7">
        <v>45778</v>
      </c>
      <c r="I52" s="9">
        <v>208.67</v>
      </c>
      <c r="J52" s="6">
        <v>1</v>
      </c>
      <c r="K52" s="9">
        <v>208.67</v>
      </c>
      <c r="L52" s="6" t="s">
        <v>144</v>
      </c>
      <c r="M52" s="6" t="s">
        <v>335</v>
      </c>
      <c r="N52" s="6" t="s">
        <v>337</v>
      </c>
    </row>
    <row r="53" spans="1:14" x14ac:dyDescent="0.25">
      <c r="A53" s="4" t="s">
        <v>320</v>
      </c>
      <c r="B53" s="4" t="s">
        <v>320</v>
      </c>
      <c r="C53" s="6" t="s">
        <v>269</v>
      </c>
      <c r="D53" s="6" t="s">
        <v>68</v>
      </c>
      <c r="E53" s="6">
        <v>16683808</v>
      </c>
      <c r="F53" s="6" t="s">
        <v>200</v>
      </c>
      <c r="G53" s="6" t="s">
        <v>181</v>
      </c>
      <c r="H53" s="7">
        <v>45658</v>
      </c>
      <c r="K53" s="8">
        <v>-208.66</v>
      </c>
      <c r="M53" s="6" t="s">
        <v>335</v>
      </c>
      <c r="N53" s="6" t="s">
        <v>337</v>
      </c>
    </row>
    <row r="54" spans="1:14" x14ac:dyDescent="0.25">
      <c r="A54" s="4" t="s">
        <v>310</v>
      </c>
      <c r="B54" s="4" t="s">
        <v>310</v>
      </c>
      <c r="C54" s="6" t="s">
        <v>175</v>
      </c>
      <c r="D54" s="6" t="s">
        <v>46</v>
      </c>
      <c r="E54" s="6">
        <v>19200754</v>
      </c>
      <c r="F54" s="6" t="s">
        <v>76</v>
      </c>
      <c r="G54" s="6" t="s">
        <v>181</v>
      </c>
      <c r="H54" s="7">
        <v>45778</v>
      </c>
      <c r="K54" s="8">
        <v>-208.67</v>
      </c>
      <c r="M54" s="6" t="s">
        <v>335</v>
      </c>
      <c r="N54" s="6" t="s">
        <v>337</v>
      </c>
    </row>
    <row r="55" spans="1:14" x14ac:dyDescent="0.25">
      <c r="A55" s="4" t="s">
        <v>311</v>
      </c>
      <c r="B55" s="4" t="s">
        <v>311</v>
      </c>
      <c r="C55" s="6" t="s">
        <v>178</v>
      </c>
      <c r="D55" s="6" t="s">
        <v>99</v>
      </c>
      <c r="E55" s="6">
        <v>19645587</v>
      </c>
      <c r="F55" s="6" t="s">
        <v>81</v>
      </c>
      <c r="G55" s="6" t="s">
        <v>181</v>
      </c>
      <c r="H55" s="7">
        <v>45778</v>
      </c>
      <c r="K55" s="8">
        <v>-208.67</v>
      </c>
      <c r="M55" s="6" t="s">
        <v>335</v>
      </c>
      <c r="N55" s="6" t="s">
        <v>337</v>
      </c>
    </row>
    <row r="56" spans="1:14" x14ac:dyDescent="0.25">
      <c r="A56" s="4" t="s">
        <v>314</v>
      </c>
      <c r="B56" s="4" t="s">
        <v>314</v>
      </c>
      <c r="C56" s="6" t="s">
        <v>204</v>
      </c>
      <c r="D56" s="6" t="s">
        <v>205</v>
      </c>
      <c r="E56" s="6">
        <v>19645587</v>
      </c>
      <c r="F56" s="6" t="s">
        <v>81</v>
      </c>
      <c r="G56" s="6" t="s">
        <v>181</v>
      </c>
      <c r="H56" s="7">
        <v>45809</v>
      </c>
      <c r="K56" s="8">
        <v>-182.58</v>
      </c>
      <c r="M56" s="6" t="s">
        <v>335</v>
      </c>
      <c r="N56" s="6" t="s">
        <v>336</v>
      </c>
    </row>
    <row r="57" spans="1:14" x14ac:dyDescent="0.25">
      <c r="A57" s="4" t="s">
        <v>317</v>
      </c>
      <c r="B57" s="4" t="s">
        <v>317</v>
      </c>
      <c r="C57" s="6" t="s">
        <v>215</v>
      </c>
      <c r="D57" s="6" t="s">
        <v>68</v>
      </c>
      <c r="E57" s="6">
        <v>19645587</v>
      </c>
      <c r="F57" s="6" t="s">
        <v>81</v>
      </c>
      <c r="G57" s="6" t="s">
        <v>181</v>
      </c>
      <c r="H57" s="7">
        <v>45778</v>
      </c>
      <c r="K57" s="8">
        <v>-208.67</v>
      </c>
      <c r="M57" s="6" t="s">
        <v>335</v>
      </c>
      <c r="N57" s="6" t="s">
        <v>337</v>
      </c>
    </row>
    <row r="58" spans="1:14" x14ac:dyDescent="0.25">
      <c r="A58" s="4" t="s">
        <v>295</v>
      </c>
      <c r="B58" s="4" t="s">
        <v>295</v>
      </c>
      <c r="C58" s="6" t="s">
        <v>180</v>
      </c>
      <c r="D58" s="6" t="s">
        <v>102</v>
      </c>
      <c r="E58" s="6">
        <v>20411454</v>
      </c>
      <c r="F58" s="6" t="s">
        <v>344</v>
      </c>
      <c r="G58" s="6" t="s">
        <v>183</v>
      </c>
      <c r="H58" s="7">
        <v>45809</v>
      </c>
      <c r="I58" s="9">
        <v>175</v>
      </c>
      <c r="J58" s="6">
        <v>1</v>
      </c>
      <c r="K58" s="9">
        <v>175</v>
      </c>
      <c r="M58" s="6" t="s">
        <v>330</v>
      </c>
    </row>
    <row r="59" spans="1:14" x14ac:dyDescent="0.25">
      <c r="A59" s="4" t="s">
        <v>296</v>
      </c>
      <c r="B59" s="4" t="s">
        <v>296</v>
      </c>
      <c r="C59" s="6" t="s">
        <v>187</v>
      </c>
      <c r="D59" s="6" t="s">
        <v>149</v>
      </c>
      <c r="E59" s="6">
        <v>20411454</v>
      </c>
      <c r="F59" s="6" t="s">
        <v>344</v>
      </c>
      <c r="G59" s="6" t="s">
        <v>183</v>
      </c>
      <c r="H59" s="7">
        <v>45778</v>
      </c>
      <c r="I59" s="9">
        <v>175</v>
      </c>
      <c r="J59" s="6">
        <v>1</v>
      </c>
      <c r="K59" s="9">
        <v>175</v>
      </c>
      <c r="M59" s="6" t="s">
        <v>330</v>
      </c>
    </row>
    <row r="60" spans="1:14" x14ac:dyDescent="0.25">
      <c r="A60" s="4" t="s">
        <v>298</v>
      </c>
      <c r="B60" s="4" t="s">
        <v>298</v>
      </c>
      <c r="C60" s="6" t="s">
        <v>212</v>
      </c>
      <c r="D60" s="6" t="s">
        <v>205</v>
      </c>
      <c r="E60" s="6">
        <v>20411454</v>
      </c>
      <c r="F60" s="6" t="s">
        <v>344</v>
      </c>
      <c r="G60" s="6" t="s">
        <v>183</v>
      </c>
      <c r="H60" s="7">
        <v>45809</v>
      </c>
      <c r="I60" s="9">
        <v>175</v>
      </c>
      <c r="J60" s="6">
        <v>1</v>
      </c>
      <c r="K60" s="9">
        <v>175</v>
      </c>
      <c r="M60" s="6" t="s">
        <v>330</v>
      </c>
    </row>
    <row r="61" spans="1:14" x14ac:dyDescent="0.25">
      <c r="A61" s="4" t="s">
        <v>299</v>
      </c>
      <c r="B61" s="4" t="s">
        <v>299</v>
      </c>
      <c r="C61" s="6" t="s">
        <v>222</v>
      </c>
      <c r="D61" s="6" t="s">
        <v>205</v>
      </c>
      <c r="E61" s="6">
        <v>20411454</v>
      </c>
      <c r="F61" s="6" t="s">
        <v>344</v>
      </c>
      <c r="G61" s="6" t="s">
        <v>183</v>
      </c>
      <c r="H61" s="7">
        <v>45778</v>
      </c>
      <c r="I61" s="9">
        <v>175</v>
      </c>
      <c r="J61" s="6">
        <v>1</v>
      </c>
      <c r="K61" s="9">
        <v>175</v>
      </c>
      <c r="M61" s="6" t="s">
        <v>330</v>
      </c>
    </row>
    <row r="62" spans="1:14" x14ac:dyDescent="0.25">
      <c r="A62" s="4" t="s">
        <v>297</v>
      </c>
      <c r="B62" s="4" t="s">
        <v>297</v>
      </c>
      <c r="C62" s="6" t="s">
        <v>197</v>
      </c>
      <c r="D62" s="6" t="s">
        <v>198</v>
      </c>
      <c r="E62" s="6">
        <v>20411454</v>
      </c>
      <c r="F62" s="6" t="s">
        <v>344</v>
      </c>
      <c r="G62" s="6" t="s">
        <v>202</v>
      </c>
      <c r="H62" s="7">
        <v>45778</v>
      </c>
      <c r="I62" s="9">
        <v>48</v>
      </c>
      <c r="J62" s="6">
        <v>1</v>
      </c>
      <c r="K62" s="9">
        <v>48</v>
      </c>
      <c r="L62" s="6" t="s">
        <v>144</v>
      </c>
      <c r="M62" s="6" t="s">
        <v>330</v>
      </c>
    </row>
    <row r="63" spans="1:14" x14ac:dyDescent="0.25">
      <c r="A63" s="4" t="s">
        <v>319</v>
      </c>
      <c r="B63" s="4" t="s">
        <v>319</v>
      </c>
      <c r="C63" s="6" t="s">
        <v>269</v>
      </c>
      <c r="D63" s="6" t="s">
        <v>68</v>
      </c>
      <c r="E63" s="6">
        <v>20411454</v>
      </c>
      <c r="F63" s="6" t="s">
        <v>344</v>
      </c>
      <c r="G63" s="6" t="s">
        <v>202</v>
      </c>
      <c r="H63" s="7">
        <v>45658</v>
      </c>
      <c r="K63" s="8">
        <v>-48</v>
      </c>
      <c r="M63" s="6" t="s">
        <v>330</v>
      </c>
    </row>
    <row r="64" spans="1:14" x14ac:dyDescent="0.25">
      <c r="A64" s="4" t="s">
        <v>322</v>
      </c>
      <c r="B64" s="4" t="s">
        <v>322</v>
      </c>
      <c r="C64" s="6" t="s">
        <v>225</v>
      </c>
      <c r="D64" s="6" t="s">
        <v>46</v>
      </c>
      <c r="E64" s="6">
        <v>20411454</v>
      </c>
      <c r="F64" s="6" t="s">
        <v>344</v>
      </c>
      <c r="G64" s="6" t="s">
        <v>202</v>
      </c>
      <c r="H64" s="7">
        <v>45748</v>
      </c>
      <c r="K64" s="8">
        <v>-54</v>
      </c>
      <c r="M64" s="6" t="s">
        <v>330</v>
      </c>
    </row>
    <row r="65" spans="1:13" x14ac:dyDescent="0.25">
      <c r="A65" s="4" t="s">
        <v>300</v>
      </c>
      <c r="B65" s="4" t="s">
        <v>300</v>
      </c>
      <c r="C65" s="6" t="s">
        <v>225</v>
      </c>
      <c r="D65" s="6" t="s">
        <v>46</v>
      </c>
      <c r="E65" s="6">
        <v>20411454</v>
      </c>
      <c r="F65" s="6" t="s">
        <v>344</v>
      </c>
      <c r="G65" s="6" t="s">
        <v>229</v>
      </c>
      <c r="H65" s="7">
        <v>45748</v>
      </c>
      <c r="I65" s="9">
        <v>131.25</v>
      </c>
      <c r="J65" s="6">
        <v>1</v>
      </c>
      <c r="K65" s="9">
        <v>131.25</v>
      </c>
      <c r="L65" s="6" t="s">
        <v>227</v>
      </c>
      <c r="M65" s="6" t="s">
        <v>330</v>
      </c>
    </row>
    <row r="66" spans="1:13" x14ac:dyDescent="0.25">
      <c r="A66" s="4">
        <v>23086053</v>
      </c>
      <c r="B66" s="5" t="str">
        <f>CONCATENATE(A66,0)</f>
        <v>230860530</v>
      </c>
      <c r="C66" s="6" t="s">
        <v>148</v>
      </c>
      <c r="D66" s="6" t="s">
        <v>149</v>
      </c>
      <c r="E66" s="6">
        <v>20411454</v>
      </c>
      <c r="F66" s="6" t="s">
        <v>344</v>
      </c>
      <c r="G66" s="6" t="s">
        <v>152</v>
      </c>
      <c r="H66" s="7">
        <v>45809</v>
      </c>
      <c r="I66" s="9">
        <v>21.58</v>
      </c>
      <c r="J66" s="6">
        <v>1</v>
      </c>
      <c r="K66" s="9">
        <v>21.58</v>
      </c>
      <c r="L66" s="6" t="s">
        <v>153</v>
      </c>
      <c r="M66" s="6" t="s">
        <v>330</v>
      </c>
    </row>
    <row r="67" spans="1:13" x14ac:dyDescent="0.25">
      <c r="A67" s="4" t="s">
        <v>292</v>
      </c>
      <c r="B67" s="4" t="s">
        <v>292</v>
      </c>
      <c r="C67" s="6" t="s">
        <v>135</v>
      </c>
      <c r="D67" s="6" t="s">
        <v>46</v>
      </c>
      <c r="E67" s="6">
        <v>19681796</v>
      </c>
      <c r="F67" s="6" t="s">
        <v>137</v>
      </c>
      <c r="G67" s="6" t="s">
        <v>126</v>
      </c>
      <c r="H67" s="7">
        <v>45778</v>
      </c>
      <c r="I67" s="9">
        <v>109</v>
      </c>
      <c r="J67" s="6">
        <v>1</v>
      </c>
      <c r="K67" s="9">
        <v>109</v>
      </c>
      <c r="M67" s="6" t="s">
        <v>332</v>
      </c>
    </row>
    <row r="68" spans="1:13" x14ac:dyDescent="0.25">
      <c r="A68" s="4" t="s">
        <v>291</v>
      </c>
      <c r="B68" s="4" t="s">
        <v>291</v>
      </c>
      <c r="C68" s="6" t="s">
        <v>130</v>
      </c>
      <c r="D68" s="6" t="s">
        <v>46</v>
      </c>
      <c r="E68" s="6">
        <v>9213293</v>
      </c>
      <c r="F68" s="6" t="s">
        <v>132</v>
      </c>
      <c r="G68" s="6" t="s">
        <v>126</v>
      </c>
      <c r="H68" s="7">
        <v>45778</v>
      </c>
      <c r="I68" s="9">
        <v>109</v>
      </c>
      <c r="J68" s="6">
        <v>1</v>
      </c>
      <c r="K68" s="9">
        <v>109</v>
      </c>
      <c r="M68" s="6" t="s">
        <v>332</v>
      </c>
    </row>
    <row r="69" spans="1:13" x14ac:dyDescent="0.25">
      <c r="A69" s="4" t="s">
        <v>307</v>
      </c>
      <c r="B69" s="4" t="s">
        <v>307</v>
      </c>
      <c r="C69" s="6" t="s">
        <v>130</v>
      </c>
      <c r="D69" s="6" t="s">
        <v>46</v>
      </c>
      <c r="E69" s="6">
        <v>9213293</v>
      </c>
      <c r="F69" s="6" t="s">
        <v>132</v>
      </c>
      <c r="G69" s="6" t="s">
        <v>252</v>
      </c>
      <c r="H69" s="7">
        <v>45778</v>
      </c>
      <c r="K69" s="8">
        <v>-36.67</v>
      </c>
      <c r="M69" s="6" t="s">
        <v>332</v>
      </c>
    </row>
    <row r="70" spans="1:13" x14ac:dyDescent="0.25">
      <c r="A70" s="4" t="s">
        <v>293</v>
      </c>
      <c r="B70" s="4" t="s">
        <v>293</v>
      </c>
      <c r="C70" s="6" t="s">
        <v>140</v>
      </c>
      <c r="D70" s="6" t="s">
        <v>46</v>
      </c>
      <c r="E70" s="6">
        <v>18754354</v>
      </c>
      <c r="F70" s="6" t="s">
        <v>142</v>
      </c>
      <c r="G70" s="6" t="s">
        <v>143</v>
      </c>
      <c r="H70" s="7">
        <v>45778</v>
      </c>
      <c r="I70" s="9">
        <v>72.67</v>
      </c>
      <c r="J70" s="6">
        <v>1</v>
      </c>
      <c r="K70" s="9">
        <v>72.67</v>
      </c>
      <c r="L70" s="6" t="s">
        <v>144</v>
      </c>
      <c r="M70" s="6" t="s">
        <v>332</v>
      </c>
    </row>
    <row r="71" spans="1:13" x14ac:dyDescent="0.25">
      <c r="A71" s="4" t="s">
        <v>290</v>
      </c>
      <c r="B71" s="4" t="s">
        <v>290</v>
      </c>
      <c r="C71" s="6" t="s">
        <v>123</v>
      </c>
      <c r="D71" s="6" t="s">
        <v>46</v>
      </c>
      <c r="E71" s="6" t="s">
        <v>345</v>
      </c>
      <c r="F71" s="6" t="s">
        <v>125</v>
      </c>
      <c r="G71" s="6" t="s">
        <v>126</v>
      </c>
      <c r="H71" s="7">
        <v>45778</v>
      </c>
      <c r="I71" s="9">
        <v>109</v>
      </c>
      <c r="J71" s="6">
        <v>1</v>
      </c>
      <c r="K71" s="9">
        <v>109</v>
      </c>
      <c r="M71" s="6" t="s">
        <v>332</v>
      </c>
    </row>
  </sheetData>
  <sortState xmlns:xlrd2="http://schemas.microsoft.com/office/spreadsheetml/2017/richdata2" ref="A2:AM71">
    <sortCondition ref="M2:M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2025-05-14T15:49:30Z</dcterms:created>
  <dcterms:modified xsi:type="dcterms:W3CDTF">2025-05-16T15:52:47Z</dcterms:modified>
</cp:coreProperties>
</file>