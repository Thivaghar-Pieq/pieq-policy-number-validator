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2-12-25\"/>
    </mc:Choice>
  </mc:AlternateContent>
  <xr:revisionPtr revIDLastSave="0" documentId="13_ncr:1_{53476F16-5F81-488B-A3BB-A52C55D4E4CD}" xr6:coauthVersionLast="47" xr6:coauthVersionMax="47" xr10:uidLastSave="{00000000-0000-0000-0000-000000000000}"/>
  <bookViews>
    <workbookView xWindow="28680" yWindow="-120" windowWidth="29040" windowHeight="16440" activeTab="1" xr2:uid="{5445D364-1EA9-3641-9DBA-103BA1038C9B}"/>
  </bookViews>
  <sheets>
    <sheet name="New Business Agent Statement - 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2" l="1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2" i="2"/>
  <c r="B60" i="2"/>
  <c r="B61" i="2"/>
  <c r="B62" i="2"/>
  <c r="B63" i="2"/>
  <c r="B64" i="2"/>
  <c r="B59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68" i="2"/>
  <c r="B58" i="2"/>
  <c r="B57" i="2"/>
  <c r="B66" i="2"/>
  <c r="B67" i="2"/>
  <c r="B65" i="2"/>
</calcChain>
</file>

<file path=xl/sharedStrings.xml><?xml version="1.0" encoding="utf-8"?>
<sst xmlns="http://schemas.openxmlformats.org/spreadsheetml/2006/main" count="2410" uniqueCount="385">
  <si>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</si>
  <si>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</si>
  <si>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</si>
  <si>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</si>
  <si>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</si>
  <si>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</si>
  <si>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</si>
  <si>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</si>
  <si>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</si>
  <si>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</si>
  <si>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</si>
  <si>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</si>
  <si>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</si>
  <si>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</si>
  <si>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</si>
  <si>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</si>
  <si>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</si>
  <si>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</si>
  <si>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</si>
  <si>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</si>
  <si>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</si>
  <si>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</si>
  <si>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</si>
  <si>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</si>
  <si>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</si>
  <si>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</si>
  <si>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</si>
  <si>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</si>
  <si>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</si>
  <si>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</si>
  <si>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</si>
  <si>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</si>
  <si>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</si>
  <si>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</si>
  <si>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</si>
  <si>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</si>
  <si>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</si>
  <si>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</si>
  <si>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</si>
  <si>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</si>
  <si>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</si>
  <si>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</si>
  <si>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</si>
  <si>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</si>
  <si>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'00000266869D</t>
  </si>
  <si>
    <t>REINA MEDINA</t>
  </si>
  <si>
    <t>NA</t>
  </si>
  <si>
    <t>'045712</t>
  </si>
  <si>
    <t>GREGORY HANSFORD</t>
  </si>
  <si>
    <t>ACTIVE</t>
  </si>
  <si>
    <t>Humana MA 2019+ Level 15- 175/108 Repl 2024</t>
  </si>
  <si>
    <t>Monthly</t>
  </si>
  <si>
    <t>AV</t>
  </si>
  <si>
    <t>$0.00</t>
  </si>
  <si>
    <t>$108.00</t>
  </si>
  <si>
    <t>'00002715443K</t>
  </si>
  <si>
    <t>SANDRA SMITH</t>
  </si>
  <si>
    <t>'043633</t>
  </si>
  <si>
    <t>RICHARD WUENSCH</t>
  </si>
  <si>
    <t>'00008139476K</t>
  </si>
  <si>
    <t>RALPH LOCKE</t>
  </si>
  <si>
    <t>'043589</t>
  </si>
  <si>
    <t>JOSE TORRES</t>
  </si>
  <si>
    <t>Humana MA 2019+ Level 15- 175/108</t>
  </si>
  <si>
    <t>$175.00</t>
  </si>
  <si>
    <t>'00011747317K</t>
  </si>
  <si>
    <t>KEVIN CONNOLLY</t>
  </si>
  <si>
    <t>'045603</t>
  </si>
  <si>
    <t>ANDREW CHOI</t>
  </si>
  <si>
    <t>'00015867030K</t>
  </si>
  <si>
    <t>ANITA SILVERT</t>
  </si>
  <si>
    <t>'045638</t>
  </si>
  <si>
    <t>RICHARD YALE</t>
  </si>
  <si>
    <t>'00016333789K</t>
  </si>
  <si>
    <t>MARIA RODRIGUEZ</t>
  </si>
  <si>
    <t>'00016358807K</t>
  </si>
  <si>
    <t>RONALD BIZEAU</t>
  </si>
  <si>
    <t>'041686</t>
  </si>
  <si>
    <t>DALE WALENGA</t>
  </si>
  <si>
    <t>'00020363043K</t>
  </si>
  <si>
    <t>PRISCILLA JOHNSON</t>
  </si>
  <si>
    <t>'00022005272KA</t>
  </si>
  <si>
    <t>PIEDAD ZAFIRIADIS</t>
  </si>
  <si>
    <t>'045605</t>
  </si>
  <si>
    <t>GARY PORTUGAL</t>
  </si>
  <si>
    <t>Active</t>
  </si>
  <si>
    <t>$99.36</t>
  </si>
  <si>
    <t>Humana MA Bonus Upload 02-12-2025.xlsx</t>
  </si>
  <si>
    <t>'00022723157K</t>
  </si>
  <si>
    <t>KAREN STEVENS</t>
  </si>
  <si>
    <t>'043714</t>
  </si>
  <si>
    <t>BRIAN STROHMAN</t>
  </si>
  <si>
    <t>'00022918801K</t>
  </si>
  <si>
    <t>EILEEN ROLINSKAS</t>
  </si>
  <si>
    <t>'043637</t>
  </si>
  <si>
    <t>CHRISTIAN TAUGNER</t>
  </si>
  <si>
    <t>'00023003474K</t>
  </si>
  <si>
    <t>BRUCE JORDAN</t>
  </si>
  <si>
    <t>'00023043802K</t>
  </si>
  <si>
    <t>LINDA MCNALLY</t>
  </si>
  <si>
    <t>'043618</t>
  </si>
  <si>
    <t>SAADIA ABDUL</t>
  </si>
  <si>
    <t>'00023047425K</t>
  </si>
  <si>
    <t>TIMOTHY HALLORAN</t>
  </si>
  <si>
    <t>'045607</t>
  </si>
  <si>
    <t>PAMELA DEATON</t>
  </si>
  <si>
    <t>'00023048238KPDP</t>
  </si>
  <si>
    <t>MARY MOLNAR</t>
  </si>
  <si>
    <t>'045632</t>
  </si>
  <si>
    <t>BARRY SCHUMANN</t>
  </si>
  <si>
    <t>Humana PDP 2019+ Level 15- 15/0</t>
  </si>
  <si>
    <t>$15.00</t>
  </si>
  <si>
    <t>'00023053726K</t>
  </si>
  <si>
    <t>JOAN HOWARD</t>
  </si>
  <si>
    <t>'045612</t>
  </si>
  <si>
    <t>ANTHONY HUNSBERGER</t>
  </si>
  <si>
    <t>'00023053733K</t>
  </si>
  <si>
    <t>HURSTEL HOWARD</t>
  </si>
  <si>
    <t>'00023056836K</t>
  </si>
  <si>
    <t>AMY TRIMBLE</t>
  </si>
  <si>
    <t>'043705</t>
  </si>
  <si>
    <t>MICHAEL DUNAVANT</t>
  </si>
  <si>
    <t>'00023057034K</t>
  </si>
  <si>
    <t>CINDY DAVIS</t>
  </si>
  <si>
    <t>'00023057644K</t>
  </si>
  <si>
    <t>DAWN CONNOLLY</t>
  </si>
  <si>
    <t>'00023059876K</t>
  </si>
  <si>
    <t>MARIA BIBIAN</t>
  </si>
  <si>
    <t>'00023061850K</t>
  </si>
  <si>
    <t>WILLIAM BRO</t>
  </si>
  <si>
    <t>'00023063791K</t>
  </si>
  <si>
    <t>TORRES GALINDO</t>
  </si>
  <si>
    <t>'00023066228K</t>
  </si>
  <si>
    <t>GARLAND ROWLAND</t>
  </si>
  <si>
    <t>'045618</t>
  </si>
  <si>
    <t>STEPHANIE DRAPAC</t>
  </si>
  <si>
    <t>'00023066292K</t>
  </si>
  <si>
    <t>LUISA GALINDO</t>
  </si>
  <si>
    <t>'023013235</t>
  </si>
  <si>
    <t>SUNIL BHASKAR</t>
  </si>
  <si>
    <t>IL</t>
  </si>
  <si>
    <t>UHC PDP Street payable to upline - 2025 New</t>
  </si>
  <si>
    <t>$109.00</t>
  </si>
  <si>
    <t>'023013235OV</t>
  </si>
  <si>
    <t>UHC PDP Direct 2024 New Full</t>
  </si>
  <si>
    <t>'023019616</t>
  </si>
  <si>
    <t>AKSHAY SHAH</t>
  </si>
  <si>
    <t>MI</t>
  </si>
  <si>
    <t>'023019616OV</t>
  </si>
  <si>
    <t>'023023469</t>
  </si>
  <si>
    <t>CHARLES SIMS</t>
  </si>
  <si>
    <t>VA</t>
  </si>
  <si>
    <t>'043692</t>
  </si>
  <si>
    <t>ADAM RICHTER</t>
  </si>
  <si>
    <t>'023023469OV</t>
  </si>
  <si>
    <t>'023027763</t>
  </si>
  <si>
    <t>ILENE MCKINNEY</t>
  </si>
  <si>
    <t>PA</t>
  </si>
  <si>
    <t>'043689</t>
  </si>
  <si>
    <t>ANNE MARIE KOZACHECK</t>
  </si>
  <si>
    <t>'023027763OV</t>
  </si>
  <si>
    <t>'023028152</t>
  </si>
  <si>
    <t>GEORGE GAVRAN</t>
  </si>
  <si>
    <t>'047621</t>
  </si>
  <si>
    <t>TOM SERIO</t>
  </si>
  <si>
    <t>'023028152OV</t>
  </si>
  <si>
    <t>'101068686100</t>
  </si>
  <si>
    <t>JEFFREY SCHUTTE</t>
  </si>
  <si>
    <t>'043679</t>
  </si>
  <si>
    <t>DEBORAH INSKIPT</t>
  </si>
  <si>
    <t>Aetna MAPD NMO to GMO - 4-1-23+  Replace E-App</t>
  </si>
  <si>
    <t>$45.83</t>
  </si>
  <si>
    <t>11/12 PRORATE</t>
  </si>
  <si>
    <t>'101189698400</t>
  </si>
  <si>
    <t>KAY ANDERSON</t>
  </si>
  <si>
    <t>'043740</t>
  </si>
  <si>
    <t>RANDY TAPPER</t>
  </si>
  <si>
    <t>'101873362500</t>
  </si>
  <si>
    <t>ALLEN DARRINGTON</t>
  </si>
  <si>
    <t>CO</t>
  </si>
  <si>
    <t>'043678</t>
  </si>
  <si>
    <t>MATTHEW DAUGHERTY</t>
  </si>
  <si>
    <t>'101932066200</t>
  </si>
  <si>
    <t>SHARON BOEHMER</t>
  </si>
  <si>
    <t>TX</t>
  </si>
  <si>
    <t>'102012084600</t>
  </si>
  <si>
    <t>THERESA BUTLER</t>
  </si>
  <si>
    <t>MD</t>
  </si>
  <si>
    <t>'045627</t>
  </si>
  <si>
    <t>CATHY LEMON</t>
  </si>
  <si>
    <t>Aetna MAPD NMO to GMO - 4-1-23+  New E-App</t>
  </si>
  <si>
    <t>$50.00</t>
  </si>
  <si>
    <t>'102082153100</t>
  </si>
  <si>
    <t>COLLEEN MCABEE</t>
  </si>
  <si>
    <t>CA</t>
  </si>
  <si>
    <t>'045621</t>
  </si>
  <si>
    <t>HEATHER GESKE</t>
  </si>
  <si>
    <t>Aetna MAPD NMO to GMO 4-1-23+  -CA NJ - Replace E-App</t>
  </si>
  <si>
    <t>'102140905600</t>
  </si>
  <si>
    <t>J BANDA SIFUENTES</t>
  </si>
  <si>
    <t>'102141040100</t>
  </si>
  <si>
    <t>AMY WHEELER</t>
  </si>
  <si>
    <t>'043969</t>
  </si>
  <si>
    <t>STACEY PORTUGAL</t>
  </si>
  <si>
    <t>$41.67</t>
  </si>
  <si>
    <t>10/12 PRORATE</t>
  </si>
  <si>
    <t>'102141057700</t>
  </si>
  <si>
    <t>SABINA CHAN</t>
  </si>
  <si>
    <t>'043625</t>
  </si>
  <si>
    <t>PATSAMON THANADABOUTH</t>
  </si>
  <si>
    <t>'102141630900</t>
  </si>
  <si>
    <t>CYNTHIA FIEDLER</t>
  </si>
  <si>
    <t>OH</t>
  </si>
  <si>
    <t>'102141815600</t>
  </si>
  <si>
    <t>NICOLA GIULIANO</t>
  </si>
  <si>
    <t>'102142297000</t>
  </si>
  <si>
    <t>DEBORAH GIBBS</t>
  </si>
  <si>
    <t>'102142338300</t>
  </si>
  <si>
    <t>RONALD HINTON</t>
  </si>
  <si>
    <t>'043611</t>
  </si>
  <si>
    <t>TIMOTHY POWERS</t>
  </si>
  <si>
    <t>'102142380900</t>
  </si>
  <si>
    <t>CHERYL HINTON</t>
  </si>
  <si>
    <t>'102142435900</t>
  </si>
  <si>
    <t>CALVIN GAPINSKI</t>
  </si>
  <si>
    <t>'045622</t>
  </si>
  <si>
    <t>JACOB YALE</t>
  </si>
  <si>
    <t>'132315917</t>
  </si>
  <si>
    <t>AVIS PEETE</t>
  </si>
  <si>
    <t>AZ</t>
  </si>
  <si>
    <t>UHC MAPD Street payable to upline - 2025 New</t>
  </si>
  <si>
    <t>$626.00</t>
  </si>
  <si>
    <t>'132315917OV</t>
  </si>
  <si>
    <t>UHC MA Direct 2024 New Full</t>
  </si>
  <si>
    <t>'959938317</t>
  </si>
  <si>
    <t>THOMAS DONNELLY</t>
  </si>
  <si>
    <t>'959938317OV</t>
  </si>
  <si>
    <t>'966338840</t>
  </si>
  <si>
    <t>MARY DEORNELLAS</t>
  </si>
  <si>
    <t>UHC MAPD Street payable to upline- 2025 Pro New</t>
  </si>
  <si>
    <t>$573.83</t>
  </si>
  <si>
    <t>'966338840OV</t>
  </si>
  <si>
    <t>UHC MA Direct 2024 New Prorated</t>
  </si>
  <si>
    <t>$160.42</t>
  </si>
  <si>
    <t>'A04219053</t>
  </si>
  <si>
    <t>SUZANNEM BENIE</t>
  </si>
  <si>
    <t>UHC AARP Med Supp MD 2025- Plan  B C D F G</t>
  </si>
  <si>
    <t>$30.00</t>
  </si>
  <si>
    <t>$270.00</t>
  </si>
  <si>
    <t>'A04221031</t>
  </si>
  <si>
    <t>MARYK WALSDORF</t>
  </si>
  <si>
    <t>UHC AARP Med Supp IL Area 1- Plan  B C F G</t>
  </si>
  <si>
    <t>$31.98</t>
  </si>
  <si>
    <t>$287.82</t>
  </si>
  <si>
    <t>'A04222178</t>
  </si>
  <si>
    <t>JUDY GREENBERG</t>
  </si>
  <si>
    <t>CB</t>
  </si>
  <si>
    <t>'00000266869DPC</t>
  </si>
  <si>
    <t>CHARGEBACK</t>
  </si>
  <si>
    <t>$161.00</t>
  </si>
  <si>
    <t>'00000371464GCB</t>
  </si>
  <si>
    <t>ROGER HUPPERT</t>
  </si>
  <si>
    <t>'00002715443KPC</t>
  </si>
  <si>
    <t>'00010643632KPC</t>
  </si>
  <si>
    <t>SUSAN WASYLIK</t>
  </si>
  <si>
    <t>'00017745075KPC</t>
  </si>
  <si>
    <t>BOUNTHANH NONTHAVETH</t>
  </si>
  <si>
    <t>'00018776777KCB</t>
  </si>
  <si>
    <t>YOLANDA HERRON</t>
  </si>
  <si>
    <t>'045709</t>
  </si>
  <si>
    <t>ESTHER HERRERA-LARSEN</t>
  </si>
  <si>
    <t>'00019869938KPC</t>
  </si>
  <si>
    <t>NICKI COZZI</t>
  </si>
  <si>
    <t>'045611</t>
  </si>
  <si>
    <t>FRANK LISKOVEC</t>
  </si>
  <si>
    <t>'00022137989KPC</t>
  </si>
  <si>
    <t>TAENG NONTHAVETH</t>
  </si>
  <si>
    <t>'00022143131KPC</t>
  </si>
  <si>
    <t>CAROL MORGAN</t>
  </si>
  <si>
    <t>'00022143894KPC</t>
  </si>
  <si>
    <t>THERESA CLARK</t>
  </si>
  <si>
    <t>'00022686442KPDPPC</t>
  </si>
  <si>
    <t>STEPHANI BINDER</t>
  </si>
  <si>
    <t>$13.80</t>
  </si>
  <si>
    <t>'00022918801KPC</t>
  </si>
  <si>
    <t>'023013235CB</t>
  </si>
  <si>
    <t>UHC PDP Street payable to upline - 2025 Replace</t>
  </si>
  <si>
    <t>$50.42</t>
  </si>
  <si>
    <t>'023019616CB</t>
  </si>
  <si>
    <t>'023023469CB</t>
  </si>
  <si>
    <t>'023027763CB</t>
  </si>
  <si>
    <t>'023028152CB</t>
  </si>
  <si>
    <t>'101936905100CB</t>
  </si>
  <si>
    <t>RHONDA PHILLIPS</t>
  </si>
  <si>
    <t>'043690</t>
  </si>
  <si>
    <t>THOMAS KUCAN</t>
  </si>
  <si>
    <t>'102110099600CB</t>
  </si>
  <si>
    <t>YULONDA SHORT</t>
  </si>
  <si>
    <t>'102112669400CB</t>
  </si>
  <si>
    <t>VERNADEAN TOT</t>
  </si>
  <si>
    <t>'959938317CB</t>
  </si>
  <si>
    <t>UHC MAPD Street payable to upline- 2025 Replace</t>
  </si>
  <si>
    <t>$313.00</t>
  </si>
  <si>
    <t>'959938317OVCB</t>
  </si>
  <si>
    <t>UHC MA Direct 2024 New Initial Prorated</t>
  </si>
  <si>
    <t>$72.00</t>
  </si>
  <si>
    <t>'966338840CB</t>
  </si>
  <si>
    <t>$286.92</t>
  </si>
  <si>
    <t>'974491090CB</t>
  </si>
  <si>
    <t>JANET DAVIS</t>
  </si>
  <si>
    <t>'974491090OVCB</t>
  </si>
  <si>
    <t>'989987925CB</t>
  </si>
  <si>
    <t>LUCINDA HARTER</t>
  </si>
  <si>
    <t>WI</t>
  </si>
  <si>
    <t>'989987925OVCB</t>
  </si>
  <si>
    <t>00000266869D</t>
  </si>
  <si>
    <t>00002715443K</t>
  </si>
  <si>
    <t>00008139476K</t>
  </si>
  <si>
    <t>00011747317K</t>
  </si>
  <si>
    <t>00015867030K</t>
  </si>
  <si>
    <t>00016333789K</t>
  </si>
  <si>
    <t>00016358807K</t>
  </si>
  <si>
    <t>00020363043K</t>
  </si>
  <si>
    <t>00022005272KA</t>
  </si>
  <si>
    <t>00022723157K</t>
  </si>
  <si>
    <t>00022918801K</t>
  </si>
  <si>
    <t>00023003474K</t>
  </si>
  <si>
    <t>00023043802K</t>
  </si>
  <si>
    <t>00023047425K</t>
  </si>
  <si>
    <t>00023048238KPDP</t>
  </si>
  <si>
    <t>00023053726K</t>
  </si>
  <si>
    <t>00023053733K</t>
  </si>
  <si>
    <t>00023056836K</t>
  </si>
  <si>
    <t>00023057034K</t>
  </si>
  <si>
    <t>00023057644K</t>
  </si>
  <si>
    <t>00023059876K</t>
  </si>
  <si>
    <t>00023061850K</t>
  </si>
  <si>
    <t>00023063791K</t>
  </si>
  <si>
    <t>00023066228K</t>
  </si>
  <si>
    <t>00023066292K</t>
  </si>
  <si>
    <t>132315917OV</t>
  </si>
  <si>
    <t>959938317OV</t>
  </si>
  <si>
    <t>966338840OV</t>
  </si>
  <si>
    <t>A04219053</t>
  </si>
  <si>
    <t>A04221031</t>
  </si>
  <si>
    <t>A04222178</t>
  </si>
  <si>
    <t>00000266869DPC</t>
  </si>
  <si>
    <t>00000371464GCB</t>
  </si>
  <si>
    <t>00002715443KPC</t>
  </si>
  <si>
    <t>00010643632KPC</t>
  </si>
  <si>
    <t>00017745075KPC</t>
  </si>
  <si>
    <t>00018776777KCB</t>
  </si>
  <si>
    <t>00019869938KPC</t>
  </si>
  <si>
    <t>00022137989KPC</t>
  </si>
  <si>
    <t>00022143131KPC</t>
  </si>
  <si>
    <t>00022143894KPC</t>
  </si>
  <si>
    <t>00022686442KPDPPC</t>
  </si>
  <si>
    <t>00022918801KPC</t>
  </si>
  <si>
    <t>023013235CB</t>
  </si>
  <si>
    <t>023019616CB</t>
  </si>
  <si>
    <t>023023469CB</t>
  </si>
  <si>
    <t>023027763CB</t>
  </si>
  <si>
    <t>023028152CB</t>
  </si>
  <si>
    <t>101936905100CB</t>
  </si>
  <si>
    <t>102110099600CB</t>
  </si>
  <si>
    <t>102112669400CB</t>
  </si>
  <si>
    <t>959938317CB</t>
  </si>
  <si>
    <t>959938317OVCB</t>
  </si>
  <si>
    <t>966338840CB</t>
  </si>
  <si>
    <t>974491090CB</t>
  </si>
  <si>
    <t>974491090OVCB</t>
  </si>
  <si>
    <t>989987925CB</t>
  </si>
  <si>
    <t>989987925OVCB</t>
  </si>
  <si>
    <t>Aetna MAPD OVR 2025</t>
  </si>
  <si>
    <t>Humana MAPD OVR 2025</t>
  </si>
  <si>
    <t>UHC AARP MS IL Area 1- Plan B C F G</t>
  </si>
  <si>
    <t>UHC MAPD Ovr 2025</t>
  </si>
  <si>
    <t>UHC 2025</t>
  </si>
  <si>
    <t>UHC MAPD 2025*</t>
  </si>
  <si>
    <t>UHC PDP 2025!</t>
  </si>
  <si>
    <t>[%/$=313][prorate=11/12]</t>
  </si>
  <si>
    <t>[%/$=313][prorate=12/12]</t>
  </si>
  <si>
    <t>[%/$=626][prorate=11/12]</t>
  </si>
  <si>
    <t>Main Liine Benefits</t>
  </si>
  <si>
    <t>18828278SUB2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</si>
</sst>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10" fontId="0" fillId="33" borderId="0" xfId="0" applyNumberFormat="1" applyFill="1"/>
    <xf numFmtId="0" fontId="19" fillId="33" borderId="0" xfId="0" applyFont="1" applyFill="1"/>
    <xf numFmtId="0" fontId="0" fillId="0" borderId="0" xfId="0" applyAlignment="1">
      <alignment horizontal="right"/>
    </xf>
    <xf numFmtId="0" fontId="0" fillId="33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1E8F-E1F0-9442-8EE1-B63E80F17044}">
  <dimension ref="A1:AL87"/>
  <sheetViews>
    <sheetView topLeftCell="J49" workbookViewId="0">
      <selection activeCell="J49" sqref="A1:XFD1048576"/>
    </sheetView>
  </sheetViews>
  <sheetFormatPr defaultColWidth="11" defaultRowHeight="15.75" x14ac:dyDescent="0.25"/>
  <cols>
    <col min="26" max="26" width="12.625" customWidth="1"/>
    <col min="29" max="29" width="15.125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45700</v>
      </c>
      <c r="B2" s="1">
        <v>45700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45689</v>
      </c>
      <c r="U2" t="s">
        <v>51</v>
      </c>
      <c r="X2" t="s">
        <v>52</v>
      </c>
      <c r="Y2" t="s">
        <v>53</v>
      </c>
      <c r="Z2" t="s">
        <v>54</v>
      </c>
      <c r="AA2">
        <v>1</v>
      </c>
      <c r="AB2" s="2">
        <v>1</v>
      </c>
      <c r="AC2" t="s">
        <v>54</v>
      </c>
      <c r="AD2" s="2">
        <v>0</v>
      </c>
      <c r="AE2" t="s">
        <v>53</v>
      </c>
      <c r="AF2" t="s">
        <v>54</v>
      </c>
      <c r="AK2">
        <v>4982496</v>
      </c>
    </row>
    <row r="3" spans="1:38" x14ac:dyDescent="0.25">
      <c r="A3" s="1">
        <v>45700</v>
      </c>
      <c r="B3" s="1">
        <v>45700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55</v>
      </c>
      <c r="J3" t="s">
        <v>56</v>
      </c>
      <c r="M3" t="s">
        <v>46</v>
      </c>
      <c r="O3" t="s">
        <v>57</v>
      </c>
      <c r="P3" t="s">
        <v>58</v>
      </c>
      <c r="Q3" t="s">
        <v>49</v>
      </c>
      <c r="R3" t="s">
        <v>50</v>
      </c>
      <c r="S3" s="1">
        <v>45689</v>
      </c>
      <c r="U3" t="s">
        <v>51</v>
      </c>
      <c r="X3" t="s">
        <v>52</v>
      </c>
      <c r="Y3" t="s">
        <v>53</v>
      </c>
      <c r="Z3" t="s">
        <v>54</v>
      </c>
      <c r="AA3">
        <v>1</v>
      </c>
      <c r="AB3" s="2">
        <v>1</v>
      </c>
      <c r="AC3" t="s">
        <v>54</v>
      </c>
      <c r="AD3" s="2">
        <v>0</v>
      </c>
      <c r="AE3" t="s">
        <v>53</v>
      </c>
      <c r="AF3" t="s">
        <v>54</v>
      </c>
      <c r="AK3">
        <v>4982504</v>
      </c>
    </row>
    <row r="4" spans="1:38" x14ac:dyDescent="0.25">
      <c r="A4" s="1">
        <v>45700</v>
      </c>
      <c r="B4" s="1">
        <v>45700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59</v>
      </c>
      <c r="J4" t="s">
        <v>60</v>
      </c>
      <c r="M4" t="s">
        <v>46</v>
      </c>
      <c r="O4" t="s">
        <v>61</v>
      </c>
      <c r="P4" t="s">
        <v>62</v>
      </c>
      <c r="Q4" t="s">
        <v>49</v>
      </c>
      <c r="R4" t="s">
        <v>63</v>
      </c>
      <c r="S4" s="1">
        <v>45689</v>
      </c>
      <c r="U4" t="s">
        <v>51</v>
      </c>
      <c r="X4" t="s">
        <v>52</v>
      </c>
      <c r="Y4" t="s">
        <v>53</v>
      </c>
      <c r="Z4" t="s">
        <v>64</v>
      </c>
      <c r="AA4">
        <v>1</v>
      </c>
      <c r="AB4" s="2">
        <v>1</v>
      </c>
      <c r="AC4" t="s">
        <v>64</v>
      </c>
      <c r="AD4" s="2">
        <v>0</v>
      </c>
      <c r="AE4" t="s">
        <v>53</v>
      </c>
      <c r="AF4" t="s">
        <v>64</v>
      </c>
      <c r="AK4">
        <v>4982566</v>
      </c>
    </row>
    <row r="5" spans="1:38" x14ac:dyDescent="0.25">
      <c r="A5" s="1">
        <v>45700</v>
      </c>
      <c r="B5" s="1">
        <v>45700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65</v>
      </c>
      <c r="J5" t="s">
        <v>66</v>
      </c>
      <c r="M5" t="s">
        <v>46</v>
      </c>
      <c r="O5" t="s">
        <v>67</v>
      </c>
      <c r="P5" t="s">
        <v>68</v>
      </c>
      <c r="Q5" t="s">
        <v>49</v>
      </c>
      <c r="R5" t="s">
        <v>63</v>
      </c>
      <c r="S5" s="1">
        <v>45689</v>
      </c>
      <c r="U5" t="s">
        <v>51</v>
      </c>
      <c r="X5" t="s">
        <v>52</v>
      </c>
      <c r="Y5" t="s">
        <v>53</v>
      </c>
      <c r="Z5" t="s">
        <v>64</v>
      </c>
      <c r="AA5">
        <v>1</v>
      </c>
      <c r="AB5" s="2">
        <v>1</v>
      </c>
      <c r="AC5" t="s">
        <v>64</v>
      </c>
      <c r="AD5" s="2">
        <v>0</v>
      </c>
      <c r="AE5" t="s">
        <v>53</v>
      </c>
      <c r="AF5" t="s">
        <v>64</v>
      </c>
      <c r="AK5">
        <v>4982570</v>
      </c>
    </row>
    <row r="6" spans="1:38" x14ac:dyDescent="0.25">
      <c r="A6" s="1">
        <v>45700</v>
      </c>
      <c r="B6" s="1">
        <v>45700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69</v>
      </c>
      <c r="J6" t="s">
        <v>70</v>
      </c>
      <c r="M6" t="s">
        <v>46</v>
      </c>
      <c r="O6" t="s">
        <v>71</v>
      </c>
      <c r="P6" t="s">
        <v>72</v>
      </c>
      <c r="Q6" t="s">
        <v>49</v>
      </c>
      <c r="R6" t="s">
        <v>63</v>
      </c>
      <c r="S6" s="1">
        <v>45689</v>
      </c>
      <c r="U6" t="s">
        <v>51</v>
      </c>
      <c r="X6" t="s">
        <v>52</v>
      </c>
      <c r="Y6" t="s">
        <v>53</v>
      </c>
      <c r="Z6" t="s">
        <v>64</v>
      </c>
      <c r="AA6">
        <v>1</v>
      </c>
      <c r="AB6" s="2">
        <v>1</v>
      </c>
      <c r="AC6" t="s">
        <v>64</v>
      </c>
      <c r="AD6" s="2">
        <v>0</v>
      </c>
      <c r="AE6" t="s">
        <v>53</v>
      </c>
      <c r="AF6" t="s">
        <v>64</v>
      </c>
      <c r="AK6">
        <v>4982589</v>
      </c>
    </row>
    <row r="7" spans="1:38" x14ac:dyDescent="0.25">
      <c r="A7" s="1">
        <v>45700</v>
      </c>
      <c r="B7" s="1">
        <v>45700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73</v>
      </c>
      <c r="J7" t="s">
        <v>74</v>
      </c>
      <c r="M7" t="s">
        <v>46</v>
      </c>
      <c r="O7" t="s">
        <v>71</v>
      </c>
      <c r="P7" t="s">
        <v>72</v>
      </c>
      <c r="Q7" t="s">
        <v>49</v>
      </c>
      <c r="R7" t="s">
        <v>63</v>
      </c>
      <c r="S7" s="1">
        <v>45689</v>
      </c>
      <c r="U7" t="s">
        <v>51</v>
      </c>
      <c r="X7" t="s">
        <v>52</v>
      </c>
      <c r="Y7" t="s">
        <v>53</v>
      </c>
      <c r="Z7" t="s">
        <v>64</v>
      </c>
      <c r="AA7">
        <v>1</v>
      </c>
      <c r="AB7" s="2">
        <v>1</v>
      </c>
      <c r="AC7" t="s">
        <v>64</v>
      </c>
      <c r="AD7" s="2">
        <v>0</v>
      </c>
      <c r="AE7" t="s">
        <v>53</v>
      </c>
      <c r="AF7" t="s">
        <v>64</v>
      </c>
      <c r="AK7">
        <v>4982594</v>
      </c>
    </row>
    <row r="8" spans="1:38" x14ac:dyDescent="0.25">
      <c r="A8" s="1">
        <v>45700</v>
      </c>
      <c r="B8" s="1">
        <v>45700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75</v>
      </c>
      <c r="J8" t="s">
        <v>76</v>
      </c>
      <c r="M8" t="s">
        <v>46</v>
      </c>
      <c r="O8" t="s">
        <v>77</v>
      </c>
      <c r="P8" t="s">
        <v>78</v>
      </c>
      <c r="Q8" t="s">
        <v>49</v>
      </c>
      <c r="R8" t="s">
        <v>63</v>
      </c>
      <c r="S8" s="1">
        <v>45689</v>
      </c>
      <c r="U8" t="s">
        <v>51</v>
      </c>
      <c r="X8" t="s">
        <v>52</v>
      </c>
      <c r="Y8" t="s">
        <v>53</v>
      </c>
      <c r="Z8" t="s">
        <v>64</v>
      </c>
      <c r="AA8">
        <v>1</v>
      </c>
      <c r="AB8" s="2">
        <v>1</v>
      </c>
      <c r="AC8" t="s">
        <v>64</v>
      </c>
      <c r="AD8" s="2">
        <v>0</v>
      </c>
      <c r="AE8" t="s">
        <v>53</v>
      </c>
      <c r="AF8" t="s">
        <v>64</v>
      </c>
      <c r="AK8">
        <v>4982595</v>
      </c>
    </row>
    <row r="9" spans="1:38" x14ac:dyDescent="0.25">
      <c r="A9" s="1">
        <v>45700</v>
      </c>
      <c r="B9" s="1">
        <v>45700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79</v>
      </c>
      <c r="J9" t="s">
        <v>80</v>
      </c>
      <c r="M9" t="s">
        <v>46</v>
      </c>
      <c r="O9" t="s">
        <v>71</v>
      </c>
      <c r="P9" t="s">
        <v>72</v>
      </c>
      <c r="Q9" t="s">
        <v>49</v>
      </c>
      <c r="R9" t="s">
        <v>50</v>
      </c>
      <c r="S9" s="1">
        <v>45689</v>
      </c>
      <c r="U9" t="s">
        <v>51</v>
      </c>
      <c r="X9" t="s">
        <v>52</v>
      </c>
      <c r="Y9" t="s">
        <v>53</v>
      </c>
      <c r="Z9" t="s">
        <v>54</v>
      </c>
      <c r="AA9">
        <v>1</v>
      </c>
      <c r="AB9" s="2">
        <v>1</v>
      </c>
      <c r="AC9" t="s">
        <v>54</v>
      </c>
      <c r="AD9" s="2">
        <v>0</v>
      </c>
      <c r="AE9" t="s">
        <v>53</v>
      </c>
      <c r="AF9" t="s">
        <v>54</v>
      </c>
      <c r="AK9">
        <v>4982536</v>
      </c>
    </row>
    <row r="10" spans="1:38" x14ac:dyDescent="0.25">
      <c r="A10" s="1">
        <v>45700</v>
      </c>
      <c r="B10" s="1">
        <v>45700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81</v>
      </c>
      <c r="J10" t="s">
        <v>82</v>
      </c>
      <c r="M10" t="s">
        <v>46</v>
      </c>
      <c r="O10" t="s">
        <v>83</v>
      </c>
      <c r="P10" t="s">
        <v>84</v>
      </c>
      <c r="Q10" t="s">
        <v>85</v>
      </c>
      <c r="R10" t="s">
        <v>50</v>
      </c>
      <c r="S10" s="1">
        <v>45658</v>
      </c>
      <c r="U10" t="s">
        <v>51</v>
      </c>
      <c r="X10" t="s">
        <v>52</v>
      </c>
      <c r="Y10" t="s">
        <v>53</v>
      </c>
      <c r="Z10" t="s">
        <v>86</v>
      </c>
      <c r="AA10">
        <v>1</v>
      </c>
      <c r="AB10" s="2">
        <v>1</v>
      </c>
      <c r="AC10" t="s">
        <v>86</v>
      </c>
      <c r="AD10" s="2">
        <v>0</v>
      </c>
      <c r="AE10" t="s">
        <v>53</v>
      </c>
      <c r="AF10" t="s">
        <v>86</v>
      </c>
      <c r="AK10">
        <v>0</v>
      </c>
      <c r="AL10" t="s">
        <v>87</v>
      </c>
    </row>
    <row r="11" spans="1:38" x14ac:dyDescent="0.25">
      <c r="A11" s="1">
        <v>45700</v>
      </c>
      <c r="B11" s="1">
        <v>45700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88</v>
      </c>
      <c r="J11" t="s">
        <v>89</v>
      </c>
      <c r="M11" t="s">
        <v>46</v>
      </c>
      <c r="O11" t="s">
        <v>90</v>
      </c>
      <c r="P11" t="s">
        <v>91</v>
      </c>
      <c r="Q11" t="s">
        <v>49</v>
      </c>
      <c r="R11" t="s">
        <v>50</v>
      </c>
      <c r="S11" s="1">
        <v>45689</v>
      </c>
      <c r="U11" t="s">
        <v>51</v>
      </c>
      <c r="X11" t="s">
        <v>52</v>
      </c>
      <c r="Y11" t="s">
        <v>53</v>
      </c>
      <c r="Z11" t="s">
        <v>54</v>
      </c>
      <c r="AA11">
        <v>1</v>
      </c>
      <c r="AB11" s="2">
        <v>1</v>
      </c>
      <c r="AC11" t="s">
        <v>54</v>
      </c>
      <c r="AD11" s="2">
        <v>0</v>
      </c>
      <c r="AE11" t="s">
        <v>53</v>
      </c>
      <c r="AF11" t="s">
        <v>54</v>
      </c>
      <c r="AK11">
        <v>4982549</v>
      </c>
    </row>
    <row r="12" spans="1:38" x14ac:dyDescent="0.25">
      <c r="A12" s="1">
        <v>45700</v>
      </c>
      <c r="B12" s="1">
        <v>45700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92</v>
      </c>
      <c r="J12" t="s">
        <v>93</v>
      </c>
      <c r="M12" t="s">
        <v>46</v>
      </c>
      <c r="O12" t="s">
        <v>94</v>
      </c>
      <c r="P12" t="s">
        <v>95</v>
      </c>
      <c r="Q12" t="s">
        <v>49</v>
      </c>
      <c r="R12" t="s">
        <v>50</v>
      </c>
      <c r="S12" s="1">
        <v>45689</v>
      </c>
      <c r="U12" t="s">
        <v>51</v>
      </c>
      <c r="X12" t="s">
        <v>52</v>
      </c>
      <c r="Y12" t="s">
        <v>53</v>
      </c>
      <c r="Z12" t="s">
        <v>54</v>
      </c>
      <c r="AA12">
        <v>1</v>
      </c>
      <c r="AB12" s="2">
        <v>1</v>
      </c>
      <c r="AC12" t="s">
        <v>54</v>
      </c>
      <c r="AD12" s="2">
        <v>0</v>
      </c>
      <c r="AE12" t="s">
        <v>53</v>
      </c>
      <c r="AF12" t="s">
        <v>54</v>
      </c>
      <c r="AK12">
        <v>4982550</v>
      </c>
    </row>
    <row r="13" spans="1:38" x14ac:dyDescent="0.25">
      <c r="A13" s="1">
        <v>45700</v>
      </c>
      <c r="B13" s="1">
        <v>45700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96</v>
      </c>
      <c r="J13" t="s">
        <v>97</v>
      </c>
      <c r="M13" t="s">
        <v>46</v>
      </c>
      <c r="O13" t="s">
        <v>71</v>
      </c>
      <c r="P13" t="s">
        <v>72</v>
      </c>
      <c r="Q13" t="s">
        <v>49</v>
      </c>
      <c r="R13" t="s">
        <v>63</v>
      </c>
      <c r="S13" s="1">
        <v>45689</v>
      </c>
      <c r="U13" t="s">
        <v>51</v>
      </c>
      <c r="X13" t="s">
        <v>52</v>
      </c>
      <c r="Y13" t="s">
        <v>53</v>
      </c>
      <c r="Z13" t="s">
        <v>64</v>
      </c>
      <c r="AA13">
        <v>1</v>
      </c>
      <c r="AB13" s="2">
        <v>1</v>
      </c>
      <c r="AC13" t="s">
        <v>64</v>
      </c>
      <c r="AD13" s="2">
        <v>0</v>
      </c>
      <c r="AE13" t="s">
        <v>53</v>
      </c>
      <c r="AF13" t="s">
        <v>64</v>
      </c>
      <c r="AK13">
        <v>4982621</v>
      </c>
    </row>
    <row r="14" spans="1:38" x14ac:dyDescent="0.25">
      <c r="A14" s="1">
        <v>45700</v>
      </c>
      <c r="B14" s="1">
        <v>45700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98</v>
      </c>
      <c r="J14" t="s">
        <v>99</v>
      </c>
      <c r="M14" t="s">
        <v>46</v>
      </c>
      <c r="O14" t="s">
        <v>100</v>
      </c>
      <c r="P14" t="s">
        <v>101</v>
      </c>
      <c r="Q14" t="s">
        <v>49</v>
      </c>
      <c r="R14" t="s">
        <v>63</v>
      </c>
      <c r="S14" s="1">
        <v>45689</v>
      </c>
      <c r="U14" t="s">
        <v>51</v>
      </c>
      <c r="X14" t="s">
        <v>52</v>
      </c>
      <c r="Y14" t="s">
        <v>53</v>
      </c>
      <c r="Z14" t="s">
        <v>64</v>
      </c>
      <c r="AA14">
        <v>1</v>
      </c>
      <c r="AB14" s="2">
        <v>1</v>
      </c>
      <c r="AC14" t="s">
        <v>64</v>
      </c>
      <c r="AD14" s="2">
        <v>0</v>
      </c>
      <c r="AE14" t="s">
        <v>53</v>
      </c>
      <c r="AF14" t="s">
        <v>64</v>
      </c>
      <c r="AK14">
        <v>4982642</v>
      </c>
    </row>
    <row r="15" spans="1:38" x14ac:dyDescent="0.25">
      <c r="A15" s="1">
        <v>45700</v>
      </c>
      <c r="B15" s="1">
        <v>45700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102</v>
      </c>
      <c r="J15" t="s">
        <v>103</v>
      </c>
      <c r="M15" t="s">
        <v>46</v>
      </c>
      <c r="O15" t="s">
        <v>104</v>
      </c>
      <c r="P15" t="s">
        <v>105</v>
      </c>
      <c r="Q15" t="s">
        <v>49</v>
      </c>
      <c r="R15" t="s">
        <v>63</v>
      </c>
      <c r="S15" s="1">
        <v>45748</v>
      </c>
      <c r="U15" t="s">
        <v>51</v>
      </c>
      <c r="X15" t="s">
        <v>52</v>
      </c>
      <c r="Y15" t="s">
        <v>53</v>
      </c>
      <c r="Z15" t="s">
        <v>64</v>
      </c>
      <c r="AA15">
        <v>1</v>
      </c>
      <c r="AB15" s="2">
        <v>1</v>
      </c>
      <c r="AC15" t="s">
        <v>64</v>
      </c>
      <c r="AD15" s="2">
        <v>0</v>
      </c>
      <c r="AE15" t="s">
        <v>53</v>
      </c>
      <c r="AF15" t="s">
        <v>64</v>
      </c>
      <c r="AK15">
        <v>4982651</v>
      </c>
    </row>
    <row r="16" spans="1:38" x14ac:dyDescent="0.25">
      <c r="A16" s="1">
        <v>45700</v>
      </c>
      <c r="B16" s="1">
        <v>45700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106</v>
      </c>
      <c r="J16" t="s">
        <v>107</v>
      </c>
      <c r="M16" t="s">
        <v>46</v>
      </c>
      <c r="O16" t="s">
        <v>108</v>
      </c>
      <c r="P16" t="s">
        <v>109</v>
      </c>
      <c r="Q16" t="s">
        <v>49</v>
      </c>
      <c r="R16" t="s">
        <v>110</v>
      </c>
      <c r="S16" s="1">
        <v>45717</v>
      </c>
      <c r="U16" t="s">
        <v>51</v>
      </c>
      <c r="X16" t="s">
        <v>52</v>
      </c>
      <c r="Y16" t="s">
        <v>53</v>
      </c>
      <c r="Z16" t="s">
        <v>111</v>
      </c>
      <c r="AA16">
        <v>1</v>
      </c>
      <c r="AB16" s="2">
        <v>1</v>
      </c>
      <c r="AC16" t="s">
        <v>111</v>
      </c>
      <c r="AD16" s="2">
        <v>0</v>
      </c>
      <c r="AE16" t="s">
        <v>53</v>
      </c>
      <c r="AF16" t="s">
        <v>111</v>
      </c>
      <c r="AK16">
        <v>4982482</v>
      </c>
    </row>
    <row r="17" spans="1:37" x14ac:dyDescent="0.25">
      <c r="A17" s="1">
        <v>45700</v>
      </c>
      <c r="B17" s="1">
        <v>45700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112</v>
      </c>
      <c r="J17" t="s">
        <v>113</v>
      </c>
      <c r="M17" t="s">
        <v>46</v>
      </c>
      <c r="O17" t="s">
        <v>114</v>
      </c>
      <c r="P17" t="s">
        <v>115</v>
      </c>
      <c r="Q17" t="s">
        <v>49</v>
      </c>
      <c r="R17" t="s">
        <v>63</v>
      </c>
      <c r="S17" s="1">
        <v>45689</v>
      </c>
      <c r="U17" t="s">
        <v>51</v>
      </c>
      <c r="X17" t="s">
        <v>52</v>
      </c>
      <c r="Y17" t="s">
        <v>53</v>
      </c>
      <c r="Z17" t="s">
        <v>64</v>
      </c>
      <c r="AA17">
        <v>1</v>
      </c>
      <c r="AB17" s="2">
        <v>1</v>
      </c>
      <c r="AC17" t="s">
        <v>64</v>
      </c>
      <c r="AD17" s="2">
        <v>0</v>
      </c>
      <c r="AE17" t="s">
        <v>53</v>
      </c>
      <c r="AF17" t="s">
        <v>64</v>
      </c>
      <c r="AK17">
        <v>4982672</v>
      </c>
    </row>
    <row r="18" spans="1:37" x14ac:dyDescent="0.25">
      <c r="A18" s="1">
        <v>45700</v>
      </c>
      <c r="B18" s="1">
        <v>45700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116</v>
      </c>
      <c r="J18" t="s">
        <v>117</v>
      </c>
      <c r="M18" t="s">
        <v>46</v>
      </c>
      <c r="O18" t="s">
        <v>114</v>
      </c>
      <c r="P18" t="s">
        <v>115</v>
      </c>
      <c r="Q18" t="s">
        <v>49</v>
      </c>
      <c r="R18" t="s">
        <v>63</v>
      </c>
      <c r="S18" s="1">
        <v>45689</v>
      </c>
      <c r="U18" t="s">
        <v>51</v>
      </c>
      <c r="X18" t="s">
        <v>52</v>
      </c>
      <c r="Y18" t="s">
        <v>53</v>
      </c>
      <c r="Z18" t="s">
        <v>64</v>
      </c>
      <c r="AA18">
        <v>1</v>
      </c>
      <c r="AB18" s="2">
        <v>1</v>
      </c>
      <c r="AC18" t="s">
        <v>64</v>
      </c>
      <c r="AD18" s="2">
        <v>0</v>
      </c>
      <c r="AE18" t="s">
        <v>53</v>
      </c>
      <c r="AF18" t="s">
        <v>64</v>
      </c>
      <c r="AK18">
        <v>4982673</v>
      </c>
    </row>
    <row r="19" spans="1:37" x14ac:dyDescent="0.25">
      <c r="A19" s="1">
        <v>45700</v>
      </c>
      <c r="B19" s="1">
        <v>45700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118</v>
      </c>
      <c r="J19" t="s">
        <v>119</v>
      </c>
      <c r="M19" t="s">
        <v>46</v>
      </c>
      <c r="O19" t="s">
        <v>120</v>
      </c>
      <c r="P19" t="s">
        <v>121</v>
      </c>
      <c r="Q19" t="s">
        <v>49</v>
      </c>
      <c r="R19" t="s">
        <v>63</v>
      </c>
      <c r="S19" s="1">
        <v>45717</v>
      </c>
      <c r="U19" t="s">
        <v>51</v>
      </c>
      <c r="X19" t="s">
        <v>52</v>
      </c>
      <c r="Y19" t="s">
        <v>53</v>
      </c>
      <c r="Z19" t="s">
        <v>64</v>
      </c>
      <c r="AA19">
        <v>1</v>
      </c>
      <c r="AB19" s="2">
        <v>1</v>
      </c>
      <c r="AC19" t="s">
        <v>64</v>
      </c>
      <c r="AD19" s="2">
        <v>0</v>
      </c>
      <c r="AE19" t="s">
        <v>53</v>
      </c>
      <c r="AF19" t="s">
        <v>64</v>
      </c>
      <c r="AK19">
        <v>4982680</v>
      </c>
    </row>
    <row r="20" spans="1:37" x14ac:dyDescent="0.25">
      <c r="A20" s="1">
        <v>45700</v>
      </c>
      <c r="B20" s="1">
        <v>45700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122</v>
      </c>
      <c r="J20" t="s">
        <v>123</v>
      </c>
      <c r="M20" t="s">
        <v>46</v>
      </c>
      <c r="O20" t="s">
        <v>100</v>
      </c>
      <c r="P20" t="s">
        <v>101</v>
      </c>
      <c r="Q20" t="s">
        <v>49</v>
      </c>
      <c r="R20" t="s">
        <v>63</v>
      </c>
      <c r="S20" s="1">
        <v>45689</v>
      </c>
      <c r="U20" t="s">
        <v>51</v>
      </c>
      <c r="X20" t="s">
        <v>52</v>
      </c>
      <c r="Y20" t="s">
        <v>53</v>
      </c>
      <c r="Z20" t="s">
        <v>64</v>
      </c>
      <c r="AA20">
        <v>1</v>
      </c>
      <c r="AB20" s="2">
        <v>1</v>
      </c>
      <c r="AC20" t="s">
        <v>64</v>
      </c>
      <c r="AD20" s="2">
        <v>0</v>
      </c>
      <c r="AE20" t="s">
        <v>53</v>
      </c>
      <c r="AF20" t="s">
        <v>64</v>
      </c>
      <c r="AK20">
        <v>4982681</v>
      </c>
    </row>
    <row r="21" spans="1:37" x14ac:dyDescent="0.25">
      <c r="A21" s="1">
        <v>45700</v>
      </c>
      <c r="B21" s="1">
        <v>45700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124</v>
      </c>
      <c r="J21" t="s">
        <v>125</v>
      </c>
      <c r="M21" t="s">
        <v>46</v>
      </c>
      <c r="O21" t="s">
        <v>67</v>
      </c>
      <c r="P21" t="s">
        <v>68</v>
      </c>
      <c r="Q21" t="s">
        <v>49</v>
      </c>
      <c r="R21" t="s">
        <v>63</v>
      </c>
      <c r="S21" s="1">
        <v>45689</v>
      </c>
      <c r="U21" t="s">
        <v>51</v>
      </c>
      <c r="X21" t="s">
        <v>52</v>
      </c>
      <c r="Y21" t="s">
        <v>53</v>
      </c>
      <c r="Z21" t="s">
        <v>64</v>
      </c>
      <c r="AA21">
        <v>1</v>
      </c>
      <c r="AB21" s="2">
        <v>1</v>
      </c>
      <c r="AC21" t="s">
        <v>64</v>
      </c>
      <c r="AD21" s="2">
        <v>0</v>
      </c>
      <c r="AE21" t="s">
        <v>53</v>
      </c>
      <c r="AF21" t="s">
        <v>64</v>
      </c>
      <c r="AK21">
        <v>4982685</v>
      </c>
    </row>
    <row r="22" spans="1:37" x14ac:dyDescent="0.25">
      <c r="A22" s="1">
        <v>45700</v>
      </c>
      <c r="B22" s="1">
        <v>45700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126</v>
      </c>
      <c r="J22" t="s">
        <v>127</v>
      </c>
      <c r="M22" t="s">
        <v>46</v>
      </c>
      <c r="O22" t="s">
        <v>83</v>
      </c>
      <c r="P22" t="s">
        <v>84</v>
      </c>
      <c r="Q22" t="s">
        <v>49</v>
      </c>
      <c r="R22" t="s">
        <v>63</v>
      </c>
      <c r="S22" s="1">
        <v>45689</v>
      </c>
      <c r="U22" t="s">
        <v>51</v>
      </c>
      <c r="X22" t="s">
        <v>52</v>
      </c>
      <c r="Y22" t="s">
        <v>53</v>
      </c>
      <c r="Z22" t="s">
        <v>64</v>
      </c>
      <c r="AA22">
        <v>1</v>
      </c>
      <c r="AB22" s="2">
        <v>1</v>
      </c>
      <c r="AC22" t="s">
        <v>64</v>
      </c>
      <c r="AD22" s="2">
        <v>0</v>
      </c>
      <c r="AE22" t="s">
        <v>53</v>
      </c>
      <c r="AF22" t="s">
        <v>64</v>
      </c>
      <c r="AK22">
        <v>4982695</v>
      </c>
    </row>
    <row r="23" spans="1:37" x14ac:dyDescent="0.25">
      <c r="A23" s="1">
        <v>45700</v>
      </c>
      <c r="B23" s="1">
        <v>45700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128</v>
      </c>
      <c r="J23" t="s">
        <v>129</v>
      </c>
      <c r="M23" t="s">
        <v>46</v>
      </c>
      <c r="O23" t="s">
        <v>100</v>
      </c>
      <c r="P23" t="s">
        <v>101</v>
      </c>
      <c r="Q23" t="s">
        <v>49</v>
      </c>
      <c r="R23" t="s">
        <v>63</v>
      </c>
      <c r="S23" s="1">
        <v>45689</v>
      </c>
      <c r="U23" t="s">
        <v>51</v>
      </c>
      <c r="X23" t="s">
        <v>52</v>
      </c>
      <c r="Y23" t="s">
        <v>53</v>
      </c>
      <c r="Z23" t="s">
        <v>64</v>
      </c>
      <c r="AA23">
        <v>1</v>
      </c>
      <c r="AB23" s="2">
        <v>1</v>
      </c>
      <c r="AC23" t="s">
        <v>64</v>
      </c>
      <c r="AD23" s="2">
        <v>0</v>
      </c>
      <c r="AE23" t="s">
        <v>53</v>
      </c>
      <c r="AF23" t="s">
        <v>64</v>
      </c>
      <c r="AK23">
        <v>4982701</v>
      </c>
    </row>
    <row r="24" spans="1:37" x14ac:dyDescent="0.25">
      <c r="A24" s="1">
        <v>45700</v>
      </c>
      <c r="B24" s="1">
        <v>45700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130</v>
      </c>
      <c r="J24" t="s">
        <v>131</v>
      </c>
      <c r="M24" t="s">
        <v>46</v>
      </c>
      <c r="O24" t="s">
        <v>61</v>
      </c>
      <c r="P24" t="s">
        <v>62</v>
      </c>
      <c r="Q24" t="s">
        <v>49</v>
      </c>
      <c r="R24" t="s">
        <v>63</v>
      </c>
      <c r="S24" s="1">
        <v>45689</v>
      </c>
      <c r="U24" t="s">
        <v>51</v>
      </c>
      <c r="X24" t="s">
        <v>52</v>
      </c>
      <c r="Y24" t="s">
        <v>53</v>
      </c>
      <c r="Z24" t="s">
        <v>64</v>
      </c>
      <c r="AA24">
        <v>1</v>
      </c>
      <c r="AB24" s="2">
        <v>1</v>
      </c>
      <c r="AC24" t="s">
        <v>64</v>
      </c>
      <c r="AD24" s="2">
        <v>0</v>
      </c>
      <c r="AE24" t="s">
        <v>53</v>
      </c>
      <c r="AF24" t="s">
        <v>64</v>
      </c>
      <c r="AK24">
        <v>4982709</v>
      </c>
    </row>
    <row r="25" spans="1:37" x14ac:dyDescent="0.25">
      <c r="A25" s="1">
        <v>45700</v>
      </c>
      <c r="B25" s="1">
        <v>45700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132</v>
      </c>
      <c r="J25" t="s">
        <v>133</v>
      </c>
      <c r="M25" t="s">
        <v>46</v>
      </c>
      <c r="O25" t="s">
        <v>134</v>
      </c>
      <c r="P25" t="s">
        <v>135</v>
      </c>
      <c r="Q25" t="s">
        <v>49</v>
      </c>
      <c r="R25" t="s">
        <v>63</v>
      </c>
      <c r="S25" s="1">
        <v>45689</v>
      </c>
      <c r="U25" t="s">
        <v>51</v>
      </c>
      <c r="X25" t="s">
        <v>52</v>
      </c>
      <c r="Y25" t="s">
        <v>53</v>
      </c>
      <c r="Z25" t="s">
        <v>64</v>
      </c>
      <c r="AA25">
        <v>1</v>
      </c>
      <c r="AB25" s="2">
        <v>1</v>
      </c>
      <c r="AC25" t="s">
        <v>64</v>
      </c>
      <c r="AD25" s="2">
        <v>0</v>
      </c>
      <c r="AE25" t="s">
        <v>53</v>
      </c>
      <c r="AF25" t="s">
        <v>64</v>
      </c>
      <c r="AK25">
        <v>4982714</v>
      </c>
    </row>
    <row r="26" spans="1:37" x14ac:dyDescent="0.25">
      <c r="A26" s="1">
        <v>45700</v>
      </c>
      <c r="B26" s="1">
        <v>45700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136</v>
      </c>
      <c r="J26" t="s">
        <v>137</v>
      </c>
      <c r="M26" t="s">
        <v>46</v>
      </c>
      <c r="O26" t="s">
        <v>61</v>
      </c>
      <c r="P26" t="s">
        <v>62</v>
      </c>
      <c r="Q26" t="s">
        <v>49</v>
      </c>
      <c r="R26" t="s">
        <v>63</v>
      </c>
      <c r="S26" s="1">
        <v>45717</v>
      </c>
      <c r="U26" t="s">
        <v>51</v>
      </c>
      <c r="X26" t="s">
        <v>52</v>
      </c>
      <c r="Y26" t="s">
        <v>53</v>
      </c>
      <c r="Z26" t="s">
        <v>64</v>
      </c>
      <c r="AA26">
        <v>1</v>
      </c>
      <c r="AB26" s="2">
        <v>1</v>
      </c>
      <c r="AC26" t="s">
        <v>64</v>
      </c>
      <c r="AD26" s="2">
        <v>0</v>
      </c>
      <c r="AE26" t="s">
        <v>53</v>
      </c>
      <c r="AF26" t="s">
        <v>64</v>
      </c>
      <c r="AK26">
        <v>4982715</v>
      </c>
    </row>
    <row r="27" spans="1:37" x14ac:dyDescent="0.25">
      <c r="A27" s="1">
        <v>45700</v>
      </c>
      <c r="B27" s="1">
        <v>45700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138</v>
      </c>
      <c r="J27" t="s">
        <v>139</v>
      </c>
      <c r="M27" t="s">
        <v>140</v>
      </c>
      <c r="O27" t="s">
        <v>120</v>
      </c>
      <c r="P27" t="s">
        <v>121</v>
      </c>
      <c r="Q27" t="s">
        <v>49</v>
      </c>
      <c r="R27" t="s">
        <v>141</v>
      </c>
      <c r="S27" s="1">
        <v>45689</v>
      </c>
      <c r="U27" t="s">
        <v>51</v>
      </c>
      <c r="X27" t="s">
        <v>52</v>
      </c>
      <c r="Y27" t="s">
        <v>53</v>
      </c>
      <c r="Z27" t="s">
        <v>142</v>
      </c>
      <c r="AA27">
        <v>1</v>
      </c>
      <c r="AB27" s="2">
        <v>1</v>
      </c>
      <c r="AC27" t="s">
        <v>142</v>
      </c>
      <c r="AD27" s="2">
        <v>0</v>
      </c>
      <c r="AE27" t="s">
        <v>53</v>
      </c>
      <c r="AF27" t="s">
        <v>142</v>
      </c>
      <c r="AK27">
        <v>4982871</v>
      </c>
    </row>
    <row r="28" spans="1:37" x14ac:dyDescent="0.25">
      <c r="A28" s="1">
        <v>45700</v>
      </c>
      <c r="B28" s="1">
        <v>45700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143</v>
      </c>
      <c r="J28" t="s">
        <v>139</v>
      </c>
      <c r="M28" t="s">
        <v>140</v>
      </c>
      <c r="O28" t="s">
        <v>120</v>
      </c>
      <c r="P28" t="s">
        <v>121</v>
      </c>
      <c r="Q28" t="s">
        <v>49</v>
      </c>
      <c r="R28" t="s">
        <v>144</v>
      </c>
      <c r="S28" s="1">
        <v>45689</v>
      </c>
      <c r="U28" t="s">
        <v>51</v>
      </c>
      <c r="X28" t="s">
        <v>52</v>
      </c>
      <c r="Y28" t="s">
        <v>53</v>
      </c>
      <c r="Z28" t="s">
        <v>53</v>
      </c>
      <c r="AA28">
        <v>1</v>
      </c>
      <c r="AB28" s="2">
        <v>0</v>
      </c>
      <c r="AC28" t="s">
        <v>53</v>
      </c>
      <c r="AD28" s="2">
        <v>0</v>
      </c>
      <c r="AE28" t="s">
        <v>53</v>
      </c>
      <c r="AF28" t="s">
        <v>53</v>
      </c>
      <c r="AK28">
        <v>4982872</v>
      </c>
    </row>
    <row r="29" spans="1:37" x14ac:dyDescent="0.25">
      <c r="A29" s="1">
        <v>45700</v>
      </c>
      <c r="B29" s="1">
        <v>45700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145</v>
      </c>
      <c r="J29" t="s">
        <v>146</v>
      </c>
      <c r="M29" t="s">
        <v>147</v>
      </c>
      <c r="O29" t="s">
        <v>94</v>
      </c>
      <c r="P29" t="s">
        <v>95</v>
      </c>
      <c r="Q29" t="s">
        <v>49</v>
      </c>
      <c r="R29" t="s">
        <v>141</v>
      </c>
      <c r="S29" s="1">
        <v>45689</v>
      </c>
      <c r="U29" t="s">
        <v>51</v>
      </c>
      <c r="X29" t="s">
        <v>52</v>
      </c>
      <c r="Y29" t="s">
        <v>53</v>
      </c>
      <c r="Z29" t="s">
        <v>142</v>
      </c>
      <c r="AA29">
        <v>1</v>
      </c>
      <c r="AB29" s="2">
        <v>1</v>
      </c>
      <c r="AC29" t="s">
        <v>142</v>
      </c>
      <c r="AD29" s="2">
        <v>0</v>
      </c>
      <c r="AE29" t="s">
        <v>53</v>
      </c>
      <c r="AF29" t="s">
        <v>142</v>
      </c>
      <c r="AK29">
        <v>4982869</v>
      </c>
    </row>
    <row r="30" spans="1:37" x14ac:dyDescent="0.25">
      <c r="A30" s="1">
        <v>45700</v>
      </c>
      <c r="B30" s="1">
        <v>45700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148</v>
      </c>
      <c r="J30" t="s">
        <v>146</v>
      </c>
      <c r="M30" t="s">
        <v>147</v>
      </c>
      <c r="O30" t="s">
        <v>94</v>
      </c>
      <c r="P30" t="s">
        <v>95</v>
      </c>
      <c r="Q30" t="s">
        <v>49</v>
      </c>
      <c r="R30" t="s">
        <v>144</v>
      </c>
      <c r="S30" s="1">
        <v>45689</v>
      </c>
      <c r="U30" t="s">
        <v>51</v>
      </c>
      <c r="X30" t="s">
        <v>52</v>
      </c>
      <c r="Y30" t="s">
        <v>53</v>
      </c>
      <c r="Z30" t="s">
        <v>53</v>
      </c>
      <c r="AA30">
        <v>1</v>
      </c>
      <c r="AB30" s="2">
        <v>0</v>
      </c>
      <c r="AC30" t="s">
        <v>53</v>
      </c>
      <c r="AD30" s="2">
        <v>0</v>
      </c>
      <c r="AE30" t="s">
        <v>53</v>
      </c>
      <c r="AF30" t="s">
        <v>53</v>
      </c>
      <c r="AK30">
        <v>4982870</v>
      </c>
    </row>
    <row r="31" spans="1:37" x14ac:dyDescent="0.25">
      <c r="A31" s="1">
        <v>45700</v>
      </c>
      <c r="B31" s="1">
        <v>45700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149</v>
      </c>
      <c r="J31" t="s">
        <v>150</v>
      </c>
      <c r="M31" t="s">
        <v>151</v>
      </c>
      <c r="O31" t="s">
        <v>152</v>
      </c>
      <c r="P31" t="s">
        <v>153</v>
      </c>
      <c r="Q31" t="s">
        <v>49</v>
      </c>
      <c r="R31" t="s">
        <v>141</v>
      </c>
      <c r="S31" s="1">
        <v>45689</v>
      </c>
      <c r="U31" t="s">
        <v>51</v>
      </c>
      <c r="X31" t="s">
        <v>52</v>
      </c>
      <c r="Y31" t="s">
        <v>53</v>
      </c>
      <c r="Z31" t="s">
        <v>142</v>
      </c>
      <c r="AA31">
        <v>1</v>
      </c>
      <c r="AB31" s="2">
        <v>1</v>
      </c>
      <c r="AC31" t="s">
        <v>142</v>
      </c>
      <c r="AD31" s="2">
        <v>0</v>
      </c>
      <c r="AE31" t="s">
        <v>53</v>
      </c>
      <c r="AF31" t="s">
        <v>142</v>
      </c>
      <c r="AK31">
        <v>4982867</v>
      </c>
    </row>
    <row r="32" spans="1:37" x14ac:dyDescent="0.25">
      <c r="A32" s="1">
        <v>45700</v>
      </c>
      <c r="B32" s="1">
        <v>45700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154</v>
      </c>
      <c r="J32" t="s">
        <v>150</v>
      </c>
      <c r="M32" t="s">
        <v>151</v>
      </c>
      <c r="O32" t="s">
        <v>152</v>
      </c>
      <c r="P32" t="s">
        <v>153</v>
      </c>
      <c r="Q32" t="s">
        <v>49</v>
      </c>
      <c r="R32" t="s">
        <v>144</v>
      </c>
      <c r="S32" s="1">
        <v>45689</v>
      </c>
      <c r="U32" t="s">
        <v>51</v>
      </c>
      <c r="X32" t="s">
        <v>52</v>
      </c>
      <c r="Y32" t="s">
        <v>53</v>
      </c>
      <c r="Z32" t="s">
        <v>53</v>
      </c>
      <c r="AA32">
        <v>1</v>
      </c>
      <c r="AB32" s="2">
        <v>0</v>
      </c>
      <c r="AC32" t="s">
        <v>53</v>
      </c>
      <c r="AD32" s="2">
        <v>0</v>
      </c>
      <c r="AE32" t="s">
        <v>53</v>
      </c>
      <c r="AF32" t="s">
        <v>53</v>
      </c>
      <c r="AK32">
        <v>4982868</v>
      </c>
    </row>
    <row r="33" spans="1:38" x14ac:dyDescent="0.25">
      <c r="A33" s="1">
        <v>45700</v>
      </c>
      <c r="B33" s="1">
        <v>45700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155</v>
      </c>
      <c r="J33" t="s">
        <v>156</v>
      </c>
      <c r="M33" t="s">
        <v>157</v>
      </c>
      <c r="O33" t="s">
        <v>158</v>
      </c>
      <c r="P33" t="s">
        <v>159</v>
      </c>
      <c r="Q33" t="s">
        <v>49</v>
      </c>
      <c r="R33" t="s">
        <v>141</v>
      </c>
      <c r="S33" s="1">
        <v>45689</v>
      </c>
      <c r="U33" t="s">
        <v>51</v>
      </c>
      <c r="X33" t="s">
        <v>52</v>
      </c>
      <c r="Y33" t="s">
        <v>53</v>
      </c>
      <c r="Z33" t="s">
        <v>142</v>
      </c>
      <c r="AA33">
        <v>1</v>
      </c>
      <c r="AB33" s="2">
        <v>1</v>
      </c>
      <c r="AC33" t="s">
        <v>142</v>
      </c>
      <c r="AD33" s="2">
        <v>0</v>
      </c>
      <c r="AE33" t="s">
        <v>53</v>
      </c>
      <c r="AF33" t="s">
        <v>142</v>
      </c>
      <c r="AK33">
        <v>4982865</v>
      </c>
    </row>
    <row r="34" spans="1:38" x14ac:dyDescent="0.25">
      <c r="A34" s="1">
        <v>45700</v>
      </c>
      <c r="B34" s="1">
        <v>45700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160</v>
      </c>
      <c r="J34" t="s">
        <v>156</v>
      </c>
      <c r="M34" t="s">
        <v>157</v>
      </c>
      <c r="O34" t="s">
        <v>158</v>
      </c>
      <c r="P34" t="s">
        <v>159</v>
      </c>
      <c r="Q34" t="s">
        <v>49</v>
      </c>
      <c r="R34" t="s">
        <v>144</v>
      </c>
      <c r="S34" s="1">
        <v>45689</v>
      </c>
      <c r="U34" t="s">
        <v>51</v>
      </c>
      <c r="X34" t="s">
        <v>52</v>
      </c>
      <c r="Y34" t="s">
        <v>53</v>
      </c>
      <c r="Z34" t="s">
        <v>53</v>
      </c>
      <c r="AA34">
        <v>1</v>
      </c>
      <c r="AB34" s="2">
        <v>0</v>
      </c>
      <c r="AC34" t="s">
        <v>53</v>
      </c>
      <c r="AD34" s="2">
        <v>0</v>
      </c>
      <c r="AE34" t="s">
        <v>53</v>
      </c>
      <c r="AF34" t="s">
        <v>53</v>
      </c>
      <c r="AK34">
        <v>4982866</v>
      </c>
    </row>
    <row r="35" spans="1:38" x14ac:dyDescent="0.25">
      <c r="A35" s="1">
        <v>45700</v>
      </c>
      <c r="B35" s="1">
        <v>45700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161</v>
      </c>
      <c r="J35" t="s">
        <v>162</v>
      </c>
      <c r="M35" t="s">
        <v>140</v>
      </c>
      <c r="O35" t="s">
        <v>163</v>
      </c>
      <c r="P35" t="s">
        <v>164</v>
      </c>
      <c r="Q35" t="s">
        <v>49</v>
      </c>
      <c r="R35" t="s">
        <v>141</v>
      </c>
      <c r="S35" s="1">
        <v>45689</v>
      </c>
      <c r="U35" t="s">
        <v>51</v>
      </c>
      <c r="X35" t="s">
        <v>52</v>
      </c>
      <c r="Y35" t="s">
        <v>53</v>
      </c>
      <c r="Z35" t="s">
        <v>142</v>
      </c>
      <c r="AA35">
        <v>1</v>
      </c>
      <c r="AB35" s="2">
        <v>1</v>
      </c>
      <c r="AC35" t="s">
        <v>142</v>
      </c>
      <c r="AD35" s="2">
        <v>0</v>
      </c>
      <c r="AE35" t="s">
        <v>53</v>
      </c>
      <c r="AF35" t="s">
        <v>142</v>
      </c>
      <c r="AK35">
        <v>4982863</v>
      </c>
    </row>
    <row r="36" spans="1:38" x14ac:dyDescent="0.25">
      <c r="A36" s="1">
        <v>45700</v>
      </c>
      <c r="B36" s="1">
        <v>45700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165</v>
      </c>
      <c r="J36" t="s">
        <v>162</v>
      </c>
      <c r="M36" t="s">
        <v>140</v>
      </c>
      <c r="O36" t="s">
        <v>163</v>
      </c>
      <c r="P36" t="s">
        <v>164</v>
      </c>
      <c r="Q36" t="s">
        <v>49</v>
      </c>
      <c r="R36" t="s">
        <v>144</v>
      </c>
      <c r="S36" s="1">
        <v>45689</v>
      </c>
      <c r="U36" t="s">
        <v>51</v>
      </c>
      <c r="X36" t="s">
        <v>52</v>
      </c>
      <c r="Y36" t="s">
        <v>53</v>
      </c>
      <c r="Z36" t="s">
        <v>53</v>
      </c>
      <c r="AA36">
        <v>1</v>
      </c>
      <c r="AB36" s="2">
        <v>0</v>
      </c>
      <c r="AC36" t="s">
        <v>53</v>
      </c>
      <c r="AD36" s="2">
        <v>0</v>
      </c>
      <c r="AE36" t="s">
        <v>53</v>
      </c>
      <c r="AF36" t="s">
        <v>53</v>
      </c>
      <c r="AK36">
        <v>4982864</v>
      </c>
    </row>
    <row r="37" spans="1:38" x14ac:dyDescent="0.25">
      <c r="A37" s="1">
        <v>45700</v>
      </c>
      <c r="B37" s="1">
        <v>45700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166</v>
      </c>
      <c r="J37" t="s">
        <v>167</v>
      </c>
      <c r="M37" t="s">
        <v>157</v>
      </c>
      <c r="O37" t="s">
        <v>168</v>
      </c>
      <c r="P37" t="s">
        <v>169</v>
      </c>
      <c r="Q37" t="s">
        <v>49</v>
      </c>
      <c r="R37" t="s">
        <v>170</v>
      </c>
      <c r="S37" s="1">
        <v>45689</v>
      </c>
      <c r="U37" t="s">
        <v>51</v>
      </c>
      <c r="X37" t="s">
        <v>52</v>
      </c>
      <c r="Y37" t="s">
        <v>53</v>
      </c>
      <c r="Z37" t="s">
        <v>171</v>
      </c>
      <c r="AA37">
        <v>1</v>
      </c>
      <c r="AB37" s="2">
        <v>1</v>
      </c>
      <c r="AC37" t="s">
        <v>171</v>
      </c>
      <c r="AD37" s="2">
        <v>0</v>
      </c>
      <c r="AE37" t="s">
        <v>53</v>
      </c>
      <c r="AF37" t="s">
        <v>171</v>
      </c>
      <c r="AK37">
        <v>4982249</v>
      </c>
      <c r="AL37" t="s">
        <v>172</v>
      </c>
    </row>
    <row r="38" spans="1:38" x14ac:dyDescent="0.25">
      <c r="A38" s="1">
        <v>45700</v>
      </c>
      <c r="B38" s="1">
        <v>45700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173</v>
      </c>
      <c r="J38" t="s">
        <v>174</v>
      </c>
      <c r="M38" t="s">
        <v>140</v>
      </c>
      <c r="O38" t="s">
        <v>175</v>
      </c>
      <c r="P38" t="s">
        <v>176</v>
      </c>
      <c r="Q38" t="s">
        <v>49</v>
      </c>
      <c r="R38" t="s">
        <v>170</v>
      </c>
      <c r="S38" s="1">
        <v>45689</v>
      </c>
      <c r="U38" t="s">
        <v>51</v>
      </c>
      <c r="X38" t="s">
        <v>52</v>
      </c>
      <c r="Y38" t="s">
        <v>53</v>
      </c>
      <c r="Z38" t="s">
        <v>171</v>
      </c>
      <c r="AA38">
        <v>1</v>
      </c>
      <c r="AB38" s="2">
        <v>1</v>
      </c>
      <c r="AC38" t="s">
        <v>171</v>
      </c>
      <c r="AD38" s="2">
        <v>0</v>
      </c>
      <c r="AE38" t="s">
        <v>53</v>
      </c>
      <c r="AF38" t="s">
        <v>171</v>
      </c>
      <c r="AK38">
        <v>4982253</v>
      </c>
      <c r="AL38" t="s">
        <v>172</v>
      </c>
    </row>
    <row r="39" spans="1:38" x14ac:dyDescent="0.25">
      <c r="A39" s="1">
        <v>45700</v>
      </c>
      <c r="B39" s="1">
        <v>45700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177</v>
      </c>
      <c r="J39" t="s">
        <v>178</v>
      </c>
      <c r="M39" t="s">
        <v>179</v>
      </c>
      <c r="O39" t="s">
        <v>180</v>
      </c>
      <c r="P39" t="s">
        <v>181</v>
      </c>
      <c r="Q39" t="s">
        <v>49</v>
      </c>
      <c r="R39" t="s">
        <v>170</v>
      </c>
      <c r="S39" s="1">
        <v>45689</v>
      </c>
      <c r="U39" t="s">
        <v>51</v>
      </c>
      <c r="X39" t="s">
        <v>52</v>
      </c>
      <c r="Y39" t="s">
        <v>53</v>
      </c>
      <c r="Z39" t="s">
        <v>171</v>
      </c>
      <c r="AA39">
        <v>1</v>
      </c>
      <c r="AB39" s="2">
        <v>1</v>
      </c>
      <c r="AC39" t="s">
        <v>171</v>
      </c>
      <c r="AD39" s="2">
        <v>0</v>
      </c>
      <c r="AE39" t="s">
        <v>53</v>
      </c>
      <c r="AF39" t="s">
        <v>171</v>
      </c>
      <c r="AK39">
        <v>4982290</v>
      </c>
      <c r="AL39" t="s">
        <v>172</v>
      </c>
    </row>
    <row r="40" spans="1:38" x14ac:dyDescent="0.25">
      <c r="A40" s="1">
        <v>45700</v>
      </c>
      <c r="B40" s="1">
        <v>45700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182</v>
      </c>
      <c r="J40" t="s">
        <v>183</v>
      </c>
      <c r="M40" t="s">
        <v>184</v>
      </c>
      <c r="O40" t="s">
        <v>180</v>
      </c>
      <c r="P40" t="s">
        <v>181</v>
      </c>
      <c r="Q40" t="s">
        <v>49</v>
      </c>
      <c r="R40" t="s">
        <v>170</v>
      </c>
      <c r="S40" s="1">
        <v>45689</v>
      </c>
      <c r="U40" t="s">
        <v>51</v>
      </c>
      <c r="X40" t="s">
        <v>52</v>
      </c>
      <c r="Y40" t="s">
        <v>53</v>
      </c>
      <c r="Z40" t="s">
        <v>171</v>
      </c>
      <c r="AA40">
        <v>1</v>
      </c>
      <c r="AB40" s="2">
        <v>1</v>
      </c>
      <c r="AC40" t="s">
        <v>171</v>
      </c>
      <c r="AD40" s="2">
        <v>0</v>
      </c>
      <c r="AE40" t="s">
        <v>53</v>
      </c>
      <c r="AF40" t="s">
        <v>171</v>
      </c>
      <c r="AK40">
        <v>4982292</v>
      </c>
      <c r="AL40" t="s">
        <v>172</v>
      </c>
    </row>
    <row r="41" spans="1:38" x14ac:dyDescent="0.25">
      <c r="A41" s="1">
        <v>45700</v>
      </c>
      <c r="B41" s="1">
        <v>45700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185</v>
      </c>
      <c r="J41" t="s">
        <v>186</v>
      </c>
      <c r="M41" t="s">
        <v>187</v>
      </c>
      <c r="O41" t="s">
        <v>188</v>
      </c>
      <c r="P41" t="s">
        <v>189</v>
      </c>
      <c r="Q41" t="s">
        <v>49</v>
      </c>
      <c r="R41" t="s">
        <v>190</v>
      </c>
      <c r="S41" s="1">
        <v>45658</v>
      </c>
      <c r="U41" t="s">
        <v>51</v>
      </c>
      <c r="X41" t="s">
        <v>52</v>
      </c>
      <c r="Y41" t="s">
        <v>53</v>
      </c>
      <c r="Z41" t="s">
        <v>191</v>
      </c>
      <c r="AA41">
        <v>1</v>
      </c>
      <c r="AB41" s="2">
        <v>1</v>
      </c>
      <c r="AC41" t="s">
        <v>191</v>
      </c>
      <c r="AD41" s="2">
        <v>0</v>
      </c>
      <c r="AE41" t="s">
        <v>53</v>
      </c>
      <c r="AF41" t="s">
        <v>191</v>
      </c>
      <c r="AK41">
        <v>4982300</v>
      </c>
    </row>
    <row r="42" spans="1:38" x14ac:dyDescent="0.25">
      <c r="A42" s="1">
        <v>45700</v>
      </c>
      <c r="B42" s="1">
        <v>45700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192</v>
      </c>
      <c r="J42" t="s">
        <v>193</v>
      </c>
      <c r="M42" t="s">
        <v>194</v>
      </c>
      <c r="O42" t="s">
        <v>195</v>
      </c>
      <c r="P42" t="s">
        <v>196</v>
      </c>
      <c r="Q42" t="s">
        <v>49</v>
      </c>
      <c r="R42" t="s">
        <v>197</v>
      </c>
      <c r="S42" s="1">
        <v>45689</v>
      </c>
      <c r="U42" t="s">
        <v>51</v>
      </c>
      <c r="X42" t="s">
        <v>52</v>
      </c>
      <c r="Y42" t="s">
        <v>53</v>
      </c>
      <c r="Z42" t="s">
        <v>171</v>
      </c>
      <c r="AA42">
        <v>1</v>
      </c>
      <c r="AB42" s="2">
        <v>1</v>
      </c>
      <c r="AC42" t="s">
        <v>171</v>
      </c>
      <c r="AD42" s="2">
        <v>0</v>
      </c>
      <c r="AE42" t="s">
        <v>53</v>
      </c>
      <c r="AF42" t="s">
        <v>171</v>
      </c>
      <c r="AK42">
        <v>4982309</v>
      </c>
      <c r="AL42" t="s">
        <v>172</v>
      </c>
    </row>
    <row r="43" spans="1:38" x14ac:dyDescent="0.25">
      <c r="A43" s="1">
        <v>45700</v>
      </c>
      <c r="B43" s="1">
        <v>45700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198</v>
      </c>
      <c r="J43" t="s">
        <v>199</v>
      </c>
      <c r="M43" t="s">
        <v>140</v>
      </c>
      <c r="O43" t="s">
        <v>61</v>
      </c>
      <c r="P43" t="s">
        <v>62</v>
      </c>
      <c r="Q43" t="s">
        <v>49</v>
      </c>
      <c r="R43" t="s">
        <v>170</v>
      </c>
      <c r="S43" s="1">
        <v>45689</v>
      </c>
      <c r="U43" t="s">
        <v>51</v>
      </c>
      <c r="X43" t="s">
        <v>52</v>
      </c>
      <c r="Y43" t="s">
        <v>53</v>
      </c>
      <c r="Z43" t="s">
        <v>171</v>
      </c>
      <c r="AA43">
        <v>1</v>
      </c>
      <c r="AB43" s="2">
        <v>1</v>
      </c>
      <c r="AC43" t="s">
        <v>171</v>
      </c>
      <c r="AD43" s="2">
        <v>0</v>
      </c>
      <c r="AE43" t="s">
        <v>53</v>
      </c>
      <c r="AF43" t="s">
        <v>171</v>
      </c>
      <c r="AK43">
        <v>4982340</v>
      </c>
      <c r="AL43" t="s">
        <v>172</v>
      </c>
    </row>
    <row r="44" spans="1:38" x14ac:dyDescent="0.25">
      <c r="A44" s="1">
        <v>45700</v>
      </c>
      <c r="B44" s="1">
        <v>45700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200</v>
      </c>
      <c r="J44" t="s">
        <v>201</v>
      </c>
      <c r="M44" t="s">
        <v>184</v>
      </c>
      <c r="O44" t="s">
        <v>202</v>
      </c>
      <c r="P44" t="s">
        <v>203</v>
      </c>
      <c r="Q44" t="s">
        <v>49</v>
      </c>
      <c r="R44" t="s">
        <v>170</v>
      </c>
      <c r="S44" s="1">
        <v>45717</v>
      </c>
      <c r="U44" t="s">
        <v>51</v>
      </c>
      <c r="X44" t="s">
        <v>52</v>
      </c>
      <c r="Y44" t="s">
        <v>53</v>
      </c>
      <c r="Z44" t="s">
        <v>204</v>
      </c>
      <c r="AA44">
        <v>1</v>
      </c>
      <c r="AB44" s="2">
        <v>1</v>
      </c>
      <c r="AC44" t="s">
        <v>204</v>
      </c>
      <c r="AD44" s="2">
        <v>0</v>
      </c>
      <c r="AE44" t="s">
        <v>53</v>
      </c>
      <c r="AF44" t="s">
        <v>204</v>
      </c>
      <c r="AK44">
        <v>4982352</v>
      </c>
      <c r="AL44" t="s">
        <v>205</v>
      </c>
    </row>
    <row r="45" spans="1:38" x14ac:dyDescent="0.25">
      <c r="A45" s="1">
        <v>45700</v>
      </c>
      <c r="B45" s="1">
        <v>45700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206</v>
      </c>
      <c r="J45" t="s">
        <v>207</v>
      </c>
      <c r="M45" t="s">
        <v>140</v>
      </c>
      <c r="O45" t="s">
        <v>208</v>
      </c>
      <c r="P45" t="s">
        <v>209</v>
      </c>
      <c r="Q45" t="s">
        <v>49</v>
      </c>
      <c r="R45" t="s">
        <v>170</v>
      </c>
      <c r="S45" s="1">
        <v>45689</v>
      </c>
      <c r="U45" t="s">
        <v>51</v>
      </c>
      <c r="X45" t="s">
        <v>52</v>
      </c>
      <c r="Y45" t="s">
        <v>53</v>
      </c>
      <c r="Z45" t="s">
        <v>171</v>
      </c>
      <c r="AA45">
        <v>1</v>
      </c>
      <c r="AB45" s="2">
        <v>1</v>
      </c>
      <c r="AC45" t="s">
        <v>171</v>
      </c>
      <c r="AD45" s="2">
        <v>0</v>
      </c>
      <c r="AE45" t="s">
        <v>53</v>
      </c>
      <c r="AF45" t="s">
        <v>171</v>
      </c>
      <c r="AK45">
        <v>4982354</v>
      </c>
      <c r="AL45" t="s">
        <v>172</v>
      </c>
    </row>
    <row r="46" spans="1:38" x14ac:dyDescent="0.25">
      <c r="A46" s="1">
        <v>45700</v>
      </c>
      <c r="B46" s="1">
        <v>45700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210</v>
      </c>
      <c r="J46" t="s">
        <v>211</v>
      </c>
      <c r="M46" t="s">
        <v>212</v>
      </c>
      <c r="O46" t="s">
        <v>108</v>
      </c>
      <c r="P46" t="s">
        <v>109</v>
      </c>
      <c r="Q46" t="s">
        <v>49</v>
      </c>
      <c r="R46" t="s">
        <v>170</v>
      </c>
      <c r="S46" s="1">
        <v>45689</v>
      </c>
      <c r="U46" t="s">
        <v>51</v>
      </c>
      <c r="X46" t="s">
        <v>52</v>
      </c>
      <c r="Y46" t="s">
        <v>53</v>
      </c>
      <c r="Z46" t="s">
        <v>171</v>
      </c>
      <c r="AA46">
        <v>1</v>
      </c>
      <c r="AB46" s="2">
        <v>1</v>
      </c>
      <c r="AC46" t="s">
        <v>171</v>
      </c>
      <c r="AD46" s="2">
        <v>0</v>
      </c>
      <c r="AE46" t="s">
        <v>53</v>
      </c>
      <c r="AF46" t="s">
        <v>171</v>
      </c>
      <c r="AK46">
        <v>4982359</v>
      </c>
      <c r="AL46" t="s">
        <v>172</v>
      </c>
    </row>
    <row r="47" spans="1:38" x14ac:dyDescent="0.25">
      <c r="A47" s="1">
        <v>45700</v>
      </c>
      <c r="B47" s="1">
        <v>45700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213</v>
      </c>
      <c r="J47" t="s">
        <v>214</v>
      </c>
      <c r="M47" t="s">
        <v>140</v>
      </c>
      <c r="O47" t="s">
        <v>71</v>
      </c>
      <c r="P47" t="s">
        <v>72</v>
      </c>
      <c r="Q47" t="s">
        <v>49</v>
      </c>
      <c r="R47" t="s">
        <v>170</v>
      </c>
      <c r="S47" s="1">
        <v>45689</v>
      </c>
      <c r="U47" t="s">
        <v>51</v>
      </c>
      <c r="X47" t="s">
        <v>52</v>
      </c>
      <c r="Y47" t="s">
        <v>53</v>
      </c>
      <c r="Z47" t="s">
        <v>171</v>
      </c>
      <c r="AA47">
        <v>1</v>
      </c>
      <c r="AB47" s="2">
        <v>1</v>
      </c>
      <c r="AC47" t="s">
        <v>171</v>
      </c>
      <c r="AD47" s="2">
        <v>0</v>
      </c>
      <c r="AE47" t="s">
        <v>53</v>
      </c>
      <c r="AF47" t="s">
        <v>171</v>
      </c>
      <c r="AK47">
        <v>4982372</v>
      </c>
      <c r="AL47" t="s">
        <v>172</v>
      </c>
    </row>
    <row r="48" spans="1:38" x14ac:dyDescent="0.25">
      <c r="A48" s="1">
        <v>45700</v>
      </c>
      <c r="B48" s="1">
        <v>45700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215</v>
      </c>
      <c r="J48" t="s">
        <v>216</v>
      </c>
      <c r="M48" t="s">
        <v>179</v>
      </c>
      <c r="O48" t="s">
        <v>195</v>
      </c>
      <c r="P48" t="s">
        <v>196</v>
      </c>
      <c r="Q48" t="s">
        <v>49</v>
      </c>
      <c r="R48" t="s">
        <v>170</v>
      </c>
      <c r="S48" s="1">
        <v>45689</v>
      </c>
      <c r="U48" t="s">
        <v>51</v>
      </c>
      <c r="X48" t="s">
        <v>52</v>
      </c>
      <c r="Y48" t="s">
        <v>53</v>
      </c>
      <c r="Z48" t="s">
        <v>171</v>
      </c>
      <c r="AA48">
        <v>1</v>
      </c>
      <c r="AB48" s="2">
        <v>1</v>
      </c>
      <c r="AC48" t="s">
        <v>171</v>
      </c>
      <c r="AD48" s="2">
        <v>0</v>
      </c>
      <c r="AE48" t="s">
        <v>53</v>
      </c>
      <c r="AF48" t="s">
        <v>171</v>
      </c>
      <c r="AK48">
        <v>4982403</v>
      </c>
      <c r="AL48" t="s">
        <v>172</v>
      </c>
    </row>
    <row r="49" spans="1:38" x14ac:dyDescent="0.25">
      <c r="A49" s="1">
        <v>45700</v>
      </c>
      <c r="B49" s="1">
        <v>45700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217</v>
      </c>
      <c r="J49" t="s">
        <v>218</v>
      </c>
      <c r="M49" t="s">
        <v>157</v>
      </c>
      <c r="O49" t="s">
        <v>219</v>
      </c>
      <c r="P49" t="s">
        <v>220</v>
      </c>
      <c r="Q49" t="s">
        <v>49</v>
      </c>
      <c r="R49" t="s">
        <v>170</v>
      </c>
      <c r="S49" s="1">
        <v>45689</v>
      </c>
      <c r="U49" t="s">
        <v>51</v>
      </c>
      <c r="X49" t="s">
        <v>52</v>
      </c>
      <c r="Y49" t="s">
        <v>53</v>
      </c>
      <c r="Z49" t="s">
        <v>171</v>
      </c>
      <c r="AA49">
        <v>1</v>
      </c>
      <c r="AB49" s="2">
        <v>1</v>
      </c>
      <c r="AC49" t="s">
        <v>171</v>
      </c>
      <c r="AD49" s="2">
        <v>0</v>
      </c>
      <c r="AE49" t="s">
        <v>53</v>
      </c>
      <c r="AF49" t="s">
        <v>171</v>
      </c>
      <c r="AK49">
        <v>4982408</v>
      </c>
      <c r="AL49" t="s">
        <v>172</v>
      </c>
    </row>
    <row r="50" spans="1:38" x14ac:dyDescent="0.25">
      <c r="A50" s="1">
        <v>45700</v>
      </c>
      <c r="B50" s="1">
        <v>45700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221</v>
      </c>
      <c r="J50" t="s">
        <v>222</v>
      </c>
      <c r="M50" t="s">
        <v>157</v>
      </c>
      <c r="O50" t="s">
        <v>219</v>
      </c>
      <c r="P50" t="s">
        <v>220</v>
      </c>
      <c r="Q50" t="s">
        <v>49</v>
      </c>
      <c r="R50" t="s">
        <v>170</v>
      </c>
      <c r="S50" s="1">
        <v>45689</v>
      </c>
      <c r="U50" t="s">
        <v>51</v>
      </c>
      <c r="X50" t="s">
        <v>52</v>
      </c>
      <c r="Y50" t="s">
        <v>53</v>
      </c>
      <c r="Z50" t="s">
        <v>171</v>
      </c>
      <c r="AA50">
        <v>1</v>
      </c>
      <c r="AB50" s="2">
        <v>1</v>
      </c>
      <c r="AC50" t="s">
        <v>171</v>
      </c>
      <c r="AD50" s="2">
        <v>0</v>
      </c>
      <c r="AE50" t="s">
        <v>53</v>
      </c>
      <c r="AF50" t="s">
        <v>171</v>
      </c>
      <c r="AK50">
        <v>4982414</v>
      </c>
      <c r="AL50" t="s">
        <v>172</v>
      </c>
    </row>
    <row r="51" spans="1:38" x14ac:dyDescent="0.25">
      <c r="A51" s="1">
        <v>45700</v>
      </c>
      <c r="B51" s="1">
        <v>45700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223</v>
      </c>
      <c r="J51" t="s">
        <v>224</v>
      </c>
      <c r="M51" t="s">
        <v>140</v>
      </c>
      <c r="O51" t="s">
        <v>225</v>
      </c>
      <c r="P51" t="s">
        <v>226</v>
      </c>
      <c r="Q51" t="s">
        <v>49</v>
      </c>
      <c r="R51" t="s">
        <v>170</v>
      </c>
      <c r="S51" s="1">
        <v>45689</v>
      </c>
      <c r="U51" t="s">
        <v>51</v>
      </c>
      <c r="X51" t="s">
        <v>52</v>
      </c>
      <c r="Y51" t="s">
        <v>53</v>
      </c>
      <c r="Z51" t="s">
        <v>171</v>
      </c>
      <c r="AA51">
        <v>1</v>
      </c>
      <c r="AB51" s="2">
        <v>1</v>
      </c>
      <c r="AC51" t="s">
        <v>171</v>
      </c>
      <c r="AD51" s="2">
        <v>0</v>
      </c>
      <c r="AE51" t="s">
        <v>53</v>
      </c>
      <c r="AF51" t="s">
        <v>171</v>
      </c>
      <c r="AK51">
        <v>4982416</v>
      </c>
      <c r="AL51" t="s">
        <v>172</v>
      </c>
    </row>
    <row r="52" spans="1:38" x14ac:dyDescent="0.25">
      <c r="A52" s="1">
        <v>45700</v>
      </c>
      <c r="B52" s="1">
        <v>45700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227</v>
      </c>
      <c r="J52" t="s">
        <v>228</v>
      </c>
      <c r="M52" t="s">
        <v>229</v>
      </c>
      <c r="O52" t="s">
        <v>202</v>
      </c>
      <c r="P52" t="s">
        <v>203</v>
      </c>
      <c r="Q52" t="s">
        <v>49</v>
      </c>
      <c r="R52" t="s">
        <v>230</v>
      </c>
      <c r="S52" s="1">
        <v>45689</v>
      </c>
      <c r="U52" t="s">
        <v>51</v>
      </c>
      <c r="X52" t="s">
        <v>52</v>
      </c>
      <c r="Y52" t="s">
        <v>53</v>
      </c>
      <c r="Z52" t="s">
        <v>231</v>
      </c>
      <c r="AA52">
        <v>1</v>
      </c>
      <c r="AB52" s="2">
        <v>1</v>
      </c>
      <c r="AC52" t="s">
        <v>231</v>
      </c>
      <c r="AD52" s="2">
        <v>0</v>
      </c>
      <c r="AE52" t="s">
        <v>53</v>
      </c>
      <c r="AF52" t="s">
        <v>231</v>
      </c>
      <c r="AK52">
        <v>4982963</v>
      </c>
    </row>
    <row r="53" spans="1:38" x14ac:dyDescent="0.25">
      <c r="A53" s="1">
        <v>45700</v>
      </c>
      <c r="B53" s="1">
        <v>45700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232</v>
      </c>
      <c r="J53" t="s">
        <v>228</v>
      </c>
      <c r="M53" t="s">
        <v>229</v>
      </c>
      <c r="O53" t="s">
        <v>202</v>
      </c>
      <c r="P53" t="s">
        <v>203</v>
      </c>
      <c r="Q53" t="s">
        <v>49</v>
      </c>
      <c r="R53" t="s">
        <v>233</v>
      </c>
      <c r="S53" s="1">
        <v>45689</v>
      </c>
      <c r="U53" t="s">
        <v>51</v>
      </c>
      <c r="X53" t="s">
        <v>52</v>
      </c>
      <c r="Y53" t="s">
        <v>53</v>
      </c>
      <c r="Z53" t="s">
        <v>64</v>
      </c>
      <c r="AA53">
        <v>1</v>
      </c>
      <c r="AB53" s="2">
        <v>1</v>
      </c>
      <c r="AC53" t="s">
        <v>64</v>
      </c>
      <c r="AD53" s="2">
        <v>0</v>
      </c>
      <c r="AE53" t="s">
        <v>53</v>
      </c>
      <c r="AF53" t="s">
        <v>64</v>
      </c>
      <c r="AK53">
        <v>4982964</v>
      </c>
    </row>
    <row r="54" spans="1:38" x14ac:dyDescent="0.25">
      <c r="A54" s="1">
        <v>45700</v>
      </c>
      <c r="B54" s="1">
        <v>45700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234</v>
      </c>
      <c r="J54" t="s">
        <v>235</v>
      </c>
      <c r="M54" t="s">
        <v>140</v>
      </c>
      <c r="O54" t="s">
        <v>61</v>
      </c>
      <c r="P54" t="s">
        <v>62</v>
      </c>
      <c r="Q54" t="s">
        <v>49</v>
      </c>
      <c r="R54" t="s">
        <v>230</v>
      </c>
      <c r="S54" s="1">
        <v>45658</v>
      </c>
      <c r="U54" t="s">
        <v>51</v>
      </c>
      <c r="X54" t="s">
        <v>52</v>
      </c>
      <c r="Y54" t="s">
        <v>53</v>
      </c>
      <c r="Z54" t="s">
        <v>231</v>
      </c>
      <c r="AA54">
        <v>1</v>
      </c>
      <c r="AB54" s="2">
        <v>1</v>
      </c>
      <c r="AC54" t="s">
        <v>231</v>
      </c>
      <c r="AD54" s="2">
        <v>0</v>
      </c>
      <c r="AE54" t="s">
        <v>53</v>
      </c>
      <c r="AF54" t="s">
        <v>231</v>
      </c>
      <c r="AK54">
        <v>4982961</v>
      </c>
    </row>
    <row r="55" spans="1:38" x14ac:dyDescent="0.25">
      <c r="A55" s="1">
        <v>45700</v>
      </c>
      <c r="B55" s="1">
        <v>45700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236</v>
      </c>
      <c r="J55" t="s">
        <v>235</v>
      </c>
      <c r="M55" t="s">
        <v>140</v>
      </c>
      <c r="O55" t="s">
        <v>61</v>
      </c>
      <c r="P55" t="s">
        <v>62</v>
      </c>
      <c r="Q55" t="s">
        <v>49</v>
      </c>
      <c r="R55" t="s">
        <v>233</v>
      </c>
      <c r="S55" s="1">
        <v>45658</v>
      </c>
      <c r="U55" t="s">
        <v>51</v>
      </c>
      <c r="X55" t="s">
        <v>52</v>
      </c>
      <c r="Y55" t="s">
        <v>53</v>
      </c>
      <c r="Z55" t="s">
        <v>64</v>
      </c>
      <c r="AA55">
        <v>1</v>
      </c>
      <c r="AB55" s="2">
        <v>1</v>
      </c>
      <c r="AC55" t="s">
        <v>64</v>
      </c>
      <c r="AD55" s="2">
        <v>0</v>
      </c>
      <c r="AE55" t="s">
        <v>53</v>
      </c>
      <c r="AF55" t="s">
        <v>64</v>
      </c>
      <c r="AK55">
        <v>4982962</v>
      </c>
    </row>
    <row r="56" spans="1:38" x14ac:dyDescent="0.25">
      <c r="A56" s="1">
        <v>45700</v>
      </c>
      <c r="B56" s="1">
        <v>45700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237</v>
      </c>
      <c r="J56" t="s">
        <v>238</v>
      </c>
      <c r="M56" t="s">
        <v>140</v>
      </c>
      <c r="O56" t="s">
        <v>61</v>
      </c>
      <c r="P56" t="s">
        <v>62</v>
      </c>
      <c r="Q56" t="s">
        <v>49</v>
      </c>
      <c r="R56" t="s">
        <v>239</v>
      </c>
      <c r="S56" s="1">
        <v>45689</v>
      </c>
      <c r="U56" t="s">
        <v>51</v>
      </c>
      <c r="X56" t="s">
        <v>52</v>
      </c>
      <c r="Y56" t="s">
        <v>53</v>
      </c>
      <c r="Z56" t="s">
        <v>240</v>
      </c>
      <c r="AA56">
        <v>1</v>
      </c>
      <c r="AB56" s="2">
        <v>1</v>
      </c>
      <c r="AC56" t="s">
        <v>240</v>
      </c>
      <c r="AD56" s="2">
        <v>0</v>
      </c>
      <c r="AE56" t="s">
        <v>53</v>
      </c>
      <c r="AF56" t="s">
        <v>240</v>
      </c>
      <c r="AK56">
        <v>4982957</v>
      </c>
      <c r="AL56" t="s">
        <v>172</v>
      </c>
    </row>
    <row r="57" spans="1:38" x14ac:dyDescent="0.25">
      <c r="A57" s="1">
        <v>45700</v>
      </c>
      <c r="B57" s="1">
        <v>45700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241</v>
      </c>
      <c r="J57" t="s">
        <v>238</v>
      </c>
      <c r="M57" t="s">
        <v>140</v>
      </c>
      <c r="O57" t="s">
        <v>61</v>
      </c>
      <c r="P57" t="s">
        <v>62</v>
      </c>
      <c r="Q57" t="s">
        <v>49</v>
      </c>
      <c r="R57" t="s">
        <v>242</v>
      </c>
      <c r="S57" s="1">
        <v>45689</v>
      </c>
      <c r="U57" t="s">
        <v>51</v>
      </c>
      <c r="X57" t="s">
        <v>52</v>
      </c>
      <c r="Y57" t="s">
        <v>53</v>
      </c>
      <c r="Z57" t="s">
        <v>243</v>
      </c>
      <c r="AA57">
        <v>1</v>
      </c>
      <c r="AB57" s="2">
        <v>1</v>
      </c>
      <c r="AC57" t="s">
        <v>243</v>
      </c>
      <c r="AD57" s="2">
        <v>0</v>
      </c>
      <c r="AE57" t="s">
        <v>53</v>
      </c>
      <c r="AF57" t="s">
        <v>243</v>
      </c>
      <c r="AK57">
        <v>4982958</v>
      </c>
      <c r="AL57" t="s">
        <v>172</v>
      </c>
    </row>
    <row r="58" spans="1:38" x14ac:dyDescent="0.25">
      <c r="A58" s="1">
        <v>45700</v>
      </c>
      <c r="B58" s="1">
        <v>45700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244</v>
      </c>
      <c r="J58" t="s">
        <v>245</v>
      </c>
      <c r="M58" t="s">
        <v>187</v>
      </c>
      <c r="O58" t="s">
        <v>188</v>
      </c>
      <c r="P58" t="s">
        <v>189</v>
      </c>
      <c r="Q58" t="s">
        <v>49</v>
      </c>
      <c r="R58" t="s">
        <v>246</v>
      </c>
      <c r="S58" s="1">
        <v>45689</v>
      </c>
      <c r="U58" t="s">
        <v>51</v>
      </c>
      <c r="X58" t="s">
        <v>52</v>
      </c>
      <c r="Y58" t="s">
        <v>53</v>
      </c>
      <c r="Z58" t="s">
        <v>247</v>
      </c>
      <c r="AA58">
        <v>9</v>
      </c>
      <c r="AB58" s="2">
        <v>1</v>
      </c>
      <c r="AC58" t="s">
        <v>248</v>
      </c>
      <c r="AD58" s="2">
        <v>0</v>
      </c>
      <c r="AE58" t="s">
        <v>53</v>
      </c>
      <c r="AF58" t="s">
        <v>248</v>
      </c>
      <c r="AK58">
        <v>4982723</v>
      </c>
    </row>
    <row r="59" spans="1:38" x14ac:dyDescent="0.25">
      <c r="A59" s="1">
        <v>45700</v>
      </c>
      <c r="B59" s="1">
        <v>45700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249</v>
      </c>
      <c r="J59" t="s">
        <v>250</v>
      </c>
      <c r="M59" t="s">
        <v>140</v>
      </c>
      <c r="O59" t="s">
        <v>77</v>
      </c>
      <c r="P59" t="s">
        <v>78</v>
      </c>
      <c r="Q59" t="s">
        <v>49</v>
      </c>
      <c r="R59" t="s">
        <v>251</v>
      </c>
      <c r="S59" s="1">
        <v>45689</v>
      </c>
      <c r="U59" t="s">
        <v>51</v>
      </c>
      <c r="X59" t="s">
        <v>52</v>
      </c>
      <c r="Y59" t="s">
        <v>53</v>
      </c>
      <c r="Z59" t="s">
        <v>252</v>
      </c>
      <c r="AA59">
        <v>9</v>
      </c>
      <c r="AB59" s="2">
        <v>1</v>
      </c>
      <c r="AC59" t="s">
        <v>253</v>
      </c>
      <c r="AD59" s="2">
        <v>0</v>
      </c>
      <c r="AE59" t="s">
        <v>53</v>
      </c>
      <c r="AF59" t="s">
        <v>253</v>
      </c>
      <c r="AK59">
        <v>4982725</v>
      </c>
    </row>
    <row r="60" spans="1:38" x14ac:dyDescent="0.25">
      <c r="A60" s="1">
        <v>45700</v>
      </c>
      <c r="B60" s="1">
        <v>45700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254</v>
      </c>
      <c r="J60" t="s">
        <v>255</v>
      </c>
      <c r="M60" t="s">
        <v>140</v>
      </c>
      <c r="O60" t="s">
        <v>202</v>
      </c>
      <c r="P60" t="s">
        <v>203</v>
      </c>
      <c r="Q60" t="s">
        <v>49</v>
      </c>
      <c r="R60" t="s">
        <v>251</v>
      </c>
      <c r="S60" s="1">
        <v>45717</v>
      </c>
      <c r="U60" t="s">
        <v>51</v>
      </c>
      <c r="X60" t="s">
        <v>52</v>
      </c>
      <c r="Y60" t="s">
        <v>53</v>
      </c>
      <c r="Z60" t="s">
        <v>252</v>
      </c>
      <c r="AA60">
        <v>9</v>
      </c>
      <c r="AB60" s="2">
        <v>1</v>
      </c>
      <c r="AC60" t="s">
        <v>253</v>
      </c>
      <c r="AD60" s="2">
        <v>0</v>
      </c>
      <c r="AE60" t="s">
        <v>53</v>
      </c>
      <c r="AF60" t="s">
        <v>253</v>
      </c>
      <c r="AK60">
        <v>4982726</v>
      </c>
    </row>
    <row r="61" spans="1:38" x14ac:dyDescent="0.25">
      <c r="A61" s="1">
        <v>45700</v>
      </c>
      <c r="B61" s="1">
        <v>45700</v>
      </c>
      <c r="C61" t="s">
        <v>256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257</v>
      </c>
      <c r="J61" t="s">
        <v>45</v>
      </c>
      <c r="M61" t="s">
        <v>46</v>
      </c>
      <c r="O61" t="s">
        <v>47</v>
      </c>
      <c r="P61" t="s">
        <v>48</v>
      </c>
      <c r="Q61" t="s">
        <v>258</v>
      </c>
      <c r="R61" t="s">
        <v>63</v>
      </c>
      <c r="S61" s="1">
        <v>45658</v>
      </c>
      <c r="U61" t="s">
        <v>51</v>
      </c>
      <c r="X61" t="s">
        <v>52</v>
      </c>
      <c r="AF61" t="s">
        <v>64</v>
      </c>
      <c r="AG61" t="s">
        <v>53</v>
      </c>
      <c r="AJ61" t="s">
        <v>259</v>
      </c>
    </row>
    <row r="62" spans="1:38" x14ac:dyDescent="0.25">
      <c r="A62" s="1">
        <v>45700</v>
      </c>
      <c r="B62" s="1">
        <v>45700</v>
      </c>
      <c r="C62" t="s">
        <v>256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260</v>
      </c>
      <c r="J62" t="s">
        <v>261</v>
      </c>
      <c r="M62" t="s">
        <v>46</v>
      </c>
      <c r="O62" t="s">
        <v>120</v>
      </c>
      <c r="P62" t="s">
        <v>121</v>
      </c>
      <c r="Q62" t="s">
        <v>258</v>
      </c>
      <c r="R62" t="s">
        <v>63</v>
      </c>
      <c r="S62" s="1">
        <v>45689</v>
      </c>
      <c r="U62" t="s">
        <v>51</v>
      </c>
      <c r="X62" t="s">
        <v>52</v>
      </c>
      <c r="AF62" t="s">
        <v>64</v>
      </c>
      <c r="AG62" t="s">
        <v>53</v>
      </c>
      <c r="AJ62" t="s">
        <v>64</v>
      </c>
    </row>
    <row r="63" spans="1:38" x14ac:dyDescent="0.25">
      <c r="A63" s="1">
        <v>45700</v>
      </c>
      <c r="B63" s="1">
        <v>45700</v>
      </c>
      <c r="C63" t="s">
        <v>256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262</v>
      </c>
      <c r="J63" t="s">
        <v>56</v>
      </c>
      <c r="M63" t="s">
        <v>46</v>
      </c>
      <c r="O63" t="s">
        <v>57</v>
      </c>
      <c r="P63" t="s">
        <v>58</v>
      </c>
      <c r="Q63" t="s">
        <v>258</v>
      </c>
      <c r="R63" t="s">
        <v>50</v>
      </c>
      <c r="S63" s="1">
        <v>45658</v>
      </c>
      <c r="U63" t="s">
        <v>51</v>
      </c>
      <c r="X63" t="s">
        <v>52</v>
      </c>
      <c r="AF63" t="s">
        <v>54</v>
      </c>
      <c r="AG63" t="s">
        <v>53</v>
      </c>
      <c r="AJ63" t="s">
        <v>86</v>
      </c>
    </row>
    <row r="64" spans="1:38" x14ac:dyDescent="0.25">
      <c r="A64" s="1">
        <v>45700</v>
      </c>
      <c r="B64" s="1">
        <v>45700</v>
      </c>
      <c r="C64" t="s">
        <v>256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263</v>
      </c>
      <c r="J64" t="s">
        <v>264</v>
      </c>
      <c r="M64" t="s">
        <v>46</v>
      </c>
      <c r="O64" t="s">
        <v>114</v>
      </c>
      <c r="P64" t="s">
        <v>115</v>
      </c>
      <c r="Q64" t="s">
        <v>258</v>
      </c>
      <c r="R64" t="s">
        <v>63</v>
      </c>
      <c r="S64" s="1">
        <v>45658</v>
      </c>
      <c r="U64" t="s">
        <v>51</v>
      </c>
      <c r="X64" t="s">
        <v>52</v>
      </c>
      <c r="AF64" t="s">
        <v>64</v>
      </c>
      <c r="AG64" t="s">
        <v>53</v>
      </c>
      <c r="AJ64" t="s">
        <v>259</v>
      </c>
    </row>
    <row r="65" spans="1:36" x14ac:dyDescent="0.25">
      <c r="A65" s="1">
        <v>45700</v>
      </c>
      <c r="B65" s="1">
        <v>45700</v>
      </c>
      <c r="C65" t="s">
        <v>256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265</v>
      </c>
      <c r="J65" t="s">
        <v>266</v>
      </c>
      <c r="M65" t="s">
        <v>46</v>
      </c>
      <c r="O65" t="s">
        <v>208</v>
      </c>
      <c r="P65" t="s">
        <v>209</v>
      </c>
      <c r="Q65" t="s">
        <v>258</v>
      </c>
      <c r="R65" t="s">
        <v>63</v>
      </c>
      <c r="S65" s="1">
        <v>45658</v>
      </c>
      <c r="U65" t="s">
        <v>51</v>
      </c>
      <c r="X65" t="s">
        <v>52</v>
      </c>
      <c r="AF65" t="s">
        <v>64</v>
      </c>
      <c r="AG65" t="s">
        <v>53</v>
      </c>
      <c r="AJ65" t="s">
        <v>259</v>
      </c>
    </row>
    <row r="66" spans="1:36" x14ac:dyDescent="0.25">
      <c r="A66" s="1">
        <v>45700</v>
      </c>
      <c r="B66" s="1">
        <v>45700</v>
      </c>
      <c r="C66" t="s">
        <v>256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267</v>
      </c>
      <c r="J66" t="s">
        <v>268</v>
      </c>
      <c r="M66" t="s">
        <v>46</v>
      </c>
      <c r="O66" t="s">
        <v>269</v>
      </c>
      <c r="P66" t="s">
        <v>270</v>
      </c>
      <c r="Q66" t="s">
        <v>258</v>
      </c>
      <c r="R66" t="s">
        <v>63</v>
      </c>
      <c r="S66" s="1">
        <v>45689</v>
      </c>
      <c r="U66" t="s">
        <v>51</v>
      </c>
      <c r="X66" t="s">
        <v>52</v>
      </c>
      <c r="AF66" t="s">
        <v>64</v>
      </c>
      <c r="AG66" t="s">
        <v>53</v>
      </c>
      <c r="AJ66" t="s">
        <v>64</v>
      </c>
    </row>
    <row r="67" spans="1:36" x14ac:dyDescent="0.25">
      <c r="A67" s="1">
        <v>45700</v>
      </c>
      <c r="B67" s="1">
        <v>45700</v>
      </c>
      <c r="C67" t="s">
        <v>256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271</v>
      </c>
      <c r="J67" t="s">
        <v>272</v>
      </c>
      <c r="M67" t="s">
        <v>46</v>
      </c>
      <c r="O67" t="s">
        <v>273</v>
      </c>
      <c r="P67" t="s">
        <v>274</v>
      </c>
      <c r="Q67" t="s">
        <v>258</v>
      </c>
      <c r="R67" t="s">
        <v>50</v>
      </c>
      <c r="S67" s="1">
        <v>45658</v>
      </c>
      <c r="U67" t="s">
        <v>51</v>
      </c>
      <c r="X67" t="s">
        <v>52</v>
      </c>
      <c r="AF67" t="s">
        <v>54</v>
      </c>
      <c r="AG67" t="s">
        <v>53</v>
      </c>
      <c r="AJ67" t="s">
        <v>86</v>
      </c>
    </row>
    <row r="68" spans="1:36" x14ac:dyDescent="0.25">
      <c r="A68" s="1">
        <v>45700</v>
      </c>
      <c r="B68" s="1">
        <v>45700</v>
      </c>
      <c r="C68" t="s">
        <v>256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275</v>
      </c>
      <c r="J68" t="s">
        <v>276</v>
      </c>
      <c r="M68" t="s">
        <v>46</v>
      </c>
      <c r="O68" t="s">
        <v>208</v>
      </c>
      <c r="P68" t="s">
        <v>209</v>
      </c>
      <c r="Q68" t="s">
        <v>258</v>
      </c>
      <c r="R68" t="s">
        <v>63</v>
      </c>
      <c r="S68" s="1">
        <v>45658</v>
      </c>
      <c r="U68" t="s">
        <v>51</v>
      </c>
      <c r="X68" t="s">
        <v>52</v>
      </c>
      <c r="AF68" t="s">
        <v>64</v>
      </c>
      <c r="AG68" t="s">
        <v>53</v>
      </c>
      <c r="AJ68" t="s">
        <v>259</v>
      </c>
    </row>
    <row r="69" spans="1:36" x14ac:dyDescent="0.25">
      <c r="A69" s="1">
        <v>45700</v>
      </c>
      <c r="B69" s="1">
        <v>45700</v>
      </c>
      <c r="C69" t="s">
        <v>256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277</v>
      </c>
      <c r="J69" t="s">
        <v>278</v>
      </c>
      <c r="M69" t="s">
        <v>46</v>
      </c>
      <c r="O69" t="s">
        <v>114</v>
      </c>
      <c r="P69" t="s">
        <v>115</v>
      </c>
      <c r="Q69" t="s">
        <v>258</v>
      </c>
      <c r="R69" t="s">
        <v>63</v>
      </c>
      <c r="S69" s="1">
        <v>45658</v>
      </c>
      <c r="U69" t="s">
        <v>51</v>
      </c>
      <c r="X69" t="s">
        <v>52</v>
      </c>
      <c r="AF69" t="s">
        <v>64</v>
      </c>
      <c r="AG69" t="s">
        <v>53</v>
      </c>
      <c r="AJ69" t="s">
        <v>259</v>
      </c>
    </row>
    <row r="70" spans="1:36" x14ac:dyDescent="0.25">
      <c r="A70" s="1">
        <v>45700</v>
      </c>
      <c r="B70" s="1">
        <v>45700</v>
      </c>
      <c r="C70" t="s">
        <v>256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279</v>
      </c>
      <c r="J70" t="s">
        <v>280</v>
      </c>
      <c r="M70" t="s">
        <v>46</v>
      </c>
      <c r="O70" t="s">
        <v>114</v>
      </c>
      <c r="P70" t="s">
        <v>115</v>
      </c>
      <c r="Q70" t="s">
        <v>258</v>
      </c>
      <c r="R70" t="s">
        <v>63</v>
      </c>
      <c r="S70" s="1">
        <v>45658</v>
      </c>
      <c r="U70" t="s">
        <v>51</v>
      </c>
      <c r="X70" t="s">
        <v>52</v>
      </c>
      <c r="AF70" t="s">
        <v>64</v>
      </c>
      <c r="AG70" t="s">
        <v>53</v>
      </c>
      <c r="AJ70" t="s">
        <v>259</v>
      </c>
    </row>
    <row r="71" spans="1:36" x14ac:dyDescent="0.25">
      <c r="A71" s="1">
        <v>45700</v>
      </c>
      <c r="B71" s="1">
        <v>45700</v>
      </c>
      <c r="C71" t="s">
        <v>256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281</v>
      </c>
      <c r="J71" t="s">
        <v>282</v>
      </c>
      <c r="M71" t="s">
        <v>46</v>
      </c>
      <c r="O71" t="s">
        <v>202</v>
      </c>
      <c r="P71" t="s">
        <v>203</v>
      </c>
      <c r="Q71" t="s">
        <v>258</v>
      </c>
      <c r="R71" t="s">
        <v>110</v>
      </c>
      <c r="S71" s="1">
        <v>45658</v>
      </c>
      <c r="U71" t="s">
        <v>51</v>
      </c>
      <c r="X71" t="s">
        <v>52</v>
      </c>
      <c r="AF71" t="s">
        <v>111</v>
      </c>
      <c r="AG71" t="s">
        <v>53</v>
      </c>
      <c r="AJ71" t="s">
        <v>283</v>
      </c>
    </row>
    <row r="72" spans="1:36" x14ac:dyDescent="0.25">
      <c r="A72" s="1">
        <v>45700</v>
      </c>
      <c r="B72" s="1">
        <v>45700</v>
      </c>
      <c r="C72" t="s">
        <v>256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284</v>
      </c>
      <c r="J72" t="s">
        <v>93</v>
      </c>
      <c r="M72" t="s">
        <v>46</v>
      </c>
      <c r="O72" t="s">
        <v>94</v>
      </c>
      <c r="P72" t="s">
        <v>95</v>
      </c>
      <c r="Q72" t="s">
        <v>258</v>
      </c>
      <c r="R72" t="s">
        <v>63</v>
      </c>
      <c r="S72" s="1">
        <v>45658</v>
      </c>
      <c r="U72" t="s">
        <v>51</v>
      </c>
      <c r="X72" t="s">
        <v>52</v>
      </c>
      <c r="AF72" t="s">
        <v>64</v>
      </c>
      <c r="AG72" t="s">
        <v>53</v>
      </c>
      <c r="AJ72" t="s">
        <v>259</v>
      </c>
    </row>
    <row r="73" spans="1:36" x14ac:dyDescent="0.25">
      <c r="A73" s="1">
        <v>45700</v>
      </c>
      <c r="B73" s="1">
        <v>45700</v>
      </c>
      <c r="C73" t="s">
        <v>256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285</v>
      </c>
      <c r="J73" t="s">
        <v>139</v>
      </c>
      <c r="M73" t="s">
        <v>140</v>
      </c>
      <c r="O73" t="s">
        <v>120</v>
      </c>
      <c r="P73" t="s">
        <v>121</v>
      </c>
      <c r="Q73" t="s">
        <v>258</v>
      </c>
      <c r="R73" t="s">
        <v>286</v>
      </c>
      <c r="S73" s="1">
        <v>45689</v>
      </c>
      <c r="U73" t="s">
        <v>51</v>
      </c>
      <c r="X73" t="s">
        <v>52</v>
      </c>
      <c r="AF73" t="s">
        <v>287</v>
      </c>
      <c r="AG73" t="s">
        <v>53</v>
      </c>
      <c r="AJ73" t="s">
        <v>287</v>
      </c>
    </row>
    <row r="74" spans="1:36" x14ac:dyDescent="0.25">
      <c r="A74" s="1">
        <v>45700</v>
      </c>
      <c r="B74" s="1">
        <v>45700</v>
      </c>
      <c r="C74" t="s">
        <v>256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288</v>
      </c>
      <c r="J74" t="s">
        <v>146</v>
      </c>
      <c r="M74" t="s">
        <v>147</v>
      </c>
      <c r="O74" t="s">
        <v>94</v>
      </c>
      <c r="P74" t="s">
        <v>95</v>
      </c>
      <c r="Q74" t="s">
        <v>258</v>
      </c>
      <c r="R74" t="s">
        <v>286</v>
      </c>
      <c r="S74" s="1">
        <v>45689</v>
      </c>
      <c r="U74" t="s">
        <v>51</v>
      </c>
      <c r="X74" t="s">
        <v>52</v>
      </c>
      <c r="AF74" t="s">
        <v>287</v>
      </c>
      <c r="AG74" t="s">
        <v>53</v>
      </c>
      <c r="AJ74" t="s">
        <v>287</v>
      </c>
    </row>
    <row r="75" spans="1:36" x14ac:dyDescent="0.25">
      <c r="A75" s="1">
        <v>45700</v>
      </c>
      <c r="B75" s="1">
        <v>45700</v>
      </c>
      <c r="C75" t="s">
        <v>256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289</v>
      </c>
      <c r="J75" t="s">
        <v>150</v>
      </c>
      <c r="M75" t="s">
        <v>151</v>
      </c>
      <c r="O75" t="s">
        <v>152</v>
      </c>
      <c r="P75" t="s">
        <v>153</v>
      </c>
      <c r="Q75" t="s">
        <v>258</v>
      </c>
      <c r="R75" t="s">
        <v>286</v>
      </c>
      <c r="S75" s="1">
        <v>45689</v>
      </c>
      <c r="U75" t="s">
        <v>51</v>
      </c>
      <c r="X75" t="s">
        <v>52</v>
      </c>
      <c r="AF75" t="s">
        <v>287</v>
      </c>
      <c r="AG75" t="s">
        <v>53</v>
      </c>
      <c r="AJ75" t="s">
        <v>287</v>
      </c>
    </row>
    <row r="76" spans="1:36" x14ac:dyDescent="0.25">
      <c r="A76" s="1">
        <v>45700</v>
      </c>
      <c r="B76" s="1">
        <v>45700</v>
      </c>
      <c r="C76" t="s">
        <v>256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290</v>
      </c>
      <c r="J76" t="s">
        <v>156</v>
      </c>
      <c r="M76" t="s">
        <v>157</v>
      </c>
      <c r="O76" t="s">
        <v>158</v>
      </c>
      <c r="P76" t="s">
        <v>159</v>
      </c>
      <c r="Q76" t="s">
        <v>258</v>
      </c>
      <c r="R76" t="s">
        <v>286</v>
      </c>
      <c r="S76" s="1">
        <v>45689</v>
      </c>
      <c r="U76" t="s">
        <v>51</v>
      </c>
      <c r="X76" t="s">
        <v>52</v>
      </c>
      <c r="AF76" t="s">
        <v>287</v>
      </c>
      <c r="AG76" t="s">
        <v>53</v>
      </c>
      <c r="AJ76" t="s">
        <v>287</v>
      </c>
    </row>
    <row r="77" spans="1:36" x14ac:dyDescent="0.25">
      <c r="A77" s="1">
        <v>45700</v>
      </c>
      <c r="B77" s="1">
        <v>45700</v>
      </c>
      <c r="C77" t="s">
        <v>256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291</v>
      </c>
      <c r="J77" t="s">
        <v>162</v>
      </c>
      <c r="M77" t="s">
        <v>140</v>
      </c>
      <c r="O77" t="s">
        <v>163</v>
      </c>
      <c r="P77" t="s">
        <v>164</v>
      </c>
      <c r="Q77" t="s">
        <v>258</v>
      </c>
      <c r="R77" t="s">
        <v>286</v>
      </c>
      <c r="S77" s="1">
        <v>45689</v>
      </c>
      <c r="U77" t="s">
        <v>51</v>
      </c>
      <c r="X77" t="s">
        <v>52</v>
      </c>
      <c r="AF77" t="s">
        <v>287</v>
      </c>
      <c r="AG77" t="s">
        <v>53</v>
      </c>
      <c r="AJ77" t="s">
        <v>287</v>
      </c>
    </row>
    <row r="78" spans="1:36" x14ac:dyDescent="0.25">
      <c r="A78" s="1">
        <v>45700</v>
      </c>
      <c r="B78" s="1">
        <v>45700</v>
      </c>
      <c r="C78" t="s">
        <v>256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292</v>
      </c>
      <c r="J78" t="s">
        <v>293</v>
      </c>
      <c r="M78" t="s">
        <v>187</v>
      </c>
      <c r="O78" t="s">
        <v>294</v>
      </c>
      <c r="P78" t="s">
        <v>295</v>
      </c>
      <c r="Q78" t="s">
        <v>258</v>
      </c>
      <c r="R78" t="s">
        <v>190</v>
      </c>
      <c r="S78" s="1">
        <v>45658</v>
      </c>
      <c r="U78" t="s">
        <v>51</v>
      </c>
      <c r="X78" t="s">
        <v>52</v>
      </c>
      <c r="AF78" t="s">
        <v>191</v>
      </c>
      <c r="AG78" t="s">
        <v>53</v>
      </c>
      <c r="AJ78" t="s">
        <v>191</v>
      </c>
    </row>
    <row r="79" spans="1:36" x14ac:dyDescent="0.25">
      <c r="A79" s="1">
        <v>45700</v>
      </c>
      <c r="B79" s="1">
        <v>45700</v>
      </c>
      <c r="C79" t="s">
        <v>256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296</v>
      </c>
      <c r="J79" t="s">
        <v>297</v>
      </c>
      <c r="M79" t="s">
        <v>184</v>
      </c>
      <c r="O79" t="s">
        <v>175</v>
      </c>
      <c r="P79" t="s">
        <v>176</v>
      </c>
      <c r="Q79" t="s">
        <v>258</v>
      </c>
      <c r="R79" t="s">
        <v>190</v>
      </c>
      <c r="S79" s="1">
        <v>45658</v>
      </c>
      <c r="U79" t="s">
        <v>51</v>
      </c>
      <c r="X79" t="s">
        <v>52</v>
      </c>
      <c r="AF79" t="s">
        <v>191</v>
      </c>
      <c r="AG79" t="s">
        <v>53</v>
      </c>
      <c r="AJ79" t="s">
        <v>191</v>
      </c>
    </row>
    <row r="80" spans="1:36" x14ac:dyDescent="0.25">
      <c r="A80" s="1">
        <v>45700</v>
      </c>
      <c r="B80" s="1">
        <v>45700</v>
      </c>
      <c r="C80" t="s">
        <v>256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298</v>
      </c>
      <c r="J80" t="s">
        <v>299</v>
      </c>
      <c r="M80" t="s">
        <v>157</v>
      </c>
      <c r="O80" t="s">
        <v>219</v>
      </c>
      <c r="P80" t="s">
        <v>220</v>
      </c>
      <c r="Q80" t="s">
        <v>258</v>
      </c>
      <c r="R80" t="s">
        <v>190</v>
      </c>
      <c r="S80" s="1">
        <v>45689</v>
      </c>
      <c r="U80" t="s">
        <v>51</v>
      </c>
      <c r="X80" t="s">
        <v>52</v>
      </c>
      <c r="AF80" t="s">
        <v>191</v>
      </c>
      <c r="AG80" t="s">
        <v>53</v>
      </c>
      <c r="AJ80" t="s">
        <v>191</v>
      </c>
    </row>
    <row r="81" spans="1:36" x14ac:dyDescent="0.25">
      <c r="A81" s="1">
        <v>45700</v>
      </c>
      <c r="B81" s="1">
        <v>45700</v>
      </c>
      <c r="C81" t="s">
        <v>256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300</v>
      </c>
      <c r="J81" t="s">
        <v>235</v>
      </c>
      <c r="M81" t="s">
        <v>140</v>
      </c>
      <c r="O81" t="s">
        <v>61</v>
      </c>
      <c r="P81" t="s">
        <v>62</v>
      </c>
      <c r="Q81" t="s">
        <v>258</v>
      </c>
      <c r="R81" t="s">
        <v>301</v>
      </c>
      <c r="S81" s="1">
        <v>45658</v>
      </c>
      <c r="U81" t="s">
        <v>51</v>
      </c>
      <c r="X81" t="s">
        <v>52</v>
      </c>
      <c r="AF81" t="s">
        <v>302</v>
      </c>
      <c r="AG81" t="s">
        <v>53</v>
      </c>
      <c r="AJ81" t="s">
        <v>302</v>
      </c>
    </row>
    <row r="82" spans="1:36" x14ac:dyDescent="0.25">
      <c r="A82" s="1">
        <v>45700</v>
      </c>
      <c r="B82" s="1">
        <v>45700</v>
      </c>
      <c r="C82" t="s">
        <v>256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303</v>
      </c>
      <c r="J82" t="s">
        <v>235</v>
      </c>
      <c r="M82" t="s">
        <v>140</v>
      </c>
      <c r="O82" t="s">
        <v>61</v>
      </c>
      <c r="P82" t="s">
        <v>62</v>
      </c>
      <c r="Q82" t="s">
        <v>258</v>
      </c>
      <c r="R82" t="s">
        <v>304</v>
      </c>
      <c r="S82" s="1">
        <v>45658</v>
      </c>
      <c r="U82" t="s">
        <v>51</v>
      </c>
      <c r="X82" t="s">
        <v>52</v>
      </c>
      <c r="AF82" t="s">
        <v>305</v>
      </c>
      <c r="AG82" t="s">
        <v>53</v>
      </c>
      <c r="AJ82" t="s">
        <v>305</v>
      </c>
    </row>
    <row r="83" spans="1:36" x14ac:dyDescent="0.25">
      <c r="A83" s="1">
        <v>45700</v>
      </c>
      <c r="B83" s="1">
        <v>45700</v>
      </c>
      <c r="C83" t="s">
        <v>256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306</v>
      </c>
      <c r="J83" t="s">
        <v>238</v>
      </c>
      <c r="M83" t="s">
        <v>140</v>
      </c>
      <c r="O83" t="s">
        <v>61</v>
      </c>
      <c r="P83" t="s">
        <v>62</v>
      </c>
      <c r="Q83" t="s">
        <v>258</v>
      </c>
      <c r="R83" t="s">
        <v>301</v>
      </c>
      <c r="S83" s="1">
        <v>45689</v>
      </c>
      <c r="U83" t="s">
        <v>51</v>
      </c>
      <c r="X83" t="s">
        <v>52</v>
      </c>
      <c r="AF83" t="s">
        <v>307</v>
      </c>
      <c r="AG83" t="s">
        <v>53</v>
      </c>
      <c r="AJ83" t="s">
        <v>307</v>
      </c>
    </row>
    <row r="84" spans="1:36" x14ac:dyDescent="0.25">
      <c r="A84" s="1">
        <v>45700</v>
      </c>
      <c r="B84" s="1">
        <v>45700</v>
      </c>
      <c r="C84" t="s">
        <v>256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308</v>
      </c>
      <c r="J84" t="s">
        <v>309</v>
      </c>
      <c r="M84" t="s">
        <v>179</v>
      </c>
      <c r="O84" t="s">
        <v>195</v>
      </c>
      <c r="P84" t="s">
        <v>196</v>
      </c>
      <c r="Q84" t="s">
        <v>258</v>
      </c>
      <c r="R84" t="s">
        <v>301</v>
      </c>
      <c r="S84" s="1">
        <v>45658</v>
      </c>
      <c r="U84" t="s">
        <v>51</v>
      </c>
      <c r="X84" t="s">
        <v>52</v>
      </c>
      <c r="AF84" t="s">
        <v>302</v>
      </c>
      <c r="AG84" t="s">
        <v>53</v>
      </c>
      <c r="AJ84" t="s">
        <v>302</v>
      </c>
    </row>
    <row r="85" spans="1:36" x14ac:dyDescent="0.25">
      <c r="A85" s="1">
        <v>45700</v>
      </c>
      <c r="B85" s="1">
        <v>45700</v>
      </c>
      <c r="C85" t="s">
        <v>256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310</v>
      </c>
      <c r="J85" t="s">
        <v>309</v>
      </c>
      <c r="M85" t="s">
        <v>179</v>
      </c>
      <c r="O85" t="s">
        <v>195</v>
      </c>
      <c r="P85" t="s">
        <v>196</v>
      </c>
      <c r="Q85" t="s">
        <v>258</v>
      </c>
      <c r="R85" t="s">
        <v>304</v>
      </c>
      <c r="S85" s="1">
        <v>45658</v>
      </c>
      <c r="U85" t="s">
        <v>51</v>
      </c>
      <c r="X85" t="s">
        <v>52</v>
      </c>
      <c r="AF85" t="s">
        <v>305</v>
      </c>
      <c r="AG85" t="s">
        <v>53</v>
      </c>
      <c r="AJ85" t="s">
        <v>305</v>
      </c>
    </row>
    <row r="86" spans="1:36" x14ac:dyDescent="0.25">
      <c r="A86" s="1">
        <v>45700</v>
      </c>
      <c r="B86" s="1">
        <v>45700</v>
      </c>
      <c r="C86" t="s">
        <v>256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311</v>
      </c>
      <c r="J86" t="s">
        <v>312</v>
      </c>
      <c r="M86" t="s">
        <v>313</v>
      </c>
      <c r="O86" t="s">
        <v>77</v>
      </c>
      <c r="P86" t="s">
        <v>78</v>
      </c>
      <c r="Q86" t="s">
        <v>258</v>
      </c>
      <c r="R86" t="s">
        <v>301</v>
      </c>
      <c r="S86" s="1">
        <v>45658</v>
      </c>
      <c r="U86" t="s">
        <v>51</v>
      </c>
      <c r="X86" t="s">
        <v>52</v>
      </c>
      <c r="AF86" t="s">
        <v>302</v>
      </c>
      <c r="AG86" t="s">
        <v>53</v>
      </c>
      <c r="AJ86" t="s">
        <v>302</v>
      </c>
    </row>
    <row r="87" spans="1:36" x14ac:dyDescent="0.25">
      <c r="A87" s="1">
        <v>45700</v>
      </c>
      <c r="B87" s="1">
        <v>45700</v>
      </c>
      <c r="C87" t="s">
        <v>256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314</v>
      </c>
      <c r="J87" t="s">
        <v>312</v>
      </c>
      <c r="M87" t="s">
        <v>313</v>
      </c>
      <c r="O87" t="s">
        <v>77</v>
      </c>
      <c r="P87" t="s">
        <v>78</v>
      </c>
      <c r="Q87" t="s">
        <v>258</v>
      </c>
      <c r="R87" t="s">
        <v>304</v>
      </c>
      <c r="S87" s="1">
        <v>45658</v>
      </c>
      <c r="U87" t="s">
        <v>51</v>
      </c>
      <c r="X87" t="s">
        <v>52</v>
      </c>
      <c r="AF87" t="s">
        <v>305</v>
      </c>
      <c r="AG87" t="s">
        <v>53</v>
      </c>
      <c r="AJ87" t="s">
        <v>305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63BA-ADFF-8C49-B90C-3CE33F4CFFF8}">
  <dimension ref="A1:Q81"/>
  <sheetViews>
    <sheetView tabSelected="1" topLeftCell="A52" workbookViewId="0">
      <selection activeCell="H87" sqref="H87"/>
    </sheetView>
  </sheetViews>
  <sheetFormatPr defaultColWidth="10.875" defaultRowHeight="15.75" x14ac:dyDescent="0.25"/>
  <cols>
    <col min="1" max="1" width="19" style="3" bestFit="1" customWidth="1"/>
    <col min="2" max="2" width="19" style="3" customWidth="1"/>
    <col min="3" max="3" width="24" bestFit="1" customWidth="1"/>
    <col min="4" max="4" width="7.5" bestFit="1" customWidth="1"/>
    <col min="5" max="5" width="5.5" bestFit="1" customWidth="1"/>
    <col min="6" max="6" width="14" style="9" bestFit="1" customWidth="1"/>
    <col min="7" max="7" width="24.5" bestFit="1" customWidth="1"/>
    <col min="8" max="8" width="48.875" bestFit="1" customWidth="1"/>
    <col min="9" max="9" width="9.625" bestFit="1" customWidth="1"/>
    <col min="10" max="10" width="13" bestFit="1" customWidth="1"/>
    <col min="11" max="11" width="16.875" bestFit="1" customWidth="1"/>
    <col min="12" max="12" width="14.625" bestFit="1" customWidth="1"/>
    <col min="13" max="14" width="15.375" bestFit="1" customWidth="1"/>
    <col min="15" max="15" width="16.375" bestFit="1" customWidth="1"/>
    <col min="16" max="16" width="36" bestFit="1" customWidth="1"/>
  </cols>
  <sheetData>
    <row r="1" spans="1:16" x14ac:dyDescent="0.25">
      <c r="A1" s="3" t="s">
        <v>8</v>
      </c>
      <c r="C1" t="s">
        <v>9</v>
      </c>
      <c r="D1" t="s">
        <v>10</v>
      </c>
      <c r="E1" t="s">
        <v>12</v>
      </c>
      <c r="F1" s="9" t="s">
        <v>14</v>
      </c>
      <c r="G1" t="s">
        <v>15</v>
      </c>
      <c r="H1" t="s">
        <v>17</v>
      </c>
      <c r="I1" t="s">
        <v>18</v>
      </c>
      <c r="J1" t="s">
        <v>20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37</v>
      </c>
    </row>
    <row r="2" spans="1:16" x14ac:dyDescent="0.25">
      <c r="A2" s="3">
        <v>102012084600</v>
      </c>
      <c r="B2" s="3" t="str">
        <f>CONCATENATE(A2,9)</f>
        <v>1020120846009</v>
      </c>
      <c r="C2" t="s">
        <v>186</v>
      </c>
      <c r="E2" t="s">
        <v>187</v>
      </c>
      <c r="F2" s="9">
        <v>20411454</v>
      </c>
      <c r="G2" t="s">
        <v>383</v>
      </c>
      <c r="H2" t="s">
        <v>190</v>
      </c>
      <c r="I2" s="1">
        <v>45658</v>
      </c>
      <c r="J2" t="s">
        <v>51</v>
      </c>
      <c r="K2" t="s">
        <v>53</v>
      </c>
      <c r="L2" t="s">
        <v>191</v>
      </c>
      <c r="M2">
        <v>1</v>
      </c>
      <c r="N2" s="2">
        <v>1</v>
      </c>
      <c r="O2">
        <v>50</v>
      </c>
      <c r="P2" t="s">
        <v>373</v>
      </c>
    </row>
    <row r="3" spans="1:16" x14ac:dyDescent="0.25">
      <c r="A3" s="3" t="s">
        <v>363</v>
      </c>
      <c r="B3" s="3" t="str">
        <f t="shared" ref="B3:B56" si="0">CONCATENATE(A3,9)</f>
        <v>101936905100CB9</v>
      </c>
      <c r="C3" t="s">
        <v>293</v>
      </c>
      <c r="E3" t="s">
        <v>187</v>
      </c>
      <c r="F3" s="9">
        <v>20411454</v>
      </c>
      <c r="G3" t="s">
        <v>383</v>
      </c>
      <c r="H3" t="s">
        <v>190</v>
      </c>
      <c r="I3" s="1">
        <v>45658</v>
      </c>
      <c r="J3" t="s">
        <v>51</v>
      </c>
      <c r="O3">
        <v>-50</v>
      </c>
      <c r="P3" t="s">
        <v>373</v>
      </c>
    </row>
    <row r="4" spans="1:16" x14ac:dyDescent="0.25">
      <c r="A4" s="3" t="s">
        <v>364</v>
      </c>
      <c r="B4" s="3" t="str">
        <f t="shared" si="0"/>
        <v>102110099600CB9</v>
      </c>
      <c r="C4" t="s">
        <v>297</v>
      </c>
      <c r="E4" t="s">
        <v>184</v>
      </c>
      <c r="F4" s="9">
        <v>20411454</v>
      </c>
      <c r="G4" t="s">
        <v>383</v>
      </c>
      <c r="H4" t="s">
        <v>190</v>
      </c>
      <c r="I4" s="1">
        <v>45658</v>
      </c>
      <c r="J4" t="s">
        <v>51</v>
      </c>
      <c r="O4">
        <v>-50</v>
      </c>
      <c r="P4" t="s">
        <v>373</v>
      </c>
    </row>
    <row r="5" spans="1:16" x14ac:dyDescent="0.25">
      <c r="A5" s="3" t="s">
        <v>365</v>
      </c>
      <c r="B5" s="3" t="str">
        <f t="shared" si="0"/>
        <v>102112669400CB9</v>
      </c>
      <c r="C5" t="s">
        <v>299</v>
      </c>
      <c r="E5" t="s">
        <v>157</v>
      </c>
      <c r="F5" s="9">
        <v>20411454</v>
      </c>
      <c r="G5" t="s">
        <v>383</v>
      </c>
      <c r="H5" t="s">
        <v>190</v>
      </c>
      <c r="I5" s="1">
        <v>45689</v>
      </c>
      <c r="J5" t="s">
        <v>51</v>
      </c>
      <c r="O5">
        <v>-50</v>
      </c>
      <c r="P5" t="s">
        <v>373</v>
      </c>
    </row>
    <row r="6" spans="1:16" x14ac:dyDescent="0.25">
      <c r="A6" s="3">
        <v>101068686100</v>
      </c>
      <c r="B6" s="3" t="str">
        <f t="shared" si="0"/>
        <v>1010686861009</v>
      </c>
      <c r="C6" t="s">
        <v>167</v>
      </c>
      <c r="E6" t="s">
        <v>157</v>
      </c>
      <c r="F6" s="9">
        <v>20411454</v>
      </c>
      <c r="G6" t="s">
        <v>383</v>
      </c>
      <c r="H6" t="s">
        <v>170</v>
      </c>
      <c r="I6" s="1">
        <v>45689</v>
      </c>
      <c r="J6" t="s">
        <v>51</v>
      </c>
      <c r="K6" t="s">
        <v>53</v>
      </c>
      <c r="L6" t="s">
        <v>171</v>
      </c>
      <c r="M6">
        <v>1</v>
      </c>
      <c r="N6" s="2">
        <v>1</v>
      </c>
      <c r="O6">
        <v>45.83</v>
      </c>
      <c r="P6" t="s">
        <v>373</v>
      </c>
    </row>
    <row r="7" spans="1:16" x14ac:dyDescent="0.25">
      <c r="A7" s="3">
        <v>101189698400</v>
      </c>
      <c r="B7" s="3" t="str">
        <f t="shared" si="0"/>
        <v>1011896984009</v>
      </c>
      <c r="C7" t="s">
        <v>174</v>
      </c>
      <c r="E7" t="s">
        <v>140</v>
      </c>
      <c r="F7" s="9">
        <v>20411454</v>
      </c>
      <c r="G7" t="s">
        <v>383</v>
      </c>
      <c r="H7" t="s">
        <v>170</v>
      </c>
      <c r="I7" s="1">
        <v>45689</v>
      </c>
      <c r="J7" t="s">
        <v>51</v>
      </c>
      <c r="K7" t="s">
        <v>53</v>
      </c>
      <c r="L7" t="s">
        <v>171</v>
      </c>
      <c r="M7">
        <v>1</v>
      </c>
      <c r="N7" s="2">
        <v>1</v>
      </c>
      <c r="O7">
        <v>45.83</v>
      </c>
      <c r="P7" t="s">
        <v>373</v>
      </c>
    </row>
    <row r="8" spans="1:16" x14ac:dyDescent="0.25">
      <c r="A8" s="3">
        <v>101873362500</v>
      </c>
      <c r="B8" s="3" t="str">
        <f t="shared" si="0"/>
        <v>1018733625009</v>
      </c>
      <c r="C8" t="s">
        <v>178</v>
      </c>
      <c r="E8" t="s">
        <v>179</v>
      </c>
      <c r="F8" s="9">
        <v>20411454</v>
      </c>
      <c r="G8" t="s">
        <v>383</v>
      </c>
      <c r="H8" t="s">
        <v>170</v>
      </c>
      <c r="I8" s="1">
        <v>45689</v>
      </c>
      <c r="J8" t="s">
        <v>51</v>
      </c>
      <c r="K8" t="s">
        <v>53</v>
      </c>
      <c r="L8" t="s">
        <v>171</v>
      </c>
      <c r="M8">
        <v>1</v>
      </c>
      <c r="N8" s="2">
        <v>1</v>
      </c>
      <c r="O8">
        <v>45.83</v>
      </c>
      <c r="P8" t="s">
        <v>373</v>
      </c>
    </row>
    <row r="9" spans="1:16" x14ac:dyDescent="0.25">
      <c r="A9" s="3">
        <v>101932066200</v>
      </c>
      <c r="B9" s="3" t="str">
        <f t="shared" si="0"/>
        <v>1019320662009</v>
      </c>
      <c r="C9" t="s">
        <v>183</v>
      </c>
      <c r="E9" t="s">
        <v>184</v>
      </c>
      <c r="F9" s="9">
        <v>20411454</v>
      </c>
      <c r="G9" t="s">
        <v>383</v>
      </c>
      <c r="H9" t="s">
        <v>170</v>
      </c>
      <c r="I9" s="1">
        <v>45689</v>
      </c>
      <c r="J9" t="s">
        <v>51</v>
      </c>
      <c r="K9" t="s">
        <v>53</v>
      </c>
      <c r="L9" t="s">
        <v>171</v>
      </c>
      <c r="M9">
        <v>1</v>
      </c>
      <c r="N9" s="2">
        <v>1</v>
      </c>
      <c r="O9">
        <v>45.83</v>
      </c>
      <c r="P9" t="s">
        <v>373</v>
      </c>
    </row>
    <row r="10" spans="1:16" x14ac:dyDescent="0.25">
      <c r="A10" s="3">
        <v>102140905600</v>
      </c>
      <c r="B10" s="3" t="str">
        <f t="shared" si="0"/>
        <v>1021409056009</v>
      </c>
      <c r="C10" t="s">
        <v>199</v>
      </c>
      <c r="E10" t="s">
        <v>140</v>
      </c>
      <c r="F10" s="9">
        <v>20411454</v>
      </c>
      <c r="G10" t="s">
        <v>383</v>
      </c>
      <c r="H10" t="s">
        <v>170</v>
      </c>
      <c r="I10" s="1">
        <v>45689</v>
      </c>
      <c r="J10" t="s">
        <v>51</v>
      </c>
      <c r="K10" t="s">
        <v>53</v>
      </c>
      <c r="L10" t="s">
        <v>171</v>
      </c>
      <c r="M10">
        <v>1</v>
      </c>
      <c r="N10" s="2">
        <v>1</v>
      </c>
      <c r="O10">
        <v>45.83</v>
      </c>
      <c r="P10" t="s">
        <v>373</v>
      </c>
    </row>
    <row r="11" spans="1:16" x14ac:dyDescent="0.25">
      <c r="A11" s="3">
        <v>102141040100</v>
      </c>
      <c r="B11" s="3" t="str">
        <f t="shared" si="0"/>
        <v>1021410401009</v>
      </c>
      <c r="C11" t="s">
        <v>201</v>
      </c>
      <c r="E11" t="s">
        <v>184</v>
      </c>
      <c r="F11" s="9">
        <v>20411454</v>
      </c>
      <c r="G11" t="s">
        <v>383</v>
      </c>
      <c r="H11" t="s">
        <v>170</v>
      </c>
      <c r="I11" s="1">
        <v>45717</v>
      </c>
      <c r="J11" t="s">
        <v>51</v>
      </c>
      <c r="K11" t="s">
        <v>53</v>
      </c>
      <c r="L11" t="s">
        <v>204</v>
      </c>
      <c r="M11">
        <v>1</v>
      </c>
      <c r="N11" s="2">
        <v>1</v>
      </c>
      <c r="O11">
        <v>41.67</v>
      </c>
      <c r="P11" t="s">
        <v>373</v>
      </c>
    </row>
    <row r="12" spans="1:16" x14ac:dyDescent="0.25">
      <c r="A12" s="3">
        <v>102141057700</v>
      </c>
      <c r="B12" s="3" t="str">
        <f t="shared" si="0"/>
        <v>1021410577009</v>
      </c>
      <c r="C12" t="s">
        <v>207</v>
      </c>
      <c r="E12" t="s">
        <v>140</v>
      </c>
      <c r="F12" s="9">
        <v>20411454</v>
      </c>
      <c r="G12" t="s">
        <v>383</v>
      </c>
      <c r="H12" t="s">
        <v>170</v>
      </c>
      <c r="I12" s="1">
        <v>45689</v>
      </c>
      <c r="J12" t="s">
        <v>51</v>
      </c>
      <c r="K12" t="s">
        <v>53</v>
      </c>
      <c r="L12" t="s">
        <v>171</v>
      </c>
      <c r="M12">
        <v>1</v>
      </c>
      <c r="N12" s="2">
        <v>1</v>
      </c>
      <c r="O12">
        <v>45.83</v>
      </c>
      <c r="P12" t="s">
        <v>373</v>
      </c>
    </row>
    <row r="13" spans="1:16" x14ac:dyDescent="0.25">
      <c r="A13" s="3">
        <v>102141630900</v>
      </c>
      <c r="B13" s="3" t="str">
        <f t="shared" si="0"/>
        <v>1021416309009</v>
      </c>
      <c r="C13" t="s">
        <v>211</v>
      </c>
      <c r="E13" t="s">
        <v>212</v>
      </c>
      <c r="F13" s="9">
        <v>20411454</v>
      </c>
      <c r="G13" t="s">
        <v>383</v>
      </c>
      <c r="H13" t="s">
        <v>170</v>
      </c>
      <c r="I13" s="1">
        <v>45689</v>
      </c>
      <c r="J13" t="s">
        <v>51</v>
      </c>
      <c r="K13" t="s">
        <v>53</v>
      </c>
      <c r="L13" t="s">
        <v>171</v>
      </c>
      <c r="M13">
        <v>1</v>
      </c>
      <c r="N13" s="2">
        <v>1</v>
      </c>
      <c r="O13">
        <v>45.83</v>
      </c>
      <c r="P13" t="s">
        <v>373</v>
      </c>
    </row>
    <row r="14" spans="1:16" x14ac:dyDescent="0.25">
      <c r="A14" s="3">
        <v>102141815600</v>
      </c>
      <c r="B14" s="3" t="str">
        <f t="shared" si="0"/>
        <v>1021418156009</v>
      </c>
      <c r="C14" t="s">
        <v>214</v>
      </c>
      <c r="E14" t="s">
        <v>140</v>
      </c>
      <c r="F14" s="9">
        <v>20411454</v>
      </c>
      <c r="G14" t="s">
        <v>383</v>
      </c>
      <c r="H14" t="s">
        <v>170</v>
      </c>
      <c r="I14" s="1">
        <v>45689</v>
      </c>
      <c r="J14" t="s">
        <v>51</v>
      </c>
      <c r="K14" t="s">
        <v>53</v>
      </c>
      <c r="L14" t="s">
        <v>171</v>
      </c>
      <c r="M14">
        <v>1</v>
      </c>
      <c r="N14" s="2">
        <v>1</v>
      </c>
      <c r="O14">
        <v>45.83</v>
      </c>
      <c r="P14" t="s">
        <v>373</v>
      </c>
    </row>
    <row r="15" spans="1:16" x14ac:dyDescent="0.25">
      <c r="A15" s="3">
        <v>102142297000</v>
      </c>
      <c r="B15" s="3" t="str">
        <f t="shared" si="0"/>
        <v>1021422970009</v>
      </c>
      <c r="C15" t="s">
        <v>216</v>
      </c>
      <c r="E15" t="s">
        <v>179</v>
      </c>
      <c r="F15" s="9">
        <v>20411454</v>
      </c>
      <c r="G15" t="s">
        <v>383</v>
      </c>
      <c r="H15" t="s">
        <v>170</v>
      </c>
      <c r="I15" s="1">
        <v>45689</v>
      </c>
      <c r="J15" t="s">
        <v>51</v>
      </c>
      <c r="K15" t="s">
        <v>53</v>
      </c>
      <c r="L15" t="s">
        <v>171</v>
      </c>
      <c r="M15">
        <v>1</v>
      </c>
      <c r="N15" s="2">
        <v>1</v>
      </c>
      <c r="O15">
        <v>45.83</v>
      </c>
      <c r="P15" t="s">
        <v>373</v>
      </c>
    </row>
    <row r="16" spans="1:16" x14ac:dyDescent="0.25">
      <c r="A16" s="3">
        <v>102142338300</v>
      </c>
      <c r="B16" s="3" t="str">
        <f t="shared" si="0"/>
        <v>1021423383009</v>
      </c>
      <c r="C16" t="s">
        <v>218</v>
      </c>
      <c r="E16" t="s">
        <v>157</v>
      </c>
      <c r="F16" s="9">
        <v>20411454</v>
      </c>
      <c r="G16" t="s">
        <v>383</v>
      </c>
      <c r="H16" t="s">
        <v>170</v>
      </c>
      <c r="I16" s="1">
        <v>45689</v>
      </c>
      <c r="J16" t="s">
        <v>51</v>
      </c>
      <c r="K16" t="s">
        <v>53</v>
      </c>
      <c r="L16" t="s">
        <v>171</v>
      </c>
      <c r="M16">
        <v>1</v>
      </c>
      <c r="N16" s="2">
        <v>1</v>
      </c>
      <c r="O16">
        <v>45.83</v>
      </c>
      <c r="P16" t="s">
        <v>373</v>
      </c>
    </row>
    <row r="17" spans="1:16" x14ac:dyDescent="0.25">
      <c r="A17" s="3">
        <v>102142380900</v>
      </c>
      <c r="B17" s="3" t="str">
        <f t="shared" si="0"/>
        <v>1021423809009</v>
      </c>
      <c r="C17" t="s">
        <v>222</v>
      </c>
      <c r="E17" t="s">
        <v>157</v>
      </c>
      <c r="F17" s="9">
        <v>20411454</v>
      </c>
      <c r="G17" t="s">
        <v>383</v>
      </c>
      <c r="H17" t="s">
        <v>170</v>
      </c>
      <c r="I17" s="1">
        <v>45689</v>
      </c>
      <c r="J17" t="s">
        <v>51</v>
      </c>
      <c r="K17" t="s">
        <v>53</v>
      </c>
      <c r="L17" t="s">
        <v>171</v>
      </c>
      <c r="M17">
        <v>1</v>
      </c>
      <c r="N17" s="2">
        <v>1</v>
      </c>
      <c r="O17">
        <v>45.83</v>
      </c>
      <c r="P17" t="s">
        <v>373</v>
      </c>
    </row>
    <row r="18" spans="1:16" x14ac:dyDescent="0.25">
      <c r="A18" s="3">
        <v>102142435900</v>
      </c>
      <c r="B18" s="3" t="str">
        <f t="shared" si="0"/>
        <v>1021424359009</v>
      </c>
      <c r="C18" t="s">
        <v>224</v>
      </c>
      <c r="E18" t="s">
        <v>140</v>
      </c>
      <c r="F18" s="9">
        <v>20411454</v>
      </c>
      <c r="G18" t="s">
        <v>383</v>
      </c>
      <c r="H18" t="s">
        <v>170</v>
      </c>
      <c r="I18" s="1">
        <v>45689</v>
      </c>
      <c r="J18" t="s">
        <v>51</v>
      </c>
      <c r="K18" t="s">
        <v>53</v>
      </c>
      <c r="L18" t="s">
        <v>171</v>
      </c>
      <c r="M18">
        <v>1</v>
      </c>
      <c r="N18" s="2">
        <v>1</v>
      </c>
      <c r="O18">
        <v>45.83</v>
      </c>
      <c r="P18" t="s">
        <v>373</v>
      </c>
    </row>
    <row r="19" spans="1:16" x14ac:dyDescent="0.25">
      <c r="A19" s="3">
        <v>102082153100</v>
      </c>
      <c r="B19" s="3" t="str">
        <f t="shared" si="0"/>
        <v>1020821531009</v>
      </c>
      <c r="C19" t="s">
        <v>193</v>
      </c>
      <c r="E19" t="s">
        <v>194</v>
      </c>
      <c r="F19" s="9">
        <v>20411454</v>
      </c>
      <c r="G19" t="s">
        <v>383</v>
      </c>
      <c r="H19" t="s">
        <v>197</v>
      </c>
      <c r="I19" s="1">
        <v>45689</v>
      </c>
      <c r="J19" t="s">
        <v>51</v>
      </c>
      <c r="K19" t="s">
        <v>53</v>
      </c>
      <c r="L19" t="s">
        <v>171</v>
      </c>
      <c r="M19">
        <v>1</v>
      </c>
      <c r="N19" s="2">
        <v>1</v>
      </c>
      <c r="O19">
        <v>45.83</v>
      </c>
      <c r="P19" t="s">
        <v>373</v>
      </c>
    </row>
    <row r="20" spans="1:16" x14ac:dyDescent="0.25">
      <c r="A20" s="3" t="s">
        <v>317</v>
      </c>
      <c r="B20" s="3" t="str">
        <f t="shared" si="0"/>
        <v>00008139476K9</v>
      </c>
      <c r="C20" t="s">
        <v>60</v>
      </c>
      <c r="E20" t="s">
        <v>46</v>
      </c>
      <c r="F20" s="9">
        <v>20411454</v>
      </c>
      <c r="G20" t="s">
        <v>383</v>
      </c>
      <c r="H20" t="s">
        <v>63</v>
      </c>
      <c r="I20" s="1">
        <v>45689</v>
      </c>
      <c r="J20" t="s">
        <v>51</v>
      </c>
      <c r="K20" t="s">
        <v>53</v>
      </c>
      <c r="L20" t="s">
        <v>64</v>
      </c>
      <c r="M20">
        <v>1</v>
      </c>
      <c r="N20" s="2">
        <v>1</v>
      </c>
      <c r="O20">
        <v>175</v>
      </c>
      <c r="P20" t="s">
        <v>374</v>
      </c>
    </row>
    <row r="21" spans="1:16" x14ac:dyDescent="0.25">
      <c r="A21" s="3" t="s">
        <v>318</v>
      </c>
      <c r="B21" s="3" t="str">
        <f t="shared" si="0"/>
        <v>00011747317K9</v>
      </c>
      <c r="C21" t="s">
        <v>66</v>
      </c>
      <c r="E21" t="s">
        <v>46</v>
      </c>
      <c r="F21" s="9">
        <v>20411454</v>
      </c>
      <c r="G21" t="s">
        <v>383</v>
      </c>
      <c r="H21" t="s">
        <v>63</v>
      </c>
      <c r="I21" s="1">
        <v>45689</v>
      </c>
      <c r="J21" t="s">
        <v>51</v>
      </c>
      <c r="K21" t="s">
        <v>53</v>
      </c>
      <c r="L21" t="s">
        <v>64</v>
      </c>
      <c r="M21">
        <v>1</v>
      </c>
      <c r="N21" s="2">
        <v>1</v>
      </c>
      <c r="O21">
        <v>175</v>
      </c>
      <c r="P21" t="s">
        <v>374</v>
      </c>
    </row>
    <row r="22" spans="1:16" x14ac:dyDescent="0.25">
      <c r="A22" s="3" t="s">
        <v>319</v>
      </c>
      <c r="B22" s="3" t="str">
        <f t="shared" si="0"/>
        <v>00015867030K9</v>
      </c>
      <c r="C22" t="s">
        <v>70</v>
      </c>
      <c r="E22" t="s">
        <v>46</v>
      </c>
      <c r="F22" s="9">
        <v>20411454</v>
      </c>
      <c r="G22" t="s">
        <v>383</v>
      </c>
      <c r="H22" t="s">
        <v>63</v>
      </c>
      <c r="I22" s="1">
        <v>45689</v>
      </c>
      <c r="J22" t="s">
        <v>51</v>
      </c>
      <c r="K22" t="s">
        <v>53</v>
      </c>
      <c r="L22" t="s">
        <v>64</v>
      </c>
      <c r="M22">
        <v>1</v>
      </c>
      <c r="N22" s="2">
        <v>1</v>
      </c>
      <c r="O22">
        <v>175</v>
      </c>
      <c r="P22" t="s">
        <v>374</v>
      </c>
    </row>
    <row r="23" spans="1:16" x14ac:dyDescent="0.25">
      <c r="A23" s="3" t="s">
        <v>320</v>
      </c>
      <c r="B23" s="3" t="str">
        <f t="shared" si="0"/>
        <v>00016333789K9</v>
      </c>
      <c r="C23" t="s">
        <v>74</v>
      </c>
      <c r="E23" t="s">
        <v>46</v>
      </c>
      <c r="F23" s="9">
        <v>20411454</v>
      </c>
      <c r="G23" t="s">
        <v>383</v>
      </c>
      <c r="H23" t="s">
        <v>63</v>
      </c>
      <c r="I23" s="1">
        <v>45689</v>
      </c>
      <c r="J23" t="s">
        <v>51</v>
      </c>
      <c r="K23" t="s">
        <v>53</v>
      </c>
      <c r="L23" t="s">
        <v>64</v>
      </c>
      <c r="M23">
        <v>1</v>
      </c>
      <c r="N23" s="2">
        <v>1</v>
      </c>
      <c r="O23">
        <v>175</v>
      </c>
      <c r="P23" t="s">
        <v>374</v>
      </c>
    </row>
    <row r="24" spans="1:16" x14ac:dyDescent="0.25">
      <c r="A24" s="3" t="s">
        <v>321</v>
      </c>
      <c r="B24" s="3" t="str">
        <f t="shared" si="0"/>
        <v>00016358807K9</v>
      </c>
      <c r="C24" t="s">
        <v>76</v>
      </c>
      <c r="E24" t="s">
        <v>46</v>
      </c>
      <c r="F24" s="9">
        <v>20411454</v>
      </c>
      <c r="G24" t="s">
        <v>383</v>
      </c>
      <c r="H24" t="s">
        <v>63</v>
      </c>
      <c r="I24" s="1">
        <v>45689</v>
      </c>
      <c r="J24" t="s">
        <v>51</v>
      </c>
      <c r="K24" t="s">
        <v>53</v>
      </c>
      <c r="L24" t="s">
        <v>64</v>
      </c>
      <c r="M24">
        <v>1</v>
      </c>
      <c r="N24" s="2">
        <v>1</v>
      </c>
      <c r="O24">
        <v>175</v>
      </c>
      <c r="P24" t="s">
        <v>374</v>
      </c>
    </row>
    <row r="25" spans="1:16" x14ac:dyDescent="0.25">
      <c r="A25" s="3" t="s">
        <v>326</v>
      </c>
      <c r="B25" s="3" t="str">
        <f t="shared" si="0"/>
        <v>00023003474K9</v>
      </c>
      <c r="C25" t="s">
        <v>97</v>
      </c>
      <c r="E25" t="s">
        <v>46</v>
      </c>
      <c r="F25" s="9">
        <v>20411454</v>
      </c>
      <c r="G25" t="s">
        <v>383</v>
      </c>
      <c r="H25" t="s">
        <v>63</v>
      </c>
      <c r="I25" s="1">
        <v>45689</v>
      </c>
      <c r="J25" t="s">
        <v>51</v>
      </c>
      <c r="K25" t="s">
        <v>53</v>
      </c>
      <c r="L25" t="s">
        <v>64</v>
      </c>
      <c r="M25">
        <v>1</v>
      </c>
      <c r="N25" s="2">
        <v>1</v>
      </c>
      <c r="O25">
        <v>175</v>
      </c>
      <c r="P25" t="s">
        <v>374</v>
      </c>
    </row>
    <row r="26" spans="1:16" x14ac:dyDescent="0.25">
      <c r="A26" s="3" t="s">
        <v>327</v>
      </c>
      <c r="B26" s="3" t="str">
        <f t="shared" si="0"/>
        <v>00023043802K9</v>
      </c>
      <c r="C26" t="s">
        <v>99</v>
      </c>
      <c r="E26" t="s">
        <v>46</v>
      </c>
      <c r="F26" s="9">
        <v>20411454</v>
      </c>
      <c r="G26" t="s">
        <v>383</v>
      </c>
      <c r="H26" t="s">
        <v>63</v>
      </c>
      <c r="I26" s="1">
        <v>45689</v>
      </c>
      <c r="J26" t="s">
        <v>51</v>
      </c>
      <c r="K26" t="s">
        <v>53</v>
      </c>
      <c r="L26" t="s">
        <v>64</v>
      </c>
      <c r="M26">
        <v>1</v>
      </c>
      <c r="N26" s="2">
        <v>1</v>
      </c>
      <c r="O26">
        <v>175</v>
      </c>
      <c r="P26" t="s">
        <v>374</v>
      </c>
    </row>
    <row r="27" spans="1:16" x14ac:dyDescent="0.25">
      <c r="A27" s="3" t="s">
        <v>328</v>
      </c>
      <c r="B27" s="3" t="str">
        <f t="shared" si="0"/>
        <v>00023047425K9</v>
      </c>
      <c r="C27" t="s">
        <v>103</v>
      </c>
      <c r="E27" t="s">
        <v>46</v>
      </c>
      <c r="F27" s="9">
        <v>20411454</v>
      </c>
      <c r="G27" t="s">
        <v>383</v>
      </c>
      <c r="H27" t="s">
        <v>63</v>
      </c>
      <c r="I27" s="1">
        <v>45748</v>
      </c>
      <c r="J27" t="s">
        <v>51</v>
      </c>
      <c r="K27" t="s">
        <v>53</v>
      </c>
      <c r="L27" t="s">
        <v>64</v>
      </c>
      <c r="M27">
        <v>1</v>
      </c>
      <c r="N27" s="2">
        <v>1</v>
      </c>
      <c r="O27">
        <v>175</v>
      </c>
      <c r="P27" t="s">
        <v>374</v>
      </c>
    </row>
    <row r="28" spans="1:16" x14ac:dyDescent="0.25">
      <c r="A28" s="3" t="s">
        <v>330</v>
      </c>
      <c r="B28" s="3" t="str">
        <f t="shared" si="0"/>
        <v>00023053726K9</v>
      </c>
      <c r="C28" t="s">
        <v>113</v>
      </c>
      <c r="E28" t="s">
        <v>46</v>
      </c>
      <c r="F28" s="9">
        <v>20411454</v>
      </c>
      <c r="G28" t="s">
        <v>383</v>
      </c>
      <c r="H28" t="s">
        <v>63</v>
      </c>
      <c r="I28" s="1">
        <v>45689</v>
      </c>
      <c r="J28" t="s">
        <v>51</v>
      </c>
      <c r="K28" t="s">
        <v>53</v>
      </c>
      <c r="L28" t="s">
        <v>64</v>
      </c>
      <c r="M28">
        <v>1</v>
      </c>
      <c r="N28" s="2">
        <v>1</v>
      </c>
      <c r="O28">
        <v>175</v>
      </c>
      <c r="P28" t="s">
        <v>374</v>
      </c>
    </row>
    <row r="29" spans="1:16" x14ac:dyDescent="0.25">
      <c r="A29" s="3" t="s">
        <v>331</v>
      </c>
      <c r="B29" s="3" t="str">
        <f t="shared" si="0"/>
        <v>00023053733K9</v>
      </c>
      <c r="C29" t="s">
        <v>117</v>
      </c>
      <c r="E29" t="s">
        <v>46</v>
      </c>
      <c r="F29" s="9">
        <v>20411454</v>
      </c>
      <c r="G29" t="s">
        <v>383</v>
      </c>
      <c r="H29" t="s">
        <v>63</v>
      </c>
      <c r="I29" s="1">
        <v>45689</v>
      </c>
      <c r="J29" t="s">
        <v>51</v>
      </c>
      <c r="K29" t="s">
        <v>53</v>
      </c>
      <c r="L29" t="s">
        <v>64</v>
      </c>
      <c r="M29">
        <v>1</v>
      </c>
      <c r="N29" s="2">
        <v>1</v>
      </c>
      <c r="O29">
        <v>175</v>
      </c>
      <c r="P29" t="s">
        <v>374</v>
      </c>
    </row>
    <row r="30" spans="1:16" x14ac:dyDescent="0.25">
      <c r="A30" s="3" t="s">
        <v>332</v>
      </c>
      <c r="B30" s="3" t="str">
        <f t="shared" si="0"/>
        <v>00023056836K9</v>
      </c>
      <c r="C30" t="s">
        <v>119</v>
      </c>
      <c r="E30" t="s">
        <v>46</v>
      </c>
      <c r="F30" s="9">
        <v>20411454</v>
      </c>
      <c r="G30" t="s">
        <v>383</v>
      </c>
      <c r="H30" t="s">
        <v>63</v>
      </c>
      <c r="I30" s="1">
        <v>45717</v>
      </c>
      <c r="J30" t="s">
        <v>51</v>
      </c>
      <c r="K30" t="s">
        <v>53</v>
      </c>
      <c r="L30" t="s">
        <v>64</v>
      </c>
      <c r="M30">
        <v>1</v>
      </c>
      <c r="N30" s="2">
        <v>1</v>
      </c>
      <c r="O30">
        <v>175</v>
      </c>
      <c r="P30" t="s">
        <v>374</v>
      </c>
    </row>
    <row r="31" spans="1:16" x14ac:dyDescent="0.25">
      <c r="A31" s="3" t="s">
        <v>333</v>
      </c>
      <c r="B31" s="3" t="str">
        <f t="shared" si="0"/>
        <v>00023057034K9</v>
      </c>
      <c r="C31" t="s">
        <v>123</v>
      </c>
      <c r="E31" t="s">
        <v>46</v>
      </c>
      <c r="F31" s="9">
        <v>20411454</v>
      </c>
      <c r="G31" t="s">
        <v>383</v>
      </c>
      <c r="H31" t="s">
        <v>63</v>
      </c>
      <c r="I31" s="1">
        <v>45689</v>
      </c>
      <c r="J31" t="s">
        <v>51</v>
      </c>
      <c r="K31" t="s">
        <v>53</v>
      </c>
      <c r="L31" t="s">
        <v>64</v>
      </c>
      <c r="M31">
        <v>1</v>
      </c>
      <c r="N31" s="2">
        <v>1</v>
      </c>
      <c r="O31">
        <v>175</v>
      </c>
      <c r="P31" t="s">
        <v>374</v>
      </c>
    </row>
    <row r="32" spans="1:16" x14ac:dyDescent="0.25">
      <c r="A32" s="3" t="s">
        <v>334</v>
      </c>
      <c r="B32" s="3" t="str">
        <f t="shared" si="0"/>
        <v>00023057644K9</v>
      </c>
      <c r="C32" t="s">
        <v>125</v>
      </c>
      <c r="E32" t="s">
        <v>46</v>
      </c>
      <c r="F32" s="9">
        <v>20411454</v>
      </c>
      <c r="G32" t="s">
        <v>383</v>
      </c>
      <c r="H32" t="s">
        <v>63</v>
      </c>
      <c r="I32" s="1">
        <v>45689</v>
      </c>
      <c r="J32" t="s">
        <v>51</v>
      </c>
      <c r="K32" t="s">
        <v>53</v>
      </c>
      <c r="L32" t="s">
        <v>64</v>
      </c>
      <c r="M32">
        <v>1</v>
      </c>
      <c r="N32" s="2">
        <v>1</v>
      </c>
      <c r="O32">
        <v>175</v>
      </c>
      <c r="P32" t="s">
        <v>374</v>
      </c>
    </row>
    <row r="33" spans="1:16" x14ac:dyDescent="0.25">
      <c r="A33" s="3" t="s">
        <v>335</v>
      </c>
      <c r="B33" s="3" t="str">
        <f t="shared" si="0"/>
        <v>00023059876K9</v>
      </c>
      <c r="C33" t="s">
        <v>127</v>
      </c>
      <c r="E33" t="s">
        <v>46</v>
      </c>
      <c r="F33" s="9">
        <v>20411454</v>
      </c>
      <c r="G33" t="s">
        <v>383</v>
      </c>
      <c r="H33" t="s">
        <v>63</v>
      </c>
      <c r="I33" s="1">
        <v>45689</v>
      </c>
      <c r="J33" t="s">
        <v>51</v>
      </c>
      <c r="K33" t="s">
        <v>53</v>
      </c>
      <c r="L33" t="s">
        <v>64</v>
      </c>
      <c r="M33">
        <v>1</v>
      </c>
      <c r="N33" s="2">
        <v>1</v>
      </c>
      <c r="O33">
        <v>175</v>
      </c>
      <c r="P33" t="s">
        <v>374</v>
      </c>
    </row>
    <row r="34" spans="1:16" x14ac:dyDescent="0.25">
      <c r="A34" s="3" t="s">
        <v>336</v>
      </c>
      <c r="B34" s="3" t="str">
        <f t="shared" si="0"/>
        <v>00023061850K9</v>
      </c>
      <c r="C34" t="s">
        <v>129</v>
      </c>
      <c r="E34" t="s">
        <v>46</v>
      </c>
      <c r="F34" s="9">
        <v>20411454</v>
      </c>
      <c r="G34" t="s">
        <v>383</v>
      </c>
      <c r="H34" t="s">
        <v>63</v>
      </c>
      <c r="I34" s="1">
        <v>45689</v>
      </c>
      <c r="J34" t="s">
        <v>51</v>
      </c>
      <c r="K34" t="s">
        <v>53</v>
      </c>
      <c r="L34" t="s">
        <v>64</v>
      </c>
      <c r="M34">
        <v>1</v>
      </c>
      <c r="N34" s="2">
        <v>1</v>
      </c>
      <c r="O34">
        <v>175</v>
      </c>
      <c r="P34" t="s">
        <v>374</v>
      </c>
    </row>
    <row r="35" spans="1:16" x14ac:dyDescent="0.25">
      <c r="A35" s="3" t="s">
        <v>337</v>
      </c>
      <c r="B35" s="3" t="str">
        <f t="shared" si="0"/>
        <v>00023063791K9</v>
      </c>
      <c r="C35" t="s">
        <v>131</v>
      </c>
      <c r="E35" t="s">
        <v>46</v>
      </c>
      <c r="F35" s="9">
        <v>20411454</v>
      </c>
      <c r="G35" t="s">
        <v>383</v>
      </c>
      <c r="H35" t="s">
        <v>63</v>
      </c>
      <c r="I35" s="1">
        <v>45689</v>
      </c>
      <c r="J35" t="s">
        <v>51</v>
      </c>
      <c r="K35" t="s">
        <v>53</v>
      </c>
      <c r="L35" t="s">
        <v>64</v>
      </c>
      <c r="M35">
        <v>1</v>
      </c>
      <c r="N35" s="2">
        <v>1</v>
      </c>
      <c r="O35">
        <v>175</v>
      </c>
      <c r="P35" t="s">
        <v>374</v>
      </c>
    </row>
    <row r="36" spans="1:16" x14ac:dyDescent="0.25">
      <c r="A36" s="3" t="s">
        <v>338</v>
      </c>
      <c r="B36" s="3" t="str">
        <f t="shared" si="0"/>
        <v>00023066228K9</v>
      </c>
      <c r="C36" t="s">
        <v>133</v>
      </c>
      <c r="E36" t="s">
        <v>46</v>
      </c>
      <c r="F36" s="9">
        <v>20411454</v>
      </c>
      <c r="G36" t="s">
        <v>383</v>
      </c>
      <c r="H36" t="s">
        <v>63</v>
      </c>
      <c r="I36" s="1">
        <v>45689</v>
      </c>
      <c r="J36" t="s">
        <v>51</v>
      </c>
      <c r="K36" t="s">
        <v>53</v>
      </c>
      <c r="L36" t="s">
        <v>64</v>
      </c>
      <c r="M36">
        <v>1</v>
      </c>
      <c r="N36" s="2">
        <v>1</v>
      </c>
      <c r="O36">
        <v>175</v>
      </c>
      <c r="P36" t="s">
        <v>374</v>
      </c>
    </row>
    <row r="37" spans="1:16" x14ac:dyDescent="0.25">
      <c r="A37" s="3" t="s">
        <v>339</v>
      </c>
      <c r="B37" s="3" t="str">
        <f t="shared" si="0"/>
        <v>00023066292K9</v>
      </c>
      <c r="C37" t="s">
        <v>137</v>
      </c>
      <c r="E37" t="s">
        <v>46</v>
      </c>
      <c r="F37" s="9">
        <v>20411454</v>
      </c>
      <c r="G37" t="s">
        <v>383</v>
      </c>
      <c r="H37" t="s">
        <v>63</v>
      </c>
      <c r="I37" s="1">
        <v>45717</v>
      </c>
      <c r="J37" t="s">
        <v>51</v>
      </c>
      <c r="K37" t="s">
        <v>53</v>
      </c>
      <c r="L37" t="s">
        <v>64</v>
      </c>
      <c r="M37">
        <v>1</v>
      </c>
      <c r="N37" s="2">
        <v>1</v>
      </c>
      <c r="O37">
        <v>175</v>
      </c>
      <c r="P37" t="s">
        <v>374</v>
      </c>
    </row>
    <row r="38" spans="1:16" x14ac:dyDescent="0.25">
      <c r="A38" s="3" t="s">
        <v>346</v>
      </c>
      <c r="B38" s="3" t="str">
        <f t="shared" si="0"/>
        <v>00000266869DPC9</v>
      </c>
      <c r="C38" t="s">
        <v>45</v>
      </c>
      <c r="E38" t="s">
        <v>46</v>
      </c>
      <c r="F38" s="9">
        <v>20411454</v>
      </c>
      <c r="G38" t="s">
        <v>383</v>
      </c>
      <c r="H38" t="s">
        <v>63</v>
      </c>
      <c r="I38" s="1">
        <v>45658</v>
      </c>
      <c r="J38" t="s">
        <v>51</v>
      </c>
      <c r="O38">
        <v>-161</v>
      </c>
      <c r="P38" t="s">
        <v>374</v>
      </c>
    </row>
    <row r="39" spans="1:16" x14ac:dyDescent="0.25">
      <c r="A39" s="3" t="s">
        <v>347</v>
      </c>
      <c r="B39" s="3" t="str">
        <f t="shared" si="0"/>
        <v>00000371464GCB9</v>
      </c>
      <c r="C39" t="s">
        <v>261</v>
      </c>
      <c r="E39" t="s">
        <v>46</v>
      </c>
      <c r="F39" s="9">
        <v>20411454</v>
      </c>
      <c r="G39" t="s">
        <v>383</v>
      </c>
      <c r="H39" t="s">
        <v>63</v>
      </c>
      <c r="I39" s="1">
        <v>45689</v>
      </c>
      <c r="J39" t="s">
        <v>51</v>
      </c>
      <c r="O39">
        <v>-175</v>
      </c>
      <c r="P39" t="s">
        <v>374</v>
      </c>
    </row>
    <row r="40" spans="1:16" x14ac:dyDescent="0.25">
      <c r="A40" s="3" t="s">
        <v>349</v>
      </c>
      <c r="B40" s="3" t="str">
        <f t="shared" si="0"/>
        <v>00010643632KPC9</v>
      </c>
      <c r="C40" t="s">
        <v>264</v>
      </c>
      <c r="E40" t="s">
        <v>46</v>
      </c>
      <c r="F40" s="9">
        <v>20411454</v>
      </c>
      <c r="G40" t="s">
        <v>383</v>
      </c>
      <c r="H40" t="s">
        <v>63</v>
      </c>
      <c r="I40" s="1">
        <v>45658</v>
      </c>
      <c r="J40" t="s">
        <v>51</v>
      </c>
      <c r="O40">
        <v>-161</v>
      </c>
      <c r="P40" t="s">
        <v>374</v>
      </c>
    </row>
    <row r="41" spans="1:16" x14ac:dyDescent="0.25">
      <c r="A41" s="3" t="s">
        <v>350</v>
      </c>
      <c r="B41" s="3" t="str">
        <f t="shared" si="0"/>
        <v>00017745075KPC9</v>
      </c>
      <c r="C41" t="s">
        <v>266</v>
      </c>
      <c r="E41" t="s">
        <v>46</v>
      </c>
      <c r="F41" s="9">
        <v>20411454</v>
      </c>
      <c r="G41" t="s">
        <v>383</v>
      </c>
      <c r="H41" t="s">
        <v>63</v>
      </c>
      <c r="I41" s="1">
        <v>45658</v>
      </c>
      <c r="J41" t="s">
        <v>51</v>
      </c>
      <c r="O41">
        <v>-161</v>
      </c>
      <c r="P41" t="s">
        <v>374</v>
      </c>
    </row>
    <row r="42" spans="1:16" x14ac:dyDescent="0.25">
      <c r="A42" s="3" t="s">
        <v>351</v>
      </c>
      <c r="B42" s="3" t="str">
        <f t="shared" si="0"/>
        <v>00018776777KCB9</v>
      </c>
      <c r="C42" t="s">
        <v>268</v>
      </c>
      <c r="E42" t="s">
        <v>46</v>
      </c>
      <c r="F42" s="9">
        <v>20411454</v>
      </c>
      <c r="G42" t="s">
        <v>383</v>
      </c>
      <c r="H42" t="s">
        <v>63</v>
      </c>
      <c r="I42" s="1">
        <v>45689</v>
      </c>
      <c r="J42" t="s">
        <v>51</v>
      </c>
      <c r="O42">
        <v>-175</v>
      </c>
      <c r="P42" t="s">
        <v>374</v>
      </c>
    </row>
    <row r="43" spans="1:16" x14ac:dyDescent="0.25">
      <c r="A43" s="3" t="s">
        <v>353</v>
      </c>
      <c r="B43" s="3" t="str">
        <f>CONCATENATE(A43,9)</f>
        <v>00022137989KPC9</v>
      </c>
      <c r="C43" t="s">
        <v>276</v>
      </c>
      <c r="E43" t="s">
        <v>46</v>
      </c>
      <c r="F43" s="9">
        <v>20411454</v>
      </c>
      <c r="G43" t="s">
        <v>383</v>
      </c>
      <c r="H43" t="s">
        <v>63</v>
      </c>
      <c r="I43" s="1">
        <v>45658</v>
      </c>
      <c r="J43" t="s">
        <v>51</v>
      </c>
      <c r="O43">
        <v>-161</v>
      </c>
      <c r="P43" t="s">
        <v>374</v>
      </c>
    </row>
    <row r="44" spans="1:16" x14ac:dyDescent="0.25">
      <c r="A44" s="3" t="s">
        <v>354</v>
      </c>
      <c r="B44" s="3" t="str">
        <f t="shared" si="0"/>
        <v>00022143131KPC9</v>
      </c>
      <c r="C44" t="s">
        <v>278</v>
      </c>
      <c r="E44" t="s">
        <v>46</v>
      </c>
      <c r="F44" s="9">
        <v>20411454</v>
      </c>
      <c r="G44" t="s">
        <v>383</v>
      </c>
      <c r="H44" t="s">
        <v>63</v>
      </c>
      <c r="I44" s="1">
        <v>45658</v>
      </c>
      <c r="J44" t="s">
        <v>51</v>
      </c>
      <c r="O44">
        <v>-161</v>
      </c>
      <c r="P44" t="s">
        <v>374</v>
      </c>
    </row>
    <row r="45" spans="1:16" x14ac:dyDescent="0.25">
      <c r="A45" s="3" t="s">
        <v>355</v>
      </c>
      <c r="B45" s="3" t="str">
        <f t="shared" si="0"/>
        <v>00022143894KPC9</v>
      </c>
      <c r="C45" t="s">
        <v>280</v>
      </c>
      <c r="E45" t="s">
        <v>46</v>
      </c>
      <c r="F45" s="9">
        <v>20411454</v>
      </c>
      <c r="G45" t="s">
        <v>383</v>
      </c>
      <c r="H45" t="s">
        <v>63</v>
      </c>
      <c r="I45" s="1">
        <v>45658</v>
      </c>
      <c r="J45" t="s">
        <v>51</v>
      </c>
      <c r="O45">
        <v>-161</v>
      </c>
      <c r="P45" t="s">
        <v>374</v>
      </c>
    </row>
    <row r="46" spans="1:16" x14ac:dyDescent="0.25">
      <c r="A46" s="3" t="s">
        <v>357</v>
      </c>
      <c r="B46" s="3" t="str">
        <f t="shared" si="0"/>
        <v>00022918801KPC9</v>
      </c>
      <c r="C46" t="s">
        <v>93</v>
      </c>
      <c r="E46" t="s">
        <v>46</v>
      </c>
      <c r="F46" s="9">
        <v>20411454</v>
      </c>
      <c r="G46" t="s">
        <v>383</v>
      </c>
      <c r="H46" t="s">
        <v>63</v>
      </c>
      <c r="I46" s="1">
        <v>45658</v>
      </c>
      <c r="J46" t="s">
        <v>51</v>
      </c>
      <c r="O46">
        <v>-161</v>
      </c>
      <c r="P46" t="s">
        <v>374</v>
      </c>
    </row>
    <row r="47" spans="1:16" x14ac:dyDescent="0.25">
      <c r="A47" s="3" t="s">
        <v>315</v>
      </c>
      <c r="B47" s="3" t="str">
        <f t="shared" si="0"/>
        <v>00000266869D9</v>
      </c>
      <c r="C47" t="s">
        <v>45</v>
      </c>
      <c r="E47" t="s">
        <v>46</v>
      </c>
      <c r="F47" s="9">
        <v>20411454</v>
      </c>
      <c r="G47" t="s">
        <v>383</v>
      </c>
      <c r="H47" t="s">
        <v>50</v>
      </c>
      <c r="I47" s="1">
        <v>45689</v>
      </c>
      <c r="J47" t="s">
        <v>51</v>
      </c>
      <c r="K47" t="s">
        <v>53</v>
      </c>
      <c r="L47" t="s">
        <v>54</v>
      </c>
      <c r="M47">
        <v>1</v>
      </c>
      <c r="N47" s="2">
        <v>1</v>
      </c>
      <c r="O47">
        <v>108</v>
      </c>
      <c r="P47" t="s">
        <v>374</v>
      </c>
    </row>
    <row r="48" spans="1:16" x14ac:dyDescent="0.25">
      <c r="A48" s="3" t="s">
        <v>316</v>
      </c>
      <c r="B48" s="3" t="str">
        <f t="shared" si="0"/>
        <v>00002715443K9</v>
      </c>
      <c r="C48" t="s">
        <v>56</v>
      </c>
      <c r="E48" t="s">
        <v>46</v>
      </c>
      <c r="F48" s="9">
        <v>20411454</v>
      </c>
      <c r="G48" t="s">
        <v>383</v>
      </c>
      <c r="H48" t="s">
        <v>50</v>
      </c>
      <c r="I48" s="1">
        <v>45689</v>
      </c>
      <c r="J48" t="s">
        <v>51</v>
      </c>
      <c r="K48" t="s">
        <v>53</v>
      </c>
      <c r="L48" t="s">
        <v>54</v>
      </c>
      <c r="M48">
        <v>1</v>
      </c>
      <c r="N48" s="2">
        <v>1</v>
      </c>
      <c r="O48">
        <v>108</v>
      </c>
      <c r="P48" t="s">
        <v>374</v>
      </c>
    </row>
    <row r="49" spans="1:16" x14ac:dyDescent="0.25">
      <c r="A49" s="3" t="s">
        <v>322</v>
      </c>
      <c r="B49" s="3" t="str">
        <f t="shared" si="0"/>
        <v>00020363043K9</v>
      </c>
      <c r="C49" t="s">
        <v>80</v>
      </c>
      <c r="E49" t="s">
        <v>46</v>
      </c>
      <c r="F49" s="9">
        <v>20411454</v>
      </c>
      <c r="G49" t="s">
        <v>383</v>
      </c>
      <c r="H49" t="s">
        <v>50</v>
      </c>
      <c r="I49" s="1">
        <v>45689</v>
      </c>
      <c r="J49" t="s">
        <v>51</v>
      </c>
      <c r="K49" t="s">
        <v>53</v>
      </c>
      <c r="L49" t="s">
        <v>54</v>
      </c>
      <c r="M49">
        <v>1</v>
      </c>
      <c r="N49" s="2">
        <v>1</v>
      </c>
      <c r="O49">
        <v>108</v>
      </c>
      <c r="P49" t="s">
        <v>374</v>
      </c>
    </row>
    <row r="50" spans="1:16" x14ac:dyDescent="0.25">
      <c r="A50" s="3" t="s">
        <v>323</v>
      </c>
      <c r="B50" s="3" t="str">
        <f t="shared" si="0"/>
        <v>00022005272KA9</v>
      </c>
      <c r="C50" t="s">
        <v>82</v>
      </c>
      <c r="E50" t="s">
        <v>46</v>
      </c>
      <c r="F50" s="9">
        <v>20411454</v>
      </c>
      <c r="G50" t="s">
        <v>383</v>
      </c>
      <c r="H50" t="s">
        <v>50</v>
      </c>
      <c r="I50" s="1">
        <v>45658</v>
      </c>
      <c r="J50" t="s">
        <v>51</v>
      </c>
      <c r="K50" t="s">
        <v>53</v>
      </c>
      <c r="L50" t="s">
        <v>86</v>
      </c>
      <c r="M50">
        <v>1</v>
      </c>
      <c r="N50" s="2">
        <v>1</v>
      </c>
      <c r="O50">
        <v>99.36</v>
      </c>
      <c r="P50" t="s">
        <v>374</v>
      </c>
    </row>
    <row r="51" spans="1:16" x14ac:dyDescent="0.25">
      <c r="A51" s="3" t="s">
        <v>324</v>
      </c>
      <c r="B51" s="3" t="str">
        <f t="shared" si="0"/>
        <v>00022723157K9</v>
      </c>
      <c r="C51" t="s">
        <v>89</v>
      </c>
      <c r="E51" t="s">
        <v>46</v>
      </c>
      <c r="F51" s="9">
        <v>20411454</v>
      </c>
      <c r="G51" t="s">
        <v>383</v>
      </c>
      <c r="H51" t="s">
        <v>50</v>
      </c>
      <c r="I51" s="1">
        <v>45689</v>
      </c>
      <c r="J51" t="s">
        <v>51</v>
      </c>
      <c r="K51" t="s">
        <v>53</v>
      </c>
      <c r="L51" t="s">
        <v>54</v>
      </c>
      <c r="M51">
        <v>1</v>
      </c>
      <c r="N51" s="2">
        <v>1</v>
      </c>
      <c r="O51">
        <v>108</v>
      </c>
      <c r="P51" t="s">
        <v>374</v>
      </c>
    </row>
    <row r="52" spans="1:16" x14ac:dyDescent="0.25">
      <c r="A52" s="3" t="s">
        <v>325</v>
      </c>
      <c r="B52" s="3" t="str">
        <f t="shared" si="0"/>
        <v>00022918801K9</v>
      </c>
      <c r="C52" t="s">
        <v>93</v>
      </c>
      <c r="E52" t="s">
        <v>46</v>
      </c>
      <c r="F52" s="9">
        <v>20411454</v>
      </c>
      <c r="G52" t="s">
        <v>383</v>
      </c>
      <c r="H52" t="s">
        <v>50</v>
      </c>
      <c r="I52" s="1">
        <v>45689</v>
      </c>
      <c r="J52" t="s">
        <v>51</v>
      </c>
      <c r="K52" t="s">
        <v>53</v>
      </c>
      <c r="L52" t="s">
        <v>54</v>
      </c>
      <c r="M52">
        <v>1</v>
      </c>
      <c r="N52" s="2">
        <v>1</v>
      </c>
      <c r="O52">
        <v>108</v>
      </c>
      <c r="P52" t="s">
        <v>374</v>
      </c>
    </row>
    <row r="53" spans="1:16" x14ac:dyDescent="0.25">
      <c r="A53" s="3" t="s">
        <v>348</v>
      </c>
      <c r="B53" s="3" t="str">
        <f t="shared" si="0"/>
        <v>00002715443KPC9</v>
      </c>
      <c r="C53" t="s">
        <v>56</v>
      </c>
      <c r="E53" t="s">
        <v>46</v>
      </c>
      <c r="F53" s="9">
        <v>20411454</v>
      </c>
      <c r="G53" t="s">
        <v>383</v>
      </c>
      <c r="H53" t="s">
        <v>50</v>
      </c>
      <c r="I53" s="1">
        <v>45658</v>
      </c>
      <c r="J53" t="s">
        <v>51</v>
      </c>
      <c r="O53">
        <v>-99.36</v>
      </c>
      <c r="P53" t="s">
        <v>374</v>
      </c>
    </row>
    <row r="54" spans="1:16" x14ac:dyDescent="0.25">
      <c r="A54" s="3" t="s">
        <v>352</v>
      </c>
      <c r="B54" s="3" t="str">
        <f t="shared" si="0"/>
        <v>00019869938KPC9</v>
      </c>
      <c r="C54" t="s">
        <v>272</v>
      </c>
      <c r="E54" t="s">
        <v>46</v>
      </c>
      <c r="F54" s="9">
        <v>20411454</v>
      </c>
      <c r="G54" t="s">
        <v>383</v>
      </c>
      <c r="H54" t="s">
        <v>50</v>
      </c>
      <c r="I54" s="1">
        <v>45658</v>
      </c>
      <c r="J54" t="s">
        <v>51</v>
      </c>
      <c r="O54">
        <v>-99.36</v>
      </c>
      <c r="P54" t="s">
        <v>374</v>
      </c>
    </row>
    <row r="55" spans="1:16" x14ac:dyDescent="0.25">
      <c r="A55" s="3" t="s">
        <v>329</v>
      </c>
      <c r="B55" s="3" t="str">
        <f t="shared" si="0"/>
        <v>00023048238KPDP9</v>
      </c>
      <c r="C55" t="s">
        <v>107</v>
      </c>
      <c r="E55" t="s">
        <v>46</v>
      </c>
      <c r="F55" s="9">
        <v>20411454</v>
      </c>
      <c r="G55" t="s">
        <v>383</v>
      </c>
      <c r="H55" t="s">
        <v>110</v>
      </c>
      <c r="I55" s="1">
        <v>45717</v>
      </c>
      <c r="J55" t="s">
        <v>51</v>
      </c>
      <c r="K55" t="s">
        <v>53</v>
      </c>
      <c r="L55" t="s">
        <v>111</v>
      </c>
      <c r="M55">
        <v>1</v>
      </c>
      <c r="N55" s="2">
        <v>1</v>
      </c>
      <c r="O55">
        <v>15</v>
      </c>
      <c r="P55" t="s">
        <v>374</v>
      </c>
    </row>
    <row r="56" spans="1:16" x14ac:dyDescent="0.25">
      <c r="A56" s="3" t="s">
        <v>356</v>
      </c>
      <c r="B56" s="3" t="str">
        <f t="shared" si="0"/>
        <v>00022686442KPDPPC9</v>
      </c>
      <c r="C56" t="s">
        <v>282</v>
      </c>
      <c r="E56" t="s">
        <v>46</v>
      </c>
      <c r="F56" s="9">
        <v>20411454</v>
      </c>
      <c r="G56" t="s">
        <v>383</v>
      </c>
      <c r="H56" t="s">
        <v>110</v>
      </c>
      <c r="I56" s="1">
        <v>45658</v>
      </c>
      <c r="J56" t="s">
        <v>51</v>
      </c>
      <c r="O56">
        <v>-13.8</v>
      </c>
      <c r="P56" t="s">
        <v>374</v>
      </c>
    </row>
    <row r="57" spans="1:16" s="5" customFormat="1" x14ac:dyDescent="0.25">
      <c r="A57" s="4" t="s">
        <v>344</v>
      </c>
      <c r="B57" s="4" t="str">
        <f>CONCATENATE(A57,99)</f>
        <v>A0422103199</v>
      </c>
      <c r="C57" s="5" t="s">
        <v>250</v>
      </c>
      <c r="E57" s="5" t="s">
        <v>140</v>
      </c>
      <c r="F57" s="10">
        <v>8325282</v>
      </c>
      <c r="G57" s="5" t="s">
        <v>78</v>
      </c>
      <c r="H57" s="5" t="s">
        <v>251</v>
      </c>
      <c r="I57" s="6">
        <v>45689</v>
      </c>
      <c r="J57" s="5" t="s">
        <v>51</v>
      </c>
      <c r="K57" s="5" t="s">
        <v>53</v>
      </c>
      <c r="L57" s="5" t="s">
        <v>252</v>
      </c>
      <c r="M57" s="5">
        <v>9</v>
      </c>
      <c r="N57" s="7">
        <v>1</v>
      </c>
      <c r="O57" s="5">
        <v>287.82</v>
      </c>
      <c r="P57" s="5" t="s">
        <v>375</v>
      </c>
    </row>
    <row r="58" spans="1:16" s="5" customFormat="1" x14ac:dyDescent="0.25">
      <c r="A58" s="4" t="s">
        <v>345</v>
      </c>
      <c r="B58" s="4" t="str">
        <f>CONCATENATE(A58,99)</f>
        <v>A0422217899</v>
      </c>
      <c r="C58" s="5" t="s">
        <v>255</v>
      </c>
      <c r="E58" s="5" t="s">
        <v>140</v>
      </c>
      <c r="F58" s="10">
        <v>19645587</v>
      </c>
      <c r="G58" s="5" t="s">
        <v>203</v>
      </c>
      <c r="H58" s="5" t="s">
        <v>251</v>
      </c>
      <c r="I58" s="6">
        <v>45717</v>
      </c>
      <c r="J58" s="5" t="s">
        <v>51</v>
      </c>
      <c r="K58" s="5" t="s">
        <v>53</v>
      </c>
      <c r="L58" s="5" t="s">
        <v>252</v>
      </c>
      <c r="M58" s="5">
        <v>9</v>
      </c>
      <c r="N58" s="7">
        <v>1</v>
      </c>
      <c r="O58" s="5">
        <v>287.82</v>
      </c>
      <c r="P58" s="5" t="s">
        <v>375</v>
      </c>
    </row>
    <row r="59" spans="1:16" x14ac:dyDescent="0.25">
      <c r="A59" s="3" t="s">
        <v>340</v>
      </c>
      <c r="B59" s="3" t="str">
        <f>CONCATENATE(A59,9)</f>
        <v>132315917OV9</v>
      </c>
      <c r="C59" t="s">
        <v>228</v>
      </c>
      <c r="E59" t="s">
        <v>229</v>
      </c>
      <c r="F59" s="9">
        <v>20411454</v>
      </c>
      <c r="G59" t="s">
        <v>383</v>
      </c>
      <c r="H59" t="s">
        <v>233</v>
      </c>
      <c r="I59" s="1">
        <v>45689</v>
      </c>
      <c r="J59" t="s">
        <v>51</v>
      </c>
      <c r="K59" t="s">
        <v>53</v>
      </c>
      <c r="L59" t="s">
        <v>64</v>
      </c>
      <c r="M59">
        <v>1</v>
      </c>
      <c r="N59" s="2">
        <v>1</v>
      </c>
      <c r="O59">
        <v>175</v>
      </c>
      <c r="P59" t="s">
        <v>376</v>
      </c>
    </row>
    <row r="60" spans="1:16" x14ac:dyDescent="0.25">
      <c r="A60" s="3" t="s">
        <v>341</v>
      </c>
      <c r="B60" s="3" t="str">
        <f t="shared" ref="B60:B64" si="1">CONCATENATE(A60,9)</f>
        <v>959938317OV9</v>
      </c>
      <c r="C60" t="s">
        <v>235</v>
      </c>
      <c r="E60" t="s">
        <v>140</v>
      </c>
      <c r="F60" s="9">
        <v>20411454</v>
      </c>
      <c r="G60" t="s">
        <v>383</v>
      </c>
      <c r="H60" t="s">
        <v>233</v>
      </c>
      <c r="I60" s="1">
        <v>45658</v>
      </c>
      <c r="J60" t="s">
        <v>51</v>
      </c>
      <c r="K60" t="s">
        <v>53</v>
      </c>
      <c r="L60" t="s">
        <v>64</v>
      </c>
      <c r="M60">
        <v>1</v>
      </c>
      <c r="N60" s="2">
        <v>1</v>
      </c>
      <c r="O60">
        <v>175</v>
      </c>
      <c r="P60" t="s">
        <v>376</v>
      </c>
    </row>
    <row r="61" spans="1:16" x14ac:dyDescent="0.25">
      <c r="A61" s="3" t="s">
        <v>367</v>
      </c>
      <c r="B61" s="3" t="str">
        <f t="shared" si="1"/>
        <v>959938317OVCB9</v>
      </c>
      <c r="C61" t="s">
        <v>235</v>
      </c>
      <c r="E61" t="s">
        <v>140</v>
      </c>
      <c r="F61" s="9">
        <v>20411454</v>
      </c>
      <c r="G61" t="s">
        <v>383</v>
      </c>
      <c r="H61" t="s">
        <v>304</v>
      </c>
      <c r="I61" s="1">
        <v>45658</v>
      </c>
      <c r="J61" t="s">
        <v>51</v>
      </c>
      <c r="O61">
        <v>-72</v>
      </c>
      <c r="P61" t="s">
        <v>376</v>
      </c>
    </row>
    <row r="62" spans="1:16" x14ac:dyDescent="0.25">
      <c r="A62" s="3" t="s">
        <v>370</v>
      </c>
      <c r="B62" s="3" t="str">
        <f t="shared" si="1"/>
        <v>974491090OVCB9</v>
      </c>
      <c r="C62" t="s">
        <v>309</v>
      </c>
      <c r="E62" t="s">
        <v>179</v>
      </c>
      <c r="F62" s="9">
        <v>20411454</v>
      </c>
      <c r="G62" t="s">
        <v>383</v>
      </c>
      <c r="H62" t="s">
        <v>304</v>
      </c>
      <c r="I62" s="1">
        <v>45658</v>
      </c>
      <c r="J62" t="s">
        <v>51</v>
      </c>
      <c r="O62">
        <v>-72</v>
      </c>
      <c r="P62" t="s">
        <v>376</v>
      </c>
    </row>
    <row r="63" spans="1:16" x14ac:dyDescent="0.25">
      <c r="A63" s="3" t="s">
        <v>372</v>
      </c>
      <c r="B63" s="3" t="str">
        <f t="shared" si="1"/>
        <v>989987925OVCB9</v>
      </c>
      <c r="C63" t="s">
        <v>312</v>
      </c>
      <c r="E63" t="s">
        <v>313</v>
      </c>
      <c r="F63" s="9">
        <v>20411454</v>
      </c>
      <c r="G63" t="s">
        <v>383</v>
      </c>
      <c r="H63" t="s">
        <v>304</v>
      </c>
      <c r="I63" s="1">
        <v>45658</v>
      </c>
      <c r="J63" t="s">
        <v>51</v>
      </c>
      <c r="O63">
        <v>-72</v>
      </c>
      <c r="P63" t="s">
        <v>376</v>
      </c>
    </row>
    <row r="64" spans="1:16" x14ac:dyDescent="0.25">
      <c r="A64" s="3" t="s">
        <v>342</v>
      </c>
      <c r="B64" s="3" t="str">
        <f t="shared" si="1"/>
        <v>966338840OV9</v>
      </c>
      <c r="C64" t="s">
        <v>238</v>
      </c>
      <c r="E64" t="s">
        <v>140</v>
      </c>
      <c r="F64" s="9">
        <v>20411454</v>
      </c>
      <c r="G64" t="s">
        <v>383</v>
      </c>
      <c r="H64" t="s">
        <v>242</v>
      </c>
      <c r="I64" s="1">
        <v>45689</v>
      </c>
      <c r="J64" t="s">
        <v>51</v>
      </c>
      <c r="K64" t="s">
        <v>53</v>
      </c>
      <c r="L64" t="s">
        <v>243</v>
      </c>
      <c r="M64">
        <v>1</v>
      </c>
      <c r="N64" s="2">
        <v>1</v>
      </c>
      <c r="O64">
        <v>160.41999999999999</v>
      </c>
      <c r="P64" t="s">
        <v>376</v>
      </c>
    </row>
    <row r="65" spans="1:17" s="5" customFormat="1" x14ac:dyDescent="0.25">
      <c r="A65" s="4">
        <v>132315917</v>
      </c>
      <c r="B65" s="4" t="str">
        <f>CONCATENATE(A65,98)</f>
        <v>13231591798</v>
      </c>
      <c r="C65" s="5" t="s">
        <v>228</v>
      </c>
      <c r="E65" s="5" t="s">
        <v>229</v>
      </c>
      <c r="F65" s="10">
        <v>19645587</v>
      </c>
      <c r="G65" s="5" t="s">
        <v>203</v>
      </c>
      <c r="H65" s="5" t="s">
        <v>230</v>
      </c>
      <c r="I65" s="6">
        <v>45689</v>
      </c>
      <c r="J65" s="5" t="s">
        <v>51</v>
      </c>
      <c r="K65" s="5" t="s">
        <v>53</v>
      </c>
      <c r="L65" s="5" t="s">
        <v>231</v>
      </c>
      <c r="M65" s="5">
        <v>1</v>
      </c>
      <c r="N65" s="7">
        <v>1</v>
      </c>
      <c r="O65" s="5">
        <v>626</v>
      </c>
      <c r="P65" s="5" t="s">
        <v>377</v>
      </c>
    </row>
    <row r="66" spans="1:17" s="5" customFormat="1" x14ac:dyDescent="0.25">
      <c r="A66" s="4">
        <v>959938317</v>
      </c>
      <c r="B66" s="4" t="str">
        <f t="shared" ref="B66:B67" si="2">CONCATENATE(A66,98)</f>
        <v>95993831798</v>
      </c>
      <c r="C66" s="5" t="s">
        <v>235</v>
      </c>
      <c r="E66" s="5" t="s">
        <v>140</v>
      </c>
      <c r="F66" s="10">
        <v>20212926</v>
      </c>
      <c r="G66" s="5" t="s">
        <v>62</v>
      </c>
      <c r="H66" s="5" t="s">
        <v>230</v>
      </c>
      <c r="I66" s="6">
        <v>45658</v>
      </c>
      <c r="J66" s="5" t="s">
        <v>51</v>
      </c>
      <c r="K66" s="5" t="s">
        <v>53</v>
      </c>
      <c r="L66" s="5" t="s">
        <v>231</v>
      </c>
      <c r="M66" s="5">
        <v>1</v>
      </c>
      <c r="N66" s="7">
        <v>1</v>
      </c>
      <c r="O66" s="5">
        <v>626</v>
      </c>
      <c r="P66" s="5" t="s">
        <v>377</v>
      </c>
    </row>
    <row r="67" spans="1:17" s="5" customFormat="1" x14ac:dyDescent="0.25">
      <c r="A67" s="4">
        <v>966338840</v>
      </c>
      <c r="B67" s="4" t="str">
        <f t="shared" si="2"/>
        <v>96633884098</v>
      </c>
      <c r="C67" s="5" t="s">
        <v>238</v>
      </c>
      <c r="E67" s="5" t="s">
        <v>140</v>
      </c>
      <c r="F67" s="10">
        <v>20212926</v>
      </c>
      <c r="G67" s="5" t="s">
        <v>62</v>
      </c>
      <c r="H67" s="5" t="s">
        <v>239</v>
      </c>
      <c r="I67" s="6">
        <v>45689</v>
      </c>
      <c r="J67" s="5" t="s">
        <v>51</v>
      </c>
      <c r="K67" s="5" t="s">
        <v>53</v>
      </c>
      <c r="L67" s="5" t="s">
        <v>240</v>
      </c>
      <c r="M67" s="5">
        <v>1</v>
      </c>
      <c r="N67" s="7">
        <v>1</v>
      </c>
      <c r="O67" s="5">
        <v>573.83000000000004</v>
      </c>
      <c r="P67" s="5" t="s">
        <v>377</v>
      </c>
      <c r="Q67" s="5" t="s">
        <v>382</v>
      </c>
    </row>
    <row r="68" spans="1:17" s="5" customFormat="1" x14ac:dyDescent="0.25">
      <c r="A68" s="4" t="s">
        <v>366</v>
      </c>
      <c r="B68" s="4" t="str">
        <f>CONCATENATE(A68,99)</f>
        <v>959938317CB99</v>
      </c>
      <c r="C68" s="5" t="s">
        <v>235</v>
      </c>
      <c r="E68" s="5" t="s">
        <v>140</v>
      </c>
      <c r="F68" s="10">
        <v>20212926</v>
      </c>
      <c r="G68" s="5" t="s">
        <v>62</v>
      </c>
      <c r="H68" s="5" t="s">
        <v>301</v>
      </c>
      <c r="I68" s="6">
        <v>45658</v>
      </c>
      <c r="J68" s="5" t="s">
        <v>51</v>
      </c>
      <c r="O68" s="5">
        <v>-313</v>
      </c>
      <c r="P68" s="5" t="s">
        <v>378</v>
      </c>
      <c r="Q68" s="5" t="s">
        <v>381</v>
      </c>
    </row>
    <row r="69" spans="1:17" s="5" customFormat="1" x14ac:dyDescent="0.25">
      <c r="A69" s="4" t="s">
        <v>368</v>
      </c>
      <c r="B69" s="4" t="str">
        <f t="shared" ref="B69:B81" si="3">CONCATENATE(A69,99)</f>
        <v>966338840CB99</v>
      </c>
      <c r="C69" s="5" t="s">
        <v>238</v>
      </c>
      <c r="E69" s="5" t="s">
        <v>140</v>
      </c>
      <c r="F69" s="10">
        <v>20212926</v>
      </c>
      <c r="G69" s="5" t="s">
        <v>62</v>
      </c>
      <c r="H69" s="5" t="s">
        <v>301</v>
      </c>
      <c r="I69" s="6">
        <v>45689</v>
      </c>
      <c r="J69" s="5" t="s">
        <v>51</v>
      </c>
      <c r="O69" s="5">
        <v>-286.92</v>
      </c>
      <c r="P69" s="5" t="s">
        <v>378</v>
      </c>
      <c r="Q69" s="8" t="s">
        <v>380</v>
      </c>
    </row>
    <row r="70" spans="1:17" s="5" customFormat="1" x14ac:dyDescent="0.25">
      <c r="A70" s="4" t="s">
        <v>369</v>
      </c>
      <c r="B70" s="4" t="str">
        <f t="shared" si="3"/>
        <v>974491090CB99</v>
      </c>
      <c r="C70" s="5" t="s">
        <v>309</v>
      </c>
      <c r="E70" s="5" t="s">
        <v>179</v>
      </c>
      <c r="F70" s="10">
        <v>16865615</v>
      </c>
      <c r="G70" s="5" t="s">
        <v>196</v>
      </c>
      <c r="H70" s="5" t="s">
        <v>301</v>
      </c>
      <c r="I70" s="6">
        <v>45658</v>
      </c>
      <c r="J70" s="5" t="s">
        <v>51</v>
      </c>
      <c r="O70" s="5">
        <v>-313</v>
      </c>
      <c r="P70" s="5" t="s">
        <v>378</v>
      </c>
      <c r="Q70" s="5" t="s">
        <v>381</v>
      </c>
    </row>
    <row r="71" spans="1:17" s="5" customFormat="1" x14ac:dyDescent="0.25">
      <c r="A71" s="4" t="s">
        <v>371</v>
      </c>
      <c r="B71" s="4" t="str">
        <f t="shared" si="3"/>
        <v>989987925CB99</v>
      </c>
      <c r="C71" s="5" t="s">
        <v>312</v>
      </c>
      <c r="E71" s="5" t="s">
        <v>313</v>
      </c>
      <c r="F71" s="10">
        <v>8325282</v>
      </c>
      <c r="G71" s="5" t="s">
        <v>78</v>
      </c>
      <c r="H71" s="5" t="s">
        <v>301</v>
      </c>
      <c r="I71" s="6">
        <v>45658</v>
      </c>
      <c r="J71" s="5" t="s">
        <v>51</v>
      </c>
      <c r="O71" s="5">
        <v>-313</v>
      </c>
      <c r="P71" s="5" t="s">
        <v>378</v>
      </c>
      <c r="Q71" s="5" t="s">
        <v>381</v>
      </c>
    </row>
    <row r="72" spans="1:17" s="5" customFormat="1" x14ac:dyDescent="0.25">
      <c r="A72" s="4">
        <v>23013235</v>
      </c>
      <c r="B72" s="4" t="str">
        <f t="shared" si="3"/>
        <v>2301323599</v>
      </c>
      <c r="C72" s="5" t="s">
        <v>139</v>
      </c>
      <c r="E72" s="5" t="s">
        <v>140</v>
      </c>
      <c r="F72" s="10" t="s">
        <v>384</v>
      </c>
      <c r="G72" s="5" t="s">
        <v>121</v>
      </c>
      <c r="H72" s="5" t="s">
        <v>141</v>
      </c>
      <c r="I72" s="6">
        <v>45689</v>
      </c>
      <c r="J72" s="5" t="s">
        <v>51</v>
      </c>
      <c r="K72" s="5" t="s">
        <v>53</v>
      </c>
      <c r="L72" s="5" t="s">
        <v>142</v>
      </c>
      <c r="M72" s="5">
        <v>1</v>
      </c>
      <c r="N72" s="7">
        <v>1</v>
      </c>
      <c r="O72" s="5">
        <v>109</v>
      </c>
      <c r="P72" s="5" t="s">
        <v>379</v>
      </c>
    </row>
    <row r="73" spans="1:17" s="5" customFormat="1" x14ac:dyDescent="0.25">
      <c r="A73" s="4">
        <v>23019616</v>
      </c>
      <c r="B73" s="4" t="str">
        <f t="shared" si="3"/>
        <v>2301961699</v>
      </c>
      <c r="C73" s="5" t="s">
        <v>146</v>
      </c>
      <c r="E73" s="5" t="s">
        <v>147</v>
      </c>
      <c r="F73" s="10">
        <v>19681796</v>
      </c>
      <c r="G73" s="5" t="s">
        <v>95</v>
      </c>
      <c r="H73" s="5" t="s">
        <v>141</v>
      </c>
      <c r="I73" s="6">
        <v>45689</v>
      </c>
      <c r="J73" s="5" t="s">
        <v>51</v>
      </c>
      <c r="K73" s="5" t="s">
        <v>53</v>
      </c>
      <c r="L73" s="5" t="s">
        <v>142</v>
      </c>
      <c r="M73" s="5">
        <v>1</v>
      </c>
      <c r="N73" s="7">
        <v>1</v>
      </c>
      <c r="O73" s="5">
        <v>109</v>
      </c>
      <c r="P73" s="5" t="s">
        <v>379</v>
      </c>
    </row>
    <row r="74" spans="1:17" s="5" customFormat="1" x14ac:dyDescent="0.25">
      <c r="A74" s="4">
        <v>23023469</v>
      </c>
      <c r="B74" s="4" t="str">
        <f t="shared" si="3"/>
        <v>2302346999</v>
      </c>
      <c r="C74" s="5" t="s">
        <v>150</v>
      </c>
      <c r="E74" s="5" t="s">
        <v>151</v>
      </c>
      <c r="F74" s="10">
        <v>9079571</v>
      </c>
      <c r="G74" s="5" t="s">
        <v>153</v>
      </c>
      <c r="H74" s="5" t="s">
        <v>141</v>
      </c>
      <c r="I74" s="6">
        <v>45689</v>
      </c>
      <c r="J74" s="5" t="s">
        <v>51</v>
      </c>
      <c r="K74" s="5" t="s">
        <v>53</v>
      </c>
      <c r="L74" s="5" t="s">
        <v>142</v>
      </c>
      <c r="M74" s="5">
        <v>1</v>
      </c>
      <c r="N74" s="7">
        <v>1</v>
      </c>
      <c r="O74" s="5">
        <v>109</v>
      </c>
      <c r="P74" s="5" t="s">
        <v>379</v>
      </c>
    </row>
    <row r="75" spans="1:17" s="5" customFormat="1" x14ac:dyDescent="0.25">
      <c r="A75" s="4">
        <v>23027763</v>
      </c>
      <c r="B75" s="4" t="str">
        <f t="shared" si="3"/>
        <v>2302776399</v>
      </c>
      <c r="C75" s="5" t="s">
        <v>156</v>
      </c>
      <c r="E75" s="5" t="s">
        <v>157</v>
      </c>
      <c r="F75" s="10">
        <v>19278370</v>
      </c>
      <c r="G75" s="5" t="s">
        <v>159</v>
      </c>
      <c r="H75" s="5" t="s">
        <v>141</v>
      </c>
      <c r="I75" s="6">
        <v>45689</v>
      </c>
      <c r="J75" s="5" t="s">
        <v>51</v>
      </c>
      <c r="K75" s="5" t="s">
        <v>53</v>
      </c>
      <c r="L75" s="5" t="s">
        <v>142</v>
      </c>
      <c r="M75" s="5">
        <v>1</v>
      </c>
      <c r="N75" s="7">
        <v>1</v>
      </c>
      <c r="O75" s="5">
        <v>109</v>
      </c>
      <c r="P75" s="5" t="s">
        <v>379</v>
      </c>
    </row>
    <row r="76" spans="1:17" s="5" customFormat="1" x14ac:dyDescent="0.25">
      <c r="A76" s="4">
        <v>23028152</v>
      </c>
      <c r="B76" s="4" t="str">
        <f t="shared" si="3"/>
        <v>2302815299</v>
      </c>
      <c r="C76" s="5" t="s">
        <v>162</v>
      </c>
      <c r="E76" s="5" t="s">
        <v>140</v>
      </c>
      <c r="F76" s="10">
        <v>20490188</v>
      </c>
      <c r="G76" s="5" t="s">
        <v>164</v>
      </c>
      <c r="H76" s="5" t="s">
        <v>141</v>
      </c>
      <c r="I76" s="6">
        <v>45689</v>
      </c>
      <c r="J76" s="5" t="s">
        <v>51</v>
      </c>
      <c r="K76" s="5" t="s">
        <v>53</v>
      </c>
      <c r="L76" s="5" t="s">
        <v>142</v>
      </c>
      <c r="M76" s="5">
        <v>1</v>
      </c>
      <c r="N76" s="7">
        <v>1</v>
      </c>
      <c r="O76" s="5">
        <v>109</v>
      </c>
      <c r="P76" s="5" t="s">
        <v>379</v>
      </c>
    </row>
    <row r="77" spans="1:17" s="5" customFormat="1" x14ac:dyDescent="0.25">
      <c r="A77" s="4" t="s">
        <v>358</v>
      </c>
      <c r="B77" s="4" t="str">
        <f t="shared" si="3"/>
        <v>023013235CB99</v>
      </c>
      <c r="C77" s="5" t="s">
        <v>139</v>
      </c>
      <c r="E77" s="5" t="s">
        <v>140</v>
      </c>
      <c r="F77" s="10" t="s">
        <v>384</v>
      </c>
      <c r="G77" s="5" t="s">
        <v>121</v>
      </c>
      <c r="H77" s="5" t="s">
        <v>286</v>
      </c>
      <c r="I77" s="6">
        <v>45689</v>
      </c>
      <c r="J77" s="5" t="s">
        <v>51</v>
      </c>
      <c r="O77" s="5">
        <v>-50.42</v>
      </c>
      <c r="P77" s="5" t="s">
        <v>379</v>
      </c>
    </row>
    <row r="78" spans="1:17" s="5" customFormat="1" x14ac:dyDescent="0.25">
      <c r="A78" s="4" t="s">
        <v>359</v>
      </c>
      <c r="B78" s="4" t="str">
        <f t="shared" si="3"/>
        <v>023019616CB99</v>
      </c>
      <c r="C78" s="5" t="s">
        <v>146</v>
      </c>
      <c r="E78" s="5" t="s">
        <v>147</v>
      </c>
      <c r="F78" s="10">
        <v>19681796</v>
      </c>
      <c r="G78" s="5" t="s">
        <v>95</v>
      </c>
      <c r="H78" s="5" t="s">
        <v>286</v>
      </c>
      <c r="I78" s="6">
        <v>45689</v>
      </c>
      <c r="J78" s="5" t="s">
        <v>51</v>
      </c>
      <c r="O78" s="5">
        <v>-50.42</v>
      </c>
      <c r="P78" s="5" t="s">
        <v>379</v>
      </c>
    </row>
    <row r="79" spans="1:17" s="5" customFormat="1" x14ac:dyDescent="0.25">
      <c r="A79" s="4" t="s">
        <v>360</v>
      </c>
      <c r="B79" s="4" t="str">
        <f t="shared" si="3"/>
        <v>023023469CB99</v>
      </c>
      <c r="C79" s="5" t="s">
        <v>150</v>
      </c>
      <c r="E79" s="5" t="s">
        <v>151</v>
      </c>
      <c r="F79" s="10">
        <v>9079571</v>
      </c>
      <c r="G79" s="5" t="s">
        <v>153</v>
      </c>
      <c r="H79" s="5" t="s">
        <v>286</v>
      </c>
      <c r="I79" s="6">
        <v>45689</v>
      </c>
      <c r="J79" s="5" t="s">
        <v>51</v>
      </c>
      <c r="O79" s="5">
        <v>-50.42</v>
      </c>
      <c r="P79" s="5" t="s">
        <v>379</v>
      </c>
    </row>
    <row r="80" spans="1:17" s="5" customFormat="1" x14ac:dyDescent="0.25">
      <c r="A80" s="4" t="s">
        <v>361</v>
      </c>
      <c r="B80" s="4" t="str">
        <f t="shared" si="3"/>
        <v>023027763CB99</v>
      </c>
      <c r="C80" s="5" t="s">
        <v>156</v>
      </c>
      <c r="E80" s="5" t="s">
        <v>157</v>
      </c>
      <c r="F80" s="10">
        <v>19278370</v>
      </c>
      <c r="G80" s="5" t="s">
        <v>159</v>
      </c>
      <c r="H80" s="5" t="s">
        <v>286</v>
      </c>
      <c r="I80" s="6">
        <v>45689</v>
      </c>
      <c r="J80" s="5" t="s">
        <v>51</v>
      </c>
      <c r="O80" s="5">
        <v>-50.42</v>
      </c>
      <c r="P80" s="5" t="s">
        <v>379</v>
      </c>
    </row>
    <row r="81" spans="1:16" s="5" customFormat="1" x14ac:dyDescent="0.25">
      <c r="A81" s="4" t="s">
        <v>362</v>
      </c>
      <c r="B81" s="4" t="str">
        <f t="shared" si="3"/>
        <v>023028152CB99</v>
      </c>
      <c r="C81" s="5" t="s">
        <v>162</v>
      </c>
      <c r="E81" s="5" t="s">
        <v>140</v>
      </c>
      <c r="F81" s="10">
        <v>20490188</v>
      </c>
      <c r="G81" s="5" t="s">
        <v>164</v>
      </c>
      <c r="H81" s="5" t="s">
        <v>286</v>
      </c>
      <c r="I81" s="6">
        <v>45689</v>
      </c>
      <c r="J81" s="5" t="s">
        <v>51</v>
      </c>
      <c r="O81" s="5">
        <v>-50.42</v>
      </c>
      <c r="P81" s="5" t="s">
        <v>379</v>
      </c>
    </row>
  </sheetData>
  <sortState xmlns:xlrd2="http://schemas.microsoft.com/office/spreadsheetml/2017/richdata2" ref="A2:AE81">
    <sortCondition ref="H2:H81"/>
  </sortState>
  <phoneticPr fontId="18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18BE7-3062-E846-8023-FDCAFEB2C669}">
  <dimension ref="A1:O2"/>
  <sheetViews>
    <sheetView workbookViewId="0">
      <selection activeCell="G15" sqref="G15"/>
    </sheetView>
  </sheetViews>
  <sheetFormatPr defaultColWidth="11" defaultRowHeight="15.75" x14ac:dyDescent="0.25"/>
  <cols>
    <col min="7" max="7" width="38.625" bestFit="1" customWidth="1"/>
  </cols>
  <sheetData>
    <row r="1" spans="1:15" x14ac:dyDescent="0.25">
      <c r="A1" s="3" t="s">
        <v>8</v>
      </c>
      <c r="B1" t="s">
        <v>9</v>
      </c>
      <c r="C1" t="s">
        <v>10</v>
      </c>
      <c r="D1" t="s">
        <v>12</v>
      </c>
      <c r="E1" t="s">
        <v>14</v>
      </c>
      <c r="F1" t="s">
        <v>15</v>
      </c>
      <c r="G1" t="s">
        <v>17</v>
      </c>
      <c r="H1" t="s">
        <v>18</v>
      </c>
      <c r="I1" t="s">
        <v>20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37</v>
      </c>
    </row>
    <row r="2" spans="1:15" s="5" customFormat="1" x14ac:dyDescent="0.25">
      <c r="A2" s="4" t="s">
        <v>343</v>
      </c>
      <c r="B2" s="5" t="s">
        <v>245</v>
      </c>
      <c r="D2" s="5" t="s">
        <v>187</v>
      </c>
      <c r="E2" s="5" t="s">
        <v>188</v>
      </c>
      <c r="F2" s="5" t="s">
        <v>189</v>
      </c>
      <c r="G2" s="5" t="s">
        <v>246</v>
      </c>
      <c r="H2" s="6">
        <v>45689</v>
      </c>
      <c r="I2" s="5" t="s">
        <v>51</v>
      </c>
      <c r="J2" s="5" t="s">
        <v>53</v>
      </c>
      <c r="K2" s="5" t="s">
        <v>247</v>
      </c>
      <c r="L2" s="5">
        <v>9</v>
      </c>
      <c r="M2" s="7">
        <v>1</v>
      </c>
      <c r="N2" s="5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2025-02-13T14:02:55Z</dcterms:created>
  <dcterms:modified xsi:type="dcterms:W3CDTF">2025-02-14T18:22:59Z</dcterms:modified>
</cp:coreProperties>
</file>