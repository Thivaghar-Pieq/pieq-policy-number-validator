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2-19-25\"/>
    </mc:Choice>
  </mc:AlternateContent>
  <xr:revisionPtr revIDLastSave="0" documentId="13_ncr:1_{7D9DE1B7-5288-4451-81E5-26AEF2B3596C}" xr6:coauthVersionLast="47" xr6:coauthVersionMax="47" xr10:uidLastSave="{00000000-0000-0000-0000-000000000000}"/>
  <bookViews>
    <workbookView xWindow="28680" yWindow="-120" windowWidth="29040" windowHeight="16440" xr2:uid="{39D953D6-5D3D-4241-B9B1-27C0152130F7}"/>
  </bookViews>
  <sheets>
    <sheet name="New Business Agent Statement - 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O17" i="2" l="1"/>
  <c r="O16" i="2"/>
  <c r="O11" i="2"/>
  <c r="O21" i="2"/>
  <c r="O20" i="2"/>
  <c r="O19" i="2"/>
  <c r="O18" i="2"/>
  <c r="O15" i="2"/>
  <c r="O13" i="2"/>
  <c r="O12" i="2"/>
  <c r="O10" i="2"/>
  <c r="O9" i="2"/>
  <c r="O14" i="2"/>
  <c r="O8" i="2"/>
  <c r="O7" i="2"/>
  <c r="R11" i="2"/>
  <c r="R14" i="2"/>
  <c r="R17" i="2"/>
  <c r="R12" i="2"/>
  <c r="R8" i="2"/>
  <c r="R7" i="2"/>
  <c r="R16" i="2"/>
  <c r="R10" i="2"/>
  <c r="R13" i="2"/>
  <c r="R19" i="2"/>
  <c r="R15" i="2"/>
  <c r="R18" i="2"/>
  <c r="R9" i="2"/>
  <c r="R20" i="2"/>
  <c r="N78" i="2"/>
  <c r="R77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3" i="2"/>
  <c r="R4" i="2"/>
  <c r="R5" i="2"/>
  <c r="R6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2" i="2"/>
  <c r="N5" i="3"/>
</calcChain>
</file>

<file path=xl/sharedStrings.xml><?xml version="1.0" encoding="utf-8"?>
<sst xmlns="http://schemas.openxmlformats.org/spreadsheetml/2006/main" count="1974" uniqueCount="340">
  <si>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</si>
  <si>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</si>
  <si>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</si>
  <si>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</si>
  <si>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</si>
  <si>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</si>
  <si>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</si>
  <si>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</si>
  <si>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</si>
  <si>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</si>
  <si>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</si>
  <si>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</si>
  <si>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</si>
  <si>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</si>
  <si>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</si>
  <si>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</si>
  <si>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</si>
  <si>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</si>
  <si>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</si>
  <si>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</si>
  <si>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</si>
  <si>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</si>
  <si>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</si>
  <si>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</si>
  <si>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</si>
  <si>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</si>
  <si>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</si>
  <si>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</si>
  <si>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</si>
  <si>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</si>
  <si>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</si>
  <si>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</si>
  <si>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</si>
  <si>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</si>
  <si>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</si>
  <si>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</si>
  <si>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</si>
  <si>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</si>
  <si>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</si>
  <si>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</si>
  <si>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</si>
  <si>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</si>
  <si>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</si>
  <si>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</si>
  <si>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'00019923594K</t>
  </si>
  <si>
    <t>NANCY LOPOTKO</t>
  </si>
  <si>
    <t>NA</t>
  </si>
  <si>
    <t>'045605</t>
  </si>
  <si>
    <t>GARY PORTUGAL</t>
  </si>
  <si>
    <t>ACTIVE</t>
  </si>
  <si>
    <t>Humana MA 2019+ Level 15- 175/108</t>
  </si>
  <si>
    <t>Monthly</t>
  </si>
  <si>
    <t>AV</t>
  </si>
  <si>
    <t>'00021502269K</t>
  </si>
  <si>
    <t>ZAREEFUNNISA HUSSAINI</t>
  </si>
  <si>
    <t>'043618</t>
  </si>
  <si>
    <t>SAADIA ABDUL</t>
  </si>
  <si>
    <t>Humana MA 2019+ Level 15- 175/108 Repl 2024</t>
  </si>
  <si>
    <t>'00021505553K</t>
  </si>
  <si>
    <t>SYED HUSSAINI</t>
  </si>
  <si>
    <t>'00021880649K</t>
  </si>
  <si>
    <t>KAREEMA ABDUL-FARMER</t>
  </si>
  <si>
    <t>'045709</t>
  </si>
  <si>
    <t>ESTHER HERRERA-LARSEN</t>
  </si>
  <si>
    <t>'00022542308K</t>
  </si>
  <si>
    <t>PRINCY SHYAM</t>
  </si>
  <si>
    <t>'045612</t>
  </si>
  <si>
    <t>ANTHONY HUNSBERGER</t>
  </si>
  <si>
    <t>'00023069230K</t>
  </si>
  <si>
    <t>MICHAEL POLLARD</t>
  </si>
  <si>
    <t>'043969</t>
  </si>
  <si>
    <t>STACEY PORTUGAL</t>
  </si>
  <si>
    <t>'00023070047K</t>
  </si>
  <si>
    <t>MARLA STANGL</t>
  </si>
  <si>
    <t>'043682</t>
  </si>
  <si>
    <t>GREGORY TEIPEL</t>
  </si>
  <si>
    <t>'00023070900K</t>
  </si>
  <si>
    <t>JERRI ESTELLE</t>
  </si>
  <si>
    <t>'00023071289K</t>
  </si>
  <si>
    <t>DEBRA PHILLIPS</t>
  </si>
  <si>
    <t>'043705</t>
  </si>
  <si>
    <t>MICHAEL DUNAVANT</t>
  </si>
  <si>
    <t>'00023072316K</t>
  </si>
  <si>
    <t>KAY WILLIES</t>
  </si>
  <si>
    <t>'00023073086K</t>
  </si>
  <si>
    <t>JOHN HAMPTON</t>
  </si>
  <si>
    <t>'045712</t>
  </si>
  <si>
    <t>GREGORY HANSFORD</t>
  </si>
  <si>
    <t>'00023077340K</t>
  </si>
  <si>
    <t>JACQUALINE JONES</t>
  </si>
  <si>
    <t>'00023083207K</t>
  </si>
  <si>
    <t>JENNIFER STOLTZ</t>
  </si>
  <si>
    <t>'00023086320K</t>
  </si>
  <si>
    <t>JULIANNE LAPETINA</t>
  </si>
  <si>
    <t>'045622</t>
  </si>
  <si>
    <t>JACOB YALE</t>
  </si>
  <si>
    <t>'00023087793K</t>
  </si>
  <si>
    <t>SUSAN BARNETT</t>
  </si>
  <si>
    <t>'00023090352K</t>
  </si>
  <si>
    <t>JANICE BEDARD</t>
  </si>
  <si>
    <t>'045604</t>
  </si>
  <si>
    <t>JEFFREY HORN</t>
  </si>
  <si>
    <t>'018009249</t>
  </si>
  <si>
    <t>ELIZABETH CAPLES</t>
  </si>
  <si>
    <t>PA</t>
  </si>
  <si>
    <t>'043690</t>
  </si>
  <si>
    <t>THOMAS KUCAN</t>
  </si>
  <si>
    <t>UHC MA GA 2024 New Initial Prorated</t>
  </si>
  <si>
    <t>10/12 PRORATE</t>
  </si>
  <si>
    <t>'018009249OV</t>
  </si>
  <si>
    <t>UHC PDP Direct 2024 New Initial Prorated</t>
  </si>
  <si>
    <t>'101197955700</t>
  </si>
  <si>
    <t>TERRI HOFFMAN MAIRE</t>
  </si>
  <si>
    <t>IL</t>
  </si>
  <si>
    <t>'045613</t>
  </si>
  <si>
    <t>RICARDO SANTOS</t>
  </si>
  <si>
    <t>Aetna MAPD NMO to GMO - 4-1-23+  Replace E-App</t>
  </si>
  <si>
    <t>11/12 PRORATE</t>
  </si>
  <si>
    <t>'101228663400</t>
  </si>
  <si>
    <t>IRENE KLOK</t>
  </si>
  <si>
    <t>'045611</t>
  </si>
  <si>
    <t>FRANK LISKOVEC</t>
  </si>
  <si>
    <t>'101275730400</t>
  </si>
  <si>
    <t>SUSAN WASYLIK</t>
  </si>
  <si>
    <t>'101384842900</t>
  </si>
  <si>
    <t>STEPHEN GRAHAM</t>
  </si>
  <si>
    <t>'101472681300</t>
  </si>
  <si>
    <t>SUZANNE HEY</t>
  </si>
  <si>
    <t>'101518663400</t>
  </si>
  <si>
    <t>ROBERT MABIE</t>
  </si>
  <si>
    <t>'101838101000</t>
  </si>
  <si>
    <t>THOMAS DUKULY</t>
  </si>
  <si>
    <t>MD</t>
  </si>
  <si>
    <t>'045658</t>
  </si>
  <si>
    <t>CAROLYN WILSON-SMITH</t>
  </si>
  <si>
    <t>Aetna MAPD NMO to GMO - 4-1-23+  New E-App</t>
  </si>
  <si>
    <t>'101847840100</t>
  </si>
  <si>
    <t>JAMES GROOMES</t>
  </si>
  <si>
    <t>'101954370400</t>
  </si>
  <si>
    <t>WILLIAM ROSE</t>
  </si>
  <si>
    <t>'102092317600</t>
  </si>
  <si>
    <t>JULIE MARKIN</t>
  </si>
  <si>
    <t>'041686</t>
  </si>
  <si>
    <t>DALE WALENGA</t>
  </si>
  <si>
    <t>'102095792600</t>
  </si>
  <si>
    <t>TOM PAPADOPOULOS</t>
  </si>
  <si>
    <t>'043739</t>
  </si>
  <si>
    <t>ANDREA PETRUNGARO</t>
  </si>
  <si>
    <t>'102099947600</t>
  </si>
  <si>
    <t>STOJANKA STOJANOVIC</t>
  </si>
  <si>
    <t>FL</t>
  </si>
  <si>
    <t>'043748</t>
  </si>
  <si>
    <t>SCOTT FINE</t>
  </si>
  <si>
    <t>'102142808400</t>
  </si>
  <si>
    <t>WILLIAM SPELICH</t>
  </si>
  <si>
    <t>'102142845300</t>
  </si>
  <si>
    <t>CINDY DICKERSON</t>
  </si>
  <si>
    <t>SD</t>
  </si>
  <si>
    <t>'102143800500</t>
  </si>
  <si>
    <t>GRACE HUETT</t>
  </si>
  <si>
    <t>'043611</t>
  </si>
  <si>
    <t>TIMOTHY POWERS</t>
  </si>
  <si>
    <t>'102144486900</t>
  </si>
  <si>
    <t>NICKI COZZI</t>
  </si>
  <si>
    <t>'102144511800</t>
  </si>
  <si>
    <t>SUSAN BUSSE</t>
  </si>
  <si>
    <t>9/12 PRORATE</t>
  </si>
  <si>
    <t>'102144960200</t>
  </si>
  <si>
    <t>SOLOMON DOE</t>
  </si>
  <si>
    <t>'043743</t>
  </si>
  <si>
    <t>FREDERICK GBASSANA</t>
  </si>
  <si>
    <t>'132127789</t>
  </si>
  <si>
    <t>JOHN CULLEN</t>
  </si>
  <si>
    <t>'043679</t>
  </si>
  <si>
    <t>DEBORAH INSKIPT</t>
  </si>
  <si>
    <t>UHC MAPD Street payable to upline PA/CT- 2025 Replace</t>
  </si>
  <si>
    <t>'132127789OV</t>
  </si>
  <si>
    <t>UHC MA Direct 2024 New Full</t>
  </si>
  <si>
    <t>'132358274</t>
  </si>
  <si>
    <t>TERESA VACA</t>
  </si>
  <si>
    <t>IA</t>
  </si>
  <si>
    <t>UHC MAPD Street payable to upline- 2025 Replace</t>
  </si>
  <si>
    <t>'132358274OV</t>
  </si>
  <si>
    <t>'905795627</t>
  </si>
  <si>
    <t>KATHRYN GARDNER</t>
  </si>
  <si>
    <t>TX</t>
  </si>
  <si>
    <t>'043623</t>
  </si>
  <si>
    <t>DOLORES DUNBAR</t>
  </si>
  <si>
    <t>'905795627OV</t>
  </si>
  <si>
    <t>'908879612</t>
  </si>
  <si>
    <t>TERI WEISSMAN</t>
  </si>
  <si>
    <t>'045601</t>
  </si>
  <si>
    <t>CAROL FOLEY</t>
  </si>
  <si>
    <t>'908879612OV</t>
  </si>
  <si>
    <t>UHC MA Direct 2024 New Initial Prorated</t>
  </si>
  <si>
    <t>'910679218</t>
  </si>
  <si>
    <t>GILBERTO CANDELARIA</t>
  </si>
  <si>
    <t>'910679218OV</t>
  </si>
  <si>
    <t>'915295689</t>
  </si>
  <si>
    <t>JOHN CARR</t>
  </si>
  <si>
    <t>'915295689OV</t>
  </si>
  <si>
    <t>'915309291</t>
  </si>
  <si>
    <t>KARL HASZ</t>
  </si>
  <si>
    <t>CO</t>
  </si>
  <si>
    <t>'045621</t>
  </si>
  <si>
    <t>HEATHER GESKE</t>
  </si>
  <si>
    <t>'915309291OV</t>
  </si>
  <si>
    <t>'918227007</t>
  </si>
  <si>
    <t>RICHARD GARDNER</t>
  </si>
  <si>
    <t>'918227007OV</t>
  </si>
  <si>
    <t>'928404480</t>
  </si>
  <si>
    <t>SUSAN HASZ</t>
  </si>
  <si>
    <t>'928404480OV</t>
  </si>
  <si>
    <t>'931766659</t>
  </si>
  <si>
    <t>RATNA NANDA</t>
  </si>
  <si>
    <t>'931766659OV</t>
  </si>
  <si>
    <t>'945285621</t>
  </si>
  <si>
    <t>FLORA ESQUIVEL</t>
  </si>
  <si>
    <t>'945285621OV</t>
  </si>
  <si>
    <t>'966106339</t>
  </si>
  <si>
    <t>RICHARD GIBBS</t>
  </si>
  <si>
    <t>'966106339OV</t>
  </si>
  <si>
    <t>'970877095</t>
  </si>
  <si>
    <t>RUSSELL HARRIS</t>
  </si>
  <si>
    <t>NC</t>
  </si>
  <si>
    <t>UHC MAPD Street payable to upline- 2025 Pro New</t>
  </si>
  <si>
    <t>'970877095OV</t>
  </si>
  <si>
    <t>'971498173</t>
  </si>
  <si>
    <t>SYBIL KEELE</t>
  </si>
  <si>
    <t>'043718</t>
  </si>
  <si>
    <t>CHAD YALE</t>
  </si>
  <si>
    <t>'971498173OV</t>
  </si>
  <si>
    <t>'987982162</t>
  </si>
  <si>
    <t>MATTHEW COLLINS</t>
  </si>
  <si>
    <t>OH</t>
  </si>
  <si>
    <t>'043664</t>
  </si>
  <si>
    <t>JEFFREY SELM</t>
  </si>
  <si>
    <t>UHC MA Bonus Upload 02-19-2025.xlsx</t>
  </si>
  <si>
    <t>'987982162OV</t>
  </si>
  <si>
    <t>'992296804</t>
  </si>
  <si>
    <t>JIMMIE PERKINS</t>
  </si>
  <si>
    <t>'992296804OV</t>
  </si>
  <si>
    <t>'A04226341</t>
  </si>
  <si>
    <t>CHARLES GORMAN</t>
  </si>
  <si>
    <t>UHC AARP Med Supp TX Area 3 2025- Plan F G</t>
  </si>
  <si>
    <t>'A04227121</t>
  </si>
  <si>
    <t>MONICA GAMBONY</t>
  </si>
  <si>
    <t>NJ</t>
  </si>
  <si>
    <t>'045609</t>
  </si>
  <si>
    <t>MURRAY STERNER</t>
  </si>
  <si>
    <t>UHC AARP Med Supp NJ - Plan  B C D F G</t>
  </si>
  <si>
    <t>'MEQNPDZM00016457948</t>
  </si>
  <si>
    <t>LUIS CABELLO</t>
  </si>
  <si>
    <t>'043768</t>
  </si>
  <si>
    <t>BRAIN RAUGHTER</t>
  </si>
  <si>
    <t>Aetna MAPD NMO to GMO 4-1-23+  -CA NJ - Replace E-App</t>
  </si>
  <si>
    <t>'UHC MBI</t>
  </si>
  <si>
    <t>UHC MBI</t>
  </si>
  <si>
    <t>'TBD</t>
  </si>
  <si>
    <t>Active</t>
  </si>
  <si>
    <t>OTHER</t>
  </si>
  <si>
    <t>UHC MBI Bonus Upload 02-19-2025.xlsx</t>
  </si>
  <si>
    <t>CB</t>
  </si>
  <si>
    <t>'00022123171KPC</t>
  </si>
  <si>
    <t>CHARGEBACK</t>
  </si>
  <si>
    <t>'00022208015KPC</t>
  </si>
  <si>
    <t>MARGARET HENRY</t>
  </si>
  <si>
    <t>'00022502198KCB</t>
  </si>
  <si>
    <t>ROBERT FOSTER</t>
  </si>
  <si>
    <t>'045638</t>
  </si>
  <si>
    <t>RICHARD YALE</t>
  </si>
  <si>
    <t>'00022512039KCB</t>
  </si>
  <si>
    <t>LEONA FOSTER</t>
  </si>
  <si>
    <t>'00022575947KPC</t>
  </si>
  <si>
    <t>SUSAN DUPUIS</t>
  </si>
  <si>
    <t>'102068004500CB</t>
  </si>
  <si>
    <t>THOMAS PRIGG</t>
  </si>
  <si>
    <t>'2P35MK1CM91CB</t>
  </si>
  <si>
    <t>BRIAN BARR</t>
  </si>
  <si>
    <t>Wellcare MA 2025 SGA</t>
  </si>
  <si>
    <t>'992296804CB</t>
  </si>
  <si>
    <t>UHC MAPD Street payable to upline - 2025 New</t>
  </si>
  <si>
    <t>'992296804OVCB</t>
  </si>
  <si>
    <t>Aetna MAPD OVR 2025</t>
  </si>
  <si>
    <t>Humana MAPD OVR 2025</t>
  </si>
  <si>
    <t>UHC AARP MS NJ - Plan B C D F G</t>
  </si>
  <si>
    <t>UHC MAPD Ovr 2025</t>
  </si>
  <si>
    <t>UHC 2025</t>
  </si>
  <si>
    <t>[%/$=626][prorate=11/12]</t>
  </si>
  <si>
    <t>UHC MAPD 2025*</t>
  </si>
  <si>
    <t>[%/$=313][prorate=11/12]</t>
  </si>
  <si>
    <t>[%/$=313][prorate=10/12]</t>
  </si>
  <si>
    <t>UHC 2025 CT, PA, DC *</t>
  </si>
  <si>
    <t>[%/$=353][prorate=11/12]</t>
  </si>
  <si>
    <t>Wellcare MAPD Ovr</t>
  </si>
  <si>
    <t>102068004500CB</t>
  </si>
  <si>
    <t>MEQNPDZM00016457948</t>
  </si>
  <si>
    <t>00019923594K</t>
  </si>
  <si>
    <t>00021880649K</t>
  </si>
  <si>
    <t>00022542308K</t>
  </si>
  <si>
    <t>00023069230K</t>
  </si>
  <si>
    <t>00023070047K</t>
  </si>
  <si>
    <t>00023070900K</t>
  </si>
  <si>
    <t>00023071289K</t>
  </si>
  <si>
    <t>00023072316K</t>
  </si>
  <si>
    <t>00023073086K</t>
  </si>
  <si>
    <t>00023077340K</t>
  </si>
  <si>
    <t>00023083207K</t>
  </si>
  <si>
    <t>00023086320K</t>
  </si>
  <si>
    <t>00023087793K</t>
  </si>
  <si>
    <t>00023090352K</t>
  </si>
  <si>
    <t>00022123171KPC</t>
  </si>
  <si>
    <t>00022208015KPC</t>
  </si>
  <si>
    <t>00022502198KCB</t>
  </si>
  <si>
    <t>00022512039KCB</t>
  </si>
  <si>
    <t>00022575947KPC</t>
  </si>
  <si>
    <t>00021502269K</t>
  </si>
  <si>
    <t>00021505553K</t>
  </si>
  <si>
    <t>A04227121</t>
  </si>
  <si>
    <t>132127789OV</t>
  </si>
  <si>
    <t>132358274OV</t>
  </si>
  <si>
    <t>905795627OV</t>
  </si>
  <si>
    <t>910679218OV</t>
  </si>
  <si>
    <t>915295689OV</t>
  </si>
  <si>
    <t>915309291OV</t>
  </si>
  <si>
    <t>918227007OV</t>
  </si>
  <si>
    <t>928404480OV</t>
  </si>
  <si>
    <t>931766659OV</t>
  </si>
  <si>
    <t>945285621OV</t>
  </si>
  <si>
    <t>966106339OV</t>
  </si>
  <si>
    <t>970877095OV</t>
  </si>
  <si>
    <t>971498173OV</t>
  </si>
  <si>
    <t>992296804OVCB</t>
  </si>
  <si>
    <t>908879612OV</t>
  </si>
  <si>
    <t>992296804OV</t>
  </si>
  <si>
    <t>992296804CB</t>
  </si>
  <si>
    <t>2P35MK1CM91CB</t>
  </si>
  <si>
    <t>Main Line Benefits</t>
  </si>
  <si>
    <t>17528908N</t>
  </si>
  <si>
    <t>987982162OV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</si>
</sst>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64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 applyAlignment="1">
      <alignment horizontal="right"/>
    </xf>
    <xf numFmtId="1" fontId="14" fillId="33" borderId="0" xfId="0" applyNumberFormat="1" applyFont="1" applyFill="1" applyAlignment="1">
      <alignment horizontal="left"/>
    </xf>
    <xf numFmtId="0" fontId="14" fillId="33" borderId="0" xfId="0" applyFont="1" applyFill="1"/>
    <xf numFmtId="14" fontId="14" fillId="33" borderId="0" xfId="0" applyNumberFormat="1" applyFont="1" applyFill="1"/>
    <xf numFmtId="8" fontId="14" fillId="33" borderId="0" xfId="0" applyNumberFormat="1" applyFont="1" applyFill="1"/>
    <xf numFmtId="10" fontId="14" fillId="33" borderId="0" xfId="0" applyNumberFormat="1" applyFont="1" applyFill="1"/>
    <xf numFmtId="164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087-783B-4082-9056-21F53138BBBC}">
  <dimension ref="A1:AL82"/>
  <sheetViews>
    <sheetView tabSelected="1" topLeftCell="N49" workbookViewId="0">
      <selection activeCell="P39" sqref="P39"/>
    </sheetView>
  </sheetViews>
  <sheetFormatPr defaultRowHeight="15" x14ac:dyDescent="0.25"/>
  <cols>
    <col min="9" max="9" width="23.5703125" bestFit="1" customWidth="1"/>
    <col min="10" max="10" width="24.28515625" bestFit="1" customWidth="1"/>
    <col min="16" max="16" width="23.7109375" bestFit="1" customWidth="1"/>
    <col min="18" max="18" width="53.42578125" bestFit="1" customWidth="1"/>
    <col min="19" max="19" width="10.140625" bestFit="1" customWidth="1"/>
    <col min="26" max="26" width="15.85546875" bestFit="1" customWidth="1"/>
    <col min="29" max="29" width="17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45707</v>
      </c>
      <c r="B2" s="1">
        <v>45707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45689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4">
        <v>175</v>
      </c>
      <c r="AD2" s="3">
        <v>0</v>
      </c>
      <c r="AE2" s="2">
        <v>0</v>
      </c>
      <c r="AF2" s="2">
        <v>175</v>
      </c>
      <c r="AK2">
        <v>5033462</v>
      </c>
    </row>
    <row r="3" spans="1:38" x14ac:dyDescent="0.25">
      <c r="A3" s="1">
        <v>45707</v>
      </c>
      <c r="B3" s="1">
        <v>45707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45689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4">
        <v>108</v>
      </c>
      <c r="AD3" s="3">
        <v>0</v>
      </c>
      <c r="AE3" s="2">
        <v>0</v>
      </c>
      <c r="AF3" s="2">
        <v>108</v>
      </c>
      <c r="AK3">
        <v>5033426</v>
      </c>
    </row>
    <row r="4" spans="1:38" x14ac:dyDescent="0.25">
      <c r="A4" s="1">
        <v>45707</v>
      </c>
      <c r="B4" s="1">
        <v>45707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55</v>
      </c>
      <c r="P4" t="s">
        <v>56</v>
      </c>
      <c r="Q4" t="s">
        <v>49</v>
      </c>
      <c r="R4" t="s">
        <v>57</v>
      </c>
      <c r="S4" s="1">
        <v>45689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4">
        <v>108</v>
      </c>
      <c r="AD4" s="3">
        <v>0</v>
      </c>
      <c r="AE4" s="2">
        <v>0</v>
      </c>
      <c r="AF4" s="2">
        <v>108</v>
      </c>
      <c r="AK4">
        <v>5033427</v>
      </c>
    </row>
    <row r="5" spans="1:38" x14ac:dyDescent="0.25">
      <c r="A5" s="1">
        <v>45707</v>
      </c>
      <c r="B5" s="1">
        <v>45707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50</v>
      </c>
      <c r="S5" s="1">
        <v>45689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4">
        <v>175</v>
      </c>
      <c r="AD5" s="3">
        <v>0</v>
      </c>
      <c r="AE5" s="2">
        <v>0</v>
      </c>
      <c r="AF5" s="2">
        <v>175</v>
      </c>
      <c r="AK5">
        <v>5033469</v>
      </c>
    </row>
    <row r="6" spans="1:38" x14ac:dyDescent="0.25">
      <c r="A6" s="1">
        <v>45707</v>
      </c>
      <c r="B6" s="1">
        <v>45707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46</v>
      </c>
      <c r="O6" t="s">
        <v>66</v>
      </c>
      <c r="P6" t="s">
        <v>67</v>
      </c>
      <c r="Q6" t="s">
        <v>49</v>
      </c>
      <c r="R6" t="s">
        <v>50</v>
      </c>
      <c r="S6" s="1">
        <v>45658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4">
        <v>175</v>
      </c>
      <c r="AD6" s="3">
        <v>0</v>
      </c>
      <c r="AE6" s="2">
        <v>0</v>
      </c>
      <c r="AF6" s="2">
        <v>175</v>
      </c>
      <c r="AK6">
        <v>5033470</v>
      </c>
    </row>
    <row r="7" spans="1:38" x14ac:dyDescent="0.25">
      <c r="A7" s="1">
        <v>45707</v>
      </c>
      <c r="B7" s="1">
        <v>45707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46</v>
      </c>
      <c r="O7" t="s">
        <v>70</v>
      </c>
      <c r="P7" t="s">
        <v>71</v>
      </c>
      <c r="Q7" t="s">
        <v>49</v>
      </c>
      <c r="R7" t="s">
        <v>50</v>
      </c>
      <c r="S7" s="1">
        <v>45689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4">
        <v>175</v>
      </c>
      <c r="AD7" s="3">
        <v>0</v>
      </c>
      <c r="AE7" s="2">
        <v>0</v>
      </c>
      <c r="AF7" s="2">
        <v>175</v>
      </c>
      <c r="AK7">
        <v>5033480</v>
      </c>
    </row>
    <row r="8" spans="1:38" x14ac:dyDescent="0.25">
      <c r="A8" s="1">
        <v>45707</v>
      </c>
      <c r="B8" s="1">
        <v>45707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50</v>
      </c>
      <c r="S8" s="1">
        <v>45778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4">
        <v>175</v>
      </c>
      <c r="AD8" s="3">
        <v>0</v>
      </c>
      <c r="AE8" s="2">
        <v>0</v>
      </c>
      <c r="AF8" s="2">
        <v>175</v>
      </c>
      <c r="AK8">
        <v>5033486</v>
      </c>
    </row>
    <row r="9" spans="1:38" x14ac:dyDescent="0.25">
      <c r="A9" s="1">
        <v>45707</v>
      </c>
      <c r="B9" s="1">
        <v>45707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74</v>
      </c>
      <c r="P9" t="s">
        <v>75</v>
      </c>
      <c r="Q9" t="s">
        <v>49</v>
      </c>
      <c r="R9" t="s">
        <v>50</v>
      </c>
      <c r="S9" s="1">
        <v>45748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4">
        <v>175</v>
      </c>
      <c r="AD9" s="3">
        <v>0</v>
      </c>
      <c r="AE9" s="2">
        <v>0</v>
      </c>
      <c r="AF9" s="2">
        <v>175</v>
      </c>
      <c r="AK9">
        <v>5033490</v>
      </c>
    </row>
    <row r="10" spans="1:38" x14ac:dyDescent="0.25">
      <c r="A10" s="1">
        <v>45707</v>
      </c>
      <c r="B10" s="1">
        <v>45707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78</v>
      </c>
      <c r="J10" t="s">
        <v>79</v>
      </c>
      <c r="M10" t="s">
        <v>46</v>
      </c>
      <c r="O10" t="s">
        <v>80</v>
      </c>
      <c r="P10" t="s">
        <v>81</v>
      </c>
      <c r="Q10" t="s">
        <v>49</v>
      </c>
      <c r="R10" t="s">
        <v>50</v>
      </c>
      <c r="S10" s="1">
        <v>45717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4">
        <v>175</v>
      </c>
      <c r="AD10" s="3">
        <v>0</v>
      </c>
      <c r="AE10" s="2">
        <v>0</v>
      </c>
      <c r="AF10" s="2">
        <v>175</v>
      </c>
      <c r="AK10">
        <v>5033492</v>
      </c>
    </row>
    <row r="11" spans="1:38" x14ac:dyDescent="0.25">
      <c r="A11" s="1">
        <v>45707</v>
      </c>
      <c r="B11" s="1">
        <v>45707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46</v>
      </c>
      <c r="O11" t="s">
        <v>47</v>
      </c>
      <c r="P11" t="s">
        <v>48</v>
      </c>
      <c r="Q11" t="s">
        <v>49</v>
      </c>
      <c r="R11" t="s">
        <v>50</v>
      </c>
      <c r="S11" s="1">
        <v>45778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4">
        <v>175</v>
      </c>
      <c r="AD11" s="3">
        <v>0</v>
      </c>
      <c r="AE11" s="2">
        <v>0</v>
      </c>
      <c r="AF11" s="2">
        <v>175</v>
      </c>
      <c r="AK11">
        <v>5033496</v>
      </c>
    </row>
    <row r="12" spans="1:38" x14ac:dyDescent="0.25">
      <c r="A12" s="1">
        <v>45707</v>
      </c>
      <c r="B12" s="1">
        <v>45707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84</v>
      </c>
      <c r="J12" t="s">
        <v>85</v>
      </c>
      <c r="M12" t="s">
        <v>46</v>
      </c>
      <c r="O12" t="s">
        <v>86</v>
      </c>
      <c r="P12" t="s">
        <v>87</v>
      </c>
      <c r="Q12" t="s">
        <v>49</v>
      </c>
      <c r="R12" t="s">
        <v>50</v>
      </c>
      <c r="S12" s="1">
        <v>45689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4">
        <v>175</v>
      </c>
      <c r="AD12" s="3">
        <v>0</v>
      </c>
      <c r="AE12" s="2">
        <v>0</v>
      </c>
      <c r="AF12" s="2">
        <v>175</v>
      </c>
      <c r="AK12">
        <v>5033497</v>
      </c>
    </row>
    <row r="13" spans="1:38" x14ac:dyDescent="0.25">
      <c r="A13" s="1">
        <v>45707</v>
      </c>
      <c r="B13" s="1">
        <v>45707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88</v>
      </c>
      <c r="J13" t="s">
        <v>89</v>
      </c>
      <c r="M13" t="s">
        <v>46</v>
      </c>
      <c r="O13" t="s">
        <v>86</v>
      </c>
      <c r="P13" t="s">
        <v>87</v>
      </c>
      <c r="Q13" t="s">
        <v>49</v>
      </c>
      <c r="R13" t="s">
        <v>50</v>
      </c>
      <c r="S13" s="1">
        <v>45689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4">
        <v>175</v>
      </c>
      <c r="AD13" s="3">
        <v>0</v>
      </c>
      <c r="AE13" s="2">
        <v>0</v>
      </c>
      <c r="AF13" s="2">
        <v>175</v>
      </c>
      <c r="AK13">
        <v>5033519</v>
      </c>
    </row>
    <row r="14" spans="1:38" x14ac:dyDescent="0.25">
      <c r="A14" s="1">
        <v>45707</v>
      </c>
      <c r="B14" s="1">
        <v>45707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90</v>
      </c>
      <c r="J14" t="s">
        <v>91</v>
      </c>
      <c r="M14" t="s">
        <v>46</v>
      </c>
      <c r="O14" t="s">
        <v>47</v>
      </c>
      <c r="P14" t="s">
        <v>48</v>
      </c>
      <c r="Q14" t="s">
        <v>49</v>
      </c>
      <c r="R14" t="s">
        <v>50</v>
      </c>
      <c r="S14" s="1">
        <v>45778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4">
        <v>175</v>
      </c>
      <c r="AD14" s="3">
        <v>0</v>
      </c>
      <c r="AE14" s="2">
        <v>0</v>
      </c>
      <c r="AF14" s="2">
        <v>175</v>
      </c>
      <c r="AK14">
        <v>5033532</v>
      </c>
    </row>
    <row r="15" spans="1:38" x14ac:dyDescent="0.25">
      <c r="A15" s="1">
        <v>45707</v>
      </c>
      <c r="B15" s="1">
        <v>45707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92</v>
      </c>
      <c r="J15" t="s">
        <v>93</v>
      </c>
      <c r="M15" t="s">
        <v>46</v>
      </c>
      <c r="O15" t="s">
        <v>94</v>
      </c>
      <c r="P15" t="s">
        <v>95</v>
      </c>
      <c r="Q15" t="s">
        <v>49</v>
      </c>
      <c r="R15" t="s">
        <v>50</v>
      </c>
      <c r="S15" s="1">
        <v>45748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4">
        <v>175</v>
      </c>
      <c r="AD15" s="3">
        <v>0</v>
      </c>
      <c r="AE15" s="2">
        <v>0</v>
      </c>
      <c r="AF15" s="2">
        <v>175</v>
      </c>
      <c r="AK15">
        <v>5033541</v>
      </c>
    </row>
    <row r="16" spans="1:38" x14ac:dyDescent="0.25">
      <c r="A16" s="1">
        <v>45707</v>
      </c>
      <c r="B16" s="1">
        <v>45707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96</v>
      </c>
      <c r="J16" t="s">
        <v>97</v>
      </c>
      <c r="M16" t="s">
        <v>46</v>
      </c>
      <c r="O16" t="s">
        <v>74</v>
      </c>
      <c r="P16" t="s">
        <v>75</v>
      </c>
      <c r="Q16" t="s">
        <v>49</v>
      </c>
      <c r="R16" t="s">
        <v>50</v>
      </c>
      <c r="S16" s="1">
        <v>45717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4">
        <v>175</v>
      </c>
      <c r="AD16" s="3">
        <v>0</v>
      </c>
      <c r="AE16" s="2">
        <v>0</v>
      </c>
      <c r="AF16" s="2">
        <v>175</v>
      </c>
      <c r="AK16">
        <v>5033551</v>
      </c>
    </row>
    <row r="17" spans="1:38" x14ac:dyDescent="0.25">
      <c r="A17" s="1">
        <v>45707</v>
      </c>
      <c r="B17" s="1">
        <v>45707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98</v>
      </c>
      <c r="J17" t="s">
        <v>99</v>
      </c>
      <c r="M17" t="s">
        <v>46</v>
      </c>
      <c r="O17" t="s">
        <v>100</v>
      </c>
      <c r="P17" t="s">
        <v>101</v>
      </c>
      <c r="Q17" t="s">
        <v>49</v>
      </c>
      <c r="R17" t="s">
        <v>50</v>
      </c>
      <c r="S17" s="1">
        <v>45717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4">
        <v>175</v>
      </c>
      <c r="AD17" s="3">
        <v>0</v>
      </c>
      <c r="AE17" s="2">
        <v>0</v>
      </c>
      <c r="AF17" s="2">
        <v>175</v>
      </c>
      <c r="AK17">
        <v>5033567</v>
      </c>
    </row>
    <row r="18" spans="1:38" x14ac:dyDescent="0.25">
      <c r="A18" s="1">
        <v>45707</v>
      </c>
      <c r="B18" s="1">
        <v>45707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102</v>
      </c>
      <c r="J18" t="s">
        <v>103</v>
      </c>
      <c r="M18" t="s">
        <v>104</v>
      </c>
      <c r="O18" t="s">
        <v>105</v>
      </c>
      <c r="P18" t="s">
        <v>106</v>
      </c>
      <c r="Q18" t="s">
        <v>49</v>
      </c>
      <c r="R18" t="s">
        <v>107</v>
      </c>
      <c r="S18" s="1">
        <v>45717</v>
      </c>
      <c r="U18" t="s">
        <v>51</v>
      </c>
      <c r="X18" t="s">
        <v>52</v>
      </c>
      <c r="Y18" s="2">
        <v>0</v>
      </c>
      <c r="Z18" s="2">
        <v>30.83</v>
      </c>
      <c r="AA18">
        <v>1</v>
      </c>
      <c r="AB18" s="3">
        <v>1</v>
      </c>
      <c r="AC18" s="4">
        <v>30.83</v>
      </c>
      <c r="AD18" s="3">
        <v>0</v>
      </c>
      <c r="AE18" s="2">
        <v>0</v>
      </c>
      <c r="AF18" s="2">
        <v>30.83</v>
      </c>
      <c r="AK18">
        <v>5033647</v>
      </c>
      <c r="AL18" t="s">
        <v>108</v>
      </c>
    </row>
    <row r="19" spans="1:38" x14ac:dyDescent="0.25">
      <c r="A19" s="1">
        <v>45707</v>
      </c>
      <c r="B19" s="1">
        <v>45707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109</v>
      </c>
      <c r="J19" t="s">
        <v>103</v>
      </c>
      <c r="M19" t="s">
        <v>104</v>
      </c>
      <c r="O19" t="s">
        <v>105</v>
      </c>
      <c r="P19" t="s">
        <v>106</v>
      </c>
      <c r="Q19" t="s">
        <v>49</v>
      </c>
      <c r="R19" t="s">
        <v>110</v>
      </c>
      <c r="S19" s="1">
        <v>45717</v>
      </c>
      <c r="U19" t="s">
        <v>51</v>
      </c>
      <c r="X19" t="s">
        <v>52</v>
      </c>
      <c r="Y19" s="2">
        <v>0</v>
      </c>
      <c r="Z19" s="2">
        <v>0</v>
      </c>
      <c r="AA19">
        <v>1</v>
      </c>
      <c r="AB19" s="3">
        <v>0</v>
      </c>
      <c r="AC19" s="4">
        <v>0</v>
      </c>
      <c r="AD19" s="3">
        <v>0</v>
      </c>
      <c r="AE19" s="2">
        <v>0</v>
      </c>
      <c r="AF19" s="2">
        <v>0</v>
      </c>
      <c r="AK19">
        <v>5033648</v>
      </c>
      <c r="AL19" t="s">
        <v>108</v>
      </c>
    </row>
    <row r="20" spans="1:38" s="5" customFormat="1" x14ac:dyDescent="0.25">
      <c r="A20" s="6">
        <v>45707</v>
      </c>
      <c r="B20" s="6">
        <v>45707</v>
      </c>
      <c r="C20" s="5" t="s">
        <v>38</v>
      </c>
      <c r="D20" s="5" t="s">
        <v>39</v>
      </c>
      <c r="E20" s="5" t="s">
        <v>40</v>
      </c>
      <c r="F20" s="5" t="s">
        <v>41</v>
      </c>
      <c r="G20" s="5" t="s">
        <v>42</v>
      </c>
      <c r="H20" s="5" t="s">
        <v>43</v>
      </c>
      <c r="I20" s="5" t="s">
        <v>111</v>
      </c>
      <c r="J20" s="5" t="s">
        <v>112</v>
      </c>
      <c r="M20" s="5" t="s">
        <v>113</v>
      </c>
      <c r="O20" s="5" t="s">
        <v>114</v>
      </c>
      <c r="P20" s="5" t="s">
        <v>115</v>
      </c>
      <c r="Q20" s="5" t="s">
        <v>49</v>
      </c>
      <c r="R20" s="5" t="s">
        <v>116</v>
      </c>
      <c r="S20" s="6">
        <v>45689</v>
      </c>
      <c r="U20" s="5" t="s">
        <v>51</v>
      </c>
      <c r="X20" s="5" t="s">
        <v>52</v>
      </c>
      <c r="Y20" s="7">
        <v>0</v>
      </c>
      <c r="Z20" s="7">
        <v>45.83</v>
      </c>
      <c r="AA20" s="5">
        <v>1</v>
      </c>
      <c r="AB20" s="8">
        <v>1</v>
      </c>
      <c r="AC20" s="9">
        <v>45.83</v>
      </c>
      <c r="AD20" s="8">
        <v>0</v>
      </c>
      <c r="AE20" s="7">
        <v>0</v>
      </c>
      <c r="AF20" s="7">
        <v>45.83</v>
      </c>
      <c r="AK20" s="5">
        <v>5033101</v>
      </c>
      <c r="AL20" s="5" t="s">
        <v>117</v>
      </c>
    </row>
    <row r="21" spans="1:38" s="5" customFormat="1" x14ac:dyDescent="0.25">
      <c r="A21" s="6">
        <v>45707</v>
      </c>
      <c r="B21" s="6">
        <v>45707</v>
      </c>
      <c r="C21" s="5" t="s">
        <v>38</v>
      </c>
      <c r="D21" s="5" t="s">
        <v>39</v>
      </c>
      <c r="E21" s="5" t="s">
        <v>40</v>
      </c>
      <c r="F21" s="5" t="s">
        <v>41</v>
      </c>
      <c r="G21" s="5" t="s">
        <v>42</v>
      </c>
      <c r="H21" s="5" t="s">
        <v>43</v>
      </c>
      <c r="I21" s="5" t="s">
        <v>118</v>
      </c>
      <c r="J21" s="5" t="s">
        <v>119</v>
      </c>
      <c r="M21" s="5" t="s">
        <v>46</v>
      </c>
      <c r="O21" s="5" t="s">
        <v>120</v>
      </c>
      <c r="P21" s="5" t="s">
        <v>121</v>
      </c>
      <c r="Q21" s="5" t="s">
        <v>49</v>
      </c>
      <c r="R21" s="5" t="s">
        <v>116</v>
      </c>
      <c r="S21" s="6">
        <v>45689</v>
      </c>
      <c r="U21" s="5" t="s">
        <v>51</v>
      </c>
      <c r="X21" s="5" t="s">
        <v>52</v>
      </c>
      <c r="Y21" s="7">
        <v>0</v>
      </c>
      <c r="Z21" s="7">
        <v>45.83</v>
      </c>
      <c r="AA21" s="5">
        <v>1</v>
      </c>
      <c r="AB21" s="8">
        <v>1</v>
      </c>
      <c r="AC21" s="9">
        <v>45.83</v>
      </c>
      <c r="AD21" s="8">
        <v>0</v>
      </c>
      <c r="AE21" s="7">
        <v>0</v>
      </c>
      <c r="AF21" s="7">
        <v>45.83</v>
      </c>
      <c r="AK21" s="5">
        <v>5033103</v>
      </c>
      <c r="AL21" s="5" t="s">
        <v>117</v>
      </c>
    </row>
    <row r="22" spans="1:38" s="5" customFormat="1" x14ac:dyDescent="0.25">
      <c r="A22" s="6">
        <v>45707</v>
      </c>
      <c r="B22" s="6">
        <v>45707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122</v>
      </c>
      <c r="J22" s="5" t="s">
        <v>123</v>
      </c>
      <c r="M22" s="5" t="s">
        <v>46</v>
      </c>
      <c r="O22" s="5" t="s">
        <v>66</v>
      </c>
      <c r="P22" s="5" t="s">
        <v>67</v>
      </c>
      <c r="Q22" s="5" t="s">
        <v>49</v>
      </c>
      <c r="R22" s="5" t="s">
        <v>116</v>
      </c>
      <c r="S22" s="6">
        <v>45689</v>
      </c>
      <c r="U22" s="5" t="s">
        <v>51</v>
      </c>
      <c r="X22" s="5" t="s">
        <v>52</v>
      </c>
      <c r="Y22" s="7">
        <v>0</v>
      </c>
      <c r="Z22" s="7">
        <v>45.83</v>
      </c>
      <c r="AA22" s="5">
        <v>1</v>
      </c>
      <c r="AB22" s="8">
        <v>1</v>
      </c>
      <c r="AC22" s="9">
        <v>45.83</v>
      </c>
      <c r="AD22" s="8">
        <v>0</v>
      </c>
      <c r="AE22" s="7">
        <v>0</v>
      </c>
      <c r="AF22" s="7">
        <v>45.83</v>
      </c>
      <c r="AK22" s="5">
        <v>5033105</v>
      </c>
      <c r="AL22" s="5" t="s">
        <v>117</v>
      </c>
    </row>
    <row r="23" spans="1:38" s="5" customFormat="1" x14ac:dyDescent="0.25">
      <c r="A23" s="6">
        <v>45707</v>
      </c>
      <c r="B23" s="6">
        <v>45707</v>
      </c>
      <c r="C23" s="5" t="s">
        <v>38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124</v>
      </c>
      <c r="J23" s="5" t="s">
        <v>125</v>
      </c>
      <c r="M23" s="5" t="s">
        <v>113</v>
      </c>
      <c r="O23" s="5" t="s">
        <v>66</v>
      </c>
      <c r="P23" s="5" t="s">
        <v>67</v>
      </c>
      <c r="Q23" s="5" t="s">
        <v>49</v>
      </c>
      <c r="R23" s="5" t="s">
        <v>116</v>
      </c>
      <c r="S23" s="6">
        <v>45689</v>
      </c>
      <c r="U23" s="5" t="s">
        <v>51</v>
      </c>
      <c r="X23" s="5" t="s">
        <v>52</v>
      </c>
      <c r="Y23" s="7">
        <v>0</v>
      </c>
      <c r="Z23" s="7">
        <v>45.83</v>
      </c>
      <c r="AA23" s="5">
        <v>1</v>
      </c>
      <c r="AB23" s="8">
        <v>1</v>
      </c>
      <c r="AC23" s="9">
        <v>45.83</v>
      </c>
      <c r="AD23" s="8">
        <v>0</v>
      </c>
      <c r="AE23" s="7">
        <v>0</v>
      </c>
      <c r="AF23" s="7">
        <v>45.83</v>
      </c>
      <c r="AK23" s="5">
        <v>5033108</v>
      </c>
      <c r="AL23" s="5" t="s">
        <v>117</v>
      </c>
    </row>
    <row r="24" spans="1:38" s="5" customFormat="1" x14ac:dyDescent="0.25">
      <c r="A24" s="6">
        <v>45707</v>
      </c>
      <c r="B24" s="6">
        <v>45707</v>
      </c>
      <c r="C24" s="5" t="s">
        <v>38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126</v>
      </c>
      <c r="J24" s="5" t="s">
        <v>127</v>
      </c>
      <c r="M24" s="5" t="s">
        <v>113</v>
      </c>
      <c r="O24" s="5" t="s">
        <v>100</v>
      </c>
      <c r="P24" s="5" t="s">
        <v>101</v>
      </c>
      <c r="Q24" s="5" t="s">
        <v>49</v>
      </c>
      <c r="R24" s="5" t="s">
        <v>116</v>
      </c>
      <c r="S24" s="6">
        <v>45689</v>
      </c>
      <c r="U24" s="5" t="s">
        <v>51</v>
      </c>
      <c r="X24" s="5" t="s">
        <v>52</v>
      </c>
      <c r="Y24" s="7">
        <v>0</v>
      </c>
      <c r="Z24" s="7">
        <v>45.83</v>
      </c>
      <c r="AA24" s="5">
        <v>1</v>
      </c>
      <c r="AB24" s="8">
        <v>1</v>
      </c>
      <c r="AC24" s="9">
        <v>45.83</v>
      </c>
      <c r="AD24" s="8">
        <v>0</v>
      </c>
      <c r="AE24" s="7">
        <v>0</v>
      </c>
      <c r="AF24" s="7">
        <v>45.83</v>
      </c>
      <c r="AK24" s="5">
        <v>5033111</v>
      </c>
      <c r="AL24" s="5" t="s">
        <v>117</v>
      </c>
    </row>
    <row r="25" spans="1:38" s="5" customFormat="1" x14ac:dyDescent="0.25">
      <c r="A25" s="6">
        <v>45707</v>
      </c>
      <c r="B25" s="6">
        <v>45707</v>
      </c>
      <c r="C25" s="5" t="s">
        <v>38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128</v>
      </c>
      <c r="J25" s="5" t="s">
        <v>129</v>
      </c>
      <c r="M25" s="5" t="s">
        <v>113</v>
      </c>
      <c r="O25" s="5" t="s">
        <v>120</v>
      </c>
      <c r="P25" s="5" t="s">
        <v>121</v>
      </c>
      <c r="Q25" s="5" t="s">
        <v>49</v>
      </c>
      <c r="R25" s="5" t="s">
        <v>116</v>
      </c>
      <c r="S25" s="6">
        <v>45689</v>
      </c>
      <c r="U25" s="5" t="s">
        <v>51</v>
      </c>
      <c r="X25" s="5" t="s">
        <v>52</v>
      </c>
      <c r="Y25" s="7">
        <v>0</v>
      </c>
      <c r="Z25" s="7">
        <v>45.83</v>
      </c>
      <c r="AA25" s="5">
        <v>1</v>
      </c>
      <c r="AB25" s="8">
        <v>1</v>
      </c>
      <c r="AC25" s="9">
        <v>45.83</v>
      </c>
      <c r="AD25" s="8">
        <v>0</v>
      </c>
      <c r="AE25" s="7">
        <v>0</v>
      </c>
      <c r="AF25" s="7">
        <v>45.83</v>
      </c>
      <c r="AK25" s="5">
        <v>5033118</v>
      </c>
      <c r="AL25" s="5" t="s">
        <v>117</v>
      </c>
    </row>
    <row r="26" spans="1:38" x14ac:dyDescent="0.25">
      <c r="A26" s="1">
        <v>45707</v>
      </c>
      <c r="B26" s="1">
        <v>45707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130</v>
      </c>
      <c r="J26" t="s">
        <v>131</v>
      </c>
      <c r="M26" t="s">
        <v>132</v>
      </c>
      <c r="O26" t="s">
        <v>133</v>
      </c>
      <c r="P26" t="s">
        <v>134</v>
      </c>
      <c r="Q26" t="s">
        <v>49</v>
      </c>
      <c r="R26" t="s">
        <v>135</v>
      </c>
      <c r="S26" s="1">
        <v>45658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4">
        <v>50</v>
      </c>
      <c r="AD26" s="3">
        <v>0</v>
      </c>
      <c r="AE26" s="2">
        <v>0</v>
      </c>
      <c r="AF26" s="2">
        <v>50</v>
      </c>
      <c r="AK26">
        <v>5033134</v>
      </c>
    </row>
    <row r="27" spans="1:38" x14ac:dyDescent="0.25">
      <c r="A27" s="1">
        <v>45707</v>
      </c>
      <c r="B27" s="1">
        <v>45707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132</v>
      </c>
      <c r="O27" t="s">
        <v>41</v>
      </c>
      <c r="P27" t="s">
        <v>43</v>
      </c>
      <c r="Q27" t="s">
        <v>49</v>
      </c>
      <c r="R27" t="s">
        <v>135</v>
      </c>
      <c r="S27" s="1">
        <v>45658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4">
        <v>50</v>
      </c>
      <c r="AD27" s="3">
        <v>0</v>
      </c>
      <c r="AE27" s="2">
        <v>0</v>
      </c>
      <c r="AF27" s="2">
        <v>50</v>
      </c>
      <c r="AK27">
        <v>5033135</v>
      </c>
    </row>
    <row r="28" spans="1:38" x14ac:dyDescent="0.25">
      <c r="A28" s="1">
        <v>45707</v>
      </c>
      <c r="B28" s="1">
        <v>45707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138</v>
      </c>
      <c r="J28" t="s">
        <v>139</v>
      </c>
      <c r="M28" t="s">
        <v>132</v>
      </c>
      <c r="O28" t="s">
        <v>41</v>
      </c>
      <c r="P28" t="s">
        <v>43</v>
      </c>
      <c r="Q28" t="s">
        <v>49</v>
      </c>
      <c r="R28" t="s">
        <v>135</v>
      </c>
      <c r="S28" s="1">
        <v>45658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4">
        <v>50</v>
      </c>
      <c r="AD28" s="3">
        <v>0</v>
      </c>
      <c r="AE28" s="2">
        <v>0</v>
      </c>
      <c r="AF28" s="2">
        <v>50</v>
      </c>
      <c r="AK28">
        <v>5033150</v>
      </c>
    </row>
    <row r="29" spans="1:38" s="5" customFormat="1" x14ac:dyDescent="0.25">
      <c r="A29" s="6">
        <v>45707</v>
      </c>
      <c r="B29" s="6">
        <v>45707</v>
      </c>
      <c r="C29" s="5" t="s">
        <v>38</v>
      </c>
      <c r="D29" s="5" t="s">
        <v>39</v>
      </c>
      <c r="E29" s="5" t="s">
        <v>40</v>
      </c>
      <c r="F29" s="5" t="s">
        <v>41</v>
      </c>
      <c r="G29" s="5" t="s">
        <v>42</v>
      </c>
      <c r="H29" s="5" t="s">
        <v>43</v>
      </c>
      <c r="I29" s="5" t="s">
        <v>140</v>
      </c>
      <c r="J29" s="5" t="s">
        <v>141</v>
      </c>
      <c r="M29" s="5" t="s">
        <v>113</v>
      </c>
      <c r="O29" s="5" t="s">
        <v>142</v>
      </c>
      <c r="P29" s="5" t="s">
        <v>143</v>
      </c>
      <c r="Q29" s="5" t="s">
        <v>49</v>
      </c>
      <c r="R29" s="5" t="s">
        <v>116</v>
      </c>
      <c r="S29" s="6">
        <v>45689</v>
      </c>
      <c r="U29" s="5" t="s">
        <v>51</v>
      </c>
      <c r="X29" s="5" t="s">
        <v>52</v>
      </c>
      <c r="Y29" s="7">
        <v>0</v>
      </c>
      <c r="Z29" s="7">
        <v>45.83</v>
      </c>
      <c r="AA29" s="5">
        <v>1</v>
      </c>
      <c r="AB29" s="8">
        <v>1</v>
      </c>
      <c r="AC29" s="9">
        <v>45.83</v>
      </c>
      <c r="AD29" s="8">
        <v>0</v>
      </c>
      <c r="AE29" s="7">
        <v>0</v>
      </c>
      <c r="AF29" s="7">
        <v>45.83</v>
      </c>
      <c r="AK29" s="5">
        <v>5033159</v>
      </c>
      <c r="AL29" s="5" t="s">
        <v>117</v>
      </c>
    </row>
    <row r="30" spans="1:38" x14ac:dyDescent="0.25">
      <c r="A30" s="1">
        <v>45707</v>
      </c>
      <c r="B30" s="1">
        <v>45707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144</v>
      </c>
      <c r="J30" t="s">
        <v>145</v>
      </c>
      <c r="M30" t="s">
        <v>113</v>
      </c>
      <c r="O30" t="s">
        <v>146</v>
      </c>
      <c r="P30" t="s">
        <v>147</v>
      </c>
      <c r="Q30" t="s">
        <v>49</v>
      </c>
      <c r="R30" t="s">
        <v>135</v>
      </c>
      <c r="S30" s="1">
        <v>45658</v>
      </c>
      <c r="U30" t="s">
        <v>51</v>
      </c>
      <c r="X30" t="s">
        <v>52</v>
      </c>
      <c r="Y30" s="2">
        <v>0</v>
      </c>
      <c r="Z30" s="2">
        <v>50</v>
      </c>
      <c r="AA30">
        <v>1</v>
      </c>
      <c r="AB30" s="3">
        <v>1</v>
      </c>
      <c r="AC30" s="4">
        <v>50</v>
      </c>
      <c r="AD30" s="3">
        <v>0</v>
      </c>
      <c r="AE30" s="2">
        <v>0</v>
      </c>
      <c r="AF30" s="2">
        <v>50</v>
      </c>
      <c r="AK30">
        <v>5033161</v>
      </c>
    </row>
    <row r="31" spans="1:38" s="5" customFormat="1" x14ac:dyDescent="0.25">
      <c r="A31" s="6">
        <v>45707</v>
      </c>
      <c r="B31" s="6">
        <v>45707</v>
      </c>
      <c r="C31" s="5" t="s">
        <v>38</v>
      </c>
      <c r="D31" s="5" t="s">
        <v>39</v>
      </c>
      <c r="E31" s="5" t="s">
        <v>40</v>
      </c>
      <c r="F31" s="5" t="s">
        <v>41</v>
      </c>
      <c r="G31" s="5" t="s">
        <v>42</v>
      </c>
      <c r="H31" s="5" t="s">
        <v>43</v>
      </c>
      <c r="I31" s="5" t="s">
        <v>148</v>
      </c>
      <c r="J31" s="5" t="s">
        <v>149</v>
      </c>
      <c r="M31" s="5" t="s">
        <v>150</v>
      </c>
      <c r="O31" s="5" t="s">
        <v>151</v>
      </c>
      <c r="P31" s="5" t="s">
        <v>152</v>
      </c>
      <c r="Q31" s="5" t="s">
        <v>49</v>
      </c>
      <c r="R31" s="5" t="s">
        <v>116</v>
      </c>
      <c r="S31" s="6">
        <v>45689</v>
      </c>
      <c r="U31" s="5" t="s">
        <v>51</v>
      </c>
      <c r="X31" s="5" t="s">
        <v>52</v>
      </c>
      <c r="Y31" s="7">
        <v>0</v>
      </c>
      <c r="Z31" s="7">
        <v>45.83</v>
      </c>
      <c r="AA31" s="5">
        <v>1</v>
      </c>
      <c r="AB31" s="8">
        <v>1</v>
      </c>
      <c r="AC31" s="9">
        <v>45.83</v>
      </c>
      <c r="AD31" s="8">
        <v>0</v>
      </c>
      <c r="AE31" s="7">
        <v>0</v>
      </c>
      <c r="AF31" s="7">
        <v>45.83</v>
      </c>
      <c r="AK31" s="5">
        <v>5033162</v>
      </c>
      <c r="AL31" s="5" t="s">
        <v>117</v>
      </c>
    </row>
    <row r="32" spans="1:38" s="5" customFormat="1" x14ac:dyDescent="0.25">
      <c r="A32" s="6">
        <v>45707</v>
      </c>
      <c r="B32" s="6">
        <v>45707</v>
      </c>
      <c r="C32" s="5" t="s">
        <v>38</v>
      </c>
      <c r="D32" s="5" t="s">
        <v>39</v>
      </c>
      <c r="E32" s="5" t="s">
        <v>40</v>
      </c>
      <c r="F32" s="5" t="s">
        <v>41</v>
      </c>
      <c r="G32" s="5" t="s">
        <v>42</v>
      </c>
      <c r="H32" s="5" t="s">
        <v>43</v>
      </c>
      <c r="I32" s="5" t="s">
        <v>153</v>
      </c>
      <c r="J32" s="5" t="s">
        <v>154</v>
      </c>
      <c r="M32" s="5" t="s">
        <v>113</v>
      </c>
      <c r="O32" s="5" t="s">
        <v>66</v>
      </c>
      <c r="P32" s="5" t="s">
        <v>67</v>
      </c>
      <c r="Q32" s="5" t="s">
        <v>49</v>
      </c>
      <c r="R32" s="5" t="s">
        <v>116</v>
      </c>
      <c r="S32" s="6">
        <v>45689</v>
      </c>
      <c r="U32" s="5" t="s">
        <v>51</v>
      </c>
      <c r="X32" s="5" t="s">
        <v>52</v>
      </c>
      <c r="Y32" s="7">
        <v>0</v>
      </c>
      <c r="Z32" s="7">
        <v>45.83</v>
      </c>
      <c r="AA32" s="5">
        <v>1</v>
      </c>
      <c r="AB32" s="8">
        <v>1</v>
      </c>
      <c r="AC32" s="9">
        <v>45.83</v>
      </c>
      <c r="AD32" s="8">
        <v>0</v>
      </c>
      <c r="AE32" s="7">
        <v>0</v>
      </c>
      <c r="AF32" s="7">
        <v>45.83</v>
      </c>
      <c r="AK32" s="5">
        <v>5033182</v>
      </c>
      <c r="AL32" s="5" t="s">
        <v>117</v>
      </c>
    </row>
    <row r="33" spans="1:38" s="5" customFormat="1" x14ac:dyDescent="0.25">
      <c r="A33" s="6">
        <v>45707</v>
      </c>
      <c r="B33" s="6">
        <v>45707</v>
      </c>
      <c r="C33" s="5" t="s">
        <v>38</v>
      </c>
      <c r="D33" s="5" t="s">
        <v>39</v>
      </c>
      <c r="E33" s="5" t="s">
        <v>40</v>
      </c>
      <c r="F33" s="5" t="s">
        <v>41</v>
      </c>
      <c r="G33" s="5" t="s">
        <v>42</v>
      </c>
      <c r="H33" s="5" t="s">
        <v>43</v>
      </c>
      <c r="I33" s="5" t="s">
        <v>155</v>
      </c>
      <c r="J33" s="5" t="s">
        <v>156</v>
      </c>
      <c r="M33" s="5" t="s">
        <v>157</v>
      </c>
      <c r="O33" s="5" t="s">
        <v>74</v>
      </c>
      <c r="P33" s="5" t="s">
        <v>75</v>
      </c>
      <c r="Q33" s="5" t="s">
        <v>49</v>
      </c>
      <c r="R33" s="5" t="s">
        <v>116</v>
      </c>
      <c r="S33" s="6">
        <v>45689</v>
      </c>
      <c r="U33" s="5" t="s">
        <v>51</v>
      </c>
      <c r="X33" s="5" t="s">
        <v>52</v>
      </c>
      <c r="Y33" s="7">
        <v>0</v>
      </c>
      <c r="Z33" s="7">
        <v>45.83</v>
      </c>
      <c r="AA33" s="5">
        <v>1</v>
      </c>
      <c r="AB33" s="8">
        <v>1</v>
      </c>
      <c r="AC33" s="9">
        <v>45.83</v>
      </c>
      <c r="AD33" s="8">
        <v>0</v>
      </c>
      <c r="AE33" s="7">
        <v>0</v>
      </c>
      <c r="AF33" s="7">
        <v>45.83</v>
      </c>
      <c r="AK33" s="5">
        <v>5033183</v>
      </c>
      <c r="AL33" s="5" t="s">
        <v>117</v>
      </c>
    </row>
    <row r="34" spans="1:38" s="5" customFormat="1" x14ac:dyDescent="0.25">
      <c r="A34" s="6">
        <v>45707</v>
      </c>
      <c r="B34" s="6">
        <v>45707</v>
      </c>
      <c r="C34" s="5" t="s">
        <v>38</v>
      </c>
      <c r="D34" s="5" t="s">
        <v>39</v>
      </c>
      <c r="E34" s="5" t="s">
        <v>40</v>
      </c>
      <c r="F34" s="5" t="s">
        <v>41</v>
      </c>
      <c r="G34" s="5" t="s">
        <v>42</v>
      </c>
      <c r="H34" s="5" t="s">
        <v>43</v>
      </c>
      <c r="I34" s="5" t="s">
        <v>158</v>
      </c>
      <c r="J34" s="5" t="s">
        <v>159</v>
      </c>
      <c r="M34" s="5" t="s">
        <v>104</v>
      </c>
      <c r="O34" s="5" t="s">
        <v>160</v>
      </c>
      <c r="P34" s="5" t="s">
        <v>161</v>
      </c>
      <c r="Q34" s="5" t="s">
        <v>49</v>
      </c>
      <c r="R34" s="5" t="s">
        <v>116</v>
      </c>
      <c r="S34" s="6">
        <v>45689</v>
      </c>
      <c r="U34" s="5" t="s">
        <v>51</v>
      </c>
      <c r="X34" s="5" t="s">
        <v>52</v>
      </c>
      <c r="Y34" s="7">
        <v>0</v>
      </c>
      <c r="Z34" s="7">
        <v>45.83</v>
      </c>
      <c r="AA34" s="5">
        <v>1</v>
      </c>
      <c r="AB34" s="8">
        <v>1</v>
      </c>
      <c r="AC34" s="9">
        <v>45.83</v>
      </c>
      <c r="AD34" s="8">
        <v>0</v>
      </c>
      <c r="AE34" s="7">
        <v>0</v>
      </c>
      <c r="AF34" s="7">
        <v>45.83</v>
      </c>
      <c r="AK34" s="5">
        <v>5033232</v>
      </c>
      <c r="AL34" s="5" t="s">
        <v>117</v>
      </c>
    </row>
    <row r="35" spans="1:38" s="5" customFormat="1" x14ac:dyDescent="0.25">
      <c r="A35" s="6">
        <v>45707</v>
      </c>
      <c r="B35" s="6">
        <v>45707</v>
      </c>
      <c r="C35" s="5" t="s">
        <v>38</v>
      </c>
      <c r="D35" s="5" t="s">
        <v>39</v>
      </c>
      <c r="E35" s="5" t="s">
        <v>40</v>
      </c>
      <c r="F35" s="5" t="s">
        <v>41</v>
      </c>
      <c r="G35" s="5" t="s">
        <v>42</v>
      </c>
      <c r="H35" s="5" t="s">
        <v>43</v>
      </c>
      <c r="I35" s="5" t="s">
        <v>162</v>
      </c>
      <c r="J35" s="5" t="s">
        <v>163</v>
      </c>
      <c r="M35" s="5" t="s">
        <v>46</v>
      </c>
      <c r="O35" s="5" t="s">
        <v>120</v>
      </c>
      <c r="P35" s="5" t="s">
        <v>121</v>
      </c>
      <c r="Q35" s="5" t="s">
        <v>49</v>
      </c>
      <c r="R35" s="5" t="s">
        <v>116</v>
      </c>
      <c r="S35" s="6">
        <v>45689</v>
      </c>
      <c r="U35" s="5" t="s">
        <v>51</v>
      </c>
      <c r="X35" s="5" t="s">
        <v>52</v>
      </c>
      <c r="Y35" s="7">
        <v>0</v>
      </c>
      <c r="Z35" s="7">
        <v>45.83</v>
      </c>
      <c r="AA35" s="5">
        <v>1</v>
      </c>
      <c r="AB35" s="8">
        <v>1</v>
      </c>
      <c r="AC35" s="9">
        <v>45.83</v>
      </c>
      <c r="AD35" s="8">
        <v>0</v>
      </c>
      <c r="AE35" s="7">
        <v>0</v>
      </c>
      <c r="AF35" s="7">
        <v>45.83</v>
      </c>
      <c r="AK35" s="5">
        <v>5033264</v>
      </c>
      <c r="AL35" s="5" t="s">
        <v>117</v>
      </c>
    </row>
    <row r="36" spans="1:38" s="5" customFormat="1" x14ac:dyDescent="0.25">
      <c r="A36" s="6">
        <v>45707</v>
      </c>
      <c r="B36" s="6">
        <v>45707</v>
      </c>
      <c r="C36" s="5" t="s">
        <v>38</v>
      </c>
      <c r="D36" s="5" t="s">
        <v>39</v>
      </c>
      <c r="E36" s="5" t="s">
        <v>40</v>
      </c>
      <c r="F36" s="5" t="s">
        <v>41</v>
      </c>
      <c r="G36" s="5" t="s">
        <v>42</v>
      </c>
      <c r="H36" s="5" t="s">
        <v>43</v>
      </c>
      <c r="I36" s="5" t="s">
        <v>164</v>
      </c>
      <c r="J36" s="5" t="s">
        <v>165</v>
      </c>
      <c r="M36" s="5" t="s">
        <v>113</v>
      </c>
      <c r="O36" s="5" t="s">
        <v>120</v>
      </c>
      <c r="P36" s="5" t="s">
        <v>121</v>
      </c>
      <c r="Q36" s="5" t="s">
        <v>49</v>
      </c>
      <c r="R36" s="5" t="s">
        <v>116</v>
      </c>
      <c r="S36" s="6">
        <v>45748</v>
      </c>
      <c r="U36" s="5" t="s">
        <v>51</v>
      </c>
      <c r="X36" s="5" t="s">
        <v>52</v>
      </c>
      <c r="Y36" s="7">
        <v>0</v>
      </c>
      <c r="Z36" s="7">
        <v>37.5</v>
      </c>
      <c r="AA36" s="5">
        <v>1</v>
      </c>
      <c r="AB36" s="8">
        <v>1</v>
      </c>
      <c r="AC36" s="9">
        <v>37.5</v>
      </c>
      <c r="AD36" s="8">
        <v>0</v>
      </c>
      <c r="AE36" s="7">
        <v>0</v>
      </c>
      <c r="AF36" s="7">
        <v>37.5</v>
      </c>
      <c r="AK36" s="5">
        <v>5033267</v>
      </c>
      <c r="AL36" s="5" t="s">
        <v>166</v>
      </c>
    </row>
    <row r="37" spans="1:38" s="5" customFormat="1" x14ac:dyDescent="0.25">
      <c r="A37" s="6">
        <v>45707</v>
      </c>
      <c r="B37" s="6">
        <v>45707</v>
      </c>
      <c r="C37" s="5" t="s">
        <v>38</v>
      </c>
      <c r="D37" s="5" t="s">
        <v>39</v>
      </c>
      <c r="E37" s="5" t="s">
        <v>40</v>
      </c>
      <c r="F37" s="5" t="s">
        <v>41</v>
      </c>
      <c r="G37" s="5" t="s">
        <v>42</v>
      </c>
      <c r="H37" s="5" t="s">
        <v>43</v>
      </c>
      <c r="I37" s="5" t="s">
        <v>167</v>
      </c>
      <c r="J37" s="5" t="s">
        <v>168</v>
      </c>
      <c r="M37" s="5" t="s">
        <v>104</v>
      </c>
      <c r="O37" s="5" t="s">
        <v>169</v>
      </c>
      <c r="P37" s="5" t="s">
        <v>170</v>
      </c>
      <c r="Q37" s="5" t="s">
        <v>49</v>
      </c>
      <c r="R37" s="5" t="s">
        <v>116</v>
      </c>
      <c r="S37" s="6">
        <v>45689</v>
      </c>
      <c r="U37" s="5" t="s">
        <v>51</v>
      </c>
      <c r="X37" s="5" t="s">
        <v>52</v>
      </c>
      <c r="Y37" s="7">
        <v>0</v>
      </c>
      <c r="Z37" s="7">
        <v>45.83</v>
      </c>
      <c r="AA37" s="5">
        <v>1</v>
      </c>
      <c r="AB37" s="8">
        <v>1</v>
      </c>
      <c r="AC37" s="9">
        <v>45.83</v>
      </c>
      <c r="AD37" s="8">
        <v>0</v>
      </c>
      <c r="AE37" s="7">
        <v>0</v>
      </c>
      <c r="AF37" s="7">
        <v>45.83</v>
      </c>
      <c r="AK37" s="5">
        <v>5033283</v>
      </c>
      <c r="AL37" s="5" t="s">
        <v>117</v>
      </c>
    </row>
    <row r="38" spans="1:38" x14ac:dyDescent="0.25">
      <c r="A38" s="1">
        <v>45707</v>
      </c>
      <c r="B38" s="1">
        <v>45707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171</v>
      </c>
      <c r="J38" t="s">
        <v>172</v>
      </c>
      <c r="M38" t="s">
        <v>104</v>
      </c>
      <c r="O38" t="s">
        <v>173</v>
      </c>
      <c r="P38" t="s">
        <v>174</v>
      </c>
      <c r="Q38" t="s">
        <v>49</v>
      </c>
      <c r="R38" t="s">
        <v>175</v>
      </c>
      <c r="S38" s="1">
        <v>45689</v>
      </c>
      <c r="U38" t="s">
        <v>51</v>
      </c>
      <c r="X38" t="s">
        <v>52</v>
      </c>
      <c r="Y38" s="2">
        <v>0</v>
      </c>
      <c r="Z38" s="2">
        <v>323.58</v>
      </c>
      <c r="AA38">
        <v>1</v>
      </c>
      <c r="AB38" s="3">
        <v>1</v>
      </c>
      <c r="AC38" s="4">
        <v>323.58</v>
      </c>
      <c r="AD38" s="3">
        <v>0</v>
      </c>
      <c r="AE38" s="2">
        <v>0</v>
      </c>
      <c r="AF38" s="2">
        <v>323.58</v>
      </c>
      <c r="AK38">
        <v>5033751</v>
      </c>
      <c r="AL38" t="s">
        <v>117</v>
      </c>
    </row>
    <row r="39" spans="1:38" x14ac:dyDescent="0.25">
      <c r="A39" s="1">
        <v>45707</v>
      </c>
      <c r="B39" s="1">
        <v>45707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176</v>
      </c>
      <c r="J39" t="s">
        <v>172</v>
      </c>
      <c r="M39" t="s">
        <v>104</v>
      </c>
      <c r="O39" t="s">
        <v>173</v>
      </c>
      <c r="P39" t="s">
        <v>174</v>
      </c>
      <c r="Q39" t="s">
        <v>49</v>
      </c>
      <c r="R39" t="s">
        <v>177</v>
      </c>
      <c r="S39" s="1">
        <v>45689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4">
        <v>175</v>
      </c>
      <c r="AD39" s="3">
        <v>0</v>
      </c>
      <c r="AE39" s="2">
        <v>0</v>
      </c>
      <c r="AF39" s="2">
        <v>175</v>
      </c>
      <c r="AK39">
        <v>5033752</v>
      </c>
    </row>
    <row r="40" spans="1:38" x14ac:dyDescent="0.25">
      <c r="A40" s="1">
        <v>45707</v>
      </c>
      <c r="B40" s="1">
        <v>45707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178</v>
      </c>
      <c r="J40" t="s">
        <v>179</v>
      </c>
      <c r="M40" t="s">
        <v>180</v>
      </c>
      <c r="O40" t="s">
        <v>114</v>
      </c>
      <c r="P40" t="s">
        <v>115</v>
      </c>
      <c r="Q40" t="s">
        <v>49</v>
      </c>
      <c r="R40" t="s">
        <v>181</v>
      </c>
      <c r="S40" s="1">
        <v>45689</v>
      </c>
      <c r="U40" t="s">
        <v>51</v>
      </c>
      <c r="X40" t="s">
        <v>52</v>
      </c>
      <c r="Y40" s="2">
        <v>0</v>
      </c>
      <c r="Z40" s="2">
        <v>286.92</v>
      </c>
      <c r="AA40">
        <v>1</v>
      </c>
      <c r="AB40" s="3">
        <v>1</v>
      </c>
      <c r="AC40" s="4">
        <v>286.92</v>
      </c>
      <c r="AD40" s="3">
        <v>0</v>
      </c>
      <c r="AE40" s="2">
        <v>0</v>
      </c>
      <c r="AF40" s="2">
        <v>286.92</v>
      </c>
      <c r="AK40">
        <v>5033779</v>
      </c>
      <c r="AL40" t="s">
        <v>117</v>
      </c>
    </row>
    <row r="41" spans="1:38" x14ac:dyDescent="0.25">
      <c r="A41" s="1">
        <v>45707</v>
      </c>
      <c r="B41" s="1">
        <v>45707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182</v>
      </c>
      <c r="J41" t="s">
        <v>179</v>
      </c>
      <c r="M41" t="s">
        <v>180</v>
      </c>
      <c r="O41" t="s">
        <v>114</v>
      </c>
      <c r="P41" t="s">
        <v>115</v>
      </c>
      <c r="Q41" t="s">
        <v>49</v>
      </c>
      <c r="R41" t="s">
        <v>177</v>
      </c>
      <c r="S41" s="1">
        <v>45689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4">
        <v>175</v>
      </c>
      <c r="AD41" s="3">
        <v>0</v>
      </c>
      <c r="AE41" s="2">
        <v>0</v>
      </c>
      <c r="AF41" s="2">
        <v>175</v>
      </c>
      <c r="AK41">
        <v>5033780</v>
      </c>
    </row>
    <row r="42" spans="1:38" x14ac:dyDescent="0.25">
      <c r="A42" s="1">
        <v>45707</v>
      </c>
      <c r="B42" s="1">
        <v>45707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183</v>
      </c>
      <c r="J42" t="s">
        <v>184</v>
      </c>
      <c r="M42" t="s">
        <v>185</v>
      </c>
      <c r="O42" t="s">
        <v>186</v>
      </c>
      <c r="P42" t="s">
        <v>187</v>
      </c>
      <c r="Q42" t="s">
        <v>49</v>
      </c>
      <c r="R42" t="s">
        <v>181</v>
      </c>
      <c r="S42" s="1">
        <v>45689</v>
      </c>
      <c r="U42" t="s">
        <v>51</v>
      </c>
      <c r="X42" t="s">
        <v>52</v>
      </c>
      <c r="Y42" s="2">
        <v>0</v>
      </c>
      <c r="Z42" s="2">
        <v>286.92</v>
      </c>
      <c r="AA42">
        <v>1</v>
      </c>
      <c r="AB42" s="3">
        <v>1</v>
      </c>
      <c r="AC42" s="4">
        <v>286.92</v>
      </c>
      <c r="AD42" s="3">
        <v>0</v>
      </c>
      <c r="AE42" s="2">
        <v>0</v>
      </c>
      <c r="AF42" s="2">
        <v>286.92</v>
      </c>
      <c r="AK42">
        <v>5033755</v>
      </c>
      <c r="AL42" t="s">
        <v>117</v>
      </c>
    </row>
    <row r="43" spans="1:38" x14ac:dyDescent="0.25">
      <c r="A43" s="1">
        <v>45707</v>
      </c>
      <c r="B43" s="1">
        <v>45707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188</v>
      </c>
      <c r="J43" t="s">
        <v>184</v>
      </c>
      <c r="M43" t="s">
        <v>185</v>
      </c>
      <c r="O43" t="s">
        <v>186</v>
      </c>
      <c r="P43" t="s">
        <v>187</v>
      </c>
      <c r="Q43" t="s">
        <v>49</v>
      </c>
      <c r="R43" t="s">
        <v>177</v>
      </c>
      <c r="S43" s="1">
        <v>45689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4">
        <v>175</v>
      </c>
      <c r="AD43" s="3">
        <v>0</v>
      </c>
      <c r="AE43" s="2">
        <v>0</v>
      </c>
      <c r="AF43" s="2">
        <v>175</v>
      </c>
      <c r="AK43">
        <v>5033756</v>
      </c>
    </row>
    <row r="44" spans="1:38" x14ac:dyDescent="0.25">
      <c r="A44" s="1">
        <v>45707</v>
      </c>
      <c r="B44" s="1">
        <v>45707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189</v>
      </c>
      <c r="J44" t="s">
        <v>190</v>
      </c>
      <c r="M44" t="s">
        <v>150</v>
      </c>
      <c r="O44" t="s">
        <v>191</v>
      </c>
      <c r="P44" t="s">
        <v>192</v>
      </c>
      <c r="Q44" t="s">
        <v>49</v>
      </c>
      <c r="R44" t="s">
        <v>181</v>
      </c>
      <c r="S44" s="1">
        <v>45717</v>
      </c>
      <c r="U44" t="s">
        <v>51</v>
      </c>
      <c r="X44" t="s">
        <v>52</v>
      </c>
      <c r="Y44" s="2">
        <v>0</v>
      </c>
      <c r="Z44" s="2">
        <v>260.83</v>
      </c>
      <c r="AA44">
        <v>1</v>
      </c>
      <c r="AB44" s="3">
        <v>1</v>
      </c>
      <c r="AC44" s="4">
        <v>260.83</v>
      </c>
      <c r="AD44" s="3">
        <v>0</v>
      </c>
      <c r="AE44" s="2">
        <v>0</v>
      </c>
      <c r="AF44" s="2">
        <v>260.83</v>
      </c>
      <c r="AK44">
        <v>5033718</v>
      </c>
      <c r="AL44" t="s">
        <v>108</v>
      </c>
    </row>
    <row r="45" spans="1:38" x14ac:dyDescent="0.25">
      <c r="A45" s="1">
        <v>45707</v>
      </c>
      <c r="B45" s="1">
        <v>45707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193</v>
      </c>
      <c r="J45" t="s">
        <v>190</v>
      </c>
      <c r="M45" t="s">
        <v>150</v>
      </c>
      <c r="O45" t="s">
        <v>191</v>
      </c>
      <c r="P45" t="s">
        <v>192</v>
      </c>
      <c r="Q45" t="s">
        <v>49</v>
      </c>
      <c r="R45" t="s">
        <v>194</v>
      </c>
      <c r="S45" s="1">
        <v>45717</v>
      </c>
      <c r="U45" t="s">
        <v>51</v>
      </c>
      <c r="X45" t="s">
        <v>52</v>
      </c>
      <c r="Y45" s="2">
        <v>0</v>
      </c>
      <c r="Z45" s="2">
        <v>60</v>
      </c>
      <c r="AA45">
        <v>1</v>
      </c>
      <c r="AB45" s="3">
        <v>1</v>
      </c>
      <c r="AC45" s="4">
        <v>60</v>
      </c>
      <c r="AD45" s="3">
        <v>0</v>
      </c>
      <c r="AE45" s="2">
        <v>0</v>
      </c>
      <c r="AF45" s="2">
        <v>60</v>
      </c>
      <c r="AK45">
        <v>5033719</v>
      </c>
      <c r="AL45" t="s">
        <v>108</v>
      </c>
    </row>
    <row r="46" spans="1:38" x14ac:dyDescent="0.25">
      <c r="A46" s="1">
        <v>45707</v>
      </c>
      <c r="B46" s="1">
        <v>45707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195</v>
      </c>
      <c r="J46" t="s">
        <v>196</v>
      </c>
      <c r="M46" t="s">
        <v>185</v>
      </c>
      <c r="O46" t="s">
        <v>186</v>
      </c>
      <c r="P46" t="s">
        <v>187</v>
      </c>
      <c r="Q46" t="s">
        <v>49</v>
      </c>
      <c r="R46" t="s">
        <v>181</v>
      </c>
      <c r="S46" s="1">
        <v>45717</v>
      </c>
      <c r="U46" t="s">
        <v>51</v>
      </c>
      <c r="X46" t="s">
        <v>52</v>
      </c>
      <c r="Y46" s="2">
        <v>0</v>
      </c>
      <c r="Z46" s="2">
        <v>260.83</v>
      </c>
      <c r="AA46">
        <v>1</v>
      </c>
      <c r="AB46" s="3">
        <v>1</v>
      </c>
      <c r="AC46" s="4">
        <v>260.83</v>
      </c>
      <c r="AD46" s="3">
        <v>0</v>
      </c>
      <c r="AE46" s="2">
        <v>0</v>
      </c>
      <c r="AF46" s="2">
        <v>260.83</v>
      </c>
      <c r="AK46">
        <v>5033724</v>
      </c>
      <c r="AL46" t="s">
        <v>108</v>
      </c>
    </row>
    <row r="47" spans="1:38" x14ac:dyDescent="0.25">
      <c r="A47" s="1">
        <v>45707</v>
      </c>
      <c r="B47" s="1">
        <v>45707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197</v>
      </c>
      <c r="J47" t="s">
        <v>196</v>
      </c>
      <c r="M47" t="s">
        <v>185</v>
      </c>
      <c r="O47" t="s">
        <v>186</v>
      </c>
      <c r="P47" t="s">
        <v>187</v>
      </c>
      <c r="Q47" t="s">
        <v>49</v>
      </c>
      <c r="R47" t="s">
        <v>177</v>
      </c>
      <c r="S47" s="1">
        <v>45717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4">
        <v>175</v>
      </c>
      <c r="AD47" s="3">
        <v>0</v>
      </c>
      <c r="AE47" s="2">
        <v>0</v>
      </c>
      <c r="AF47" s="2">
        <v>175</v>
      </c>
      <c r="AK47">
        <v>5033725</v>
      </c>
    </row>
    <row r="48" spans="1:38" x14ac:dyDescent="0.25">
      <c r="A48" s="1">
        <v>45707</v>
      </c>
      <c r="B48" s="1">
        <v>45707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198</v>
      </c>
      <c r="J48" t="s">
        <v>199</v>
      </c>
      <c r="M48" t="s">
        <v>104</v>
      </c>
      <c r="O48" t="s">
        <v>191</v>
      </c>
      <c r="P48" t="s">
        <v>192</v>
      </c>
      <c r="Q48" t="s">
        <v>49</v>
      </c>
      <c r="R48" t="s">
        <v>175</v>
      </c>
      <c r="S48" s="1">
        <v>45689</v>
      </c>
      <c r="U48" t="s">
        <v>51</v>
      </c>
      <c r="X48" t="s">
        <v>52</v>
      </c>
      <c r="Y48" s="2">
        <v>0</v>
      </c>
      <c r="Z48" s="2">
        <v>323.58</v>
      </c>
      <c r="AA48">
        <v>1</v>
      </c>
      <c r="AB48" s="3">
        <v>1</v>
      </c>
      <c r="AC48" s="4">
        <v>323.58</v>
      </c>
      <c r="AD48" s="3">
        <v>0</v>
      </c>
      <c r="AE48" s="2">
        <v>0</v>
      </c>
      <c r="AF48" s="2">
        <v>323.58</v>
      </c>
      <c r="AK48">
        <v>5033761</v>
      </c>
      <c r="AL48" t="s">
        <v>117</v>
      </c>
    </row>
    <row r="49" spans="1:38" x14ac:dyDescent="0.25">
      <c r="A49" s="1">
        <v>45707</v>
      </c>
      <c r="B49" s="1">
        <v>45707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200</v>
      </c>
      <c r="J49" t="s">
        <v>199</v>
      </c>
      <c r="M49" t="s">
        <v>104</v>
      </c>
      <c r="O49" t="s">
        <v>191</v>
      </c>
      <c r="P49" t="s">
        <v>192</v>
      </c>
      <c r="Q49" t="s">
        <v>49</v>
      </c>
      <c r="R49" t="s">
        <v>177</v>
      </c>
      <c r="S49" s="1">
        <v>45689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4">
        <v>175</v>
      </c>
      <c r="AD49" s="3">
        <v>0</v>
      </c>
      <c r="AE49" s="2">
        <v>0</v>
      </c>
      <c r="AF49" s="2">
        <v>175</v>
      </c>
      <c r="AK49">
        <v>5033762</v>
      </c>
    </row>
    <row r="50" spans="1:38" x14ac:dyDescent="0.25">
      <c r="A50" s="1">
        <v>45707</v>
      </c>
      <c r="B50" s="1">
        <v>45707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201</v>
      </c>
      <c r="J50" t="s">
        <v>202</v>
      </c>
      <c r="M50" t="s">
        <v>203</v>
      </c>
      <c r="O50" t="s">
        <v>204</v>
      </c>
      <c r="P50" t="s">
        <v>205</v>
      </c>
      <c r="Q50" t="s">
        <v>49</v>
      </c>
      <c r="R50" t="s">
        <v>181</v>
      </c>
      <c r="S50" s="1">
        <v>45717</v>
      </c>
      <c r="U50" t="s">
        <v>51</v>
      </c>
      <c r="X50" t="s">
        <v>52</v>
      </c>
      <c r="Y50" s="2">
        <v>0</v>
      </c>
      <c r="Z50" s="2">
        <v>260.83</v>
      </c>
      <c r="AA50">
        <v>1</v>
      </c>
      <c r="AB50" s="3">
        <v>1</v>
      </c>
      <c r="AC50" s="4">
        <v>260.83</v>
      </c>
      <c r="AD50" s="3">
        <v>0</v>
      </c>
      <c r="AE50" s="2">
        <v>0</v>
      </c>
      <c r="AF50" s="2">
        <v>260.83</v>
      </c>
      <c r="AK50">
        <v>5033726</v>
      </c>
      <c r="AL50" t="s">
        <v>108</v>
      </c>
    </row>
    <row r="51" spans="1:38" x14ac:dyDescent="0.25">
      <c r="A51" s="1">
        <v>45707</v>
      </c>
      <c r="B51" s="1">
        <v>45707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206</v>
      </c>
      <c r="J51" t="s">
        <v>202</v>
      </c>
      <c r="M51" t="s">
        <v>203</v>
      </c>
      <c r="O51" t="s">
        <v>204</v>
      </c>
      <c r="P51" t="s">
        <v>205</v>
      </c>
      <c r="Q51" t="s">
        <v>49</v>
      </c>
      <c r="R51" t="s">
        <v>177</v>
      </c>
      <c r="S51" s="1">
        <v>45717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4">
        <v>175</v>
      </c>
      <c r="AD51" s="3">
        <v>0</v>
      </c>
      <c r="AE51" s="2">
        <v>0</v>
      </c>
      <c r="AF51" s="2">
        <v>175</v>
      </c>
      <c r="AK51">
        <v>5033727</v>
      </c>
    </row>
    <row r="52" spans="1:38" x14ac:dyDescent="0.25">
      <c r="A52" s="1">
        <v>45707</v>
      </c>
      <c r="B52" s="1">
        <v>45707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207</v>
      </c>
      <c r="J52" t="s">
        <v>208</v>
      </c>
      <c r="M52" t="s">
        <v>185</v>
      </c>
      <c r="O52" t="s">
        <v>186</v>
      </c>
      <c r="P52" t="s">
        <v>187</v>
      </c>
      <c r="Q52" t="s">
        <v>49</v>
      </c>
      <c r="R52" t="s">
        <v>181</v>
      </c>
      <c r="S52" s="1">
        <v>45689</v>
      </c>
      <c r="U52" t="s">
        <v>51</v>
      </c>
      <c r="X52" t="s">
        <v>52</v>
      </c>
      <c r="Y52" s="2">
        <v>0</v>
      </c>
      <c r="Z52" s="2">
        <v>286.92</v>
      </c>
      <c r="AA52">
        <v>1</v>
      </c>
      <c r="AB52" s="3">
        <v>1</v>
      </c>
      <c r="AC52" s="4">
        <v>286.92</v>
      </c>
      <c r="AD52" s="3">
        <v>0</v>
      </c>
      <c r="AE52" s="2">
        <v>0</v>
      </c>
      <c r="AF52" s="2">
        <v>286.92</v>
      </c>
      <c r="AK52">
        <v>5033763</v>
      </c>
      <c r="AL52" t="s">
        <v>117</v>
      </c>
    </row>
    <row r="53" spans="1:38" x14ac:dyDescent="0.25">
      <c r="A53" s="1">
        <v>45707</v>
      </c>
      <c r="B53" s="1">
        <v>45707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209</v>
      </c>
      <c r="J53" t="s">
        <v>208</v>
      </c>
      <c r="M53" t="s">
        <v>185</v>
      </c>
      <c r="O53" t="s">
        <v>186</v>
      </c>
      <c r="P53" t="s">
        <v>187</v>
      </c>
      <c r="Q53" t="s">
        <v>49</v>
      </c>
      <c r="R53" t="s">
        <v>177</v>
      </c>
      <c r="S53" s="1">
        <v>45689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4">
        <v>175</v>
      </c>
      <c r="AD53" s="3">
        <v>0</v>
      </c>
      <c r="AE53" s="2">
        <v>0</v>
      </c>
      <c r="AF53" s="2">
        <v>175</v>
      </c>
      <c r="AK53">
        <v>5033764</v>
      </c>
    </row>
    <row r="54" spans="1:38" x14ac:dyDescent="0.25">
      <c r="A54" s="1">
        <v>45707</v>
      </c>
      <c r="B54" s="1">
        <v>45707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210</v>
      </c>
      <c r="J54" t="s">
        <v>211</v>
      </c>
      <c r="M54" t="s">
        <v>203</v>
      </c>
      <c r="O54" t="s">
        <v>204</v>
      </c>
      <c r="P54" t="s">
        <v>205</v>
      </c>
      <c r="Q54" t="s">
        <v>49</v>
      </c>
      <c r="R54" t="s">
        <v>181</v>
      </c>
      <c r="S54" s="1">
        <v>45717</v>
      </c>
      <c r="U54" t="s">
        <v>51</v>
      </c>
      <c r="X54" t="s">
        <v>52</v>
      </c>
      <c r="Y54" s="2">
        <v>0</v>
      </c>
      <c r="Z54" s="2">
        <v>260.83</v>
      </c>
      <c r="AA54">
        <v>1</v>
      </c>
      <c r="AB54" s="3">
        <v>1</v>
      </c>
      <c r="AC54" s="4">
        <v>260.83</v>
      </c>
      <c r="AD54" s="3">
        <v>0</v>
      </c>
      <c r="AE54" s="2">
        <v>0</v>
      </c>
      <c r="AF54" s="2">
        <v>260.83</v>
      </c>
      <c r="AK54">
        <v>5033730</v>
      </c>
      <c r="AL54" t="s">
        <v>108</v>
      </c>
    </row>
    <row r="55" spans="1:38" x14ac:dyDescent="0.25">
      <c r="A55" s="1">
        <v>45707</v>
      </c>
      <c r="B55" s="1">
        <v>45707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212</v>
      </c>
      <c r="J55" t="s">
        <v>211</v>
      </c>
      <c r="M55" t="s">
        <v>203</v>
      </c>
      <c r="O55" t="s">
        <v>204</v>
      </c>
      <c r="P55" t="s">
        <v>205</v>
      </c>
      <c r="Q55" t="s">
        <v>49</v>
      </c>
      <c r="R55" t="s">
        <v>177</v>
      </c>
      <c r="S55" s="1">
        <v>45717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4">
        <v>175</v>
      </c>
      <c r="AD55" s="3">
        <v>0</v>
      </c>
      <c r="AE55" s="2">
        <v>0</v>
      </c>
      <c r="AF55" s="2">
        <v>175</v>
      </c>
      <c r="AK55">
        <v>5033731</v>
      </c>
    </row>
    <row r="56" spans="1:38" x14ac:dyDescent="0.25">
      <c r="A56" s="1">
        <v>45707</v>
      </c>
      <c r="B56" s="1">
        <v>45707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213</v>
      </c>
      <c r="J56" t="s">
        <v>214</v>
      </c>
      <c r="M56" t="s">
        <v>113</v>
      </c>
      <c r="O56" t="s">
        <v>114</v>
      </c>
      <c r="P56" t="s">
        <v>115</v>
      </c>
      <c r="Q56" t="s">
        <v>49</v>
      </c>
      <c r="R56" t="s">
        <v>181</v>
      </c>
      <c r="S56" s="1">
        <v>45689</v>
      </c>
      <c r="U56" t="s">
        <v>51</v>
      </c>
      <c r="X56" t="s">
        <v>52</v>
      </c>
      <c r="Y56" s="2">
        <v>0</v>
      </c>
      <c r="Z56" s="2">
        <v>286.92</v>
      </c>
      <c r="AA56">
        <v>1</v>
      </c>
      <c r="AB56" s="3">
        <v>1</v>
      </c>
      <c r="AC56" s="4">
        <v>286.92</v>
      </c>
      <c r="AD56" s="3">
        <v>0</v>
      </c>
      <c r="AE56" s="2">
        <v>0</v>
      </c>
      <c r="AF56" s="2">
        <v>286.92</v>
      </c>
      <c r="AK56">
        <v>5033777</v>
      </c>
      <c r="AL56" t="s">
        <v>117</v>
      </c>
    </row>
    <row r="57" spans="1:38" x14ac:dyDescent="0.25">
      <c r="A57" s="1">
        <v>45707</v>
      </c>
      <c r="B57" s="1">
        <v>45707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215</v>
      </c>
      <c r="J57" t="s">
        <v>214</v>
      </c>
      <c r="M57" t="s">
        <v>113</v>
      </c>
      <c r="O57" t="s">
        <v>114</v>
      </c>
      <c r="P57" t="s">
        <v>115</v>
      </c>
      <c r="Q57" t="s">
        <v>49</v>
      </c>
      <c r="R57" t="s">
        <v>177</v>
      </c>
      <c r="S57" s="1">
        <v>45689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4">
        <v>175</v>
      </c>
      <c r="AD57" s="3">
        <v>0</v>
      </c>
      <c r="AE57" s="2">
        <v>0</v>
      </c>
      <c r="AF57" s="2">
        <v>175</v>
      </c>
      <c r="AK57">
        <v>5033778</v>
      </c>
    </row>
    <row r="58" spans="1:38" x14ac:dyDescent="0.25">
      <c r="A58" s="1">
        <v>45707</v>
      </c>
      <c r="B58" s="1">
        <v>45707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216</v>
      </c>
      <c r="J58" t="s">
        <v>217</v>
      </c>
      <c r="M58" t="s">
        <v>185</v>
      </c>
      <c r="O58" t="s">
        <v>186</v>
      </c>
      <c r="P58" t="s">
        <v>187</v>
      </c>
      <c r="Q58" t="s">
        <v>49</v>
      </c>
      <c r="R58" t="s">
        <v>181</v>
      </c>
      <c r="S58" s="1">
        <v>45689</v>
      </c>
      <c r="U58" t="s">
        <v>51</v>
      </c>
      <c r="X58" t="s">
        <v>52</v>
      </c>
      <c r="Y58" s="2">
        <v>0</v>
      </c>
      <c r="Z58" s="2">
        <v>286.92</v>
      </c>
      <c r="AA58">
        <v>1</v>
      </c>
      <c r="AB58" s="3">
        <v>1</v>
      </c>
      <c r="AC58" s="4">
        <v>286.92</v>
      </c>
      <c r="AD58" s="3">
        <v>0</v>
      </c>
      <c r="AE58" s="2">
        <v>0</v>
      </c>
      <c r="AF58" s="2">
        <v>286.92</v>
      </c>
      <c r="AK58">
        <v>5033775</v>
      </c>
      <c r="AL58" t="s">
        <v>117</v>
      </c>
    </row>
    <row r="59" spans="1:38" x14ac:dyDescent="0.25">
      <c r="A59" s="1">
        <v>45707</v>
      </c>
      <c r="B59" s="1">
        <v>45707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218</v>
      </c>
      <c r="J59" t="s">
        <v>217</v>
      </c>
      <c r="M59" t="s">
        <v>185</v>
      </c>
      <c r="O59" t="s">
        <v>186</v>
      </c>
      <c r="P59" t="s">
        <v>187</v>
      </c>
      <c r="Q59" t="s">
        <v>49</v>
      </c>
      <c r="R59" t="s">
        <v>177</v>
      </c>
      <c r="S59" s="1">
        <v>45689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4">
        <v>175</v>
      </c>
      <c r="AD59" s="3">
        <v>0</v>
      </c>
      <c r="AE59" s="2">
        <v>0</v>
      </c>
      <c r="AF59" s="2">
        <v>175</v>
      </c>
      <c r="AK59">
        <v>5033776</v>
      </c>
    </row>
    <row r="60" spans="1:38" x14ac:dyDescent="0.25">
      <c r="A60" s="1">
        <v>45707</v>
      </c>
      <c r="B60" s="1">
        <v>45707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219</v>
      </c>
      <c r="J60" t="s">
        <v>220</v>
      </c>
      <c r="M60" t="s">
        <v>203</v>
      </c>
      <c r="O60" t="s">
        <v>204</v>
      </c>
      <c r="P60" t="s">
        <v>205</v>
      </c>
      <c r="Q60" t="s">
        <v>49</v>
      </c>
      <c r="R60" t="s">
        <v>181</v>
      </c>
      <c r="S60" s="1">
        <v>45689</v>
      </c>
      <c r="U60" t="s">
        <v>51</v>
      </c>
      <c r="X60" t="s">
        <v>52</v>
      </c>
      <c r="Y60" s="2">
        <v>0</v>
      </c>
      <c r="Z60" s="2">
        <v>286.92</v>
      </c>
      <c r="AA60">
        <v>1</v>
      </c>
      <c r="AB60" s="3">
        <v>1</v>
      </c>
      <c r="AC60" s="4">
        <v>286.92</v>
      </c>
      <c r="AD60" s="3">
        <v>0</v>
      </c>
      <c r="AE60" s="2">
        <v>0</v>
      </c>
      <c r="AF60" s="2">
        <v>286.92</v>
      </c>
      <c r="AK60">
        <v>5033767</v>
      </c>
      <c r="AL60" t="s">
        <v>117</v>
      </c>
    </row>
    <row r="61" spans="1:38" x14ac:dyDescent="0.25">
      <c r="A61" s="1">
        <v>45707</v>
      </c>
      <c r="B61" s="1">
        <v>45707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221</v>
      </c>
      <c r="J61" t="s">
        <v>220</v>
      </c>
      <c r="M61" t="s">
        <v>203</v>
      </c>
      <c r="O61" t="s">
        <v>204</v>
      </c>
      <c r="P61" t="s">
        <v>205</v>
      </c>
      <c r="Q61" t="s">
        <v>49</v>
      </c>
      <c r="R61" t="s">
        <v>177</v>
      </c>
      <c r="S61" s="1">
        <v>45689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4">
        <v>175</v>
      </c>
      <c r="AD61" s="3">
        <v>0</v>
      </c>
      <c r="AE61" s="2">
        <v>0</v>
      </c>
      <c r="AF61" s="2">
        <v>175</v>
      </c>
      <c r="AK61">
        <v>5033768</v>
      </c>
    </row>
    <row r="62" spans="1:38" x14ac:dyDescent="0.25">
      <c r="A62" s="1">
        <v>45707</v>
      </c>
      <c r="B62" s="1">
        <v>45707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222</v>
      </c>
      <c r="J62" t="s">
        <v>223</v>
      </c>
      <c r="M62" t="s">
        <v>224</v>
      </c>
      <c r="O62" t="s">
        <v>191</v>
      </c>
      <c r="P62" t="s">
        <v>192</v>
      </c>
      <c r="Q62" t="s">
        <v>49</v>
      </c>
      <c r="R62" t="s">
        <v>225</v>
      </c>
      <c r="S62" s="1">
        <v>45689</v>
      </c>
      <c r="U62" t="s">
        <v>51</v>
      </c>
      <c r="X62" t="s">
        <v>52</v>
      </c>
      <c r="Y62" s="2">
        <v>0</v>
      </c>
      <c r="Z62" s="2">
        <v>573.83000000000004</v>
      </c>
      <c r="AA62">
        <v>1</v>
      </c>
      <c r="AB62" s="3">
        <v>1</v>
      </c>
      <c r="AC62" s="4">
        <v>573.83000000000004</v>
      </c>
      <c r="AD62" s="3">
        <v>0</v>
      </c>
      <c r="AE62" s="2">
        <v>0</v>
      </c>
      <c r="AF62" s="2">
        <v>573.83000000000004</v>
      </c>
      <c r="AK62">
        <v>5033781</v>
      </c>
      <c r="AL62" t="s">
        <v>117</v>
      </c>
    </row>
    <row r="63" spans="1:38" x14ac:dyDescent="0.25">
      <c r="A63" s="1">
        <v>45707</v>
      </c>
      <c r="B63" s="1">
        <v>45707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226</v>
      </c>
      <c r="J63" t="s">
        <v>223</v>
      </c>
      <c r="M63" t="s">
        <v>224</v>
      </c>
      <c r="O63" t="s">
        <v>191</v>
      </c>
      <c r="P63" t="s">
        <v>192</v>
      </c>
      <c r="Q63" t="s">
        <v>49</v>
      </c>
      <c r="R63" t="s">
        <v>177</v>
      </c>
      <c r="S63" s="1">
        <v>45689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4">
        <v>175</v>
      </c>
      <c r="AD63" s="3">
        <v>0</v>
      </c>
      <c r="AE63" s="2">
        <v>0</v>
      </c>
      <c r="AF63" s="2">
        <v>175</v>
      </c>
      <c r="AK63">
        <v>5033782</v>
      </c>
    </row>
    <row r="64" spans="1:38" x14ac:dyDescent="0.25">
      <c r="A64" s="1">
        <v>45707</v>
      </c>
      <c r="B64" s="1">
        <v>45707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227</v>
      </c>
      <c r="J64" t="s">
        <v>228</v>
      </c>
      <c r="M64" t="s">
        <v>185</v>
      </c>
      <c r="O64" t="s">
        <v>229</v>
      </c>
      <c r="P64" t="s">
        <v>230</v>
      </c>
      <c r="Q64" t="s">
        <v>49</v>
      </c>
      <c r="R64" t="s">
        <v>181</v>
      </c>
      <c r="S64" s="1">
        <v>45717</v>
      </c>
      <c r="U64" t="s">
        <v>51</v>
      </c>
      <c r="X64" t="s">
        <v>52</v>
      </c>
      <c r="Y64" s="2">
        <v>0</v>
      </c>
      <c r="Z64" s="2">
        <v>260.83</v>
      </c>
      <c r="AA64">
        <v>1</v>
      </c>
      <c r="AB64" s="3">
        <v>1</v>
      </c>
      <c r="AC64" s="4">
        <v>260.83</v>
      </c>
      <c r="AD64" s="3">
        <v>0</v>
      </c>
      <c r="AE64" s="2">
        <v>0</v>
      </c>
      <c r="AF64" s="2">
        <v>260.83</v>
      </c>
      <c r="AK64">
        <v>5033732</v>
      </c>
      <c r="AL64" t="s">
        <v>108</v>
      </c>
    </row>
    <row r="65" spans="1:38" x14ac:dyDescent="0.25">
      <c r="A65" s="1">
        <v>45707</v>
      </c>
      <c r="B65" s="1">
        <v>45707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231</v>
      </c>
      <c r="J65" t="s">
        <v>228</v>
      </c>
      <c r="M65" t="s">
        <v>185</v>
      </c>
      <c r="O65" t="s">
        <v>229</v>
      </c>
      <c r="P65" t="s">
        <v>230</v>
      </c>
      <c r="Q65" t="s">
        <v>49</v>
      </c>
      <c r="R65" t="s">
        <v>177</v>
      </c>
      <c r="S65" s="1">
        <v>45717</v>
      </c>
      <c r="U65" t="s">
        <v>51</v>
      </c>
      <c r="X65" t="s">
        <v>52</v>
      </c>
      <c r="Y65" s="2">
        <v>0</v>
      </c>
      <c r="Z65" s="2">
        <v>175</v>
      </c>
      <c r="AA65">
        <v>1</v>
      </c>
      <c r="AB65" s="3">
        <v>1</v>
      </c>
      <c r="AC65" s="4">
        <v>175</v>
      </c>
      <c r="AD65" s="3">
        <v>0</v>
      </c>
      <c r="AE65" s="2">
        <v>0</v>
      </c>
      <c r="AF65" s="2">
        <v>175</v>
      </c>
      <c r="AK65">
        <v>5033733</v>
      </c>
    </row>
    <row r="66" spans="1:38" x14ac:dyDescent="0.25">
      <c r="A66" s="1">
        <v>45707</v>
      </c>
      <c r="B66" s="1">
        <v>45707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232</v>
      </c>
      <c r="J66" t="s">
        <v>233</v>
      </c>
      <c r="M66" t="s">
        <v>234</v>
      </c>
      <c r="O66" t="s">
        <v>235</v>
      </c>
      <c r="P66" t="s">
        <v>236</v>
      </c>
      <c r="Q66" t="s">
        <v>49</v>
      </c>
      <c r="R66" t="s">
        <v>181</v>
      </c>
      <c r="S66" s="1">
        <v>45717</v>
      </c>
      <c r="U66" t="s">
        <v>51</v>
      </c>
      <c r="X66" t="s">
        <v>52</v>
      </c>
      <c r="Y66" s="2">
        <v>0</v>
      </c>
      <c r="Z66" s="2">
        <v>509.17</v>
      </c>
      <c r="AA66">
        <v>1</v>
      </c>
      <c r="AB66" s="3">
        <v>1</v>
      </c>
      <c r="AC66" s="4">
        <v>509.17</v>
      </c>
      <c r="AD66" s="3">
        <v>0</v>
      </c>
      <c r="AE66" s="2">
        <v>0</v>
      </c>
      <c r="AF66" s="2">
        <v>509.17</v>
      </c>
      <c r="AK66">
        <v>0</v>
      </c>
      <c r="AL66" t="s">
        <v>237</v>
      </c>
    </row>
    <row r="67" spans="1:38" x14ac:dyDescent="0.25">
      <c r="A67" s="1">
        <v>45707</v>
      </c>
      <c r="B67" s="1">
        <v>45707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238</v>
      </c>
      <c r="J67" t="s">
        <v>233</v>
      </c>
      <c r="M67" t="s">
        <v>234</v>
      </c>
      <c r="O67" t="s">
        <v>235</v>
      </c>
      <c r="P67" t="s">
        <v>236</v>
      </c>
      <c r="Q67" t="s">
        <v>49</v>
      </c>
      <c r="R67" t="s">
        <v>177</v>
      </c>
      <c r="S67" s="1">
        <v>45717</v>
      </c>
      <c r="U67" t="s">
        <v>51</v>
      </c>
      <c r="X67" t="s">
        <v>52</v>
      </c>
      <c r="Y67" s="2">
        <v>0</v>
      </c>
      <c r="Z67" s="2">
        <v>145.83000000000001</v>
      </c>
      <c r="AA67">
        <v>1</v>
      </c>
      <c r="AB67" s="3">
        <v>1</v>
      </c>
      <c r="AC67" s="4">
        <v>145.83000000000001</v>
      </c>
      <c r="AD67" s="3">
        <v>0</v>
      </c>
      <c r="AE67" s="2">
        <v>0</v>
      </c>
      <c r="AF67" s="2">
        <v>145.83000000000001</v>
      </c>
      <c r="AK67">
        <v>0</v>
      </c>
      <c r="AL67" t="s">
        <v>237</v>
      </c>
    </row>
    <row r="68" spans="1:38" x14ac:dyDescent="0.25">
      <c r="A68" s="1">
        <v>45707</v>
      </c>
      <c r="B68" s="1">
        <v>45707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239</v>
      </c>
      <c r="J68" t="s">
        <v>240</v>
      </c>
      <c r="M68" t="s">
        <v>113</v>
      </c>
      <c r="O68" t="s">
        <v>62</v>
      </c>
      <c r="P68" t="s">
        <v>63</v>
      </c>
      <c r="Q68" t="s">
        <v>49</v>
      </c>
      <c r="R68" t="s">
        <v>181</v>
      </c>
      <c r="S68" s="1">
        <v>45717</v>
      </c>
      <c r="U68" t="s">
        <v>51</v>
      </c>
      <c r="X68" t="s">
        <v>52</v>
      </c>
      <c r="Y68" s="2">
        <v>0</v>
      </c>
      <c r="Z68" s="2">
        <v>260.83</v>
      </c>
      <c r="AA68">
        <v>1</v>
      </c>
      <c r="AB68" s="3">
        <v>1</v>
      </c>
      <c r="AC68" s="4">
        <v>260.83</v>
      </c>
      <c r="AD68" s="3">
        <v>0</v>
      </c>
      <c r="AE68" s="2">
        <v>0</v>
      </c>
      <c r="AF68" s="2">
        <v>260.83</v>
      </c>
      <c r="AK68">
        <v>5033743</v>
      </c>
      <c r="AL68" t="s">
        <v>108</v>
      </c>
    </row>
    <row r="69" spans="1:38" x14ac:dyDescent="0.25">
      <c r="A69" s="1">
        <v>45707</v>
      </c>
      <c r="B69" s="1">
        <v>45707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241</v>
      </c>
      <c r="J69" t="s">
        <v>240</v>
      </c>
      <c r="M69" t="s">
        <v>113</v>
      </c>
      <c r="O69" t="s">
        <v>62</v>
      </c>
      <c r="P69" t="s">
        <v>63</v>
      </c>
      <c r="Q69" t="s">
        <v>49</v>
      </c>
      <c r="R69" t="s">
        <v>194</v>
      </c>
      <c r="S69" s="1">
        <v>45717</v>
      </c>
      <c r="U69" t="s">
        <v>51</v>
      </c>
      <c r="X69" t="s">
        <v>52</v>
      </c>
      <c r="Y69" s="2">
        <v>0</v>
      </c>
      <c r="Z69" s="2">
        <v>60</v>
      </c>
      <c r="AA69">
        <v>1</v>
      </c>
      <c r="AB69" s="3">
        <v>1</v>
      </c>
      <c r="AC69" s="4">
        <v>60</v>
      </c>
      <c r="AD69" s="3">
        <v>0</v>
      </c>
      <c r="AE69" s="2">
        <v>0</v>
      </c>
      <c r="AF69" s="2">
        <v>60</v>
      </c>
      <c r="AK69">
        <v>5033744</v>
      </c>
      <c r="AL69" t="s">
        <v>108</v>
      </c>
    </row>
    <row r="70" spans="1:38" x14ac:dyDescent="0.25">
      <c r="A70" s="1">
        <v>45707</v>
      </c>
      <c r="B70" s="1">
        <v>45707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242</v>
      </c>
      <c r="J70" t="s">
        <v>243</v>
      </c>
      <c r="M70" t="s">
        <v>185</v>
      </c>
      <c r="O70" t="s">
        <v>186</v>
      </c>
      <c r="P70" t="s">
        <v>187</v>
      </c>
      <c r="Q70" t="s">
        <v>49</v>
      </c>
      <c r="R70" t="s">
        <v>244</v>
      </c>
      <c r="S70" s="1">
        <v>45717</v>
      </c>
      <c r="U70" t="s">
        <v>51</v>
      </c>
      <c r="X70" t="s">
        <v>52</v>
      </c>
      <c r="Y70" s="2">
        <v>0</v>
      </c>
      <c r="Z70" s="2">
        <v>29.7</v>
      </c>
      <c r="AA70">
        <v>9</v>
      </c>
      <c r="AB70" s="3">
        <v>1</v>
      </c>
      <c r="AC70" s="4">
        <v>267.3</v>
      </c>
      <c r="AD70" s="3">
        <v>0</v>
      </c>
      <c r="AE70" s="2">
        <v>0</v>
      </c>
      <c r="AF70" s="2">
        <v>267.3</v>
      </c>
      <c r="AK70">
        <v>5033568</v>
      </c>
    </row>
    <row r="71" spans="1:38" x14ac:dyDescent="0.25">
      <c r="A71" s="1">
        <v>45707</v>
      </c>
      <c r="B71" s="1">
        <v>45707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245</v>
      </c>
      <c r="J71" t="s">
        <v>246</v>
      </c>
      <c r="M71" t="s">
        <v>247</v>
      </c>
      <c r="O71" t="s">
        <v>248</v>
      </c>
      <c r="P71" t="s">
        <v>249</v>
      </c>
      <c r="Q71" t="s">
        <v>49</v>
      </c>
      <c r="R71" t="s">
        <v>250</v>
      </c>
      <c r="S71" s="1">
        <v>45717</v>
      </c>
      <c r="U71" t="s">
        <v>51</v>
      </c>
      <c r="X71" t="s">
        <v>52</v>
      </c>
      <c r="Y71" s="2">
        <v>0</v>
      </c>
      <c r="Z71" s="2">
        <v>42.21</v>
      </c>
      <c r="AA71">
        <v>9</v>
      </c>
      <c r="AB71" s="3">
        <v>1</v>
      </c>
      <c r="AC71" s="4">
        <v>379.89</v>
      </c>
      <c r="AD71" s="3">
        <v>0</v>
      </c>
      <c r="AE71" s="2">
        <v>0</v>
      </c>
      <c r="AF71" s="2">
        <v>379.89</v>
      </c>
      <c r="AK71">
        <v>5033569</v>
      </c>
    </row>
    <row r="72" spans="1:38" x14ac:dyDescent="0.25">
      <c r="A72" s="1">
        <v>45707</v>
      </c>
      <c r="B72" s="1">
        <v>45707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251</v>
      </c>
      <c r="J72" t="s">
        <v>252</v>
      </c>
      <c r="M72" t="s">
        <v>247</v>
      </c>
      <c r="O72" t="s">
        <v>253</v>
      </c>
      <c r="P72" t="s">
        <v>254</v>
      </c>
      <c r="Q72" t="s">
        <v>49</v>
      </c>
      <c r="R72" t="s">
        <v>255</v>
      </c>
      <c r="S72" s="1">
        <v>45689</v>
      </c>
      <c r="U72" t="s">
        <v>51</v>
      </c>
      <c r="X72" t="s">
        <v>52</v>
      </c>
      <c r="Y72" s="2">
        <v>0</v>
      </c>
      <c r="Z72" s="2">
        <v>45.83</v>
      </c>
      <c r="AA72">
        <v>1</v>
      </c>
      <c r="AB72" s="3">
        <v>1</v>
      </c>
      <c r="AC72" s="4">
        <v>45.83</v>
      </c>
      <c r="AD72" s="3">
        <v>0</v>
      </c>
      <c r="AE72" s="2">
        <v>0</v>
      </c>
      <c r="AF72" s="2">
        <v>45.83</v>
      </c>
      <c r="AK72">
        <v>5033297</v>
      </c>
      <c r="AL72" t="s">
        <v>117</v>
      </c>
    </row>
    <row r="73" spans="1:38" x14ac:dyDescent="0.25">
      <c r="A73" s="1">
        <v>45707</v>
      </c>
      <c r="B73" s="1">
        <v>45707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256</v>
      </c>
      <c r="J73" t="s">
        <v>257</v>
      </c>
      <c r="O73" t="s">
        <v>258</v>
      </c>
      <c r="Q73" t="s">
        <v>259</v>
      </c>
      <c r="R73" t="s">
        <v>257</v>
      </c>
      <c r="S73" s="1">
        <v>44927</v>
      </c>
      <c r="U73" t="s">
        <v>260</v>
      </c>
      <c r="X73" t="s">
        <v>52</v>
      </c>
      <c r="Y73" s="2">
        <v>0</v>
      </c>
      <c r="Z73" s="2">
        <v>825</v>
      </c>
      <c r="AA73">
        <v>1</v>
      </c>
      <c r="AB73" s="3">
        <v>1</v>
      </c>
      <c r="AC73" s="4">
        <v>825</v>
      </c>
      <c r="AD73" s="3">
        <v>0</v>
      </c>
      <c r="AE73" s="2">
        <v>0</v>
      </c>
      <c r="AF73" s="2">
        <v>825</v>
      </c>
      <c r="AK73">
        <v>0</v>
      </c>
      <c r="AL73" t="s">
        <v>261</v>
      </c>
    </row>
    <row r="74" spans="1:38" x14ac:dyDescent="0.25">
      <c r="A74" s="1">
        <v>45707</v>
      </c>
      <c r="B74" s="1">
        <v>45707</v>
      </c>
      <c r="C74" t="s">
        <v>262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263</v>
      </c>
      <c r="J74" t="s">
        <v>190</v>
      </c>
      <c r="M74" t="s">
        <v>46</v>
      </c>
      <c r="O74" t="s">
        <v>191</v>
      </c>
      <c r="P74" t="s">
        <v>192</v>
      </c>
      <c r="Q74" t="s">
        <v>264</v>
      </c>
      <c r="R74" t="s">
        <v>50</v>
      </c>
      <c r="S74" s="1">
        <v>45658</v>
      </c>
      <c r="U74" t="s">
        <v>51</v>
      </c>
      <c r="X74" t="s">
        <v>52</v>
      </c>
      <c r="AC74" s="4"/>
      <c r="AF74" s="2">
        <v>175</v>
      </c>
      <c r="AG74" s="2">
        <v>0</v>
      </c>
      <c r="AJ74" s="2">
        <v>145.25</v>
      </c>
    </row>
    <row r="75" spans="1:38" x14ac:dyDescent="0.25">
      <c r="A75" s="1">
        <v>45707</v>
      </c>
      <c r="B75" s="1">
        <v>45707</v>
      </c>
      <c r="C75" t="s">
        <v>262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265</v>
      </c>
      <c r="J75" t="s">
        <v>266</v>
      </c>
      <c r="M75" t="s">
        <v>46</v>
      </c>
      <c r="O75" t="s">
        <v>191</v>
      </c>
      <c r="P75" t="s">
        <v>192</v>
      </c>
      <c r="Q75" t="s">
        <v>264</v>
      </c>
      <c r="R75" t="s">
        <v>50</v>
      </c>
      <c r="S75" s="1">
        <v>45658</v>
      </c>
      <c r="U75" t="s">
        <v>51</v>
      </c>
      <c r="X75" t="s">
        <v>52</v>
      </c>
      <c r="AC75" s="4"/>
      <c r="AF75" s="2">
        <v>175</v>
      </c>
      <c r="AG75" s="2">
        <v>0</v>
      </c>
      <c r="AJ75" s="2">
        <v>161</v>
      </c>
    </row>
    <row r="76" spans="1:38" x14ac:dyDescent="0.25">
      <c r="A76" s="1">
        <v>45707</v>
      </c>
      <c r="B76" s="1">
        <v>45707</v>
      </c>
      <c r="C76" t="s">
        <v>262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267</v>
      </c>
      <c r="J76" t="s">
        <v>268</v>
      </c>
      <c r="M76" t="s">
        <v>46</v>
      </c>
      <c r="O76" t="s">
        <v>269</v>
      </c>
      <c r="P76" t="s">
        <v>270</v>
      </c>
      <c r="Q76" t="s">
        <v>264</v>
      </c>
      <c r="R76" t="s">
        <v>50</v>
      </c>
      <c r="S76" s="1">
        <v>45658</v>
      </c>
      <c r="U76" t="s">
        <v>51</v>
      </c>
      <c r="X76" t="s">
        <v>52</v>
      </c>
      <c r="AC76" s="4"/>
      <c r="AF76" s="2">
        <v>175</v>
      </c>
      <c r="AG76" s="2">
        <v>0</v>
      </c>
      <c r="AJ76" s="2">
        <v>175</v>
      </c>
    </row>
    <row r="77" spans="1:38" x14ac:dyDescent="0.25">
      <c r="A77" s="1">
        <v>45707</v>
      </c>
      <c r="B77" s="1">
        <v>45707</v>
      </c>
      <c r="C77" t="s">
        <v>262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271</v>
      </c>
      <c r="J77" t="s">
        <v>272</v>
      </c>
      <c r="M77" t="s">
        <v>46</v>
      </c>
      <c r="O77" t="s">
        <v>269</v>
      </c>
      <c r="P77" t="s">
        <v>270</v>
      </c>
      <c r="Q77" t="s">
        <v>264</v>
      </c>
      <c r="R77" t="s">
        <v>50</v>
      </c>
      <c r="S77" s="1">
        <v>45658</v>
      </c>
      <c r="U77" t="s">
        <v>51</v>
      </c>
      <c r="X77" t="s">
        <v>52</v>
      </c>
      <c r="AC77" s="4"/>
      <c r="AF77" s="2">
        <v>175</v>
      </c>
      <c r="AG77" s="2">
        <v>0</v>
      </c>
      <c r="AJ77" s="2">
        <v>175</v>
      </c>
    </row>
    <row r="78" spans="1:38" x14ac:dyDescent="0.25">
      <c r="A78" s="1">
        <v>45707</v>
      </c>
      <c r="B78" s="1">
        <v>45707</v>
      </c>
      <c r="C78" t="s">
        <v>262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273</v>
      </c>
      <c r="J78" t="s">
        <v>274</v>
      </c>
      <c r="M78" t="s">
        <v>46</v>
      </c>
      <c r="O78" t="s">
        <v>142</v>
      </c>
      <c r="P78" t="s">
        <v>143</v>
      </c>
      <c r="Q78" t="s">
        <v>264</v>
      </c>
      <c r="R78" t="s">
        <v>50</v>
      </c>
      <c r="S78" s="1">
        <v>45658</v>
      </c>
      <c r="U78" t="s">
        <v>51</v>
      </c>
      <c r="X78" t="s">
        <v>52</v>
      </c>
      <c r="AC78" s="4"/>
      <c r="AF78" s="2">
        <v>175</v>
      </c>
      <c r="AG78" s="2">
        <v>0</v>
      </c>
      <c r="AJ78" s="2">
        <v>161</v>
      </c>
    </row>
    <row r="79" spans="1:38" x14ac:dyDescent="0.25">
      <c r="A79" s="1">
        <v>45707</v>
      </c>
      <c r="B79" s="1">
        <v>45707</v>
      </c>
      <c r="C79" t="s">
        <v>262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275</v>
      </c>
      <c r="J79" t="s">
        <v>276</v>
      </c>
      <c r="M79" t="s">
        <v>104</v>
      </c>
      <c r="O79" t="s">
        <v>173</v>
      </c>
      <c r="P79" t="s">
        <v>174</v>
      </c>
      <c r="Q79" t="s">
        <v>264</v>
      </c>
      <c r="R79" t="s">
        <v>135</v>
      </c>
      <c r="S79" s="1">
        <v>45658</v>
      </c>
      <c r="U79" t="s">
        <v>51</v>
      </c>
      <c r="X79" t="s">
        <v>52</v>
      </c>
      <c r="AC79" s="4"/>
      <c r="AF79" s="2">
        <v>50</v>
      </c>
      <c r="AG79" s="2">
        <v>0</v>
      </c>
      <c r="AJ79" s="2">
        <v>50</v>
      </c>
    </row>
    <row r="80" spans="1:38" x14ac:dyDescent="0.25">
      <c r="A80" s="1">
        <v>45707</v>
      </c>
      <c r="B80" s="1">
        <v>45707</v>
      </c>
      <c r="C80" t="s">
        <v>262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277</v>
      </c>
      <c r="J80" t="s">
        <v>278</v>
      </c>
      <c r="M80" t="s">
        <v>104</v>
      </c>
      <c r="O80" t="s">
        <v>41</v>
      </c>
      <c r="P80" t="s">
        <v>43</v>
      </c>
      <c r="Q80" t="s">
        <v>264</v>
      </c>
      <c r="R80" t="s">
        <v>279</v>
      </c>
      <c r="S80" s="1">
        <v>45689</v>
      </c>
      <c r="U80" t="s">
        <v>51</v>
      </c>
      <c r="X80" t="s">
        <v>52</v>
      </c>
      <c r="AC80" s="4"/>
      <c r="AF80" s="2">
        <v>150</v>
      </c>
      <c r="AG80" s="2">
        <v>0</v>
      </c>
      <c r="AJ80" s="2">
        <v>150</v>
      </c>
    </row>
    <row r="81" spans="1:36" x14ac:dyDescent="0.25">
      <c r="A81" s="1">
        <v>45707</v>
      </c>
      <c r="B81" s="1">
        <v>45707</v>
      </c>
      <c r="C81" t="s">
        <v>262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280</v>
      </c>
      <c r="J81" t="s">
        <v>240</v>
      </c>
      <c r="M81" t="s">
        <v>113</v>
      </c>
      <c r="O81" t="s">
        <v>62</v>
      </c>
      <c r="P81" t="s">
        <v>63</v>
      </c>
      <c r="Q81" t="s">
        <v>264</v>
      </c>
      <c r="R81" t="s">
        <v>281</v>
      </c>
      <c r="S81" s="1">
        <v>45658</v>
      </c>
      <c r="U81" t="s">
        <v>51</v>
      </c>
      <c r="X81" t="s">
        <v>52</v>
      </c>
      <c r="AC81" s="4"/>
      <c r="AF81" s="2">
        <v>626</v>
      </c>
      <c r="AG81" s="2">
        <v>0</v>
      </c>
      <c r="AJ81" s="2">
        <v>626</v>
      </c>
    </row>
    <row r="82" spans="1:36" x14ac:dyDescent="0.25">
      <c r="A82" s="1">
        <v>45707</v>
      </c>
      <c r="B82" s="1">
        <v>45707</v>
      </c>
      <c r="C82" t="s">
        <v>262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282</v>
      </c>
      <c r="J82" t="s">
        <v>240</v>
      </c>
      <c r="M82" t="s">
        <v>113</v>
      </c>
      <c r="O82" t="s">
        <v>62</v>
      </c>
      <c r="P82" t="s">
        <v>63</v>
      </c>
      <c r="Q82" t="s">
        <v>264</v>
      </c>
      <c r="R82" t="s">
        <v>177</v>
      </c>
      <c r="S82" s="1">
        <v>45658</v>
      </c>
      <c r="U82" t="s">
        <v>51</v>
      </c>
      <c r="X82" t="s">
        <v>52</v>
      </c>
      <c r="AC82" s="4"/>
      <c r="AF82" s="2">
        <v>175</v>
      </c>
      <c r="AG82" s="2">
        <v>0</v>
      </c>
      <c r="AJ82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9892-D2E2-4367-B319-8AB881DDC440}">
  <dimension ref="A1:R79"/>
  <sheetViews>
    <sheetView workbookViewId="0">
      <selection activeCell="B7" sqref="B7:B21"/>
    </sheetView>
  </sheetViews>
  <sheetFormatPr defaultRowHeight="15" x14ac:dyDescent="0.25"/>
  <cols>
    <col min="1" max="1" width="23.5703125" bestFit="1" customWidth="1"/>
    <col min="2" max="2" width="24.28515625" bestFit="1" customWidth="1"/>
    <col min="3" max="3" width="5.5703125" bestFit="1" customWidth="1"/>
    <col min="4" max="4" width="15.7109375" bestFit="1" customWidth="1"/>
    <col min="5" max="5" width="23.7109375" bestFit="1" customWidth="1"/>
    <col min="7" max="7" width="53.42578125" bestFit="1" customWidth="1"/>
    <col min="11" max="11" width="15.85546875" bestFit="1" customWidth="1"/>
    <col min="14" max="14" width="17.42578125" bestFit="1" customWidth="1"/>
    <col min="15" max="15" width="24.140625" bestFit="1" customWidth="1"/>
    <col min="16" max="16" width="29.85546875" bestFit="1" customWidth="1"/>
    <col min="17" max="17" width="23.140625" bestFit="1" customWidth="1"/>
    <col min="18" max="18" width="14.140625" bestFit="1" customWidth="1"/>
  </cols>
  <sheetData>
    <row r="1" spans="1:18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20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8" x14ac:dyDescent="0.25">
      <c r="A2" s="10">
        <v>101838101000</v>
      </c>
      <c r="B2" t="s">
        <v>131</v>
      </c>
      <c r="C2" t="s">
        <v>132</v>
      </c>
      <c r="D2">
        <v>20411454</v>
      </c>
      <c r="E2" t="s">
        <v>337</v>
      </c>
      <c r="F2" t="s">
        <v>49</v>
      </c>
      <c r="G2" t="s">
        <v>135</v>
      </c>
      <c r="H2" s="1">
        <v>45658</v>
      </c>
      <c r="I2" t="s">
        <v>51</v>
      </c>
      <c r="J2" s="2">
        <v>0</v>
      </c>
      <c r="K2" s="2">
        <v>50</v>
      </c>
      <c r="L2">
        <v>1</v>
      </c>
      <c r="M2" s="3">
        <v>1</v>
      </c>
      <c r="N2" s="4">
        <v>50</v>
      </c>
      <c r="P2" t="s">
        <v>283</v>
      </c>
      <c r="Q2" s="10">
        <v>101838101000</v>
      </c>
      <c r="R2" t="str">
        <f>CONCATENATE(Q2,9)</f>
        <v>1018381010009</v>
      </c>
    </row>
    <row r="3" spans="1:18" x14ac:dyDescent="0.25">
      <c r="A3" s="10">
        <v>101847840100</v>
      </c>
      <c r="B3" t="s">
        <v>137</v>
      </c>
      <c r="C3" t="s">
        <v>132</v>
      </c>
      <c r="D3">
        <v>20411454</v>
      </c>
      <c r="E3" t="s">
        <v>337</v>
      </c>
      <c r="F3" t="s">
        <v>49</v>
      </c>
      <c r="G3" t="s">
        <v>135</v>
      </c>
      <c r="H3" s="1">
        <v>45658</v>
      </c>
      <c r="I3" t="s">
        <v>51</v>
      </c>
      <c r="J3" s="2">
        <v>0</v>
      </c>
      <c r="K3" s="2">
        <v>50</v>
      </c>
      <c r="L3">
        <v>1</v>
      </c>
      <c r="M3" s="3">
        <v>1</v>
      </c>
      <c r="N3" s="4">
        <v>50</v>
      </c>
      <c r="P3" t="s">
        <v>283</v>
      </c>
      <c r="Q3" s="10">
        <v>101847840100</v>
      </c>
      <c r="R3" t="str">
        <f t="shared" ref="R3:R60" si="0">CONCATENATE(Q3,9)</f>
        <v>1018478401009</v>
      </c>
    </row>
    <row r="4" spans="1:18" x14ac:dyDescent="0.25">
      <c r="A4" s="10">
        <v>101954370400</v>
      </c>
      <c r="B4" t="s">
        <v>139</v>
      </c>
      <c r="C4" t="s">
        <v>132</v>
      </c>
      <c r="D4">
        <v>20411454</v>
      </c>
      <c r="E4" t="s">
        <v>337</v>
      </c>
      <c r="F4" t="s">
        <v>49</v>
      </c>
      <c r="G4" t="s">
        <v>135</v>
      </c>
      <c r="H4" s="1">
        <v>45658</v>
      </c>
      <c r="I4" t="s">
        <v>51</v>
      </c>
      <c r="J4" s="2">
        <v>0</v>
      </c>
      <c r="K4" s="2">
        <v>50</v>
      </c>
      <c r="L4">
        <v>1</v>
      </c>
      <c r="M4" s="3">
        <v>1</v>
      </c>
      <c r="N4" s="4">
        <v>50</v>
      </c>
      <c r="P4" t="s">
        <v>283</v>
      </c>
      <c r="Q4" s="10">
        <v>101954370400</v>
      </c>
      <c r="R4" t="str">
        <f t="shared" si="0"/>
        <v>1019543704009</v>
      </c>
    </row>
    <row r="5" spans="1:18" x14ac:dyDescent="0.25">
      <c r="A5" s="10">
        <v>102095792600</v>
      </c>
      <c r="B5" t="s">
        <v>145</v>
      </c>
      <c r="C5" t="s">
        <v>113</v>
      </c>
      <c r="D5">
        <v>20411454</v>
      </c>
      <c r="E5" t="s">
        <v>337</v>
      </c>
      <c r="F5" t="s">
        <v>49</v>
      </c>
      <c r="G5" t="s">
        <v>135</v>
      </c>
      <c r="H5" s="1">
        <v>45658</v>
      </c>
      <c r="I5" t="s">
        <v>51</v>
      </c>
      <c r="J5" s="2">
        <v>0</v>
      </c>
      <c r="K5" s="2">
        <v>50</v>
      </c>
      <c r="L5">
        <v>1</v>
      </c>
      <c r="M5" s="3">
        <v>1</v>
      </c>
      <c r="N5" s="4">
        <v>50</v>
      </c>
      <c r="P5" t="s">
        <v>283</v>
      </c>
      <c r="Q5" s="10">
        <v>102095792600</v>
      </c>
      <c r="R5" t="str">
        <f t="shared" si="0"/>
        <v>1020957926009</v>
      </c>
    </row>
    <row r="6" spans="1:18" x14ac:dyDescent="0.25">
      <c r="A6" s="10" t="s">
        <v>295</v>
      </c>
      <c r="B6" t="s">
        <v>276</v>
      </c>
      <c r="C6" t="s">
        <v>104</v>
      </c>
      <c r="D6">
        <v>20411454</v>
      </c>
      <c r="E6" t="s">
        <v>337</v>
      </c>
      <c r="F6" t="s">
        <v>264</v>
      </c>
      <c r="G6" t="s">
        <v>135</v>
      </c>
      <c r="H6" s="1">
        <v>45658</v>
      </c>
      <c r="I6" t="s">
        <v>51</v>
      </c>
      <c r="N6" s="4">
        <v>-50</v>
      </c>
      <c r="P6" t="s">
        <v>283</v>
      </c>
      <c r="Q6" s="10" t="s">
        <v>295</v>
      </c>
      <c r="R6" t="str">
        <f t="shared" si="0"/>
        <v>102068004500CB9</v>
      </c>
    </row>
    <row r="7" spans="1:18" s="5" customFormat="1" x14ac:dyDescent="0.25">
      <c r="A7" s="11">
        <v>102142845300</v>
      </c>
      <c r="B7" s="5" t="s">
        <v>156</v>
      </c>
      <c r="C7" s="5" t="s">
        <v>157</v>
      </c>
      <c r="D7" s="5">
        <v>20411454</v>
      </c>
      <c r="E7" s="5" t="s">
        <v>337</v>
      </c>
      <c r="F7" s="5" t="s">
        <v>49</v>
      </c>
      <c r="G7" s="5" t="s">
        <v>116</v>
      </c>
      <c r="H7" s="6">
        <v>45689</v>
      </c>
      <c r="I7" s="5" t="s">
        <v>51</v>
      </c>
      <c r="J7" s="7">
        <v>0</v>
      </c>
      <c r="K7" s="7">
        <v>45.83</v>
      </c>
      <c r="L7" s="5">
        <v>1</v>
      </c>
      <c r="M7" s="8">
        <v>1</v>
      </c>
      <c r="N7" s="9">
        <v>45.83</v>
      </c>
      <c r="O7" s="9" t="e">
        <f>#REF!-#REF!</f>
        <v>#REF!</v>
      </c>
      <c r="P7" s="5" t="s">
        <v>283</v>
      </c>
      <c r="Q7" s="11">
        <v>102142845300</v>
      </c>
      <c r="R7" s="5" t="str">
        <f>CONCATENATE(Q7,9)</f>
        <v>1021428453009</v>
      </c>
    </row>
    <row r="8" spans="1:18" s="5" customFormat="1" x14ac:dyDescent="0.25">
      <c r="A8" s="13">
        <v>102143800500</v>
      </c>
      <c r="B8" s="14" t="s">
        <v>159</v>
      </c>
      <c r="C8" s="14" t="s">
        <v>104</v>
      </c>
      <c r="D8" s="14">
        <v>20411454</v>
      </c>
      <c r="E8" s="14" t="s">
        <v>337</v>
      </c>
      <c r="F8" s="14" t="s">
        <v>49</v>
      </c>
      <c r="G8" s="14" t="s">
        <v>116</v>
      </c>
      <c r="H8" s="15">
        <v>45689</v>
      </c>
      <c r="I8" s="14" t="s">
        <v>51</v>
      </c>
      <c r="J8" s="16">
        <v>0</v>
      </c>
      <c r="K8" s="16">
        <v>45.83</v>
      </c>
      <c r="L8" s="14">
        <v>1</v>
      </c>
      <c r="M8" s="17">
        <v>1</v>
      </c>
      <c r="N8" s="18">
        <v>45.83</v>
      </c>
      <c r="O8" s="18" t="e">
        <f>#REF!-#REF!</f>
        <v>#REF!</v>
      </c>
      <c r="P8" s="14" t="s">
        <v>283</v>
      </c>
      <c r="Q8" s="13">
        <v>102143800500</v>
      </c>
      <c r="R8" s="14" t="str">
        <f>CONCATENATE(Q8,9)</f>
        <v>1021438005009</v>
      </c>
    </row>
    <row r="9" spans="1:18" s="5" customFormat="1" x14ac:dyDescent="0.25">
      <c r="A9" s="11">
        <v>101228663400</v>
      </c>
      <c r="B9" s="5" t="s">
        <v>119</v>
      </c>
      <c r="C9" s="5" t="s">
        <v>46</v>
      </c>
      <c r="D9" s="5">
        <v>20411454</v>
      </c>
      <c r="E9" s="5" t="s">
        <v>337</v>
      </c>
      <c r="F9" s="5" t="s">
        <v>49</v>
      </c>
      <c r="G9" s="5" t="s">
        <v>116</v>
      </c>
      <c r="H9" s="6">
        <v>45689</v>
      </c>
      <c r="I9" s="5" t="s">
        <v>51</v>
      </c>
      <c r="J9" s="7">
        <v>0</v>
      </c>
      <c r="K9" s="7">
        <v>45.83</v>
      </c>
      <c r="L9" s="5">
        <v>1</v>
      </c>
      <c r="M9" s="8">
        <v>1</v>
      </c>
      <c r="N9" s="9">
        <v>45.83</v>
      </c>
      <c r="O9" s="9" t="e">
        <f>#REF!-#REF!</f>
        <v>#REF!</v>
      </c>
      <c r="P9" s="5" t="s">
        <v>283</v>
      </c>
      <c r="Q9" s="11">
        <v>101228663400</v>
      </c>
      <c r="R9" s="5" t="str">
        <f>CONCATENATE(Q9,9)</f>
        <v>1012286634009</v>
      </c>
    </row>
    <row r="10" spans="1:18" s="14" customFormat="1" x14ac:dyDescent="0.25">
      <c r="A10" s="11">
        <v>102092317600</v>
      </c>
      <c r="B10" s="5" t="s">
        <v>141</v>
      </c>
      <c r="C10" s="5" t="s">
        <v>113</v>
      </c>
      <c r="D10" s="5">
        <v>20411454</v>
      </c>
      <c r="E10" s="5" t="s">
        <v>337</v>
      </c>
      <c r="F10" s="5" t="s">
        <v>49</v>
      </c>
      <c r="G10" s="5" t="s">
        <v>116</v>
      </c>
      <c r="H10" s="6">
        <v>45689</v>
      </c>
      <c r="I10" s="5" t="s">
        <v>51</v>
      </c>
      <c r="J10" s="7">
        <v>0</v>
      </c>
      <c r="K10" s="7">
        <v>45.83</v>
      </c>
      <c r="L10" s="5">
        <v>1</v>
      </c>
      <c r="M10" s="8">
        <v>1</v>
      </c>
      <c r="N10" s="9">
        <v>45.83</v>
      </c>
      <c r="O10" s="9" t="e">
        <f>#REF!-#REF!</f>
        <v>#REF!</v>
      </c>
      <c r="P10" s="5" t="s">
        <v>283</v>
      </c>
      <c r="Q10" s="11">
        <v>102092317600</v>
      </c>
      <c r="R10" s="5" t="str">
        <f>CONCATENATE(Q10,9)</f>
        <v>1020923176009</v>
      </c>
    </row>
    <row r="11" spans="1:18" s="5" customFormat="1" x14ac:dyDescent="0.25">
      <c r="A11" s="13" t="s">
        <v>296</v>
      </c>
      <c r="B11" s="14" t="s">
        <v>252</v>
      </c>
      <c r="C11" s="14" t="s">
        <v>247</v>
      </c>
      <c r="D11" s="14">
        <v>20411454</v>
      </c>
      <c r="E11" s="14" t="s">
        <v>337</v>
      </c>
      <c r="F11" s="14" t="s">
        <v>49</v>
      </c>
      <c r="G11" s="14" t="s">
        <v>255</v>
      </c>
      <c r="H11" s="15">
        <v>45689</v>
      </c>
      <c r="I11" s="14" t="s">
        <v>51</v>
      </c>
      <c r="J11" s="16">
        <v>0</v>
      </c>
      <c r="K11" s="16">
        <v>45.83</v>
      </c>
      <c r="L11" s="14">
        <v>1</v>
      </c>
      <c r="M11" s="17">
        <v>1</v>
      </c>
      <c r="N11" s="18">
        <v>45.83</v>
      </c>
      <c r="O11" s="18" t="e">
        <f>#REF!-#REF!</f>
        <v>#REF!</v>
      </c>
      <c r="P11" s="14" t="s">
        <v>283</v>
      </c>
      <c r="Q11" s="13" t="s">
        <v>296</v>
      </c>
      <c r="R11" s="14" t="str">
        <f>CONCATENATE(Q11,9)</f>
        <v>MEQNPDZM000164579489</v>
      </c>
    </row>
    <row r="12" spans="1:18" s="5" customFormat="1" x14ac:dyDescent="0.25">
      <c r="A12" s="11">
        <v>102144486900</v>
      </c>
      <c r="B12" s="5" t="s">
        <v>163</v>
      </c>
      <c r="C12" s="5" t="s">
        <v>46</v>
      </c>
      <c r="D12" s="5">
        <v>20411454</v>
      </c>
      <c r="E12" s="5" t="s">
        <v>337</v>
      </c>
      <c r="F12" s="5" t="s">
        <v>49</v>
      </c>
      <c r="G12" s="5" t="s">
        <v>116</v>
      </c>
      <c r="H12" s="6">
        <v>45689</v>
      </c>
      <c r="I12" s="5" t="s">
        <v>51</v>
      </c>
      <c r="J12" s="7">
        <v>0</v>
      </c>
      <c r="K12" s="7">
        <v>45.83</v>
      </c>
      <c r="L12" s="5">
        <v>1</v>
      </c>
      <c r="M12" s="8">
        <v>1</v>
      </c>
      <c r="N12" s="9">
        <v>45.83</v>
      </c>
      <c r="O12" s="9" t="e">
        <f>#REF!-#REF!</f>
        <v>#REF!</v>
      </c>
      <c r="P12" s="5" t="s">
        <v>283</v>
      </c>
      <c r="Q12" s="11">
        <v>102144486900</v>
      </c>
      <c r="R12" s="5" t="str">
        <f>CONCATENATE(Q12,9)</f>
        <v>1021444869009</v>
      </c>
    </row>
    <row r="13" spans="1:18" s="14" customFormat="1" x14ac:dyDescent="0.25">
      <c r="A13" s="11">
        <v>101518663400</v>
      </c>
      <c r="B13" s="5" t="s">
        <v>129</v>
      </c>
      <c r="C13" s="5" t="s">
        <v>113</v>
      </c>
      <c r="D13" s="5">
        <v>20411454</v>
      </c>
      <c r="E13" s="5" t="s">
        <v>337</v>
      </c>
      <c r="F13" s="5" t="s">
        <v>49</v>
      </c>
      <c r="G13" s="5" t="s">
        <v>116</v>
      </c>
      <c r="H13" s="6">
        <v>45689</v>
      </c>
      <c r="I13" s="5" t="s">
        <v>51</v>
      </c>
      <c r="J13" s="7">
        <v>0</v>
      </c>
      <c r="K13" s="7">
        <v>45.83</v>
      </c>
      <c r="L13" s="5">
        <v>1</v>
      </c>
      <c r="M13" s="8">
        <v>1</v>
      </c>
      <c r="N13" s="9">
        <v>45.83</v>
      </c>
      <c r="O13" s="9" t="e">
        <f>#REF!-#REF!</f>
        <v>#REF!</v>
      </c>
      <c r="P13" s="5" t="s">
        <v>283</v>
      </c>
      <c r="Q13" s="11">
        <v>101518663400</v>
      </c>
      <c r="R13" s="5" t="str">
        <f>CONCATENATE(Q13,9)</f>
        <v>1015186634009</v>
      </c>
    </row>
    <row r="14" spans="1:18" s="5" customFormat="1" x14ac:dyDescent="0.25">
      <c r="A14" s="13">
        <v>102144960200</v>
      </c>
      <c r="B14" s="14" t="s">
        <v>168</v>
      </c>
      <c r="C14" s="14" t="s">
        <v>104</v>
      </c>
      <c r="D14" s="14">
        <v>20411454</v>
      </c>
      <c r="E14" s="14" t="s">
        <v>337</v>
      </c>
      <c r="F14" s="14" t="s">
        <v>49</v>
      </c>
      <c r="G14" s="14" t="s">
        <v>116</v>
      </c>
      <c r="H14" s="15">
        <v>45689</v>
      </c>
      <c r="I14" s="14" t="s">
        <v>51</v>
      </c>
      <c r="J14" s="16">
        <v>0</v>
      </c>
      <c r="K14" s="16">
        <v>45.83</v>
      </c>
      <c r="L14" s="14">
        <v>1</v>
      </c>
      <c r="M14" s="17">
        <v>1</v>
      </c>
      <c r="N14" s="18">
        <v>45.83</v>
      </c>
      <c r="O14" s="18" t="e">
        <f>#REF!-#REF!</f>
        <v>#REF!</v>
      </c>
      <c r="P14" s="14" t="s">
        <v>283</v>
      </c>
      <c r="Q14" s="13">
        <v>102144960200</v>
      </c>
      <c r="R14" s="14" t="str">
        <f>CONCATENATE(Q14,9)</f>
        <v>1021449602009</v>
      </c>
    </row>
    <row r="15" spans="1:18" s="5" customFormat="1" x14ac:dyDescent="0.25">
      <c r="A15" s="11">
        <v>101384842900</v>
      </c>
      <c r="B15" s="5" t="s">
        <v>125</v>
      </c>
      <c r="C15" s="5" t="s">
        <v>113</v>
      </c>
      <c r="D15" s="5">
        <v>20411454</v>
      </c>
      <c r="E15" s="5" t="s">
        <v>337</v>
      </c>
      <c r="F15" s="5" t="s">
        <v>49</v>
      </c>
      <c r="G15" s="5" t="s">
        <v>116</v>
      </c>
      <c r="H15" s="6">
        <v>45689</v>
      </c>
      <c r="I15" s="5" t="s">
        <v>51</v>
      </c>
      <c r="J15" s="7">
        <v>0</v>
      </c>
      <c r="K15" s="7">
        <v>45.83</v>
      </c>
      <c r="L15" s="5">
        <v>1</v>
      </c>
      <c r="M15" s="8">
        <v>1</v>
      </c>
      <c r="N15" s="9">
        <v>45.83</v>
      </c>
      <c r="O15" s="9" t="e">
        <f>#REF!-#REF!</f>
        <v>#REF!</v>
      </c>
      <c r="P15" s="5" t="s">
        <v>283</v>
      </c>
      <c r="Q15" s="11">
        <v>101384842900</v>
      </c>
      <c r="R15" s="5" t="str">
        <f>CONCATENATE(Q15,9)</f>
        <v>1013848429009</v>
      </c>
    </row>
    <row r="16" spans="1:18" s="5" customFormat="1" x14ac:dyDescent="0.25">
      <c r="A16" s="13">
        <v>102099947600</v>
      </c>
      <c r="B16" s="14" t="s">
        <v>149</v>
      </c>
      <c r="C16" s="14" t="s">
        <v>150</v>
      </c>
      <c r="D16" s="14">
        <v>20411454</v>
      </c>
      <c r="E16" s="14" t="s">
        <v>337</v>
      </c>
      <c r="F16" s="14" t="s">
        <v>49</v>
      </c>
      <c r="G16" s="14" t="s">
        <v>116</v>
      </c>
      <c r="H16" s="15">
        <v>45689</v>
      </c>
      <c r="I16" s="14" t="s">
        <v>51</v>
      </c>
      <c r="J16" s="16">
        <v>0</v>
      </c>
      <c r="K16" s="16">
        <v>45.83</v>
      </c>
      <c r="L16" s="14">
        <v>1</v>
      </c>
      <c r="M16" s="17">
        <v>1</v>
      </c>
      <c r="N16" s="18">
        <v>45.83</v>
      </c>
      <c r="O16" s="18" t="e">
        <f>#REF!-#REF!</f>
        <v>#REF!</v>
      </c>
      <c r="P16" s="14" t="s">
        <v>283</v>
      </c>
      <c r="Q16" s="13">
        <v>102099947600</v>
      </c>
      <c r="R16" s="14" t="str">
        <f>CONCATENATE(Q16,9)</f>
        <v>1020999476009</v>
      </c>
    </row>
    <row r="17" spans="1:18" s="5" customFormat="1" x14ac:dyDescent="0.25">
      <c r="A17" s="11">
        <v>102144511800</v>
      </c>
      <c r="B17" s="5" t="s">
        <v>165</v>
      </c>
      <c r="C17" s="5" t="s">
        <v>113</v>
      </c>
      <c r="D17" s="5">
        <v>20411454</v>
      </c>
      <c r="E17" s="5" t="s">
        <v>337</v>
      </c>
      <c r="F17" s="5" t="s">
        <v>49</v>
      </c>
      <c r="G17" s="5" t="s">
        <v>116</v>
      </c>
      <c r="H17" s="6">
        <v>45748</v>
      </c>
      <c r="I17" s="5" t="s">
        <v>51</v>
      </c>
      <c r="J17" s="7">
        <v>0</v>
      </c>
      <c r="K17" s="7">
        <v>37.5</v>
      </c>
      <c r="L17" s="5">
        <v>1</v>
      </c>
      <c r="M17" s="8">
        <v>1</v>
      </c>
      <c r="N17" s="9">
        <v>37.5</v>
      </c>
      <c r="O17" s="9" t="e">
        <f>#REF!-#REF!</f>
        <v>#REF!</v>
      </c>
      <c r="P17" s="5" t="s">
        <v>283</v>
      </c>
      <c r="Q17" s="11">
        <v>102144511800</v>
      </c>
      <c r="R17" s="5" t="str">
        <f>CONCATENATE(Q17,9)</f>
        <v>1021445118009</v>
      </c>
    </row>
    <row r="18" spans="1:18" s="5" customFormat="1" x14ac:dyDescent="0.25">
      <c r="A18" s="11">
        <v>101275730400</v>
      </c>
      <c r="B18" s="5" t="s">
        <v>123</v>
      </c>
      <c r="C18" s="5" t="s">
        <v>46</v>
      </c>
      <c r="D18" s="5">
        <v>20411454</v>
      </c>
      <c r="E18" s="5" t="s">
        <v>337</v>
      </c>
      <c r="F18" s="5" t="s">
        <v>49</v>
      </c>
      <c r="G18" s="5" t="s">
        <v>116</v>
      </c>
      <c r="H18" s="6">
        <v>45689</v>
      </c>
      <c r="I18" s="5" t="s">
        <v>51</v>
      </c>
      <c r="J18" s="7">
        <v>0</v>
      </c>
      <c r="K18" s="7">
        <v>45.83</v>
      </c>
      <c r="L18" s="5">
        <v>1</v>
      </c>
      <c r="M18" s="8">
        <v>1</v>
      </c>
      <c r="N18" s="9">
        <v>45.83</v>
      </c>
      <c r="O18" s="9" t="e">
        <f>#REF!-#REF!</f>
        <v>#REF!</v>
      </c>
      <c r="P18" s="5" t="s">
        <v>283</v>
      </c>
      <c r="Q18" s="11">
        <v>101275730400</v>
      </c>
      <c r="R18" s="5" t="str">
        <f>CONCATENATE(Q18,9)</f>
        <v>1012757304009</v>
      </c>
    </row>
    <row r="19" spans="1:18" s="14" customFormat="1" x14ac:dyDescent="0.25">
      <c r="A19" s="11">
        <v>101472681300</v>
      </c>
      <c r="B19" s="5" t="s">
        <v>127</v>
      </c>
      <c r="C19" s="5" t="s">
        <v>113</v>
      </c>
      <c r="D19" s="5">
        <v>20411454</v>
      </c>
      <c r="E19" s="5" t="s">
        <v>337</v>
      </c>
      <c r="F19" s="5" t="s">
        <v>49</v>
      </c>
      <c r="G19" s="5" t="s">
        <v>116</v>
      </c>
      <c r="H19" s="6">
        <v>45689</v>
      </c>
      <c r="I19" s="5" t="s">
        <v>51</v>
      </c>
      <c r="J19" s="7">
        <v>0</v>
      </c>
      <c r="K19" s="7">
        <v>45.83</v>
      </c>
      <c r="L19" s="5">
        <v>1</v>
      </c>
      <c r="M19" s="8">
        <v>1</v>
      </c>
      <c r="N19" s="9">
        <v>45.83</v>
      </c>
      <c r="O19" s="9" t="e">
        <f>#REF!-#REF!</f>
        <v>#REF!</v>
      </c>
      <c r="P19" s="5" t="s">
        <v>283</v>
      </c>
      <c r="Q19" s="11">
        <v>101472681300</v>
      </c>
      <c r="R19" s="5" t="str">
        <f>CONCATENATE(Q19,9)</f>
        <v>1014726813009</v>
      </c>
    </row>
    <row r="20" spans="1:18" s="5" customFormat="1" x14ac:dyDescent="0.25">
      <c r="A20" s="11">
        <v>101197955700</v>
      </c>
      <c r="B20" s="5" t="s">
        <v>112</v>
      </c>
      <c r="C20" s="5" t="s">
        <v>113</v>
      </c>
      <c r="D20" s="5">
        <v>20411454</v>
      </c>
      <c r="E20" s="5" t="s">
        <v>337</v>
      </c>
      <c r="F20" s="5" t="s">
        <v>49</v>
      </c>
      <c r="G20" s="5" t="s">
        <v>116</v>
      </c>
      <c r="H20" s="6">
        <v>45689</v>
      </c>
      <c r="I20" s="5" t="s">
        <v>51</v>
      </c>
      <c r="J20" s="7">
        <v>0</v>
      </c>
      <c r="K20" s="7">
        <v>45.83</v>
      </c>
      <c r="L20" s="5">
        <v>1</v>
      </c>
      <c r="M20" s="8">
        <v>1</v>
      </c>
      <c r="N20" s="9">
        <v>45.83</v>
      </c>
      <c r="O20" s="9" t="e">
        <f>#REF!-#REF!</f>
        <v>#REF!</v>
      </c>
      <c r="P20" s="5" t="s">
        <v>283</v>
      </c>
      <c r="Q20" s="11">
        <v>101197955700</v>
      </c>
      <c r="R20" s="5" t="str">
        <f>CONCATENATE(Q20,9)</f>
        <v>1011979557009</v>
      </c>
    </row>
    <row r="21" spans="1:18" s="14" customFormat="1" x14ac:dyDescent="0.25">
      <c r="A21" s="11">
        <v>102142808400</v>
      </c>
      <c r="B21" s="5" t="s">
        <v>154</v>
      </c>
      <c r="C21" s="5" t="s">
        <v>113</v>
      </c>
      <c r="D21" s="5">
        <v>20411454</v>
      </c>
      <c r="E21" s="5" t="s">
        <v>337</v>
      </c>
      <c r="F21" s="5" t="s">
        <v>49</v>
      </c>
      <c r="G21" s="5" t="s">
        <v>116</v>
      </c>
      <c r="H21" s="6">
        <v>45689</v>
      </c>
      <c r="I21" s="5" t="s">
        <v>51</v>
      </c>
      <c r="J21" s="7">
        <v>0</v>
      </c>
      <c r="K21" s="7">
        <v>45.83</v>
      </c>
      <c r="L21" s="5">
        <v>1</v>
      </c>
      <c r="M21" s="8">
        <v>1</v>
      </c>
      <c r="N21" s="9">
        <v>45.83</v>
      </c>
      <c r="O21" s="5">
        <f>313/12</f>
        <v>26.083333333333332</v>
      </c>
      <c r="P21" s="5" t="s">
        <v>283</v>
      </c>
      <c r="Q21" s="11">
        <v>102142808400</v>
      </c>
      <c r="R21" s="5" t="str">
        <f>CONCATENATE(Q21,9)</f>
        <v>1021428084009</v>
      </c>
    </row>
    <row r="22" spans="1:18" x14ac:dyDescent="0.25">
      <c r="A22" s="10" t="s">
        <v>297</v>
      </c>
      <c r="B22" t="s">
        <v>45</v>
      </c>
      <c r="C22" t="s">
        <v>46</v>
      </c>
      <c r="D22">
        <v>20411454</v>
      </c>
      <c r="E22" t="s">
        <v>337</v>
      </c>
      <c r="F22" t="s">
        <v>49</v>
      </c>
      <c r="G22" t="s">
        <v>50</v>
      </c>
      <c r="H22" s="1">
        <v>45689</v>
      </c>
      <c r="I22" t="s">
        <v>51</v>
      </c>
      <c r="J22" s="2">
        <v>0</v>
      </c>
      <c r="K22" s="2">
        <v>175</v>
      </c>
      <c r="L22">
        <v>1</v>
      </c>
      <c r="M22" s="3">
        <v>1</v>
      </c>
      <c r="N22" s="4">
        <v>175</v>
      </c>
      <c r="P22" t="s">
        <v>284</v>
      </c>
      <c r="Q22" s="10" t="s">
        <v>297</v>
      </c>
      <c r="R22" t="str">
        <f t="shared" si="0"/>
        <v>00019923594K9</v>
      </c>
    </row>
    <row r="23" spans="1:18" x14ac:dyDescent="0.25">
      <c r="A23" s="10" t="s">
        <v>298</v>
      </c>
      <c r="B23" t="s">
        <v>61</v>
      </c>
      <c r="C23" t="s">
        <v>46</v>
      </c>
      <c r="D23">
        <v>20411454</v>
      </c>
      <c r="E23" t="s">
        <v>337</v>
      </c>
      <c r="F23" t="s">
        <v>49</v>
      </c>
      <c r="G23" t="s">
        <v>50</v>
      </c>
      <c r="H23" s="1">
        <v>45689</v>
      </c>
      <c r="I23" t="s">
        <v>51</v>
      </c>
      <c r="J23" s="2">
        <v>0</v>
      </c>
      <c r="K23" s="2">
        <v>175</v>
      </c>
      <c r="L23">
        <v>1</v>
      </c>
      <c r="M23" s="3">
        <v>1</v>
      </c>
      <c r="N23" s="4">
        <v>175</v>
      </c>
      <c r="P23" t="s">
        <v>284</v>
      </c>
      <c r="Q23" s="10" t="s">
        <v>298</v>
      </c>
      <c r="R23" t="str">
        <f t="shared" si="0"/>
        <v>00021880649K9</v>
      </c>
    </row>
    <row r="24" spans="1:18" x14ac:dyDescent="0.25">
      <c r="A24" s="10" t="s">
        <v>299</v>
      </c>
      <c r="B24" t="s">
        <v>65</v>
      </c>
      <c r="C24" t="s">
        <v>46</v>
      </c>
      <c r="D24">
        <v>20411454</v>
      </c>
      <c r="E24" t="s">
        <v>337</v>
      </c>
      <c r="F24" t="s">
        <v>49</v>
      </c>
      <c r="G24" t="s">
        <v>50</v>
      </c>
      <c r="H24" s="1">
        <v>45658</v>
      </c>
      <c r="I24" t="s">
        <v>51</v>
      </c>
      <c r="J24" s="2">
        <v>0</v>
      </c>
      <c r="K24" s="2">
        <v>175</v>
      </c>
      <c r="L24">
        <v>1</v>
      </c>
      <c r="M24" s="3">
        <v>1</v>
      </c>
      <c r="N24" s="4">
        <v>175</v>
      </c>
      <c r="P24" t="s">
        <v>284</v>
      </c>
      <c r="Q24" s="10" t="s">
        <v>299</v>
      </c>
      <c r="R24" t="str">
        <f t="shared" si="0"/>
        <v>00022542308K9</v>
      </c>
    </row>
    <row r="25" spans="1:18" x14ac:dyDescent="0.25">
      <c r="A25" s="10" t="s">
        <v>300</v>
      </c>
      <c r="B25" t="s">
        <v>69</v>
      </c>
      <c r="C25" t="s">
        <v>46</v>
      </c>
      <c r="D25">
        <v>20411454</v>
      </c>
      <c r="E25" t="s">
        <v>337</v>
      </c>
      <c r="F25" t="s">
        <v>49</v>
      </c>
      <c r="G25" t="s">
        <v>50</v>
      </c>
      <c r="H25" s="1">
        <v>45689</v>
      </c>
      <c r="I25" t="s">
        <v>51</v>
      </c>
      <c r="J25" s="2">
        <v>0</v>
      </c>
      <c r="K25" s="2">
        <v>175</v>
      </c>
      <c r="L25">
        <v>1</v>
      </c>
      <c r="M25" s="3">
        <v>1</v>
      </c>
      <c r="N25" s="4">
        <v>175</v>
      </c>
      <c r="P25" t="s">
        <v>284</v>
      </c>
      <c r="Q25" s="10" t="s">
        <v>300</v>
      </c>
      <c r="R25" t="str">
        <f t="shared" si="0"/>
        <v>00023069230K9</v>
      </c>
    </row>
    <row r="26" spans="1:18" x14ac:dyDescent="0.25">
      <c r="A26" s="10" t="s">
        <v>301</v>
      </c>
      <c r="B26" t="s">
        <v>73</v>
      </c>
      <c r="C26" t="s">
        <v>46</v>
      </c>
      <c r="D26">
        <v>20411454</v>
      </c>
      <c r="E26" t="s">
        <v>337</v>
      </c>
      <c r="F26" t="s">
        <v>49</v>
      </c>
      <c r="G26" t="s">
        <v>50</v>
      </c>
      <c r="H26" s="1">
        <v>45778</v>
      </c>
      <c r="I26" t="s">
        <v>51</v>
      </c>
      <c r="J26" s="2">
        <v>0</v>
      </c>
      <c r="K26" s="2">
        <v>175</v>
      </c>
      <c r="L26">
        <v>1</v>
      </c>
      <c r="M26" s="3">
        <v>1</v>
      </c>
      <c r="N26" s="4">
        <v>175</v>
      </c>
      <c r="P26" t="s">
        <v>284</v>
      </c>
      <c r="Q26" s="10" t="s">
        <v>301</v>
      </c>
      <c r="R26" t="str">
        <f t="shared" si="0"/>
        <v>00023070047K9</v>
      </c>
    </row>
    <row r="27" spans="1:18" x14ac:dyDescent="0.25">
      <c r="A27" s="10" t="s">
        <v>302</v>
      </c>
      <c r="B27" t="s">
        <v>77</v>
      </c>
      <c r="C27" t="s">
        <v>46</v>
      </c>
      <c r="D27">
        <v>20411454</v>
      </c>
      <c r="E27" t="s">
        <v>337</v>
      </c>
      <c r="F27" t="s">
        <v>49</v>
      </c>
      <c r="G27" t="s">
        <v>50</v>
      </c>
      <c r="H27" s="1">
        <v>45748</v>
      </c>
      <c r="I27" t="s">
        <v>51</v>
      </c>
      <c r="J27" s="2">
        <v>0</v>
      </c>
      <c r="K27" s="2">
        <v>175</v>
      </c>
      <c r="L27">
        <v>1</v>
      </c>
      <c r="M27" s="3">
        <v>1</v>
      </c>
      <c r="N27" s="4">
        <v>175</v>
      </c>
      <c r="P27" t="s">
        <v>284</v>
      </c>
      <c r="Q27" s="10" t="s">
        <v>302</v>
      </c>
      <c r="R27" t="str">
        <f t="shared" si="0"/>
        <v>00023070900K9</v>
      </c>
    </row>
    <row r="28" spans="1:18" x14ac:dyDescent="0.25">
      <c r="A28" s="10" t="s">
        <v>303</v>
      </c>
      <c r="B28" t="s">
        <v>79</v>
      </c>
      <c r="C28" t="s">
        <v>46</v>
      </c>
      <c r="D28">
        <v>20411454</v>
      </c>
      <c r="E28" t="s">
        <v>337</v>
      </c>
      <c r="F28" t="s">
        <v>49</v>
      </c>
      <c r="G28" t="s">
        <v>50</v>
      </c>
      <c r="H28" s="1">
        <v>45717</v>
      </c>
      <c r="I28" t="s">
        <v>51</v>
      </c>
      <c r="J28" s="2">
        <v>0</v>
      </c>
      <c r="K28" s="2">
        <v>175</v>
      </c>
      <c r="L28">
        <v>1</v>
      </c>
      <c r="M28" s="3">
        <v>1</v>
      </c>
      <c r="N28" s="4">
        <v>175</v>
      </c>
      <c r="P28" t="s">
        <v>284</v>
      </c>
      <c r="Q28" s="10" t="s">
        <v>303</v>
      </c>
      <c r="R28" t="str">
        <f t="shared" si="0"/>
        <v>00023071289K9</v>
      </c>
    </row>
    <row r="29" spans="1:18" x14ac:dyDescent="0.25">
      <c r="A29" s="10" t="s">
        <v>304</v>
      </c>
      <c r="B29" t="s">
        <v>83</v>
      </c>
      <c r="C29" t="s">
        <v>46</v>
      </c>
      <c r="D29">
        <v>20411454</v>
      </c>
      <c r="E29" t="s">
        <v>337</v>
      </c>
      <c r="F29" t="s">
        <v>49</v>
      </c>
      <c r="G29" t="s">
        <v>50</v>
      </c>
      <c r="H29" s="1">
        <v>45778</v>
      </c>
      <c r="I29" t="s">
        <v>51</v>
      </c>
      <c r="J29" s="2">
        <v>0</v>
      </c>
      <c r="K29" s="2">
        <v>175</v>
      </c>
      <c r="L29">
        <v>1</v>
      </c>
      <c r="M29" s="3">
        <v>1</v>
      </c>
      <c r="N29" s="4">
        <v>175</v>
      </c>
      <c r="P29" t="s">
        <v>284</v>
      </c>
      <c r="Q29" s="10" t="s">
        <v>304</v>
      </c>
      <c r="R29" t="str">
        <f t="shared" si="0"/>
        <v>00023072316K9</v>
      </c>
    </row>
    <row r="30" spans="1:18" x14ac:dyDescent="0.25">
      <c r="A30" s="10" t="s">
        <v>305</v>
      </c>
      <c r="B30" t="s">
        <v>85</v>
      </c>
      <c r="C30" t="s">
        <v>46</v>
      </c>
      <c r="D30">
        <v>20411454</v>
      </c>
      <c r="E30" t="s">
        <v>337</v>
      </c>
      <c r="F30" t="s">
        <v>49</v>
      </c>
      <c r="G30" t="s">
        <v>50</v>
      </c>
      <c r="H30" s="1">
        <v>45689</v>
      </c>
      <c r="I30" t="s">
        <v>51</v>
      </c>
      <c r="J30" s="2">
        <v>0</v>
      </c>
      <c r="K30" s="2">
        <v>175</v>
      </c>
      <c r="L30">
        <v>1</v>
      </c>
      <c r="M30" s="3">
        <v>1</v>
      </c>
      <c r="N30" s="4">
        <v>175</v>
      </c>
      <c r="P30" t="s">
        <v>284</v>
      </c>
      <c r="Q30" s="10" t="s">
        <v>305</v>
      </c>
      <c r="R30" t="str">
        <f t="shared" si="0"/>
        <v>00023073086K9</v>
      </c>
    </row>
    <row r="31" spans="1:18" x14ac:dyDescent="0.25">
      <c r="A31" s="10" t="s">
        <v>306</v>
      </c>
      <c r="B31" t="s">
        <v>89</v>
      </c>
      <c r="C31" t="s">
        <v>46</v>
      </c>
      <c r="D31">
        <v>20411454</v>
      </c>
      <c r="E31" t="s">
        <v>337</v>
      </c>
      <c r="F31" t="s">
        <v>49</v>
      </c>
      <c r="G31" t="s">
        <v>50</v>
      </c>
      <c r="H31" s="1">
        <v>45689</v>
      </c>
      <c r="I31" t="s">
        <v>51</v>
      </c>
      <c r="J31" s="2">
        <v>0</v>
      </c>
      <c r="K31" s="2">
        <v>175</v>
      </c>
      <c r="L31">
        <v>1</v>
      </c>
      <c r="M31" s="3">
        <v>1</v>
      </c>
      <c r="N31" s="4">
        <v>175</v>
      </c>
      <c r="P31" t="s">
        <v>284</v>
      </c>
      <c r="Q31" s="10" t="s">
        <v>306</v>
      </c>
      <c r="R31" t="str">
        <f t="shared" si="0"/>
        <v>00023077340K9</v>
      </c>
    </row>
    <row r="32" spans="1:18" x14ac:dyDescent="0.25">
      <c r="A32" s="10" t="s">
        <v>307</v>
      </c>
      <c r="B32" t="s">
        <v>91</v>
      </c>
      <c r="C32" t="s">
        <v>46</v>
      </c>
      <c r="D32">
        <v>20411454</v>
      </c>
      <c r="E32" t="s">
        <v>337</v>
      </c>
      <c r="F32" t="s">
        <v>49</v>
      </c>
      <c r="G32" t="s">
        <v>50</v>
      </c>
      <c r="H32" s="1">
        <v>45778</v>
      </c>
      <c r="I32" t="s">
        <v>51</v>
      </c>
      <c r="J32" s="2">
        <v>0</v>
      </c>
      <c r="K32" s="2">
        <v>175</v>
      </c>
      <c r="L32">
        <v>1</v>
      </c>
      <c r="M32" s="3">
        <v>1</v>
      </c>
      <c r="N32" s="4">
        <v>175</v>
      </c>
      <c r="P32" t="s">
        <v>284</v>
      </c>
      <c r="Q32" s="10" t="s">
        <v>307</v>
      </c>
      <c r="R32" t="str">
        <f t="shared" si="0"/>
        <v>00023083207K9</v>
      </c>
    </row>
    <row r="33" spans="1:18" x14ac:dyDescent="0.25">
      <c r="A33" s="10" t="s">
        <v>308</v>
      </c>
      <c r="B33" t="s">
        <v>93</v>
      </c>
      <c r="C33" t="s">
        <v>46</v>
      </c>
      <c r="D33">
        <v>20411454</v>
      </c>
      <c r="E33" t="s">
        <v>337</v>
      </c>
      <c r="F33" t="s">
        <v>49</v>
      </c>
      <c r="G33" t="s">
        <v>50</v>
      </c>
      <c r="H33" s="1">
        <v>45748</v>
      </c>
      <c r="I33" t="s">
        <v>51</v>
      </c>
      <c r="J33" s="2">
        <v>0</v>
      </c>
      <c r="K33" s="2">
        <v>175</v>
      </c>
      <c r="L33">
        <v>1</v>
      </c>
      <c r="M33" s="3">
        <v>1</v>
      </c>
      <c r="N33" s="4">
        <v>175</v>
      </c>
      <c r="P33" t="s">
        <v>284</v>
      </c>
      <c r="Q33" s="10" t="s">
        <v>308</v>
      </c>
      <c r="R33" t="str">
        <f t="shared" si="0"/>
        <v>00023086320K9</v>
      </c>
    </row>
    <row r="34" spans="1:18" x14ac:dyDescent="0.25">
      <c r="A34" s="10" t="s">
        <v>309</v>
      </c>
      <c r="B34" t="s">
        <v>97</v>
      </c>
      <c r="C34" t="s">
        <v>46</v>
      </c>
      <c r="D34">
        <v>20411454</v>
      </c>
      <c r="E34" t="s">
        <v>337</v>
      </c>
      <c r="F34" t="s">
        <v>49</v>
      </c>
      <c r="G34" t="s">
        <v>50</v>
      </c>
      <c r="H34" s="1">
        <v>45717</v>
      </c>
      <c r="I34" t="s">
        <v>51</v>
      </c>
      <c r="J34" s="2">
        <v>0</v>
      </c>
      <c r="K34" s="2">
        <v>175</v>
      </c>
      <c r="L34">
        <v>1</v>
      </c>
      <c r="M34" s="3">
        <v>1</v>
      </c>
      <c r="N34" s="4">
        <v>175</v>
      </c>
      <c r="P34" t="s">
        <v>284</v>
      </c>
      <c r="Q34" s="10" t="s">
        <v>309</v>
      </c>
      <c r="R34" t="str">
        <f t="shared" si="0"/>
        <v>00023087793K9</v>
      </c>
    </row>
    <row r="35" spans="1:18" x14ac:dyDescent="0.25">
      <c r="A35" s="10" t="s">
        <v>310</v>
      </c>
      <c r="B35" t="s">
        <v>99</v>
      </c>
      <c r="C35" t="s">
        <v>46</v>
      </c>
      <c r="D35">
        <v>20411454</v>
      </c>
      <c r="E35" t="s">
        <v>337</v>
      </c>
      <c r="F35" t="s">
        <v>49</v>
      </c>
      <c r="G35" t="s">
        <v>50</v>
      </c>
      <c r="H35" s="1">
        <v>45717</v>
      </c>
      <c r="I35" t="s">
        <v>51</v>
      </c>
      <c r="J35" s="2">
        <v>0</v>
      </c>
      <c r="K35" s="2">
        <v>175</v>
      </c>
      <c r="L35">
        <v>1</v>
      </c>
      <c r="M35" s="3">
        <v>1</v>
      </c>
      <c r="N35" s="4">
        <v>175</v>
      </c>
      <c r="P35" t="s">
        <v>284</v>
      </c>
      <c r="Q35" s="10" t="s">
        <v>310</v>
      </c>
      <c r="R35" t="str">
        <f t="shared" si="0"/>
        <v>00023090352K9</v>
      </c>
    </row>
    <row r="36" spans="1:18" x14ac:dyDescent="0.25">
      <c r="A36" s="10" t="s">
        <v>311</v>
      </c>
      <c r="B36" t="s">
        <v>190</v>
      </c>
      <c r="C36" t="s">
        <v>46</v>
      </c>
      <c r="D36">
        <v>20411454</v>
      </c>
      <c r="E36" t="s">
        <v>337</v>
      </c>
      <c r="F36" t="s">
        <v>264</v>
      </c>
      <c r="G36" t="s">
        <v>50</v>
      </c>
      <c r="H36" s="1">
        <v>45658</v>
      </c>
      <c r="I36" t="s">
        <v>51</v>
      </c>
      <c r="N36" s="4">
        <v>-145.25</v>
      </c>
      <c r="P36" t="s">
        <v>284</v>
      </c>
      <c r="Q36" s="10" t="s">
        <v>311</v>
      </c>
      <c r="R36" t="str">
        <f t="shared" si="0"/>
        <v>00022123171KPC9</v>
      </c>
    </row>
    <row r="37" spans="1:18" x14ac:dyDescent="0.25">
      <c r="A37" s="10" t="s">
        <v>312</v>
      </c>
      <c r="B37" t="s">
        <v>266</v>
      </c>
      <c r="C37" t="s">
        <v>46</v>
      </c>
      <c r="D37">
        <v>20411454</v>
      </c>
      <c r="E37" t="s">
        <v>337</v>
      </c>
      <c r="F37" t="s">
        <v>264</v>
      </c>
      <c r="G37" t="s">
        <v>50</v>
      </c>
      <c r="H37" s="1">
        <v>45658</v>
      </c>
      <c r="I37" t="s">
        <v>51</v>
      </c>
      <c r="N37" s="4">
        <v>-161</v>
      </c>
      <c r="P37" t="s">
        <v>284</v>
      </c>
      <c r="Q37" s="10" t="s">
        <v>312</v>
      </c>
      <c r="R37" t="str">
        <f t="shared" si="0"/>
        <v>00022208015KPC9</v>
      </c>
    </row>
    <row r="38" spans="1:18" x14ac:dyDescent="0.25">
      <c r="A38" s="10" t="s">
        <v>313</v>
      </c>
      <c r="B38" t="s">
        <v>268</v>
      </c>
      <c r="C38" t="s">
        <v>46</v>
      </c>
      <c r="D38">
        <v>20411454</v>
      </c>
      <c r="E38" t="s">
        <v>337</v>
      </c>
      <c r="F38" t="s">
        <v>264</v>
      </c>
      <c r="G38" t="s">
        <v>50</v>
      </c>
      <c r="H38" s="1">
        <v>45658</v>
      </c>
      <c r="I38" t="s">
        <v>51</v>
      </c>
      <c r="N38" s="4">
        <v>-175</v>
      </c>
      <c r="P38" t="s">
        <v>284</v>
      </c>
      <c r="Q38" s="10" t="s">
        <v>313</v>
      </c>
      <c r="R38" t="str">
        <f t="shared" si="0"/>
        <v>00022502198KCB9</v>
      </c>
    </row>
    <row r="39" spans="1:18" x14ac:dyDescent="0.25">
      <c r="A39" s="10" t="s">
        <v>314</v>
      </c>
      <c r="B39" t="s">
        <v>272</v>
      </c>
      <c r="C39" t="s">
        <v>46</v>
      </c>
      <c r="D39">
        <v>20411454</v>
      </c>
      <c r="E39" t="s">
        <v>337</v>
      </c>
      <c r="F39" t="s">
        <v>264</v>
      </c>
      <c r="G39" t="s">
        <v>50</v>
      </c>
      <c r="H39" s="1">
        <v>45658</v>
      </c>
      <c r="I39" t="s">
        <v>51</v>
      </c>
      <c r="N39" s="4">
        <v>-175</v>
      </c>
      <c r="P39" t="s">
        <v>284</v>
      </c>
      <c r="Q39" s="10" t="s">
        <v>314</v>
      </c>
      <c r="R39" t="str">
        <f t="shared" si="0"/>
        <v>00022512039KCB9</v>
      </c>
    </row>
    <row r="40" spans="1:18" x14ac:dyDescent="0.25">
      <c r="A40" s="10" t="s">
        <v>315</v>
      </c>
      <c r="B40" t="s">
        <v>274</v>
      </c>
      <c r="C40" t="s">
        <v>46</v>
      </c>
      <c r="D40">
        <v>20411454</v>
      </c>
      <c r="E40" t="s">
        <v>337</v>
      </c>
      <c r="F40" t="s">
        <v>264</v>
      </c>
      <c r="G40" t="s">
        <v>50</v>
      </c>
      <c r="H40" s="1">
        <v>45658</v>
      </c>
      <c r="I40" t="s">
        <v>51</v>
      </c>
      <c r="N40" s="4">
        <v>-161</v>
      </c>
      <c r="P40" t="s">
        <v>284</v>
      </c>
      <c r="Q40" s="10" t="s">
        <v>315</v>
      </c>
      <c r="R40" t="str">
        <f t="shared" si="0"/>
        <v>00022575947KPC9</v>
      </c>
    </row>
    <row r="41" spans="1:18" x14ac:dyDescent="0.25">
      <c r="A41" s="10" t="s">
        <v>316</v>
      </c>
      <c r="B41" t="s">
        <v>54</v>
      </c>
      <c r="C41" t="s">
        <v>46</v>
      </c>
      <c r="D41">
        <v>20411454</v>
      </c>
      <c r="E41" t="s">
        <v>337</v>
      </c>
      <c r="F41" t="s">
        <v>49</v>
      </c>
      <c r="G41" t="s">
        <v>57</v>
      </c>
      <c r="H41" s="1">
        <v>45689</v>
      </c>
      <c r="I41" t="s">
        <v>51</v>
      </c>
      <c r="J41" s="2">
        <v>0</v>
      </c>
      <c r="K41" s="2">
        <v>108</v>
      </c>
      <c r="L41">
        <v>1</v>
      </c>
      <c r="M41" s="3">
        <v>1</v>
      </c>
      <c r="N41" s="4">
        <v>108</v>
      </c>
      <c r="P41" t="s">
        <v>284</v>
      </c>
      <c r="Q41" s="10" t="s">
        <v>316</v>
      </c>
      <c r="R41" t="str">
        <f t="shared" si="0"/>
        <v>00021502269K9</v>
      </c>
    </row>
    <row r="42" spans="1:18" x14ac:dyDescent="0.25">
      <c r="A42" s="10" t="s">
        <v>317</v>
      </c>
      <c r="B42" t="s">
        <v>59</v>
      </c>
      <c r="C42" t="s">
        <v>46</v>
      </c>
      <c r="D42">
        <v>20411454</v>
      </c>
      <c r="E42" t="s">
        <v>337</v>
      </c>
      <c r="F42" t="s">
        <v>49</v>
      </c>
      <c r="G42" t="s">
        <v>57</v>
      </c>
      <c r="H42" s="1">
        <v>45689</v>
      </c>
      <c r="I42" t="s">
        <v>51</v>
      </c>
      <c r="J42" s="2">
        <v>0</v>
      </c>
      <c r="K42" s="2">
        <v>108</v>
      </c>
      <c r="L42">
        <v>1</v>
      </c>
      <c r="M42" s="3">
        <v>1</v>
      </c>
      <c r="N42" s="4">
        <v>108</v>
      </c>
      <c r="P42" t="s">
        <v>284</v>
      </c>
      <c r="Q42" s="10" t="s">
        <v>317</v>
      </c>
      <c r="R42" t="str">
        <f t="shared" si="0"/>
        <v>00021505553K9</v>
      </c>
    </row>
    <row r="43" spans="1:18" s="5" customFormat="1" x14ac:dyDescent="0.25">
      <c r="A43" s="11" t="s">
        <v>318</v>
      </c>
      <c r="B43" s="5" t="s">
        <v>246</v>
      </c>
      <c r="C43" s="5" t="s">
        <v>247</v>
      </c>
      <c r="D43" s="5">
        <v>16212649</v>
      </c>
      <c r="E43" s="5" t="s">
        <v>249</v>
      </c>
      <c r="F43" s="5" t="s">
        <v>49</v>
      </c>
      <c r="G43" s="5" t="s">
        <v>250</v>
      </c>
      <c r="H43" s="6">
        <v>45717</v>
      </c>
      <c r="I43" s="5" t="s">
        <v>51</v>
      </c>
      <c r="J43" s="7">
        <v>0</v>
      </c>
      <c r="K43" s="7">
        <v>42.21</v>
      </c>
      <c r="L43" s="5">
        <v>9</v>
      </c>
      <c r="M43" s="8">
        <v>1</v>
      </c>
      <c r="N43" s="9">
        <v>379.89</v>
      </c>
      <c r="P43" s="5" t="s">
        <v>285</v>
      </c>
      <c r="Q43" s="11" t="s">
        <v>318</v>
      </c>
      <c r="R43" s="5" t="str">
        <f>CONCATENATE(Q43,99)</f>
        <v>A0422712199</v>
      </c>
    </row>
    <row r="44" spans="1:18" x14ac:dyDescent="0.25">
      <c r="A44" s="10" t="s">
        <v>319</v>
      </c>
      <c r="B44" t="s">
        <v>172</v>
      </c>
      <c r="C44" t="s">
        <v>104</v>
      </c>
      <c r="D44">
        <v>20411454</v>
      </c>
      <c r="E44" t="s">
        <v>337</v>
      </c>
      <c r="F44" t="s">
        <v>49</v>
      </c>
      <c r="G44" t="s">
        <v>177</v>
      </c>
      <c r="H44" s="1">
        <v>45689</v>
      </c>
      <c r="I44" t="s">
        <v>51</v>
      </c>
      <c r="J44" s="2">
        <v>0</v>
      </c>
      <c r="K44" s="2">
        <v>175</v>
      </c>
      <c r="L44">
        <v>1</v>
      </c>
      <c r="M44" s="3">
        <v>1</v>
      </c>
      <c r="N44" s="4">
        <v>175</v>
      </c>
      <c r="P44" t="s">
        <v>286</v>
      </c>
      <c r="Q44" s="10" t="s">
        <v>319</v>
      </c>
      <c r="R44" t="str">
        <f t="shared" si="0"/>
        <v>132127789OV9</v>
      </c>
    </row>
    <row r="45" spans="1:18" x14ac:dyDescent="0.25">
      <c r="A45" s="10" t="s">
        <v>320</v>
      </c>
      <c r="B45" t="s">
        <v>179</v>
      </c>
      <c r="C45" t="s">
        <v>180</v>
      </c>
      <c r="D45">
        <v>20411454</v>
      </c>
      <c r="E45" t="s">
        <v>337</v>
      </c>
      <c r="F45" t="s">
        <v>49</v>
      </c>
      <c r="G45" t="s">
        <v>177</v>
      </c>
      <c r="H45" s="1">
        <v>45689</v>
      </c>
      <c r="I45" t="s">
        <v>51</v>
      </c>
      <c r="J45" s="2">
        <v>0</v>
      </c>
      <c r="K45" s="2">
        <v>175</v>
      </c>
      <c r="L45">
        <v>1</v>
      </c>
      <c r="M45" s="3">
        <v>1</v>
      </c>
      <c r="N45" s="4">
        <v>175</v>
      </c>
      <c r="P45" t="s">
        <v>286</v>
      </c>
      <c r="Q45" s="10" t="s">
        <v>320</v>
      </c>
      <c r="R45" t="str">
        <f t="shared" si="0"/>
        <v>132358274OV9</v>
      </c>
    </row>
    <row r="46" spans="1:18" x14ac:dyDescent="0.25">
      <c r="A46" s="10" t="s">
        <v>321</v>
      </c>
      <c r="B46" t="s">
        <v>184</v>
      </c>
      <c r="C46" t="s">
        <v>185</v>
      </c>
      <c r="D46">
        <v>20411454</v>
      </c>
      <c r="E46" t="s">
        <v>337</v>
      </c>
      <c r="F46" t="s">
        <v>49</v>
      </c>
      <c r="G46" t="s">
        <v>177</v>
      </c>
      <c r="H46" s="1">
        <v>45689</v>
      </c>
      <c r="I46" t="s">
        <v>51</v>
      </c>
      <c r="J46" s="2">
        <v>0</v>
      </c>
      <c r="K46" s="2">
        <v>175</v>
      </c>
      <c r="L46">
        <v>1</v>
      </c>
      <c r="M46" s="3">
        <v>1</v>
      </c>
      <c r="N46" s="4">
        <v>175</v>
      </c>
      <c r="P46" t="s">
        <v>286</v>
      </c>
      <c r="Q46" s="10" t="s">
        <v>321</v>
      </c>
      <c r="R46" t="str">
        <f t="shared" si="0"/>
        <v>905795627OV9</v>
      </c>
    </row>
    <row r="47" spans="1:18" x14ac:dyDescent="0.25">
      <c r="A47" s="10" t="s">
        <v>322</v>
      </c>
      <c r="B47" t="s">
        <v>196</v>
      </c>
      <c r="C47" t="s">
        <v>185</v>
      </c>
      <c r="D47">
        <v>20411454</v>
      </c>
      <c r="E47" t="s">
        <v>337</v>
      </c>
      <c r="F47" t="s">
        <v>49</v>
      </c>
      <c r="G47" t="s">
        <v>177</v>
      </c>
      <c r="H47" s="1">
        <v>45717</v>
      </c>
      <c r="I47" t="s">
        <v>51</v>
      </c>
      <c r="J47" s="2">
        <v>0</v>
      </c>
      <c r="K47" s="2">
        <v>175</v>
      </c>
      <c r="L47">
        <v>1</v>
      </c>
      <c r="M47" s="3">
        <v>1</v>
      </c>
      <c r="N47" s="4">
        <v>175</v>
      </c>
      <c r="P47" t="s">
        <v>286</v>
      </c>
      <c r="Q47" s="10" t="s">
        <v>322</v>
      </c>
      <c r="R47" t="str">
        <f t="shared" si="0"/>
        <v>910679218OV9</v>
      </c>
    </row>
    <row r="48" spans="1:18" x14ac:dyDescent="0.25">
      <c r="A48" s="10" t="s">
        <v>323</v>
      </c>
      <c r="B48" t="s">
        <v>199</v>
      </c>
      <c r="C48" t="s">
        <v>104</v>
      </c>
      <c r="D48">
        <v>20411454</v>
      </c>
      <c r="E48" t="s">
        <v>337</v>
      </c>
      <c r="F48" t="s">
        <v>49</v>
      </c>
      <c r="G48" t="s">
        <v>177</v>
      </c>
      <c r="H48" s="1">
        <v>45689</v>
      </c>
      <c r="I48" t="s">
        <v>51</v>
      </c>
      <c r="J48" s="2">
        <v>0</v>
      </c>
      <c r="K48" s="2">
        <v>175</v>
      </c>
      <c r="L48">
        <v>1</v>
      </c>
      <c r="M48" s="3">
        <v>1</v>
      </c>
      <c r="N48" s="4">
        <v>175</v>
      </c>
      <c r="P48" t="s">
        <v>286</v>
      </c>
      <c r="Q48" s="10" t="s">
        <v>323</v>
      </c>
      <c r="R48" t="str">
        <f t="shared" si="0"/>
        <v>915295689OV9</v>
      </c>
    </row>
    <row r="49" spans="1:18" x14ac:dyDescent="0.25">
      <c r="A49" s="10" t="s">
        <v>324</v>
      </c>
      <c r="B49" t="s">
        <v>202</v>
      </c>
      <c r="C49" t="s">
        <v>203</v>
      </c>
      <c r="D49">
        <v>20411454</v>
      </c>
      <c r="E49" t="s">
        <v>337</v>
      </c>
      <c r="F49" t="s">
        <v>49</v>
      </c>
      <c r="G49" t="s">
        <v>177</v>
      </c>
      <c r="H49" s="1">
        <v>45717</v>
      </c>
      <c r="I49" t="s">
        <v>51</v>
      </c>
      <c r="J49" s="2">
        <v>0</v>
      </c>
      <c r="K49" s="2">
        <v>175</v>
      </c>
      <c r="L49">
        <v>1</v>
      </c>
      <c r="M49" s="3">
        <v>1</v>
      </c>
      <c r="N49" s="4">
        <v>175</v>
      </c>
      <c r="P49" t="s">
        <v>286</v>
      </c>
      <c r="Q49" s="10" t="s">
        <v>324</v>
      </c>
      <c r="R49" t="str">
        <f t="shared" si="0"/>
        <v>915309291OV9</v>
      </c>
    </row>
    <row r="50" spans="1:18" x14ac:dyDescent="0.25">
      <c r="A50" s="10" t="s">
        <v>325</v>
      </c>
      <c r="B50" t="s">
        <v>208</v>
      </c>
      <c r="C50" t="s">
        <v>185</v>
      </c>
      <c r="D50">
        <v>20411454</v>
      </c>
      <c r="E50" t="s">
        <v>337</v>
      </c>
      <c r="F50" t="s">
        <v>49</v>
      </c>
      <c r="G50" t="s">
        <v>177</v>
      </c>
      <c r="H50" s="1">
        <v>45689</v>
      </c>
      <c r="I50" t="s">
        <v>51</v>
      </c>
      <c r="J50" s="2">
        <v>0</v>
      </c>
      <c r="K50" s="2">
        <v>175</v>
      </c>
      <c r="L50">
        <v>1</v>
      </c>
      <c r="M50" s="3">
        <v>1</v>
      </c>
      <c r="N50" s="4">
        <v>175</v>
      </c>
      <c r="P50" t="s">
        <v>286</v>
      </c>
      <c r="Q50" s="10" t="s">
        <v>325</v>
      </c>
      <c r="R50" t="str">
        <f t="shared" si="0"/>
        <v>918227007OV9</v>
      </c>
    </row>
    <row r="51" spans="1:18" x14ac:dyDescent="0.25">
      <c r="A51" s="10" t="s">
        <v>326</v>
      </c>
      <c r="B51" t="s">
        <v>211</v>
      </c>
      <c r="C51" t="s">
        <v>203</v>
      </c>
      <c r="D51">
        <v>20411454</v>
      </c>
      <c r="E51" t="s">
        <v>337</v>
      </c>
      <c r="F51" t="s">
        <v>49</v>
      </c>
      <c r="G51" t="s">
        <v>177</v>
      </c>
      <c r="H51" s="1">
        <v>45717</v>
      </c>
      <c r="I51" t="s">
        <v>51</v>
      </c>
      <c r="J51" s="2">
        <v>0</v>
      </c>
      <c r="K51" s="2">
        <v>175</v>
      </c>
      <c r="L51">
        <v>1</v>
      </c>
      <c r="M51" s="3">
        <v>1</v>
      </c>
      <c r="N51" s="4">
        <v>175</v>
      </c>
      <c r="P51" t="s">
        <v>286</v>
      </c>
      <c r="Q51" s="10" t="s">
        <v>326</v>
      </c>
      <c r="R51" t="str">
        <f t="shared" si="0"/>
        <v>928404480OV9</v>
      </c>
    </row>
    <row r="52" spans="1:18" x14ac:dyDescent="0.25">
      <c r="A52" s="10" t="s">
        <v>327</v>
      </c>
      <c r="B52" t="s">
        <v>214</v>
      </c>
      <c r="C52" t="s">
        <v>113</v>
      </c>
      <c r="D52">
        <v>20411454</v>
      </c>
      <c r="E52" t="s">
        <v>337</v>
      </c>
      <c r="F52" t="s">
        <v>49</v>
      </c>
      <c r="G52" t="s">
        <v>177</v>
      </c>
      <c r="H52" s="1">
        <v>45689</v>
      </c>
      <c r="I52" t="s">
        <v>51</v>
      </c>
      <c r="J52" s="2">
        <v>0</v>
      </c>
      <c r="K52" s="2">
        <v>175</v>
      </c>
      <c r="L52">
        <v>1</v>
      </c>
      <c r="M52" s="3">
        <v>1</v>
      </c>
      <c r="N52" s="4">
        <v>175</v>
      </c>
      <c r="P52" t="s">
        <v>286</v>
      </c>
      <c r="Q52" s="10" t="s">
        <v>327</v>
      </c>
      <c r="R52" t="str">
        <f t="shared" si="0"/>
        <v>931766659OV9</v>
      </c>
    </row>
    <row r="53" spans="1:18" x14ac:dyDescent="0.25">
      <c r="A53" s="10" t="s">
        <v>328</v>
      </c>
      <c r="B53" t="s">
        <v>217</v>
      </c>
      <c r="C53" t="s">
        <v>185</v>
      </c>
      <c r="D53">
        <v>20411454</v>
      </c>
      <c r="E53" t="s">
        <v>337</v>
      </c>
      <c r="F53" t="s">
        <v>49</v>
      </c>
      <c r="G53" t="s">
        <v>177</v>
      </c>
      <c r="H53" s="1">
        <v>45689</v>
      </c>
      <c r="I53" t="s">
        <v>51</v>
      </c>
      <c r="J53" s="2">
        <v>0</v>
      </c>
      <c r="K53" s="2">
        <v>175</v>
      </c>
      <c r="L53">
        <v>1</v>
      </c>
      <c r="M53" s="3">
        <v>1</v>
      </c>
      <c r="N53" s="4">
        <v>175</v>
      </c>
      <c r="P53" t="s">
        <v>286</v>
      </c>
      <c r="Q53" s="10" t="s">
        <v>328</v>
      </c>
      <c r="R53" t="str">
        <f t="shared" si="0"/>
        <v>945285621OV9</v>
      </c>
    </row>
    <row r="54" spans="1:18" x14ac:dyDescent="0.25">
      <c r="A54" s="10" t="s">
        <v>329</v>
      </c>
      <c r="B54" t="s">
        <v>220</v>
      </c>
      <c r="C54" t="s">
        <v>203</v>
      </c>
      <c r="D54">
        <v>20411454</v>
      </c>
      <c r="E54" t="s">
        <v>337</v>
      </c>
      <c r="F54" t="s">
        <v>49</v>
      </c>
      <c r="G54" t="s">
        <v>177</v>
      </c>
      <c r="H54" s="1">
        <v>45689</v>
      </c>
      <c r="I54" t="s">
        <v>51</v>
      </c>
      <c r="J54" s="2">
        <v>0</v>
      </c>
      <c r="K54" s="2">
        <v>175</v>
      </c>
      <c r="L54">
        <v>1</v>
      </c>
      <c r="M54" s="3">
        <v>1</v>
      </c>
      <c r="N54" s="4">
        <v>175</v>
      </c>
      <c r="P54" t="s">
        <v>286</v>
      </c>
      <c r="Q54" s="10" t="s">
        <v>329</v>
      </c>
      <c r="R54" t="str">
        <f t="shared" si="0"/>
        <v>966106339OV9</v>
      </c>
    </row>
    <row r="55" spans="1:18" x14ac:dyDescent="0.25">
      <c r="A55" s="10" t="s">
        <v>330</v>
      </c>
      <c r="B55" t="s">
        <v>223</v>
      </c>
      <c r="C55" t="s">
        <v>224</v>
      </c>
      <c r="D55">
        <v>20411454</v>
      </c>
      <c r="E55" t="s">
        <v>337</v>
      </c>
      <c r="F55" t="s">
        <v>49</v>
      </c>
      <c r="G55" t="s">
        <v>177</v>
      </c>
      <c r="H55" s="1">
        <v>45689</v>
      </c>
      <c r="I55" t="s">
        <v>51</v>
      </c>
      <c r="J55" s="2">
        <v>0</v>
      </c>
      <c r="K55" s="2">
        <v>175</v>
      </c>
      <c r="L55">
        <v>1</v>
      </c>
      <c r="M55" s="3">
        <v>1</v>
      </c>
      <c r="N55" s="4">
        <v>175</v>
      </c>
      <c r="P55" t="s">
        <v>286</v>
      </c>
      <c r="Q55" s="10" t="s">
        <v>330</v>
      </c>
      <c r="R55" t="str">
        <f t="shared" si="0"/>
        <v>970877095OV9</v>
      </c>
    </row>
    <row r="56" spans="1:18" x14ac:dyDescent="0.25">
      <c r="A56" s="10" t="s">
        <v>331</v>
      </c>
      <c r="B56" t="s">
        <v>228</v>
      </c>
      <c r="C56" t="s">
        <v>185</v>
      </c>
      <c r="D56">
        <v>20411454</v>
      </c>
      <c r="E56" t="s">
        <v>337</v>
      </c>
      <c r="F56" t="s">
        <v>49</v>
      </c>
      <c r="G56" t="s">
        <v>177</v>
      </c>
      <c r="H56" s="1">
        <v>45717</v>
      </c>
      <c r="I56" t="s">
        <v>51</v>
      </c>
      <c r="J56" s="2">
        <v>0</v>
      </c>
      <c r="K56" s="2">
        <v>175</v>
      </c>
      <c r="L56">
        <v>1</v>
      </c>
      <c r="M56" s="3">
        <v>1</v>
      </c>
      <c r="N56" s="4">
        <v>175</v>
      </c>
      <c r="P56" t="s">
        <v>286</v>
      </c>
      <c r="Q56" s="10" t="s">
        <v>331</v>
      </c>
      <c r="R56" t="str">
        <f t="shared" si="0"/>
        <v>971498173OV9</v>
      </c>
    </row>
    <row r="57" spans="1:18" x14ac:dyDescent="0.25">
      <c r="A57" s="10" t="s">
        <v>332</v>
      </c>
      <c r="B57" t="s">
        <v>240</v>
      </c>
      <c r="C57" t="s">
        <v>113</v>
      </c>
      <c r="D57">
        <v>20411454</v>
      </c>
      <c r="E57" t="s">
        <v>337</v>
      </c>
      <c r="F57" t="s">
        <v>264</v>
      </c>
      <c r="G57" t="s">
        <v>177</v>
      </c>
      <c r="H57" s="1">
        <v>45658</v>
      </c>
      <c r="I57" t="s">
        <v>51</v>
      </c>
      <c r="N57" s="4">
        <v>-175</v>
      </c>
      <c r="P57" t="s">
        <v>286</v>
      </c>
      <c r="Q57" s="10" t="s">
        <v>332</v>
      </c>
      <c r="R57" t="str">
        <f t="shared" si="0"/>
        <v>992296804OVCB9</v>
      </c>
    </row>
    <row r="58" spans="1:18" x14ac:dyDescent="0.25">
      <c r="A58" s="10" t="s">
        <v>333</v>
      </c>
      <c r="B58" t="s">
        <v>190</v>
      </c>
      <c r="C58" t="s">
        <v>150</v>
      </c>
      <c r="D58">
        <v>20411454</v>
      </c>
      <c r="E58" t="s">
        <v>337</v>
      </c>
      <c r="F58" t="s">
        <v>49</v>
      </c>
      <c r="G58" t="s">
        <v>194</v>
      </c>
      <c r="H58" s="1">
        <v>45717</v>
      </c>
      <c r="I58" t="s">
        <v>51</v>
      </c>
      <c r="J58" s="2">
        <v>0</v>
      </c>
      <c r="K58" s="2">
        <v>60</v>
      </c>
      <c r="L58">
        <v>1</v>
      </c>
      <c r="M58" s="3">
        <v>1</v>
      </c>
      <c r="N58" s="4">
        <v>60</v>
      </c>
      <c r="O58" t="s">
        <v>108</v>
      </c>
      <c r="P58" t="s">
        <v>286</v>
      </c>
      <c r="Q58" s="10" t="s">
        <v>333</v>
      </c>
      <c r="R58" t="str">
        <f t="shared" si="0"/>
        <v>908879612OV9</v>
      </c>
    </row>
    <row r="59" spans="1:18" x14ac:dyDescent="0.25">
      <c r="A59" s="10" t="s">
        <v>334</v>
      </c>
      <c r="B59" t="s">
        <v>240</v>
      </c>
      <c r="C59" t="s">
        <v>113</v>
      </c>
      <c r="D59">
        <v>20411454</v>
      </c>
      <c r="E59" t="s">
        <v>337</v>
      </c>
      <c r="F59" t="s">
        <v>49</v>
      </c>
      <c r="G59" t="s">
        <v>194</v>
      </c>
      <c r="H59" s="1">
        <v>45717</v>
      </c>
      <c r="I59" t="s">
        <v>51</v>
      </c>
      <c r="J59" s="2">
        <v>0</v>
      </c>
      <c r="K59" s="2">
        <v>60</v>
      </c>
      <c r="L59">
        <v>1</v>
      </c>
      <c r="M59" s="3">
        <v>1</v>
      </c>
      <c r="N59" s="4">
        <v>60</v>
      </c>
      <c r="O59" t="s">
        <v>108</v>
      </c>
      <c r="P59" t="s">
        <v>286</v>
      </c>
      <c r="Q59" s="10" t="s">
        <v>334</v>
      </c>
      <c r="R59" t="str">
        <f t="shared" si="0"/>
        <v>992296804OV9</v>
      </c>
    </row>
    <row r="60" spans="1:18" x14ac:dyDescent="0.25">
      <c r="A60" s="10">
        <v>18009249</v>
      </c>
      <c r="B60" t="s">
        <v>103</v>
      </c>
      <c r="C60" t="s">
        <v>104</v>
      </c>
      <c r="D60">
        <v>20411454</v>
      </c>
      <c r="E60" t="s">
        <v>337</v>
      </c>
      <c r="F60" t="s">
        <v>49</v>
      </c>
      <c r="G60" t="s">
        <v>107</v>
      </c>
      <c r="H60" s="1">
        <v>45717</v>
      </c>
      <c r="I60" t="s">
        <v>51</v>
      </c>
      <c r="J60" s="2">
        <v>0</v>
      </c>
      <c r="K60" s="2">
        <v>30.83</v>
      </c>
      <c r="L60">
        <v>1</v>
      </c>
      <c r="M60" s="3">
        <v>1</v>
      </c>
      <c r="N60" s="4">
        <v>30.83</v>
      </c>
      <c r="O60" t="s">
        <v>108</v>
      </c>
      <c r="P60" t="s">
        <v>286</v>
      </c>
      <c r="Q60" s="10">
        <v>18009249</v>
      </c>
      <c r="R60" t="str">
        <f t="shared" si="0"/>
        <v>180092499</v>
      </c>
    </row>
    <row r="61" spans="1:18" s="5" customFormat="1" x14ac:dyDescent="0.25">
      <c r="A61" s="11" t="s">
        <v>335</v>
      </c>
      <c r="B61" s="5" t="s">
        <v>240</v>
      </c>
      <c r="C61" s="5" t="s">
        <v>113</v>
      </c>
      <c r="D61" s="5">
        <v>17301495</v>
      </c>
      <c r="E61" s="5" t="s">
        <v>63</v>
      </c>
      <c r="F61" s="5" t="s">
        <v>264</v>
      </c>
      <c r="G61" s="5" t="s">
        <v>281</v>
      </c>
      <c r="H61" s="6">
        <v>45658</v>
      </c>
      <c r="I61" s="5" t="s">
        <v>51</v>
      </c>
      <c r="N61" s="9">
        <v>-626</v>
      </c>
      <c r="P61" s="5" t="s">
        <v>287</v>
      </c>
      <c r="Q61" s="11" t="s">
        <v>335</v>
      </c>
      <c r="R61" s="5" t="str">
        <f>CONCATENATE(Q61,98)</f>
        <v>992296804CB98</v>
      </c>
    </row>
    <row r="62" spans="1:18" s="5" customFormat="1" x14ac:dyDescent="0.25">
      <c r="A62" s="11">
        <v>970877095</v>
      </c>
      <c r="B62" s="5" t="s">
        <v>223</v>
      </c>
      <c r="C62" s="5" t="s">
        <v>224</v>
      </c>
      <c r="D62" s="5">
        <v>17425766</v>
      </c>
      <c r="E62" s="5" t="s">
        <v>192</v>
      </c>
      <c r="F62" s="5" t="s">
        <v>49</v>
      </c>
      <c r="G62" s="5" t="s">
        <v>225</v>
      </c>
      <c r="H62" s="6">
        <v>45689</v>
      </c>
      <c r="I62" s="5" t="s">
        <v>51</v>
      </c>
      <c r="J62" s="7">
        <v>0</v>
      </c>
      <c r="K62" s="7">
        <v>573.83000000000004</v>
      </c>
      <c r="L62" s="5">
        <v>1</v>
      </c>
      <c r="M62" s="8">
        <v>1</v>
      </c>
      <c r="N62" s="9">
        <v>573.83000000000004</v>
      </c>
      <c r="O62" s="5" t="s">
        <v>288</v>
      </c>
      <c r="P62" s="5" t="s">
        <v>287</v>
      </c>
      <c r="Q62" s="11">
        <v>970877095</v>
      </c>
      <c r="R62" s="5" t="str">
        <f>CONCATENATE(Q62,98)</f>
        <v>97087709598</v>
      </c>
    </row>
    <row r="63" spans="1:18" s="5" customFormat="1" x14ac:dyDescent="0.25">
      <c r="A63" s="11">
        <v>132358274</v>
      </c>
      <c r="B63" s="5" t="s">
        <v>179</v>
      </c>
      <c r="C63" s="5" t="s">
        <v>180</v>
      </c>
      <c r="D63" s="5">
        <v>19200754</v>
      </c>
      <c r="E63" s="5" t="s">
        <v>115</v>
      </c>
      <c r="F63" s="5" t="s">
        <v>49</v>
      </c>
      <c r="G63" s="5" t="s">
        <v>181</v>
      </c>
      <c r="H63" s="6">
        <v>45689</v>
      </c>
      <c r="I63" s="5" t="s">
        <v>51</v>
      </c>
      <c r="J63" s="7">
        <v>0</v>
      </c>
      <c r="K63" s="7">
        <v>286.92</v>
      </c>
      <c r="L63" s="5">
        <v>1</v>
      </c>
      <c r="M63" s="8">
        <v>1</v>
      </c>
      <c r="N63" s="9">
        <v>286.92</v>
      </c>
      <c r="O63" s="5" t="s">
        <v>290</v>
      </c>
      <c r="P63" s="5" t="s">
        <v>289</v>
      </c>
      <c r="Q63" s="11">
        <v>132358274</v>
      </c>
      <c r="R63" s="5" t="str">
        <f>CONCATENATE(Q63,99)</f>
        <v>13235827499</v>
      </c>
    </row>
    <row r="64" spans="1:18" s="5" customFormat="1" x14ac:dyDescent="0.25">
      <c r="A64" s="11">
        <v>905795627</v>
      </c>
      <c r="B64" s="5" t="s">
        <v>184</v>
      </c>
      <c r="C64" s="5" t="s">
        <v>185</v>
      </c>
      <c r="D64" s="5">
        <v>17774994</v>
      </c>
      <c r="E64" s="5" t="s">
        <v>187</v>
      </c>
      <c r="F64" s="5" t="s">
        <v>49</v>
      </c>
      <c r="G64" s="5" t="s">
        <v>181</v>
      </c>
      <c r="H64" s="6">
        <v>45689</v>
      </c>
      <c r="I64" s="5" t="s">
        <v>51</v>
      </c>
      <c r="J64" s="7">
        <v>0</v>
      </c>
      <c r="K64" s="7">
        <v>286.92</v>
      </c>
      <c r="L64" s="5">
        <v>1</v>
      </c>
      <c r="M64" s="8">
        <v>1</v>
      </c>
      <c r="N64" s="9">
        <v>286.92</v>
      </c>
      <c r="O64" s="5" t="s">
        <v>290</v>
      </c>
      <c r="P64" s="5" t="s">
        <v>289</v>
      </c>
      <c r="Q64" s="11">
        <v>905795627</v>
      </c>
      <c r="R64" s="5" t="str">
        <f t="shared" ref="R64:R76" si="1">CONCATENATE(Q64,99)</f>
        <v>90579562799</v>
      </c>
    </row>
    <row r="65" spans="1:18" s="5" customFormat="1" x14ac:dyDescent="0.25">
      <c r="A65" s="11">
        <v>908879612</v>
      </c>
      <c r="B65" s="5" t="s">
        <v>190</v>
      </c>
      <c r="C65" s="5" t="s">
        <v>150</v>
      </c>
      <c r="D65" s="5">
        <v>17425766</v>
      </c>
      <c r="E65" s="5" t="s">
        <v>192</v>
      </c>
      <c r="F65" s="5" t="s">
        <v>49</v>
      </c>
      <c r="G65" s="5" t="s">
        <v>181</v>
      </c>
      <c r="H65" s="6">
        <v>45717</v>
      </c>
      <c r="I65" s="5" t="s">
        <v>51</v>
      </c>
      <c r="J65" s="7">
        <v>0</v>
      </c>
      <c r="K65" s="7">
        <v>260.83</v>
      </c>
      <c r="L65" s="5">
        <v>1</v>
      </c>
      <c r="M65" s="8">
        <v>1</v>
      </c>
      <c r="N65" s="9">
        <v>260.83</v>
      </c>
      <c r="O65" s="5" t="s">
        <v>291</v>
      </c>
      <c r="P65" s="5" t="s">
        <v>289</v>
      </c>
      <c r="Q65" s="11">
        <v>908879612</v>
      </c>
      <c r="R65" s="5" t="str">
        <f t="shared" si="1"/>
        <v>90887961299</v>
      </c>
    </row>
    <row r="66" spans="1:18" s="5" customFormat="1" x14ac:dyDescent="0.25">
      <c r="A66" s="11">
        <v>910679218</v>
      </c>
      <c r="B66" s="5" t="s">
        <v>196</v>
      </c>
      <c r="C66" s="5" t="s">
        <v>185</v>
      </c>
      <c r="D66" s="5">
        <v>17774994</v>
      </c>
      <c r="E66" s="5" t="s">
        <v>187</v>
      </c>
      <c r="F66" s="5" t="s">
        <v>49</v>
      </c>
      <c r="G66" s="5" t="s">
        <v>181</v>
      </c>
      <c r="H66" s="6">
        <v>45717</v>
      </c>
      <c r="I66" s="5" t="s">
        <v>51</v>
      </c>
      <c r="J66" s="7">
        <v>0</v>
      </c>
      <c r="K66" s="7">
        <v>260.83</v>
      </c>
      <c r="L66" s="5">
        <v>1</v>
      </c>
      <c r="M66" s="8">
        <v>1</v>
      </c>
      <c r="N66" s="9">
        <v>260.83</v>
      </c>
      <c r="O66" s="5" t="s">
        <v>291</v>
      </c>
      <c r="P66" s="5" t="s">
        <v>289</v>
      </c>
      <c r="Q66" s="11">
        <v>910679218</v>
      </c>
      <c r="R66" s="5" t="str">
        <f t="shared" si="1"/>
        <v>91067921899</v>
      </c>
    </row>
    <row r="67" spans="1:18" s="5" customFormat="1" x14ac:dyDescent="0.25">
      <c r="A67" s="11">
        <v>915309291</v>
      </c>
      <c r="B67" s="5" t="s">
        <v>202</v>
      </c>
      <c r="C67" s="5" t="s">
        <v>203</v>
      </c>
      <c r="D67" s="5">
        <v>16865615</v>
      </c>
      <c r="E67" s="5" t="s">
        <v>205</v>
      </c>
      <c r="F67" s="5" t="s">
        <v>49</v>
      </c>
      <c r="G67" s="5" t="s">
        <v>181</v>
      </c>
      <c r="H67" s="6">
        <v>45717</v>
      </c>
      <c r="I67" s="5" t="s">
        <v>51</v>
      </c>
      <c r="J67" s="7">
        <v>0</v>
      </c>
      <c r="K67" s="7">
        <v>260.83</v>
      </c>
      <c r="L67" s="5">
        <v>1</v>
      </c>
      <c r="M67" s="8">
        <v>1</v>
      </c>
      <c r="N67" s="9">
        <v>260.83</v>
      </c>
      <c r="O67" s="5" t="s">
        <v>291</v>
      </c>
      <c r="P67" s="5" t="s">
        <v>289</v>
      </c>
      <c r="Q67" s="11">
        <v>915309291</v>
      </c>
      <c r="R67" s="5" t="str">
        <f t="shared" si="1"/>
        <v>91530929199</v>
      </c>
    </row>
    <row r="68" spans="1:18" s="5" customFormat="1" x14ac:dyDescent="0.25">
      <c r="A68" s="11">
        <v>918227007</v>
      </c>
      <c r="B68" s="5" t="s">
        <v>208</v>
      </c>
      <c r="C68" s="5" t="s">
        <v>185</v>
      </c>
      <c r="D68" s="5">
        <v>17774994</v>
      </c>
      <c r="E68" s="5" t="s">
        <v>187</v>
      </c>
      <c r="F68" s="5" t="s">
        <v>49</v>
      </c>
      <c r="G68" s="5" t="s">
        <v>181</v>
      </c>
      <c r="H68" s="6">
        <v>45689</v>
      </c>
      <c r="I68" s="5" t="s">
        <v>51</v>
      </c>
      <c r="J68" s="7">
        <v>0</v>
      </c>
      <c r="K68" s="7">
        <v>286.92</v>
      </c>
      <c r="L68" s="5">
        <v>1</v>
      </c>
      <c r="M68" s="8">
        <v>1</v>
      </c>
      <c r="N68" s="9">
        <v>286.92</v>
      </c>
      <c r="O68" s="5" t="s">
        <v>290</v>
      </c>
      <c r="P68" s="5" t="s">
        <v>289</v>
      </c>
      <c r="Q68" s="11">
        <v>918227007</v>
      </c>
      <c r="R68" s="5" t="str">
        <f t="shared" si="1"/>
        <v>91822700799</v>
      </c>
    </row>
    <row r="69" spans="1:18" s="5" customFormat="1" x14ac:dyDescent="0.25">
      <c r="A69" s="11">
        <v>928404480</v>
      </c>
      <c r="B69" s="5" t="s">
        <v>211</v>
      </c>
      <c r="C69" s="5" t="s">
        <v>203</v>
      </c>
      <c r="D69" s="5">
        <v>16865615</v>
      </c>
      <c r="E69" s="5" t="s">
        <v>205</v>
      </c>
      <c r="F69" s="5" t="s">
        <v>49</v>
      </c>
      <c r="G69" s="5" t="s">
        <v>181</v>
      </c>
      <c r="H69" s="6">
        <v>45717</v>
      </c>
      <c r="I69" s="5" t="s">
        <v>51</v>
      </c>
      <c r="J69" s="7">
        <v>0</v>
      </c>
      <c r="K69" s="7">
        <v>260.83</v>
      </c>
      <c r="L69" s="5">
        <v>1</v>
      </c>
      <c r="M69" s="8">
        <v>1</v>
      </c>
      <c r="N69" s="9">
        <v>260.83</v>
      </c>
      <c r="O69" s="5" t="s">
        <v>291</v>
      </c>
      <c r="P69" s="5" t="s">
        <v>289</v>
      </c>
      <c r="Q69" s="11">
        <v>928404480</v>
      </c>
      <c r="R69" s="5" t="str">
        <f t="shared" si="1"/>
        <v>92840448099</v>
      </c>
    </row>
    <row r="70" spans="1:18" s="5" customFormat="1" x14ac:dyDescent="0.25">
      <c r="A70" s="11">
        <v>931766659</v>
      </c>
      <c r="B70" s="5" t="s">
        <v>214</v>
      </c>
      <c r="C70" s="5" t="s">
        <v>113</v>
      </c>
      <c r="D70" s="5">
        <v>19200754</v>
      </c>
      <c r="E70" s="5" t="s">
        <v>115</v>
      </c>
      <c r="F70" s="5" t="s">
        <v>49</v>
      </c>
      <c r="G70" s="5" t="s">
        <v>181</v>
      </c>
      <c r="H70" s="6">
        <v>45689</v>
      </c>
      <c r="I70" s="5" t="s">
        <v>51</v>
      </c>
      <c r="J70" s="7">
        <v>0</v>
      </c>
      <c r="K70" s="7">
        <v>286.92</v>
      </c>
      <c r="L70" s="5">
        <v>1</v>
      </c>
      <c r="M70" s="8">
        <v>1</v>
      </c>
      <c r="N70" s="9">
        <v>286.92</v>
      </c>
      <c r="O70" s="5" t="s">
        <v>290</v>
      </c>
      <c r="P70" s="5" t="s">
        <v>289</v>
      </c>
      <c r="Q70" s="11">
        <v>931766659</v>
      </c>
      <c r="R70" s="5" t="str">
        <f t="shared" si="1"/>
        <v>93176665999</v>
      </c>
    </row>
    <row r="71" spans="1:18" s="5" customFormat="1" x14ac:dyDescent="0.25">
      <c r="A71" s="11">
        <v>945285621</v>
      </c>
      <c r="B71" s="5" t="s">
        <v>217</v>
      </c>
      <c r="C71" s="5" t="s">
        <v>185</v>
      </c>
      <c r="D71" s="5">
        <v>17774994</v>
      </c>
      <c r="E71" s="5" t="s">
        <v>187</v>
      </c>
      <c r="F71" s="5" t="s">
        <v>49</v>
      </c>
      <c r="G71" s="5" t="s">
        <v>181</v>
      </c>
      <c r="H71" s="6">
        <v>45689</v>
      </c>
      <c r="I71" s="5" t="s">
        <v>51</v>
      </c>
      <c r="J71" s="7">
        <v>0</v>
      </c>
      <c r="K71" s="7">
        <v>286.92</v>
      </c>
      <c r="L71" s="5">
        <v>1</v>
      </c>
      <c r="M71" s="8">
        <v>1</v>
      </c>
      <c r="N71" s="9">
        <v>286.92</v>
      </c>
      <c r="O71" s="5" t="s">
        <v>290</v>
      </c>
      <c r="P71" s="5" t="s">
        <v>289</v>
      </c>
      <c r="Q71" s="11">
        <v>945285621</v>
      </c>
      <c r="R71" s="5" t="str">
        <f t="shared" si="1"/>
        <v>94528562199</v>
      </c>
    </row>
    <row r="72" spans="1:18" s="5" customFormat="1" x14ac:dyDescent="0.25">
      <c r="A72" s="11">
        <v>966106339</v>
      </c>
      <c r="B72" s="5" t="s">
        <v>220</v>
      </c>
      <c r="C72" s="5" t="s">
        <v>203</v>
      </c>
      <c r="D72" s="5">
        <v>16865615</v>
      </c>
      <c r="E72" s="5" t="s">
        <v>205</v>
      </c>
      <c r="F72" s="5" t="s">
        <v>49</v>
      </c>
      <c r="G72" s="5" t="s">
        <v>181</v>
      </c>
      <c r="H72" s="6">
        <v>45689</v>
      </c>
      <c r="I72" s="5" t="s">
        <v>51</v>
      </c>
      <c r="J72" s="7">
        <v>0</v>
      </c>
      <c r="K72" s="7">
        <v>286.92</v>
      </c>
      <c r="L72" s="5">
        <v>1</v>
      </c>
      <c r="M72" s="8">
        <v>1</v>
      </c>
      <c r="N72" s="9">
        <v>286.92</v>
      </c>
      <c r="O72" s="5" t="s">
        <v>290</v>
      </c>
      <c r="P72" s="5" t="s">
        <v>289</v>
      </c>
      <c r="Q72" s="11">
        <v>966106339</v>
      </c>
      <c r="R72" s="5" t="str">
        <f t="shared" si="1"/>
        <v>96610633999</v>
      </c>
    </row>
    <row r="73" spans="1:18" s="5" customFormat="1" x14ac:dyDescent="0.25">
      <c r="A73" s="11">
        <v>971498173</v>
      </c>
      <c r="B73" s="5" t="s">
        <v>228</v>
      </c>
      <c r="C73" s="5" t="s">
        <v>185</v>
      </c>
      <c r="D73" s="5">
        <v>20003537</v>
      </c>
      <c r="E73" s="5" t="s">
        <v>230</v>
      </c>
      <c r="F73" s="5" t="s">
        <v>49</v>
      </c>
      <c r="G73" s="5" t="s">
        <v>181</v>
      </c>
      <c r="H73" s="6">
        <v>45717</v>
      </c>
      <c r="I73" s="5" t="s">
        <v>51</v>
      </c>
      <c r="J73" s="7">
        <v>0</v>
      </c>
      <c r="K73" s="7">
        <v>260.83</v>
      </c>
      <c r="L73" s="5">
        <v>1</v>
      </c>
      <c r="M73" s="8">
        <v>1</v>
      </c>
      <c r="N73" s="9">
        <v>260.83</v>
      </c>
      <c r="O73" s="5" t="s">
        <v>291</v>
      </c>
      <c r="P73" s="5" t="s">
        <v>289</v>
      </c>
      <c r="Q73" s="11">
        <v>971498173</v>
      </c>
      <c r="R73" s="5" t="str">
        <f t="shared" si="1"/>
        <v>97149817399</v>
      </c>
    </row>
    <row r="74" spans="1:18" s="5" customFormat="1" x14ac:dyDescent="0.25">
      <c r="A74" s="11">
        <v>992296804</v>
      </c>
      <c r="B74" s="5" t="s">
        <v>240</v>
      </c>
      <c r="C74" s="5" t="s">
        <v>113</v>
      </c>
      <c r="D74" s="5">
        <v>17301495</v>
      </c>
      <c r="E74" s="5" t="s">
        <v>63</v>
      </c>
      <c r="F74" s="5" t="s">
        <v>49</v>
      </c>
      <c r="G74" s="5" t="s">
        <v>181</v>
      </c>
      <c r="H74" s="6">
        <v>45717</v>
      </c>
      <c r="I74" s="5" t="s">
        <v>51</v>
      </c>
      <c r="J74" s="7">
        <v>0</v>
      </c>
      <c r="K74" s="7">
        <v>260.83</v>
      </c>
      <c r="L74" s="5">
        <v>1</v>
      </c>
      <c r="M74" s="8">
        <v>1</v>
      </c>
      <c r="N74" s="9">
        <v>260.83</v>
      </c>
      <c r="O74" s="5" t="s">
        <v>291</v>
      </c>
      <c r="P74" s="5" t="s">
        <v>289</v>
      </c>
      <c r="Q74" s="11">
        <v>992296804</v>
      </c>
      <c r="R74" s="5" t="str">
        <f t="shared" si="1"/>
        <v>99229680499</v>
      </c>
    </row>
    <row r="75" spans="1:18" s="5" customFormat="1" x14ac:dyDescent="0.25">
      <c r="A75" s="11">
        <v>132127789</v>
      </c>
      <c r="B75" s="5" t="s">
        <v>172</v>
      </c>
      <c r="C75" s="5" t="s">
        <v>104</v>
      </c>
      <c r="D75" s="12" t="s">
        <v>338</v>
      </c>
      <c r="E75" s="5" t="s">
        <v>174</v>
      </c>
      <c r="F75" s="5" t="s">
        <v>49</v>
      </c>
      <c r="G75" s="5" t="s">
        <v>175</v>
      </c>
      <c r="H75" s="6">
        <v>45689</v>
      </c>
      <c r="I75" s="5" t="s">
        <v>51</v>
      </c>
      <c r="J75" s="7">
        <v>0</v>
      </c>
      <c r="K75" s="7">
        <v>323.58</v>
      </c>
      <c r="L75" s="5">
        <v>1</v>
      </c>
      <c r="M75" s="8">
        <v>1</v>
      </c>
      <c r="N75" s="9">
        <v>323.58</v>
      </c>
      <c r="O75" s="5" t="s">
        <v>293</v>
      </c>
      <c r="P75" s="5" t="s">
        <v>292</v>
      </c>
      <c r="Q75" s="11">
        <v>132127789</v>
      </c>
      <c r="R75" s="5" t="str">
        <f t="shared" si="1"/>
        <v>13212778999</v>
      </c>
    </row>
    <row r="76" spans="1:18" s="5" customFormat="1" x14ac:dyDescent="0.25">
      <c r="A76" s="11">
        <v>915295689</v>
      </c>
      <c r="B76" s="5" t="s">
        <v>199</v>
      </c>
      <c r="C76" s="5" t="s">
        <v>104</v>
      </c>
      <c r="D76" s="5">
        <v>17425766</v>
      </c>
      <c r="E76" s="5" t="s">
        <v>192</v>
      </c>
      <c r="F76" s="5" t="s">
        <v>49</v>
      </c>
      <c r="G76" s="5" t="s">
        <v>175</v>
      </c>
      <c r="H76" s="6">
        <v>45689</v>
      </c>
      <c r="I76" s="5" t="s">
        <v>51</v>
      </c>
      <c r="J76" s="7">
        <v>0</v>
      </c>
      <c r="K76" s="7">
        <v>323.58</v>
      </c>
      <c r="L76" s="5">
        <v>1</v>
      </c>
      <c r="M76" s="8">
        <v>1</v>
      </c>
      <c r="N76" s="9">
        <v>323.58</v>
      </c>
      <c r="O76" s="5" t="s">
        <v>293</v>
      </c>
      <c r="P76" s="5" t="s">
        <v>292</v>
      </c>
      <c r="Q76" s="11">
        <v>915295689</v>
      </c>
      <c r="R76" s="5" t="str">
        <f t="shared" si="1"/>
        <v>91529568999</v>
      </c>
    </row>
    <row r="77" spans="1:18" x14ac:dyDescent="0.25">
      <c r="A77" s="10" t="s">
        <v>336</v>
      </c>
      <c r="B77" t="s">
        <v>278</v>
      </c>
      <c r="C77" t="s">
        <v>104</v>
      </c>
      <c r="D77">
        <v>20411454</v>
      </c>
      <c r="E77" t="s">
        <v>337</v>
      </c>
      <c r="F77" t="s">
        <v>264</v>
      </c>
      <c r="G77" t="s">
        <v>279</v>
      </c>
      <c r="H77" s="1">
        <v>45689</v>
      </c>
      <c r="I77" t="s">
        <v>51</v>
      </c>
      <c r="N77" s="4">
        <v>-150</v>
      </c>
      <c r="P77" t="s">
        <v>294</v>
      </c>
      <c r="Q77" s="10" t="s">
        <v>336</v>
      </c>
      <c r="R77" t="str">
        <f t="shared" ref="R77" si="2">CONCATENATE(Q77,9)</f>
        <v>2P35MK1CM91CB9</v>
      </c>
    </row>
    <row r="78" spans="1:18" x14ac:dyDescent="0.25">
      <c r="N78" s="4">
        <f>SUM(N2:N77)</f>
        <v>9040.08</v>
      </c>
    </row>
    <row r="79" spans="1:18" x14ac:dyDescent="0.25">
      <c r="N79" s="4">
        <v>1747.3</v>
      </c>
    </row>
  </sheetData>
  <sortState xmlns:xlrd2="http://schemas.microsoft.com/office/spreadsheetml/2017/richdata2" ref="A7:R21">
    <sortCondition ref="B7:B2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01BB-355A-4C38-8BDF-32036BC30B61}">
  <dimension ref="A1:O5"/>
  <sheetViews>
    <sheetView workbookViewId="0">
      <selection activeCell="C12" sqref="C12"/>
    </sheetView>
  </sheetViews>
  <sheetFormatPr defaultRowHeight="15" x14ac:dyDescent="0.25"/>
  <cols>
    <col min="1" max="1" width="14.140625" bestFit="1" customWidth="1"/>
    <col min="2" max="2" width="18.140625" bestFit="1" customWidth="1"/>
    <col min="5" max="5" width="19.28515625" bestFit="1" customWidth="1"/>
    <col min="7" max="7" width="46" bestFit="1" customWidth="1"/>
  </cols>
  <sheetData>
    <row r="1" spans="1:15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20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5" s="5" customFormat="1" x14ac:dyDescent="0.25">
      <c r="A2" s="5" t="s">
        <v>339</v>
      </c>
      <c r="B2" s="5" t="s">
        <v>233</v>
      </c>
      <c r="C2" s="5" t="s">
        <v>234</v>
      </c>
      <c r="E2" s="5" t="s">
        <v>236</v>
      </c>
      <c r="F2" s="5" t="s">
        <v>49</v>
      </c>
      <c r="G2" s="5" t="s">
        <v>177</v>
      </c>
      <c r="H2" s="6">
        <v>45717</v>
      </c>
      <c r="I2" s="5" t="s">
        <v>51</v>
      </c>
      <c r="J2" s="7">
        <v>0</v>
      </c>
      <c r="K2" s="7">
        <v>145.83000000000001</v>
      </c>
      <c r="L2" s="5">
        <v>1</v>
      </c>
      <c r="M2" s="8">
        <v>1</v>
      </c>
      <c r="N2" s="9">
        <v>145.83000000000001</v>
      </c>
      <c r="O2" s="5" t="s">
        <v>237</v>
      </c>
    </row>
    <row r="3" spans="1:15" s="5" customFormat="1" x14ac:dyDescent="0.25">
      <c r="A3" s="5">
        <v>987982162</v>
      </c>
      <c r="B3" s="5" t="s">
        <v>233</v>
      </c>
      <c r="C3" s="5" t="s">
        <v>234</v>
      </c>
      <c r="E3" s="5" t="s">
        <v>236</v>
      </c>
      <c r="F3" s="5" t="s">
        <v>49</v>
      </c>
      <c r="G3" s="5" t="s">
        <v>181</v>
      </c>
      <c r="H3" s="6">
        <v>45717</v>
      </c>
      <c r="I3" s="5" t="s">
        <v>51</v>
      </c>
      <c r="J3" s="7">
        <v>0</v>
      </c>
      <c r="K3" s="7">
        <v>509.17</v>
      </c>
      <c r="L3" s="5">
        <v>1</v>
      </c>
      <c r="M3" s="8">
        <v>1</v>
      </c>
      <c r="N3" s="9">
        <v>509.17</v>
      </c>
      <c r="O3" s="5" t="s">
        <v>237</v>
      </c>
    </row>
    <row r="4" spans="1:15" s="5" customFormat="1" x14ac:dyDescent="0.25">
      <c r="A4" s="5" t="s">
        <v>257</v>
      </c>
      <c r="B4" s="5" t="s">
        <v>257</v>
      </c>
      <c r="F4" s="5" t="s">
        <v>259</v>
      </c>
      <c r="G4" s="5" t="s">
        <v>257</v>
      </c>
      <c r="H4" s="6">
        <v>44927</v>
      </c>
      <c r="I4" s="5" t="s">
        <v>260</v>
      </c>
      <c r="J4" s="7">
        <v>0</v>
      </c>
      <c r="K4" s="7">
        <v>825</v>
      </c>
      <c r="L4" s="5">
        <v>1</v>
      </c>
      <c r="M4" s="8">
        <v>1</v>
      </c>
      <c r="N4" s="9">
        <v>825</v>
      </c>
      <c r="O4" s="5" t="s">
        <v>261</v>
      </c>
    </row>
    <row r="5" spans="1:15" x14ac:dyDescent="0.25">
      <c r="N5" s="4">
        <f>SUM(N2:N4)</f>
        <v>1480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2025-02-20T13:28:21Z</dcterms:created>
  <dcterms:modified xsi:type="dcterms:W3CDTF">2025-02-26T14:16:52Z</dcterms:modified>
</cp:coreProperties>
</file>