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11-15-25 to 11-19-25\"/>
    </mc:Choice>
  </mc:AlternateContent>
  <xr:revisionPtr revIDLastSave="0" documentId="13_ncr:1_{1352C5FF-CDF4-4BFD-97C8-7F47EDAD9676}" xr6:coauthVersionLast="47" xr6:coauthVersionMax="47" xr10:uidLastSave="{00000000-0000-0000-0000-000000000000}"/>
  <bookViews>
    <workbookView xWindow="28680" yWindow="-120" windowWidth="29040" windowHeight="16440" activeTab="2" xr2:uid="{D83B8DEB-7998-4CD3-B27F-B17C87371463}"/>
  </bookViews>
  <sheets>
    <sheet name="New Business Agent Statement - " sheetId="1" r:id="rId1"/>
    <sheet name="Sheet1" sheetId="2" r:id="rId2"/>
    <sheet name="on hold" sheetId="3" r:id="rId3"/>
  </sheets>
  <calcPr calcId="181029"/>
</workbook>
</file>

<file path=xl/calcChain.xml><?xml version="1.0" encoding="utf-8"?>
<calcChain xmlns="http://schemas.openxmlformats.org/spreadsheetml/2006/main">
  <c r="L8" i="3" l="1"/>
  <c r="M8" i="3" s="1"/>
  <c r="N8" i="3" s="1"/>
  <c r="L9" i="3"/>
  <c r="M9" i="3" s="1"/>
  <c r="N9" i="3" s="1"/>
  <c r="L10" i="3"/>
  <c r="M10" i="3" s="1"/>
  <c r="N10" i="3" s="1"/>
  <c r="B844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<sst xmlns="http://schemas.openxmlformats.org/spreadsheetml/2006/main" count="10783" uniqueCount="2008">
  <si>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</si>
  <si>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</si>
  <si>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</si>
  <si>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</si>
  <si>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</si>
  <si>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</si>
  <si>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</si>
  <si>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</si>
  <si>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</si>
  <si>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</si>
  <si>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</si>
  <si>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</si>
  <si>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</si>
  <si>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</si>
  <si>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</si>
  <si>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</si>
  <si>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</si>
  <si>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</si>
  <si>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</si>
  <si>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</si>
  <si>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</si>
  <si>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</si>
  <si>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</si>
  <si>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</si>
  <si>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</si>
  <si>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</si>
  <si>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</si>
  <si>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</si>
  <si>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</si>
  <si>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</si>
  <si>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</si>
  <si>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</si>
  <si>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</si>
  <si>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</si>
  <si>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</si>
  <si>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</si>
  <si>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</si>
  <si>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</si>
  <si>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</si>
  <si>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</si>
  <si>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</si>
  <si>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</si>
  <si>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</si>
  <si>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</si>
  <si>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'00000437692K</t>
  </si>
  <si>
    <t>RALPH BATES</t>
  </si>
  <si>
    <t>OH</t>
  </si>
  <si>
    <t>'045684</t>
  </si>
  <si>
    <t>JILL SHEPARD</t>
  </si>
  <si>
    <t>ACTIVE</t>
  </si>
  <si>
    <t>Humana MA 2019+ Level 15- 175/108</t>
  </si>
  <si>
    <t>Monthly</t>
  </si>
  <si>
    <t>AV</t>
  </si>
  <si>
    <t>'00000573317I</t>
  </si>
  <si>
    <t>ROSA RICCARDI</t>
  </si>
  <si>
    <t>IL</t>
  </si>
  <si>
    <t>'045605</t>
  </si>
  <si>
    <t>GARY PORTUGAL</t>
  </si>
  <si>
    <t>'00000736095G</t>
  </si>
  <si>
    <t>MARION BAUMHART</t>
  </si>
  <si>
    <t>'045966</t>
  </si>
  <si>
    <t>ANTONIA NEVAREZ</t>
  </si>
  <si>
    <t>'00000765622I</t>
  </si>
  <si>
    <t>LEONARDO RICCARDI</t>
  </si>
  <si>
    <t>'00000825139K</t>
  </si>
  <si>
    <t>LARAMIE DRISCOLL</t>
  </si>
  <si>
    <t>TX</t>
  </si>
  <si>
    <t>'045604</t>
  </si>
  <si>
    <t>JEFFREY HORN</t>
  </si>
  <si>
    <t>Humana MA 2019+ Level 15- 175/108 Repl 2024</t>
  </si>
  <si>
    <t>'00000845139K</t>
  </si>
  <si>
    <t>CONNIE ILLY</t>
  </si>
  <si>
    <t>IN</t>
  </si>
  <si>
    <t>'045967</t>
  </si>
  <si>
    <t>DANNA GREEN</t>
  </si>
  <si>
    <t>'00000989823D</t>
  </si>
  <si>
    <t>FLORENCE MOSLEY</t>
  </si>
  <si>
    <t>'046024</t>
  </si>
  <si>
    <t>LATESHA (TC) ROSE</t>
  </si>
  <si>
    <t>'00001754427K</t>
  </si>
  <si>
    <t>JANET LEVERENZ</t>
  </si>
  <si>
    <t>'043739</t>
  </si>
  <si>
    <t>ANDREA PETRUNGARO</t>
  </si>
  <si>
    <t>'00003971474K</t>
  </si>
  <si>
    <t>PHYLLIS NEUMANN</t>
  </si>
  <si>
    <t>'045612</t>
  </si>
  <si>
    <t>ANTHONY HUNSBERGER</t>
  </si>
  <si>
    <t>'00004503213K</t>
  </si>
  <si>
    <t>MARGARET CHADWICK</t>
  </si>
  <si>
    <t>AZ</t>
  </si>
  <si>
    <t>'043969</t>
  </si>
  <si>
    <t>STACEY PORTUGAL</t>
  </si>
  <si>
    <t>'00004978038K</t>
  </si>
  <si>
    <t>PATTY EAKINS</t>
  </si>
  <si>
    <t>'00006506774KPDP</t>
  </si>
  <si>
    <t>MICHELLE MUNO</t>
  </si>
  <si>
    <t>'043718</t>
  </si>
  <si>
    <t>CHAD YALE</t>
  </si>
  <si>
    <t>Humana PDP 2019+ Level 15- 15/0</t>
  </si>
  <si>
    <t>'00006984078K</t>
  </si>
  <si>
    <t>MARY PARSONS</t>
  </si>
  <si>
    <t>'045638</t>
  </si>
  <si>
    <t>RICHARD YALE</t>
  </si>
  <si>
    <t>'00007196666K</t>
  </si>
  <si>
    <t>HAROLD JANNUSCH</t>
  </si>
  <si>
    <t>'00007233324KPDP</t>
  </si>
  <si>
    <t>JOHN GAGNON</t>
  </si>
  <si>
    <t>'00008142916K</t>
  </si>
  <si>
    <t>RONALD MILLER</t>
  </si>
  <si>
    <t>'00008165956K</t>
  </si>
  <si>
    <t>RONALD GAFFORD</t>
  </si>
  <si>
    <t>'00010420692K</t>
  </si>
  <si>
    <t>BOZO KOSIR</t>
  </si>
  <si>
    <t>'045611</t>
  </si>
  <si>
    <t>FRANK LISKOVEC</t>
  </si>
  <si>
    <t>'00010555812KPDP</t>
  </si>
  <si>
    <t>MICHAEL CRANG</t>
  </si>
  <si>
    <t>'043832</t>
  </si>
  <si>
    <t>CAROL FRITZ</t>
  </si>
  <si>
    <t>'00010556084KPDP</t>
  </si>
  <si>
    <t>NAN CRANG</t>
  </si>
  <si>
    <t>'00010948446K</t>
  </si>
  <si>
    <t>MARGARET SCHOLL</t>
  </si>
  <si>
    <t>'00011182221K</t>
  </si>
  <si>
    <t>MARY HUSTON</t>
  </si>
  <si>
    <t>'00011296136K</t>
  </si>
  <si>
    <t>TERRANCE ST GERMAIN</t>
  </si>
  <si>
    <t>'00012003169K</t>
  </si>
  <si>
    <t>KATHLEEN JANNUSCH</t>
  </si>
  <si>
    <t>'00012194653K</t>
  </si>
  <si>
    <t>JOYCE DONELL</t>
  </si>
  <si>
    <t>'00012207253K</t>
  </si>
  <si>
    <t>REYNATO GUEVARRA</t>
  </si>
  <si>
    <t>'00012224395K</t>
  </si>
  <si>
    <t>ZOILA GUEVARRA</t>
  </si>
  <si>
    <t>'00012346272K</t>
  </si>
  <si>
    <t>JAMES PIZZOLATO</t>
  </si>
  <si>
    <t>'00012356184KPDP</t>
  </si>
  <si>
    <t>JUDY MASUCCI</t>
  </si>
  <si>
    <t>'041686</t>
  </si>
  <si>
    <t>DALE WALENGA</t>
  </si>
  <si>
    <t>'00012874058K</t>
  </si>
  <si>
    <t>JANNETTE TORRES</t>
  </si>
  <si>
    <t>'045709</t>
  </si>
  <si>
    <t>ESTHER HERRERA-LARSEN</t>
  </si>
  <si>
    <t>'00013753697KPDP</t>
  </si>
  <si>
    <t>FREDERICK MAYNARD</t>
  </si>
  <si>
    <t>MI</t>
  </si>
  <si>
    <t>'00014020218K</t>
  </si>
  <si>
    <t>MICHAEL BURKE</t>
  </si>
  <si>
    <t>'045603</t>
  </si>
  <si>
    <t>ANDREW CHOI</t>
  </si>
  <si>
    <t>'00014109999K</t>
  </si>
  <si>
    <t>MICHAEL SUTAK</t>
  </si>
  <si>
    <t>CO</t>
  </si>
  <si>
    <t>'045621</t>
  </si>
  <si>
    <t>HEATHER GESKE</t>
  </si>
  <si>
    <t>'00014110972K</t>
  </si>
  <si>
    <t>DOROTHY SUTAK</t>
  </si>
  <si>
    <t>'00014180827K</t>
  </si>
  <si>
    <t>DIANE DONWEN</t>
  </si>
  <si>
    <t>'00014298168K</t>
  </si>
  <si>
    <t>ELEFTHERIA BAKLADONIS</t>
  </si>
  <si>
    <t>'00014525232K</t>
  </si>
  <si>
    <t>REYNALDO UMALI</t>
  </si>
  <si>
    <t>'045613</t>
  </si>
  <si>
    <t>RICARDO SANTOS</t>
  </si>
  <si>
    <t>'00014741522K</t>
  </si>
  <si>
    <t>MROZEK LAURA</t>
  </si>
  <si>
    <t>'00015083911K</t>
  </si>
  <si>
    <t>GAIL USKERT</t>
  </si>
  <si>
    <t>'045618</t>
  </si>
  <si>
    <t>STEPHANIE DRAPAC</t>
  </si>
  <si>
    <t>'00015428762K</t>
  </si>
  <si>
    <t>RESURRECCI MARTINEZ</t>
  </si>
  <si>
    <t>'00015726718K</t>
  </si>
  <si>
    <t>KAY GRIZZLE</t>
  </si>
  <si>
    <t>'045607</t>
  </si>
  <si>
    <t>PAMELA DEATON</t>
  </si>
  <si>
    <t>'00016432688KPDP</t>
  </si>
  <si>
    <t>STEPHEN KURTENBACH</t>
  </si>
  <si>
    <t>'00017029001K</t>
  </si>
  <si>
    <t>LUCILLE SHAFFER</t>
  </si>
  <si>
    <t>WA</t>
  </si>
  <si>
    <t>'045896</t>
  </si>
  <si>
    <t>LENSIE GONZALEZ</t>
  </si>
  <si>
    <t>'00017176926K</t>
  </si>
  <si>
    <t>ROBERT LINSLEY</t>
  </si>
  <si>
    <t>AL</t>
  </si>
  <si>
    <t>'045981</t>
  </si>
  <si>
    <t>JAKE SHULMAN</t>
  </si>
  <si>
    <t>'00017560669K</t>
  </si>
  <si>
    <t>DENNIS OSHAUGHNESSY</t>
  </si>
  <si>
    <t>'00017961123K</t>
  </si>
  <si>
    <t>MARIO LORUSSO</t>
  </si>
  <si>
    <t>'00018172161K</t>
  </si>
  <si>
    <t>ALBERTA LEWIS</t>
  </si>
  <si>
    <t>'00018253743K</t>
  </si>
  <si>
    <t>JANET FESSENDEN</t>
  </si>
  <si>
    <t>'00018479446K</t>
  </si>
  <si>
    <t>SUSAN BLANAS</t>
  </si>
  <si>
    <t>'00018502087KPDP</t>
  </si>
  <si>
    <t>LANE WOLFE</t>
  </si>
  <si>
    <t>PA</t>
  </si>
  <si>
    <t>'043611</t>
  </si>
  <si>
    <t>TIMOTHY POWERS</t>
  </si>
  <si>
    <t>'00019033581K</t>
  </si>
  <si>
    <t>JESUS MELENDEZ</t>
  </si>
  <si>
    <t>'00019119410K</t>
  </si>
  <si>
    <t>DEANNE POWELL</t>
  </si>
  <si>
    <t>'043813</t>
  </si>
  <si>
    <t>VICTOR FUENTES</t>
  </si>
  <si>
    <t>'00019277366K</t>
  </si>
  <si>
    <t>NABIL ZAHR</t>
  </si>
  <si>
    <t>'00019277814K</t>
  </si>
  <si>
    <t>NELLY ZAHR</t>
  </si>
  <si>
    <t>'00019339311K</t>
  </si>
  <si>
    <t>JAMES KIRK</t>
  </si>
  <si>
    <t>'045670</t>
  </si>
  <si>
    <t>STEVEN BRANDT</t>
  </si>
  <si>
    <t>'00019913974K</t>
  </si>
  <si>
    <t>PAMELA DIETZ</t>
  </si>
  <si>
    <t>'00020182706K</t>
  </si>
  <si>
    <t>LESLIE CONNOR</t>
  </si>
  <si>
    <t>NY</t>
  </si>
  <si>
    <t>'00020196522K</t>
  </si>
  <si>
    <t>MARY BANYS</t>
  </si>
  <si>
    <t>IA</t>
  </si>
  <si>
    <t>'043682</t>
  </si>
  <si>
    <t>GREGORY TEIPEL</t>
  </si>
  <si>
    <t>'00020232195K</t>
  </si>
  <si>
    <t>SKYE KIRK</t>
  </si>
  <si>
    <t>'00020315646KPDP</t>
  </si>
  <si>
    <t>CYNTHIA MASUCCI</t>
  </si>
  <si>
    <t>'00020408476K</t>
  </si>
  <si>
    <t>ANTHONY PILOLLA</t>
  </si>
  <si>
    <t>'00020571277K</t>
  </si>
  <si>
    <t>CHAD MELENDEZ</t>
  </si>
  <si>
    <t>'00020882212KPDP</t>
  </si>
  <si>
    <t>JOSEPH YERACE</t>
  </si>
  <si>
    <t>'00020883877KPDP</t>
  </si>
  <si>
    <t>MICHELE YERACE</t>
  </si>
  <si>
    <t>'00021008921K</t>
  </si>
  <si>
    <t>WILLIAM GROSS</t>
  </si>
  <si>
    <t>'00022247463K</t>
  </si>
  <si>
    <t>JEFF HOADLEY</t>
  </si>
  <si>
    <t>FL</t>
  </si>
  <si>
    <t>'00022248100K</t>
  </si>
  <si>
    <t>LADY HOADLEY</t>
  </si>
  <si>
    <t>'00022585402KPDP</t>
  </si>
  <si>
    <t>ANTONIO MEGLIO</t>
  </si>
  <si>
    <t>'043618</t>
  </si>
  <si>
    <t>SAADIA ABDUL</t>
  </si>
  <si>
    <t>'00023998143K</t>
  </si>
  <si>
    <t>KAREN MOHOI</t>
  </si>
  <si>
    <t>'043638</t>
  </si>
  <si>
    <t>THOMAS PARDUE</t>
  </si>
  <si>
    <t>'00024021738K</t>
  </si>
  <si>
    <t>JAMES CASTLEBERRY</t>
  </si>
  <si>
    <t>'00024453204K</t>
  </si>
  <si>
    <t>LOIS PARSONS</t>
  </si>
  <si>
    <t>'00024458009K</t>
  </si>
  <si>
    <t>PATRICIA GATES</t>
  </si>
  <si>
    <t>GA</t>
  </si>
  <si>
    <t>'00024458012K</t>
  </si>
  <si>
    <t>DAWN WILSON</t>
  </si>
  <si>
    <t>'00024458510K</t>
  </si>
  <si>
    <t>DONNA ACORD</t>
  </si>
  <si>
    <t>'00024459001K</t>
  </si>
  <si>
    <t>LUKE PLANINIC</t>
  </si>
  <si>
    <t>'00024459524K</t>
  </si>
  <si>
    <t>CAROL ROSEN</t>
  </si>
  <si>
    <t>'00024460867K</t>
  </si>
  <si>
    <t>THERESE FOLLIN</t>
  </si>
  <si>
    <t>'00024461443K</t>
  </si>
  <si>
    <t>RICHARD FALCOFF</t>
  </si>
  <si>
    <t>'00024462128KPDP</t>
  </si>
  <si>
    <t>WILLIAM JEFFRES</t>
  </si>
  <si>
    <t>MD</t>
  </si>
  <si>
    <t>'045717</t>
  </si>
  <si>
    <t>RONALD MAX</t>
  </si>
  <si>
    <t>'00024464215K</t>
  </si>
  <si>
    <t>DOUGLAS LEIN</t>
  </si>
  <si>
    <t>'00024465763KPDP</t>
  </si>
  <si>
    <t>COLLEEN FOGARTY</t>
  </si>
  <si>
    <t>'043705</t>
  </si>
  <si>
    <t>MICHAEL DUNAVANT</t>
  </si>
  <si>
    <t>'00024466262KPDP</t>
  </si>
  <si>
    <t>LARRY RIBBLE</t>
  </si>
  <si>
    <t>'046040</t>
  </si>
  <si>
    <t>DANIEL CARNEY</t>
  </si>
  <si>
    <t>'00024468306K</t>
  </si>
  <si>
    <t>JESSICA DEMARTINI</t>
  </si>
  <si>
    <t>'00024469640K</t>
  </si>
  <si>
    <t>KATHLEEN DEERE</t>
  </si>
  <si>
    <t>OK</t>
  </si>
  <si>
    <t>'00024469805KPDP</t>
  </si>
  <si>
    <t>BRIAN RUBIN</t>
  </si>
  <si>
    <t>'00024473820K</t>
  </si>
  <si>
    <t>KAREN SCHNORR</t>
  </si>
  <si>
    <t>'00024473966K</t>
  </si>
  <si>
    <t>JASMINKA KOSIR</t>
  </si>
  <si>
    <t>'00024474555K</t>
  </si>
  <si>
    <t>MARTIN BUENO</t>
  </si>
  <si>
    <t>'00024475209K</t>
  </si>
  <si>
    <t>ELAINE RIGGS</t>
  </si>
  <si>
    <t>'00024476365KPDP</t>
  </si>
  <si>
    <t>PENNY BROWN</t>
  </si>
  <si>
    <t>'00024478150K</t>
  </si>
  <si>
    <t>RUTH LINDO JONES</t>
  </si>
  <si>
    <t>'00024478578K</t>
  </si>
  <si>
    <t>ALBERTA HAVLICK</t>
  </si>
  <si>
    <t>'00024479345K</t>
  </si>
  <si>
    <t>TINA FALCOFF</t>
  </si>
  <si>
    <t>'00024480021KPDP</t>
  </si>
  <si>
    <t>GARY WRIGHT</t>
  </si>
  <si>
    <t>'00024480076K</t>
  </si>
  <si>
    <t>KATHY METZGER</t>
  </si>
  <si>
    <t>'00024480575K</t>
  </si>
  <si>
    <t>PAMELA HORN</t>
  </si>
  <si>
    <t>'00024480631KPDP</t>
  </si>
  <si>
    <t>EILEEN DUNLEAVY</t>
  </si>
  <si>
    <t>'00024480877KPDP</t>
  </si>
  <si>
    <t>KRISTINE BLAHA</t>
  </si>
  <si>
    <t>'045984</t>
  </si>
  <si>
    <t>JEANET REYES</t>
  </si>
  <si>
    <t>'00024481800K</t>
  </si>
  <si>
    <t>JOHN HORN</t>
  </si>
  <si>
    <t>'00024482604K</t>
  </si>
  <si>
    <t>CARYN AYSCUE</t>
  </si>
  <si>
    <t>'00024483981KPDP</t>
  </si>
  <si>
    <t>MOHAMMED KHALIL</t>
  </si>
  <si>
    <t>'00024484160KPDP</t>
  </si>
  <si>
    <t>SANDRA WESTFALL</t>
  </si>
  <si>
    <t>'00024485092KPDP</t>
  </si>
  <si>
    <t>LARRY THOMPSON</t>
  </si>
  <si>
    <t>'00024485945K</t>
  </si>
  <si>
    <t>DEBRA KUPEC</t>
  </si>
  <si>
    <t>'00024486801K</t>
  </si>
  <si>
    <t>THOMAS FOLLIN</t>
  </si>
  <si>
    <t>'00024486887KPDP</t>
  </si>
  <si>
    <t>JAMES MARTIN</t>
  </si>
  <si>
    <t>'00024487454K</t>
  </si>
  <si>
    <t>ROGER SCHNORR</t>
  </si>
  <si>
    <t>'00024488116K</t>
  </si>
  <si>
    <t>HAROLD ROSEN</t>
  </si>
  <si>
    <t>'00024490231K</t>
  </si>
  <si>
    <t>PATRICK MURRAY</t>
  </si>
  <si>
    <t>'00024490298K</t>
  </si>
  <si>
    <t>NANCY MCNABB</t>
  </si>
  <si>
    <t>'00024491622K</t>
  </si>
  <si>
    <t>RICK ARIANO</t>
  </si>
  <si>
    <t>'00024495315K</t>
  </si>
  <si>
    <t>BRUCE HOYT</t>
  </si>
  <si>
    <t>'043713</t>
  </si>
  <si>
    <t>JOEL LEE</t>
  </si>
  <si>
    <t>'00024495700K</t>
  </si>
  <si>
    <t>KAREN SMITH</t>
  </si>
  <si>
    <t>'00024498116K</t>
  </si>
  <si>
    <t>KEITH MACPHAIL</t>
  </si>
  <si>
    <t>'00024500744K</t>
  </si>
  <si>
    <t>JOHN HAVLICK</t>
  </si>
  <si>
    <t>'00024504896K</t>
  </si>
  <si>
    <t>GERRY NICHOLAOU</t>
  </si>
  <si>
    <t>'00024505056K</t>
  </si>
  <si>
    <t>BONNIE BODY</t>
  </si>
  <si>
    <t>'00024505232K</t>
  </si>
  <si>
    <t>JEANNE NAEGELE</t>
  </si>
  <si>
    <t>'043633</t>
  </si>
  <si>
    <t>RICHARD WUENSCH</t>
  </si>
  <si>
    <t>'00024506252K</t>
  </si>
  <si>
    <t>PATRICIA SERGEY</t>
  </si>
  <si>
    <t>'00024506657K</t>
  </si>
  <si>
    <t>ROBERT POSS</t>
  </si>
  <si>
    <t>'00024508788K</t>
  </si>
  <si>
    <t>LINDA FEDEROWICZ</t>
  </si>
  <si>
    <t>'00024509076K</t>
  </si>
  <si>
    <t>TIMOTHY BEVIER</t>
  </si>
  <si>
    <t>'043637</t>
  </si>
  <si>
    <t>CHRISTIAN TAUGNER</t>
  </si>
  <si>
    <t>'00024512228K</t>
  </si>
  <si>
    <t>DODIE WALLACE</t>
  </si>
  <si>
    <t>'00024514186K</t>
  </si>
  <si>
    <t>STEVE CITRON</t>
  </si>
  <si>
    <t>'045639</t>
  </si>
  <si>
    <t>STEVEN WERNER</t>
  </si>
  <si>
    <t>'00024514611KPDP</t>
  </si>
  <si>
    <t>LEROY FISHER</t>
  </si>
  <si>
    <t>'043689</t>
  </si>
  <si>
    <t>ANNE MARIE KOZACHECK</t>
  </si>
  <si>
    <t>'00024516066K</t>
  </si>
  <si>
    <t>TAMARA GRAEME</t>
  </si>
  <si>
    <t>'046015</t>
  </si>
  <si>
    <t>SANDRA SENTMAN</t>
  </si>
  <si>
    <t>'00024517338K</t>
  </si>
  <si>
    <t>WILLIAM GRAEME</t>
  </si>
  <si>
    <t>'00024519522K</t>
  </si>
  <si>
    <t>GERALD GRAFF</t>
  </si>
  <si>
    <t>WI</t>
  </si>
  <si>
    <t>'043644</t>
  </si>
  <si>
    <t>TIMOTHY HODGMAN</t>
  </si>
  <si>
    <t>'00024519654KPDP</t>
  </si>
  <si>
    <t>BRYAN ECKMANN</t>
  </si>
  <si>
    <t>'00024520544K</t>
  </si>
  <si>
    <t>SYED HASSAN</t>
  </si>
  <si>
    <t>'00024521793KPDP</t>
  </si>
  <si>
    <t>RENEE RUSSELL</t>
  </si>
  <si>
    <t>'045637</t>
  </si>
  <si>
    <t>ALISON LUSE</t>
  </si>
  <si>
    <t>'00024522179KPDP</t>
  </si>
  <si>
    <t>RICHARD VOELLINGER</t>
  </si>
  <si>
    <t>'00024522540K</t>
  </si>
  <si>
    <t>KENT KATAYAMA</t>
  </si>
  <si>
    <t>'00024522680K</t>
  </si>
  <si>
    <t>LINNELLA MASON</t>
  </si>
  <si>
    <t>'00024523447K</t>
  </si>
  <si>
    <t>ANTHONY CALABRESE</t>
  </si>
  <si>
    <t>'00024524991K</t>
  </si>
  <si>
    <t>JEFFERY BABCOCK</t>
  </si>
  <si>
    <t>'00024526312K</t>
  </si>
  <si>
    <t>ALBERT NELSON</t>
  </si>
  <si>
    <t>'043736</t>
  </si>
  <si>
    <t>DENNIS HOLYN</t>
  </si>
  <si>
    <t>'00024526749K</t>
  </si>
  <si>
    <t>EMIGDIO SIVAJA</t>
  </si>
  <si>
    <t>'00024531889K</t>
  </si>
  <si>
    <t>ROSA JUSTINIANO SIVAJA</t>
  </si>
  <si>
    <t>'00024532015KPDP</t>
  </si>
  <si>
    <t>JOHN FISH</t>
  </si>
  <si>
    <t>'00024534853K</t>
  </si>
  <si>
    <t>PATRICK EVETT</t>
  </si>
  <si>
    <t>'00024536758K</t>
  </si>
  <si>
    <t>JOHN BODY</t>
  </si>
  <si>
    <t>'00024536967K</t>
  </si>
  <si>
    <t>ROBERT KRYST</t>
  </si>
  <si>
    <t>'00024537088K</t>
  </si>
  <si>
    <t>DEBORAH KAHANA</t>
  </si>
  <si>
    <t>'00024537780K</t>
  </si>
  <si>
    <t>NADINE JESCHKE</t>
  </si>
  <si>
    <t>'00024537803K</t>
  </si>
  <si>
    <t>WILLIAM HEFLER</t>
  </si>
  <si>
    <t>'00024538183K</t>
  </si>
  <si>
    <t>SANDRA MAZUR</t>
  </si>
  <si>
    <t>'00024539816KPDP</t>
  </si>
  <si>
    <t>MICHAEL BARNES</t>
  </si>
  <si>
    <t>'045673</t>
  </si>
  <si>
    <t>MARK ROCCIA</t>
  </si>
  <si>
    <t>'00024539989KPDP</t>
  </si>
  <si>
    <t>JOYCE GAGNON</t>
  </si>
  <si>
    <t>'00024540532KPDP</t>
  </si>
  <si>
    <t>DIANNE BUFFO</t>
  </si>
  <si>
    <t>'00024540870K</t>
  </si>
  <si>
    <t>GEORGE NICHOLAOU</t>
  </si>
  <si>
    <t>'00024541534K</t>
  </si>
  <si>
    <t>SUSAN KRAVITZ</t>
  </si>
  <si>
    <t>'00024542384K</t>
  </si>
  <si>
    <t>ZEHRA HASSAN</t>
  </si>
  <si>
    <t>'00024544057K</t>
  </si>
  <si>
    <t>DAVID MAZUR</t>
  </si>
  <si>
    <t>'00024546040K</t>
  </si>
  <si>
    <t>MIGUEL LUNA SALAMANCA</t>
  </si>
  <si>
    <t>'00024548971K</t>
  </si>
  <si>
    <t>JACKIE BOKROS</t>
  </si>
  <si>
    <t>SC</t>
  </si>
  <si>
    <t>'00024550260KPDP</t>
  </si>
  <si>
    <t>EUGENE PARKER</t>
  </si>
  <si>
    <t>'00024551156KPDP</t>
  </si>
  <si>
    <t>DEBORAH MANUEL</t>
  </si>
  <si>
    <t>'00024551626K</t>
  </si>
  <si>
    <t>DIANE REIDY</t>
  </si>
  <si>
    <t>'00024555785K</t>
  </si>
  <si>
    <t>JODY SPRINGER</t>
  </si>
  <si>
    <t>'00024558243KPDP</t>
  </si>
  <si>
    <t>JAMES COMBS</t>
  </si>
  <si>
    <t>'00024560771K</t>
  </si>
  <si>
    <t>FRANK NEMCIC</t>
  </si>
  <si>
    <t>'00024561007K</t>
  </si>
  <si>
    <t>ILENE BEVERLEY</t>
  </si>
  <si>
    <t>'00024561334KPDP</t>
  </si>
  <si>
    <t>KATHLEEN THOMPSON</t>
  </si>
  <si>
    <t>'00024562634K</t>
  </si>
  <si>
    <t>THOMAS REIDY</t>
  </si>
  <si>
    <t>'00024562876K</t>
  </si>
  <si>
    <t>BARBARA NEMCIC</t>
  </si>
  <si>
    <t>'00024563653KPDP</t>
  </si>
  <si>
    <t>JANICE NOWLAN</t>
  </si>
  <si>
    <t>'00024564724KPDP</t>
  </si>
  <si>
    <t>YVONNE HALL</t>
  </si>
  <si>
    <t>'00024565859KPDP</t>
  </si>
  <si>
    <t>NANCY COMBS</t>
  </si>
  <si>
    <t>'00024566456K</t>
  </si>
  <si>
    <t>JACK ESSENBURG</t>
  </si>
  <si>
    <t>'00024566670KPDP</t>
  </si>
  <si>
    <t>JACQUELYNN BRIGGS</t>
  </si>
  <si>
    <t>'00024566859KPDP</t>
  </si>
  <si>
    <t>TODD MCDONALD</t>
  </si>
  <si>
    <t>'046034</t>
  </si>
  <si>
    <t>INES BERG</t>
  </si>
  <si>
    <t>'00024567609K</t>
  </si>
  <si>
    <t>WILLIAM BEVERLEY</t>
  </si>
  <si>
    <t>'00024567963KPDP</t>
  </si>
  <si>
    <t>RICK LYNN</t>
  </si>
  <si>
    <t>'00024569416KPDP</t>
  </si>
  <si>
    <t>SHERWOOD BLITSTEIN</t>
  </si>
  <si>
    <t>'00024569985K</t>
  </si>
  <si>
    <t>CHRISTINE ESSENBURG</t>
  </si>
  <si>
    <t>'00024571118KPDP</t>
  </si>
  <si>
    <t>ARLENE TROIKE</t>
  </si>
  <si>
    <t>'00024571909KPDP</t>
  </si>
  <si>
    <t>DANIEL BELL</t>
  </si>
  <si>
    <t>'043690</t>
  </si>
  <si>
    <t>THOMAS KUCAN</t>
  </si>
  <si>
    <t>'00024572207K</t>
  </si>
  <si>
    <t>MICHAEL DEMMA</t>
  </si>
  <si>
    <t>'00024572327K</t>
  </si>
  <si>
    <t>ROBERT RITCHEY</t>
  </si>
  <si>
    <t>'00024573433K</t>
  </si>
  <si>
    <t>JAMES GOON</t>
  </si>
  <si>
    <t>'00024575945K</t>
  </si>
  <si>
    <t>GLENN DAVIS</t>
  </si>
  <si>
    <t>'00024576468K</t>
  </si>
  <si>
    <t>NANCY PENA</t>
  </si>
  <si>
    <t>'00024576659K</t>
  </si>
  <si>
    <t>RENEE RITCHEY</t>
  </si>
  <si>
    <t>'00024577313K</t>
  </si>
  <si>
    <t>GEORGE GUENTHER</t>
  </si>
  <si>
    <t>'043714</t>
  </si>
  <si>
    <t>BRIAN STROHMAN</t>
  </si>
  <si>
    <t>'00024577465K</t>
  </si>
  <si>
    <t>LARRY HAYNES</t>
  </si>
  <si>
    <t>'045632</t>
  </si>
  <si>
    <t>BARRY SCHUMANN</t>
  </si>
  <si>
    <t>'00024578407KPDP</t>
  </si>
  <si>
    <t>CHRISTOPHER KAUFFMAN</t>
  </si>
  <si>
    <t>'00024578509K</t>
  </si>
  <si>
    <t>CYNTHIA YOUNG</t>
  </si>
  <si>
    <t>'00024580056K</t>
  </si>
  <si>
    <t>ROBERT ERICKSON</t>
  </si>
  <si>
    <t>'00024580361KPDP</t>
  </si>
  <si>
    <t>VICKIE KAUFFMAN</t>
  </si>
  <si>
    <t>'00024581426K</t>
  </si>
  <si>
    <t>ROBERT SCHENKEL</t>
  </si>
  <si>
    <t>'00024582212K</t>
  </si>
  <si>
    <t>CAROL WESCOTT</t>
  </si>
  <si>
    <t>'00024582757K</t>
  </si>
  <si>
    <t>EDNA SCHENKEL</t>
  </si>
  <si>
    <t>'00024585094KPDP</t>
  </si>
  <si>
    <t>CINDY ROEWER</t>
  </si>
  <si>
    <t>'00024585363KPDP</t>
  </si>
  <si>
    <t>SAM MOORE</t>
  </si>
  <si>
    <t>'00024586467K</t>
  </si>
  <si>
    <t>KAREN DAHSE</t>
  </si>
  <si>
    <t>'00024587464KPDP</t>
  </si>
  <si>
    <t>MARSHA WOLFE</t>
  </si>
  <si>
    <t>'00024588766K</t>
  </si>
  <si>
    <t>AMADO UMALI</t>
  </si>
  <si>
    <t>'00024589974KPDP</t>
  </si>
  <si>
    <t>KAREN ZAIKO</t>
  </si>
  <si>
    <t>'00024590049KPDP</t>
  </si>
  <si>
    <t>STUART TOBIN</t>
  </si>
  <si>
    <t>'00024590403K</t>
  </si>
  <si>
    <t>PETER RICHTER</t>
  </si>
  <si>
    <t>'043585</t>
  </si>
  <si>
    <t>'00024590409K</t>
  </si>
  <si>
    <t>RITA KRAUSS</t>
  </si>
  <si>
    <t>'00024591148KPDP</t>
  </si>
  <si>
    <t>CONNIE SMITH</t>
  </si>
  <si>
    <t>'045622</t>
  </si>
  <si>
    <t>JACOB YALE</t>
  </si>
  <si>
    <t>'00024594729K</t>
  </si>
  <si>
    <t>ROBERT LUCAS</t>
  </si>
  <si>
    <t>'00024595734KPDP</t>
  </si>
  <si>
    <t>ELLEN MENDELSON</t>
  </si>
  <si>
    <t>'043800</t>
  </si>
  <si>
    <t>BARRY BRENNER</t>
  </si>
  <si>
    <t>'00024596787K</t>
  </si>
  <si>
    <t>PATRICIA STRUGLIA</t>
  </si>
  <si>
    <t>'00024598277K</t>
  </si>
  <si>
    <t>JOHN FROST</t>
  </si>
  <si>
    <t>'00024599880KPDP</t>
  </si>
  <si>
    <t>KATHRYN OLSON</t>
  </si>
  <si>
    <t>'00024600956KPDP</t>
  </si>
  <si>
    <t>LEANN TOBIN</t>
  </si>
  <si>
    <t>'00024601500KPDP</t>
  </si>
  <si>
    <t>TERESA DAVISSON</t>
  </si>
  <si>
    <t>'00024604842K</t>
  </si>
  <si>
    <t>SANDRA GRIFFIN</t>
  </si>
  <si>
    <t>'00024605281K</t>
  </si>
  <si>
    <t>CURTIS TRIZZINO</t>
  </si>
  <si>
    <t>'00024608717KPDP</t>
  </si>
  <si>
    <t>JAY LOEFFLER</t>
  </si>
  <si>
    <t>'00024610987K</t>
  </si>
  <si>
    <t>LYNN MILLER</t>
  </si>
  <si>
    <t>'00024613645KPDP</t>
  </si>
  <si>
    <t>ANTHONY ZAIKO</t>
  </si>
  <si>
    <t>'00024614789KPDP</t>
  </si>
  <si>
    <t>CHARLES HARRISON</t>
  </si>
  <si>
    <t>'00024616017K</t>
  </si>
  <si>
    <t>JAMES VINCENT</t>
  </si>
  <si>
    <t>'045671</t>
  </si>
  <si>
    <t>ROBERT SHAPIRO</t>
  </si>
  <si>
    <t>'00024616581K</t>
  </si>
  <si>
    <t>DAMIANO TRUPIANO</t>
  </si>
  <si>
    <t>'00024616734K</t>
  </si>
  <si>
    <t>LESZEK PLOPA</t>
  </si>
  <si>
    <t>'00024618765KPDP</t>
  </si>
  <si>
    <t>WILLIAM SHINN</t>
  </si>
  <si>
    <t>'00024621362K</t>
  </si>
  <si>
    <t>JILL SHIPKIN</t>
  </si>
  <si>
    <t>'00024621669KPDP</t>
  </si>
  <si>
    <t>SUSAN STEVENS</t>
  </si>
  <si>
    <t>'00024621917K</t>
  </si>
  <si>
    <t>PHILIP SHIPKIN</t>
  </si>
  <si>
    <t>'00024623259KPDP</t>
  </si>
  <si>
    <t>JEFFREY FOWLER</t>
  </si>
  <si>
    <t>'00024625379KPDP</t>
  </si>
  <si>
    <t>DOUGLAS LAIN</t>
  </si>
  <si>
    <t>'00024625821KPDP</t>
  </si>
  <si>
    <t>RONA HUNTER FOLTOS</t>
  </si>
  <si>
    <t>'00024627156K</t>
  </si>
  <si>
    <t>TIMOTHY LEVI</t>
  </si>
  <si>
    <t>'00024627616KPDP</t>
  </si>
  <si>
    <t>BRENDA WITMAN</t>
  </si>
  <si>
    <t>'045601</t>
  </si>
  <si>
    <t>CAROL FOLEY</t>
  </si>
  <si>
    <t>'00024627920KPDP</t>
  </si>
  <si>
    <t>MEDALIT OHAGAN</t>
  </si>
  <si>
    <t>'00024628291KPDP</t>
  </si>
  <si>
    <t>DEBORAH KINGDON</t>
  </si>
  <si>
    <t>'00024629029K</t>
  </si>
  <si>
    <t>FRANCISCO VILLA VIDALES</t>
  </si>
  <si>
    <t>'00024630110K</t>
  </si>
  <si>
    <t>DEIRDRE GAUDEN</t>
  </si>
  <si>
    <t>'00024630729KPDP</t>
  </si>
  <si>
    <t>JOSEPH CAUGHMAN</t>
  </si>
  <si>
    <t>'00024631579KPDP</t>
  </si>
  <si>
    <t>MARTHA VACCO</t>
  </si>
  <si>
    <t>'00024631636K</t>
  </si>
  <si>
    <t>ANNE MCDERMOTT</t>
  </si>
  <si>
    <t>'00024633522K</t>
  </si>
  <si>
    <t>JOAN LUCAS</t>
  </si>
  <si>
    <t>'00024637214KPDP</t>
  </si>
  <si>
    <t>DEBRA LOEFFLER</t>
  </si>
  <si>
    <t>'00024637755K</t>
  </si>
  <si>
    <t>KONSTANTINOS FUDUKOS</t>
  </si>
  <si>
    <t>'00024637995KPDP</t>
  </si>
  <si>
    <t>'00024639182K</t>
  </si>
  <si>
    <t>GERALD TUYO</t>
  </si>
  <si>
    <t>'00024639536K</t>
  </si>
  <si>
    <t>STOJKA KOSIR</t>
  </si>
  <si>
    <t>'00024641788K</t>
  </si>
  <si>
    <t>DEBORAH CLARK</t>
  </si>
  <si>
    <t>'00024642347KPDP</t>
  </si>
  <si>
    <t>SHEILA MOLLICA</t>
  </si>
  <si>
    <t>'043679</t>
  </si>
  <si>
    <t>DEBORAH INSKIPT</t>
  </si>
  <si>
    <t>'00024642381KPDP</t>
  </si>
  <si>
    <t>MARK ALLMAN</t>
  </si>
  <si>
    <t>'00024642790KPDP</t>
  </si>
  <si>
    <t>ANNE UNTERKOEFLER</t>
  </si>
  <si>
    <t>'00024643473KPDP</t>
  </si>
  <si>
    <t>CLAIRE NIGHMAN</t>
  </si>
  <si>
    <t>'00024645327KPDP</t>
  </si>
  <si>
    <t>DIANE SWEET</t>
  </si>
  <si>
    <t>'00024645637K</t>
  </si>
  <si>
    <t>JEFFREY MILLER</t>
  </si>
  <si>
    <t>'00024645885KPDP</t>
  </si>
  <si>
    <t>TODD RUSSOW</t>
  </si>
  <si>
    <t>'046035</t>
  </si>
  <si>
    <t>JAMES ALLEN</t>
  </si>
  <si>
    <t>'00024646124K</t>
  </si>
  <si>
    <t>MICHAEL ARNEY</t>
  </si>
  <si>
    <t>'00024647596KPDP</t>
  </si>
  <si>
    <t>MARY FRYMAN</t>
  </si>
  <si>
    <t>'00024649182K</t>
  </si>
  <si>
    <t>WILLIE WELLS</t>
  </si>
  <si>
    <t>'00024652735K</t>
  </si>
  <si>
    <t>JAMES JOHNSON</t>
  </si>
  <si>
    <t>'00024654020K</t>
  </si>
  <si>
    <t>MARTHA WOLFF</t>
  </si>
  <si>
    <t>'00024654109K</t>
  </si>
  <si>
    <t>LAWRENCE GEMPP</t>
  </si>
  <si>
    <t>'00024654424K</t>
  </si>
  <si>
    <t>CELIA PICAZO</t>
  </si>
  <si>
    <t>'00024654868K</t>
  </si>
  <si>
    <t>CHARLES USKERT</t>
  </si>
  <si>
    <t>'00024657069KPDP</t>
  </si>
  <si>
    <t>ALFRED SCHIFF</t>
  </si>
  <si>
    <t>'00024658056KPDP</t>
  </si>
  <si>
    <t>BARBARA FOWLER</t>
  </si>
  <si>
    <t>'00024659109K</t>
  </si>
  <si>
    <t>DALE OLSEN</t>
  </si>
  <si>
    <t>'00024661899K</t>
  </si>
  <si>
    <t>LOURDES RAMOS</t>
  </si>
  <si>
    <t>'00024662630K</t>
  </si>
  <si>
    <t>NANCY EDENS</t>
  </si>
  <si>
    <t>AR</t>
  </si>
  <si>
    <t>'00024662650K</t>
  </si>
  <si>
    <t>STEVEN HAPSIC</t>
  </si>
  <si>
    <t>'00024663652K</t>
  </si>
  <si>
    <t>SHEILA MCCANN</t>
  </si>
  <si>
    <t>'00024664095K</t>
  </si>
  <si>
    <t>TEFIK BEXHETI</t>
  </si>
  <si>
    <t>'00024669704K</t>
  </si>
  <si>
    <t>PAULETTE JOHNSON</t>
  </si>
  <si>
    <t>'00024670822K</t>
  </si>
  <si>
    <t>AIDA UMALI</t>
  </si>
  <si>
    <t>'00024670968K</t>
  </si>
  <si>
    <t>KATHLEEN OLSEN</t>
  </si>
  <si>
    <t>'00024671269K</t>
  </si>
  <si>
    <t>ALEXANDER MCDERMOTT</t>
  </si>
  <si>
    <t>'00024672069K</t>
  </si>
  <si>
    <t>NEMR AOUN</t>
  </si>
  <si>
    <t>'00024672561K</t>
  </si>
  <si>
    <t>PEGGY LANG</t>
  </si>
  <si>
    <t>'00024674419K</t>
  </si>
  <si>
    <t>EVA MELENDEZ</t>
  </si>
  <si>
    <t>'00024675187K</t>
  </si>
  <si>
    <t>KIM PEERY</t>
  </si>
  <si>
    <t>'00024676294K</t>
  </si>
  <si>
    <t>KENNETH SILER</t>
  </si>
  <si>
    <t>'00024680423K</t>
  </si>
  <si>
    <t>FRANCISCO ARRECIS GIRON</t>
  </si>
  <si>
    <t>'043589</t>
  </si>
  <si>
    <t>JOSE TORRES</t>
  </si>
  <si>
    <t>'00024681663K</t>
  </si>
  <si>
    <t>ALBERTO RIVERA</t>
  </si>
  <si>
    <t>'102205281200</t>
  </si>
  <si>
    <t>ANDREW DELLAVECCHIA</t>
  </si>
  <si>
    <t>Aetna MAPD NMO to MMO - 2025+ Replace Paper</t>
  </si>
  <si>
    <t>1/12 PRORATE</t>
  </si>
  <si>
    <t>'102205937300</t>
  </si>
  <si>
    <t>JAIME GANNON</t>
  </si>
  <si>
    <t>'043786</t>
  </si>
  <si>
    <t>MARGARET SMITH</t>
  </si>
  <si>
    <t>Aetna MAPD NMO to MMO - 2025+ Replace E-App</t>
  </si>
  <si>
    <t>2/12 PRORATE</t>
  </si>
  <si>
    <t>'102207711900</t>
  </si>
  <si>
    <t>JACQUELINE MARSICO</t>
  </si>
  <si>
    <t>'102208192100</t>
  </si>
  <si>
    <t>DEBRA COSS</t>
  </si>
  <si>
    <t>'102208897800</t>
  </si>
  <si>
    <t>TERI WARD</t>
  </si>
  <si>
    <t>'102208955700</t>
  </si>
  <si>
    <t>ANDREW RYBURN</t>
  </si>
  <si>
    <t>'134595699</t>
  </si>
  <si>
    <t>EVELYN CARR</t>
  </si>
  <si>
    <t>UHC MA Direct 2025 New Initial Prorated</t>
  </si>
  <si>
    <t>12/12 PRORATE</t>
  </si>
  <si>
    <t>'134606398</t>
  </si>
  <si>
    <t>QUANAH CLARK</t>
  </si>
  <si>
    <t>UHC MA Direct 2025 New Full</t>
  </si>
  <si>
    <t>'907559980</t>
  </si>
  <si>
    <t>JANICE BAUERNFEIND</t>
  </si>
  <si>
    <t>'911540541</t>
  </si>
  <si>
    <t>JAMES MACLAGAN</t>
  </si>
  <si>
    <t>'913131528</t>
  </si>
  <si>
    <t>WANDA JACOBS</t>
  </si>
  <si>
    <t>'922578545</t>
  </si>
  <si>
    <t>CRAIG FOLTOS</t>
  </si>
  <si>
    <t>UHC MA Direct 2025 New Initial Prorated - Other</t>
  </si>
  <si>
    <t>'927844077</t>
  </si>
  <si>
    <t>TERESA PARKER</t>
  </si>
  <si>
    <t>'045591</t>
  </si>
  <si>
    <t>CHRISTOPHER BROUSSEAU</t>
  </si>
  <si>
    <t>'961895690</t>
  </si>
  <si>
    <t>DALE BORTNER</t>
  </si>
  <si>
    <t>'995080570</t>
  </si>
  <si>
    <t>SUSAN ROBLEY</t>
  </si>
  <si>
    <t>OR</t>
  </si>
  <si>
    <t>'A02883885</t>
  </si>
  <si>
    <t>ERICA ROBINSON</t>
  </si>
  <si>
    <t>NJ</t>
  </si>
  <si>
    <t>'043692</t>
  </si>
  <si>
    <t>ADAM RICHTER</t>
  </si>
  <si>
    <t>UHC AARP Med Supp 2025+ NJ Plan N Internal Repl</t>
  </si>
  <si>
    <t>'A04361660</t>
  </si>
  <si>
    <t>UHC AARP Med Supp 2026+ IL Plan F G</t>
  </si>
  <si>
    <t>'A04361715</t>
  </si>
  <si>
    <t>JUDITH BLITSTEIN</t>
  </si>
  <si>
    <t>UHC AARP Med Supp 2025+ IL Area 1 Plan B C F G</t>
  </si>
  <si>
    <t>CB</t>
  </si>
  <si>
    <t>'00012268041KPC</t>
  </si>
  <si>
    <t>DONALD WOODS</t>
  </si>
  <si>
    <t>NA</t>
  </si>
  <si>
    <t>CHARGEBACK</t>
  </si>
  <si>
    <t>'00014898474KCB</t>
  </si>
  <si>
    <t>DENISE KAPLAN</t>
  </si>
  <si>
    <t>'00017176926KPC</t>
  </si>
  <si>
    <t>'00017904229KCB</t>
  </si>
  <si>
    <t>VEERENDRA DURGAM</t>
  </si>
  <si>
    <t>'00019933734KCB</t>
  </si>
  <si>
    <t>JOFERN PUFFER</t>
  </si>
  <si>
    <t>'00022389298KPC</t>
  </si>
  <si>
    <t>DAVID SMITH</t>
  </si>
  <si>
    <t>'00024118388KCB</t>
  </si>
  <si>
    <t>CHARLA ALI</t>
  </si>
  <si>
    <t>'00024166424KCB</t>
  </si>
  <si>
    <t>HENRY GARZA</t>
  </si>
  <si>
    <t>'00024245755KPDPCB</t>
  </si>
  <si>
    <t>KIMBERLY BAKER</t>
  </si>
  <si>
    <t>'00024251541KCB</t>
  </si>
  <si>
    <t>BETTY HEBERLING</t>
  </si>
  <si>
    <t>'00024263981KCB</t>
  </si>
  <si>
    <t>GERALD HEBERLING</t>
  </si>
  <si>
    <t>'00024267849KCB</t>
  </si>
  <si>
    <t>LOU ANDREWS</t>
  </si>
  <si>
    <t>'00024308702KCB</t>
  </si>
  <si>
    <t>LYNN PUANGCO</t>
  </si>
  <si>
    <t>'971115971CB</t>
  </si>
  <si>
    <t>MIGUEL MIRANDA</t>
  </si>
  <si>
    <t>UHC MAPD Street payable to upline - 2025 New</t>
  </si>
  <si>
    <t>'971115971OVCB</t>
  </si>
  <si>
    <t>CAROL SCHABER</t>
  </si>
  <si>
    <t>TOM SERIO</t>
  </si>
  <si>
    <t>Humana NOV 2025 Statement</t>
  </si>
  <si>
    <t>DONNIE HAMILTON</t>
  </si>
  <si>
    <t>GERRI WALTHERS</t>
  </si>
  <si>
    <t>KHAIRUNNISA MOHIUDDIN</t>
  </si>
  <si>
    <t>RUBEN TORRES</t>
  </si>
  <si>
    <t>MARIANNE O'BRIEN</t>
  </si>
  <si>
    <t>DEBRA SIMS</t>
  </si>
  <si>
    <t>KAREN YOSHIKAWA</t>
  </si>
  <si>
    <t>FRED BORROWMAN</t>
  </si>
  <si>
    <t>Humana MAPD Street payable to upline- 2024 Replace</t>
  </si>
  <si>
    <t>Humana LOA NOV 2025 Statement</t>
  </si>
  <si>
    <t>LARRY BOUBEL</t>
  </si>
  <si>
    <t>STEVEN CONNOR</t>
  </si>
  <si>
    <t>RAYMOND HUMPHRIES</t>
  </si>
  <si>
    <t>LONNIE ALTOM</t>
  </si>
  <si>
    <t>CATHERINE LAUDERDALE</t>
  </si>
  <si>
    <t>PAULA MARINO</t>
  </si>
  <si>
    <t>EUGENE PAYNE</t>
  </si>
  <si>
    <t>MARYCLARE BENTLEY</t>
  </si>
  <si>
    <t>MURRAY STERNER</t>
  </si>
  <si>
    <t>ROBERT BENTLEY</t>
  </si>
  <si>
    <t>TIMOTHY HATMAKER</t>
  </si>
  <si>
    <t>MARY GIOVINCO</t>
  </si>
  <si>
    <t>EFRAIN GARCIA</t>
  </si>
  <si>
    <t>Humana MAPD Street payable to upline - 2024 New</t>
  </si>
  <si>
    <t>TATYANA FISHMAN</t>
  </si>
  <si>
    <t>TONY PAYNE</t>
  </si>
  <si>
    <t>MARIAN PAYNE</t>
  </si>
  <si>
    <t>THERESA CIMARUSTI</t>
  </si>
  <si>
    <t>Humana MAPD Street payable to upline- 2024 Pro New</t>
  </si>
  <si>
    <t>DEBORAH BRODER</t>
  </si>
  <si>
    <t>MARTIN KELLEY</t>
  </si>
  <si>
    <t>MARIAREDEMCION DE GALA</t>
  </si>
  <si>
    <t>KATHLEEN OCONNOR</t>
  </si>
  <si>
    <t>TODD COHEN</t>
  </si>
  <si>
    <t>SCOTT WAXMAN</t>
  </si>
  <si>
    <t>LAURA MELVIN</t>
  </si>
  <si>
    <t>DAVID LEWAKOWSKI</t>
  </si>
  <si>
    <t>MARY BOETTCHER</t>
  </si>
  <si>
    <t>CHESTER ANTCZAK</t>
  </si>
  <si>
    <t>WILLIAM NAIDENOVICH</t>
  </si>
  <si>
    <t>FRANK SCARDINA</t>
  </si>
  <si>
    <t>Humana MA 2019+ Level 15- 150/84</t>
  </si>
  <si>
    <t>MITCH WISE</t>
  </si>
  <si>
    <t>RICHARD COSARO</t>
  </si>
  <si>
    <t>CHRISTINE KALIS</t>
  </si>
  <si>
    <t>PATRICIA MCGRAIL</t>
  </si>
  <si>
    <t>TERRY BRYAN</t>
  </si>
  <si>
    <t>PERIKLI HAXHI</t>
  </si>
  <si>
    <t>KRISTY DOLPH</t>
  </si>
  <si>
    <t>MARSHA WEBSTER</t>
  </si>
  <si>
    <t>GIL VALENZUELA</t>
  </si>
  <si>
    <t>EDITA VALENZUELA</t>
  </si>
  <si>
    <t>PATRICK JOCHUM</t>
  </si>
  <si>
    <t>ALEXANDER RANCE</t>
  </si>
  <si>
    <t>TERRANCE HALLMAN</t>
  </si>
  <si>
    <t>DONNA CHILDS</t>
  </si>
  <si>
    <t>EDWARD RYAN</t>
  </si>
  <si>
    <t>TERESA DRAGONETTI</t>
  </si>
  <si>
    <t>RAYMOND HOCK</t>
  </si>
  <si>
    <t>PAUL ARNOLD</t>
  </si>
  <si>
    <t>MARGARET BASHLINE</t>
  </si>
  <si>
    <t>BRIAN CHINDERLE</t>
  </si>
  <si>
    <t>BRENDA REIMANN</t>
  </si>
  <si>
    <t>JUAN REYNA</t>
  </si>
  <si>
    <t>SANDRA SCHEIDENHELM</t>
  </si>
  <si>
    <t>KENNETH WONG</t>
  </si>
  <si>
    <t>GAY BAKKER</t>
  </si>
  <si>
    <t>KEITH DONOVAN</t>
  </si>
  <si>
    <t>TRACEY BROWN</t>
  </si>
  <si>
    <t>STEVE ZAFIRIADIS</t>
  </si>
  <si>
    <t>C CHADDERDON GAITSCH</t>
  </si>
  <si>
    <t>TERRY ROSS</t>
  </si>
  <si>
    <t>MARK VANDERPLUYM</t>
  </si>
  <si>
    <t>JEANA LASSITER</t>
  </si>
  <si>
    <t>LESLIE IANNACE</t>
  </si>
  <si>
    <t>JEFFREY PATRICK</t>
  </si>
  <si>
    <t>ALEX YAKULIS</t>
  </si>
  <si>
    <t>DEBBY SHEDD</t>
  </si>
  <si>
    <t>THOMAS BRISCOE</t>
  </si>
  <si>
    <t>MARY GERAGHTY</t>
  </si>
  <si>
    <t>JAMES HILBURN</t>
  </si>
  <si>
    <t>SALLY FISHER-PLANIC</t>
  </si>
  <si>
    <t>FARZANA AKRAM</t>
  </si>
  <si>
    <t>RUMPIN BUNYAVONG</t>
  </si>
  <si>
    <t>SUZI FRIESE</t>
  </si>
  <si>
    <t>MIKE FOLLANSBEE</t>
  </si>
  <si>
    <t>SHAZIA SHAHRUKH</t>
  </si>
  <si>
    <t>MAURICE ENWIA</t>
  </si>
  <si>
    <t>LORI RODGERS</t>
  </si>
  <si>
    <t>MARCELINO CENTENO</t>
  </si>
  <si>
    <t>SHIRLEY SHELTON</t>
  </si>
  <si>
    <t>MARGARET GARRITY</t>
  </si>
  <si>
    <t>ELLEN SHAKER</t>
  </si>
  <si>
    <t>SUSAN MADETE</t>
  </si>
  <si>
    <t>PATRICK OTTO</t>
  </si>
  <si>
    <t>LISA CAVITT</t>
  </si>
  <si>
    <t>JOHN SMITH</t>
  </si>
  <si>
    <t>CARRIE STEPHENS</t>
  </si>
  <si>
    <t>JR REIF</t>
  </si>
  <si>
    <t>HENRY ASEGA</t>
  </si>
  <si>
    <t>JOSEPH MANNERINO</t>
  </si>
  <si>
    <t>SHERYL MANNERINO</t>
  </si>
  <si>
    <t>DALE KLUGA</t>
  </si>
  <si>
    <t>DOREEN PUDLOWSKI</t>
  </si>
  <si>
    <t>DRAGISA PAVLOVIC</t>
  </si>
  <si>
    <t>RICKY ORLANDO</t>
  </si>
  <si>
    <t>ANNETTE BOWLING</t>
  </si>
  <si>
    <t>MARY PAUL</t>
  </si>
  <si>
    <t>JOHN MCGARY</t>
  </si>
  <si>
    <t>SAM PHOMSOPHA</t>
  </si>
  <si>
    <t>PHOUTHONE PHOMSOPHA</t>
  </si>
  <si>
    <t>CHRISTY CHUBICK</t>
  </si>
  <si>
    <t>ROBIN DIEDERICH</t>
  </si>
  <si>
    <t>TERRI EATON</t>
  </si>
  <si>
    <t>EUGENE JACKSON</t>
  </si>
  <si>
    <t>THEROLD RATHGEB</t>
  </si>
  <si>
    <t>DEBORAH BARCLAY</t>
  </si>
  <si>
    <t>KATHY VANHORN</t>
  </si>
  <si>
    <t>NICOMEDES SILVA</t>
  </si>
  <si>
    <t>DONNA DRUCKER</t>
  </si>
  <si>
    <t>ADELAIDA SILVA</t>
  </si>
  <si>
    <t>MALGORZATA GONET</t>
  </si>
  <si>
    <t>AUDREY RIDLEN</t>
  </si>
  <si>
    <t>DONARIA CARVALHO</t>
  </si>
  <si>
    <t>MARILYN SCHUMM</t>
  </si>
  <si>
    <t>ANTHONY LEONE</t>
  </si>
  <si>
    <t>LINDA HOEKS</t>
  </si>
  <si>
    <t>MARY LUPOU</t>
  </si>
  <si>
    <t>LORRAINE HACKMAN</t>
  </si>
  <si>
    <t>JUAN WILSON</t>
  </si>
  <si>
    <t>PAUL BORASH</t>
  </si>
  <si>
    <t>ANTONIO SANCHEZ</t>
  </si>
  <si>
    <t>JAMES HARBACEK</t>
  </si>
  <si>
    <t>DOLORES DUNCAN</t>
  </si>
  <si>
    <t>JAMES BECKWITH</t>
  </si>
  <si>
    <t>RALPH RICHMOND</t>
  </si>
  <si>
    <t>RACHEL WILLIAMS</t>
  </si>
  <si>
    <t>Per OCT 2025 UHC MA Stmt</t>
  </si>
  <si>
    <t>LAUREN KNOBBS</t>
  </si>
  <si>
    <t>FRANK WUCHEVICH</t>
  </si>
  <si>
    <t>Aetna MAPD NMO to GMO - 4-1-23+  New E-App</t>
  </si>
  <si>
    <t>Per Aetna LOA OCT 2025 Statement</t>
  </si>
  <si>
    <t>DENNIS BELL</t>
  </si>
  <si>
    <t>THERESA MANGUS</t>
  </si>
  <si>
    <t>CAROLYN HERVEY</t>
  </si>
  <si>
    <t>DORIS MCCONNELL</t>
  </si>
  <si>
    <t>MO</t>
  </si>
  <si>
    <t>BETSY HARVEY</t>
  </si>
  <si>
    <t>GERALD KOCHMAR</t>
  </si>
  <si>
    <t>SUZANNE STEIGERWALD</t>
  </si>
  <si>
    <t>RICHARD CLOUSE</t>
  </si>
  <si>
    <t>CARL BRACKEN</t>
  </si>
  <si>
    <t>JOSEPH HOFFMAN</t>
  </si>
  <si>
    <t>MARIAN PARENTE</t>
  </si>
  <si>
    <t>RUTH CLAYPOOLE</t>
  </si>
  <si>
    <t>GRACE BRACKEN</t>
  </si>
  <si>
    <t>RUSSELL HEARN</t>
  </si>
  <si>
    <t>VICTORIA HOFFMAN</t>
  </si>
  <si>
    <t>STEPHEN GREEN</t>
  </si>
  <si>
    <t>D SULLENBERGER</t>
  </si>
  <si>
    <t>DAVID SNYDER</t>
  </si>
  <si>
    <t>RICHARD BAPTISTE</t>
  </si>
  <si>
    <t>KAREN HILLIARD</t>
  </si>
  <si>
    <t>JUDITH PEAVORNICK</t>
  </si>
  <si>
    <t>RICHARD MANGUS</t>
  </si>
  <si>
    <t>JOSEPH KOLODZIEJCZYK</t>
  </si>
  <si>
    <t>JOAN TOMSEY</t>
  </si>
  <si>
    <t>DOMINICA KOCHMAR</t>
  </si>
  <si>
    <t>DOUGLAS HERVEY</t>
  </si>
  <si>
    <t>KATHLEEN TENNYSON</t>
  </si>
  <si>
    <t>DARLENE SNYDER</t>
  </si>
  <si>
    <t>JOYCE GIESLER</t>
  </si>
  <si>
    <t>HEMA WOODWARD</t>
  </si>
  <si>
    <t>GEORGE PATRICK</t>
  </si>
  <si>
    <t>GLEN RIZZO</t>
  </si>
  <si>
    <t>STAN POPINSKI</t>
  </si>
  <si>
    <t>CLIFFORD ANDERSON</t>
  </si>
  <si>
    <t>ROSEMARIE LOKER</t>
  </si>
  <si>
    <t>KAREN RUSSELL</t>
  </si>
  <si>
    <t>BEVERLY SASSE</t>
  </si>
  <si>
    <t>MARK BRANTHOOVER</t>
  </si>
  <si>
    <t>RICHARD PISOR</t>
  </si>
  <si>
    <t>ABRAHAM SANO</t>
  </si>
  <si>
    <t>JEFFREY ALLAN</t>
  </si>
  <si>
    <t>SANDRA CRIDER</t>
  </si>
  <si>
    <t>TERRY ALBECK</t>
  </si>
  <si>
    <t>DENNIS SCHELETSKY</t>
  </si>
  <si>
    <t>WILLIAM RUSSELL</t>
  </si>
  <si>
    <t>BEVERLY JONES</t>
  </si>
  <si>
    <t>BARBARA CRANE</t>
  </si>
  <si>
    <t>JEFFREY CRANE</t>
  </si>
  <si>
    <t>ROBERT MILLER</t>
  </si>
  <si>
    <t>JOHN BLAZOSKY</t>
  </si>
  <si>
    <t>WILLIAM MCDONOUGH</t>
  </si>
  <si>
    <t>PAUL EDGERTON</t>
  </si>
  <si>
    <t>NORMAN GRAHAM</t>
  </si>
  <si>
    <t>STELLA GRAHAM</t>
  </si>
  <si>
    <t>LINDA EDGERTON</t>
  </si>
  <si>
    <t>MARGIE ROME</t>
  </si>
  <si>
    <t>DEBBIE SELFRIDGE</t>
  </si>
  <si>
    <t>DENA HOCHBEIN</t>
  </si>
  <si>
    <t>DENNIS NOLLINGER</t>
  </si>
  <si>
    <t>SHARON MIHALEK</t>
  </si>
  <si>
    <t>GARY SPAULDING</t>
  </si>
  <si>
    <t>SHIRLEY SPAULDING</t>
  </si>
  <si>
    <t>ROBERT NICHOLS</t>
  </si>
  <si>
    <t>MARY NICHOLS</t>
  </si>
  <si>
    <t>CLAUDIA CONTE</t>
  </si>
  <si>
    <t>MARILOU RUSIANA</t>
  </si>
  <si>
    <t>RICHARD LIEBERT</t>
  </si>
  <si>
    <t>RICHARD COMBEN</t>
  </si>
  <si>
    <t>JANET WIKERT</t>
  </si>
  <si>
    <t>Aetna MAPD NMO to GMO - 4-1-23+  Replace E-App</t>
  </si>
  <si>
    <t>JOHN THORPE</t>
  </si>
  <si>
    <t>ELIZABE LIEBERT</t>
  </si>
  <si>
    <t>NANCY WONG</t>
  </si>
  <si>
    <t>EVELYN GRIFFITHS</t>
  </si>
  <si>
    <t>DEAN REED</t>
  </si>
  <si>
    <t>GORDON SINCLAIR</t>
  </si>
  <si>
    <t>ROBERT HNAT</t>
  </si>
  <si>
    <t>SANDRA POPINSKI</t>
  </si>
  <si>
    <t>GARY SCHMIEDECKE</t>
  </si>
  <si>
    <t>FRANK BUCK</t>
  </si>
  <si>
    <t>DEBRA BARRALL</t>
  </si>
  <si>
    <t>TIMOTHY CRIDER</t>
  </si>
  <si>
    <t>JOANNE DALUISIO</t>
  </si>
  <si>
    <t>EARL CLARK</t>
  </si>
  <si>
    <t>KATHLEEN THORNTON</t>
  </si>
  <si>
    <t>EDDIE JEWART</t>
  </si>
  <si>
    <t>REBA BECKER</t>
  </si>
  <si>
    <t>SHARON OESTERLING</t>
  </si>
  <si>
    <t>JOANNE BAPTISTE</t>
  </si>
  <si>
    <t>DARLENE STRAMA</t>
  </si>
  <si>
    <t>LON OESTERLING</t>
  </si>
  <si>
    <t>JOAN PARK</t>
  </si>
  <si>
    <t>EARL BALENTINE</t>
  </si>
  <si>
    <t>ROBERT PARK</t>
  </si>
  <si>
    <t>RONALD GUINEY</t>
  </si>
  <si>
    <t>CHERYL TOOMEY</t>
  </si>
  <si>
    <t>THOMAS PERRY</t>
  </si>
  <si>
    <t>CHERYL TURNER</t>
  </si>
  <si>
    <t>MARGARET DICKMAN</t>
  </si>
  <si>
    <t>GAYLE MARETTI</t>
  </si>
  <si>
    <t>THOMAS MCMULLEN</t>
  </si>
  <si>
    <t>MICHALENE MCMULLEN</t>
  </si>
  <si>
    <t>DAVID MOSER</t>
  </si>
  <si>
    <t>KENNETH CLAYPOOLE</t>
  </si>
  <si>
    <t>TERESA CALAMUSA</t>
  </si>
  <si>
    <t>JOSEPH CALAMUSA</t>
  </si>
  <si>
    <t>DANIEL VEITH</t>
  </si>
  <si>
    <t>CHRISTY ROBERT</t>
  </si>
  <si>
    <t>GENEVIEVE MCDONOUGH</t>
  </si>
  <si>
    <t>JAMES NORTON</t>
  </si>
  <si>
    <t>GEORGE CRAVEN</t>
  </si>
  <si>
    <t>STACEY GORSKI</t>
  </si>
  <si>
    <t>HELEN FERGUSON</t>
  </si>
  <si>
    <t>GLENDA COUGHENOUR</t>
  </si>
  <si>
    <t>RICHARD COUGHENOUR</t>
  </si>
  <si>
    <t>RAYMOND MURTHA</t>
  </si>
  <si>
    <t>GEORGE SHAFFER</t>
  </si>
  <si>
    <t>RONALD MOORE</t>
  </si>
  <si>
    <t>JOHN MORRISON</t>
  </si>
  <si>
    <t>HOBART KENTON</t>
  </si>
  <si>
    <t>EUNICE KENTON</t>
  </si>
  <si>
    <t>DARCEE BOWSER</t>
  </si>
  <si>
    <t>RONALD PARKER</t>
  </si>
  <si>
    <t>KATHLEEN UFNER</t>
  </si>
  <si>
    <t>LINDA EURY</t>
  </si>
  <si>
    <t>MICHAEL FERDINANDSEN</t>
  </si>
  <si>
    <t>MARY FERDINANDSEN</t>
  </si>
  <si>
    <t>KAREN MCANDREWS</t>
  </si>
  <si>
    <t>ROBIN GALL</t>
  </si>
  <si>
    <t>JAMES FAGAN</t>
  </si>
  <si>
    <t>NEIL STEWART</t>
  </si>
  <si>
    <t>LINDA ARMSTRONG</t>
  </si>
  <si>
    <t>ANNA PAPA</t>
  </si>
  <si>
    <t>DAVENA HOPSON</t>
  </si>
  <si>
    <t>GERALD BRNA</t>
  </si>
  <si>
    <t>SUSAN MASON</t>
  </si>
  <si>
    <t>DONALD MCCLOSKEY</t>
  </si>
  <si>
    <t>TERRI MARBURGER</t>
  </si>
  <si>
    <t>KENNETH TROUP</t>
  </si>
  <si>
    <t>SUSAN CUPPS</t>
  </si>
  <si>
    <t>JOLINDA DOUTHETT</t>
  </si>
  <si>
    <t>PAMELA JEWART</t>
  </si>
  <si>
    <t>GREGORY FERDINANDSEN</t>
  </si>
  <si>
    <t>TERRY NEY</t>
  </si>
  <si>
    <t>LLOYD LAKE</t>
  </si>
  <si>
    <t>PEGGY ROCCO</t>
  </si>
  <si>
    <t>THOMAS BORCZ</t>
  </si>
  <si>
    <t>KIMBERLY SIDLEY</t>
  </si>
  <si>
    <t>TIMOTHY FLANIGAN</t>
  </si>
  <si>
    <t>ROGER WOLFE</t>
  </si>
  <si>
    <t>PAMELA DORCY</t>
  </si>
  <si>
    <t>CORNELIUS DORCY</t>
  </si>
  <si>
    <t>DEBORAH PEGHER</t>
  </si>
  <si>
    <t>GREGORY RUTKOSKI</t>
  </si>
  <si>
    <t>JEFFREY EDWARDS</t>
  </si>
  <si>
    <t>LINDA CARSON</t>
  </si>
  <si>
    <t>EARL CHRISTY</t>
  </si>
  <si>
    <t>VICKI HEFFERAN</t>
  </si>
  <si>
    <t>CHARLES CRAIG</t>
  </si>
  <si>
    <t>EUGENE EVANS</t>
  </si>
  <si>
    <t>ANDREW SCHRIM</t>
  </si>
  <si>
    <t>HANNAH SCHRIM</t>
  </si>
  <si>
    <t>ROBERT BROWN</t>
  </si>
  <si>
    <t>ROBERTA YOUNG</t>
  </si>
  <si>
    <t>GARY YOUNG</t>
  </si>
  <si>
    <t>DEBRA MCCUNE</t>
  </si>
  <si>
    <t>LISA MAJESKY</t>
  </si>
  <si>
    <t>SUSAN RUSSO</t>
  </si>
  <si>
    <t>SHIRLEY ERWIN</t>
  </si>
  <si>
    <t>GERALD CUPPS</t>
  </si>
  <si>
    <t>ANNA DICKSON</t>
  </si>
  <si>
    <t>PATRICIA CHAFFIN</t>
  </si>
  <si>
    <t>JOY ROBBINS</t>
  </si>
  <si>
    <t>JANICE DEMARTINI</t>
  </si>
  <si>
    <t>RONALD THOMPSON</t>
  </si>
  <si>
    <t>HOWARD KAMERER</t>
  </si>
  <si>
    <t>JUDITH SPORKA</t>
  </si>
  <si>
    <t>STEVEN NAPOLETAN</t>
  </si>
  <si>
    <t>CHARLES JORDAN</t>
  </si>
  <si>
    <t>KAREN KROPF</t>
  </si>
  <si>
    <t>WILLIAM TAGMYER</t>
  </si>
  <si>
    <t>JANET PARKER</t>
  </si>
  <si>
    <t>BRUCE PETTIT</t>
  </si>
  <si>
    <t>CAROL PETTIT</t>
  </si>
  <si>
    <t>SUZANNE WARHEIT</t>
  </si>
  <si>
    <t>STACY NEMETH</t>
  </si>
  <si>
    <t>DANIEL MAGILL</t>
  </si>
  <si>
    <t>WILLIAM MAURICE</t>
  </si>
  <si>
    <t>EDWARD FANTUZZO</t>
  </si>
  <si>
    <t>KIMBERLY COBLENTZ</t>
  </si>
  <si>
    <t>SANDRA MONTGOMERY</t>
  </si>
  <si>
    <t>THOMAS MCCOMMON</t>
  </si>
  <si>
    <t>RICHARD HOLSTINE</t>
  </si>
  <si>
    <t>JOSEPH PIERREL</t>
  </si>
  <si>
    <t>JANINE POLKY</t>
  </si>
  <si>
    <t>MICHAEL MONTGOMERY</t>
  </si>
  <si>
    <t>ALAN BEBLO</t>
  </si>
  <si>
    <t>SUZEE BEBLO</t>
  </si>
  <si>
    <t>MICHAEL OWENS</t>
  </si>
  <si>
    <t>NICHOLAS BURKA</t>
  </si>
  <si>
    <t>PAUL HICKOK</t>
  </si>
  <si>
    <t>DAVID PARSONS</t>
  </si>
  <si>
    <t>PATRICIA RUTKOSKI</t>
  </si>
  <si>
    <t>JANICE GAWLIK</t>
  </si>
  <si>
    <t>DONALD OLMSTEAD</t>
  </si>
  <si>
    <t>TIMOTHY PHIPPS</t>
  </si>
  <si>
    <t>ROBERT EMIGH</t>
  </si>
  <si>
    <t>NAOMI WAGNER</t>
  </si>
  <si>
    <t>WILLIAM HARTSHORN</t>
  </si>
  <si>
    <t>PATRICIA WILLIAMS</t>
  </si>
  <si>
    <t>JAMES YURISIC</t>
  </si>
  <si>
    <t>VIDIC CATHLEEN</t>
  </si>
  <si>
    <t>THOMAS BISHOP</t>
  </si>
  <si>
    <t>MARGARET BEERS</t>
  </si>
  <si>
    <t>MARY GORDON</t>
  </si>
  <si>
    <t>KEVIN GALLAGHER</t>
  </si>
  <si>
    <t>THOMAS CLAY</t>
  </si>
  <si>
    <t>CHRISTINE MACGREGOR</t>
  </si>
  <si>
    <t>JONATHAN BENETAS</t>
  </si>
  <si>
    <t>JAMES DUDEK</t>
  </si>
  <si>
    <t>MARK CIESIELSKI</t>
  </si>
  <si>
    <t>PAULA SOLEY</t>
  </si>
  <si>
    <t>NANCY MCKEE</t>
  </si>
  <si>
    <t>LORI RANDALL</t>
  </si>
  <si>
    <t>VIDALES VILLA</t>
  </si>
  <si>
    <t>PATRICIA BYRD</t>
  </si>
  <si>
    <t>JAMES FILITTO</t>
  </si>
  <si>
    <t>RONALD DUESENBERRY</t>
  </si>
  <si>
    <t>MARIAN YUROSKY</t>
  </si>
  <si>
    <t>JULIA ROSS</t>
  </si>
  <si>
    <t>NC</t>
  </si>
  <si>
    <t>JACK PARROTT</t>
  </si>
  <si>
    <t>MILLIE PARROTT</t>
  </si>
  <si>
    <t>DAVID BOLFING</t>
  </si>
  <si>
    <t>LESLIE PARK</t>
  </si>
  <si>
    <t>ROBERT BOYLE</t>
  </si>
  <si>
    <t>JAMES MILLER</t>
  </si>
  <si>
    <t>CATHY WURMB</t>
  </si>
  <si>
    <t>WALLACE ANDERSON</t>
  </si>
  <si>
    <t>TIMOTHY GORDON</t>
  </si>
  <si>
    <t>JOHN BRENCHAK</t>
  </si>
  <si>
    <t>MICHELLE MCCORKLE</t>
  </si>
  <si>
    <t>BEEBEE KHODABUKUS</t>
  </si>
  <si>
    <t>LAURIE HURWITZ WHITE</t>
  </si>
  <si>
    <t>NANCY WILSON</t>
  </si>
  <si>
    <t>JOHN HAYS</t>
  </si>
  <si>
    <t>ELIZABETH SYCHAK</t>
  </si>
  <si>
    <t>AMY GIAMMATTEI</t>
  </si>
  <si>
    <t>LORI NELSON</t>
  </si>
  <si>
    <t>JAMES MCDONOUGH</t>
  </si>
  <si>
    <t>BRUCE SHAFFER</t>
  </si>
  <si>
    <t>ANTHONY ROMEO</t>
  </si>
  <si>
    <t>DANIEL ROTHRAUFF</t>
  </si>
  <si>
    <t>TERESA YAROSCHAK</t>
  </si>
  <si>
    <t>NANCY JOHNSON</t>
  </si>
  <si>
    <t>KAREN KUSH</t>
  </si>
  <si>
    <t>RUTH MICHLER</t>
  </si>
  <si>
    <t>CYNDIE SIMMONS</t>
  </si>
  <si>
    <t>SUSAN LARGEN</t>
  </si>
  <si>
    <t>NE</t>
  </si>
  <si>
    <t>KIRBY PASCUS</t>
  </si>
  <si>
    <t>BARBARA STOICA</t>
  </si>
  <si>
    <t>MARY RUCH</t>
  </si>
  <si>
    <t>WILLIAM BROWN</t>
  </si>
  <si>
    <t>RAYLENE MILLER</t>
  </si>
  <si>
    <t>BILLY FONG</t>
  </si>
  <si>
    <t>PAULA ANGELINI</t>
  </si>
  <si>
    <t>GUADALUPE FONG</t>
  </si>
  <si>
    <t>DAVID WOITASZEK</t>
  </si>
  <si>
    <t>ELIZABETH RICHTER</t>
  </si>
  <si>
    <t>GORDON PANEI</t>
  </si>
  <si>
    <t>SHARON LINK</t>
  </si>
  <si>
    <t>BRUCE WICKLINE</t>
  </si>
  <si>
    <t>KAREN HADAWAY</t>
  </si>
  <si>
    <t>PHILIP ANGELINI</t>
  </si>
  <si>
    <t>ROY KIMBROUGH</t>
  </si>
  <si>
    <t>LINDA MIHALKA</t>
  </si>
  <si>
    <t>DEBRA PROTZMAN</t>
  </si>
  <si>
    <t>NORINE LISCHY</t>
  </si>
  <si>
    <t>Aetna MAPD NMO to GMO - 4-1-23+  New Paper</t>
  </si>
  <si>
    <t>LOIS STEPHENS</t>
  </si>
  <si>
    <t>CYNTHIA FEESER</t>
  </si>
  <si>
    <t>KATHLEEN PLOCHARSKI</t>
  </si>
  <si>
    <t>ANITA ADAMS</t>
  </si>
  <si>
    <t>LORI FITZ</t>
  </si>
  <si>
    <t>SUSAN BETTENHAUSEN</t>
  </si>
  <si>
    <t>PETER PRIBILA</t>
  </si>
  <si>
    <t>KENNETH GRUDOWSKI</t>
  </si>
  <si>
    <t>DONNA ROUSSARIE</t>
  </si>
  <si>
    <t>CHIANITA HARRELL</t>
  </si>
  <si>
    <t>KENNY ASHLOCK</t>
  </si>
  <si>
    <t>LUANN MARZULLO</t>
  </si>
  <si>
    <t>ADOLFO GALARZA</t>
  </si>
  <si>
    <t>THERESA CARDIN</t>
  </si>
  <si>
    <t>FELIX SCIULLO</t>
  </si>
  <si>
    <t>REBECCA MANKO</t>
  </si>
  <si>
    <t>SONYA BOOKER</t>
  </si>
  <si>
    <t>SHARYN MCGALLIS</t>
  </si>
  <si>
    <t>RICHARD MARSHALL</t>
  </si>
  <si>
    <t>JAMES BLESSINGTON</t>
  </si>
  <si>
    <t>THOMAS SELLERS</t>
  </si>
  <si>
    <t>KATHLEEN MORAN</t>
  </si>
  <si>
    <t>WILLIAM DOBLER</t>
  </si>
  <si>
    <t>ROXANN ROBINSON</t>
  </si>
  <si>
    <t>SD</t>
  </si>
  <si>
    <t>TRACEY BROCKMAN</t>
  </si>
  <si>
    <t>JAMES MCATEE</t>
  </si>
  <si>
    <t>CHRISTOPHER PICCOLI</t>
  </si>
  <si>
    <t>BARRY RHOADES</t>
  </si>
  <si>
    <t>MARILYN DAVIDSON</t>
  </si>
  <si>
    <t>WILLIAM SAMKO</t>
  </si>
  <si>
    <t>SHARON SAMKO</t>
  </si>
  <si>
    <t>LILLIAN PHELPS</t>
  </si>
  <si>
    <t>PAUL MYRICK</t>
  </si>
  <si>
    <t>LORI BRYNICZKA</t>
  </si>
  <si>
    <t>JEFFREY KRAUSE</t>
  </si>
  <si>
    <t>PATRICIA KRAUSE</t>
  </si>
  <si>
    <t>ANN GORDON</t>
  </si>
  <si>
    <t>MICHAEL BIESCHKE</t>
  </si>
  <si>
    <t>PAULA ROPPO</t>
  </si>
  <si>
    <t>PETER MALONE</t>
  </si>
  <si>
    <t>DIANA BORJON</t>
  </si>
  <si>
    <t>DOLORES BOLDEN</t>
  </si>
  <si>
    <t>MARY HEARN</t>
  </si>
  <si>
    <t>JESUS GUILLEN</t>
  </si>
  <si>
    <t>JOHN ROBERT OSTERKAMP</t>
  </si>
  <si>
    <t>ELIZABETH BRIDGES</t>
  </si>
  <si>
    <t>PAUL WITTMER</t>
  </si>
  <si>
    <t>RACHEL RIEDLER</t>
  </si>
  <si>
    <t>DEBORAH MIHALKO</t>
  </si>
  <si>
    <t>MARK WACHOWICZ</t>
  </si>
  <si>
    <t>THOMAS WELCH</t>
  </si>
  <si>
    <t>DEBORAH CHILENSKY</t>
  </si>
  <si>
    <t>MARK KESSLER</t>
  </si>
  <si>
    <t>MICHAEL BULL</t>
  </si>
  <si>
    <t>KS</t>
  </si>
  <si>
    <t>CYNTHIA KING</t>
  </si>
  <si>
    <t>BRIAN PISOR</t>
  </si>
  <si>
    <t>HEWLETT BROWN</t>
  </si>
  <si>
    <t>SCOTT WALLACH</t>
  </si>
  <si>
    <t>MARTHA BEARDMORE</t>
  </si>
  <si>
    <t>RAYMOND WHALEN</t>
  </si>
  <si>
    <t>MARIBEL JIMENEZ</t>
  </si>
  <si>
    <t>COLLEEN KUHNS</t>
  </si>
  <si>
    <t>THERESA PRINZ</t>
  </si>
  <si>
    <t>JOHN PRINZ</t>
  </si>
  <si>
    <t>CHARLES WOLNI</t>
  </si>
  <si>
    <t>VICTORIA PRIGG</t>
  </si>
  <si>
    <t>PEGGY OBRIEN</t>
  </si>
  <si>
    <t>JIM MCDONALD</t>
  </si>
  <si>
    <t>SANDRA FODSE</t>
  </si>
  <si>
    <t>JEFFREY RAGAZZINI</t>
  </si>
  <si>
    <t>NAOMI SHERIDAN SALMAN</t>
  </si>
  <si>
    <t>RUSSELL WILLIFORD</t>
  </si>
  <si>
    <t>WILFRED FAHRNEY</t>
  </si>
  <si>
    <t>MARGARET JEDRZEJCZAK</t>
  </si>
  <si>
    <t>POLLY NEISER</t>
  </si>
  <si>
    <t>ROGER PHELPS</t>
  </si>
  <si>
    <t>JUDITH RIDDLEBERGER</t>
  </si>
  <si>
    <t>KILEY ORTIZ</t>
  </si>
  <si>
    <t>STEVEN HOMISON</t>
  </si>
  <si>
    <t>LINDA SZYJKO</t>
  </si>
  <si>
    <t>ELENI VETTAS</t>
  </si>
  <si>
    <t>TERESE PINTA</t>
  </si>
  <si>
    <t>LAURALEE BEERMAN</t>
  </si>
  <si>
    <t>SCOTT DOLGE</t>
  </si>
  <si>
    <t>JAMES RAUSCH</t>
  </si>
  <si>
    <t>GLORIA MARSHALL</t>
  </si>
  <si>
    <t>JOHN VLAHOS</t>
  </si>
  <si>
    <t>RONALD MESHENBERG</t>
  </si>
  <si>
    <t>VICKI SKINNER</t>
  </si>
  <si>
    <t>BARBARA ZEJER</t>
  </si>
  <si>
    <t>ELISE CLANCY</t>
  </si>
  <si>
    <t>JAMES CROUT</t>
  </si>
  <si>
    <t>GREGORY PETERSON</t>
  </si>
  <si>
    <t>MARY WEATHERSTONE</t>
  </si>
  <si>
    <t>FREDERICK SICILIANO</t>
  </si>
  <si>
    <t>ALISON SPARKS</t>
  </si>
  <si>
    <t>EDWARD SCHAEFER</t>
  </si>
  <si>
    <t>TIM PRICE</t>
  </si>
  <si>
    <t>KATHERINE MAY</t>
  </si>
  <si>
    <t>PATRICIA SCHAEFER</t>
  </si>
  <si>
    <t>LIZA LACOSTA</t>
  </si>
  <si>
    <t>LENDAYSHA TAYLOR</t>
  </si>
  <si>
    <t>CATHY LEMON</t>
  </si>
  <si>
    <t>UHC MAPD Street payable to upline - 2024 New</t>
  </si>
  <si>
    <t>Per OCT 2025 UHC LOAStmt</t>
  </si>
  <si>
    <t>UHC MA Direct 2024 New Full</t>
  </si>
  <si>
    <t>KEITH MOORE</t>
  </si>
  <si>
    <t>UHC MAPD Street payable to upline- 2024 Pro New</t>
  </si>
  <si>
    <t>UHC MA Direct 2024 New Prorated</t>
  </si>
  <si>
    <t>THOMAS PROFFITT</t>
  </si>
  <si>
    <t>SANDRA WHITT</t>
  </si>
  <si>
    <t>Anthem MA 2025</t>
  </si>
  <si>
    <t>Per Anthem_Elevance HFG RN OCT stmt</t>
  </si>
  <si>
    <t>STEPHEN PERRENOUD</t>
  </si>
  <si>
    <t>WILLIAM EKLOF</t>
  </si>
  <si>
    <t>JEROME HOUSE</t>
  </si>
  <si>
    <t>Cigna MAPD FMO to GA 1-1-19+ - Replacement</t>
  </si>
  <si>
    <t>Per Cigna OCT 2025 RN Stmt</t>
  </si>
  <si>
    <t>WARREN YOUNG</t>
  </si>
  <si>
    <t>Cigna MAPD FMO to GA 1-1-19+ - New</t>
  </si>
  <si>
    <t>DYWANNA CALLOWAY</t>
  </si>
  <si>
    <t>Anthem MA 2023</t>
  </si>
  <si>
    <t>MICHAEL SOLL</t>
  </si>
  <si>
    <t>KRISTIE BERGER</t>
  </si>
  <si>
    <t>SANDRA LYTLE</t>
  </si>
  <si>
    <t>UHC MAPD Street payable to upline PA/CT- 2024 New</t>
  </si>
  <si>
    <t>JANICE PLAISTED</t>
  </si>
  <si>
    <t>UHC MA Direct 2024 New Initial Prorated</t>
  </si>
  <si>
    <t>RICHARD LOWRY</t>
  </si>
  <si>
    <t>SHIRLEY ANDERSON</t>
  </si>
  <si>
    <t>RONALD PLAISTED</t>
  </si>
  <si>
    <t>DAVID BOWLING</t>
  </si>
  <si>
    <t>MELINDA VLAHON</t>
  </si>
  <si>
    <t>DIANA BOLTON</t>
  </si>
  <si>
    <t>GERALD BOND</t>
  </si>
  <si>
    <t>CONSTANCE OBRIEN</t>
  </si>
  <si>
    <t>JAMES MAZANEK</t>
  </si>
  <si>
    <t>UHC MAPD Street payable to upline- 2024 Replace</t>
  </si>
  <si>
    <t>DARLENE BRANDENBURG</t>
  </si>
  <si>
    <t>BEVERLY SHUMAKER</t>
  </si>
  <si>
    <t>TN</t>
  </si>
  <si>
    <t>UHC AARP Med Supp TN Plan F &amp; G</t>
  </si>
  <si>
    <t>Per OCT 2025 UHC AARP Stmt</t>
  </si>
  <si>
    <t>KATHY SHELDON</t>
  </si>
  <si>
    <t>UHC AARP Med Supp PA Area 3 2024- Plan  BC F G internal repl</t>
  </si>
  <si>
    <t>JEAN BRINKMEIER</t>
  </si>
  <si>
    <t>UHC AARP Med Supp IL Area 1- Plan  B C F G internal repl</t>
  </si>
  <si>
    <t>JAMES PALMER</t>
  </si>
  <si>
    <t>UHC AARP Med Supp PA Area 3 2025- Plan  N internal repl</t>
  </si>
  <si>
    <t>JOYCE DOUGHERTY</t>
  </si>
  <si>
    <t>UHC AARP Med Supp PA Area 1 2024- Plan  B F G</t>
  </si>
  <si>
    <t>ELIZABETH REESE</t>
  </si>
  <si>
    <t>UHC AARP Med Supp PA Area 2 2025- Plan  N GI</t>
  </si>
  <si>
    <t>CHRISTOPHER KRYGER</t>
  </si>
  <si>
    <t>UHC AARP Med Supp OR - Plan  N</t>
  </si>
  <si>
    <t>LISA FARQUHAR</t>
  </si>
  <si>
    <t>UHC AARP Med Supp FL Area 4- Plan  B C F G</t>
  </si>
  <si>
    <t>PATRICK HALLINAN</t>
  </si>
  <si>
    <t>UHC AARP Med Supp PA Area 1 2024- Plan  N</t>
  </si>
  <si>
    <t>GARY SCHOENEMAN</t>
  </si>
  <si>
    <t>UHC AARP Med Supp IL Area 1- Plan  B C F G</t>
  </si>
  <si>
    <t>RICHARD GELINAS</t>
  </si>
  <si>
    <t>UHC AARP Med Supp PA Area 1- Plan  B C F G</t>
  </si>
  <si>
    <t>DROR ROM</t>
  </si>
  <si>
    <t>UHC AARP Med Supp MD - Plan  B C D F G</t>
  </si>
  <si>
    <t>MARK ADLER</t>
  </si>
  <si>
    <t>DANIEL WAHL</t>
  </si>
  <si>
    <t>KY</t>
  </si>
  <si>
    <t>UHC AARP Med Supp KY - Plan  B C D F G</t>
  </si>
  <si>
    <t>ANDREW SORRENTINO</t>
  </si>
  <si>
    <t>GERALD O' NEILL</t>
  </si>
  <si>
    <t>LINDA O' NEILL</t>
  </si>
  <si>
    <t>DEBRA STOCK</t>
  </si>
  <si>
    <t>DANIEL PICARD</t>
  </si>
  <si>
    <t>UHC AARP Med Supp PA Area 2- Plan  N</t>
  </si>
  <si>
    <t>REBECCA NICHOLSON</t>
  </si>
  <si>
    <t>ROBERT KURASZ</t>
  </si>
  <si>
    <t>JENNIFER EWING</t>
  </si>
  <si>
    <t>WILLIAM SMIALEK</t>
  </si>
  <si>
    <t>TERESA SMIALEK</t>
  </si>
  <si>
    <t>KIMBERLY HOLLERAN</t>
  </si>
  <si>
    <t>JOSEPH MCMASTER</t>
  </si>
  <si>
    <t>JAMES KARR</t>
  </si>
  <si>
    <t>CHRISTINE TILTZ</t>
  </si>
  <si>
    <t>ANDREA BLUMBERG</t>
  </si>
  <si>
    <t>UHC AARP Med Supp FL Area 1- Plan  B C F G</t>
  </si>
  <si>
    <t>GARY MARTIN</t>
  </si>
  <si>
    <t>NANCY MARTIN</t>
  </si>
  <si>
    <t>SANDRA MONDEK</t>
  </si>
  <si>
    <t>RAYMOND OCHROMOWICZ</t>
  </si>
  <si>
    <t>MATTHEW MONDEK</t>
  </si>
  <si>
    <t>CINDI CLIFFORD</t>
  </si>
  <si>
    <t>UHC AARP Med Supp NJ - Plan  B C D F G</t>
  </si>
  <si>
    <t>THERESE MONGAN</t>
  </si>
  <si>
    <t>WILLIAM MONGAN</t>
  </si>
  <si>
    <t>TRACY COSTANTINO</t>
  </si>
  <si>
    <t>JANICE KERESTLY</t>
  </si>
  <si>
    <t>SGARCIA VELAZQUEZ</t>
  </si>
  <si>
    <t>ALLISON WEBER</t>
  </si>
  <si>
    <t>PETER WEBER</t>
  </si>
  <si>
    <t>ELIZABETH RICE</t>
  </si>
  <si>
    <t>NINA GAINES</t>
  </si>
  <si>
    <t>MARK GAINES</t>
  </si>
  <si>
    <t>KAREN SMITHCHURCHVILLE</t>
  </si>
  <si>
    <t>BARRY LEDERER</t>
  </si>
  <si>
    <t>MATTHEW PHILLIPS</t>
  </si>
  <si>
    <t>RAYMOND KNOBBS</t>
  </si>
  <si>
    <t>UHC AARP Med Supp PA Area 2- Plan  B C F G</t>
  </si>
  <si>
    <t>MIRIAM LUCENTE</t>
  </si>
  <si>
    <t>STEPHEN SHUMAKER</t>
  </si>
  <si>
    <t>DOUGLAS RENKOSIK</t>
  </si>
  <si>
    <t>KATHLEEN RENKOSIK</t>
  </si>
  <si>
    <t>CHRISTOPHER ROLAND</t>
  </si>
  <si>
    <t>UHC AARP Med Supp FL Area 4 - High Ded Plan G</t>
  </si>
  <si>
    <t>HELEN ROLAND</t>
  </si>
  <si>
    <t>JOHN GUTKNECHT</t>
  </si>
  <si>
    <t>KENT SMITH</t>
  </si>
  <si>
    <t>CYNTHIA VANSLAMBROUCK</t>
  </si>
  <si>
    <t>UHC AARP Med Supp CO all plans</t>
  </si>
  <si>
    <t>NANCY RICCHIO</t>
  </si>
  <si>
    <t>UHC AARP Med Supp IN all plans</t>
  </si>
  <si>
    <t>LANE REIDER</t>
  </si>
  <si>
    <t>UHC AARP Med Supp PA Area 3 2024- Plan  BC F G</t>
  </si>
  <si>
    <t>GINA REIDER</t>
  </si>
  <si>
    <t>NEAL NETZEL</t>
  </si>
  <si>
    <t>KEVIN MCCOLE</t>
  </si>
  <si>
    <t>MARYANNE NICKEL</t>
  </si>
  <si>
    <t>UHC AARP Med Supp FL Area 2 2024- Plan  BC F G</t>
  </si>
  <si>
    <t>THOMAS UJIIYE</t>
  </si>
  <si>
    <t>EDWARD TURNER</t>
  </si>
  <si>
    <t>WILLIAM LANTGIM</t>
  </si>
  <si>
    <t>TARYN GOLDSTEIN</t>
  </si>
  <si>
    <t>ANTHONY JASIENSKI</t>
  </si>
  <si>
    <t>00000437692K</t>
  </si>
  <si>
    <t>00000573317I</t>
  </si>
  <si>
    <t>00000736095G</t>
  </si>
  <si>
    <t>00000765622I</t>
  </si>
  <si>
    <t>00000825139K</t>
  </si>
  <si>
    <t>00000845139K</t>
  </si>
  <si>
    <t>00000989823D</t>
  </si>
  <si>
    <t>00001754427K</t>
  </si>
  <si>
    <t>00003971474K</t>
  </si>
  <si>
    <t>00004503213K</t>
  </si>
  <si>
    <t>00004978038K</t>
  </si>
  <si>
    <t>00006506774KPDP</t>
  </si>
  <si>
    <t>00006984078K</t>
  </si>
  <si>
    <t>00007196666K</t>
  </si>
  <si>
    <t>00007233324KPDP</t>
  </si>
  <si>
    <t>00008142916K</t>
  </si>
  <si>
    <t>00008165956K</t>
  </si>
  <si>
    <t>00010420692K</t>
  </si>
  <si>
    <t>00010555812KPDP</t>
  </si>
  <si>
    <t>00010556084KPDP</t>
  </si>
  <si>
    <t>00010948446K</t>
  </si>
  <si>
    <t>00011182221K</t>
  </si>
  <si>
    <t>00011296136K</t>
  </si>
  <si>
    <t>00012003169K</t>
  </si>
  <si>
    <t>00012194653K</t>
  </si>
  <si>
    <t>00012207253K</t>
  </si>
  <si>
    <t>00012224395K</t>
  </si>
  <si>
    <t>00012346272K</t>
  </si>
  <si>
    <t>00012356184KPDP</t>
  </si>
  <si>
    <t>00012874058K</t>
  </si>
  <si>
    <t>00013753697KPDP</t>
  </si>
  <si>
    <t>00014020218K</t>
  </si>
  <si>
    <t>00014109999K</t>
  </si>
  <si>
    <t>00014110972K</t>
  </si>
  <si>
    <t>00014180827K</t>
  </si>
  <si>
    <t>00014298168K</t>
  </si>
  <si>
    <t>00014525232K</t>
  </si>
  <si>
    <t>00014741522K</t>
  </si>
  <si>
    <t>00015083911K</t>
  </si>
  <si>
    <t>00015428762K</t>
  </si>
  <si>
    <t>00015726718K</t>
  </si>
  <si>
    <t>00016432688KPDP</t>
  </si>
  <si>
    <t>00017029001K</t>
  </si>
  <si>
    <t>00017176926K</t>
  </si>
  <si>
    <t>00017560669K</t>
  </si>
  <si>
    <t>00017961123K</t>
  </si>
  <si>
    <t>00018172161K</t>
  </si>
  <si>
    <t>00018253743K</t>
  </si>
  <si>
    <t>00018479446K</t>
  </si>
  <si>
    <t>00018502087KPDP</t>
  </si>
  <si>
    <t>00019033581K</t>
  </si>
  <si>
    <t>00019119410K</t>
  </si>
  <si>
    <t>00019277366K</t>
  </si>
  <si>
    <t>00019277814K</t>
  </si>
  <si>
    <t>00019339311K</t>
  </si>
  <si>
    <t>00019913974K</t>
  </si>
  <si>
    <t>00020182706K</t>
  </si>
  <si>
    <t>00020196522K</t>
  </si>
  <si>
    <t>00020232195K</t>
  </si>
  <si>
    <t>00020315646KPDP</t>
  </si>
  <si>
    <t>00020408476K</t>
  </si>
  <si>
    <t>00020571277K</t>
  </si>
  <si>
    <t>00020882212KPDP</t>
  </si>
  <si>
    <t>00020883877KPDP</t>
  </si>
  <si>
    <t>00021008921K</t>
  </si>
  <si>
    <t>00022247463K</t>
  </si>
  <si>
    <t>00022248100K</t>
  </si>
  <si>
    <t>00022585402KPDP</t>
  </si>
  <si>
    <t>00023998143K</t>
  </si>
  <si>
    <t>00024021738K</t>
  </si>
  <si>
    <t>00024453204K</t>
  </si>
  <si>
    <t>00024458009K</t>
  </si>
  <si>
    <t>00024458012K</t>
  </si>
  <si>
    <t>00024458510K</t>
  </si>
  <si>
    <t>00024459001K</t>
  </si>
  <si>
    <t>00024459524K</t>
  </si>
  <si>
    <t>00024460867K</t>
  </si>
  <si>
    <t>00024461443K</t>
  </si>
  <si>
    <t>00024462128KPDP</t>
  </si>
  <si>
    <t>00024464215K</t>
  </si>
  <si>
    <t>00024465763KPDP</t>
  </si>
  <si>
    <t>00024466262KPDP</t>
  </si>
  <si>
    <t>00024468306K</t>
  </si>
  <si>
    <t>00024469640K</t>
  </si>
  <si>
    <t>00024469805KPDP</t>
  </si>
  <si>
    <t>00024473820K</t>
  </si>
  <si>
    <t>00024473966K</t>
  </si>
  <si>
    <t>00024474555K</t>
  </si>
  <si>
    <t>00024475209K</t>
  </si>
  <si>
    <t>00024476365KPDP</t>
  </si>
  <si>
    <t>00024478150K</t>
  </si>
  <si>
    <t>00024478578K</t>
  </si>
  <si>
    <t>00024479345K</t>
  </si>
  <si>
    <t>00024480021KPDP</t>
  </si>
  <si>
    <t>00024480076K</t>
  </si>
  <si>
    <t>00024480575K</t>
  </si>
  <si>
    <t>00024480631KPDP</t>
  </si>
  <si>
    <t>00024480877KPDP</t>
  </si>
  <si>
    <t>00024481800K</t>
  </si>
  <si>
    <t>00024482604K</t>
  </si>
  <si>
    <t>00024483981KPDP</t>
  </si>
  <si>
    <t>00024484160KPDP</t>
  </si>
  <si>
    <t>00024485092KPDP</t>
  </si>
  <si>
    <t>00024485945K</t>
  </si>
  <si>
    <t>00024486801K</t>
  </si>
  <si>
    <t>00024486887KPDP</t>
  </si>
  <si>
    <t>00024487454K</t>
  </si>
  <si>
    <t>00024488116K</t>
  </si>
  <si>
    <t>00024490231K</t>
  </si>
  <si>
    <t>00024490298K</t>
  </si>
  <si>
    <t>00024491622K</t>
  </si>
  <si>
    <t>00024495315K</t>
  </si>
  <si>
    <t>00024495700K</t>
  </si>
  <si>
    <t>00024498116K</t>
  </si>
  <si>
    <t>00024500744K</t>
  </si>
  <si>
    <t>00024504896K</t>
  </si>
  <si>
    <t>00024505056K</t>
  </si>
  <si>
    <t>00024505232K</t>
  </si>
  <si>
    <t>00024506252K</t>
  </si>
  <si>
    <t>00024506657K</t>
  </si>
  <si>
    <t>00024508788K</t>
  </si>
  <si>
    <t>00024509076K</t>
  </si>
  <si>
    <t>00024512228K</t>
  </si>
  <si>
    <t>00024514186K</t>
  </si>
  <si>
    <t>00024514611KPDP</t>
  </si>
  <si>
    <t>00024516066K</t>
  </si>
  <si>
    <t>00024517338K</t>
  </si>
  <si>
    <t>00024519522K</t>
  </si>
  <si>
    <t>00024519654KPDP</t>
  </si>
  <si>
    <t>00024520544K</t>
  </si>
  <si>
    <t>00024521793KPDP</t>
  </si>
  <si>
    <t>00024522179KPDP</t>
  </si>
  <si>
    <t>00024522540K</t>
  </si>
  <si>
    <t>00024522680K</t>
  </si>
  <si>
    <t>00024523447K</t>
  </si>
  <si>
    <t>00024524991K</t>
  </si>
  <si>
    <t>00024526312K</t>
  </si>
  <si>
    <t>00024526749K</t>
  </si>
  <si>
    <t>00024531889K</t>
  </si>
  <si>
    <t>00024532015KPDP</t>
  </si>
  <si>
    <t>00024534853K</t>
  </si>
  <si>
    <t>00024536758K</t>
  </si>
  <si>
    <t>00024536967K</t>
  </si>
  <si>
    <t>00024537088K</t>
  </si>
  <si>
    <t>00024537780K</t>
  </si>
  <si>
    <t>00024537803K</t>
  </si>
  <si>
    <t>00024538183K</t>
  </si>
  <si>
    <t>00024539816KPDP</t>
  </si>
  <si>
    <t>00024539989KPDP</t>
  </si>
  <si>
    <t>00024540532KPDP</t>
  </si>
  <si>
    <t>00024540870K</t>
  </si>
  <si>
    <t>00024541534K</t>
  </si>
  <si>
    <t>00024542384K</t>
  </si>
  <si>
    <t>00024544057K</t>
  </si>
  <si>
    <t>00024546040K</t>
  </si>
  <si>
    <t>00024548971K</t>
  </si>
  <si>
    <t>00024550260KPDP</t>
  </si>
  <si>
    <t>00024551156KPDP</t>
  </si>
  <si>
    <t>00024551626K</t>
  </si>
  <si>
    <t>00024555785K</t>
  </si>
  <si>
    <t>00024558243KPDP</t>
  </si>
  <si>
    <t>00024560771K</t>
  </si>
  <si>
    <t>00024561007K</t>
  </si>
  <si>
    <t>00024561334KPDP</t>
  </si>
  <si>
    <t>00024562634K</t>
  </si>
  <si>
    <t>00024562876K</t>
  </si>
  <si>
    <t>00024563653KPDP</t>
  </si>
  <si>
    <t>00024564724KPDP</t>
  </si>
  <si>
    <t>00024565859KPDP</t>
  </si>
  <si>
    <t>00024566456K</t>
  </si>
  <si>
    <t>00024566670KPDP</t>
  </si>
  <si>
    <t>00024566859KPDP</t>
  </si>
  <si>
    <t>00024567609K</t>
  </si>
  <si>
    <t>00024567963KPDP</t>
  </si>
  <si>
    <t>00024569416KPDP</t>
  </si>
  <si>
    <t>00024569985K</t>
  </si>
  <si>
    <t>00024571118KPDP</t>
  </si>
  <si>
    <t>00024571909KPDP</t>
  </si>
  <si>
    <t>00024572207K</t>
  </si>
  <si>
    <t>00024572327K</t>
  </si>
  <si>
    <t>00024573433K</t>
  </si>
  <si>
    <t>00024575945K</t>
  </si>
  <si>
    <t>00024576468K</t>
  </si>
  <si>
    <t>00024576659K</t>
  </si>
  <si>
    <t>00024577313K</t>
  </si>
  <si>
    <t>00024577465K</t>
  </si>
  <si>
    <t>00024578407KPDP</t>
  </si>
  <si>
    <t>00024578509K</t>
  </si>
  <si>
    <t>00024580056K</t>
  </si>
  <si>
    <t>00024580361KPDP</t>
  </si>
  <si>
    <t>00024581426K</t>
  </si>
  <si>
    <t>00024582212K</t>
  </si>
  <si>
    <t>00024582757K</t>
  </si>
  <si>
    <t>00024585094KPDP</t>
  </si>
  <si>
    <t>00024585363KPDP</t>
  </si>
  <si>
    <t>00024586467K</t>
  </si>
  <si>
    <t>00024587464KPDP</t>
  </si>
  <si>
    <t>00024588766K</t>
  </si>
  <si>
    <t>00024589974KPDP</t>
  </si>
  <si>
    <t>00024590049KPDP</t>
  </si>
  <si>
    <t>00024590403K</t>
  </si>
  <si>
    <t>00024590409K</t>
  </si>
  <si>
    <t>00024591148KPDP</t>
  </si>
  <si>
    <t>00024594729K</t>
  </si>
  <si>
    <t>00024595734KPDP</t>
  </si>
  <si>
    <t>00024596787K</t>
  </si>
  <si>
    <t>00024598277K</t>
  </si>
  <si>
    <t>00024599880KPDP</t>
  </si>
  <si>
    <t>00024600956KPDP</t>
  </si>
  <si>
    <t>00024601500KPDP</t>
  </si>
  <si>
    <t>00024604842K</t>
  </si>
  <si>
    <t>00024605281K</t>
  </si>
  <si>
    <t>00024608717KPDP</t>
  </si>
  <si>
    <t>00024610987K</t>
  </si>
  <si>
    <t>00024613645KPDP</t>
  </si>
  <si>
    <t>00024614789KPDP</t>
  </si>
  <si>
    <t>00024616017K</t>
  </si>
  <si>
    <t>00024616581K</t>
  </si>
  <si>
    <t>00024616734K</t>
  </si>
  <si>
    <t>00024618765KPDP</t>
  </si>
  <si>
    <t>00024621362K</t>
  </si>
  <si>
    <t>00024621669KPDP</t>
  </si>
  <si>
    <t>00024621917K</t>
  </si>
  <si>
    <t>00024623259KPDP</t>
  </si>
  <si>
    <t>00024625379KPDP</t>
  </si>
  <si>
    <t>00024625821KPDP</t>
  </si>
  <si>
    <t>00024627156K</t>
  </si>
  <si>
    <t>00024627616KPDP</t>
  </si>
  <si>
    <t>00024627920KPDP</t>
  </si>
  <si>
    <t>00024628291KPDP</t>
  </si>
  <si>
    <t>00024629029K</t>
  </si>
  <si>
    <t>00024630110K</t>
  </si>
  <si>
    <t>00024630729KPDP</t>
  </si>
  <si>
    <t>00024631579KPDP</t>
  </si>
  <si>
    <t>00024631636K</t>
  </si>
  <si>
    <t>00024633522K</t>
  </si>
  <si>
    <t>00024637214KPDP</t>
  </si>
  <si>
    <t>00024637755K</t>
  </si>
  <si>
    <t>00024637995KPDP</t>
  </si>
  <si>
    <t>00024639182K</t>
  </si>
  <si>
    <t>00024639536K</t>
  </si>
  <si>
    <t>00024641788K</t>
  </si>
  <si>
    <t>00024642347KPDP</t>
  </si>
  <si>
    <t>00024642381KPDP</t>
  </si>
  <si>
    <t>00024642790KPDP</t>
  </si>
  <si>
    <t>00024643473KPDP</t>
  </si>
  <si>
    <t>00024645327KPDP</t>
  </si>
  <si>
    <t>00024645637K</t>
  </si>
  <si>
    <t>00024645885KPDP</t>
  </si>
  <si>
    <t>00024646124K</t>
  </si>
  <si>
    <t>00024647596KPDP</t>
  </si>
  <si>
    <t>00024649182K</t>
  </si>
  <si>
    <t>00024652735K</t>
  </si>
  <si>
    <t>00024654020K</t>
  </si>
  <si>
    <t>00024654109K</t>
  </si>
  <si>
    <t>00024654424K</t>
  </si>
  <si>
    <t>00024654868K</t>
  </si>
  <si>
    <t>00024657069KPDP</t>
  </si>
  <si>
    <t>00024658056KPDP</t>
  </si>
  <si>
    <t>00024659109K</t>
  </si>
  <si>
    <t>00024661899K</t>
  </si>
  <si>
    <t>00024662630K</t>
  </si>
  <si>
    <t>00024662650K</t>
  </si>
  <si>
    <t>00024663652K</t>
  </si>
  <si>
    <t>00024664095K</t>
  </si>
  <si>
    <t>00024669704K</t>
  </si>
  <si>
    <t>00024670822K</t>
  </si>
  <si>
    <t>00024670968K</t>
  </si>
  <si>
    <t>00024671269K</t>
  </si>
  <si>
    <t>00024672069K</t>
  </si>
  <si>
    <t>00024672561K</t>
  </si>
  <si>
    <t>00024674419K</t>
  </si>
  <si>
    <t>00024675187K</t>
  </si>
  <si>
    <t>00024676294K</t>
  </si>
  <si>
    <t>00024680423K</t>
  </si>
  <si>
    <t>00024681663K</t>
  </si>
  <si>
    <t>A02883885</t>
  </si>
  <si>
    <t>A04361660</t>
  </si>
  <si>
    <t>A04361715</t>
  </si>
  <si>
    <t>00000076874F</t>
  </si>
  <si>
    <t>00001672119K</t>
  </si>
  <si>
    <t>00010066661K</t>
  </si>
  <si>
    <t>00011519472K</t>
  </si>
  <si>
    <t>00013131759K</t>
  </si>
  <si>
    <t>00016845150K</t>
  </si>
  <si>
    <t>00017505325K</t>
  </si>
  <si>
    <t>00018671925K</t>
  </si>
  <si>
    <t>00020054580K</t>
  </si>
  <si>
    <t>00020195670K</t>
  </si>
  <si>
    <t>00020751148K</t>
  </si>
  <si>
    <t>00021641743K</t>
  </si>
  <si>
    <t>00021686716K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</si>
  <si>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</si>
  <si>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</si>
  <si>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</si>
  <si>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</si>
  <si>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</si>
  <si>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</si>
  <si>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</si>
  <si>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</si>
  <si>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00021819613K</t>
  </si>
  <si>
    <t>00021836561K</t>
  </si>
  <si>
    <t>00021836597K</t>
  </si>
  <si>
    <t>00021852153K</t>
  </si>
  <si>
    <t>00021853327K</t>
  </si>
  <si>
    <t>00021853815K</t>
  </si>
  <si>
    <t>00021859258K</t>
  </si>
  <si>
    <t>00021865984K</t>
  </si>
  <si>
    <t>00021876313K</t>
  </si>
  <si>
    <t>00021876763K</t>
  </si>
  <si>
    <t>00021878864K</t>
  </si>
  <si>
    <t>00021881964K</t>
  </si>
  <si>
    <t>00021882434K</t>
  </si>
  <si>
    <t>00021883797K</t>
  </si>
  <si>
    <t>00021884516K</t>
  </si>
  <si>
    <t>00021892187K</t>
  </si>
  <si>
    <t>00021895596K</t>
  </si>
  <si>
    <t>00021895977K</t>
  </si>
  <si>
    <t>00021906634K</t>
  </si>
  <si>
    <t>00021908647K</t>
  </si>
  <si>
    <t>00021915889K</t>
  </si>
  <si>
    <t>00021917176K</t>
  </si>
  <si>
    <t>00021918216K</t>
  </si>
  <si>
    <t>00021920479K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</si>
  <si>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</si>
  <si>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</si>
  <si>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</si>
  <si>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</si>
  <si>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</si>
  <si>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</si>
  <si>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</si>
  <si>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</si>
  <si>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</si>
  <si>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</si>
  <si>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00021969632K</t>
  </si>
  <si>
    <t>00021970944K</t>
  </si>
  <si>
    <t>00021973818K</t>
  </si>
  <si>
    <t>00021973839K</t>
  </si>
  <si>
    <t>00021976197K</t>
  </si>
  <si>
    <t>00021996169K</t>
  </si>
  <si>
    <t>00021999707K</t>
  </si>
  <si>
    <t>00022004915K</t>
  </si>
  <si>
    <t>00022011876K</t>
  </si>
  <si>
    <t>00022014220K</t>
  </si>
  <si>
    <t>00022021737K</t>
  </si>
  <si>
    <t>00022023339K</t>
  </si>
  <si>
    <t>00022025150K</t>
  </si>
  <si>
    <t>00022026537K</t>
  </si>
  <si>
    <t>00022031158K</t>
  </si>
  <si>
    <t>00022032935K</t>
  </si>
  <si>
    <t>00022033067K</t>
  </si>
  <si>
    <t>00022033172K</t>
  </si>
  <si>
    <t>00022035242K</t>
  </si>
  <si>
    <t>00022040894K</t>
  </si>
  <si>
    <t>00022049020K</t>
  </si>
  <si>
    <t>00022052067K</t>
  </si>
  <si>
    <t>00022063091K</t>
  </si>
  <si>
    <t>00022063543K</t>
  </si>
  <si>
    <t>00022070044K</t>
  </si>
  <si>
    <t>00022074715K</t>
  </si>
  <si>
    <t>00022077041K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</si>
  <si>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</si>
  <si>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</si>
  <si>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</si>
  <si>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</si>
  <si>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</si>
  <si>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</si>
  <si>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</si>
  <si>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</si>
  <si>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</si>
  <si>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</si>
  <si>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00022094729K</t>
  </si>
  <si>
    <t>00022094985K</t>
  </si>
  <si>
    <t>00022094990K</t>
  </si>
  <si>
    <t>00022095955K</t>
  </si>
  <si>
    <t>00022096948K</t>
  </si>
  <si>
    <t>00022097947K</t>
  </si>
  <si>
    <t>00022106958K</t>
  </si>
  <si>
    <t>00022107554K</t>
  </si>
  <si>
    <t>00022112017K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</si>
  <si>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</si>
  <si>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</si>
  <si>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</si>
  <si>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</si>
  <si>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</si>
  <si>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</si>
  <si>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</si>
  <si>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</si>
  <si>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</si>
  <si>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</si>
  <si>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</si>
  <si>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</si>
  <si>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</si>
  <si>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</si>
  <si>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</si>
  <si>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</si>
  <si>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</si>
  <si>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00022517390K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</si>
  <si>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</si>
  <si>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</si>
  <si>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</si>
  <si>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</si>
  <si>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</si>
  <si>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</si>
  <si>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</si>
  <si>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</si>
  <si>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</si>
  <si>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</si>
  <si>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</si>
  <si>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</si>
  <si>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140W10931</t>
  </si>
  <si>
    <t>283W17578</t>
  </si>
  <si>
    <t>352W10665</t>
  </si>
  <si>
    <t>614W13756</t>
  </si>
  <si>
    <t>829W21544</t>
  </si>
  <si>
    <t>948W21216</t>
  </si>
  <si>
    <t>A02824541</t>
  </si>
  <si>
    <t>A03722685</t>
  </si>
  <si>
    <t>A03755145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</si>
  <si>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</si>
  <si>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</si>
  <si>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</si>
  <si>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</si>
  <si>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</si>
  <si>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</si>
  <si>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</si>
  <si>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</si>
  <si>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</si>
  <si>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</si>
  <si>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</si>
  <si>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</si>
  <si>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</si>
  <si>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</si>
  <si>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</si>
  <si>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</si>
  <si>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A04115541</t>
  </si>
  <si>
    <t>A04120363</t>
  </si>
  <si>
    <t>A04125735</t>
  </si>
  <si>
    <t>A04127140</t>
  </si>
  <si>
    <t>A04127176</t>
  </si>
  <si>
    <t>A04127325</t>
  </si>
  <si>
    <t>A04130550</t>
  </si>
  <si>
    <t>A04134476</t>
  </si>
  <si>
    <t>A04135901</t>
  </si>
  <si>
    <t>A04136148</t>
  </si>
  <si>
    <t>A04136338</t>
  </si>
  <si>
    <t>A04137009</t>
  </si>
  <si>
    <t>A04137015</t>
  </si>
  <si>
    <t>A04137342</t>
  </si>
  <si>
    <t>A04137828</t>
  </si>
  <si>
    <t>A04139611</t>
  </si>
  <si>
    <t>A04141002</t>
  </si>
  <si>
    <t>A04141096</t>
  </si>
  <si>
    <t>A04142465</t>
  </si>
  <si>
    <t>A04145915</t>
  </si>
  <si>
    <t>A04148386</t>
  </si>
  <si>
    <t>A04149761</t>
  </si>
  <si>
    <t>A04150482</t>
  </si>
  <si>
    <t>A04150490</t>
  </si>
  <si>
    <t>A04150520</t>
  </si>
  <si>
    <t>A04152855</t>
  </si>
  <si>
    <t>A04155252</t>
  </si>
  <si>
    <t>A04156119</t>
  </si>
  <si>
    <t>A04159973</t>
  </si>
  <si>
    <t>A04160389</t>
  </si>
  <si>
    <t>A04161751</t>
  </si>
  <si>
    <t>A04162708</t>
  </si>
  <si>
    <t>A04162844</t>
  </si>
  <si>
    <t>A04163727</t>
  </si>
  <si>
    <t>A04164004</t>
  </si>
  <si>
    <t>A04164064</t>
  </si>
  <si>
    <t>A04164556</t>
  </si>
  <si>
    <t>A04167296</t>
  </si>
  <si>
    <t>A04167351</t>
  </si>
  <si>
    <t>A04167519</t>
  </si>
  <si>
    <t>A04168420</t>
  </si>
  <si>
    <t>A04169115</t>
  </si>
  <si>
    <t>A04172708</t>
  </si>
  <si>
    <t>A04176860</t>
  </si>
  <si>
    <t>A04176992</t>
  </si>
  <si>
    <t>A04178117</t>
  </si>
  <si>
    <t>A04182320</t>
  </si>
  <si>
    <t>A04185404</t>
  </si>
  <si>
    <t>A04186207</t>
  </si>
  <si>
    <t>A04190340</t>
  </si>
  <si>
    <t>A04191720</t>
  </si>
  <si>
    <t>A04194279</t>
  </si>
  <si>
    <t>A04205457</t>
  </si>
  <si>
    <t>Aetna MAPD OVR 2025</t>
  </si>
  <si>
    <t>Anthem MAPD 2025 OVR</t>
  </si>
  <si>
    <t>Cigna MAPD 2025 Ovr</t>
  </si>
  <si>
    <t>Humana MAPD OVR 2025</t>
  </si>
  <si>
    <t>Humana MAPD NATIONAL 2024!</t>
  </si>
  <si>
    <t>Humana PDP 2025!</t>
  </si>
  <si>
    <t>UHC AARP MS IL Area 1 - Plan B C F G</t>
  </si>
  <si>
    <t>UHC AARP MS IL Area 1- Plan B C F G(90%)</t>
  </si>
  <si>
    <t>UHC AARP MS FL Area 1- Plan B C F G</t>
  </si>
  <si>
    <t>UHC AARP MS FL Area 2 2024- Plan B C F G</t>
  </si>
  <si>
    <t>UHC AARP MS FL Area 4 2024 High Ded G</t>
  </si>
  <si>
    <t>UHC AARP MS FL Area 4- Plan B C F G</t>
  </si>
  <si>
    <t>UHC AARP Med Supp 2025+ IN All Plans</t>
  </si>
  <si>
    <t>UHC AARP MS KY - Plan B C D F G</t>
  </si>
  <si>
    <t>UHC AARP MS MD - Plan B C D F G</t>
  </si>
  <si>
    <t>UHC AARP MS NJ - Plan B C D F G</t>
  </si>
  <si>
    <t>UHC AARP MS PA Area 3- Plan N</t>
  </si>
  <si>
    <t>UHC AARP MS PA Area 1 2024- Plan B F G</t>
  </si>
  <si>
    <t>UHC AARP MS PA Area 1 2024- Plan N</t>
  </si>
  <si>
    <t>UHC AARP MS PA Area 1- Plan B C F G 2024</t>
  </si>
  <si>
    <t>UHC AARP MS PA Area 2- Plan N</t>
  </si>
  <si>
    <t>UHC AARP MS PA Area 2- Plan B C F G</t>
  </si>
  <si>
    <t>UHC AARP MS PA Area 3 2024- Plan BC F G</t>
  </si>
  <si>
    <t>UHC AARP MS PA Area 3 2024- Plan BC F G(90%)</t>
  </si>
  <si>
    <t>UHC MAPD Ovr 2025</t>
  </si>
  <si>
    <t>UHC MAPD Nat 2024!</t>
  </si>
  <si>
    <t>UHC MAPD CT, PA, DC 2024!</t>
  </si>
  <si>
    <t>UHC 2025</t>
  </si>
  <si>
    <t>[%/$=306][prorate=1/12]</t>
  </si>
  <si>
    <t>[%/$=345][prorate=1/12]</t>
  </si>
  <si>
    <t>[%/$=626]</t>
  </si>
  <si>
    <t>Main  Line Benefits</t>
  </si>
  <si>
    <t>9254978N</t>
  </si>
  <si>
    <t>UHC AARP MS CO all plans</t>
  </si>
  <si>
    <t>00014898474K</t>
  </si>
  <si>
    <t>00017904229K</t>
  </si>
  <si>
    <t>00019933734K</t>
  </si>
  <si>
    <t>00024118388K</t>
  </si>
  <si>
    <t>00024166424K</t>
  </si>
  <si>
    <t>00024251541K</t>
  </si>
  <si>
    <t>00024263981K</t>
  </si>
  <si>
    <t>00024267849K</t>
  </si>
  <si>
    <t>00024308702K</t>
  </si>
  <si>
    <t>00024245755KPDP</t>
  </si>
  <si>
    <t>00022389298K</t>
  </si>
  <si>
    <t>00012268041K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</si>
</sst>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164" fontId="0" fillId="33" borderId="0" xfId="0" applyNumberFormat="1" applyFill="1"/>
    <xf numFmtId="0" fontId="0" fillId="34" borderId="0" xfId="0" applyFill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1" fontId="14" fillId="33" borderId="0" xfId="0" applyNumberFormat="1" applyFont="1" applyFill="1" applyAlignment="1">
      <alignment horizontal="left"/>
    </xf>
    <xf numFmtId="0" fontId="14" fillId="33" borderId="0" xfId="0" applyFont="1" applyFill="1"/>
    <xf numFmtId="14" fontId="14" fillId="33" borderId="0" xfId="0" applyNumberFormat="1" applyFont="1" applyFill="1"/>
    <xf numFmtId="164" fontId="14" fillId="33" borderId="0" xfId="0" applyNumberFormat="1" applyFont="1" applyFill="1"/>
    <xf numFmtId="1" fontId="18" fillId="33" borderId="0" xfId="0" applyNumberFormat="1" applyFont="1" applyFill="1" applyAlignment="1">
      <alignment horizontal="left"/>
    </xf>
    <xf numFmtId="0" fontId="18" fillId="33" borderId="0" xfId="0" applyFont="1" applyFill="1"/>
    <xf numFmtId="14" fontId="18" fillId="33" borderId="0" xfId="0" applyNumberFormat="1" applyFont="1" applyFill="1"/>
    <xf numFmtId="164" fontId="18" fillId="33" borderId="0" xfId="0" applyNumberFormat="1" applyFont="1" applyFill="1"/>
    <xf numFmtId="1" fontId="0" fillId="35" borderId="0" xfId="0" applyNumberFormat="1" applyFill="1" applyAlignment="1">
      <alignment horizontal="left"/>
    </xf>
    <xf numFmtId="0" fontId="0" fillId="35" borderId="0" xfId="0" applyFill="1"/>
    <xf numFmtId="14" fontId="0" fillId="35" borderId="0" xfId="0" applyNumberFormat="1" applyFill="1"/>
    <xf numFmtId="164" fontId="0" fillId="35" borderId="0" xfId="0" applyNumberFormat="1" applyFill="1"/>
    <xf numFmtId="10" fontId="0" fillId="35" borderId="0" xfId="0" applyNumberFormat="1" applyFill="1"/>
    <xf numFmtId="2" fontId="0" fillId="0" borderId="0" xfId="0" applyNumberFormat="1"/>
    <xf numFmtId="0" fontId="0" fillId="35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10D9-8AAF-4091-9BD7-45E0872CFA12}">
  <dimension ref="A1:AL960"/>
  <sheetViews>
    <sheetView topLeftCell="A274" workbookViewId="0">
      <selection activeCell="A294" sqref="A294:XFD294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9.7109375" bestFit="1" customWidth="1"/>
    <col min="10" max="10" width="25.71093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85546875" bestFit="1" customWidth="1"/>
    <col min="18" max="18" width="4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45980</v>
      </c>
      <c r="B2" s="1">
        <v>45980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5969331</v>
      </c>
    </row>
    <row r="3" spans="1:38" x14ac:dyDescent="0.25">
      <c r="A3" s="1">
        <v>45980</v>
      </c>
      <c r="B3" s="1">
        <v>45980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46023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5969547</v>
      </c>
    </row>
    <row r="4" spans="1:38" x14ac:dyDescent="0.25">
      <c r="A4" s="1">
        <v>45980</v>
      </c>
      <c r="B4" s="1">
        <v>45980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55</v>
      </c>
      <c r="O4" t="s">
        <v>60</v>
      </c>
      <c r="P4" t="s">
        <v>61</v>
      </c>
      <c r="Q4" t="s">
        <v>49</v>
      </c>
      <c r="R4" t="s">
        <v>50</v>
      </c>
      <c r="S4" s="1">
        <v>46023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5969548</v>
      </c>
    </row>
    <row r="5" spans="1:38" x14ac:dyDescent="0.25">
      <c r="A5" s="1">
        <v>45980</v>
      </c>
      <c r="B5" s="1">
        <v>45980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55</v>
      </c>
      <c r="O5" t="s">
        <v>56</v>
      </c>
      <c r="P5" t="s">
        <v>57</v>
      </c>
      <c r="Q5" t="s">
        <v>49</v>
      </c>
      <c r="R5" t="s">
        <v>50</v>
      </c>
      <c r="S5" s="1">
        <v>46023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5969549</v>
      </c>
    </row>
    <row r="6" spans="1:38" x14ac:dyDescent="0.25">
      <c r="A6" s="1">
        <v>45980</v>
      </c>
      <c r="B6" s="1">
        <v>45980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66</v>
      </c>
      <c r="O6" t="s">
        <v>67</v>
      </c>
      <c r="P6" t="s">
        <v>68</v>
      </c>
      <c r="Q6" t="s">
        <v>49</v>
      </c>
      <c r="R6" t="s">
        <v>69</v>
      </c>
      <c r="S6" s="1">
        <v>45992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5969538</v>
      </c>
    </row>
    <row r="7" spans="1:38" x14ac:dyDescent="0.25">
      <c r="A7" s="1">
        <v>45980</v>
      </c>
      <c r="B7" s="1">
        <v>45980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72</v>
      </c>
      <c r="O7" t="s">
        <v>73</v>
      </c>
      <c r="P7" t="s">
        <v>74</v>
      </c>
      <c r="Q7" t="s">
        <v>49</v>
      </c>
      <c r="R7" t="s">
        <v>50</v>
      </c>
      <c r="S7" s="1">
        <v>46023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5969550</v>
      </c>
    </row>
    <row r="8" spans="1:38" x14ac:dyDescent="0.25">
      <c r="A8" s="1">
        <v>45980</v>
      </c>
      <c r="B8" s="1">
        <v>45980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75</v>
      </c>
      <c r="J8" t="s">
        <v>76</v>
      </c>
      <c r="M8" t="s">
        <v>66</v>
      </c>
      <c r="O8" t="s">
        <v>77</v>
      </c>
      <c r="P8" t="s">
        <v>78</v>
      </c>
      <c r="Q8" t="s">
        <v>49</v>
      </c>
      <c r="R8" t="s">
        <v>50</v>
      </c>
      <c r="S8" s="1">
        <v>46023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5969551</v>
      </c>
    </row>
    <row r="9" spans="1:38" x14ac:dyDescent="0.25">
      <c r="A9" s="1">
        <v>45980</v>
      </c>
      <c r="B9" s="1">
        <v>45980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55</v>
      </c>
      <c r="O9" t="s">
        <v>81</v>
      </c>
      <c r="P9" t="s">
        <v>82</v>
      </c>
      <c r="Q9" t="s">
        <v>49</v>
      </c>
      <c r="R9" t="s">
        <v>50</v>
      </c>
      <c r="S9" s="1">
        <v>46023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5969552</v>
      </c>
    </row>
    <row r="10" spans="1:38" x14ac:dyDescent="0.25">
      <c r="A10" s="1">
        <v>45980</v>
      </c>
      <c r="B10" s="1">
        <v>45980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83</v>
      </c>
      <c r="J10" t="s">
        <v>84</v>
      </c>
      <c r="M10" t="s">
        <v>55</v>
      </c>
      <c r="O10" t="s">
        <v>85</v>
      </c>
      <c r="P10" t="s">
        <v>86</v>
      </c>
      <c r="Q10" t="s">
        <v>49</v>
      </c>
      <c r="R10" t="s">
        <v>50</v>
      </c>
      <c r="S10" s="1">
        <v>46023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5969553</v>
      </c>
    </row>
    <row r="11" spans="1:38" x14ac:dyDescent="0.25">
      <c r="A11" s="1">
        <v>45980</v>
      </c>
      <c r="B11" s="1">
        <v>45980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87</v>
      </c>
      <c r="J11" t="s">
        <v>88</v>
      </c>
      <c r="M11" t="s">
        <v>89</v>
      </c>
      <c r="O11" t="s">
        <v>90</v>
      </c>
      <c r="P11" t="s">
        <v>91</v>
      </c>
      <c r="Q11" t="s">
        <v>49</v>
      </c>
      <c r="R11" t="s">
        <v>50</v>
      </c>
      <c r="S11" s="1">
        <v>46023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5969554</v>
      </c>
    </row>
    <row r="12" spans="1:38" x14ac:dyDescent="0.25">
      <c r="A12" s="1">
        <v>45980</v>
      </c>
      <c r="B12" s="1">
        <v>45980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93</v>
      </c>
      <c r="M12" t="s">
        <v>46</v>
      </c>
      <c r="O12" t="s">
        <v>81</v>
      </c>
      <c r="P12" t="s">
        <v>82</v>
      </c>
      <c r="Q12" t="s">
        <v>49</v>
      </c>
      <c r="R12" t="s">
        <v>50</v>
      </c>
      <c r="S12" s="1">
        <v>46023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5969555</v>
      </c>
    </row>
    <row r="13" spans="1:38" x14ac:dyDescent="0.25">
      <c r="A13" s="1">
        <v>45980</v>
      </c>
      <c r="B13" s="1">
        <v>45980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94</v>
      </c>
      <c r="J13" t="s">
        <v>95</v>
      </c>
      <c r="M13" t="s">
        <v>55</v>
      </c>
      <c r="O13" t="s">
        <v>96</v>
      </c>
      <c r="P13" t="s">
        <v>97</v>
      </c>
      <c r="Q13" t="s">
        <v>49</v>
      </c>
      <c r="R13" t="s">
        <v>98</v>
      </c>
      <c r="S13" s="1">
        <v>46023</v>
      </c>
      <c r="U13" t="s">
        <v>51</v>
      </c>
      <c r="X13" t="s">
        <v>52</v>
      </c>
      <c r="Y13" s="2">
        <v>0</v>
      </c>
      <c r="Z13" s="2">
        <v>15</v>
      </c>
      <c r="AA13">
        <v>1</v>
      </c>
      <c r="AB13" s="3">
        <v>1</v>
      </c>
      <c r="AC13" s="2">
        <v>15</v>
      </c>
      <c r="AD13" s="3">
        <v>0</v>
      </c>
      <c r="AE13" s="2">
        <v>0</v>
      </c>
      <c r="AF13" s="2">
        <v>15</v>
      </c>
      <c r="AK13">
        <v>5969463</v>
      </c>
    </row>
    <row r="14" spans="1:38" x14ac:dyDescent="0.25">
      <c r="A14" s="1">
        <v>45980</v>
      </c>
      <c r="B14" s="1">
        <v>45980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99</v>
      </c>
      <c r="J14" t="s">
        <v>100</v>
      </c>
      <c r="M14" t="s">
        <v>55</v>
      </c>
      <c r="O14" t="s">
        <v>101</v>
      </c>
      <c r="P14" t="s">
        <v>102</v>
      </c>
      <c r="Q14" t="s">
        <v>49</v>
      </c>
      <c r="R14" t="s">
        <v>50</v>
      </c>
      <c r="S14" s="1">
        <v>46023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5969556</v>
      </c>
    </row>
    <row r="15" spans="1:38" x14ac:dyDescent="0.25">
      <c r="A15" s="1">
        <v>45980</v>
      </c>
      <c r="B15" s="1">
        <v>45980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103</v>
      </c>
      <c r="J15" t="s">
        <v>104</v>
      </c>
      <c r="M15" t="s">
        <v>55</v>
      </c>
      <c r="O15" t="s">
        <v>85</v>
      </c>
      <c r="P15" t="s">
        <v>86</v>
      </c>
      <c r="Q15" t="s">
        <v>49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5969557</v>
      </c>
    </row>
    <row r="16" spans="1:38" x14ac:dyDescent="0.25">
      <c r="A16" s="1">
        <v>45980</v>
      </c>
      <c r="B16" s="1">
        <v>45980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105</v>
      </c>
      <c r="J16" t="s">
        <v>106</v>
      </c>
      <c r="M16" t="s">
        <v>72</v>
      </c>
      <c r="O16" t="s">
        <v>73</v>
      </c>
      <c r="P16" t="s">
        <v>74</v>
      </c>
      <c r="Q16" t="s">
        <v>49</v>
      </c>
      <c r="R16" t="s">
        <v>98</v>
      </c>
      <c r="S16" s="1">
        <v>46023</v>
      </c>
      <c r="U16" t="s">
        <v>51</v>
      </c>
      <c r="X16" t="s">
        <v>52</v>
      </c>
      <c r="Y16" s="2">
        <v>0</v>
      </c>
      <c r="Z16" s="2">
        <v>15</v>
      </c>
      <c r="AA16">
        <v>1</v>
      </c>
      <c r="AB16" s="3">
        <v>1</v>
      </c>
      <c r="AC16" s="2">
        <v>15</v>
      </c>
      <c r="AD16" s="3">
        <v>0</v>
      </c>
      <c r="AE16" s="2">
        <v>0</v>
      </c>
      <c r="AF16" s="2">
        <v>15</v>
      </c>
      <c r="AK16">
        <v>5969464</v>
      </c>
    </row>
    <row r="17" spans="1:37" x14ac:dyDescent="0.25">
      <c r="A17" s="1">
        <v>45980</v>
      </c>
      <c r="B17" s="1">
        <v>45980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107</v>
      </c>
      <c r="J17" t="s">
        <v>108</v>
      </c>
      <c r="M17" t="s">
        <v>46</v>
      </c>
      <c r="O17" t="s">
        <v>47</v>
      </c>
      <c r="P17" t="s">
        <v>48</v>
      </c>
      <c r="Q17" t="s">
        <v>49</v>
      </c>
      <c r="R17" t="s">
        <v>50</v>
      </c>
      <c r="S17" s="1">
        <v>46023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5969335</v>
      </c>
    </row>
    <row r="18" spans="1:37" x14ac:dyDescent="0.25">
      <c r="A18" s="1">
        <v>45980</v>
      </c>
      <c r="B18" s="1">
        <v>45980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109</v>
      </c>
      <c r="J18" t="s">
        <v>110</v>
      </c>
      <c r="M18" t="s">
        <v>55</v>
      </c>
      <c r="O18" t="s">
        <v>56</v>
      </c>
      <c r="P18" t="s">
        <v>57</v>
      </c>
      <c r="Q18" t="s">
        <v>49</v>
      </c>
      <c r="R18" t="s">
        <v>50</v>
      </c>
      <c r="S18" s="1">
        <v>46023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5969558</v>
      </c>
    </row>
    <row r="19" spans="1:37" x14ac:dyDescent="0.25">
      <c r="A19" s="1">
        <v>45980</v>
      </c>
      <c r="B19" s="1">
        <v>45980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111</v>
      </c>
      <c r="J19" t="s">
        <v>112</v>
      </c>
      <c r="M19" t="s">
        <v>55</v>
      </c>
      <c r="O19" t="s">
        <v>113</v>
      </c>
      <c r="P19" t="s">
        <v>114</v>
      </c>
      <c r="Q19" t="s">
        <v>49</v>
      </c>
      <c r="R19" t="s">
        <v>50</v>
      </c>
      <c r="S19" s="1">
        <v>46023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5969559</v>
      </c>
    </row>
    <row r="20" spans="1:37" x14ac:dyDescent="0.25">
      <c r="A20" s="1">
        <v>45980</v>
      </c>
      <c r="B20" s="1">
        <v>45980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115</v>
      </c>
      <c r="J20" t="s">
        <v>116</v>
      </c>
      <c r="M20" t="s">
        <v>55</v>
      </c>
      <c r="O20" t="s">
        <v>117</v>
      </c>
      <c r="P20" t="s">
        <v>118</v>
      </c>
      <c r="Q20" t="s">
        <v>49</v>
      </c>
      <c r="R20" t="s">
        <v>98</v>
      </c>
      <c r="S20" s="1">
        <v>46023</v>
      </c>
      <c r="U20" t="s">
        <v>51</v>
      </c>
      <c r="X20" t="s">
        <v>52</v>
      </c>
      <c r="Y20" s="2">
        <v>0</v>
      </c>
      <c r="Z20" s="2">
        <v>15</v>
      </c>
      <c r="AA20">
        <v>1</v>
      </c>
      <c r="AB20" s="3">
        <v>1</v>
      </c>
      <c r="AC20" s="2">
        <v>15</v>
      </c>
      <c r="AD20" s="3">
        <v>0</v>
      </c>
      <c r="AE20" s="2">
        <v>0</v>
      </c>
      <c r="AF20" s="2">
        <v>15</v>
      </c>
      <c r="AK20">
        <v>5969465</v>
      </c>
    </row>
    <row r="21" spans="1:37" x14ac:dyDescent="0.25">
      <c r="A21" s="1">
        <v>45980</v>
      </c>
      <c r="B21" s="1">
        <v>45980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119</v>
      </c>
      <c r="J21" t="s">
        <v>120</v>
      </c>
      <c r="M21" t="s">
        <v>55</v>
      </c>
      <c r="O21" t="s">
        <v>117</v>
      </c>
      <c r="P21" t="s">
        <v>118</v>
      </c>
      <c r="Q21" t="s">
        <v>49</v>
      </c>
      <c r="R21" t="s">
        <v>98</v>
      </c>
      <c r="S21" s="1">
        <v>46023</v>
      </c>
      <c r="U21" t="s">
        <v>51</v>
      </c>
      <c r="X21" t="s">
        <v>52</v>
      </c>
      <c r="Y21" s="2">
        <v>0</v>
      </c>
      <c r="Z21" s="2">
        <v>15</v>
      </c>
      <c r="AA21">
        <v>1</v>
      </c>
      <c r="AB21" s="3">
        <v>1</v>
      </c>
      <c r="AC21" s="2">
        <v>15</v>
      </c>
      <c r="AD21" s="3">
        <v>0</v>
      </c>
      <c r="AE21" s="2">
        <v>0</v>
      </c>
      <c r="AF21" s="2">
        <v>15</v>
      </c>
      <c r="AK21">
        <v>5969466</v>
      </c>
    </row>
    <row r="22" spans="1:37" x14ac:dyDescent="0.25">
      <c r="A22" s="1">
        <v>45980</v>
      </c>
      <c r="B22" s="1">
        <v>45980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121</v>
      </c>
      <c r="J22" t="s">
        <v>122</v>
      </c>
      <c r="M22" t="s">
        <v>55</v>
      </c>
      <c r="O22" t="s">
        <v>85</v>
      </c>
      <c r="P22" t="s">
        <v>86</v>
      </c>
      <c r="Q22" t="s">
        <v>49</v>
      </c>
      <c r="R22" t="s">
        <v>50</v>
      </c>
      <c r="S22" s="1">
        <v>46023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5969560</v>
      </c>
    </row>
    <row r="23" spans="1:37" x14ac:dyDescent="0.25">
      <c r="A23" s="1">
        <v>45980</v>
      </c>
      <c r="B23" s="1">
        <v>45980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123</v>
      </c>
      <c r="J23" t="s">
        <v>124</v>
      </c>
      <c r="M23" t="s">
        <v>55</v>
      </c>
      <c r="O23" t="s">
        <v>101</v>
      </c>
      <c r="P23" t="s">
        <v>102</v>
      </c>
      <c r="Q23" t="s">
        <v>49</v>
      </c>
      <c r="R23" t="s">
        <v>69</v>
      </c>
      <c r="S23" s="1">
        <v>46023</v>
      </c>
      <c r="U23" t="s">
        <v>51</v>
      </c>
      <c r="X23" t="s">
        <v>52</v>
      </c>
      <c r="Y23" s="2">
        <v>0</v>
      </c>
      <c r="Z23" s="2">
        <v>108</v>
      </c>
      <c r="AA23">
        <v>1</v>
      </c>
      <c r="AB23" s="3">
        <v>1</v>
      </c>
      <c r="AC23" s="2">
        <v>108</v>
      </c>
      <c r="AD23" s="3">
        <v>0</v>
      </c>
      <c r="AE23" s="2">
        <v>0</v>
      </c>
      <c r="AF23" s="2">
        <v>108</v>
      </c>
      <c r="AK23">
        <v>5969539</v>
      </c>
    </row>
    <row r="24" spans="1:37" x14ac:dyDescent="0.25">
      <c r="A24" s="1">
        <v>45980</v>
      </c>
      <c r="B24" s="1">
        <v>45980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125</v>
      </c>
      <c r="J24" t="s">
        <v>126</v>
      </c>
      <c r="M24" t="s">
        <v>55</v>
      </c>
      <c r="O24" t="s">
        <v>85</v>
      </c>
      <c r="P24" t="s">
        <v>86</v>
      </c>
      <c r="Q24" t="s">
        <v>49</v>
      </c>
      <c r="R24" t="s">
        <v>50</v>
      </c>
      <c r="S24" s="1">
        <v>46023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5969561</v>
      </c>
    </row>
    <row r="25" spans="1:37" x14ac:dyDescent="0.25">
      <c r="A25" s="1">
        <v>45980</v>
      </c>
      <c r="B25" s="1">
        <v>45980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127</v>
      </c>
      <c r="J25" t="s">
        <v>128</v>
      </c>
      <c r="M25" t="s">
        <v>55</v>
      </c>
      <c r="O25" t="s">
        <v>85</v>
      </c>
      <c r="P25" t="s">
        <v>86</v>
      </c>
      <c r="Q25" t="s">
        <v>49</v>
      </c>
      <c r="R25" t="s">
        <v>50</v>
      </c>
      <c r="S25" s="1">
        <v>46023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5969562</v>
      </c>
    </row>
    <row r="26" spans="1:37" x14ac:dyDescent="0.25">
      <c r="A26" s="1">
        <v>45980</v>
      </c>
      <c r="B26" s="1">
        <v>45980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129</v>
      </c>
      <c r="J26" t="s">
        <v>130</v>
      </c>
      <c r="M26" t="s">
        <v>72</v>
      </c>
      <c r="O26" t="s">
        <v>73</v>
      </c>
      <c r="P26" t="s">
        <v>74</v>
      </c>
      <c r="Q26" t="s">
        <v>49</v>
      </c>
      <c r="R26" t="s">
        <v>50</v>
      </c>
      <c r="S26" s="1">
        <v>46023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5969563</v>
      </c>
    </row>
    <row r="27" spans="1:37" x14ac:dyDescent="0.25">
      <c r="A27" s="1">
        <v>45980</v>
      </c>
      <c r="B27" s="1">
        <v>45980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131</v>
      </c>
      <c r="J27" t="s">
        <v>132</v>
      </c>
      <c r="M27" t="s">
        <v>55</v>
      </c>
      <c r="O27" t="s">
        <v>56</v>
      </c>
      <c r="P27" t="s">
        <v>57</v>
      </c>
      <c r="Q27" t="s">
        <v>49</v>
      </c>
      <c r="R27" t="s">
        <v>69</v>
      </c>
      <c r="S27" s="1">
        <v>45962</v>
      </c>
      <c r="U27" t="s">
        <v>51</v>
      </c>
      <c r="X27" t="s">
        <v>52</v>
      </c>
      <c r="Y27" s="2">
        <v>0</v>
      </c>
      <c r="Z27" s="2">
        <v>108</v>
      </c>
      <c r="AA27">
        <v>1</v>
      </c>
      <c r="AB27" s="3">
        <v>1</v>
      </c>
      <c r="AC27" s="2">
        <v>108</v>
      </c>
      <c r="AD27" s="3">
        <v>0</v>
      </c>
      <c r="AE27" s="2">
        <v>0</v>
      </c>
      <c r="AF27" s="2">
        <v>108</v>
      </c>
      <c r="AK27">
        <v>5969540</v>
      </c>
    </row>
    <row r="28" spans="1:37" x14ac:dyDescent="0.25">
      <c r="A28" s="1">
        <v>45980</v>
      </c>
      <c r="B28" s="1">
        <v>45980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133</v>
      </c>
      <c r="J28" t="s">
        <v>134</v>
      </c>
      <c r="M28" t="s">
        <v>55</v>
      </c>
      <c r="O28" t="s">
        <v>56</v>
      </c>
      <c r="P28" t="s">
        <v>57</v>
      </c>
      <c r="Q28" t="s">
        <v>49</v>
      </c>
      <c r="R28" t="s">
        <v>69</v>
      </c>
      <c r="S28" s="1">
        <v>45962</v>
      </c>
      <c r="U28" t="s">
        <v>51</v>
      </c>
      <c r="X28" t="s">
        <v>52</v>
      </c>
      <c r="Y28" s="2">
        <v>0</v>
      </c>
      <c r="Z28" s="2">
        <v>108</v>
      </c>
      <c r="AA28">
        <v>1</v>
      </c>
      <c r="AB28" s="3">
        <v>1</v>
      </c>
      <c r="AC28" s="2">
        <v>108</v>
      </c>
      <c r="AD28" s="3">
        <v>0</v>
      </c>
      <c r="AE28" s="2">
        <v>0</v>
      </c>
      <c r="AF28" s="2">
        <v>108</v>
      </c>
      <c r="AK28">
        <v>5969541</v>
      </c>
    </row>
    <row r="29" spans="1:37" x14ac:dyDescent="0.25">
      <c r="A29" s="1">
        <v>45980</v>
      </c>
      <c r="B29" s="1">
        <v>45980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135</v>
      </c>
      <c r="J29" t="s">
        <v>136</v>
      </c>
      <c r="M29" t="s">
        <v>55</v>
      </c>
      <c r="O29" t="s">
        <v>101</v>
      </c>
      <c r="P29" t="s">
        <v>102</v>
      </c>
      <c r="Q29" t="s">
        <v>49</v>
      </c>
      <c r="R29" t="s">
        <v>50</v>
      </c>
      <c r="S29" s="1">
        <v>46023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5969564</v>
      </c>
    </row>
    <row r="30" spans="1:37" x14ac:dyDescent="0.25">
      <c r="A30" s="1">
        <v>45980</v>
      </c>
      <c r="B30" s="1">
        <v>45980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137</v>
      </c>
      <c r="J30" t="s">
        <v>138</v>
      </c>
      <c r="M30" t="s">
        <v>55</v>
      </c>
      <c r="O30" t="s">
        <v>139</v>
      </c>
      <c r="P30" t="s">
        <v>140</v>
      </c>
      <c r="Q30" t="s">
        <v>49</v>
      </c>
      <c r="R30" t="s">
        <v>98</v>
      </c>
      <c r="S30" s="1">
        <v>46023</v>
      </c>
      <c r="U30" t="s">
        <v>51</v>
      </c>
      <c r="X30" t="s">
        <v>52</v>
      </c>
      <c r="Y30" s="2">
        <v>0</v>
      </c>
      <c r="Z30" s="2">
        <v>15</v>
      </c>
      <c r="AA30">
        <v>1</v>
      </c>
      <c r="AB30" s="3">
        <v>1</v>
      </c>
      <c r="AC30" s="2">
        <v>15</v>
      </c>
      <c r="AD30" s="3">
        <v>0</v>
      </c>
      <c r="AE30" s="2">
        <v>0</v>
      </c>
      <c r="AF30" s="2">
        <v>15</v>
      </c>
      <c r="AK30">
        <v>5969467</v>
      </c>
    </row>
    <row r="31" spans="1:37" x14ac:dyDescent="0.25">
      <c r="A31" s="1">
        <v>45980</v>
      </c>
      <c r="B31" s="1">
        <v>45980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141</v>
      </c>
      <c r="J31" t="s">
        <v>142</v>
      </c>
      <c r="M31" t="s">
        <v>55</v>
      </c>
      <c r="O31" t="s">
        <v>143</v>
      </c>
      <c r="P31" t="s">
        <v>144</v>
      </c>
      <c r="Q31" t="s">
        <v>49</v>
      </c>
      <c r="R31" t="s">
        <v>50</v>
      </c>
      <c r="S31" s="1">
        <v>46023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5969565</v>
      </c>
    </row>
    <row r="32" spans="1:37" x14ac:dyDescent="0.25">
      <c r="A32" s="1">
        <v>45980</v>
      </c>
      <c r="B32" s="1">
        <v>45980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145</v>
      </c>
      <c r="J32" t="s">
        <v>146</v>
      </c>
      <c r="M32" t="s">
        <v>147</v>
      </c>
      <c r="O32" t="s">
        <v>96</v>
      </c>
      <c r="P32" t="s">
        <v>97</v>
      </c>
      <c r="Q32" t="s">
        <v>49</v>
      </c>
      <c r="R32" t="s">
        <v>98</v>
      </c>
      <c r="S32" s="1">
        <v>46023</v>
      </c>
      <c r="U32" t="s">
        <v>51</v>
      </c>
      <c r="X32" t="s">
        <v>52</v>
      </c>
      <c r="Y32" s="2">
        <v>0</v>
      </c>
      <c r="Z32" s="2">
        <v>15</v>
      </c>
      <c r="AA32">
        <v>1</v>
      </c>
      <c r="AB32" s="3">
        <v>1</v>
      </c>
      <c r="AC32" s="2">
        <v>15</v>
      </c>
      <c r="AD32" s="3">
        <v>0</v>
      </c>
      <c r="AE32" s="2">
        <v>0</v>
      </c>
      <c r="AF32" s="2">
        <v>15</v>
      </c>
      <c r="AK32">
        <v>5969468</v>
      </c>
    </row>
    <row r="33" spans="1:37" x14ac:dyDescent="0.25">
      <c r="A33" s="1">
        <v>45980</v>
      </c>
      <c r="B33" s="1">
        <v>45980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148</v>
      </c>
      <c r="J33" t="s">
        <v>149</v>
      </c>
      <c r="M33" t="s">
        <v>55</v>
      </c>
      <c r="O33" t="s">
        <v>150</v>
      </c>
      <c r="P33" t="s">
        <v>151</v>
      </c>
      <c r="Q33" t="s">
        <v>49</v>
      </c>
      <c r="R33" t="s">
        <v>50</v>
      </c>
      <c r="S33" s="1">
        <v>46023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5969566</v>
      </c>
    </row>
    <row r="34" spans="1:37" x14ac:dyDescent="0.25">
      <c r="A34" s="1">
        <v>45980</v>
      </c>
      <c r="B34" s="1">
        <v>45980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152</v>
      </c>
      <c r="J34" t="s">
        <v>153</v>
      </c>
      <c r="M34" t="s">
        <v>154</v>
      </c>
      <c r="O34" t="s">
        <v>155</v>
      </c>
      <c r="P34" t="s">
        <v>156</v>
      </c>
      <c r="Q34" t="s">
        <v>49</v>
      </c>
      <c r="R34" t="s">
        <v>50</v>
      </c>
      <c r="S34" s="1">
        <v>46023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5969567</v>
      </c>
    </row>
    <row r="35" spans="1:37" x14ac:dyDescent="0.25">
      <c r="A35" s="1">
        <v>45980</v>
      </c>
      <c r="B35" s="1">
        <v>45980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157</v>
      </c>
      <c r="J35" t="s">
        <v>158</v>
      </c>
      <c r="M35" t="s">
        <v>154</v>
      </c>
      <c r="O35" t="s">
        <v>155</v>
      </c>
      <c r="P35" t="s">
        <v>156</v>
      </c>
      <c r="Q35" t="s">
        <v>49</v>
      </c>
      <c r="R35" t="s">
        <v>50</v>
      </c>
      <c r="S35" s="1">
        <v>46023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5969568</v>
      </c>
    </row>
    <row r="36" spans="1:37" x14ac:dyDescent="0.25">
      <c r="A36" s="1">
        <v>45980</v>
      </c>
      <c r="B36" s="1">
        <v>45980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159</v>
      </c>
      <c r="J36" t="s">
        <v>160</v>
      </c>
      <c r="M36" t="s">
        <v>89</v>
      </c>
      <c r="O36" t="s">
        <v>90</v>
      </c>
      <c r="P36" t="s">
        <v>91</v>
      </c>
      <c r="Q36" t="s">
        <v>49</v>
      </c>
      <c r="R36" t="s">
        <v>50</v>
      </c>
      <c r="S36" s="1">
        <v>46023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5969569</v>
      </c>
    </row>
    <row r="37" spans="1:37" x14ac:dyDescent="0.25">
      <c r="A37" s="1">
        <v>45980</v>
      </c>
      <c r="B37" s="1">
        <v>45980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161</v>
      </c>
      <c r="J37" t="s">
        <v>162</v>
      </c>
      <c r="M37" t="s">
        <v>55</v>
      </c>
      <c r="O37" t="s">
        <v>113</v>
      </c>
      <c r="P37" t="s">
        <v>114</v>
      </c>
      <c r="Q37" t="s">
        <v>49</v>
      </c>
      <c r="R37" t="s">
        <v>50</v>
      </c>
      <c r="S37" s="1">
        <v>46023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5969570</v>
      </c>
    </row>
    <row r="38" spans="1:37" x14ac:dyDescent="0.25">
      <c r="A38" s="1">
        <v>45980</v>
      </c>
      <c r="B38" s="1">
        <v>45980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163</v>
      </c>
      <c r="J38" t="s">
        <v>164</v>
      </c>
      <c r="M38" t="s">
        <v>55</v>
      </c>
      <c r="O38" t="s">
        <v>165</v>
      </c>
      <c r="P38" t="s">
        <v>166</v>
      </c>
      <c r="Q38" t="s">
        <v>49</v>
      </c>
      <c r="R38" t="s">
        <v>69</v>
      </c>
      <c r="S38" s="1">
        <v>46023</v>
      </c>
      <c r="U38" t="s">
        <v>51</v>
      </c>
      <c r="X38" t="s">
        <v>52</v>
      </c>
      <c r="Y38" s="2">
        <v>0</v>
      </c>
      <c r="Z38" s="2">
        <v>108</v>
      </c>
      <c r="AA38">
        <v>1</v>
      </c>
      <c r="AB38" s="3">
        <v>1</v>
      </c>
      <c r="AC38" s="2">
        <v>108</v>
      </c>
      <c r="AD38" s="3">
        <v>0</v>
      </c>
      <c r="AE38" s="2">
        <v>0</v>
      </c>
      <c r="AF38" s="2">
        <v>108</v>
      </c>
      <c r="AK38">
        <v>5969542</v>
      </c>
    </row>
    <row r="39" spans="1:37" x14ac:dyDescent="0.25">
      <c r="A39" s="1">
        <v>45980</v>
      </c>
      <c r="B39" s="1">
        <v>45980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167</v>
      </c>
      <c r="J39" t="s">
        <v>168</v>
      </c>
      <c r="M39" t="s">
        <v>55</v>
      </c>
      <c r="O39" t="s">
        <v>67</v>
      </c>
      <c r="P39" t="s">
        <v>68</v>
      </c>
      <c r="Q39" t="s">
        <v>49</v>
      </c>
      <c r="R39" t="s">
        <v>50</v>
      </c>
      <c r="S39" s="1">
        <v>46023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5969571</v>
      </c>
    </row>
    <row r="40" spans="1:37" x14ac:dyDescent="0.25">
      <c r="A40" s="1">
        <v>45980</v>
      </c>
      <c r="B40" s="1">
        <v>45980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169</v>
      </c>
      <c r="J40" t="s">
        <v>170</v>
      </c>
      <c r="M40" t="s">
        <v>55</v>
      </c>
      <c r="O40" t="s">
        <v>171</v>
      </c>
      <c r="P40" t="s">
        <v>172</v>
      </c>
      <c r="Q40" t="s">
        <v>49</v>
      </c>
      <c r="R40" t="s">
        <v>50</v>
      </c>
      <c r="S40" s="1">
        <v>46023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5969572</v>
      </c>
    </row>
    <row r="41" spans="1:37" x14ac:dyDescent="0.25">
      <c r="A41" s="1">
        <v>45980</v>
      </c>
      <c r="B41" s="1">
        <v>45980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173</v>
      </c>
      <c r="J41" t="s">
        <v>174</v>
      </c>
      <c r="M41" t="s">
        <v>55</v>
      </c>
      <c r="O41" t="s">
        <v>165</v>
      </c>
      <c r="P41" t="s">
        <v>166</v>
      </c>
      <c r="Q41" t="s">
        <v>49</v>
      </c>
      <c r="R41" t="s">
        <v>50</v>
      </c>
      <c r="S41" s="1">
        <v>46023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5969573</v>
      </c>
    </row>
    <row r="42" spans="1:37" x14ac:dyDescent="0.25">
      <c r="A42" s="1">
        <v>45980</v>
      </c>
      <c r="B42" s="1">
        <v>45980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175</v>
      </c>
      <c r="J42" t="s">
        <v>176</v>
      </c>
      <c r="M42" t="s">
        <v>55</v>
      </c>
      <c r="O42" t="s">
        <v>177</v>
      </c>
      <c r="P42" t="s">
        <v>178</v>
      </c>
      <c r="Q42" t="s">
        <v>49</v>
      </c>
      <c r="R42" t="s">
        <v>69</v>
      </c>
      <c r="S42" s="1">
        <v>46023</v>
      </c>
      <c r="U42" t="s">
        <v>51</v>
      </c>
      <c r="X42" t="s">
        <v>52</v>
      </c>
      <c r="Y42" s="2">
        <v>0</v>
      </c>
      <c r="Z42" s="2">
        <v>108</v>
      </c>
      <c r="AA42">
        <v>1</v>
      </c>
      <c r="AB42" s="3">
        <v>1</v>
      </c>
      <c r="AC42" s="2">
        <v>108</v>
      </c>
      <c r="AD42" s="3">
        <v>0</v>
      </c>
      <c r="AE42" s="2">
        <v>0</v>
      </c>
      <c r="AF42" s="2">
        <v>108</v>
      </c>
      <c r="AK42">
        <v>5969543</v>
      </c>
    </row>
    <row r="43" spans="1:37" x14ac:dyDescent="0.25">
      <c r="A43" s="1">
        <v>45980</v>
      </c>
      <c r="B43" s="1">
        <v>45980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179</v>
      </c>
      <c r="J43" t="s">
        <v>180</v>
      </c>
      <c r="M43" t="s">
        <v>55</v>
      </c>
      <c r="O43" t="s">
        <v>177</v>
      </c>
      <c r="P43" t="s">
        <v>178</v>
      </c>
      <c r="Q43" t="s">
        <v>49</v>
      </c>
      <c r="R43" t="s">
        <v>98</v>
      </c>
      <c r="S43" s="1">
        <v>46023</v>
      </c>
      <c r="U43" t="s">
        <v>51</v>
      </c>
      <c r="X43" t="s">
        <v>52</v>
      </c>
      <c r="Y43" s="2">
        <v>0</v>
      </c>
      <c r="Z43" s="2">
        <v>15</v>
      </c>
      <c r="AA43">
        <v>1</v>
      </c>
      <c r="AB43" s="3">
        <v>1</v>
      </c>
      <c r="AC43" s="2">
        <v>15</v>
      </c>
      <c r="AD43" s="3">
        <v>0</v>
      </c>
      <c r="AE43" s="2">
        <v>0</v>
      </c>
      <c r="AF43" s="2">
        <v>15</v>
      </c>
      <c r="AK43">
        <v>5969469</v>
      </c>
    </row>
    <row r="44" spans="1:37" x14ac:dyDescent="0.25">
      <c r="A44" s="1">
        <v>45980</v>
      </c>
      <c r="B44" s="1">
        <v>45980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181</v>
      </c>
      <c r="J44" t="s">
        <v>182</v>
      </c>
      <c r="M44" t="s">
        <v>183</v>
      </c>
      <c r="O44" t="s">
        <v>184</v>
      </c>
      <c r="P44" t="s">
        <v>185</v>
      </c>
      <c r="Q44" t="s">
        <v>49</v>
      </c>
      <c r="R44" t="s">
        <v>69</v>
      </c>
      <c r="S44" s="1">
        <v>46023</v>
      </c>
      <c r="U44" t="s">
        <v>51</v>
      </c>
      <c r="X44" t="s">
        <v>52</v>
      </c>
      <c r="Y44" s="2">
        <v>0</v>
      </c>
      <c r="Z44" s="2">
        <v>108</v>
      </c>
      <c r="AA44">
        <v>1</v>
      </c>
      <c r="AB44" s="3">
        <v>1</v>
      </c>
      <c r="AC44" s="2">
        <v>108</v>
      </c>
      <c r="AD44" s="3">
        <v>0</v>
      </c>
      <c r="AE44" s="2">
        <v>0</v>
      </c>
      <c r="AF44" s="2">
        <v>108</v>
      </c>
      <c r="AK44">
        <v>5969544</v>
      </c>
    </row>
    <row r="45" spans="1:37" x14ac:dyDescent="0.25">
      <c r="A45" s="1">
        <v>45980</v>
      </c>
      <c r="B45" s="1">
        <v>45980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186</v>
      </c>
      <c r="J45" t="s">
        <v>187</v>
      </c>
      <c r="M45" t="s">
        <v>188</v>
      </c>
      <c r="O45" t="s">
        <v>189</v>
      </c>
      <c r="P45" t="s">
        <v>190</v>
      </c>
      <c r="Q45" t="s">
        <v>49</v>
      </c>
      <c r="R45" t="s">
        <v>69</v>
      </c>
      <c r="S45" s="1">
        <v>45962</v>
      </c>
      <c r="U45" t="s">
        <v>51</v>
      </c>
      <c r="X45" t="s">
        <v>52</v>
      </c>
      <c r="Y45" s="2">
        <v>0</v>
      </c>
      <c r="Z45" s="2">
        <v>108</v>
      </c>
      <c r="AA45">
        <v>1</v>
      </c>
      <c r="AB45" s="3">
        <v>1</v>
      </c>
      <c r="AC45" s="2">
        <v>108</v>
      </c>
      <c r="AD45" s="3">
        <v>0</v>
      </c>
      <c r="AE45" s="2">
        <v>0</v>
      </c>
      <c r="AF45" s="2">
        <v>108</v>
      </c>
      <c r="AK45">
        <v>5969537</v>
      </c>
    </row>
    <row r="46" spans="1:37" x14ac:dyDescent="0.25">
      <c r="A46" s="1">
        <v>45980</v>
      </c>
      <c r="B46" s="1">
        <v>45980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191</v>
      </c>
      <c r="J46" t="s">
        <v>192</v>
      </c>
      <c r="M46" t="s">
        <v>55</v>
      </c>
      <c r="O46" t="s">
        <v>139</v>
      </c>
      <c r="P46" t="s">
        <v>140</v>
      </c>
      <c r="Q46" t="s">
        <v>49</v>
      </c>
      <c r="R46" t="s">
        <v>50</v>
      </c>
      <c r="S46" s="1">
        <v>46023</v>
      </c>
      <c r="U46" t="s">
        <v>51</v>
      </c>
      <c r="X46" t="s">
        <v>52</v>
      </c>
      <c r="Y46" s="2">
        <v>0</v>
      </c>
      <c r="Z46" s="2">
        <v>175</v>
      </c>
      <c r="AA46">
        <v>1</v>
      </c>
      <c r="AB46" s="3">
        <v>1</v>
      </c>
      <c r="AC46" s="2">
        <v>175</v>
      </c>
      <c r="AD46" s="3">
        <v>0</v>
      </c>
      <c r="AE46" s="2">
        <v>0</v>
      </c>
      <c r="AF46" s="2">
        <v>175</v>
      </c>
      <c r="AK46">
        <v>5969574</v>
      </c>
    </row>
    <row r="47" spans="1:37" x14ac:dyDescent="0.25">
      <c r="A47" s="1">
        <v>45980</v>
      </c>
      <c r="B47" s="1">
        <v>45980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193</v>
      </c>
      <c r="J47" t="s">
        <v>194</v>
      </c>
      <c r="M47" t="s">
        <v>55</v>
      </c>
      <c r="O47" t="s">
        <v>139</v>
      </c>
      <c r="P47" t="s">
        <v>140</v>
      </c>
      <c r="Q47" t="s">
        <v>49</v>
      </c>
      <c r="R47" t="s">
        <v>50</v>
      </c>
      <c r="S47" s="1">
        <v>46023</v>
      </c>
      <c r="U47" t="s">
        <v>51</v>
      </c>
      <c r="X47" t="s">
        <v>52</v>
      </c>
      <c r="Y47" s="2">
        <v>0</v>
      </c>
      <c r="Z47" s="2">
        <v>175</v>
      </c>
      <c r="AA47">
        <v>1</v>
      </c>
      <c r="AB47" s="3">
        <v>1</v>
      </c>
      <c r="AC47" s="2">
        <v>175</v>
      </c>
      <c r="AD47" s="3">
        <v>0</v>
      </c>
      <c r="AE47" s="2">
        <v>0</v>
      </c>
      <c r="AF47" s="2">
        <v>175</v>
      </c>
      <c r="AK47">
        <v>5969575</v>
      </c>
    </row>
    <row r="48" spans="1:37" x14ac:dyDescent="0.25">
      <c r="A48" s="1">
        <v>45980</v>
      </c>
      <c r="B48" s="1">
        <v>45980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195</v>
      </c>
      <c r="J48" t="s">
        <v>196</v>
      </c>
      <c r="M48" t="s">
        <v>55</v>
      </c>
      <c r="O48" t="s">
        <v>177</v>
      </c>
      <c r="P48" t="s">
        <v>178</v>
      </c>
      <c r="Q48" t="s">
        <v>49</v>
      </c>
      <c r="R48" t="s">
        <v>50</v>
      </c>
      <c r="S48" s="1">
        <v>46023</v>
      </c>
      <c r="U48" t="s">
        <v>51</v>
      </c>
      <c r="X48" t="s">
        <v>52</v>
      </c>
      <c r="Y48" s="2">
        <v>0</v>
      </c>
      <c r="Z48" s="2">
        <v>175</v>
      </c>
      <c r="AA48">
        <v>1</v>
      </c>
      <c r="AB48" s="3">
        <v>1</v>
      </c>
      <c r="AC48" s="2">
        <v>175</v>
      </c>
      <c r="AD48" s="3">
        <v>0</v>
      </c>
      <c r="AE48" s="2">
        <v>0</v>
      </c>
      <c r="AF48" s="2">
        <v>175</v>
      </c>
      <c r="AK48">
        <v>5969576</v>
      </c>
    </row>
    <row r="49" spans="1:37" x14ac:dyDescent="0.25">
      <c r="A49" s="1">
        <v>45980</v>
      </c>
      <c r="B49" s="1">
        <v>45980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197</v>
      </c>
      <c r="J49" t="s">
        <v>198</v>
      </c>
      <c r="M49" t="s">
        <v>55</v>
      </c>
      <c r="O49" t="s">
        <v>90</v>
      </c>
      <c r="P49" t="s">
        <v>91</v>
      </c>
      <c r="Q49" t="s">
        <v>49</v>
      </c>
      <c r="R49" t="s">
        <v>50</v>
      </c>
      <c r="S49" s="1">
        <v>46023</v>
      </c>
      <c r="U49" t="s">
        <v>51</v>
      </c>
      <c r="X49" t="s">
        <v>52</v>
      </c>
      <c r="Y49" s="2">
        <v>0</v>
      </c>
      <c r="Z49" s="2">
        <v>175</v>
      </c>
      <c r="AA49">
        <v>1</v>
      </c>
      <c r="AB49" s="3">
        <v>1</v>
      </c>
      <c r="AC49" s="2">
        <v>175</v>
      </c>
      <c r="AD49" s="3">
        <v>0</v>
      </c>
      <c r="AE49" s="2">
        <v>0</v>
      </c>
      <c r="AF49" s="2">
        <v>175</v>
      </c>
      <c r="AK49">
        <v>5969577</v>
      </c>
    </row>
    <row r="50" spans="1:37" x14ac:dyDescent="0.25">
      <c r="A50" s="1">
        <v>45980</v>
      </c>
      <c r="B50" s="1">
        <v>45980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199</v>
      </c>
      <c r="J50" t="s">
        <v>200</v>
      </c>
      <c r="M50" t="s">
        <v>55</v>
      </c>
      <c r="O50" t="s">
        <v>56</v>
      </c>
      <c r="P50" t="s">
        <v>57</v>
      </c>
      <c r="Q50" t="s">
        <v>49</v>
      </c>
      <c r="R50" t="s">
        <v>50</v>
      </c>
      <c r="S50" s="1">
        <v>46023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5969578</v>
      </c>
    </row>
    <row r="51" spans="1:37" x14ac:dyDescent="0.25">
      <c r="A51" s="1">
        <v>45980</v>
      </c>
      <c r="B51" s="1">
        <v>45980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201</v>
      </c>
      <c r="J51" t="s">
        <v>202</v>
      </c>
      <c r="M51" t="s">
        <v>203</v>
      </c>
      <c r="O51" t="s">
        <v>204</v>
      </c>
      <c r="P51" t="s">
        <v>205</v>
      </c>
      <c r="Q51" t="s">
        <v>49</v>
      </c>
      <c r="R51" t="s">
        <v>98</v>
      </c>
      <c r="S51" s="1">
        <v>46023</v>
      </c>
      <c r="U51" t="s">
        <v>51</v>
      </c>
      <c r="X51" t="s">
        <v>52</v>
      </c>
      <c r="Y51" s="2">
        <v>0</v>
      </c>
      <c r="Z51" s="2">
        <v>15</v>
      </c>
      <c r="AA51">
        <v>1</v>
      </c>
      <c r="AB51" s="3">
        <v>1</v>
      </c>
      <c r="AC51" s="2">
        <v>15</v>
      </c>
      <c r="AD51" s="3">
        <v>0</v>
      </c>
      <c r="AE51" s="2">
        <v>0</v>
      </c>
      <c r="AF51" s="2">
        <v>15</v>
      </c>
      <c r="AK51">
        <v>5969219</v>
      </c>
    </row>
    <row r="52" spans="1:37" x14ac:dyDescent="0.25">
      <c r="A52" s="1">
        <v>45980</v>
      </c>
      <c r="B52" s="1">
        <v>45980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206</v>
      </c>
      <c r="J52" t="s">
        <v>207</v>
      </c>
      <c r="M52" t="s">
        <v>55</v>
      </c>
      <c r="O52" t="s">
        <v>60</v>
      </c>
      <c r="P52" t="s">
        <v>61</v>
      </c>
      <c r="Q52" t="s">
        <v>49</v>
      </c>
      <c r="R52" t="s">
        <v>50</v>
      </c>
      <c r="S52" s="1">
        <v>46023</v>
      </c>
      <c r="U52" t="s">
        <v>51</v>
      </c>
      <c r="X52" t="s">
        <v>52</v>
      </c>
      <c r="Y52" s="2">
        <v>0</v>
      </c>
      <c r="Z52" s="2">
        <v>175</v>
      </c>
      <c r="AA52">
        <v>1</v>
      </c>
      <c r="AB52" s="3">
        <v>1</v>
      </c>
      <c r="AC52" s="2">
        <v>175</v>
      </c>
      <c r="AD52" s="3">
        <v>0</v>
      </c>
      <c r="AE52" s="2">
        <v>0</v>
      </c>
      <c r="AF52" s="2">
        <v>175</v>
      </c>
      <c r="AK52">
        <v>5969579</v>
      </c>
    </row>
    <row r="53" spans="1:37" x14ac:dyDescent="0.25">
      <c r="A53" s="1">
        <v>45980</v>
      </c>
      <c r="B53" s="1">
        <v>45980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208</v>
      </c>
      <c r="J53" t="s">
        <v>209</v>
      </c>
      <c r="M53" t="s">
        <v>66</v>
      </c>
      <c r="O53" t="s">
        <v>210</v>
      </c>
      <c r="P53" t="s">
        <v>211</v>
      </c>
      <c r="Q53" t="s">
        <v>49</v>
      </c>
      <c r="R53" t="s">
        <v>50</v>
      </c>
      <c r="S53" s="1">
        <v>46023</v>
      </c>
      <c r="U53" t="s">
        <v>51</v>
      </c>
      <c r="X53" t="s">
        <v>52</v>
      </c>
      <c r="Y53" s="2">
        <v>0</v>
      </c>
      <c r="Z53" s="2">
        <v>175</v>
      </c>
      <c r="AA53">
        <v>1</v>
      </c>
      <c r="AB53" s="3">
        <v>1</v>
      </c>
      <c r="AC53" s="2">
        <v>175</v>
      </c>
      <c r="AD53" s="3">
        <v>0</v>
      </c>
      <c r="AE53" s="2">
        <v>0</v>
      </c>
      <c r="AF53" s="2">
        <v>175</v>
      </c>
      <c r="AK53">
        <v>5969580</v>
      </c>
    </row>
    <row r="54" spans="1:37" x14ac:dyDescent="0.25">
      <c r="A54" s="1">
        <v>45980</v>
      </c>
      <c r="B54" s="1">
        <v>45980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212</v>
      </c>
      <c r="J54" t="s">
        <v>213</v>
      </c>
      <c r="M54" t="s">
        <v>55</v>
      </c>
      <c r="O54" t="s">
        <v>56</v>
      </c>
      <c r="P54" t="s">
        <v>57</v>
      </c>
      <c r="Q54" t="s">
        <v>49</v>
      </c>
      <c r="R54" t="s">
        <v>50</v>
      </c>
      <c r="S54" s="1">
        <v>46023</v>
      </c>
      <c r="U54" t="s">
        <v>51</v>
      </c>
      <c r="X54" t="s">
        <v>52</v>
      </c>
      <c r="Y54" s="2">
        <v>0</v>
      </c>
      <c r="Z54" s="2">
        <v>175</v>
      </c>
      <c r="AA54">
        <v>1</v>
      </c>
      <c r="AB54" s="3">
        <v>1</v>
      </c>
      <c r="AC54" s="2">
        <v>175</v>
      </c>
      <c r="AD54" s="3">
        <v>0</v>
      </c>
      <c r="AE54" s="2">
        <v>0</v>
      </c>
      <c r="AF54" s="2">
        <v>175</v>
      </c>
      <c r="AK54">
        <v>5969581</v>
      </c>
    </row>
    <row r="55" spans="1:37" x14ac:dyDescent="0.25">
      <c r="A55" s="1">
        <v>45980</v>
      </c>
      <c r="B55" s="1">
        <v>45980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214</v>
      </c>
      <c r="J55" t="s">
        <v>215</v>
      </c>
      <c r="M55" t="s">
        <v>55</v>
      </c>
      <c r="O55" t="s">
        <v>56</v>
      </c>
      <c r="P55" t="s">
        <v>57</v>
      </c>
      <c r="Q55" t="s">
        <v>49</v>
      </c>
      <c r="R55" t="s">
        <v>50</v>
      </c>
      <c r="S55" s="1">
        <v>46023</v>
      </c>
      <c r="U55" t="s">
        <v>51</v>
      </c>
      <c r="X55" t="s">
        <v>52</v>
      </c>
      <c r="Y55" s="2">
        <v>0</v>
      </c>
      <c r="Z55" s="2">
        <v>175</v>
      </c>
      <c r="AA55">
        <v>1</v>
      </c>
      <c r="AB55" s="3">
        <v>1</v>
      </c>
      <c r="AC55" s="2">
        <v>175</v>
      </c>
      <c r="AD55" s="3">
        <v>0</v>
      </c>
      <c r="AE55" s="2">
        <v>0</v>
      </c>
      <c r="AF55" s="2">
        <v>175</v>
      </c>
      <c r="AK55">
        <v>5969582</v>
      </c>
    </row>
    <row r="56" spans="1:37" x14ac:dyDescent="0.25">
      <c r="A56" s="1">
        <v>45980</v>
      </c>
      <c r="B56" s="1">
        <v>45980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216</v>
      </c>
      <c r="J56" t="s">
        <v>217</v>
      </c>
      <c r="M56" t="s">
        <v>46</v>
      </c>
      <c r="O56" t="s">
        <v>218</v>
      </c>
      <c r="P56" t="s">
        <v>219</v>
      </c>
      <c r="Q56" t="s">
        <v>49</v>
      </c>
      <c r="R56" t="s">
        <v>50</v>
      </c>
      <c r="S56" s="1">
        <v>46023</v>
      </c>
      <c r="U56" t="s">
        <v>51</v>
      </c>
      <c r="X56" t="s">
        <v>52</v>
      </c>
      <c r="Y56" s="2">
        <v>0</v>
      </c>
      <c r="Z56" s="2">
        <v>175</v>
      </c>
      <c r="AA56">
        <v>1</v>
      </c>
      <c r="AB56" s="3">
        <v>1</v>
      </c>
      <c r="AC56" s="2">
        <v>175</v>
      </c>
      <c r="AD56" s="3">
        <v>0</v>
      </c>
      <c r="AE56" s="2">
        <v>0</v>
      </c>
      <c r="AF56" s="2">
        <v>175</v>
      </c>
      <c r="AK56">
        <v>5969583</v>
      </c>
    </row>
    <row r="57" spans="1:37" x14ac:dyDescent="0.25">
      <c r="A57" s="1">
        <v>45980</v>
      </c>
      <c r="B57" s="1">
        <v>45980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220</v>
      </c>
      <c r="J57" t="s">
        <v>221</v>
      </c>
      <c r="M57" t="s">
        <v>55</v>
      </c>
      <c r="O57" t="s">
        <v>171</v>
      </c>
      <c r="P57" t="s">
        <v>172</v>
      </c>
      <c r="Q57" t="s">
        <v>49</v>
      </c>
      <c r="R57" t="s">
        <v>50</v>
      </c>
      <c r="S57" s="1">
        <v>46023</v>
      </c>
      <c r="U57" t="s">
        <v>51</v>
      </c>
      <c r="X57" t="s">
        <v>52</v>
      </c>
      <c r="Y57" s="2">
        <v>0</v>
      </c>
      <c r="Z57" s="2">
        <v>175</v>
      </c>
      <c r="AA57">
        <v>1</v>
      </c>
      <c r="AB57" s="3">
        <v>1</v>
      </c>
      <c r="AC57" s="2">
        <v>175</v>
      </c>
      <c r="AD57" s="3">
        <v>0</v>
      </c>
      <c r="AE57" s="2">
        <v>0</v>
      </c>
      <c r="AF57" s="2">
        <v>175</v>
      </c>
      <c r="AK57">
        <v>5969584</v>
      </c>
    </row>
    <row r="58" spans="1:37" x14ac:dyDescent="0.25">
      <c r="A58" s="1">
        <v>45980</v>
      </c>
      <c r="B58" s="1">
        <v>45980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222</v>
      </c>
      <c r="J58" t="s">
        <v>223</v>
      </c>
      <c r="M58" t="s">
        <v>224</v>
      </c>
      <c r="O58" t="s">
        <v>184</v>
      </c>
      <c r="P58" t="s">
        <v>185</v>
      </c>
      <c r="Q58" t="s">
        <v>49</v>
      </c>
      <c r="R58" t="s">
        <v>50</v>
      </c>
      <c r="S58" s="1">
        <v>46023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5969585</v>
      </c>
    </row>
    <row r="59" spans="1:37" x14ac:dyDescent="0.25">
      <c r="A59" s="1">
        <v>45980</v>
      </c>
      <c r="B59" s="1">
        <v>45980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225</v>
      </c>
      <c r="J59" t="s">
        <v>226</v>
      </c>
      <c r="M59" t="s">
        <v>227</v>
      </c>
      <c r="O59" t="s">
        <v>228</v>
      </c>
      <c r="P59" t="s">
        <v>229</v>
      </c>
      <c r="Q59" t="s">
        <v>49</v>
      </c>
      <c r="R59" t="s">
        <v>50</v>
      </c>
      <c r="S59" s="1">
        <v>46023</v>
      </c>
      <c r="U59" t="s">
        <v>51</v>
      </c>
      <c r="X59" t="s">
        <v>52</v>
      </c>
      <c r="Y59" s="2">
        <v>0</v>
      </c>
      <c r="Z59" s="2">
        <v>175</v>
      </c>
      <c r="AA59">
        <v>1</v>
      </c>
      <c r="AB59" s="3">
        <v>1</v>
      </c>
      <c r="AC59" s="2">
        <v>175</v>
      </c>
      <c r="AD59" s="3">
        <v>0</v>
      </c>
      <c r="AE59" s="2">
        <v>0</v>
      </c>
      <c r="AF59" s="2">
        <v>175</v>
      </c>
      <c r="AK59">
        <v>5969586</v>
      </c>
    </row>
    <row r="60" spans="1:37" x14ac:dyDescent="0.25">
      <c r="A60" s="1">
        <v>45980</v>
      </c>
      <c r="B60" s="1">
        <v>45980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230</v>
      </c>
      <c r="J60" t="s">
        <v>231</v>
      </c>
      <c r="M60" t="s">
        <v>46</v>
      </c>
      <c r="O60" t="s">
        <v>218</v>
      </c>
      <c r="P60" t="s">
        <v>219</v>
      </c>
      <c r="Q60" t="s">
        <v>49</v>
      </c>
      <c r="R60" t="s">
        <v>50</v>
      </c>
      <c r="S60" s="1">
        <v>46023</v>
      </c>
      <c r="U60" t="s">
        <v>51</v>
      </c>
      <c r="X60" t="s">
        <v>52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5969587</v>
      </c>
    </row>
    <row r="61" spans="1:37" x14ac:dyDescent="0.25">
      <c r="A61" s="1">
        <v>45980</v>
      </c>
      <c r="B61" s="1">
        <v>45980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232</v>
      </c>
      <c r="J61" t="s">
        <v>233</v>
      </c>
      <c r="M61" t="s">
        <v>55</v>
      </c>
      <c r="O61" t="s">
        <v>139</v>
      </c>
      <c r="P61" t="s">
        <v>140</v>
      </c>
      <c r="Q61" t="s">
        <v>49</v>
      </c>
      <c r="R61" t="s">
        <v>98</v>
      </c>
      <c r="S61" s="1">
        <v>46023</v>
      </c>
      <c r="U61" t="s">
        <v>51</v>
      </c>
      <c r="X61" t="s">
        <v>52</v>
      </c>
      <c r="Y61" s="2">
        <v>0</v>
      </c>
      <c r="Z61" s="2">
        <v>15</v>
      </c>
      <c r="AA61">
        <v>1</v>
      </c>
      <c r="AB61" s="3">
        <v>1</v>
      </c>
      <c r="AC61" s="2">
        <v>15</v>
      </c>
      <c r="AD61" s="3">
        <v>0</v>
      </c>
      <c r="AE61" s="2">
        <v>0</v>
      </c>
      <c r="AF61" s="2">
        <v>15</v>
      </c>
      <c r="AK61">
        <v>5969470</v>
      </c>
    </row>
    <row r="62" spans="1:37" x14ac:dyDescent="0.25">
      <c r="A62" s="1">
        <v>45980</v>
      </c>
      <c r="B62" s="1">
        <v>45980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234</v>
      </c>
      <c r="J62" t="s">
        <v>235</v>
      </c>
      <c r="M62" t="s">
        <v>55</v>
      </c>
      <c r="O62" t="s">
        <v>85</v>
      </c>
      <c r="P62" t="s">
        <v>86</v>
      </c>
      <c r="Q62" t="s">
        <v>49</v>
      </c>
      <c r="R62" t="s">
        <v>50</v>
      </c>
      <c r="S62" s="1">
        <v>46023</v>
      </c>
      <c r="U62" t="s">
        <v>51</v>
      </c>
      <c r="X62" t="s">
        <v>52</v>
      </c>
      <c r="Y62" s="2">
        <v>0</v>
      </c>
      <c r="Z62" s="2">
        <v>175</v>
      </c>
      <c r="AA62">
        <v>1</v>
      </c>
      <c r="AB62" s="3">
        <v>1</v>
      </c>
      <c r="AC62" s="2">
        <v>175</v>
      </c>
      <c r="AD62" s="3">
        <v>0</v>
      </c>
      <c r="AE62" s="2">
        <v>0</v>
      </c>
      <c r="AF62" s="2">
        <v>175</v>
      </c>
      <c r="AK62">
        <v>5969588</v>
      </c>
    </row>
    <row r="63" spans="1:37" x14ac:dyDescent="0.25">
      <c r="A63" s="1">
        <v>45980</v>
      </c>
      <c r="B63" s="1">
        <v>45980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236</v>
      </c>
      <c r="J63" t="s">
        <v>237</v>
      </c>
      <c r="M63" t="s">
        <v>55</v>
      </c>
      <c r="O63" t="s">
        <v>60</v>
      </c>
      <c r="P63" t="s">
        <v>61</v>
      </c>
      <c r="Q63" t="s">
        <v>49</v>
      </c>
      <c r="R63" t="s">
        <v>50</v>
      </c>
      <c r="S63" s="1">
        <v>46023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5969589</v>
      </c>
    </row>
    <row r="64" spans="1:37" x14ac:dyDescent="0.25">
      <c r="A64" s="1">
        <v>45980</v>
      </c>
      <c r="B64" s="1">
        <v>45980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238</v>
      </c>
      <c r="J64" t="s">
        <v>239</v>
      </c>
      <c r="M64" t="s">
        <v>203</v>
      </c>
      <c r="O64" t="s">
        <v>204</v>
      </c>
      <c r="P64" t="s">
        <v>205</v>
      </c>
      <c r="Q64" t="s">
        <v>49</v>
      </c>
      <c r="R64" t="s">
        <v>98</v>
      </c>
      <c r="S64" s="1">
        <v>46023</v>
      </c>
      <c r="U64" t="s">
        <v>51</v>
      </c>
      <c r="X64" t="s">
        <v>52</v>
      </c>
      <c r="Y64" s="2">
        <v>0</v>
      </c>
      <c r="Z64" s="2">
        <v>15</v>
      </c>
      <c r="AA64">
        <v>1</v>
      </c>
      <c r="AB64" s="3">
        <v>1</v>
      </c>
      <c r="AC64" s="2">
        <v>15</v>
      </c>
      <c r="AD64" s="3">
        <v>0</v>
      </c>
      <c r="AE64" s="2">
        <v>0</v>
      </c>
      <c r="AF64" s="2">
        <v>15</v>
      </c>
      <c r="AK64">
        <v>5969221</v>
      </c>
    </row>
    <row r="65" spans="1:37" x14ac:dyDescent="0.25">
      <c r="A65" s="1">
        <v>45980</v>
      </c>
      <c r="B65" s="1">
        <v>45980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240</v>
      </c>
      <c r="J65" t="s">
        <v>241</v>
      </c>
      <c r="M65" t="s">
        <v>203</v>
      </c>
      <c r="O65" t="s">
        <v>204</v>
      </c>
      <c r="P65" t="s">
        <v>205</v>
      </c>
      <c r="Q65" t="s">
        <v>49</v>
      </c>
      <c r="R65" t="s">
        <v>98</v>
      </c>
      <c r="S65" s="1">
        <v>46023</v>
      </c>
      <c r="U65" t="s">
        <v>51</v>
      </c>
      <c r="X65" t="s">
        <v>52</v>
      </c>
      <c r="Y65" s="2">
        <v>0</v>
      </c>
      <c r="Z65" s="2">
        <v>15</v>
      </c>
      <c r="AA65">
        <v>1</v>
      </c>
      <c r="AB65" s="3">
        <v>1</v>
      </c>
      <c r="AC65" s="2">
        <v>15</v>
      </c>
      <c r="AD65" s="3">
        <v>0</v>
      </c>
      <c r="AE65" s="2">
        <v>0</v>
      </c>
      <c r="AF65" s="2">
        <v>15</v>
      </c>
      <c r="AK65">
        <v>5969222</v>
      </c>
    </row>
    <row r="66" spans="1:37" x14ac:dyDescent="0.25">
      <c r="A66" s="1">
        <v>45980</v>
      </c>
      <c r="B66" s="1">
        <v>45980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242</v>
      </c>
      <c r="J66" t="s">
        <v>243</v>
      </c>
      <c r="M66" t="s">
        <v>55</v>
      </c>
      <c r="O66" t="s">
        <v>150</v>
      </c>
      <c r="P66" t="s">
        <v>151</v>
      </c>
      <c r="Q66" t="s">
        <v>49</v>
      </c>
      <c r="R66" t="s">
        <v>50</v>
      </c>
      <c r="S66" s="1">
        <v>46023</v>
      </c>
      <c r="U66" t="s">
        <v>51</v>
      </c>
      <c r="X66" t="s">
        <v>52</v>
      </c>
      <c r="Y66" s="2">
        <v>0</v>
      </c>
      <c r="Z66" s="2">
        <v>175</v>
      </c>
      <c r="AA66">
        <v>1</v>
      </c>
      <c r="AB66" s="3">
        <v>1</v>
      </c>
      <c r="AC66" s="2">
        <v>175</v>
      </c>
      <c r="AD66" s="3">
        <v>0</v>
      </c>
      <c r="AE66" s="2">
        <v>0</v>
      </c>
      <c r="AF66" s="2">
        <v>175</v>
      </c>
      <c r="AK66">
        <v>5969590</v>
      </c>
    </row>
    <row r="67" spans="1:37" x14ac:dyDescent="0.25">
      <c r="A67" s="1">
        <v>45980</v>
      </c>
      <c r="B67" s="1">
        <v>45980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244</v>
      </c>
      <c r="J67" t="s">
        <v>245</v>
      </c>
      <c r="M67" t="s">
        <v>246</v>
      </c>
      <c r="O67" t="s">
        <v>228</v>
      </c>
      <c r="P67" t="s">
        <v>229</v>
      </c>
      <c r="Q67" t="s">
        <v>49</v>
      </c>
      <c r="R67" t="s">
        <v>69</v>
      </c>
      <c r="S67" s="1">
        <v>46023</v>
      </c>
      <c r="U67" t="s">
        <v>51</v>
      </c>
      <c r="X67" t="s">
        <v>52</v>
      </c>
      <c r="Y67" s="2">
        <v>0</v>
      </c>
      <c r="Z67" s="2">
        <v>108</v>
      </c>
      <c r="AA67">
        <v>1</v>
      </c>
      <c r="AB67" s="3">
        <v>1</v>
      </c>
      <c r="AC67" s="2">
        <v>108</v>
      </c>
      <c r="AD67" s="3">
        <v>0</v>
      </c>
      <c r="AE67" s="2">
        <v>0</v>
      </c>
      <c r="AF67" s="2">
        <v>108</v>
      </c>
      <c r="AK67">
        <v>5969545</v>
      </c>
    </row>
    <row r="68" spans="1:37" x14ac:dyDescent="0.25">
      <c r="A68" s="1">
        <v>45980</v>
      </c>
      <c r="B68" s="1">
        <v>45980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247</v>
      </c>
      <c r="J68" t="s">
        <v>248</v>
      </c>
      <c r="M68" t="s">
        <v>246</v>
      </c>
      <c r="O68" t="s">
        <v>228</v>
      </c>
      <c r="P68" t="s">
        <v>229</v>
      </c>
      <c r="Q68" t="s">
        <v>49</v>
      </c>
      <c r="R68" t="s">
        <v>69</v>
      </c>
      <c r="S68" s="1">
        <v>46023</v>
      </c>
      <c r="U68" t="s">
        <v>51</v>
      </c>
      <c r="X68" t="s">
        <v>52</v>
      </c>
      <c r="Y68" s="2">
        <v>0</v>
      </c>
      <c r="Z68" s="2">
        <v>108</v>
      </c>
      <c r="AA68">
        <v>1</v>
      </c>
      <c r="AB68" s="3">
        <v>1</v>
      </c>
      <c r="AC68" s="2">
        <v>108</v>
      </c>
      <c r="AD68" s="3">
        <v>0</v>
      </c>
      <c r="AE68" s="2">
        <v>0</v>
      </c>
      <c r="AF68" s="2">
        <v>108</v>
      </c>
      <c r="AK68">
        <v>5969546</v>
      </c>
    </row>
    <row r="69" spans="1:37" x14ac:dyDescent="0.25">
      <c r="A69" s="1">
        <v>45980</v>
      </c>
      <c r="B69" s="1">
        <v>45980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249</v>
      </c>
      <c r="J69" t="s">
        <v>250</v>
      </c>
      <c r="M69" t="s">
        <v>55</v>
      </c>
      <c r="O69" t="s">
        <v>251</v>
      </c>
      <c r="P69" t="s">
        <v>252</v>
      </c>
      <c r="Q69" t="s">
        <v>49</v>
      </c>
      <c r="R69" t="s">
        <v>98</v>
      </c>
      <c r="S69" s="1">
        <v>46023</v>
      </c>
      <c r="U69" t="s">
        <v>51</v>
      </c>
      <c r="X69" t="s">
        <v>52</v>
      </c>
      <c r="Y69" s="2">
        <v>0</v>
      </c>
      <c r="Z69" s="2">
        <v>15</v>
      </c>
      <c r="AA69">
        <v>1</v>
      </c>
      <c r="AB69" s="3">
        <v>1</v>
      </c>
      <c r="AC69" s="2">
        <v>15</v>
      </c>
      <c r="AD69" s="3">
        <v>0</v>
      </c>
      <c r="AE69" s="2">
        <v>0</v>
      </c>
      <c r="AF69" s="2">
        <v>15</v>
      </c>
      <c r="AK69">
        <v>5969471</v>
      </c>
    </row>
    <row r="70" spans="1:37" x14ac:dyDescent="0.25">
      <c r="A70" s="1">
        <v>45980</v>
      </c>
      <c r="B70" s="1">
        <v>45980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253</v>
      </c>
      <c r="J70" t="s">
        <v>254</v>
      </c>
      <c r="M70" t="s">
        <v>66</v>
      </c>
      <c r="O70" t="s">
        <v>255</v>
      </c>
      <c r="P70" t="s">
        <v>256</v>
      </c>
      <c r="Q70" t="s">
        <v>49</v>
      </c>
      <c r="R70" t="s">
        <v>50</v>
      </c>
      <c r="S70" s="1">
        <v>45962</v>
      </c>
      <c r="U70" t="s">
        <v>51</v>
      </c>
      <c r="X70" t="s">
        <v>52</v>
      </c>
      <c r="Y70" s="2">
        <v>0</v>
      </c>
      <c r="Z70" s="2">
        <v>175</v>
      </c>
      <c r="AA70">
        <v>1</v>
      </c>
      <c r="AB70" s="3">
        <v>1</v>
      </c>
      <c r="AC70" s="2">
        <v>175</v>
      </c>
      <c r="AD70" s="3">
        <v>0</v>
      </c>
      <c r="AE70" s="2">
        <v>0</v>
      </c>
      <c r="AF70" s="2">
        <v>175</v>
      </c>
      <c r="AK70">
        <v>5969591</v>
      </c>
    </row>
    <row r="71" spans="1:37" x14ac:dyDescent="0.25">
      <c r="A71" s="1">
        <v>45980</v>
      </c>
      <c r="B71" s="1">
        <v>45980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257</v>
      </c>
      <c r="J71" t="s">
        <v>258</v>
      </c>
      <c r="M71" t="s">
        <v>66</v>
      </c>
      <c r="O71" t="s">
        <v>255</v>
      </c>
      <c r="P71" t="s">
        <v>256</v>
      </c>
      <c r="Q71" t="s">
        <v>49</v>
      </c>
      <c r="R71" t="s">
        <v>50</v>
      </c>
      <c r="S71" s="1">
        <v>46023</v>
      </c>
      <c r="U71" t="s">
        <v>51</v>
      </c>
      <c r="X71" t="s">
        <v>52</v>
      </c>
      <c r="Y71" s="2">
        <v>0</v>
      </c>
      <c r="Z71" s="2">
        <v>175</v>
      </c>
      <c r="AA71">
        <v>1</v>
      </c>
      <c r="AB71" s="3">
        <v>1</v>
      </c>
      <c r="AC71" s="2">
        <v>175</v>
      </c>
      <c r="AD71" s="3">
        <v>0</v>
      </c>
      <c r="AE71" s="2">
        <v>0</v>
      </c>
      <c r="AF71" s="2">
        <v>175</v>
      </c>
      <c r="AK71">
        <v>5969592</v>
      </c>
    </row>
    <row r="72" spans="1:37" x14ac:dyDescent="0.25">
      <c r="A72" s="1">
        <v>45980</v>
      </c>
      <c r="B72" s="1">
        <v>45980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259</v>
      </c>
      <c r="J72" t="s">
        <v>260</v>
      </c>
      <c r="M72" t="s">
        <v>55</v>
      </c>
      <c r="O72" t="s">
        <v>177</v>
      </c>
      <c r="P72" t="s">
        <v>178</v>
      </c>
      <c r="Q72" t="s">
        <v>49</v>
      </c>
      <c r="R72" t="s">
        <v>50</v>
      </c>
      <c r="S72" s="1">
        <v>46023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5969593</v>
      </c>
    </row>
    <row r="73" spans="1:37" x14ac:dyDescent="0.25">
      <c r="A73" s="1">
        <v>45980</v>
      </c>
      <c r="B73" s="1">
        <v>45980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261</v>
      </c>
      <c r="J73" t="s">
        <v>262</v>
      </c>
      <c r="M73" t="s">
        <v>263</v>
      </c>
      <c r="O73" t="s">
        <v>113</v>
      </c>
      <c r="P73" t="s">
        <v>114</v>
      </c>
      <c r="Q73" t="s">
        <v>49</v>
      </c>
      <c r="R73" t="s">
        <v>50</v>
      </c>
      <c r="S73" s="1">
        <v>46023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5969594</v>
      </c>
    </row>
    <row r="74" spans="1:37" x14ac:dyDescent="0.25">
      <c r="A74" s="1">
        <v>45980</v>
      </c>
      <c r="B74" s="1">
        <v>45980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264</v>
      </c>
      <c r="J74" t="s">
        <v>265</v>
      </c>
      <c r="M74" t="s">
        <v>55</v>
      </c>
      <c r="O74" t="s">
        <v>150</v>
      </c>
      <c r="P74" t="s">
        <v>151</v>
      </c>
      <c r="Q74" t="s">
        <v>49</v>
      </c>
      <c r="R74" t="s">
        <v>50</v>
      </c>
      <c r="S74" s="1">
        <v>46023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5969595</v>
      </c>
    </row>
    <row r="75" spans="1:37" x14ac:dyDescent="0.25">
      <c r="A75" s="1">
        <v>45980</v>
      </c>
      <c r="B75" s="1">
        <v>45980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266</v>
      </c>
      <c r="J75" t="s">
        <v>267</v>
      </c>
      <c r="M75" t="s">
        <v>46</v>
      </c>
      <c r="O75" t="s">
        <v>218</v>
      </c>
      <c r="P75" t="s">
        <v>219</v>
      </c>
      <c r="Q75" t="s">
        <v>49</v>
      </c>
      <c r="R75" t="s">
        <v>50</v>
      </c>
      <c r="S75" s="1">
        <v>46023</v>
      </c>
      <c r="U75" t="s">
        <v>51</v>
      </c>
      <c r="X75" t="s">
        <v>52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5969596</v>
      </c>
    </row>
    <row r="76" spans="1:37" x14ac:dyDescent="0.25">
      <c r="A76" s="1">
        <v>45980</v>
      </c>
      <c r="B76" s="1">
        <v>45980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268</v>
      </c>
      <c r="J76" t="s">
        <v>269</v>
      </c>
      <c r="M76" t="s">
        <v>55</v>
      </c>
      <c r="O76" t="s">
        <v>113</v>
      </c>
      <c r="P76" t="s">
        <v>114</v>
      </c>
      <c r="Q76" t="s">
        <v>49</v>
      </c>
      <c r="R76" t="s">
        <v>50</v>
      </c>
      <c r="S76" s="1">
        <v>46023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5969597</v>
      </c>
    </row>
    <row r="77" spans="1:37" x14ac:dyDescent="0.25">
      <c r="A77" s="1">
        <v>45980</v>
      </c>
      <c r="B77" s="1">
        <v>45980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270</v>
      </c>
      <c r="J77" t="s">
        <v>271</v>
      </c>
      <c r="M77" t="s">
        <v>55</v>
      </c>
      <c r="O77" t="s">
        <v>56</v>
      </c>
      <c r="P77" t="s">
        <v>57</v>
      </c>
      <c r="Q77" t="s">
        <v>49</v>
      </c>
      <c r="R77" t="s">
        <v>50</v>
      </c>
      <c r="S77" s="1">
        <v>46023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5969598</v>
      </c>
    </row>
    <row r="78" spans="1:37" x14ac:dyDescent="0.25">
      <c r="A78" s="1">
        <v>45980</v>
      </c>
      <c r="B78" s="1">
        <v>45980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272</v>
      </c>
      <c r="J78" t="s">
        <v>273</v>
      </c>
      <c r="M78" t="s">
        <v>89</v>
      </c>
      <c r="O78" t="s">
        <v>85</v>
      </c>
      <c r="P78" t="s">
        <v>86</v>
      </c>
      <c r="Q78" t="s">
        <v>49</v>
      </c>
      <c r="R78" t="s">
        <v>50</v>
      </c>
      <c r="S78" s="1">
        <v>46023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5969599</v>
      </c>
    </row>
    <row r="79" spans="1:37" x14ac:dyDescent="0.25">
      <c r="A79" s="1">
        <v>45980</v>
      </c>
      <c r="B79" s="1">
        <v>45980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274</v>
      </c>
      <c r="J79" t="s">
        <v>275</v>
      </c>
      <c r="M79" t="s">
        <v>55</v>
      </c>
      <c r="O79" t="s">
        <v>56</v>
      </c>
      <c r="P79" t="s">
        <v>57</v>
      </c>
      <c r="Q79" t="s">
        <v>49</v>
      </c>
      <c r="R79" t="s">
        <v>50</v>
      </c>
      <c r="S79" s="1">
        <v>46023</v>
      </c>
      <c r="U79" t="s">
        <v>51</v>
      </c>
      <c r="X79" t="s">
        <v>52</v>
      </c>
      <c r="Y79" s="2">
        <v>0</v>
      </c>
      <c r="Z79" s="2">
        <v>175</v>
      </c>
      <c r="AA79">
        <v>1</v>
      </c>
      <c r="AB79" s="3">
        <v>1</v>
      </c>
      <c r="AC79" s="2">
        <v>175</v>
      </c>
      <c r="AD79" s="3">
        <v>0</v>
      </c>
      <c r="AE79" s="2">
        <v>0</v>
      </c>
      <c r="AF79" s="2">
        <v>175</v>
      </c>
      <c r="AK79">
        <v>5969600</v>
      </c>
    </row>
    <row r="80" spans="1:37" x14ac:dyDescent="0.25">
      <c r="A80" s="1">
        <v>45980</v>
      </c>
      <c r="B80" s="1">
        <v>45980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276</v>
      </c>
      <c r="J80" t="s">
        <v>277</v>
      </c>
      <c r="M80" t="s">
        <v>278</v>
      </c>
      <c r="O80" t="s">
        <v>279</v>
      </c>
      <c r="P80" t="s">
        <v>280</v>
      </c>
      <c r="Q80" t="s">
        <v>49</v>
      </c>
      <c r="R80" t="s">
        <v>98</v>
      </c>
      <c r="S80" s="1">
        <v>46023</v>
      </c>
      <c r="U80" t="s">
        <v>51</v>
      </c>
      <c r="X80" t="s">
        <v>52</v>
      </c>
      <c r="Y80" s="2">
        <v>0</v>
      </c>
      <c r="Z80" s="2">
        <v>15</v>
      </c>
      <c r="AA80">
        <v>1</v>
      </c>
      <c r="AB80" s="3">
        <v>1</v>
      </c>
      <c r="AC80" s="2">
        <v>15</v>
      </c>
      <c r="AD80" s="3">
        <v>0</v>
      </c>
      <c r="AE80" s="2">
        <v>0</v>
      </c>
      <c r="AF80" s="2">
        <v>15</v>
      </c>
      <c r="AK80">
        <v>5969472</v>
      </c>
    </row>
    <row r="81" spans="1:37" x14ac:dyDescent="0.25">
      <c r="A81" s="1">
        <v>45980</v>
      </c>
      <c r="B81" s="1">
        <v>45980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281</v>
      </c>
      <c r="J81" t="s">
        <v>282</v>
      </c>
      <c r="M81" t="s">
        <v>55</v>
      </c>
      <c r="O81" t="s">
        <v>85</v>
      </c>
      <c r="P81" t="s">
        <v>86</v>
      </c>
      <c r="Q81" t="s">
        <v>49</v>
      </c>
      <c r="R81" t="s">
        <v>50</v>
      </c>
      <c r="S81" s="1">
        <v>46023</v>
      </c>
      <c r="U81" t="s">
        <v>51</v>
      </c>
      <c r="X81" t="s">
        <v>52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5969601</v>
      </c>
    </row>
    <row r="82" spans="1:37" x14ac:dyDescent="0.25">
      <c r="A82" s="1">
        <v>45980</v>
      </c>
      <c r="B82" s="1">
        <v>45980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283</v>
      </c>
      <c r="J82" t="s">
        <v>284</v>
      </c>
      <c r="M82" t="s">
        <v>55</v>
      </c>
      <c r="O82" t="s">
        <v>285</v>
      </c>
      <c r="P82" t="s">
        <v>286</v>
      </c>
      <c r="Q82" t="s">
        <v>49</v>
      </c>
      <c r="R82" t="s">
        <v>98</v>
      </c>
      <c r="S82" s="1">
        <v>46023</v>
      </c>
      <c r="U82" t="s">
        <v>51</v>
      </c>
      <c r="X82" t="s">
        <v>52</v>
      </c>
      <c r="Y82" s="2">
        <v>0</v>
      </c>
      <c r="Z82" s="2">
        <v>15</v>
      </c>
      <c r="AA82">
        <v>1</v>
      </c>
      <c r="AB82" s="3">
        <v>1</v>
      </c>
      <c r="AC82" s="2">
        <v>15</v>
      </c>
      <c r="AD82" s="3">
        <v>0</v>
      </c>
      <c r="AE82" s="2">
        <v>0</v>
      </c>
      <c r="AF82" s="2">
        <v>15</v>
      </c>
      <c r="AK82">
        <v>5969473</v>
      </c>
    </row>
    <row r="83" spans="1:37" x14ac:dyDescent="0.25">
      <c r="A83" s="1">
        <v>45980</v>
      </c>
      <c r="B83" s="1">
        <v>45980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287</v>
      </c>
      <c r="J83" t="s">
        <v>288</v>
      </c>
      <c r="M83" t="s">
        <v>66</v>
      </c>
      <c r="O83" t="s">
        <v>289</v>
      </c>
      <c r="P83" t="s">
        <v>290</v>
      </c>
      <c r="Q83" t="s">
        <v>49</v>
      </c>
      <c r="R83" t="s">
        <v>98</v>
      </c>
      <c r="S83" s="1">
        <v>46023</v>
      </c>
      <c r="U83" t="s">
        <v>51</v>
      </c>
      <c r="X83" t="s">
        <v>52</v>
      </c>
      <c r="Y83" s="2">
        <v>0</v>
      </c>
      <c r="Z83" s="2">
        <v>15</v>
      </c>
      <c r="AA83">
        <v>1</v>
      </c>
      <c r="AB83" s="3">
        <v>1</v>
      </c>
      <c r="AC83" s="2">
        <v>15</v>
      </c>
      <c r="AD83" s="3">
        <v>0</v>
      </c>
      <c r="AE83" s="2">
        <v>0</v>
      </c>
      <c r="AF83" s="2">
        <v>15</v>
      </c>
      <c r="AK83">
        <v>5969536</v>
      </c>
    </row>
    <row r="84" spans="1:37" x14ac:dyDescent="0.25">
      <c r="A84" s="1">
        <v>45980</v>
      </c>
      <c r="B84" s="1">
        <v>45980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291</v>
      </c>
      <c r="J84" t="s">
        <v>292</v>
      </c>
      <c r="M84" t="s">
        <v>55</v>
      </c>
      <c r="O84" t="s">
        <v>150</v>
      </c>
      <c r="P84" t="s">
        <v>151</v>
      </c>
      <c r="Q84" t="s">
        <v>49</v>
      </c>
      <c r="R84" t="s">
        <v>50</v>
      </c>
      <c r="S84" s="1">
        <v>46023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5969602</v>
      </c>
    </row>
    <row r="85" spans="1:37" x14ac:dyDescent="0.25">
      <c r="A85" s="1">
        <v>45980</v>
      </c>
      <c r="B85" s="1">
        <v>45980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293</v>
      </c>
      <c r="J85" t="s">
        <v>294</v>
      </c>
      <c r="M85" t="s">
        <v>295</v>
      </c>
      <c r="O85" t="s">
        <v>255</v>
      </c>
      <c r="P85" t="s">
        <v>256</v>
      </c>
      <c r="Q85" t="s">
        <v>49</v>
      </c>
      <c r="R85" t="s">
        <v>50</v>
      </c>
      <c r="S85" s="1">
        <v>45992</v>
      </c>
      <c r="U85" t="s">
        <v>51</v>
      </c>
      <c r="X85" t="s">
        <v>52</v>
      </c>
      <c r="Y85" s="2">
        <v>0</v>
      </c>
      <c r="Z85" s="2">
        <v>175</v>
      </c>
      <c r="AA85">
        <v>1</v>
      </c>
      <c r="AB85" s="3">
        <v>1</v>
      </c>
      <c r="AC85" s="2">
        <v>175</v>
      </c>
      <c r="AD85" s="3">
        <v>0</v>
      </c>
      <c r="AE85" s="2">
        <v>0</v>
      </c>
      <c r="AF85" s="2">
        <v>175</v>
      </c>
      <c r="AK85">
        <v>5969603</v>
      </c>
    </row>
    <row r="86" spans="1:37" x14ac:dyDescent="0.25">
      <c r="A86" s="1">
        <v>45980</v>
      </c>
      <c r="B86" s="1">
        <v>45980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296</v>
      </c>
      <c r="J86" t="s">
        <v>297</v>
      </c>
      <c r="M86" t="s">
        <v>55</v>
      </c>
      <c r="O86" t="s">
        <v>85</v>
      </c>
      <c r="P86" t="s">
        <v>86</v>
      </c>
      <c r="Q86" t="s">
        <v>49</v>
      </c>
      <c r="R86" t="s">
        <v>98</v>
      </c>
      <c r="S86" s="1">
        <v>46023</v>
      </c>
      <c r="U86" t="s">
        <v>51</v>
      </c>
      <c r="X86" t="s">
        <v>52</v>
      </c>
      <c r="Y86" s="2">
        <v>0</v>
      </c>
      <c r="Z86" s="2">
        <v>15</v>
      </c>
      <c r="AA86">
        <v>1</v>
      </c>
      <c r="AB86" s="3">
        <v>1</v>
      </c>
      <c r="AC86" s="2">
        <v>15</v>
      </c>
      <c r="AD86" s="3">
        <v>0</v>
      </c>
      <c r="AE86" s="2">
        <v>0</v>
      </c>
      <c r="AF86" s="2">
        <v>15</v>
      </c>
      <c r="AK86">
        <v>5969474</v>
      </c>
    </row>
    <row r="87" spans="1:37" x14ac:dyDescent="0.25">
      <c r="A87" s="1">
        <v>45980</v>
      </c>
      <c r="B87" s="1">
        <v>45980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298</v>
      </c>
      <c r="J87" t="s">
        <v>299</v>
      </c>
      <c r="M87" t="s">
        <v>55</v>
      </c>
      <c r="O87" t="s">
        <v>85</v>
      </c>
      <c r="P87" t="s">
        <v>86</v>
      </c>
      <c r="Q87" t="s">
        <v>49</v>
      </c>
      <c r="R87" t="s">
        <v>50</v>
      </c>
      <c r="S87" s="1">
        <v>46023</v>
      </c>
      <c r="U87" t="s">
        <v>51</v>
      </c>
      <c r="X87" t="s">
        <v>52</v>
      </c>
      <c r="Y87" s="2">
        <v>0</v>
      </c>
      <c r="Z87" s="2">
        <v>175</v>
      </c>
      <c r="AA87">
        <v>1</v>
      </c>
      <c r="AB87" s="3">
        <v>1</v>
      </c>
      <c r="AC87" s="2">
        <v>175</v>
      </c>
      <c r="AD87" s="3">
        <v>0</v>
      </c>
      <c r="AE87" s="2">
        <v>0</v>
      </c>
      <c r="AF87" s="2">
        <v>175</v>
      </c>
      <c r="AK87">
        <v>5969604</v>
      </c>
    </row>
    <row r="88" spans="1:37" x14ac:dyDescent="0.25">
      <c r="A88" s="1">
        <v>45980</v>
      </c>
      <c r="B88" s="1">
        <v>45980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300</v>
      </c>
      <c r="J88" t="s">
        <v>301</v>
      </c>
      <c r="M88" t="s">
        <v>55</v>
      </c>
      <c r="O88" t="s">
        <v>113</v>
      </c>
      <c r="P88" t="s">
        <v>114</v>
      </c>
      <c r="Q88" t="s">
        <v>49</v>
      </c>
      <c r="R88" t="s">
        <v>50</v>
      </c>
      <c r="S88" s="1">
        <v>46054</v>
      </c>
      <c r="U88" t="s">
        <v>51</v>
      </c>
      <c r="X88" t="s">
        <v>52</v>
      </c>
      <c r="Y88" s="2">
        <v>0</v>
      </c>
      <c r="Z88" s="2">
        <v>175</v>
      </c>
      <c r="AA88">
        <v>1</v>
      </c>
      <c r="AB88" s="3">
        <v>1</v>
      </c>
      <c r="AC88" s="2">
        <v>175</v>
      </c>
      <c r="AD88" s="3">
        <v>0</v>
      </c>
      <c r="AE88" s="2">
        <v>0</v>
      </c>
      <c r="AF88" s="2">
        <v>175</v>
      </c>
      <c r="AK88">
        <v>5969605</v>
      </c>
    </row>
    <row r="89" spans="1:37" x14ac:dyDescent="0.25">
      <c r="A89" s="1">
        <v>45980</v>
      </c>
      <c r="B89" s="1">
        <v>45980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302</v>
      </c>
      <c r="J89" t="s">
        <v>303</v>
      </c>
      <c r="M89" t="s">
        <v>55</v>
      </c>
      <c r="O89" t="s">
        <v>56</v>
      </c>
      <c r="P89" t="s">
        <v>57</v>
      </c>
      <c r="Q89" t="s">
        <v>49</v>
      </c>
      <c r="R89" t="s">
        <v>50</v>
      </c>
      <c r="S89" s="1">
        <v>46023</v>
      </c>
      <c r="U89" t="s">
        <v>51</v>
      </c>
      <c r="X89" t="s">
        <v>52</v>
      </c>
      <c r="Y89" s="2">
        <v>0</v>
      </c>
      <c r="Z89" s="2">
        <v>175</v>
      </c>
      <c r="AA89">
        <v>1</v>
      </c>
      <c r="AB89" s="3">
        <v>1</v>
      </c>
      <c r="AC89" s="2">
        <v>175</v>
      </c>
      <c r="AD89" s="3">
        <v>0</v>
      </c>
      <c r="AE89" s="2">
        <v>0</v>
      </c>
      <c r="AF89" s="2">
        <v>175</v>
      </c>
      <c r="AK89">
        <v>5969606</v>
      </c>
    </row>
    <row r="90" spans="1:37" x14ac:dyDescent="0.25">
      <c r="A90" s="1">
        <v>45980</v>
      </c>
      <c r="B90" s="1">
        <v>45980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304</v>
      </c>
      <c r="J90" t="s">
        <v>305</v>
      </c>
      <c r="M90" t="s">
        <v>55</v>
      </c>
      <c r="O90" t="s">
        <v>251</v>
      </c>
      <c r="P90" t="s">
        <v>252</v>
      </c>
      <c r="Q90" t="s">
        <v>49</v>
      </c>
      <c r="R90" t="s">
        <v>50</v>
      </c>
      <c r="S90" s="1">
        <v>46023</v>
      </c>
      <c r="U90" t="s">
        <v>51</v>
      </c>
      <c r="X90" t="s">
        <v>52</v>
      </c>
      <c r="Y90" s="2">
        <v>0</v>
      </c>
      <c r="Z90" s="2">
        <v>175</v>
      </c>
      <c r="AA90">
        <v>1</v>
      </c>
      <c r="AB90" s="3">
        <v>1</v>
      </c>
      <c r="AC90" s="2">
        <v>175</v>
      </c>
      <c r="AD90" s="3">
        <v>0</v>
      </c>
      <c r="AE90" s="2">
        <v>0</v>
      </c>
      <c r="AF90" s="2">
        <v>175</v>
      </c>
      <c r="AK90">
        <v>5969607</v>
      </c>
    </row>
    <row r="91" spans="1:37" x14ac:dyDescent="0.25">
      <c r="A91" s="1">
        <v>45980</v>
      </c>
      <c r="B91" s="1">
        <v>45980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306</v>
      </c>
      <c r="J91" t="s">
        <v>307</v>
      </c>
      <c r="M91" t="s">
        <v>55</v>
      </c>
      <c r="O91" t="s">
        <v>285</v>
      </c>
      <c r="P91" t="s">
        <v>286</v>
      </c>
      <c r="Q91" t="s">
        <v>49</v>
      </c>
      <c r="R91" t="s">
        <v>98</v>
      </c>
      <c r="S91" s="1">
        <v>46023</v>
      </c>
      <c r="U91" t="s">
        <v>51</v>
      </c>
      <c r="X91" t="s">
        <v>52</v>
      </c>
      <c r="Y91" s="2">
        <v>0</v>
      </c>
      <c r="Z91" s="2">
        <v>15</v>
      </c>
      <c r="AA91">
        <v>1</v>
      </c>
      <c r="AB91" s="3">
        <v>1</v>
      </c>
      <c r="AC91" s="2">
        <v>15</v>
      </c>
      <c r="AD91" s="3">
        <v>0</v>
      </c>
      <c r="AE91" s="2">
        <v>0</v>
      </c>
      <c r="AF91" s="2">
        <v>15</v>
      </c>
      <c r="AK91">
        <v>5969475</v>
      </c>
    </row>
    <row r="92" spans="1:37" x14ac:dyDescent="0.25">
      <c r="A92" s="1">
        <v>45980</v>
      </c>
      <c r="B92" s="1">
        <v>45980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308</v>
      </c>
      <c r="J92" t="s">
        <v>309</v>
      </c>
      <c r="M92" t="s">
        <v>55</v>
      </c>
      <c r="O92" t="s">
        <v>165</v>
      </c>
      <c r="P92" t="s">
        <v>166</v>
      </c>
      <c r="Q92" t="s">
        <v>49</v>
      </c>
      <c r="R92" t="s">
        <v>50</v>
      </c>
      <c r="S92" s="1">
        <v>45962</v>
      </c>
      <c r="U92" t="s">
        <v>51</v>
      </c>
      <c r="X92" t="s">
        <v>52</v>
      </c>
      <c r="Y92" s="2">
        <v>0</v>
      </c>
      <c r="Z92" s="2">
        <v>175</v>
      </c>
      <c r="AA92">
        <v>1</v>
      </c>
      <c r="AB92" s="3">
        <v>1</v>
      </c>
      <c r="AC92" s="2">
        <v>175</v>
      </c>
      <c r="AD92" s="3">
        <v>0</v>
      </c>
      <c r="AE92" s="2">
        <v>0</v>
      </c>
      <c r="AF92" s="2">
        <v>175</v>
      </c>
      <c r="AK92">
        <v>5969608</v>
      </c>
    </row>
    <row r="93" spans="1:37" x14ac:dyDescent="0.25">
      <c r="A93" s="1">
        <v>45980</v>
      </c>
      <c r="B93" s="1">
        <v>45980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310</v>
      </c>
      <c r="J93" t="s">
        <v>311</v>
      </c>
      <c r="M93" t="s">
        <v>55</v>
      </c>
      <c r="O93" t="s">
        <v>90</v>
      </c>
      <c r="P93" t="s">
        <v>91</v>
      </c>
      <c r="Q93" t="s">
        <v>49</v>
      </c>
      <c r="R93" t="s">
        <v>50</v>
      </c>
      <c r="S93" s="1">
        <v>46023</v>
      </c>
      <c r="U93" t="s">
        <v>51</v>
      </c>
      <c r="X93" t="s">
        <v>52</v>
      </c>
      <c r="Y93" s="2">
        <v>0</v>
      </c>
      <c r="Z93" s="2">
        <v>175</v>
      </c>
      <c r="AA93">
        <v>1</v>
      </c>
      <c r="AB93" s="3">
        <v>1</v>
      </c>
      <c r="AC93" s="2">
        <v>175</v>
      </c>
      <c r="AD93" s="3">
        <v>0</v>
      </c>
      <c r="AE93" s="2">
        <v>0</v>
      </c>
      <c r="AF93" s="2">
        <v>175</v>
      </c>
      <c r="AK93">
        <v>5969609</v>
      </c>
    </row>
    <row r="94" spans="1:37" x14ac:dyDescent="0.25">
      <c r="A94" s="1">
        <v>45980</v>
      </c>
      <c r="B94" s="1">
        <v>45980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312</v>
      </c>
      <c r="J94" t="s">
        <v>313</v>
      </c>
      <c r="M94" t="s">
        <v>55</v>
      </c>
      <c r="O94" t="s">
        <v>56</v>
      </c>
      <c r="P94" t="s">
        <v>57</v>
      </c>
      <c r="Q94" t="s">
        <v>49</v>
      </c>
      <c r="R94" t="s">
        <v>50</v>
      </c>
      <c r="S94" s="1">
        <v>46023</v>
      </c>
      <c r="U94" t="s">
        <v>51</v>
      </c>
      <c r="X94" t="s">
        <v>52</v>
      </c>
      <c r="Y94" s="2">
        <v>0</v>
      </c>
      <c r="Z94" s="2">
        <v>175</v>
      </c>
      <c r="AA94">
        <v>1</v>
      </c>
      <c r="AB94" s="3">
        <v>1</v>
      </c>
      <c r="AC94" s="2">
        <v>175</v>
      </c>
      <c r="AD94" s="3">
        <v>0</v>
      </c>
      <c r="AE94" s="2">
        <v>0</v>
      </c>
      <c r="AF94" s="2">
        <v>175</v>
      </c>
      <c r="AK94">
        <v>5969610</v>
      </c>
    </row>
    <row r="95" spans="1:37" x14ac:dyDescent="0.25">
      <c r="A95" s="1">
        <v>45980</v>
      </c>
      <c r="B95" s="1">
        <v>45980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314</v>
      </c>
      <c r="J95" t="s">
        <v>315</v>
      </c>
      <c r="M95" t="s">
        <v>72</v>
      </c>
      <c r="O95" t="s">
        <v>73</v>
      </c>
      <c r="P95" t="s">
        <v>74</v>
      </c>
      <c r="Q95" t="s">
        <v>49</v>
      </c>
      <c r="R95" t="s">
        <v>98</v>
      </c>
      <c r="S95" s="1">
        <v>46023</v>
      </c>
      <c r="U95" t="s">
        <v>51</v>
      </c>
      <c r="X95" t="s">
        <v>52</v>
      </c>
      <c r="Y95" s="2">
        <v>0</v>
      </c>
      <c r="Z95" s="2">
        <v>15</v>
      </c>
      <c r="AA95">
        <v>1</v>
      </c>
      <c r="AB95" s="3">
        <v>1</v>
      </c>
      <c r="AC95" s="2">
        <v>15</v>
      </c>
      <c r="AD95" s="3">
        <v>0</v>
      </c>
      <c r="AE95" s="2">
        <v>0</v>
      </c>
      <c r="AF95" s="2">
        <v>15</v>
      </c>
      <c r="AK95">
        <v>5969476</v>
      </c>
    </row>
    <row r="96" spans="1:37" x14ac:dyDescent="0.25">
      <c r="A96" s="1">
        <v>45980</v>
      </c>
      <c r="B96" s="1">
        <v>45980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316</v>
      </c>
      <c r="J96" t="s">
        <v>317</v>
      </c>
      <c r="M96" t="s">
        <v>55</v>
      </c>
      <c r="O96" t="s">
        <v>85</v>
      </c>
      <c r="P96" t="s">
        <v>86</v>
      </c>
      <c r="Q96" t="s">
        <v>49</v>
      </c>
      <c r="R96" t="s">
        <v>50</v>
      </c>
      <c r="S96" s="1">
        <v>46023</v>
      </c>
      <c r="U96" t="s">
        <v>51</v>
      </c>
      <c r="X96" t="s">
        <v>52</v>
      </c>
      <c r="Y96" s="2">
        <v>0</v>
      </c>
      <c r="Z96" s="2">
        <v>175</v>
      </c>
      <c r="AA96">
        <v>1</v>
      </c>
      <c r="AB96" s="3">
        <v>1</v>
      </c>
      <c r="AC96" s="2">
        <v>175</v>
      </c>
      <c r="AD96" s="3">
        <v>0</v>
      </c>
      <c r="AE96" s="2">
        <v>0</v>
      </c>
      <c r="AF96" s="2">
        <v>175</v>
      </c>
      <c r="AK96">
        <v>5969611</v>
      </c>
    </row>
    <row r="97" spans="1:37" x14ac:dyDescent="0.25">
      <c r="A97" s="1">
        <v>45980</v>
      </c>
      <c r="B97" s="1">
        <v>45980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318</v>
      </c>
      <c r="J97" t="s">
        <v>319</v>
      </c>
      <c r="M97" t="s">
        <v>55</v>
      </c>
      <c r="O97" t="s">
        <v>67</v>
      </c>
      <c r="P97" t="s">
        <v>68</v>
      </c>
      <c r="Q97" t="s">
        <v>49</v>
      </c>
      <c r="R97" t="s">
        <v>50</v>
      </c>
      <c r="S97" s="1">
        <v>46023</v>
      </c>
      <c r="U97" t="s">
        <v>51</v>
      </c>
      <c r="X97" t="s">
        <v>52</v>
      </c>
      <c r="Y97" s="2">
        <v>0</v>
      </c>
      <c r="Z97" s="2">
        <v>175</v>
      </c>
      <c r="AA97">
        <v>1</v>
      </c>
      <c r="AB97" s="3">
        <v>1</v>
      </c>
      <c r="AC97" s="2">
        <v>175</v>
      </c>
      <c r="AD97" s="3">
        <v>0</v>
      </c>
      <c r="AE97" s="2">
        <v>0</v>
      </c>
      <c r="AF97" s="2">
        <v>175</v>
      </c>
      <c r="AK97">
        <v>5969612</v>
      </c>
    </row>
    <row r="98" spans="1:37" x14ac:dyDescent="0.25">
      <c r="A98" s="1">
        <v>45980</v>
      </c>
      <c r="B98" s="1">
        <v>45980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320</v>
      </c>
      <c r="J98" t="s">
        <v>321</v>
      </c>
      <c r="M98" t="s">
        <v>55</v>
      </c>
      <c r="O98" t="s">
        <v>139</v>
      </c>
      <c r="P98" t="s">
        <v>140</v>
      </c>
      <c r="Q98" t="s">
        <v>49</v>
      </c>
      <c r="R98" t="s">
        <v>98</v>
      </c>
      <c r="S98" s="1">
        <v>46023</v>
      </c>
      <c r="U98" t="s">
        <v>51</v>
      </c>
      <c r="X98" t="s">
        <v>52</v>
      </c>
      <c r="Y98" s="2">
        <v>0</v>
      </c>
      <c r="Z98" s="2">
        <v>15</v>
      </c>
      <c r="AA98">
        <v>1</v>
      </c>
      <c r="AB98" s="3">
        <v>1</v>
      </c>
      <c r="AC98" s="2">
        <v>15</v>
      </c>
      <c r="AD98" s="3">
        <v>0</v>
      </c>
      <c r="AE98" s="2">
        <v>0</v>
      </c>
      <c r="AF98" s="2">
        <v>15</v>
      </c>
      <c r="AK98">
        <v>5969477</v>
      </c>
    </row>
    <row r="99" spans="1:37" x14ac:dyDescent="0.25">
      <c r="A99" s="1">
        <v>45980</v>
      </c>
      <c r="B99" s="1">
        <v>45980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322</v>
      </c>
      <c r="J99" t="s">
        <v>323</v>
      </c>
      <c r="M99" t="s">
        <v>55</v>
      </c>
      <c r="O99" t="s">
        <v>324</v>
      </c>
      <c r="P99" t="s">
        <v>325</v>
      </c>
      <c r="Q99" t="s">
        <v>49</v>
      </c>
      <c r="R99" t="s">
        <v>98</v>
      </c>
      <c r="S99" s="1">
        <v>46023</v>
      </c>
      <c r="U99" t="s">
        <v>51</v>
      </c>
      <c r="X99" t="s">
        <v>52</v>
      </c>
      <c r="Y99" s="2">
        <v>0</v>
      </c>
      <c r="Z99" s="2">
        <v>15</v>
      </c>
      <c r="AA99">
        <v>1</v>
      </c>
      <c r="AB99" s="3">
        <v>1</v>
      </c>
      <c r="AC99" s="2">
        <v>15</v>
      </c>
      <c r="AD99" s="3">
        <v>0</v>
      </c>
      <c r="AE99" s="2">
        <v>0</v>
      </c>
      <c r="AF99" s="2">
        <v>15</v>
      </c>
      <c r="AK99">
        <v>5969478</v>
      </c>
    </row>
    <row r="100" spans="1:37" x14ac:dyDescent="0.25">
      <c r="A100" s="1">
        <v>45980</v>
      </c>
      <c r="B100" s="1">
        <v>45980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326</v>
      </c>
      <c r="J100" t="s">
        <v>327</v>
      </c>
      <c r="M100" t="s">
        <v>55</v>
      </c>
      <c r="O100" t="s">
        <v>67</v>
      </c>
      <c r="P100" t="s">
        <v>68</v>
      </c>
      <c r="Q100" t="s">
        <v>49</v>
      </c>
      <c r="R100" t="s">
        <v>50</v>
      </c>
      <c r="S100" s="1">
        <v>46023</v>
      </c>
      <c r="U100" t="s">
        <v>51</v>
      </c>
      <c r="X100" t="s">
        <v>52</v>
      </c>
      <c r="Y100" s="2">
        <v>0</v>
      </c>
      <c r="Z100" s="2">
        <v>175</v>
      </c>
      <c r="AA100">
        <v>1</v>
      </c>
      <c r="AB100" s="3">
        <v>1</v>
      </c>
      <c r="AC100" s="2">
        <v>175</v>
      </c>
      <c r="AD100" s="3">
        <v>0</v>
      </c>
      <c r="AE100" s="2">
        <v>0</v>
      </c>
      <c r="AF100" s="2">
        <v>175</v>
      </c>
      <c r="AK100">
        <v>5969613</v>
      </c>
    </row>
    <row r="101" spans="1:37" x14ac:dyDescent="0.25">
      <c r="A101" s="1">
        <v>45980</v>
      </c>
      <c r="B101" s="1">
        <v>45980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328</v>
      </c>
      <c r="J101" t="s">
        <v>329</v>
      </c>
      <c r="M101" t="s">
        <v>246</v>
      </c>
      <c r="O101" t="s">
        <v>81</v>
      </c>
      <c r="P101" t="s">
        <v>82</v>
      </c>
      <c r="Q101" t="s">
        <v>49</v>
      </c>
      <c r="R101" t="s">
        <v>50</v>
      </c>
      <c r="S101" s="1">
        <v>46023</v>
      </c>
      <c r="U101" t="s">
        <v>51</v>
      </c>
      <c r="X101" t="s">
        <v>52</v>
      </c>
      <c r="Y101" s="2">
        <v>0</v>
      </c>
      <c r="Z101" s="2">
        <v>175</v>
      </c>
      <c r="AA101">
        <v>1</v>
      </c>
      <c r="AB101" s="3">
        <v>1</v>
      </c>
      <c r="AC101" s="2">
        <v>175</v>
      </c>
      <c r="AD101" s="3">
        <v>0</v>
      </c>
      <c r="AE101" s="2">
        <v>0</v>
      </c>
      <c r="AF101" s="2">
        <v>175</v>
      </c>
      <c r="AK101">
        <v>5969614</v>
      </c>
    </row>
    <row r="102" spans="1:37" x14ac:dyDescent="0.25">
      <c r="A102" s="1">
        <v>45980</v>
      </c>
      <c r="B102" s="1">
        <v>45980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330</v>
      </c>
      <c r="J102" t="s">
        <v>331</v>
      </c>
      <c r="M102" t="s">
        <v>55</v>
      </c>
      <c r="O102" t="s">
        <v>251</v>
      </c>
      <c r="P102" t="s">
        <v>252</v>
      </c>
      <c r="Q102" t="s">
        <v>49</v>
      </c>
      <c r="R102" t="s">
        <v>98</v>
      </c>
      <c r="S102" s="1">
        <v>46023</v>
      </c>
      <c r="U102" t="s">
        <v>51</v>
      </c>
      <c r="X102" t="s">
        <v>52</v>
      </c>
      <c r="Y102" s="2">
        <v>0</v>
      </c>
      <c r="Z102" s="2">
        <v>15</v>
      </c>
      <c r="AA102">
        <v>1</v>
      </c>
      <c r="AB102" s="3">
        <v>1</v>
      </c>
      <c r="AC102" s="2">
        <v>15</v>
      </c>
      <c r="AD102" s="3">
        <v>0</v>
      </c>
      <c r="AE102" s="2">
        <v>0</v>
      </c>
      <c r="AF102" s="2">
        <v>15</v>
      </c>
      <c r="AK102">
        <v>5969479</v>
      </c>
    </row>
    <row r="103" spans="1:37" x14ac:dyDescent="0.25">
      <c r="A103" s="1">
        <v>45980</v>
      </c>
      <c r="B103" s="1">
        <v>45980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332</v>
      </c>
      <c r="J103" t="s">
        <v>333</v>
      </c>
      <c r="M103" t="s">
        <v>55</v>
      </c>
      <c r="O103" t="s">
        <v>285</v>
      </c>
      <c r="P103" t="s">
        <v>286</v>
      </c>
      <c r="Q103" t="s">
        <v>49</v>
      </c>
      <c r="R103" t="s">
        <v>98</v>
      </c>
      <c r="S103" s="1">
        <v>46023</v>
      </c>
      <c r="U103" t="s">
        <v>51</v>
      </c>
      <c r="X103" t="s">
        <v>52</v>
      </c>
      <c r="Y103" s="2">
        <v>0</v>
      </c>
      <c r="Z103" s="2">
        <v>15</v>
      </c>
      <c r="AA103">
        <v>1</v>
      </c>
      <c r="AB103" s="3">
        <v>1</v>
      </c>
      <c r="AC103" s="2">
        <v>15</v>
      </c>
      <c r="AD103" s="3">
        <v>0</v>
      </c>
      <c r="AE103" s="2">
        <v>0</v>
      </c>
      <c r="AF103" s="2">
        <v>15</v>
      </c>
      <c r="AK103">
        <v>5969480</v>
      </c>
    </row>
    <row r="104" spans="1:37" x14ac:dyDescent="0.25">
      <c r="A104" s="1">
        <v>45980</v>
      </c>
      <c r="B104" s="1">
        <v>45980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334</v>
      </c>
      <c r="J104" t="s">
        <v>335</v>
      </c>
      <c r="M104" t="s">
        <v>55</v>
      </c>
      <c r="O104" t="s">
        <v>73</v>
      </c>
      <c r="P104" t="s">
        <v>74</v>
      </c>
      <c r="Q104" t="s">
        <v>49</v>
      </c>
      <c r="R104" t="s">
        <v>98</v>
      </c>
      <c r="S104" s="1">
        <v>46023</v>
      </c>
      <c r="U104" t="s">
        <v>51</v>
      </c>
      <c r="X104" t="s">
        <v>52</v>
      </c>
      <c r="Y104" s="2">
        <v>0</v>
      </c>
      <c r="Z104" s="2">
        <v>15</v>
      </c>
      <c r="AA104">
        <v>1</v>
      </c>
      <c r="AB104" s="3">
        <v>1</v>
      </c>
      <c r="AC104" s="2">
        <v>15</v>
      </c>
      <c r="AD104" s="3">
        <v>0</v>
      </c>
      <c r="AE104" s="2">
        <v>0</v>
      </c>
      <c r="AF104" s="2">
        <v>15</v>
      </c>
      <c r="AK104">
        <v>5969481</v>
      </c>
    </row>
    <row r="105" spans="1:37" x14ac:dyDescent="0.25">
      <c r="A105" s="1">
        <v>45980</v>
      </c>
      <c r="B105" s="1">
        <v>45980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336</v>
      </c>
      <c r="J105" t="s">
        <v>337</v>
      </c>
      <c r="M105" t="s">
        <v>55</v>
      </c>
      <c r="O105" t="s">
        <v>85</v>
      </c>
      <c r="P105" t="s">
        <v>86</v>
      </c>
      <c r="Q105" t="s">
        <v>49</v>
      </c>
      <c r="R105" t="s">
        <v>50</v>
      </c>
      <c r="S105" s="1">
        <v>46023</v>
      </c>
      <c r="U105" t="s">
        <v>51</v>
      </c>
      <c r="X105" t="s">
        <v>52</v>
      </c>
      <c r="Y105" s="2">
        <v>0</v>
      </c>
      <c r="Z105" s="2">
        <v>175</v>
      </c>
      <c r="AA105">
        <v>1</v>
      </c>
      <c r="AB105" s="3">
        <v>1</v>
      </c>
      <c r="AC105" s="2">
        <v>175</v>
      </c>
      <c r="AD105" s="3">
        <v>0</v>
      </c>
      <c r="AE105" s="2">
        <v>0</v>
      </c>
      <c r="AF105" s="2">
        <v>175</v>
      </c>
      <c r="AK105">
        <v>5969615</v>
      </c>
    </row>
    <row r="106" spans="1:37" x14ac:dyDescent="0.25">
      <c r="A106" s="1">
        <v>45980</v>
      </c>
      <c r="B106" s="1">
        <v>45980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338</v>
      </c>
      <c r="J106" t="s">
        <v>339</v>
      </c>
      <c r="M106" t="s">
        <v>89</v>
      </c>
      <c r="O106" t="s">
        <v>85</v>
      </c>
      <c r="P106" t="s">
        <v>86</v>
      </c>
      <c r="Q106" t="s">
        <v>49</v>
      </c>
      <c r="R106" t="s">
        <v>50</v>
      </c>
      <c r="S106" s="1">
        <v>46023</v>
      </c>
      <c r="U106" t="s">
        <v>51</v>
      </c>
      <c r="X106" t="s">
        <v>52</v>
      </c>
      <c r="Y106" s="2">
        <v>0</v>
      </c>
      <c r="Z106" s="2">
        <v>175</v>
      </c>
      <c r="AA106">
        <v>1</v>
      </c>
      <c r="AB106" s="3">
        <v>1</v>
      </c>
      <c r="AC106" s="2">
        <v>175</v>
      </c>
      <c r="AD106" s="3">
        <v>0</v>
      </c>
      <c r="AE106" s="2">
        <v>0</v>
      </c>
      <c r="AF106" s="2">
        <v>175</v>
      </c>
      <c r="AK106">
        <v>5969616</v>
      </c>
    </row>
    <row r="107" spans="1:37" x14ac:dyDescent="0.25">
      <c r="A107" s="1">
        <v>45980</v>
      </c>
      <c r="B107" s="1">
        <v>45980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340</v>
      </c>
      <c r="J107" t="s">
        <v>341</v>
      </c>
      <c r="M107" t="s">
        <v>55</v>
      </c>
      <c r="O107" t="s">
        <v>177</v>
      </c>
      <c r="P107" t="s">
        <v>178</v>
      </c>
      <c r="Q107" t="s">
        <v>49</v>
      </c>
      <c r="R107" t="s">
        <v>98</v>
      </c>
      <c r="S107" s="1">
        <v>46023</v>
      </c>
      <c r="U107" t="s">
        <v>51</v>
      </c>
      <c r="X107" t="s">
        <v>52</v>
      </c>
      <c r="Y107" s="2">
        <v>0</v>
      </c>
      <c r="Z107" s="2">
        <v>15</v>
      </c>
      <c r="AA107">
        <v>1</v>
      </c>
      <c r="AB107" s="3">
        <v>1</v>
      </c>
      <c r="AC107" s="2">
        <v>15</v>
      </c>
      <c r="AD107" s="3">
        <v>0</v>
      </c>
      <c r="AE107" s="2">
        <v>0</v>
      </c>
      <c r="AF107" s="2">
        <v>15</v>
      </c>
      <c r="AK107">
        <v>5969482</v>
      </c>
    </row>
    <row r="108" spans="1:37" x14ac:dyDescent="0.25">
      <c r="A108" s="1">
        <v>45980</v>
      </c>
      <c r="B108" s="1">
        <v>45980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342</v>
      </c>
      <c r="J108" t="s">
        <v>343</v>
      </c>
      <c r="M108" t="s">
        <v>55</v>
      </c>
      <c r="O108" t="s">
        <v>85</v>
      </c>
      <c r="P108" t="s">
        <v>86</v>
      </c>
      <c r="Q108" t="s">
        <v>49</v>
      </c>
      <c r="R108" t="s">
        <v>50</v>
      </c>
      <c r="S108" s="1">
        <v>46023</v>
      </c>
      <c r="U108" t="s">
        <v>51</v>
      </c>
      <c r="X108" t="s">
        <v>52</v>
      </c>
      <c r="Y108" s="2">
        <v>0</v>
      </c>
      <c r="Z108" s="2">
        <v>175</v>
      </c>
      <c r="AA108">
        <v>1</v>
      </c>
      <c r="AB108" s="3">
        <v>1</v>
      </c>
      <c r="AC108" s="2">
        <v>175</v>
      </c>
      <c r="AD108" s="3">
        <v>0</v>
      </c>
      <c r="AE108" s="2">
        <v>0</v>
      </c>
      <c r="AF108" s="2">
        <v>175</v>
      </c>
      <c r="AK108">
        <v>5969617</v>
      </c>
    </row>
    <row r="109" spans="1:37" x14ac:dyDescent="0.25">
      <c r="A109" s="1">
        <v>45980</v>
      </c>
      <c r="B109" s="1">
        <v>45980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344</v>
      </c>
      <c r="J109" t="s">
        <v>345</v>
      </c>
      <c r="M109" t="s">
        <v>55</v>
      </c>
      <c r="O109" t="s">
        <v>56</v>
      </c>
      <c r="P109" t="s">
        <v>57</v>
      </c>
      <c r="Q109" t="s">
        <v>49</v>
      </c>
      <c r="R109" t="s">
        <v>50</v>
      </c>
      <c r="S109" s="1">
        <v>46023</v>
      </c>
      <c r="U109" t="s">
        <v>51</v>
      </c>
      <c r="X109" t="s">
        <v>52</v>
      </c>
      <c r="Y109" s="2">
        <v>0</v>
      </c>
      <c r="Z109" s="2">
        <v>175</v>
      </c>
      <c r="AA109">
        <v>1</v>
      </c>
      <c r="AB109" s="3">
        <v>1</v>
      </c>
      <c r="AC109" s="2">
        <v>175</v>
      </c>
      <c r="AD109" s="3">
        <v>0</v>
      </c>
      <c r="AE109" s="2">
        <v>0</v>
      </c>
      <c r="AF109" s="2">
        <v>175</v>
      </c>
      <c r="AK109">
        <v>5969618</v>
      </c>
    </row>
    <row r="110" spans="1:37" x14ac:dyDescent="0.25">
      <c r="A110" s="1">
        <v>45980</v>
      </c>
      <c r="B110" s="1">
        <v>45980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346</v>
      </c>
      <c r="J110" t="s">
        <v>347</v>
      </c>
      <c r="M110" t="s">
        <v>55</v>
      </c>
      <c r="O110" t="s">
        <v>56</v>
      </c>
      <c r="P110" t="s">
        <v>57</v>
      </c>
      <c r="Q110" t="s">
        <v>49</v>
      </c>
      <c r="R110" t="s">
        <v>50</v>
      </c>
      <c r="S110" s="1">
        <v>45962</v>
      </c>
      <c r="U110" t="s">
        <v>51</v>
      </c>
      <c r="X110" t="s">
        <v>52</v>
      </c>
      <c r="Y110" s="2">
        <v>0</v>
      </c>
      <c r="Z110" s="2">
        <v>175</v>
      </c>
      <c r="AA110">
        <v>1</v>
      </c>
      <c r="AB110" s="3">
        <v>1</v>
      </c>
      <c r="AC110" s="2">
        <v>175</v>
      </c>
      <c r="AD110" s="3">
        <v>0</v>
      </c>
      <c r="AE110" s="2">
        <v>0</v>
      </c>
      <c r="AF110" s="2">
        <v>175</v>
      </c>
      <c r="AK110">
        <v>5969619</v>
      </c>
    </row>
    <row r="111" spans="1:37" x14ac:dyDescent="0.25">
      <c r="A111" s="1">
        <v>45980</v>
      </c>
      <c r="B111" s="1">
        <v>45980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348</v>
      </c>
      <c r="J111" t="s">
        <v>349</v>
      </c>
      <c r="M111" t="s">
        <v>246</v>
      </c>
      <c r="O111" t="s">
        <v>228</v>
      </c>
      <c r="P111" t="s">
        <v>229</v>
      </c>
      <c r="Q111" t="s">
        <v>49</v>
      </c>
      <c r="R111" t="s">
        <v>50</v>
      </c>
      <c r="S111" s="1">
        <v>46023</v>
      </c>
      <c r="U111" t="s">
        <v>51</v>
      </c>
      <c r="X111" t="s">
        <v>52</v>
      </c>
      <c r="Y111" s="2">
        <v>0</v>
      </c>
      <c r="Z111" s="2">
        <v>175</v>
      </c>
      <c r="AA111">
        <v>1</v>
      </c>
      <c r="AB111" s="3">
        <v>1</v>
      </c>
      <c r="AC111" s="2">
        <v>175</v>
      </c>
      <c r="AD111" s="3">
        <v>0</v>
      </c>
      <c r="AE111" s="2">
        <v>0</v>
      </c>
      <c r="AF111" s="2">
        <v>175</v>
      </c>
      <c r="AK111">
        <v>5969620</v>
      </c>
    </row>
    <row r="112" spans="1:37" x14ac:dyDescent="0.25">
      <c r="A112" s="1">
        <v>45980</v>
      </c>
      <c r="B112" s="1">
        <v>45980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350</v>
      </c>
      <c r="J112" t="s">
        <v>351</v>
      </c>
      <c r="M112" t="s">
        <v>55</v>
      </c>
      <c r="O112" t="s">
        <v>85</v>
      </c>
      <c r="P112" t="s">
        <v>86</v>
      </c>
      <c r="Q112" t="s">
        <v>49</v>
      </c>
      <c r="R112" t="s">
        <v>50</v>
      </c>
      <c r="S112" s="1">
        <v>45992</v>
      </c>
      <c r="U112" t="s">
        <v>51</v>
      </c>
      <c r="X112" t="s">
        <v>52</v>
      </c>
      <c r="Y112" s="2">
        <v>0</v>
      </c>
      <c r="Z112" s="2">
        <v>175</v>
      </c>
      <c r="AA112">
        <v>1</v>
      </c>
      <c r="AB112" s="3">
        <v>1</v>
      </c>
      <c r="AC112" s="2">
        <v>175</v>
      </c>
      <c r="AD112" s="3">
        <v>0</v>
      </c>
      <c r="AE112" s="2">
        <v>0</v>
      </c>
      <c r="AF112" s="2">
        <v>175</v>
      </c>
      <c r="AK112">
        <v>5969621</v>
      </c>
    </row>
    <row r="113" spans="1:37" x14ac:dyDescent="0.25">
      <c r="A113" s="1">
        <v>45980</v>
      </c>
      <c r="B113" s="1">
        <v>45980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352</v>
      </c>
      <c r="J113" t="s">
        <v>353</v>
      </c>
      <c r="M113" t="s">
        <v>154</v>
      </c>
      <c r="O113" t="s">
        <v>354</v>
      </c>
      <c r="P113" t="s">
        <v>355</v>
      </c>
      <c r="Q113" t="s">
        <v>49</v>
      </c>
      <c r="R113" t="s">
        <v>50</v>
      </c>
      <c r="S113" s="1">
        <v>46023</v>
      </c>
      <c r="U113" t="s">
        <v>51</v>
      </c>
      <c r="X113" t="s">
        <v>52</v>
      </c>
      <c r="Y113" s="2">
        <v>0</v>
      </c>
      <c r="Z113" s="2">
        <v>175</v>
      </c>
      <c r="AA113">
        <v>1</v>
      </c>
      <c r="AB113" s="3">
        <v>1</v>
      </c>
      <c r="AC113" s="2">
        <v>175</v>
      </c>
      <c r="AD113" s="3">
        <v>0</v>
      </c>
      <c r="AE113" s="2">
        <v>0</v>
      </c>
      <c r="AF113" s="2">
        <v>175</v>
      </c>
      <c r="AK113">
        <v>5969357</v>
      </c>
    </row>
    <row r="114" spans="1:37" x14ac:dyDescent="0.25">
      <c r="A114" s="1">
        <v>45980</v>
      </c>
      <c r="B114" s="1">
        <v>45980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356</v>
      </c>
      <c r="J114" t="s">
        <v>357</v>
      </c>
      <c r="M114" t="s">
        <v>72</v>
      </c>
      <c r="O114" t="s">
        <v>73</v>
      </c>
      <c r="P114" t="s">
        <v>74</v>
      </c>
      <c r="Q114" t="s">
        <v>49</v>
      </c>
      <c r="R114" t="s">
        <v>50</v>
      </c>
      <c r="S114" s="1">
        <v>46023</v>
      </c>
      <c r="U114" t="s">
        <v>51</v>
      </c>
      <c r="X114" t="s">
        <v>52</v>
      </c>
      <c r="Y114" s="2">
        <v>0</v>
      </c>
      <c r="Z114" s="2">
        <v>175</v>
      </c>
      <c r="AA114">
        <v>1</v>
      </c>
      <c r="AB114" s="3">
        <v>1</v>
      </c>
      <c r="AC114" s="2">
        <v>175</v>
      </c>
      <c r="AD114" s="3">
        <v>0</v>
      </c>
      <c r="AE114" s="2">
        <v>0</v>
      </c>
      <c r="AF114" s="2">
        <v>175</v>
      </c>
      <c r="AK114">
        <v>5969622</v>
      </c>
    </row>
    <row r="115" spans="1:37" x14ac:dyDescent="0.25">
      <c r="A115" s="1">
        <v>45980</v>
      </c>
      <c r="B115" s="1">
        <v>45980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358</v>
      </c>
      <c r="J115" t="s">
        <v>359</v>
      </c>
      <c r="M115" t="s">
        <v>154</v>
      </c>
      <c r="O115" t="s">
        <v>155</v>
      </c>
      <c r="P115" t="s">
        <v>156</v>
      </c>
      <c r="Q115" t="s">
        <v>49</v>
      </c>
      <c r="R115" t="s">
        <v>50</v>
      </c>
      <c r="S115" s="1">
        <v>46023</v>
      </c>
      <c r="U115" t="s">
        <v>51</v>
      </c>
      <c r="X115" t="s">
        <v>52</v>
      </c>
      <c r="Y115" s="2">
        <v>0</v>
      </c>
      <c r="Z115" s="2">
        <v>175</v>
      </c>
      <c r="AA115">
        <v>1</v>
      </c>
      <c r="AB115" s="3">
        <v>1</v>
      </c>
      <c r="AC115" s="2">
        <v>175</v>
      </c>
      <c r="AD115" s="3">
        <v>0</v>
      </c>
      <c r="AE115" s="2">
        <v>0</v>
      </c>
      <c r="AF115" s="2">
        <v>175</v>
      </c>
      <c r="AK115">
        <v>5969623</v>
      </c>
    </row>
    <row r="116" spans="1:37" x14ac:dyDescent="0.25">
      <c r="A116" s="1">
        <v>45980</v>
      </c>
      <c r="B116" s="1">
        <v>45980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360</v>
      </c>
      <c r="J116" t="s">
        <v>361</v>
      </c>
      <c r="M116" t="s">
        <v>55</v>
      </c>
      <c r="O116" t="s">
        <v>90</v>
      </c>
      <c r="P116" t="s">
        <v>91</v>
      </c>
      <c r="Q116" t="s">
        <v>49</v>
      </c>
      <c r="R116" t="s">
        <v>50</v>
      </c>
      <c r="S116" s="1">
        <v>46023</v>
      </c>
      <c r="U116" t="s">
        <v>51</v>
      </c>
      <c r="X116" t="s">
        <v>52</v>
      </c>
      <c r="Y116" s="2">
        <v>0</v>
      </c>
      <c r="Z116" s="2">
        <v>175</v>
      </c>
      <c r="AA116">
        <v>1</v>
      </c>
      <c r="AB116" s="3">
        <v>1</v>
      </c>
      <c r="AC116" s="2">
        <v>175</v>
      </c>
      <c r="AD116" s="3">
        <v>0</v>
      </c>
      <c r="AE116" s="2">
        <v>0</v>
      </c>
      <c r="AF116" s="2">
        <v>175</v>
      </c>
      <c r="AK116">
        <v>5969624</v>
      </c>
    </row>
    <row r="117" spans="1:37" x14ac:dyDescent="0.25">
      <c r="A117" s="1">
        <v>45980</v>
      </c>
      <c r="B117" s="1">
        <v>45980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362</v>
      </c>
      <c r="J117" t="s">
        <v>363</v>
      </c>
      <c r="M117" t="s">
        <v>55</v>
      </c>
      <c r="O117" t="s">
        <v>85</v>
      </c>
      <c r="P117" t="s">
        <v>86</v>
      </c>
      <c r="Q117" t="s">
        <v>49</v>
      </c>
      <c r="R117" t="s">
        <v>50</v>
      </c>
      <c r="S117" s="1">
        <v>46023</v>
      </c>
      <c r="U117" t="s">
        <v>51</v>
      </c>
      <c r="X117" t="s">
        <v>52</v>
      </c>
      <c r="Y117" s="2">
        <v>0</v>
      </c>
      <c r="Z117" s="2">
        <v>175</v>
      </c>
      <c r="AA117">
        <v>1</v>
      </c>
      <c r="AB117" s="3">
        <v>1</v>
      </c>
      <c r="AC117" s="2">
        <v>175</v>
      </c>
      <c r="AD117" s="3">
        <v>0</v>
      </c>
      <c r="AE117" s="2">
        <v>0</v>
      </c>
      <c r="AF117" s="2">
        <v>175</v>
      </c>
      <c r="AK117">
        <v>5969625</v>
      </c>
    </row>
    <row r="118" spans="1:37" x14ac:dyDescent="0.25">
      <c r="A118" s="1">
        <v>45980</v>
      </c>
      <c r="B118" s="1">
        <v>45980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364</v>
      </c>
      <c r="J118" t="s">
        <v>365</v>
      </c>
      <c r="M118" t="s">
        <v>55</v>
      </c>
      <c r="O118" t="s">
        <v>85</v>
      </c>
      <c r="P118" t="s">
        <v>86</v>
      </c>
      <c r="Q118" t="s">
        <v>49</v>
      </c>
      <c r="R118" t="s">
        <v>50</v>
      </c>
      <c r="S118" s="1">
        <v>46023</v>
      </c>
      <c r="U118" t="s">
        <v>51</v>
      </c>
      <c r="X118" t="s">
        <v>52</v>
      </c>
      <c r="Y118" s="2">
        <v>0</v>
      </c>
      <c r="Z118" s="2">
        <v>175</v>
      </c>
      <c r="AA118">
        <v>1</v>
      </c>
      <c r="AB118" s="3">
        <v>1</v>
      </c>
      <c r="AC118" s="2">
        <v>175</v>
      </c>
      <c r="AD118" s="3">
        <v>0</v>
      </c>
      <c r="AE118" s="2">
        <v>0</v>
      </c>
      <c r="AF118" s="2">
        <v>175</v>
      </c>
      <c r="AK118">
        <v>5969626</v>
      </c>
    </row>
    <row r="119" spans="1:37" x14ac:dyDescent="0.25">
      <c r="A119" s="1">
        <v>45980</v>
      </c>
      <c r="B119" s="1">
        <v>45980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366</v>
      </c>
      <c r="J119" t="s">
        <v>367</v>
      </c>
      <c r="M119" t="s">
        <v>55</v>
      </c>
      <c r="O119" t="s">
        <v>368</v>
      </c>
      <c r="P119" t="s">
        <v>369</v>
      </c>
      <c r="Q119" t="s">
        <v>49</v>
      </c>
      <c r="R119" t="s">
        <v>50</v>
      </c>
      <c r="S119" s="1">
        <v>46023</v>
      </c>
      <c r="U119" t="s">
        <v>51</v>
      </c>
      <c r="X119" t="s">
        <v>52</v>
      </c>
      <c r="Y119" s="2">
        <v>0</v>
      </c>
      <c r="Z119" s="2">
        <v>175</v>
      </c>
      <c r="AA119">
        <v>1</v>
      </c>
      <c r="AB119" s="3">
        <v>1</v>
      </c>
      <c r="AC119" s="2">
        <v>175</v>
      </c>
      <c r="AD119" s="3">
        <v>0</v>
      </c>
      <c r="AE119" s="2">
        <v>0</v>
      </c>
      <c r="AF119" s="2">
        <v>175</v>
      </c>
      <c r="AK119">
        <v>5969627</v>
      </c>
    </row>
    <row r="120" spans="1:37" x14ac:dyDescent="0.25">
      <c r="A120" s="1">
        <v>45980</v>
      </c>
      <c r="B120" s="1">
        <v>45980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370</v>
      </c>
      <c r="J120" t="s">
        <v>371</v>
      </c>
      <c r="M120" t="s">
        <v>55</v>
      </c>
      <c r="O120" t="s">
        <v>85</v>
      </c>
      <c r="P120" t="s">
        <v>86</v>
      </c>
      <c r="Q120" t="s">
        <v>49</v>
      </c>
      <c r="R120" t="s">
        <v>50</v>
      </c>
      <c r="S120" s="1">
        <v>46023</v>
      </c>
      <c r="U120" t="s">
        <v>51</v>
      </c>
      <c r="X120" t="s">
        <v>52</v>
      </c>
      <c r="Y120" s="2">
        <v>0</v>
      </c>
      <c r="Z120" s="2">
        <v>175</v>
      </c>
      <c r="AA120">
        <v>1</v>
      </c>
      <c r="AB120" s="3">
        <v>1</v>
      </c>
      <c r="AC120" s="2">
        <v>175</v>
      </c>
      <c r="AD120" s="3">
        <v>0</v>
      </c>
      <c r="AE120" s="2">
        <v>0</v>
      </c>
      <c r="AF120" s="2">
        <v>175</v>
      </c>
      <c r="AK120">
        <v>5969628</v>
      </c>
    </row>
    <row r="121" spans="1:37" x14ac:dyDescent="0.25">
      <c r="A121" s="1">
        <v>45980</v>
      </c>
      <c r="B121" s="1">
        <v>45980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372</v>
      </c>
      <c r="J121" t="s">
        <v>373</v>
      </c>
      <c r="M121" t="s">
        <v>55</v>
      </c>
      <c r="O121" t="s">
        <v>85</v>
      </c>
      <c r="P121" t="s">
        <v>86</v>
      </c>
      <c r="Q121" t="s">
        <v>49</v>
      </c>
      <c r="R121" t="s">
        <v>50</v>
      </c>
      <c r="S121" s="1">
        <v>46023</v>
      </c>
      <c r="U121" t="s">
        <v>51</v>
      </c>
      <c r="X121" t="s">
        <v>52</v>
      </c>
      <c r="Y121" s="2">
        <v>0</v>
      </c>
      <c r="Z121" s="2">
        <v>175</v>
      </c>
      <c r="AA121">
        <v>1</v>
      </c>
      <c r="AB121" s="3">
        <v>1</v>
      </c>
      <c r="AC121" s="2">
        <v>175</v>
      </c>
      <c r="AD121" s="3">
        <v>0</v>
      </c>
      <c r="AE121" s="2">
        <v>0</v>
      </c>
      <c r="AF121" s="2">
        <v>175</v>
      </c>
      <c r="AK121">
        <v>5969629</v>
      </c>
    </row>
    <row r="122" spans="1:37" x14ac:dyDescent="0.25">
      <c r="A122" s="1">
        <v>45980</v>
      </c>
      <c r="B122" s="1">
        <v>45980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374</v>
      </c>
      <c r="J122" t="s">
        <v>375</v>
      </c>
      <c r="M122" t="s">
        <v>55</v>
      </c>
      <c r="O122" t="s">
        <v>85</v>
      </c>
      <c r="P122" t="s">
        <v>86</v>
      </c>
      <c r="Q122" t="s">
        <v>49</v>
      </c>
      <c r="R122" t="s">
        <v>50</v>
      </c>
      <c r="S122" s="1">
        <v>46023</v>
      </c>
      <c r="U122" t="s">
        <v>51</v>
      </c>
      <c r="X122" t="s">
        <v>52</v>
      </c>
      <c r="Y122" s="2">
        <v>0</v>
      </c>
      <c r="Z122" s="2">
        <v>175</v>
      </c>
      <c r="AA122">
        <v>1</v>
      </c>
      <c r="AB122" s="3">
        <v>1</v>
      </c>
      <c r="AC122" s="2">
        <v>175</v>
      </c>
      <c r="AD122" s="3">
        <v>0</v>
      </c>
      <c r="AE122" s="2">
        <v>0</v>
      </c>
      <c r="AF122" s="2">
        <v>175</v>
      </c>
      <c r="AK122">
        <v>5969630</v>
      </c>
    </row>
    <row r="123" spans="1:37" x14ac:dyDescent="0.25">
      <c r="A123" s="1">
        <v>45980</v>
      </c>
      <c r="B123" s="1">
        <v>45980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376</v>
      </c>
      <c r="J123" t="s">
        <v>377</v>
      </c>
      <c r="M123" t="s">
        <v>55</v>
      </c>
      <c r="O123" t="s">
        <v>378</v>
      </c>
      <c r="P123" t="s">
        <v>379</v>
      </c>
      <c r="Q123" t="s">
        <v>49</v>
      </c>
      <c r="R123" t="s">
        <v>50</v>
      </c>
      <c r="S123" s="1">
        <v>46023</v>
      </c>
      <c r="U123" t="s">
        <v>51</v>
      </c>
      <c r="X123" t="s">
        <v>52</v>
      </c>
      <c r="Y123" s="2">
        <v>0</v>
      </c>
      <c r="Z123" s="2">
        <v>175</v>
      </c>
      <c r="AA123">
        <v>1</v>
      </c>
      <c r="AB123" s="3">
        <v>1</v>
      </c>
      <c r="AC123" s="2">
        <v>175</v>
      </c>
      <c r="AD123" s="3">
        <v>0</v>
      </c>
      <c r="AE123" s="2">
        <v>0</v>
      </c>
      <c r="AF123" s="2">
        <v>175</v>
      </c>
      <c r="AK123">
        <v>5969358</v>
      </c>
    </row>
    <row r="124" spans="1:37" x14ac:dyDescent="0.25">
      <c r="A124" s="1">
        <v>45980</v>
      </c>
      <c r="B124" s="1">
        <v>45980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380</v>
      </c>
      <c r="J124" t="s">
        <v>381</v>
      </c>
      <c r="M124" t="s">
        <v>46</v>
      </c>
      <c r="O124" t="s">
        <v>47</v>
      </c>
      <c r="P124" t="s">
        <v>48</v>
      </c>
      <c r="Q124" t="s">
        <v>49</v>
      </c>
      <c r="R124" t="s">
        <v>50</v>
      </c>
      <c r="S124" s="1">
        <v>46023</v>
      </c>
      <c r="U124" t="s">
        <v>51</v>
      </c>
      <c r="X124" t="s">
        <v>52</v>
      </c>
      <c r="Y124" s="2">
        <v>0</v>
      </c>
      <c r="Z124" s="2">
        <v>175</v>
      </c>
      <c r="AA124">
        <v>1</v>
      </c>
      <c r="AB124" s="3">
        <v>1</v>
      </c>
      <c r="AC124" s="2">
        <v>175</v>
      </c>
      <c r="AD124" s="3">
        <v>0</v>
      </c>
      <c r="AE124" s="2">
        <v>0</v>
      </c>
      <c r="AF124" s="2">
        <v>175</v>
      </c>
      <c r="AK124">
        <v>5969360</v>
      </c>
    </row>
    <row r="125" spans="1:37" x14ac:dyDescent="0.25">
      <c r="A125" s="1">
        <v>45980</v>
      </c>
      <c r="B125" s="1">
        <v>45980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382</v>
      </c>
      <c r="J125" t="s">
        <v>383</v>
      </c>
      <c r="M125" t="s">
        <v>55</v>
      </c>
      <c r="O125" t="s">
        <v>384</v>
      </c>
      <c r="P125" t="s">
        <v>385</v>
      </c>
      <c r="Q125" t="s">
        <v>49</v>
      </c>
      <c r="R125" t="s">
        <v>50</v>
      </c>
      <c r="S125" s="1">
        <v>46023</v>
      </c>
      <c r="U125" t="s">
        <v>51</v>
      </c>
      <c r="X125" t="s">
        <v>52</v>
      </c>
      <c r="Y125" s="2">
        <v>0</v>
      </c>
      <c r="Z125" s="2">
        <v>175</v>
      </c>
      <c r="AA125">
        <v>1</v>
      </c>
      <c r="AB125" s="3">
        <v>1</v>
      </c>
      <c r="AC125" s="2">
        <v>175</v>
      </c>
      <c r="AD125" s="3">
        <v>0</v>
      </c>
      <c r="AE125" s="2">
        <v>0</v>
      </c>
      <c r="AF125" s="2">
        <v>175</v>
      </c>
      <c r="AK125">
        <v>5969631</v>
      </c>
    </row>
    <row r="126" spans="1:37" x14ac:dyDescent="0.25">
      <c r="A126" s="1">
        <v>45980</v>
      </c>
      <c r="B126" s="1">
        <v>45980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386</v>
      </c>
      <c r="J126" t="s">
        <v>387</v>
      </c>
      <c r="M126" t="s">
        <v>203</v>
      </c>
      <c r="O126" t="s">
        <v>388</v>
      </c>
      <c r="P126" t="s">
        <v>389</v>
      </c>
      <c r="Q126" t="s">
        <v>49</v>
      </c>
      <c r="R126" t="s">
        <v>98</v>
      </c>
      <c r="S126" s="1">
        <v>46023</v>
      </c>
      <c r="U126" t="s">
        <v>51</v>
      </c>
      <c r="X126" t="s">
        <v>52</v>
      </c>
      <c r="Y126" s="2">
        <v>0</v>
      </c>
      <c r="Z126" s="2">
        <v>15</v>
      </c>
      <c r="AA126">
        <v>1</v>
      </c>
      <c r="AB126" s="3">
        <v>1</v>
      </c>
      <c r="AC126" s="2">
        <v>15</v>
      </c>
      <c r="AD126" s="3">
        <v>0</v>
      </c>
      <c r="AE126" s="2">
        <v>0</v>
      </c>
      <c r="AF126" s="2">
        <v>15</v>
      </c>
      <c r="AK126">
        <v>5969483</v>
      </c>
    </row>
    <row r="127" spans="1:37" x14ac:dyDescent="0.25">
      <c r="A127" s="1">
        <v>45980</v>
      </c>
      <c r="B127" s="1">
        <v>45980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390</v>
      </c>
      <c r="J127" t="s">
        <v>391</v>
      </c>
      <c r="M127" t="s">
        <v>55</v>
      </c>
      <c r="O127" t="s">
        <v>392</v>
      </c>
      <c r="P127" t="s">
        <v>393</v>
      </c>
      <c r="Q127" t="s">
        <v>49</v>
      </c>
      <c r="R127" t="s">
        <v>50</v>
      </c>
      <c r="S127" s="1">
        <v>46023</v>
      </c>
      <c r="U127" t="s">
        <v>51</v>
      </c>
      <c r="X127" t="s">
        <v>52</v>
      </c>
      <c r="Y127" s="2">
        <v>0</v>
      </c>
      <c r="Z127" s="2">
        <v>175</v>
      </c>
      <c r="AA127">
        <v>1</v>
      </c>
      <c r="AB127" s="3">
        <v>1</v>
      </c>
      <c r="AC127" s="2">
        <v>175</v>
      </c>
      <c r="AD127" s="3">
        <v>0</v>
      </c>
      <c r="AE127" s="2">
        <v>0</v>
      </c>
      <c r="AF127" s="2">
        <v>175</v>
      </c>
      <c r="AK127">
        <v>5969632</v>
      </c>
    </row>
    <row r="128" spans="1:37" x14ac:dyDescent="0.25">
      <c r="A128" s="1">
        <v>45980</v>
      </c>
      <c r="B128" s="1">
        <v>45980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394</v>
      </c>
      <c r="J128" t="s">
        <v>395</v>
      </c>
      <c r="M128" t="s">
        <v>55</v>
      </c>
      <c r="O128" t="s">
        <v>392</v>
      </c>
      <c r="P128" t="s">
        <v>393</v>
      </c>
      <c r="Q128" t="s">
        <v>49</v>
      </c>
      <c r="R128" t="s">
        <v>50</v>
      </c>
      <c r="S128" s="1">
        <v>46023</v>
      </c>
      <c r="U128" t="s">
        <v>51</v>
      </c>
      <c r="X128" t="s">
        <v>52</v>
      </c>
      <c r="Y128" s="2">
        <v>0</v>
      </c>
      <c r="Z128" s="2">
        <v>175</v>
      </c>
      <c r="AA128">
        <v>1</v>
      </c>
      <c r="AB128" s="3">
        <v>1</v>
      </c>
      <c r="AC128" s="2">
        <v>175</v>
      </c>
      <c r="AD128" s="3">
        <v>0</v>
      </c>
      <c r="AE128" s="2">
        <v>0</v>
      </c>
      <c r="AF128" s="2">
        <v>175</v>
      </c>
      <c r="AK128">
        <v>5969633</v>
      </c>
    </row>
    <row r="129" spans="1:37" x14ac:dyDescent="0.25">
      <c r="A129" s="1">
        <v>45980</v>
      </c>
      <c r="B129" s="1">
        <v>45980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396</v>
      </c>
      <c r="J129" t="s">
        <v>397</v>
      </c>
      <c r="M129" t="s">
        <v>398</v>
      </c>
      <c r="O129" t="s">
        <v>399</v>
      </c>
      <c r="P129" t="s">
        <v>400</v>
      </c>
      <c r="Q129" t="s">
        <v>49</v>
      </c>
      <c r="R129" t="s">
        <v>50</v>
      </c>
      <c r="S129" s="1">
        <v>46023</v>
      </c>
      <c r="U129" t="s">
        <v>51</v>
      </c>
      <c r="X129" t="s">
        <v>52</v>
      </c>
      <c r="Y129" s="2">
        <v>0</v>
      </c>
      <c r="Z129" s="2">
        <v>175</v>
      </c>
      <c r="AA129">
        <v>1</v>
      </c>
      <c r="AB129" s="3">
        <v>1</v>
      </c>
      <c r="AC129" s="2">
        <v>175</v>
      </c>
      <c r="AD129" s="3">
        <v>0</v>
      </c>
      <c r="AE129" s="2">
        <v>0</v>
      </c>
      <c r="AF129" s="2">
        <v>175</v>
      </c>
      <c r="AK129">
        <v>5969634</v>
      </c>
    </row>
    <row r="130" spans="1:37" x14ac:dyDescent="0.25">
      <c r="A130" s="1">
        <v>45980</v>
      </c>
      <c r="B130" s="1">
        <v>45980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401</v>
      </c>
      <c r="J130" t="s">
        <v>402</v>
      </c>
      <c r="M130" t="s">
        <v>55</v>
      </c>
      <c r="O130" t="s">
        <v>285</v>
      </c>
      <c r="P130" t="s">
        <v>286</v>
      </c>
      <c r="Q130" t="s">
        <v>49</v>
      </c>
      <c r="R130" t="s">
        <v>98</v>
      </c>
      <c r="S130" s="1">
        <v>46023</v>
      </c>
      <c r="U130" t="s">
        <v>51</v>
      </c>
      <c r="X130" t="s">
        <v>52</v>
      </c>
      <c r="Y130" s="2">
        <v>0</v>
      </c>
      <c r="Z130" s="2">
        <v>15</v>
      </c>
      <c r="AA130">
        <v>1</v>
      </c>
      <c r="AB130" s="3">
        <v>1</v>
      </c>
      <c r="AC130" s="2">
        <v>15</v>
      </c>
      <c r="AD130" s="3">
        <v>0</v>
      </c>
      <c r="AE130" s="2">
        <v>0</v>
      </c>
      <c r="AF130" s="2">
        <v>15</v>
      </c>
      <c r="AK130">
        <v>5969484</v>
      </c>
    </row>
    <row r="131" spans="1:37" x14ac:dyDescent="0.25">
      <c r="A131" s="1">
        <v>45980</v>
      </c>
      <c r="B131" s="1">
        <v>45980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403</v>
      </c>
      <c r="J131" t="s">
        <v>404</v>
      </c>
      <c r="M131" t="s">
        <v>55</v>
      </c>
      <c r="O131" t="s">
        <v>251</v>
      </c>
      <c r="P131" t="s">
        <v>252</v>
      </c>
      <c r="Q131" t="s">
        <v>49</v>
      </c>
      <c r="R131" t="s">
        <v>50</v>
      </c>
      <c r="S131" s="1">
        <v>46023</v>
      </c>
      <c r="U131" t="s">
        <v>51</v>
      </c>
      <c r="X131" t="s">
        <v>52</v>
      </c>
      <c r="Y131" s="2">
        <v>0</v>
      </c>
      <c r="Z131" s="2">
        <v>175</v>
      </c>
      <c r="AA131">
        <v>1</v>
      </c>
      <c r="AB131" s="3">
        <v>1</v>
      </c>
      <c r="AC131" s="2">
        <v>175</v>
      </c>
      <c r="AD131" s="3">
        <v>0</v>
      </c>
      <c r="AE131" s="2">
        <v>0</v>
      </c>
      <c r="AF131" s="2">
        <v>175</v>
      </c>
      <c r="AK131">
        <v>5969635</v>
      </c>
    </row>
    <row r="132" spans="1:37" x14ac:dyDescent="0.25">
      <c r="A132" s="1">
        <v>45980</v>
      </c>
      <c r="B132" s="1">
        <v>45980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405</v>
      </c>
      <c r="J132" t="s">
        <v>406</v>
      </c>
      <c r="M132" t="s">
        <v>203</v>
      </c>
      <c r="O132" t="s">
        <v>407</v>
      </c>
      <c r="P132" t="s">
        <v>408</v>
      </c>
      <c r="Q132" t="s">
        <v>49</v>
      </c>
      <c r="R132" t="s">
        <v>98</v>
      </c>
      <c r="S132" s="1">
        <v>46023</v>
      </c>
      <c r="U132" t="s">
        <v>51</v>
      </c>
      <c r="X132" t="s">
        <v>52</v>
      </c>
      <c r="Y132" s="2">
        <v>0</v>
      </c>
      <c r="Z132" s="2">
        <v>15</v>
      </c>
      <c r="AA132">
        <v>1</v>
      </c>
      <c r="AB132" s="3">
        <v>1</v>
      </c>
      <c r="AC132" s="2">
        <v>15</v>
      </c>
      <c r="AD132" s="3">
        <v>0</v>
      </c>
      <c r="AE132" s="2">
        <v>0</v>
      </c>
      <c r="AF132" s="2">
        <v>15</v>
      </c>
      <c r="AK132">
        <v>5969310</v>
      </c>
    </row>
    <row r="133" spans="1:37" x14ac:dyDescent="0.25">
      <c r="A133" s="1">
        <v>45980</v>
      </c>
      <c r="B133" s="1">
        <v>45980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409</v>
      </c>
      <c r="J133" t="s">
        <v>410</v>
      </c>
      <c r="M133" t="s">
        <v>55</v>
      </c>
      <c r="O133" t="s">
        <v>139</v>
      </c>
      <c r="P133" t="s">
        <v>140</v>
      </c>
      <c r="Q133" t="s">
        <v>49</v>
      </c>
      <c r="R133" t="s">
        <v>98</v>
      </c>
      <c r="S133" s="1">
        <v>46023</v>
      </c>
      <c r="U133" t="s">
        <v>51</v>
      </c>
      <c r="X133" t="s">
        <v>52</v>
      </c>
      <c r="Y133" s="2">
        <v>0</v>
      </c>
      <c r="Z133" s="2">
        <v>15</v>
      </c>
      <c r="AA133">
        <v>1</v>
      </c>
      <c r="AB133" s="3">
        <v>1</v>
      </c>
      <c r="AC133" s="2">
        <v>15</v>
      </c>
      <c r="AD133" s="3">
        <v>0</v>
      </c>
      <c r="AE133" s="2">
        <v>0</v>
      </c>
      <c r="AF133" s="2">
        <v>15</v>
      </c>
      <c r="AK133">
        <v>5969485</v>
      </c>
    </row>
    <row r="134" spans="1:37" x14ac:dyDescent="0.25">
      <c r="A134" s="1">
        <v>45980</v>
      </c>
      <c r="B134" s="1">
        <v>45980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411</v>
      </c>
      <c r="J134" t="s">
        <v>412</v>
      </c>
      <c r="M134" t="s">
        <v>55</v>
      </c>
      <c r="O134" t="s">
        <v>150</v>
      </c>
      <c r="P134" t="s">
        <v>151</v>
      </c>
      <c r="Q134" t="s">
        <v>49</v>
      </c>
      <c r="R134" t="s">
        <v>50</v>
      </c>
      <c r="S134" s="1">
        <v>46023</v>
      </c>
      <c r="U134" t="s">
        <v>51</v>
      </c>
      <c r="X134" t="s">
        <v>52</v>
      </c>
      <c r="Y134" s="2">
        <v>0</v>
      </c>
      <c r="Z134" s="2">
        <v>175</v>
      </c>
      <c r="AA134">
        <v>1</v>
      </c>
      <c r="AB134" s="3">
        <v>1</v>
      </c>
      <c r="AC134" s="2">
        <v>175</v>
      </c>
      <c r="AD134" s="3">
        <v>0</v>
      </c>
      <c r="AE134" s="2">
        <v>0</v>
      </c>
      <c r="AF134" s="2">
        <v>175</v>
      </c>
      <c r="AK134">
        <v>5969636</v>
      </c>
    </row>
    <row r="135" spans="1:37" x14ac:dyDescent="0.25">
      <c r="A135" s="1">
        <v>45980</v>
      </c>
      <c r="B135" s="1">
        <v>45980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413</v>
      </c>
      <c r="J135" t="s">
        <v>414</v>
      </c>
      <c r="M135" t="s">
        <v>55</v>
      </c>
      <c r="O135" t="s">
        <v>101</v>
      </c>
      <c r="P135" t="s">
        <v>102</v>
      </c>
      <c r="Q135" t="s">
        <v>49</v>
      </c>
      <c r="R135" t="s">
        <v>50</v>
      </c>
      <c r="S135" s="1">
        <v>46023</v>
      </c>
      <c r="U135" t="s">
        <v>51</v>
      </c>
      <c r="X135" t="s">
        <v>52</v>
      </c>
      <c r="Y135" s="2">
        <v>0</v>
      </c>
      <c r="Z135" s="2">
        <v>175</v>
      </c>
      <c r="AA135">
        <v>1</v>
      </c>
      <c r="AB135" s="3">
        <v>1</v>
      </c>
      <c r="AC135" s="2">
        <v>175</v>
      </c>
      <c r="AD135" s="3">
        <v>0</v>
      </c>
      <c r="AE135" s="2">
        <v>0</v>
      </c>
      <c r="AF135" s="2">
        <v>175</v>
      </c>
      <c r="AK135">
        <v>5969637</v>
      </c>
    </row>
    <row r="136" spans="1:37" x14ac:dyDescent="0.25">
      <c r="A136" s="1">
        <v>45980</v>
      </c>
      <c r="B136" s="1">
        <v>45980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415</v>
      </c>
      <c r="J136" t="s">
        <v>416</v>
      </c>
      <c r="M136" t="s">
        <v>55</v>
      </c>
      <c r="O136" t="s">
        <v>85</v>
      </c>
      <c r="P136" t="s">
        <v>86</v>
      </c>
      <c r="Q136" t="s">
        <v>49</v>
      </c>
      <c r="R136" t="s">
        <v>50</v>
      </c>
      <c r="S136" s="1">
        <v>46023</v>
      </c>
      <c r="U136" t="s">
        <v>51</v>
      </c>
      <c r="X136" t="s">
        <v>52</v>
      </c>
      <c r="Y136" s="2">
        <v>0</v>
      </c>
      <c r="Z136" s="2">
        <v>175</v>
      </c>
      <c r="AA136">
        <v>1</v>
      </c>
      <c r="AB136" s="3">
        <v>1</v>
      </c>
      <c r="AC136" s="2">
        <v>175</v>
      </c>
      <c r="AD136" s="3">
        <v>0</v>
      </c>
      <c r="AE136" s="2">
        <v>0</v>
      </c>
      <c r="AF136" s="2">
        <v>175</v>
      </c>
      <c r="AK136">
        <v>5969638</v>
      </c>
    </row>
    <row r="137" spans="1:37" x14ac:dyDescent="0.25">
      <c r="A137" s="1">
        <v>45980</v>
      </c>
      <c r="B137" s="1">
        <v>45980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417</v>
      </c>
      <c r="J137" t="s">
        <v>418</v>
      </c>
      <c r="M137" t="s">
        <v>55</v>
      </c>
      <c r="O137" t="s">
        <v>113</v>
      </c>
      <c r="P137" t="s">
        <v>114</v>
      </c>
      <c r="Q137" t="s">
        <v>49</v>
      </c>
      <c r="R137" t="s">
        <v>50</v>
      </c>
      <c r="S137" s="1">
        <v>45992</v>
      </c>
      <c r="U137" t="s">
        <v>51</v>
      </c>
      <c r="X137" t="s">
        <v>52</v>
      </c>
      <c r="Y137" s="2">
        <v>0</v>
      </c>
      <c r="Z137" s="2">
        <v>175</v>
      </c>
      <c r="AA137">
        <v>1</v>
      </c>
      <c r="AB137" s="3">
        <v>1</v>
      </c>
      <c r="AC137" s="2">
        <v>175</v>
      </c>
      <c r="AD137" s="3">
        <v>0</v>
      </c>
      <c r="AE137" s="2">
        <v>0</v>
      </c>
      <c r="AF137" s="2">
        <v>175</v>
      </c>
      <c r="AK137">
        <v>5969639</v>
      </c>
    </row>
    <row r="138" spans="1:37" x14ac:dyDescent="0.25">
      <c r="A138" s="1">
        <v>45980</v>
      </c>
      <c r="B138" s="1">
        <v>45980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419</v>
      </c>
      <c r="J138" t="s">
        <v>420</v>
      </c>
      <c r="M138" t="s">
        <v>55</v>
      </c>
      <c r="O138" t="s">
        <v>421</v>
      </c>
      <c r="P138" t="s">
        <v>422</v>
      </c>
      <c r="Q138" t="s">
        <v>49</v>
      </c>
      <c r="R138" t="s">
        <v>50</v>
      </c>
      <c r="S138" s="1">
        <v>46023</v>
      </c>
      <c r="U138" t="s">
        <v>51</v>
      </c>
      <c r="X138" t="s">
        <v>52</v>
      </c>
      <c r="Y138" s="2">
        <v>0</v>
      </c>
      <c r="Z138" s="2">
        <v>175</v>
      </c>
      <c r="AA138">
        <v>1</v>
      </c>
      <c r="AB138" s="3">
        <v>1</v>
      </c>
      <c r="AC138" s="2">
        <v>175</v>
      </c>
      <c r="AD138" s="3">
        <v>0</v>
      </c>
      <c r="AE138" s="2">
        <v>0</v>
      </c>
      <c r="AF138" s="2">
        <v>175</v>
      </c>
      <c r="AK138">
        <v>5969640</v>
      </c>
    </row>
    <row r="139" spans="1:37" x14ac:dyDescent="0.25">
      <c r="A139" s="1">
        <v>45980</v>
      </c>
      <c r="B139" s="1">
        <v>45980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423</v>
      </c>
      <c r="J139" t="s">
        <v>424</v>
      </c>
      <c r="M139" t="s">
        <v>55</v>
      </c>
      <c r="O139" t="s">
        <v>378</v>
      </c>
      <c r="P139" t="s">
        <v>379</v>
      </c>
      <c r="Q139" t="s">
        <v>49</v>
      </c>
      <c r="R139" t="s">
        <v>50</v>
      </c>
      <c r="S139" s="1">
        <v>46023</v>
      </c>
      <c r="U139" t="s">
        <v>51</v>
      </c>
      <c r="X139" t="s">
        <v>52</v>
      </c>
      <c r="Y139" s="2">
        <v>0</v>
      </c>
      <c r="Z139" s="2">
        <v>175</v>
      </c>
      <c r="AA139">
        <v>1</v>
      </c>
      <c r="AB139" s="3">
        <v>1</v>
      </c>
      <c r="AC139" s="2">
        <v>175</v>
      </c>
      <c r="AD139" s="3">
        <v>0</v>
      </c>
      <c r="AE139" s="2">
        <v>0</v>
      </c>
      <c r="AF139" s="2">
        <v>175</v>
      </c>
      <c r="AK139">
        <v>5969363</v>
      </c>
    </row>
    <row r="140" spans="1:37" x14ac:dyDescent="0.25">
      <c r="A140" s="1">
        <v>45980</v>
      </c>
      <c r="B140" s="1">
        <v>45980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425</v>
      </c>
      <c r="J140" t="s">
        <v>426</v>
      </c>
      <c r="M140" t="s">
        <v>55</v>
      </c>
      <c r="O140" t="s">
        <v>378</v>
      </c>
      <c r="P140" t="s">
        <v>379</v>
      </c>
      <c r="Q140" t="s">
        <v>49</v>
      </c>
      <c r="R140" t="s">
        <v>50</v>
      </c>
      <c r="S140" s="1">
        <v>46023</v>
      </c>
      <c r="U140" t="s">
        <v>51</v>
      </c>
      <c r="X140" t="s">
        <v>52</v>
      </c>
      <c r="Y140" s="2">
        <v>0</v>
      </c>
      <c r="Z140" s="2">
        <v>175</v>
      </c>
      <c r="AA140">
        <v>1</v>
      </c>
      <c r="AB140" s="3">
        <v>1</v>
      </c>
      <c r="AC140" s="2">
        <v>175</v>
      </c>
      <c r="AD140" s="3">
        <v>0</v>
      </c>
      <c r="AE140" s="2">
        <v>0</v>
      </c>
      <c r="AF140" s="2">
        <v>175</v>
      </c>
      <c r="AK140">
        <v>5969366</v>
      </c>
    </row>
    <row r="141" spans="1:37" x14ac:dyDescent="0.25">
      <c r="A141" s="1">
        <v>45980</v>
      </c>
      <c r="B141" s="1">
        <v>45980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427</v>
      </c>
      <c r="J141" t="s">
        <v>428</v>
      </c>
      <c r="M141" t="s">
        <v>55</v>
      </c>
      <c r="O141" t="s">
        <v>285</v>
      </c>
      <c r="P141" t="s">
        <v>286</v>
      </c>
      <c r="Q141" t="s">
        <v>49</v>
      </c>
      <c r="R141" t="s">
        <v>98</v>
      </c>
      <c r="S141" s="1">
        <v>46023</v>
      </c>
      <c r="U141" t="s">
        <v>51</v>
      </c>
      <c r="X141" t="s">
        <v>52</v>
      </c>
      <c r="Y141" s="2">
        <v>0</v>
      </c>
      <c r="Z141" s="2">
        <v>15</v>
      </c>
      <c r="AA141">
        <v>1</v>
      </c>
      <c r="AB141" s="3">
        <v>1</v>
      </c>
      <c r="AC141" s="2">
        <v>15</v>
      </c>
      <c r="AD141" s="3">
        <v>0</v>
      </c>
      <c r="AE141" s="2">
        <v>0</v>
      </c>
      <c r="AF141" s="2">
        <v>15</v>
      </c>
      <c r="AK141">
        <v>5969486</v>
      </c>
    </row>
    <row r="142" spans="1:37" x14ac:dyDescent="0.25">
      <c r="A142" s="1">
        <v>45980</v>
      </c>
      <c r="B142" s="1">
        <v>45980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429</v>
      </c>
      <c r="J142" t="s">
        <v>430</v>
      </c>
      <c r="M142" t="s">
        <v>55</v>
      </c>
      <c r="O142" t="s">
        <v>85</v>
      </c>
      <c r="P142" t="s">
        <v>86</v>
      </c>
      <c r="Q142" t="s">
        <v>49</v>
      </c>
      <c r="R142" t="s">
        <v>50</v>
      </c>
      <c r="S142" s="1">
        <v>46023</v>
      </c>
      <c r="U142" t="s">
        <v>51</v>
      </c>
      <c r="X142" t="s">
        <v>52</v>
      </c>
      <c r="Y142" s="2">
        <v>0</v>
      </c>
      <c r="Z142" s="2">
        <v>175</v>
      </c>
      <c r="AA142">
        <v>1</v>
      </c>
      <c r="AB142" s="3">
        <v>1</v>
      </c>
      <c r="AC142" s="2">
        <v>175</v>
      </c>
      <c r="AD142" s="3">
        <v>0</v>
      </c>
      <c r="AE142" s="2">
        <v>0</v>
      </c>
      <c r="AF142" s="2">
        <v>175</v>
      </c>
      <c r="AK142">
        <v>5969641</v>
      </c>
    </row>
    <row r="143" spans="1:37" x14ac:dyDescent="0.25">
      <c r="A143" s="1">
        <v>45980</v>
      </c>
      <c r="B143" s="1">
        <v>45980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431</v>
      </c>
      <c r="J143" t="s">
        <v>432</v>
      </c>
      <c r="M143" t="s">
        <v>55</v>
      </c>
      <c r="O143" t="s">
        <v>85</v>
      </c>
      <c r="P143" t="s">
        <v>86</v>
      </c>
      <c r="Q143" t="s">
        <v>49</v>
      </c>
      <c r="R143" t="s">
        <v>50</v>
      </c>
      <c r="S143" s="1">
        <v>46023</v>
      </c>
      <c r="U143" t="s">
        <v>51</v>
      </c>
      <c r="X143" t="s">
        <v>52</v>
      </c>
      <c r="Y143" s="2">
        <v>0</v>
      </c>
      <c r="Z143" s="2">
        <v>175</v>
      </c>
      <c r="AA143">
        <v>1</v>
      </c>
      <c r="AB143" s="3">
        <v>1</v>
      </c>
      <c r="AC143" s="2">
        <v>175</v>
      </c>
      <c r="AD143" s="3">
        <v>0</v>
      </c>
      <c r="AE143" s="2">
        <v>0</v>
      </c>
      <c r="AF143" s="2">
        <v>175</v>
      </c>
      <c r="AK143">
        <v>5969642</v>
      </c>
    </row>
    <row r="144" spans="1:37" x14ac:dyDescent="0.25">
      <c r="A144" s="1">
        <v>45980</v>
      </c>
      <c r="B144" s="1">
        <v>45980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433</v>
      </c>
      <c r="J144" t="s">
        <v>434</v>
      </c>
      <c r="M144" t="s">
        <v>55</v>
      </c>
      <c r="O144" t="s">
        <v>85</v>
      </c>
      <c r="P144" t="s">
        <v>86</v>
      </c>
      <c r="Q144" t="s">
        <v>49</v>
      </c>
      <c r="R144" t="s">
        <v>50</v>
      </c>
      <c r="S144" s="1">
        <v>46023</v>
      </c>
      <c r="U144" t="s">
        <v>51</v>
      </c>
      <c r="X144" t="s">
        <v>52</v>
      </c>
      <c r="Y144" s="2">
        <v>0</v>
      </c>
      <c r="Z144" s="2">
        <v>175</v>
      </c>
      <c r="AA144">
        <v>1</v>
      </c>
      <c r="AB144" s="3">
        <v>1</v>
      </c>
      <c r="AC144" s="2">
        <v>175</v>
      </c>
      <c r="AD144" s="3">
        <v>0</v>
      </c>
      <c r="AE144" s="2">
        <v>0</v>
      </c>
      <c r="AF144" s="2">
        <v>175</v>
      </c>
      <c r="AK144">
        <v>5969643</v>
      </c>
    </row>
    <row r="145" spans="1:37" x14ac:dyDescent="0.25">
      <c r="A145" s="1">
        <v>45980</v>
      </c>
      <c r="B145" s="1">
        <v>45980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435</v>
      </c>
      <c r="J145" t="s">
        <v>436</v>
      </c>
      <c r="M145" t="s">
        <v>398</v>
      </c>
      <c r="O145" t="s">
        <v>378</v>
      </c>
      <c r="P145" t="s">
        <v>379</v>
      </c>
      <c r="Q145" t="s">
        <v>49</v>
      </c>
      <c r="R145" t="s">
        <v>50</v>
      </c>
      <c r="S145" s="1">
        <v>46023</v>
      </c>
      <c r="U145" t="s">
        <v>51</v>
      </c>
      <c r="X145" t="s">
        <v>52</v>
      </c>
      <c r="Y145" s="2">
        <v>0</v>
      </c>
      <c r="Z145" s="2">
        <v>175</v>
      </c>
      <c r="AA145">
        <v>1</v>
      </c>
      <c r="AB145" s="3">
        <v>1</v>
      </c>
      <c r="AC145" s="2">
        <v>175</v>
      </c>
      <c r="AD145" s="3">
        <v>0</v>
      </c>
      <c r="AE145" s="2">
        <v>0</v>
      </c>
      <c r="AF145" s="2">
        <v>175</v>
      </c>
      <c r="AK145">
        <v>5969367</v>
      </c>
    </row>
    <row r="146" spans="1:37" x14ac:dyDescent="0.25">
      <c r="A146" s="1">
        <v>45980</v>
      </c>
      <c r="B146" s="1">
        <v>45980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437</v>
      </c>
      <c r="J146" t="s">
        <v>438</v>
      </c>
      <c r="M146" t="s">
        <v>55</v>
      </c>
      <c r="O146" t="s">
        <v>139</v>
      </c>
      <c r="P146" t="s">
        <v>140</v>
      </c>
      <c r="Q146" t="s">
        <v>49</v>
      </c>
      <c r="R146" t="s">
        <v>50</v>
      </c>
      <c r="S146" s="1">
        <v>46023</v>
      </c>
      <c r="U146" t="s">
        <v>51</v>
      </c>
      <c r="X146" t="s">
        <v>52</v>
      </c>
      <c r="Y146" s="2">
        <v>0</v>
      </c>
      <c r="Z146" s="2">
        <v>175</v>
      </c>
      <c r="AA146">
        <v>1</v>
      </c>
      <c r="AB146" s="3">
        <v>1</v>
      </c>
      <c r="AC146" s="2">
        <v>175</v>
      </c>
      <c r="AD146" s="3">
        <v>0</v>
      </c>
      <c r="AE146" s="2">
        <v>0</v>
      </c>
      <c r="AF146" s="2">
        <v>175</v>
      </c>
      <c r="AK146">
        <v>5969644</v>
      </c>
    </row>
    <row r="147" spans="1:37" x14ac:dyDescent="0.25">
      <c r="A147" s="1">
        <v>45980</v>
      </c>
      <c r="B147" s="1">
        <v>45980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439</v>
      </c>
      <c r="J147" t="s">
        <v>440</v>
      </c>
      <c r="M147" t="s">
        <v>72</v>
      </c>
      <c r="O147" t="s">
        <v>73</v>
      </c>
      <c r="P147" t="s">
        <v>74</v>
      </c>
      <c r="Q147" t="s">
        <v>49</v>
      </c>
      <c r="R147" t="s">
        <v>50</v>
      </c>
      <c r="S147" s="1">
        <v>46023</v>
      </c>
      <c r="U147" t="s">
        <v>51</v>
      </c>
      <c r="X147" t="s">
        <v>52</v>
      </c>
      <c r="Y147" s="2">
        <v>0</v>
      </c>
      <c r="Z147" s="2">
        <v>175</v>
      </c>
      <c r="AA147">
        <v>1</v>
      </c>
      <c r="AB147" s="3">
        <v>1</v>
      </c>
      <c r="AC147" s="2">
        <v>175</v>
      </c>
      <c r="AD147" s="3">
        <v>0</v>
      </c>
      <c r="AE147" s="2">
        <v>0</v>
      </c>
      <c r="AF147" s="2">
        <v>175</v>
      </c>
      <c r="AK147">
        <v>5969645</v>
      </c>
    </row>
    <row r="148" spans="1:37" x14ac:dyDescent="0.25">
      <c r="A148" s="1">
        <v>45980</v>
      </c>
      <c r="B148" s="1">
        <v>45980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441</v>
      </c>
      <c r="J148" t="s">
        <v>442</v>
      </c>
      <c r="M148" t="s">
        <v>55</v>
      </c>
      <c r="O148" t="s">
        <v>251</v>
      </c>
      <c r="P148" t="s">
        <v>252</v>
      </c>
      <c r="Q148" t="s">
        <v>49</v>
      </c>
      <c r="R148" t="s">
        <v>50</v>
      </c>
      <c r="S148" s="1">
        <v>46023</v>
      </c>
      <c r="U148" t="s">
        <v>51</v>
      </c>
      <c r="X148" t="s">
        <v>52</v>
      </c>
      <c r="Y148" s="2">
        <v>0</v>
      </c>
      <c r="Z148" s="2">
        <v>175</v>
      </c>
      <c r="AA148">
        <v>1</v>
      </c>
      <c r="AB148" s="3">
        <v>1</v>
      </c>
      <c r="AC148" s="2">
        <v>175</v>
      </c>
      <c r="AD148" s="3">
        <v>0</v>
      </c>
      <c r="AE148" s="2">
        <v>0</v>
      </c>
      <c r="AF148" s="2">
        <v>175</v>
      </c>
      <c r="AK148">
        <v>5969646</v>
      </c>
    </row>
    <row r="149" spans="1:37" x14ac:dyDescent="0.25">
      <c r="A149" s="1">
        <v>45980</v>
      </c>
      <c r="B149" s="1">
        <v>45980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443</v>
      </c>
      <c r="J149" t="s">
        <v>444</v>
      </c>
      <c r="M149" t="s">
        <v>203</v>
      </c>
      <c r="O149" t="s">
        <v>445</v>
      </c>
      <c r="P149" t="s">
        <v>446</v>
      </c>
      <c r="Q149" t="s">
        <v>49</v>
      </c>
      <c r="R149" t="s">
        <v>98</v>
      </c>
      <c r="S149" s="1">
        <v>46023</v>
      </c>
      <c r="U149" t="s">
        <v>51</v>
      </c>
      <c r="X149" t="s">
        <v>52</v>
      </c>
      <c r="Y149" s="2">
        <v>0</v>
      </c>
      <c r="Z149" s="2">
        <v>15</v>
      </c>
      <c r="AA149">
        <v>1</v>
      </c>
      <c r="AB149" s="3">
        <v>1</v>
      </c>
      <c r="AC149" s="2">
        <v>15</v>
      </c>
      <c r="AD149" s="3">
        <v>0</v>
      </c>
      <c r="AE149" s="2">
        <v>0</v>
      </c>
      <c r="AF149" s="2">
        <v>15</v>
      </c>
      <c r="AK149">
        <v>5969487</v>
      </c>
    </row>
    <row r="150" spans="1:37" x14ac:dyDescent="0.25">
      <c r="A150" s="1">
        <v>45980</v>
      </c>
      <c r="B150" s="1">
        <v>45980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447</v>
      </c>
      <c r="J150" t="s">
        <v>448</v>
      </c>
      <c r="M150" t="s">
        <v>72</v>
      </c>
      <c r="O150" t="s">
        <v>73</v>
      </c>
      <c r="P150" t="s">
        <v>74</v>
      </c>
      <c r="Q150" t="s">
        <v>49</v>
      </c>
      <c r="R150" t="s">
        <v>98</v>
      </c>
      <c r="S150" s="1">
        <v>46023</v>
      </c>
      <c r="U150" t="s">
        <v>51</v>
      </c>
      <c r="X150" t="s">
        <v>52</v>
      </c>
      <c r="Y150" s="2">
        <v>0</v>
      </c>
      <c r="Z150" s="2">
        <v>15</v>
      </c>
      <c r="AA150">
        <v>1</v>
      </c>
      <c r="AB150" s="3">
        <v>1</v>
      </c>
      <c r="AC150" s="2">
        <v>15</v>
      </c>
      <c r="AD150" s="3">
        <v>0</v>
      </c>
      <c r="AE150" s="2">
        <v>0</v>
      </c>
      <c r="AF150" s="2">
        <v>15</v>
      </c>
      <c r="AK150">
        <v>5969488</v>
      </c>
    </row>
    <row r="151" spans="1:37" x14ac:dyDescent="0.25">
      <c r="A151" s="1">
        <v>45980</v>
      </c>
      <c r="B151" s="1">
        <v>45980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449</v>
      </c>
      <c r="J151" t="s">
        <v>450</v>
      </c>
      <c r="M151" t="s">
        <v>55</v>
      </c>
      <c r="O151" t="s">
        <v>139</v>
      </c>
      <c r="P151" t="s">
        <v>140</v>
      </c>
      <c r="Q151" t="s">
        <v>49</v>
      </c>
      <c r="R151" t="s">
        <v>98</v>
      </c>
      <c r="S151" s="1">
        <v>46023</v>
      </c>
      <c r="U151" t="s">
        <v>51</v>
      </c>
      <c r="X151" t="s">
        <v>52</v>
      </c>
      <c r="Y151" s="2">
        <v>0</v>
      </c>
      <c r="Z151" s="2">
        <v>15</v>
      </c>
      <c r="AA151">
        <v>1</v>
      </c>
      <c r="AB151" s="3">
        <v>1</v>
      </c>
      <c r="AC151" s="2">
        <v>15</v>
      </c>
      <c r="AD151" s="3">
        <v>0</v>
      </c>
      <c r="AE151" s="2">
        <v>0</v>
      </c>
      <c r="AF151" s="2">
        <v>15</v>
      </c>
      <c r="AK151">
        <v>5969489</v>
      </c>
    </row>
    <row r="152" spans="1:37" x14ac:dyDescent="0.25">
      <c r="A152" s="1">
        <v>45980</v>
      </c>
      <c r="B152" s="1">
        <v>45980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451</v>
      </c>
      <c r="J152" t="s">
        <v>452</v>
      </c>
      <c r="M152" t="s">
        <v>55</v>
      </c>
      <c r="O152" t="s">
        <v>85</v>
      </c>
      <c r="P152" t="s">
        <v>86</v>
      </c>
      <c r="Q152" t="s">
        <v>49</v>
      </c>
      <c r="R152" t="s">
        <v>50</v>
      </c>
      <c r="S152" s="1">
        <v>46023</v>
      </c>
      <c r="U152" t="s">
        <v>51</v>
      </c>
      <c r="X152" t="s">
        <v>52</v>
      </c>
      <c r="Y152" s="2">
        <v>0</v>
      </c>
      <c r="Z152" s="2">
        <v>175</v>
      </c>
      <c r="AA152">
        <v>1</v>
      </c>
      <c r="AB152" s="3">
        <v>1</v>
      </c>
      <c r="AC152" s="2">
        <v>175</v>
      </c>
      <c r="AD152" s="3">
        <v>0</v>
      </c>
      <c r="AE152" s="2">
        <v>0</v>
      </c>
      <c r="AF152" s="2">
        <v>175</v>
      </c>
      <c r="AK152">
        <v>5969647</v>
      </c>
    </row>
    <row r="153" spans="1:37" x14ac:dyDescent="0.25">
      <c r="A153" s="1">
        <v>45980</v>
      </c>
      <c r="B153" s="1">
        <v>45980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453</v>
      </c>
      <c r="J153" t="s">
        <v>454</v>
      </c>
      <c r="M153" t="s">
        <v>55</v>
      </c>
      <c r="O153" t="s">
        <v>113</v>
      </c>
      <c r="P153" t="s">
        <v>114</v>
      </c>
      <c r="Q153" t="s">
        <v>49</v>
      </c>
      <c r="R153" t="s">
        <v>50</v>
      </c>
      <c r="S153" s="1">
        <v>46023</v>
      </c>
      <c r="U153" t="s">
        <v>51</v>
      </c>
      <c r="X153" t="s">
        <v>52</v>
      </c>
      <c r="Y153" s="2">
        <v>0</v>
      </c>
      <c r="Z153" s="2">
        <v>175</v>
      </c>
      <c r="AA153">
        <v>1</v>
      </c>
      <c r="AB153" s="3">
        <v>1</v>
      </c>
      <c r="AC153" s="2">
        <v>175</v>
      </c>
      <c r="AD153" s="3">
        <v>0</v>
      </c>
      <c r="AE153" s="2">
        <v>0</v>
      </c>
      <c r="AF153" s="2">
        <v>175</v>
      </c>
      <c r="AK153">
        <v>5969648</v>
      </c>
    </row>
    <row r="154" spans="1:37" x14ac:dyDescent="0.25">
      <c r="A154" s="1">
        <v>45980</v>
      </c>
      <c r="B154" s="1">
        <v>45980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455</v>
      </c>
      <c r="J154" t="s">
        <v>456</v>
      </c>
      <c r="M154" t="s">
        <v>55</v>
      </c>
      <c r="O154" t="s">
        <v>251</v>
      </c>
      <c r="P154" t="s">
        <v>252</v>
      </c>
      <c r="Q154" t="s">
        <v>49</v>
      </c>
      <c r="R154" t="s">
        <v>50</v>
      </c>
      <c r="S154" s="1">
        <v>46023</v>
      </c>
      <c r="U154" t="s">
        <v>51</v>
      </c>
      <c r="X154" t="s">
        <v>52</v>
      </c>
      <c r="Y154" s="2">
        <v>0</v>
      </c>
      <c r="Z154" s="2">
        <v>175</v>
      </c>
      <c r="AA154">
        <v>1</v>
      </c>
      <c r="AB154" s="3">
        <v>1</v>
      </c>
      <c r="AC154" s="2">
        <v>175</v>
      </c>
      <c r="AD154" s="3">
        <v>0</v>
      </c>
      <c r="AE154" s="2">
        <v>0</v>
      </c>
      <c r="AF154" s="2">
        <v>175</v>
      </c>
      <c r="AK154">
        <v>5969649</v>
      </c>
    </row>
    <row r="155" spans="1:37" x14ac:dyDescent="0.25">
      <c r="A155" s="1">
        <v>45980</v>
      </c>
      <c r="B155" s="1">
        <v>45980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457</v>
      </c>
      <c r="J155" t="s">
        <v>458</v>
      </c>
      <c r="M155" t="s">
        <v>55</v>
      </c>
      <c r="O155" t="s">
        <v>251</v>
      </c>
      <c r="P155" t="s">
        <v>252</v>
      </c>
      <c r="Q155" t="s">
        <v>49</v>
      </c>
      <c r="R155" t="s">
        <v>50</v>
      </c>
      <c r="S155" s="1">
        <v>46023</v>
      </c>
      <c r="U155" t="s">
        <v>51</v>
      </c>
      <c r="X155" t="s">
        <v>52</v>
      </c>
      <c r="Y155" s="2">
        <v>0</v>
      </c>
      <c r="Z155" s="2">
        <v>175</v>
      </c>
      <c r="AA155">
        <v>1</v>
      </c>
      <c r="AB155" s="3">
        <v>1</v>
      </c>
      <c r="AC155" s="2">
        <v>175</v>
      </c>
      <c r="AD155" s="3">
        <v>0</v>
      </c>
      <c r="AE155" s="2">
        <v>0</v>
      </c>
      <c r="AF155" s="2">
        <v>175</v>
      </c>
      <c r="AK155">
        <v>5969650</v>
      </c>
    </row>
    <row r="156" spans="1:37" x14ac:dyDescent="0.25">
      <c r="A156" s="1">
        <v>45980</v>
      </c>
      <c r="B156" s="1">
        <v>45980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459</v>
      </c>
      <c r="J156" t="s">
        <v>460</v>
      </c>
      <c r="M156" t="s">
        <v>55</v>
      </c>
      <c r="O156" t="s">
        <v>143</v>
      </c>
      <c r="P156" t="s">
        <v>144</v>
      </c>
      <c r="Q156" t="s">
        <v>49</v>
      </c>
      <c r="R156" t="s">
        <v>50</v>
      </c>
      <c r="S156" s="1">
        <v>46023</v>
      </c>
      <c r="U156" t="s">
        <v>51</v>
      </c>
      <c r="X156" t="s">
        <v>52</v>
      </c>
      <c r="Y156" s="2">
        <v>0</v>
      </c>
      <c r="Z156" s="2">
        <v>175</v>
      </c>
      <c r="AA156">
        <v>1</v>
      </c>
      <c r="AB156" s="3">
        <v>1</v>
      </c>
      <c r="AC156" s="2">
        <v>175</v>
      </c>
      <c r="AD156" s="3">
        <v>0</v>
      </c>
      <c r="AE156" s="2">
        <v>0</v>
      </c>
      <c r="AF156" s="2">
        <v>175</v>
      </c>
      <c r="AK156">
        <v>5969651</v>
      </c>
    </row>
    <row r="157" spans="1:37" x14ac:dyDescent="0.25">
      <c r="A157" s="1">
        <v>45980</v>
      </c>
      <c r="B157" s="1">
        <v>45980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461</v>
      </c>
      <c r="J157" t="s">
        <v>462</v>
      </c>
      <c r="M157" t="s">
        <v>463</v>
      </c>
      <c r="O157" t="s">
        <v>96</v>
      </c>
      <c r="P157" t="s">
        <v>97</v>
      </c>
      <c r="Q157" t="s">
        <v>49</v>
      </c>
      <c r="R157" t="s">
        <v>50</v>
      </c>
      <c r="S157" s="1">
        <v>46023</v>
      </c>
      <c r="U157" t="s">
        <v>51</v>
      </c>
      <c r="X157" t="s">
        <v>52</v>
      </c>
      <c r="Y157" s="2">
        <v>0</v>
      </c>
      <c r="Z157" s="2">
        <v>175</v>
      </c>
      <c r="AA157">
        <v>1</v>
      </c>
      <c r="AB157" s="3">
        <v>1</v>
      </c>
      <c r="AC157" s="2">
        <v>175</v>
      </c>
      <c r="AD157" s="3">
        <v>0</v>
      </c>
      <c r="AE157" s="2">
        <v>0</v>
      </c>
      <c r="AF157" s="2">
        <v>175</v>
      </c>
      <c r="AK157">
        <v>5969652</v>
      </c>
    </row>
    <row r="158" spans="1:37" x14ac:dyDescent="0.25">
      <c r="A158" s="1">
        <v>45980</v>
      </c>
      <c r="B158" s="1">
        <v>45980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464</v>
      </c>
      <c r="J158" t="s">
        <v>465</v>
      </c>
      <c r="M158" t="s">
        <v>72</v>
      </c>
      <c r="O158" t="s">
        <v>85</v>
      </c>
      <c r="P158" t="s">
        <v>86</v>
      </c>
      <c r="Q158" t="s">
        <v>49</v>
      </c>
      <c r="R158" t="s">
        <v>98</v>
      </c>
      <c r="S158" s="1">
        <v>46023</v>
      </c>
      <c r="U158" t="s">
        <v>51</v>
      </c>
      <c r="X158" t="s">
        <v>52</v>
      </c>
      <c r="Y158" s="2">
        <v>0</v>
      </c>
      <c r="Z158" s="2">
        <v>15</v>
      </c>
      <c r="AA158">
        <v>1</v>
      </c>
      <c r="AB158" s="3">
        <v>1</v>
      </c>
      <c r="AC158" s="2">
        <v>15</v>
      </c>
      <c r="AD158" s="3">
        <v>0</v>
      </c>
      <c r="AE158" s="2">
        <v>0</v>
      </c>
      <c r="AF158" s="2">
        <v>15</v>
      </c>
      <c r="AK158">
        <v>5969490</v>
      </c>
    </row>
    <row r="159" spans="1:37" x14ac:dyDescent="0.25">
      <c r="A159" s="1">
        <v>45980</v>
      </c>
      <c r="B159" s="1">
        <v>45980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466</v>
      </c>
      <c r="J159" t="s">
        <v>467</v>
      </c>
      <c r="M159" t="s">
        <v>278</v>
      </c>
      <c r="O159" t="s">
        <v>279</v>
      </c>
      <c r="P159" t="s">
        <v>280</v>
      </c>
      <c r="Q159" t="s">
        <v>49</v>
      </c>
      <c r="R159" t="s">
        <v>98</v>
      </c>
      <c r="S159" s="1">
        <v>46023</v>
      </c>
      <c r="U159" t="s">
        <v>51</v>
      </c>
      <c r="X159" t="s">
        <v>52</v>
      </c>
      <c r="Y159" s="2">
        <v>0</v>
      </c>
      <c r="Z159" s="2">
        <v>15</v>
      </c>
      <c r="AA159">
        <v>1</v>
      </c>
      <c r="AB159" s="3">
        <v>1</v>
      </c>
      <c r="AC159" s="2">
        <v>15</v>
      </c>
      <c r="AD159" s="3">
        <v>0</v>
      </c>
      <c r="AE159" s="2">
        <v>0</v>
      </c>
      <c r="AF159" s="2">
        <v>15</v>
      </c>
      <c r="AK159">
        <v>5969491</v>
      </c>
    </row>
    <row r="160" spans="1:37" x14ac:dyDescent="0.25">
      <c r="A160" s="1">
        <v>45980</v>
      </c>
      <c r="B160" s="1">
        <v>45980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468</v>
      </c>
      <c r="J160" t="s">
        <v>469</v>
      </c>
      <c r="M160" t="s">
        <v>55</v>
      </c>
      <c r="O160" t="s">
        <v>101</v>
      </c>
      <c r="P160" t="s">
        <v>102</v>
      </c>
      <c r="Q160" t="s">
        <v>49</v>
      </c>
      <c r="R160" t="s">
        <v>50</v>
      </c>
      <c r="S160" s="1">
        <v>46023</v>
      </c>
      <c r="U160" t="s">
        <v>51</v>
      </c>
      <c r="X160" t="s">
        <v>52</v>
      </c>
      <c r="Y160" s="2">
        <v>0</v>
      </c>
      <c r="Z160" s="2">
        <v>175</v>
      </c>
      <c r="AA160">
        <v>1</v>
      </c>
      <c r="AB160" s="3">
        <v>1</v>
      </c>
      <c r="AC160" s="2">
        <v>175</v>
      </c>
      <c r="AD160" s="3">
        <v>0</v>
      </c>
      <c r="AE160" s="2">
        <v>0</v>
      </c>
      <c r="AF160" s="2">
        <v>175</v>
      </c>
      <c r="AK160">
        <v>5969653</v>
      </c>
    </row>
    <row r="161" spans="1:37" x14ac:dyDescent="0.25">
      <c r="A161" s="1">
        <v>45980</v>
      </c>
      <c r="B161" s="1">
        <v>45980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470</v>
      </c>
      <c r="J161" t="s">
        <v>471</v>
      </c>
      <c r="M161" t="s">
        <v>55</v>
      </c>
      <c r="O161" t="s">
        <v>113</v>
      </c>
      <c r="P161" t="s">
        <v>114</v>
      </c>
      <c r="Q161" t="s">
        <v>49</v>
      </c>
      <c r="R161" t="s">
        <v>50</v>
      </c>
      <c r="S161" s="1">
        <v>46023</v>
      </c>
      <c r="U161" t="s">
        <v>51</v>
      </c>
      <c r="X161" t="s">
        <v>52</v>
      </c>
      <c r="Y161" s="2">
        <v>0</v>
      </c>
      <c r="Z161" s="2">
        <v>175</v>
      </c>
      <c r="AA161">
        <v>1</v>
      </c>
      <c r="AB161" s="3">
        <v>1</v>
      </c>
      <c r="AC161" s="2">
        <v>175</v>
      </c>
      <c r="AD161" s="3">
        <v>0</v>
      </c>
      <c r="AE161" s="2">
        <v>0</v>
      </c>
      <c r="AF161" s="2">
        <v>175</v>
      </c>
      <c r="AK161">
        <v>5969654</v>
      </c>
    </row>
    <row r="162" spans="1:37" x14ac:dyDescent="0.25">
      <c r="A162" s="1">
        <v>45980</v>
      </c>
      <c r="B162" s="1">
        <v>45980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472</v>
      </c>
      <c r="J162" t="s">
        <v>473</v>
      </c>
      <c r="M162" t="s">
        <v>154</v>
      </c>
      <c r="O162" t="s">
        <v>155</v>
      </c>
      <c r="P162" t="s">
        <v>156</v>
      </c>
      <c r="Q162" t="s">
        <v>49</v>
      </c>
      <c r="R162" t="s">
        <v>98</v>
      </c>
      <c r="S162" s="1">
        <v>46023</v>
      </c>
      <c r="U162" t="s">
        <v>51</v>
      </c>
      <c r="X162" t="s">
        <v>52</v>
      </c>
      <c r="Y162" s="2">
        <v>0</v>
      </c>
      <c r="Z162" s="2">
        <v>15</v>
      </c>
      <c r="AA162">
        <v>1</v>
      </c>
      <c r="AB162" s="3">
        <v>1</v>
      </c>
      <c r="AC162" s="2">
        <v>15</v>
      </c>
      <c r="AD162" s="3">
        <v>0</v>
      </c>
      <c r="AE162" s="2">
        <v>0</v>
      </c>
      <c r="AF162" s="2">
        <v>15</v>
      </c>
      <c r="AK162">
        <v>5969492</v>
      </c>
    </row>
    <row r="163" spans="1:37" x14ac:dyDescent="0.25">
      <c r="A163" s="1">
        <v>45980</v>
      </c>
      <c r="B163" s="1">
        <v>45980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474</v>
      </c>
      <c r="J163" t="s">
        <v>475</v>
      </c>
      <c r="M163" t="s">
        <v>55</v>
      </c>
      <c r="O163" t="s">
        <v>143</v>
      </c>
      <c r="P163" t="s">
        <v>144</v>
      </c>
      <c r="Q163" t="s">
        <v>49</v>
      </c>
      <c r="R163" t="s">
        <v>50</v>
      </c>
      <c r="S163" s="1">
        <v>46023</v>
      </c>
      <c r="U163" t="s">
        <v>51</v>
      </c>
      <c r="X163" t="s">
        <v>52</v>
      </c>
      <c r="Y163" s="2">
        <v>0</v>
      </c>
      <c r="Z163" s="2">
        <v>175</v>
      </c>
      <c r="AA163">
        <v>1</v>
      </c>
      <c r="AB163" s="3">
        <v>1</v>
      </c>
      <c r="AC163" s="2">
        <v>175</v>
      </c>
      <c r="AD163" s="3">
        <v>0</v>
      </c>
      <c r="AE163" s="2">
        <v>0</v>
      </c>
      <c r="AF163" s="2">
        <v>175</v>
      </c>
      <c r="AK163">
        <v>5969655</v>
      </c>
    </row>
    <row r="164" spans="1:37" x14ac:dyDescent="0.25">
      <c r="A164" s="1">
        <v>45980</v>
      </c>
      <c r="B164" s="1">
        <v>45980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476</v>
      </c>
      <c r="J164" t="s">
        <v>477</v>
      </c>
      <c r="M164" t="s">
        <v>55</v>
      </c>
      <c r="O164" t="s">
        <v>56</v>
      </c>
      <c r="P164" t="s">
        <v>57</v>
      </c>
      <c r="Q164" t="s">
        <v>49</v>
      </c>
      <c r="R164" t="s">
        <v>50</v>
      </c>
      <c r="S164" s="1">
        <v>46023</v>
      </c>
      <c r="U164" t="s">
        <v>51</v>
      </c>
      <c r="X164" t="s">
        <v>52</v>
      </c>
      <c r="Y164" s="2">
        <v>0</v>
      </c>
      <c r="Z164" s="2">
        <v>175</v>
      </c>
      <c r="AA164">
        <v>1</v>
      </c>
      <c r="AB164" s="3">
        <v>1</v>
      </c>
      <c r="AC164" s="2">
        <v>175</v>
      </c>
      <c r="AD164" s="3">
        <v>0</v>
      </c>
      <c r="AE164" s="2">
        <v>0</v>
      </c>
      <c r="AF164" s="2">
        <v>175</v>
      </c>
      <c r="AK164">
        <v>5969656</v>
      </c>
    </row>
    <row r="165" spans="1:37" x14ac:dyDescent="0.25">
      <c r="A165" s="1">
        <v>45980</v>
      </c>
      <c r="B165" s="1">
        <v>45980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478</v>
      </c>
      <c r="J165" t="s">
        <v>479</v>
      </c>
      <c r="M165" t="s">
        <v>203</v>
      </c>
      <c r="O165" t="s">
        <v>204</v>
      </c>
      <c r="P165" t="s">
        <v>205</v>
      </c>
      <c r="Q165" t="s">
        <v>49</v>
      </c>
      <c r="R165" t="s">
        <v>98</v>
      </c>
      <c r="S165" s="1">
        <v>46023</v>
      </c>
      <c r="U165" t="s">
        <v>51</v>
      </c>
      <c r="X165" t="s">
        <v>52</v>
      </c>
      <c r="Y165" s="2">
        <v>0</v>
      </c>
      <c r="Z165" s="2">
        <v>15</v>
      </c>
      <c r="AA165">
        <v>1</v>
      </c>
      <c r="AB165" s="3">
        <v>1</v>
      </c>
      <c r="AC165" s="2">
        <v>15</v>
      </c>
      <c r="AD165" s="3">
        <v>0</v>
      </c>
      <c r="AE165" s="2">
        <v>0</v>
      </c>
      <c r="AF165" s="2">
        <v>15</v>
      </c>
      <c r="AK165">
        <v>5969311</v>
      </c>
    </row>
    <row r="166" spans="1:37" x14ac:dyDescent="0.25">
      <c r="A166" s="1">
        <v>45980</v>
      </c>
      <c r="B166" s="1">
        <v>45980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480</v>
      </c>
      <c r="J166" t="s">
        <v>481</v>
      </c>
      <c r="M166" t="s">
        <v>55</v>
      </c>
      <c r="O166" t="s">
        <v>101</v>
      </c>
      <c r="P166" t="s">
        <v>102</v>
      </c>
      <c r="Q166" t="s">
        <v>49</v>
      </c>
      <c r="R166" t="s">
        <v>50</v>
      </c>
      <c r="S166" s="1">
        <v>46023</v>
      </c>
      <c r="U166" t="s">
        <v>51</v>
      </c>
      <c r="X166" t="s">
        <v>52</v>
      </c>
      <c r="Y166" s="2">
        <v>0</v>
      </c>
      <c r="Z166" s="2">
        <v>175</v>
      </c>
      <c r="AA166">
        <v>1</v>
      </c>
      <c r="AB166" s="3">
        <v>1</v>
      </c>
      <c r="AC166" s="2">
        <v>175</v>
      </c>
      <c r="AD166" s="3">
        <v>0</v>
      </c>
      <c r="AE166" s="2">
        <v>0</v>
      </c>
      <c r="AF166" s="2">
        <v>175</v>
      </c>
      <c r="AK166">
        <v>5969657</v>
      </c>
    </row>
    <row r="167" spans="1:37" x14ac:dyDescent="0.25">
      <c r="A167" s="1">
        <v>45980</v>
      </c>
      <c r="B167" s="1">
        <v>45980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482</v>
      </c>
      <c r="J167" t="s">
        <v>483</v>
      </c>
      <c r="M167" t="s">
        <v>55</v>
      </c>
      <c r="O167" t="s">
        <v>143</v>
      </c>
      <c r="P167" t="s">
        <v>144</v>
      </c>
      <c r="Q167" t="s">
        <v>49</v>
      </c>
      <c r="R167" t="s">
        <v>50</v>
      </c>
      <c r="S167" s="1">
        <v>46023</v>
      </c>
      <c r="U167" t="s">
        <v>51</v>
      </c>
      <c r="X167" t="s">
        <v>52</v>
      </c>
      <c r="Y167" s="2">
        <v>0</v>
      </c>
      <c r="Z167" s="2">
        <v>175</v>
      </c>
      <c r="AA167">
        <v>1</v>
      </c>
      <c r="AB167" s="3">
        <v>1</v>
      </c>
      <c r="AC167" s="2">
        <v>175</v>
      </c>
      <c r="AD167" s="3">
        <v>0</v>
      </c>
      <c r="AE167" s="2">
        <v>0</v>
      </c>
      <c r="AF167" s="2">
        <v>175</v>
      </c>
      <c r="AK167">
        <v>5969658</v>
      </c>
    </row>
    <row r="168" spans="1:37" x14ac:dyDescent="0.25">
      <c r="A168" s="1">
        <v>45980</v>
      </c>
      <c r="B168" s="1">
        <v>45980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484</v>
      </c>
      <c r="J168" t="s">
        <v>485</v>
      </c>
      <c r="M168" t="s">
        <v>278</v>
      </c>
      <c r="O168" t="s">
        <v>445</v>
      </c>
      <c r="P168" t="s">
        <v>446</v>
      </c>
      <c r="Q168" t="s">
        <v>49</v>
      </c>
      <c r="R168" t="s">
        <v>98</v>
      </c>
      <c r="S168" s="1">
        <v>46023</v>
      </c>
      <c r="U168" t="s">
        <v>51</v>
      </c>
      <c r="X168" t="s">
        <v>52</v>
      </c>
      <c r="Y168" s="2">
        <v>0</v>
      </c>
      <c r="Z168" s="2">
        <v>15</v>
      </c>
      <c r="AA168">
        <v>1</v>
      </c>
      <c r="AB168" s="3">
        <v>1</v>
      </c>
      <c r="AC168" s="2">
        <v>15</v>
      </c>
      <c r="AD168" s="3">
        <v>0</v>
      </c>
      <c r="AE168" s="2">
        <v>0</v>
      </c>
      <c r="AF168" s="2">
        <v>15</v>
      </c>
      <c r="AK168">
        <v>5969493</v>
      </c>
    </row>
    <row r="169" spans="1:37" x14ac:dyDescent="0.25">
      <c r="A169" s="1">
        <v>45980</v>
      </c>
      <c r="B169" s="1">
        <v>45980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486</v>
      </c>
      <c r="J169" t="s">
        <v>487</v>
      </c>
      <c r="M169" t="s">
        <v>55</v>
      </c>
      <c r="O169" t="s">
        <v>285</v>
      </c>
      <c r="P169" t="s">
        <v>286</v>
      </c>
      <c r="Q169" t="s">
        <v>49</v>
      </c>
      <c r="R169" t="s">
        <v>98</v>
      </c>
      <c r="S169" s="1">
        <v>46023</v>
      </c>
      <c r="U169" t="s">
        <v>51</v>
      </c>
      <c r="X169" t="s">
        <v>52</v>
      </c>
      <c r="Y169" s="2">
        <v>0</v>
      </c>
      <c r="Z169" s="2">
        <v>15</v>
      </c>
      <c r="AA169">
        <v>1</v>
      </c>
      <c r="AB169" s="3">
        <v>1</v>
      </c>
      <c r="AC169" s="2">
        <v>15</v>
      </c>
      <c r="AD169" s="3">
        <v>0</v>
      </c>
      <c r="AE169" s="2">
        <v>0</v>
      </c>
      <c r="AF169" s="2">
        <v>15</v>
      </c>
      <c r="AK169">
        <v>5969494</v>
      </c>
    </row>
    <row r="170" spans="1:37" x14ac:dyDescent="0.25">
      <c r="A170" s="1">
        <v>45980</v>
      </c>
      <c r="B170" s="1">
        <v>45980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488</v>
      </c>
      <c r="J170" t="s">
        <v>489</v>
      </c>
      <c r="M170" t="s">
        <v>154</v>
      </c>
      <c r="O170" t="s">
        <v>155</v>
      </c>
      <c r="P170" t="s">
        <v>156</v>
      </c>
      <c r="Q170" t="s">
        <v>49</v>
      </c>
      <c r="R170" t="s">
        <v>98</v>
      </c>
      <c r="S170" s="1">
        <v>46023</v>
      </c>
      <c r="U170" t="s">
        <v>51</v>
      </c>
      <c r="X170" t="s">
        <v>52</v>
      </c>
      <c r="Y170" s="2">
        <v>0</v>
      </c>
      <c r="Z170" s="2">
        <v>15</v>
      </c>
      <c r="AA170">
        <v>1</v>
      </c>
      <c r="AB170" s="3">
        <v>1</v>
      </c>
      <c r="AC170" s="2">
        <v>15</v>
      </c>
      <c r="AD170" s="3">
        <v>0</v>
      </c>
      <c r="AE170" s="2">
        <v>0</v>
      </c>
      <c r="AF170" s="2">
        <v>15</v>
      </c>
      <c r="AK170">
        <v>5969495</v>
      </c>
    </row>
    <row r="171" spans="1:37" x14ac:dyDescent="0.25">
      <c r="A171" s="1">
        <v>45980</v>
      </c>
      <c r="B171" s="1">
        <v>45980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490</v>
      </c>
      <c r="J171" t="s">
        <v>491</v>
      </c>
      <c r="M171" t="s">
        <v>55</v>
      </c>
      <c r="O171" t="s">
        <v>85</v>
      </c>
      <c r="P171" t="s">
        <v>86</v>
      </c>
      <c r="Q171" t="s">
        <v>49</v>
      </c>
      <c r="R171" t="s">
        <v>50</v>
      </c>
      <c r="S171" s="1">
        <v>46023</v>
      </c>
      <c r="U171" t="s">
        <v>51</v>
      </c>
      <c r="X171" t="s">
        <v>52</v>
      </c>
      <c r="Y171" s="2">
        <v>0</v>
      </c>
      <c r="Z171" s="2">
        <v>175</v>
      </c>
      <c r="AA171">
        <v>1</v>
      </c>
      <c r="AB171" s="3">
        <v>1</v>
      </c>
      <c r="AC171" s="2">
        <v>175</v>
      </c>
      <c r="AD171" s="3">
        <v>0</v>
      </c>
      <c r="AE171" s="2">
        <v>0</v>
      </c>
      <c r="AF171" s="2">
        <v>175</v>
      </c>
      <c r="AK171">
        <v>5969659</v>
      </c>
    </row>
    <row r="172" spans="1:37" x14ac:dyDescent="0.25">
      <c r="A172" s="1">
        <v>45980</v>
      </c>
      <c r="B172" s="1">
        <v>45980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492</v>
      </c>
      <c r="J172" t="s">
        <v>493</v>
      </c>
      <c r="M172" t="s">
        <v>72</v>
      </c>
      <c r="O172" t="s">
        <v>73</v>
      </c>
      <c r="P172" t="s">
        <v>74</v>
      </c>
      <c r="Q172" t="s">
        <v>49</v>
      </c>
      <c r="R172" t="s">
        <v>98</v>
      </c>
      <c r="S172" s="1">
        <v>46023</v>
      </c>
      <c r="U172" t="s">
        <v>51</v>
      </c>
      <c r="X172" t="s">
        <v>52</v>
      </c>
      <c r="Y172" s="2">
        <v>0</v>
      </c>
      <c r="Z172" s="2">
        <v>15</v>
      </c>
      <c r="AA172">
        <v>1</v>
      </c>
      <c r="AB172" s="3">
        <v>1</v>
      </c>
      <c r="AC172" s="2">
        <v>15</v>
      </c>
      <c r="AD172" s="3">
        <v>0</v>
      </c>
      <c r="AE172" s="2">
        <v>0</v>
      </c>
      <c r="AF172" s="2">
        <v>15</v>
      </c>
      <c r="AK172">
        <v>5969496</v>
      </c>
    </row>
    <row r="173" spans="1:37" x14ac:dyDescent="0.25">
      <c r="A173" s="1">
        <v>45980</v>
      </c>
      <c r="B173" s="1">
        <v>45980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494</v>
      </c>
      <c r="J173" t="s">
        <v>495</v>
      </c>
      <c r="M173" t="s">
        <v>246</v>
      </c>
      <c r="O173" t="s">
        <v>496</v>
      </c>
      <c r="P173" t="s">
        <v>497</v>
      </c>
      <c r="Q173" t="s">
        <v>49</v>
      </c>
      <c r="R173" t="s">
        <v>98</v>
      </c>
      <c r="S173" s="1">
        <v>46023</v>
      </c>
      <c r="U173" t="s">
        <v>51</v>
      </c>
      <c r="X173" t="s">
        <v>52</v>
      </c>
      <c r="Y173" s="2">
        <v>0</v>
      </c>
      <c r="Z173" s="2">
        <v>15</v>
      </c>
      <c r="AA173">
        <v>1</v>
      </c>
      <c r="AB173" s="3">
        <v>1</v>
      </c>
      <c r="AC173" s="2">
        <v>15</v>
      </c>
      <c r="AD173" s="3">
        <v>0</v>
      </c>
      <c r="AE173" s="2">
        <v>0</v>
      </c>
      <c r="AF173" s="2">
        <v>15</v>
      </c>
      <c r="AK173">
        <v>5969534</v>
      </c>
    </row>
    <row r="174" spans="1:37" x14ac:dyDescent="0.25">
      <c r="A174" s="1">
        <v>45980</v>
      </c>
      <c r="B174" s="1">
        <v>45980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498</v>
      </c>
      <c r="J174" t="s">
        <v>499</v>
      </c>
      <c r="M174" t="s">
        <v>55</v>
      </c>
      <c r="O174" t="s">
        <v>56</v>
      </c>
      <c r="P174" t="s">
        <v>57</v>
      </c>
      <c r="Q174" t="s">
        <v>49</v>
      </c>
      <c r="R174" t="s">
        <v>50</v>
      </c>
      <c r="S174" s="1">
        <v>46023</v>
      </c>
      <c r="U174" t="s">
        <v>51</v>
      </c>
      <c r="X174" t="s">
        <v>52</v>
      </c>
      <c r="Y174" s="2">
        <v>0</v>
      </c>
      <c r="Z174" s="2">
        <v>175</v>
      </c>
      <c r="AA174">
        <v>1</v>
      </c>
      <c r="AB174" s="3">
        <v>1</v>
      </c>
      <c r="AC174" s="2">
        <v>175</v>
      </c>
      <c r="AD174" s="3">
        <v>0</v>
      </c>
      <c r="AE174" s="2">
        <v>0</v>
      </c>
      <c r="AF174" s="2">
        <v>175</v>
      </c>
      <c r="AK174">
        <v>5969660</v>
      </c>
    </row>
    <row r="175" spans="1:37" x14ac:dyDescent="0.25">
      <c r="A175" s="1">
        <v>45980</v>
      </c>
      <c r="B175" s="1">
        <v>45980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500</v>
      </c>
      <c r="J175" t="s">
        <v>501</v>
      </c>
      <c r="M175" t="s">
        <v>55</v>
      </c>
      <c r="O175" t="s">
        <v>285</v>
      </c>
      <c r="P175" t="s">
        <v>286</v>
      </c>
      <c r="Q175" t="s">
        <v>49</v>
      </c>
      <c r="R175" t="s">
        <v>98</v>
      </c>
      <c r="S175" s="1">
        <v>46023</v>
      </c>
      <c r="U175" t="s">
        <v>51</v>
      </c>
      <c r="X175" t="s">
        <v>52</v>
      </c>
      <c r="Y175" s="2">
        <v>0</v>
      </c>
      <c r="Z175" s="2">
        <v>15</v>
      </c>
      <c r="AA175">
        <v>1</v>
      </c>
      <c r="AB175" s="3">
        <v>1</v>
      </c>
      <c r="AC175" s="2">
        <v>15</v>
      </c>
      <c r="AD175" s="3">
        <v>0</v>
      </c>
      <c r="AE175" s="2">
        <v>0</v>
      </c>
      <c r="AF175" s="2">
        <v>15</v>
      </c>
      <c r="AK175">
        <v>5969497</v>
      </c>
    </row>
    <row r="176" spans="1:37" x14ac:dyDescent="0.25">
      <c r="A176" s="1">
        <v>45980</v>
      </c>
      <c r="B176" s="1">
        <v>45980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502</v>
      </c>
      <c r="J176" t="s">
        <v>503</v>
      </c>
      <c r="M176" t="s">
        <v>55</v>
      </c>
      <c r="O176" t="s">
        <v>90</v>
      </c>
      <c r="P176" t="s">
        <v>91</v>
      </c>
      <c r="Q176" t="s">
        <v>49</v>
      </c>
      <c r="R176" t="s">
        <v>98</v>
      </c>
      <c r="S176" s="1">
        <v>46023</v>
      </c>
      <c r="U176" t="s">
        <v>51</v>
      </c>
      <c r="X176" t="s">
        <v>52</v>
      </c>
      <c r="Y176" s="2">
        <v>0</v>
      </c>
      <c r="Z176" s="2">
        <v>15</v>
      </c>
      <c r="AA176">
        <v>1</v>
      </c>
      <c r="AB176" s="3">
        <v>1</v>
      </c>
      <c r="AC176" s="2">
        <v>15</v>
      </c>
      <c r="AD176" s="3">
        <v>0</v>
      </c>
      <c r="AE176" s="2">
        <v>0</v>
      </c>
      <c r="AF176" s="2">
        <v>15</v>
      </c>
      <c r="AK176">
        <v>5969498</v>
      </c>
    </row>
    <row r="177" spans="1:37" x14ac:dyDescent="0.25">
      <c r="A177" s="1">
        <v>45980</v>
      </c>
      <c r="B177" s="1">
        <v>45980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504</v>
      </c>
      <c r="J177" t="s">
        <v>505</v>
      </c>
      <c r="M177" t="s">
        <v>55</v>
      </c>
      <c r="O177" t="s">
        <v>85</v>
      </c>
      <c r="P177" t="s">
        <v>86</v>
      </c>
      <c r="Q177" t="s">
        <v>49</v>
      </c>
      <c r="R177" t="s">
        <v>50</v>
      </c>
      <c r="S177" s="1">
        <v>46023</v>
      </c>
      <c r="U177" t="s">
        <v>51</v>
      </c>
      <c r="X177" t="s">
        <v>52</v>
      </c>
      <c r="Y177" s="2">
        <v>0</v>
      </c>
      <c r="Z177" s="2">
        <v>175</v>
      </c>
      <c r="AA177">
        <v>1</v>
      </c>
      <c r="AB177" s="3">
        <v>1</v>
      </c>
      <c r="AC177" s="2">
        <v>175</v>
      </c>
      <c r="AD177" s="3">
        <v>0</v>
      </c>
      <c r="AE177" s="2">
        <v>0</v>
      </c>
      <c r="AF177" s="2">
        <v>175</v>
      </c>
      <c r="AK177">
        <v>5969661</v>
      </c>
    </row>
    <row r="178" spans="1:37" x14ac:dyDescent="0.25">
      <c r="A178" s="1">
        <v>45980</v>
      </c>
      <c r="B178" s="1">
        <v>45980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506</v>
      </c>
      <c r="J178" t="s">
        <v>507</v>
      </c>
      <c r="M178" t="s">
        <v>55</v>
      </c>
      <c r="O178" t="s">
        <v>324</v>
      </c>
      <c r="P178" t="s">
        <v>325</v>
      </c>
      <c r="Q178" t="s">
        <v>49</v>
      </c>
      <c r="R178" t="s">
        <v>98</v>
      </c>
      <c r="S178" s="1">
        <v>46023</v>
      </c>
      <c r="U178" t="s">
        <v>51</v>
      </c>
      <c r="X178" t="s">
        <v>52</v>
      </c>
      <c r="Y178" s="2">
        <v>0</v>
      </c>
      <c r="Z178" s="2">
        <v>15</v>
      </c>
      <c r="AA178">
        <v>1</v>
      </c>
      <c r="AB178" s="3">
        <v>1</v>
      </c>
      <c r="AC178" s="2">
        <v>15</v>
      </c>
      <c r="AD178" s="3">
        <v>0</v>
      </c>
      <c r="AE178" s="2">
        <v>0</v>
      </c>
      <c r="AF178" s="2">
        <v>15</v>
      </c>
      <c r="AK178">
        <v>5969499</v>
      </c>
    </row>
    <row r="179" spans="1:37" x14ac:dyDescent="0.25">
      <c r="A179" s="1">
        <v>45980</v>
      </c>
      <c r="B179" s="1">
        <v>45980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508</v>
      </c>
      <c r="J179" t="s">
        <v>509</v>
      </c>
      <c r="M179" t="s">
        <v>278</v>
      </c>
      <c r="O179" t="s">
        <v>510</v>
      </c>
      <c r="P179" t="s">
        <v>511</v>
      </c>
      <c r="Q179" t="s">
        <v>49</v>
      </c>
      <c r="R179" t="s">
        <v>98</v>
      </c>
      <c r="S179" s="1">
        <v>46023</v>
      </c>
      <c r="U179" t="s">
        <v>51</v>
      </c>
      <c r="X179" t="s">
        <v>52</v>
      </c>
      <c r="Y179" s="2">
        <v>0</v>
      </c>
      <c r="Z179" s="2">
        <v>15</v>
      </c>
      <c r="AA179">
        <v>1</v>
      </c>
      <c r="AB179" s="3">
        <v>1</v>
      </c>
      <c r="AC179" s="2">
        <v>15</v>
      </c>
      <c r="AD179" s="3">
        <v>0</v>
      </c>
      <c r="AE179" s="2">
        <v>0</v>
      </c>
      <c r="AF179" s="2">
        <v>15</v>
      </c>
      <c r="AK179">
        <v>5969500</v>
      </c>
    </row>
    <row r="180" spans="1:37" x14ac:dyDescent="0.25">
      <c r="A180" s="1">
        <v>45980</v>
      </c>
      <c r="B180" s="1">
        <v>45980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512</v>
      </c>
      <c r="J180" t="s">
        <v>513</v>
      </c>
      <c r="M180" t="s">
        <v>55</v>
      </c>
      <c r="O180" t="s">
        <v>113</v>
      </c>
      <c r="P180" t="s">
        <v>114</v>
      </c>
      <c r="Q180" t="s">
        <v>49</v>
      </c>
      <c r="R180" t="s">
        <v>50</v>
      </c>
      <c r="S180" s="1">
        <v>46023</v>
      </c>
      <c r="U180" t="s">
        <v>51</v>
      </c>
      <c r="X180" t="s">
        <v>52</v>
      </c>
      <c r="Y180" s="2">
        <v>0</v>
      </c>
      <c r="Z180" s="2">
        <v>175</v>
      </c>
      <c r="AA180">
        <v>1</v>
      </c>
      <c r="AB180" s="3">
        <v>1</v>
      </c>
      <c r="AC180" s="2">
        <v>175</v>
      </c>
      <c r="AD180" s="3">
        <v>0</v>
      </c>
      <c r="AE180" s="2">
        <v>0</v>
      </c>
      <c r="AF180" s="2">
        <v>175</v>
      </c>
      <c r="AK180">
        <v>5969662</v>
      </c>
    </row>
    <row r="181" spans="1:37" x14ac:dyDescent="0.25">
      <c r="A181" s="1">
        <v>45980</v>
      </c>
      <c r="B181" s="1">
        <v>45980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514</v>
      </c>
      <c r="J181" t="s">
        <v>515</v>
      </c>
      <c r="M181" t="s">
        <v>66</v>
      </c>
      <c r="O181" t="s">
        <v>228</v>
      </c>
      <c r="P181" t="s">
        <v>229</v>
      </c>
      <c r="Q181" t="s">
        <v>49</v>
      </c>
      <c r="R181" t="s">
        <v>50</v>
      </c>
      <c r="S181" s="1">
        <v>46023</v>
      </c>
      <c r="U181" t="s">
        <v>51</v>
      </c>
      <c r="X181" t="s">
        <v>52</v>
      </c>
      <c r="Y181" s="2">
        <v>0</v>
      </c>
      <c r="Z181" s="2">
        <v>175</v>
      </c>
      <c r="AA181">
        <v>1</v>
      </c>
      <c r="AB181" s="3">
        <v>1</v>
      </c>
      <c r="AC181" s="2">
        <v>175</v>
      </c>
      <c r="AD181" s="3">
        <v>0</v>
      </c>
      <c r="AE181" s="2">
        <v>0</v>
      </c>
      <c r="AF181" s="2">
        <v>175</v>
      </c>
      <c r="AK181">
        <v>5969663</v>
      </c>
    </row>
    <row r="182" spans="1:37" x14ac:dyDescent="0.25">
      <c r="A182" s="1">
        <v>45980</v>
      </c>
      <c r="B182" s="1">
        <v>45980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516</v>
      </c>
      <c r="J182" t="s">
        <v>517</v>
      </c>
      <c r="M182" t="s">
        <v>55</v>
      </c>
      <c r="O182" t="s">
        <v>56</v>
      </c>
      <c r="P182" t="s">
        <v>57</v>
      </c>
      <c r="Q182" t="s">
        <v>49</v>
      </c>
      <c r="R182" t="s">
        <v>50</v>
      </c>
      <c r="S182" s="1">
        <v>46023</v>
      </c>
      <c r="U182" t="s">
        <v>51</v>
      </c>
      <c r="X182" t="s">
        <v>52</v>
      </c>
      <c r="Y182" s="2">
        <v>0</v>
      </c>
      <c r="Z182" s="2">
        <v>175</v>
      </c>
      <c r="AA182">
        <v>1</v>
      </c>
      <c r="AB182" s="3">
        <v>1</v>
      </c>
      <c r="AC182" s="2">
        <v>175</v>
      </c>
      <c r="AD182" s="3">
        <v>0</v>
      </c>
      <c r="AE182" s="2">
        <v>0</v>
      </c>
      <c r="AF182" s="2">
        <v>175</v>
      </c>
      <c r="AK182">
        <v>5969664</v>
      </c>
    </row>
    <row r="183" spans="1:37" x14ac:dyDescent="0.25">
      <c r="A183" s="1">
        <v>45980</v>
      </c>
      <c r="B183" s="1">
        <v>45980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518</v>
      </c>
      <c r="J183" t="s">
        <v>519</v>
      </c>
      <c r="M183" t="s">
        <v>55</v>
      </c>
      <c r="O183" t="s">
        <v>85</v>
      </c>
      <c r="P183" t="s">
        <v>86</v>
      </c>
      <c r="Q183" t="s">
        <v>49</v>
      </c>
      <c r="R183" t="s">
        <v>50</v>
      </c>
      <c r="S183" s="1">
        <v>46023</v>
      </c>
      <c r="U183" t="s">
        <v>51</v>
      </c>
      <c r="X183" t="s">
        <v>52</v>
      </c>
      <c r="Y183" s="2">
        <v>0</v>
      </c>
      <c r="Z183" s="2">
        <v>175</v>
      </c>
      <c r="AA183">
        <v>1</v>
      </c>
      <c r="AB183" s="3">
        <v>1</v>
      </c>
      <c r="AC183" s="2">
        <v>175</v>
      </c>
      <c r="AD183" s="3">
        <v>0</v>
      </c>
      <c r="AE183" s="2">
        <v>0</v>
      </c>
      <c r="AF183" s="2">
        <v>175</v>
      </c>
      <c r="AK183">
        <v>5969665</v>
      </c>
    </row>
    <row r="184" spans="1:37" x14ac:dyDescent="0.25">
      <c r="A184" s="1">
        <v>45980</v>
      </c>
      <c r="B184" s="1">
        <v>45980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520</v>
      </c>
      <c r="J184" t="s">
        <v>521</v>
      </c>
      <c r="M184" t="s">
        <v>55</v>
      </c>
      <c r="O184" t="s">
        <v>143</v>
      </c>
      <c r="P184" t="s">
        <v>144</v>
      </c>
      <c r="Q184" t="s">
        <v>49</v>
      </c>
      <c r="R184" t="s">
        <v>50</v>
      </c>
      <c r="S184" s="1">
        <v>45992</v>
      </c>
      <c r="U184" t="s">
        <v>51</v>
      </c>
      <c r="X184" t="s">
        <v>52</v>
      </c>
      <c r="Y184" s="2">
        <v>0</v>
      </c>
      <c r="Z184" s="2">
        <v>175</v>
      </c>
      <c r="AA184">
        <v>1</v>
      </c>
      <c r="AB184" s="3">
        <v>1</v>
      </c>
      <c r="AC184" s="2">
        <v>175</v>
      </c>
      <c r="AD184" s="3">
        <v>0</v>
      </c>
      <c r="AE184" s="2">
        <v>0</v>
      </c>
      <c r="AF184" s="2">
        <v>175</v>
      </c>
      <c r="AK184">
        <v>5969666</v>
      </c>
    </row>
    <row r="185" spans="1:37" x14ac:dyDescent="0.25">
      <c r="A185" s="1">
        <v>45980</v>
      </c>
      <c r="B185" s="1">
        <v>45980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522</v>
      </c>
      <c r="J185" t="s">
        <v>523</v>
      </c>
      <c r="M185" t="s">
        <v>66</v>
      </c>
      <c r="O185" t="s">
        <v>228</v>
      </c>
      <c r="P185" t="s">
        <v>229</v>
      </c>
      <c r="Q185" t="s">
        <v>49</v>
      </c>
      <c r="R185" t="s">
        <v>50</v>
      </c>
      <c r="S185" s="1">
        <v>46023</v>
      </c>
      <c r="U185" t="s">
        <v>51</v>
      </c>
      <c r="X185" t="s">
        <v>52</v>
      </c>
      <c r="Y185" s="2">
        <v>0</v>
      </c>
      <c r="Z185" s="2">
        <v>175</v>
      </c>
      <c r="AA185">
        <v>1</v>
      </c>
      <c r="AB185" s="3">
        <v>1</v>
      </c>
      <c r="AC185" s="2">
        <v>175</v>
      </c>
      <c r="AD185" s="3">
        <v>0</v>
      </c>
      <c r="AE185" s="2">
        <v>0</v>
      </c>
      <c r="AF185" s="2">
        <v>175</v>
      </c>
      <c r="AK185">
        <v>5969667</v>
      </c>
    </row>
    <row r="186" spans="1:37" x14ac:dyDescent="0.25">
      <c r="A186" s="1">
        <v>45980</v>
      </c>
      <c r="B186" s="1">
        <v>45980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524</v>
      </c>
      <c r="J186" t="s">
        <v>525</v>
      </c>
      <c r="M186" t="s">
        <v>55</v>
      </c>
      <c r="O186" t="s">
        <v>526</v>
      </c>
      <c r="P186" t="s">
        <v>527</v>
      </c>
      <c r="Q186" t="s">
        <v>49</v>
      </c>
      <c r="R186" t="s">
        <v>50</v>
      </c>
      <c r="S186" s="1">
        <v>46023</v>
      </c>
      <c r="U186" t="s">
        <v>51</v>
      </c>
      <c r="X186" t="s">
        <v>52</v>
      </c>
      <c r="Y186" s="2">
        <v>0</v>
      </c>
      <c r="Z186" s="2">
        <v>175</v>
      </c>
      <c r="AA186">
        <v>1</v>
      </c>
      <c r="AB186" s="3">
        <v>1</v>
      </c>
      <c r="AC186" s="2">
        <v>175</v>
      </c>
      <c r="AD186" s="3">
        <v>0</v>
      </c>
      <c r="AE186" s="2">
        <v>0</v>
      </c>
      <c r="AF186" s="2">
        <v>175</v>
      </c>
      <c r="AK186">
        <v>5969372</v>
      </c>
    </row>
    <row r="187" spans="1:37" x14ac:dyDescent="0.25">
      <c r="A187" s="1">
        <v>45980</v>
      </c>
      <c r="B187" s="1">
        <v>45980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528</v>
      </c>
      <c r="J187" t="s">
        <v>529</v>
      </c>
      <c r="M187" t="s">
        <v>55</v>
      </c>
      <c r="O187" t="s">
        <v>530</v>
      </c>
      <c r="P187" t="s">
        <v>531</v>
      </c>
      <c r="Q187" t="s">
        <v>49</v>
      </c>
      <c r="R187" t="s">
        <v>50</v>
      </c>
      <c r="S187" s="1">
        <v>46023</v>
      </c>
      <c r="U187" t="s">
        <v>51</v>
      </c>
      <c r="X187" t="s">
        <v>52</v>
      </c>
      <c r="Y187" s="2">
        <v>0</v>
      </c>
      <c r="Z187" s="2">
        <v>175</v>
      </c>
      <c r="AA187">
        <v>1</v>
      </c>
      <c r="AB187" s="3">
        <v>1</v>
      </c>
      <c r="AC187" s="2">
        <v>175</v>
      </c>
      <c r="AD187" s="3">
        <v>0</v>
      </c>
      <c r="AE187" s="2">
        <v>0</v>
      </c>
      <c r="AF187" s="2">
        <v>175</v>
      </c>
      <c r="AK187">
        <v>5969668</v>
      </c>
    </row>
    <row r="188" spans="1:37" x14ac:dyDescent="0.25">
      <c r="A188" s="1">
        <v>45980</v>
      </c>
      <c r="B188" s="1">
        <v>45980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532</v>
      </c>
      <c r="J188" t="s">
        <v>533</v>
      </c>
      <c r="M188" t="s">
        <v>55</v>
      </c>
      <c r="O188" t="s">
        <v>285</v>
      </c>
      <c r="P188" t="s">
        <v>286</v>
      </c>
      <c r="Q188" t="s">
        <v>49</v>
      </c>
      <c r="R188" t="s">
        <v>98</v>
      </c>
      <c r="S188" s="1">
        <v>46023</v>
      </c>
      <c r="U188" t="s">
        <v>51</v>
      </c>
      <c r="X188" t="s">
        <v>52</v>
      </c>
      <c r="Y188" s="2">
        <v>0</v>
      </c>
      <c r="Z188" s="2">
        <v>15</v>
      </c>
      <c r="AA188">
        <v>1</v>
      </c>
      <c r="AB188" s="3">
        <v>1</v>
      </c>
      <c r="AC188" s="2">
        <v>15</v>
      </c>
      <c r="AD188" s="3">
        <v>0</v>
      </c>
      <c r="AE188" s="2">
        <v>0</v>
      </c>
      <c r="AF188" s="2">
        <v>15</v>
      </c>
      <c r="AK188">
        <v>5969501</v>
      </c>
    </row>
    <row r="189" spans="1:37" x14ac:dyDescent="0.25">
      <c r="A189" s="1">
        <v>45980</v>
      </c>
      <c r="B189" s="1">
        <v>45980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534</v>
      </c>
      <c r="J189" t="s">
        <v>535</v>
      </c>
      <c r="M189" t="s">
        <v>55</v>
      </c>
      <c r="O189" t="s">
        <v>251</v>
      </c>
      <c r="P189" t="s">
        <v>252</v>
      </c>
      <c r="Q189" t="s">
        <v>49</v>
      </c>
      <c r="R189" t="s">
        <v>50</v>
      </c>
      <c r="S189" s="1">
        <v>46023</v>
      </c>
      <c r="U189" t="s">
        <v>51</v>
      </c>
      <c r="X189" t="s">
        <v>52</v>
      </c>
      <c r="Y189" s="2">
        <v>0</v>
      </c>
      <c r="Z189" s="2">
        <v>175</v>
      </c>
      <c r="AA189">
        <v>1</v>
      </c>
      <c r="AB189" s="3">
        <v>1</v>
      </c>
      <c r="AC189" s="2">
        <v>175</v>
      </c>
      <c r="AD189" s="3">
        <v>0</v>
      </c>
      <c r="AE189" s="2">
        <v>0</v>
      </c>
      <c r="AF189" s="2">
        <v>175</v>
      </c>
      <c r="AK189">
        <v>5969669</v>
      </c>
    </row>
    <row r="190" spans="1:37" x14ac:dyDescent="0.25">
      <c r="A190" s="1">
        <v>45980</v>
      </c>
      <c r="B190" s="1">
        <v>45980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536</v>
      </c>
      <c r="J190" t="s">
        <v>537</v>
      </c>
      <c r="M190" t="s">
        <v>55</v>
      </c>
      <c r="O190" t="s">
        <v>67</v>
      </c>
      <c r="P190" t="s">
        <v>68</v>
      </c>
      <c r="Q190" t="s">
        <v>49</v>
      </c>
      <c r="R190" t="s">
        <v>50</v>
      </c>
      <c r="S190" s="1">
        <v>46023</v>
      </c>
      <c r="U190" t="s">
        <v>51</v>
      </c>
      <c r="X190" t="s">
        <v>52</v>
      </c>
      <c r="Y190" s="2">
        <v>0</v>
      </c>
      <c r="Z190" s="2">
        <v>175</v>
      </c>
      <c r="AA190">
        <v>1</v>
      </c>
      <c r="AB190" s="3">
        <v>1</v>
      </c>
      <c r="AC190" s="2">
        <v>175</v>
      </c>
      <c r="AD190" s="3">
        <v>0</v>
      </c>
      <c r="AE190" s="2">
        <v>0</v>
      </c>
      <c r="AF190" s="2">
        <v>175</v>
      </c>
      <c r="AK190">
        <v>5969670</v>
      </c>
    </row>
    <row r="191" spans="1:37" x14ac:dyDescent="0.25">
      <c r="A191" s="1">
        <v>45980</v>
      </c>
      <c r="B191" s="1">
        <v>45980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538</v>
      </c>
      <c r="J191" t="s">
        <v>539</v>
      </c>
      <c r="M191" t="s">
        <v>55</v>
      </c>
      <c r="O191" t="s">
        <v>285</v>
      </c>
      <c r="P191" t="s">
        <v>286</v>
      </c>
      <c r="Q191" t="s">
        <v>49</v>
      </c>
      <c r="R191" t="s">
        <v>98</v>
      </c>
      <c r="S191" s="1">
        <v>46023</v>
      </c>
      <c r="U191" t="s">
        <v>51</v>
      </c>
      <c r="X191" t="s">
        <v>52</v>
      </c>
      <c r="Y191" s="2">
        <v>0</v>
      </c>
      <c r="Z191" s="2">
        <v>15</v>
      </c>
      <c r="AA191">
        <v>1</v>
      </c>
      <c r="AB191" s="3">
        <v>1</v>
      </c>
      <c r="AC191" s="2">
        <v>15</v>
      </c>
      <c r="AD191" s="3">
        <v>0</v>
      </c>
      <c r="AE191" s="2">
        <v>0</v>
      </c>
      <c r="AF191" s="2">
        <v>15</v>
      </c>
      <c r="AK191">
        <v>5969502</v>
      </c>
    </row>
    <row r="192" spans="1:37" x14ac:dyDescent="0.25">
      <c r="A192" s="1">
        <v>45980</v>
      </c>
      <c r="B192" s="1">
        <v>45980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540</v>
      </c>
      <c r="J192" t="s">
        <v>541</v>
      </c>
      <c r="M192" t="s">
        <v>246</v>
      </c>
      <c r="O192" t="s">
        <v>90</v>
      </c>
      <c r="P192" t="s">
        <v>91</v>
      </c>
      <c r="Q192" t="s">
        <v>49</v>
      </c>
      <c r="R192" t="s">
        <v>50</v>
      </c>
      <c r="S192" s="1">
        <v>46023</v>
      </c>
      <c r="U192" t="s">
        <v>51</v>
      </c>
      <c r="X192" t="s">
        <v>52</v>
      </c>
      <c r="Y192" s="2">
        <v>0</v>
      </c>
      <c r="Z192" s="2">
        <v>175</v>
      </c>
      <c r="AA192">
        <v>1</v>
      </c>
      <c r="AB192" s="3">
        <v>1</v>
      </c>
      <c r="AC192" s="2">
        <v>175</v>
      </c>
      <c r="AD192" s="3">
        <v>0</v>
      </c>
      <c r="AE192" s="2">
        <v>0</v>
      </c>
      <c r="AF192" s="2">
        <v>175</v>
      </c>
      <c r="AK192">
        <v>5969671</v>
      </c>
    </row>
    <row r="193" spans="1:37" x14ac:dyDescent="0.25">
      <c r="A193" s="1">
        <v>45980</v>
      </c>
      <c r="B193" s="1">
        <v>45980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542</v>
      </c>
      <c r="J193" t="s">
        <v>543</v>
      </c>
      <c r="M193" t="s">
        <v>55</v>
      </c>
      <c r="O193" t="s">
        <v>85</v>
      </c>
      <c r="P193" t="s">
        <v>86</v>
      </c>
      <c r="Q193" t="s">
        <v>49</v>
      </c>
      <c r="R193" t="s">
        <v>50</v>
      </c>
      <c r="S193" s="1">
        <v>46023</v>
      </c>
      <c r="U193" t="s">
        <v>51</v>
      </c>
      <c r="X193" t="s">
        <v>52</v>
      </c>
      <c r="Y193" s="2">
        <v>0</v>
      </c>
      <c r="Z193" s="2">
        <v>175</v>
      </c>
      <c r="AA193">
        <v>1</v>
      </c>
      <c r="AB193" s="3">
        <v>1</v>
      </c>
      <c r="AC193" s="2">
        <v>175</v>
      </c>
      <c r="AD193" s="3">
        <v>0</v>
      </c>
      <c r="AE193" s="2">
        <v>0</v>
      </c>
      <c r="AF193" s="2">
        <v>175</v>
      </c>
      <c r="AK193">
        <v>5969672</v>
      </c>
    </row>
    <row r="194" spans="1:37" x14ac:dyDescent="0.25">
      <c r="A194" s="1">
        <v>45980</v>
      </c>
      <c r="B194" s="1">
        <v>45980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544</v>
      </c>
      <c r="J194" t="s">
        <v>545</v>
      </c>
      <c r="M194" t="s">
        <v>246</v>
      </c>
      <c r="O194" t="s">
        <v>90</v>
      </c>
      <c r="P194" t="s">
        <v>91</v>
      </c>
      <c r="Q194" t="s">
        <v>49</v>
      </c>
      <c r="R194" t="s">
        <v>50</v>
      </c>
      <c r="S194" s="1">
        <v>46023</v>
      </c>
      <c r="U194" t="s">
        <v>51</v>
      </c>
      <c r="X194" t="s">
        <v>52</v>
      </c>
      <c r="Y194" s="2">
        <v>0</v>
      </c>
      <c r="Z194" s="2">
        <v>175</v>
      </c>
      <c r="AA194">
        <v>1</v>
      </c>
      <c r="AB194" s="3">
        <v>1</v>
      </c>
      <c r="AC194" s="2">
        <v>175</v>
      </c>
      <c r="AD194" s="3">
        <v>0</v>
      </c>
      <c r="AE194" s="2">
        <v>0</v>
      </c>
      <c r="AF194" s="2">
        <v>175</v>
      </c>
      <c r="AK194">
        <v>5969673</v>
      </c>
    </row>
    <row r="195" spans="1:37" x14ac:dyDescent="0.25">
      <c r="A195" s="1">
        <v>45980</v>
      </c>
      <c r="B195" s="1">
        <v>45980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546</v>
      </c>
      <c r="J195" t="s">
        <v>547</v>
      </c>
      <c r="M195" t="s">
        <v>398</v>
      </c>
      <c r="O195" t="s">
        <v>399</v>
      </c>
      <c r="P195" t="s">
        <v>400</v>
      </c>
      <c r="Q195" t="s">
        <v>49</v>
      </c>
      <c r="R195" t="s">
        <v>98</v>
      </c>
      <c r="S195" s="1">
        <v>46023</v>
      </c>
      <c r="U195" t="s">
        <v>51</v>
      </c>
      <c r="X195" t="s">
        <v>52</v>
      </c>
      <c r="Y195" s="2">
        <v>0</v>
      </c>
      <c r="Z195" s="2">
        <v>15</v>
      </c>
      <c r="AA195">
        <v>1</v>
      </c>
      <c r="AB195" s="3">
        <v>1</v>
      </c>
      <c r="AC195" s="2">
        <v>15</v>
      </c>
      <c r="AD195" s="3">
        <v>0</v>
      </c>
      <c r="AE195" s="2">
        <v>0</v>
      </c>
      <c r="AF195" s="2">
        <v>15</v>
      </c>
      <c r="AK195">
        <v>5969503</v>
      </c>
    </row>
    <row r="196" spans="1:37" x14ac:dyDescent="0.25">
      <c r="A196" s="1">
        <v>45980</v>
      </c>
      <c r="B196" s="1">
        <v>45980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548</v>
      </c>
      <c r="J196" t="s">
        <v>549</v>
      </c>
      <c r="M196" t="s">
        <v>55</v>
      </c>
      <c r="O196" t="s">
        <v>285</v>
      </c>
      <c r="P196" t="s">
        <v>286</v>
      </c>
      <c r="Q196" t="s">
        <v>49</v>
      </c>
      <c r="R196" t="s">
        <v>98</v>
      </c>
      <c r="S196" s="1">
        <v>46023</v>
      </c>
      <c r="U196" t="s">
        <v>51</v>
      </c>
      <c r="X196" t="s">
        <v>52</v>
      </c>
      <c r="Y196" s="2">
        <v>0</v>
      </c>
      <c r="Z196" s="2">
        <v>15</v>
      </c>
      <c r="AA196">
        <v>1</v>
      </c>
      <c r="AB196" s="3">
        <v>1</v>
      </c>
      <c r="AC196" s="2">
        <v>15</v>
      </c>
      <c r="AD196" s="3">
        <v>0</v>
      </c>
      <c r="AE196" s="2">
        <v>0</v>
      </c>
      <c r="AF196" s="2">
        <v>15</v>
      </c>
      <c r="AK196">
        <v>5969504</v>
      </c>
    </row>
    <row r="197" spans="1:37" x14ac:dyDescent="0.25">
      <c r="A197" s="1">
        <v>45980</v>
      </c>
      <c r="B197" s="1">
        <v>45980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550</v>
      </c>
      <c r="J197" t="s">
        <v>551</v>
      </c>
      <c r="M197" t="s">
        <v>66</v>
      </c>
      <c r="O197" t="s">
        <v>77</v>
      </c>
      <c r="P197" t="s">
        <v>78</v>
      </c>
      <c r="Q197" t="s">
        <v>49</v>
      </c>
      <c r="R197" t="s">
        <v>50</v>
      </c>
      <c r="S197" s="1">
        <v>46023</v>
      </c>
      <c r="U197" t="s">
        <v>51</v>
      </c>
      <c r="X197" t="s">
        <v>52</v>
      </c>
      <c r="Y197" s="2">
        <v>0</v>
      </c>
      <c r="Z197" s="2">
        <v>175</v>
      </c>
      <c r="AA197">
        <v>1</v>
      </c>
      <c r="AB197" s="3">
        <v>1</v>
      </c>
      <c r="AC197" s="2">
        <v>175</v>
      </c>
      <c r="AD197" s="3">
        <v>0</v>
      </c>
      <c r="AE197" s="2">
        <v>0</v>
      </c>
      <c r="AF197" s="2">
        <v>175</v>
      </c>
      <c r="AK197">
        <v>5969674</v>
      </c>
    </row>
    <row r="198" spans="1:37" x14ac:dyDescent="0.25">
      <c r="A198" s="1">
        <v>45980</v>
      </c>
      <c r="B198" s="1">
        <v>45980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552</v>
      </c>
      <c r="J198" t="s">
        <v>553</v>
      </c>
      <c r="M198" t="s">
        <v>203</v>
      </c>
      <c r="O198" t="s">
        <v>204</v>
      </c>
      <c r="P198" t="s">
        <v>205</v>
      </c>
      <c r="Q198" t="s">
        <v>49</v>
      </c>
      <c r="R198" t="s">
        <v>98</v>
      </c>
      <c r="S198" s="1">
        <v>46023</v>
      </c>
      <c r="U198" t="s">
        <v>51</v>
      </c>
      <c r="X198" t="s">
        <v>52</v>
      </c>
      <c r="Y198" s="2">
        <v>0</v>
      </c>
      <c r="Z198" s="2">
        <v>15</v>
      </c>
      <c r="AA198">
        <v>1</v>
      </c>
      <c r="AB198" s="3">
        <v>1</v>
      </c>
      <c r="AC198" s="2">
        <v>15</v>
      </c>
      <c r="AD198" s="3">
        <v>0</v>
      </c>
      <c r="AE198" s="2">
        <v>0</v>
      </c>
      <c r="AF198" s="2">
        <v>15</v>
      </c>
      <c r="AK198">
        <v>5969312</v>
      </c>
    </row>
    <row r="199" spans="1:37" x14ac:dyDescent="0.25">
      <c r="A199" s="1">
        <v>45980</v>
      </c>
      <c r="B199" s="1">
        <v>45980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554</v>
      </c>
      <c r="J199" t="s">
        <v>555</v>
      </c>
      <c r="M199" t="s">
        <v>55</v>
      </c>
      <c r="O199" t="s">
        <v>165</v>
      </c>
      <c r="P199" t="s">
        <v>166</v>
      </c>
      <c r="Q199" t="s">
        <v>49</v>
      </c>
      <c r="R199" t="s">
        <v>50</v>
      </c>
      <c r="S199" s="1">
        <v>46023</v>
      </c>
      <c r="U199" t="s">
        <v>51</v>
      </c>
      <c r="X199" t="s">
        <v>52</v>
      </c>
      <c r="Y199" s="2">
        <v>0</v>
      </c>
      <c r="Z199" s="2">
        <v>175</v>
      </c>
      <c r="AA199">
        <v>1</v>
      </c>
      <c r="AB199" s="3">
        <v>1</v>
      </c>
      <c r="AC199" s="2">
        <v>175</v>
      </c>
      <c r="AD199" s="3">
        <v>0</v>
      </c>
      <c r="AE199" s="2">
        <v>0</v>
      </c>
      <c r="AF199" s="2">
        <v>175</v>
      </c>
      <c r="AK199">
        <v>5969675</v>
      </c>
    </row>
    <row r="200" spans="1:37" x14ac:dyDescent="0.25">
      <c r="A200" s="1">
        <v>45980</v>
      </c>
      <c r="B200" s="1">
        <v>45980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556</v>
      </c>
      <c r="J200" t="s">
        <v>557</v>
      </c>
      <c r="M200" t="s">
        <v>278</v>
      </c>
      <c r="O200" t="s">
        <v>279</v>
      </c>
      <c r="P200" t="s">
        <v>280</v>
      </c>
      <c r="Q200" t="s">
        <v>49</v>
      </c>
      <c r="R200" t="s">
        <v>98</v>
      </c>
      <c r="S200" s="1">
        <v>46023</v>
      </c>
      <c r="U200" t="s">
        <v>51</v>
      </c>
      <c r="X200" t="s">
        <v>52</v>
      </c>
      <c r="Y200" s="2">
        <v>0</v>
      </c>
      <c r="Z200" s="2">
        <v>15</v>
      </c>
      <c r="AA200">
        <v>1</v>
      </c>
      <c r="AB200" s="3">
        <v>1</v>
      </c>
      <c r="AC200" s="2">
        <v>15</v>
      </c>
      <c r="AD200" s="3">
        <v>0</v>
      </c>
      <c r="AE200" s="2">
        <v>0</v>
      </c>
      <c r="AF200" s="2">
        <v>15</v>
      </c>
      <c r="AK200">
        <v>5969505</v>
      </c>
    </row>
    <row r="201" spans="1:37" x14ac:dyDescent="0.25">
      <c r="A201" s="1">
        <v>45980</v>
      </c>
      <c r="B201" s="1">
        <v>45980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558</v>
      </c>
      <c r="J201" t="s">
        <v>559</v>
      </c>
      <c r="M201" t="s">
        <v>278</v>
      </c>
      <c r="O201" t="s">
        <v>510</v>
      </c>
      <c r="P201" t="s">
        <v>511</v>
      </c>
      <c r="Q201" t="s">
        <v>49</v>
      </c>
      <c r="R201" t="s">
        <v>98</v>
      </c>
      <c r="S201" s="1">
        <v>46023</v>
      </c>
      <c r="U201" t="s">
        <v>51</v>
      </c>
      <c r="X201" t="s">
        <v>52</v>
      </c>
      <c r="Y201" s="2">
        <v>0</v>
      </c>
      <c r="Z201" s="2">
        <v>15</v>
      </c>
      <c r="AA201">
        <v>1</v>
      </c>
      <c r="AB201" s="3">
        <v>1</v>
      </c>
      <c r="AC201" s="2">
        <v>15</v>
      </c>
      <c r="AD201" s="3">
        <v>0</v>
      </c>
      <c r="AE201" s="2">
        <v>0</v>
      </c>
      <c r="AF201" s="2">
        <v>15</v>
      </c>
      <c r="AK201">
        <v>5969506</v>
      </c>
    </row>
    <row r="202" spans="1:37" x14ac:dyDescent="0.25">
      <c r="A202" s="1">
        <v>45980</v>
      </c>
      <c r="B202" s="1">
        <v>45980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560</v>
      </c>
      <c r="J202" t="s">
        <v>561</v>
      </c>
      <c r="M202" t="s">
        <v>246</v>
      </c>
      <c r="O202" t="s">
        <v>562</v>
      </c>
      <c r="P202" t="s">
        <v>561</v>
      </c>
      <c r="Q202" t="s">
        <v>49</v>
      </c>
      <c r="R202" t="s">
        <v>50</v>
      </c>
      <c r="S202" s="1">
        <v>46023</v>
      </c>
      <c r="U202" t="s">
        <v>51</v>
      </c>
      <c r="X202" t="s">
        <v>52</v>
      </c>
      <c r="Y202" s="2">
        <v>0</v>
      </c>
      <c r="Z202" s="2">
        <v>175</v>
      </c>
      <c r="AA202">
        <v>1</v>
      </c>
      <c r="AB202" s="3">
        <v>1</v>
      </c>
      <c r="AC202" s="2">
        <v>175</v>
      </c>
      <c r="AD202" s="3">
        <v>0</v>
      </c>
      <c r="AE202" s="2">
        <v>0</v>
      </c>
      <c r="AF202" s="2">
        <v>175</v>
      </c>
      <c r="AK202">
        <v>5969676</v>
      </c>
    </row>
    <row r="203" spans="1:37" x14ac:dyDescent="0.25">
      <c r="A203" s="1">
        <v>45980</v>
      </c>
      <c r="B203" s="1">
        <v>45980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563</v>
      </c>
      <c r="J203" t="s">
        <v>564</v>
      </c>
      <c r="M203" t="s">
        <v>55</v>
      </c>
      <c r="O203" t="s">
        <v>150</v>
      </c>
      <c r="P203" t="s">
        <v>151</v>
      </c>
      <c r="Q203" t="s">
        <v>49</v>
      </c>
      <c r="R203" t="s">
        <v>50</v>
      </c>
      <c r="S203" s="1">
        <v>46023</v>
      </c>
      <c r="U203" t="s">
        <v>51</v>
      </c>
      <c r="X203" t="s">
        <v>52</v>
      </c>
      <c r="Y203" s="2">
        <v>0</v>
      </c>
      <c r="Z203" s="2">
        <v>175</v>
      </c>
      <c r="AA203">
        <v>1</v>
      </c>
      <c r="AB203" s="3">
        <v>1</v>
      </c>
      <c r="AC203" s="2">
        <v>175</v>
      </c>
      <c r="AD203" s="3">
        <v>0</v>
      </c>
      <c r="AE203" s="2">
        <v>0</v>
      </c>
      <c r="AF203" s="2">
        <v>175</v>
      </c>
      <c r="AK203">
        <v>5969677</v>
      </c>
    </row>
    <row r="204" spans="1:37" x14ac:dyDescent="0.25">
      <c r="A204" s="1">
        <v>45980</v>
      </c>
      <c r="B204" s="1">
        <v>45980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565</v>
      </c>
      <c r="J204" t="s">
        <v>566</v>
      </c>
      <c r="M204" t="s">
        <v>55</v>
      </c>
      <c r="O204" t="s">
        <v>567</v>
      </c>
      <c r="P204" t="s">
        <v>568</v>
      </c>
      <c r="Q204" t="s">
        <v>49</v>
      </c>
      <c r="R204" t="s">
        <v>98</v>
      </c>
      <c r="S204" s="1">
        <v>46023</v>
      </c>
      <c r="U204" t="s">
        <v>51</v>
      </c>
      <c r="X204" t="s">
        <v>52</v>
      </c>
      <c r="Y204" s="2">
        <v>0</v>
      </c>
      <c r="Z204" s="2">
        <v>15</v>
      </c>
      <c r="AA204">
        <v>1</v>
      </c>
      <c r="AB204" s="3">
        <v>1</v>
      </c>
      <c r="AC204" s="2">
        <v>15</v>
      </c>
      <c r="AD204" s="3">
        <v>0</v>
      </c>
      <c r="AE204" s="2">
        <v>0</v>
      </c>
      <c r="AF204" s="2">
        <v>15</v>
      </c>
      <c r="AK204">
        <v>5969507</v>
      </c>
    </row>
    <row r="205" spans="1:37" x14ac:dyDescent="0.25">
      <c r="A205" s="1">
        <v>45980</v>
      </c>
      <c r="B205" s="1">
        <v>45980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569</v>
      </c>
      <c r="J205" t="s">
        <v>570</v>
      </c>
      <c r="M205" t="s">
        <v>55</v>
      </c>
      <c r="O205" t="s">
        <v>56</v>
      </c>
      <c r="P205" t="s">
        <v>57</v>
      </c>
      <c r="Q205" t="s">
        <v>49</v>
      </c>
      <c r="R205" t="s">
        <v>50</v>
      </c>
      <c r="S205" s="1">
        <v>46023</v>
      </c>
      <c r="U205" t="s">
        <v>51</v>
      </c>
      <c r="X205" t="s">
        <v>52</v>
      </c>
      <c r="Y205" s="2">
        <v>0</v>
      </c>
      <c r="Z205" s="2">
        <v>175</v>
      </c>
      <c r="AA205">
        <v>1</v>
      </c>
      <c r="AB205" s="3">
        <v>1</v>
      </c>
      <c r="AC205" s="2">
        <v>175</v>
      </c>
      <c r="AD205" s="3">
        <v>0</v>
      </c>
      <c r="AE205" s="2">
        <v>0</v>
      </c>
      <c r="AF205" s="2">
        <v>175</v>
      </c>
      <c r="AK205">
        <v>5969678</v>
      </c>
    </row>
    <row r="206" spans="1:37" x14ac:dyDescent="0.25">
      <c r="A206" s="1">
        <v>45980</v>
      </c>
      <c r="B206" s="1">
        <v>45980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571</v>
      </c>
      <c r="J206" t="s">
        <v>572</v>
      </c>
      <c r="M206" t="s">
        <v>55</v>
      </c>
      <c r="O206" t="s">
        <v>573</v>
      </c>
      <c r="P206" t="s">
        <v>574</v>
      </c>
      <c r="Q206" t="s">
        <v>49</v>
      </c>
      <c r="R206" t="s">
        <v>98</v>
      </c>
      <c r="S206" s="1">
        <v>46023</v>
      </c>
      <c r="U206" t="s">
        <v>51</v>
      </c>
      <c r="X206" t="s">
        <v>52</v>
      </c>
      <c r="Y206" s="2">
        <v>0</v>
      </c>
      <c r="Z206" s="2">
        <v>15</v>
      </c>
      <c r="AA206">
        <v>1</v>
      </c>
      <c r="AB206" s="3">
        <v>1</v>
      </c>
      <c r="AC206" s="2">
        <v>15</v>
      </c>
      <c r="AD206" s="3">
        <v>0</v>
      </c>
      <c r="AE206" s="2">
        <v>0</v>
      </c>
      <c r="AF206" s="2">
        <v>15</v>
      </c>
      <c r="AK206">
        <v>5969508</v>
      </c>
    </row>
    <row r="207" spans="1:37" x14ac:dyDescent="0.25">
      <c r="A207" s="1">
        <v>45980</v>
      </c>
      <c r="B207" s="1">
        <v>45980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575</v>
      </c>
      <c r="J207" t="s">
        <v>576</v>
      </c>
      <c r="M207" t="s">
        <v>89</v>
      </c>
      <c r="O207" t="s">
        <v>155</v>
      </c>
      <c r="P207" t="s">
        <v>156</v>
      </c>
      <c r="Q207" t="s">
        <v>49</v>
      </c>
      <c r="R207" t="s">
        <v>50</v>
      </c>
      <c r="S207" s="1">
        <v>46023</v>
      </c>
      <c r="U207" t="s">
        <v>51</v>
      </c>
      <c r="X207" t="s">
        <v>52</v>
      </c>
      <c r="Y207" s="2">
        <v>0</v>
      </c>
      <c r="Z207" s="2">
        <v>175</v>
      </c>
      <c r="AA207">
        <v>1</v>
      </c>
      <c r="AB207" s="3">
        <v>1</v>
      </c>
      <c r="AC207" s="2">
        <v>175</v>
      </c>
      <c r="AD207" s="3">
        <v>0</v>
      </c>
      <c r="AE207" s="2">
        <v>0</v>
      </c>
      <c r="AF207" s="2">
        <v>175</v>
      </c>
      <c r="AK207">
        <v>5969679</v>
      </c>
    </row>
    <row r="208" spans="1:37" x14ac:dyDescent="0.25">
      <c r="A208" s="1">
        <v>45980</v>
      </c>
      <c r="B208" s="1">
        <v>45980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577</v>
      </c>
      <c r="J208" t="s">
        <v>578</v>
      </c>
      <c r="M208" t="s">
        <v>55</v>
      </c>
      <c r="O208" t="s">
        <v>285</v>
      </c>
      <c r="P208" t="s">
        <v>286</v>
      </c>
      <c r="Q208" t="s">
        <v>49</v>
      </c>
      <c r="R208" t="s">
        <v>50</v>
      </c>
      <c r="S208" s="1">
        <v>45992</v>
      </c>
      <c r="U208" t="s">
        <v>51</v>
      </c>
      <c r="X208" t="s">
        <v>52</v>
      </c>
      <c r="Y208" s="2">
        <v>0</v>
      </c>
      <c r="Z208" s="2">
        <v>175</v>
      </c>
      <c r="AA208">
        <v>1</v>
      </c>
      <c r="AB208" s="3">
        <v>1</v>
      </c>
      <c r="AC208" s="2">
        <v>175</v>
      </c>
      <c r="AD208" s="3">
        <v>0</v>
      </c>
      <c r="AE208" s="2">
        <v>0</v>
      </c>
      <c r="AF208" s="2">
        <v>175</v>
      </c>
      <c r="AK208">
        <v>5969680</v>
      </c>
    </row>
    <row r="209" spans="1:37" x14ac:dyDescent="0.25">
      <c r="A209" s="1">
        <v>45980</v>
      </c>
      <c r="B209" s="1">
        <v>45980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579</v>
      </c>
      <c r="J209" t="s">
        <v>580</v>
      </c>
      <c r="M209" t="s">
        <v>55</v>
      </c>
      <c r="O209" t="s">
        <v>177</v>
      </c>
      <c r="P209" t="s">
        <v>178</v>
      </c>
      <c r="Q209" t="s">
        <v>49</v>
      </c>
      <c r="R209" t="s">
        <v>98</v>
      </c>
      <c r="S209" s="1">
        <v>46023</v>
      </c>
      <c r="U209" t="s">
        <v>51</v>
      </c>
      <c r="X209" t="s">
        <v>52</v>
      </c>
      <c r="Y209" s="2">
        <v>0</v>
      </c>
      <c r="Z209" s="2">
        <v>15</v>
      </c>
      <c r="AA209">
        <v>1</v>
      </c>
      <c r="AB209" s="3">
        <v>1</v>
      </c>
      <c r="AC209" s="2">
        <v>15</v>
      </c>
      <c r="AD209" s="3">
        <v>0</v>
      </c>
      <c r="AE209" s="2">
        <v>0</v>
      </c>
      <c r="AF209" s="2">
        <v>15</v>
      </c>
      <c r="AK209">
        <v>5969509</v>
      </c>
    </row>
    <row r="210" spans="1:37" x14ac:dyDescent="0.25">
      <c r="A210" s="1">
        <v>45980</v>
      </c>
      <c r="B210" s="1">
        <v>45980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581</v>
      </c>
      <c r="J210" t="s">
        <v>582</v>
      </c>
      <c r="M210" t="s">
        <v>278</v>
      </c>
      <c r="O210" t="s">
        <v>510</v>
      </c>
      <c r="P210" t="s">
        <v>511</v>
      </c>
      <c r="Q210" t="s">
        <v>49</v>
      </c>
      <c r="R210" t="s">
        <v>98</v>
      </c>
      <c r="S210" s="1">
        <v>46023</v>
      </c>
      <c r="U210" t="s">
        <v>51</v>
      </c>
      <c r="X210" t="s">
        <v>52</v>
      </c>
      <c r="Y210" s="2">
        <v>0</v>
      </c>
      <c r="Z210" s="2">
        <v>15</v>
      </c>
      <c r="AA210">
        <v>1</v>
      </c>
      <c r="AB210" s="3">
        <v>1</v>
      </c>
      <c r="AC210" s="2">
        <v>15</v>
      </c>
      <c r="AD210" s="3">
        <v>0</v>
      </c>
      <c r="AE210" s="2">
        <v>0</v>
      </c>
      <c r="AF210" s="2">
        <v>15</v>
      </c>
      <c r="AK210">
        <v>5969510</v>
      </c>
    </row>
    <row r="211" spans="1:37" x14ac:dyDescent="0.25">
      <c r="A211" s="1">
        <v>45980</v>
      </c>
      <c r="B211" s="1">
        <v>45980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583</v>
      </c>
      <c r="J211" t="s">
        <v>584</v>
      </c>
      <c r="M211" t="s">
        <v>72</v>
      </c>
      <c r="O211" t="s">
        <v>73</v>
      </c>
      <c r="P211" t="s">
        <v>74</v>
      </c>
      <c r="Q211" t="s">
        <v>49</v>
      </c>
      <c r="R211" t="s">
        <v>98</v>
      </c>
      <c r="S211" s="1">
        <v>46023</v>
      </c>
      <c r="U211" t="s">
        <v>51</v>
      </c>
      <c r="X211" t="s">
        <v>52</v>
      </c>
      <c r="Y211" s="2">
        <v>0</v>
      </c>
      <c r="Z211" s="2">
        <v>15</v>
      </c>
      <c r="AA211">
        <v>1</v>
      </c>
      <c r="AB211" s="3">
        <v>1</v>
      </c>
      <c r="AC211" s="2">
        <v>15</v>
      </c>
      <c r="AD211" s="3">
        <v>0</v>
      </c>
      <c r="AE211" s="2">
        <v>0</v>
      </c>
      <c r="AF211" s="2">
        <v>15</v>
      </c>
      <c r="AK211">
        <v>5969511</v>
      </c>
    </row>
    <row r="212" spans="1:37" x14ac:dyDescent="0.25">
      <c r="A212" s="1">
        <v>45980</v>
      </c>
      <c r="B212" s="1">
        <v>45980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585</v>
      </c>
      <c r="J212" t="s">
        <v>586</v>
      </c>
      <c r="M212" t="s">
        <v>55</v>
      </c>
      <c r="O212" t="s">
        <v>90</v>
      </c>
      <c r="P212" t="s">
        <v>91</v>
      </c>
      <c r="Q212" t="s">
        <v>49</v>
      </c>
      <c r="R212" t="s">
        <v>50</v>
      </c>
      <c r="S212" s="1">
        <v>46023</v>
      </c>
      <c r="U212" t="s">
        <v>51</v>
      </c>
      <c r="X212" t="s">
        <v>52</v>
      </c>
      <c r="Y212" s="2">
        <v>0</v>
      </c>
      <c r="Z212" s="2">
        <v>175</v>
      </c>
      <c r="AA212">
        <v>1</v>
      </c>
      <c r="AB212" s="3">
        <v>1</v>
      </c>
      <c r="AC212" s="2">
        <v>175</v>
      </c>
      <c r="AD212" s="3">
        <v>0</v>
      </c>
      <c r="AE212" s="2">
        <v>0</v>
      </c>
      <c r="AF212" s="2">
        <v>175</v>
      </c>
      <c r="AK212">
        <v>5969681</v>
      </c>
    </row>
    <row r="213" spans="1:37" x14ac:dyDescent="0.25">
      <c r="A213" s="1">
        <v>45980</v>
      </c>
      <c r="B213" s="1">
        <v>45980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587</v>
      </c>
      <c r="J213" t="s">
        <v>588</v>
      </c>
      <c r="M213" t="s">
        <v>55</v>
      </c>
      <c r="O213" t="s">
        <v>85</v>
      </c>
      <c r="P213" t="s">
        <v>86</v>
      </c>
      <c r="Q213" t="s">
        <v>49</v>
      </c>
      <c r="R213" t="s">
        <v>50</v>
      </c>
      <c r="S213" s="1">
        <v>46023</v>
      </c>
      <c r="U213" t="s">
        <v>51</v>
      </c>
      <c r="X213" t="s">
        <v>52</v>
      </c>
      <c r="Y213" s="2">
        <v>0</v>
      </c>
      <c r="Z213" s="2">
        <v>175</v>
      </c>
      <c r="AA213">
        <v>1</v>
      </c>
      <c r="AB213" s="3">
        <v>1</v>
      </c>
      <c r="AC213" s="2">
        <v>175</v>
      </c>
      <c r="AD213" s="3">
        <v>0</v>
      </c>
      <c r="AE213" s="2">
        <v>0</v>
      </c>
      <c r="AF213" s="2">
        <v>175</v>
      </c>
      <c r="AK213">
        <v>5969682</v>
      </c>
    </row>
    <row r="214" spans="1:37" x14ac:dyDescent="0.25">
      <c r="A214" s="1">
        <v>45980</v>
      </c>
      <c r="B214" s="1">
        <v>45980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589</v>
      </c>
      <c r="J214" t="s">
        <v>590</v>
      </c>
      <c r="M214" t="s">
        <v>55</v>
      </c>
      <c r="O214" t="s">
        <v>285</v>
      </c>
      <c r="P214" t="s">
        <v>286</v>
      </c>
      <c r="Q214" t="s">
        <v>49</v>
      </c>
      <c r="R214" t="s">
        <v>98</v>
      </c>
      <c r="S214" s="1">
        <v>46023</v>
      </c>
      <c r="U214" t="s">
        <v>51</v>
      </c>
      <c r="X214" t="s">
        <v>52</v>
      </c>
      <c r="Y214" s="2">
        <v>0</v>
      </c>
      <c r="Z214" s="2">
        <v>15</v>
      </c>
      <c r="AA214">
        <v>1</v>
      </c>
      <c r="AB214" s="3">
        <v>1</v>
      </c>
      <c r="AC214" s="2">
        <v>15</v>
      </c>
      <c r="AD214" s="3">
        <v>0</v>
      </c>
      <c r="AE214" s="2">
        <v>0</v>
      </c>
      <c r="AF214" s="2">
        <v>15</v>
      </c>
      <c r="AK214">
        <v>5969512</v>
      </c>
    </row>
    <row r="215" spans="1:37" x14ac:dyDescent="0.25">
      <c r="A215" s="1">
        <v>45980</v>
      </c>
      <c r="B215" s="1">
        <v>45980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591</v>
      </c>
      <c r="J215" t="s">
        <v>592</v>
      </c>
      <c r="M215" t="s">
        <v>55</v>
      </c>
      <c r="O215" t="s">
        <v>56</v>
      </c>
      <c r="P215" t="s">
        <v>57</v>
      </c>
      <c r="Q215" t="s">
        <v>49</v>
      </c>
      <c r="R215" t="s">
        <v>50</v>
      </c>
      <c r="S215" s="1">
        <v>46023</v>
      </c>
      <c r="U215" t="s">
        <v>51</v>
      </c>
      <c r="X215" t="s">
        <v>52</v>
      </c>
      <c r="Y215" s="2">
        <v>0</v>
      </c>
      <c r="Z215" s="2">
        <v>175</v>
      </c>
      <c r="AA215">
        <v>1</v>
      </c>
      <c r="AB215" s="3">
        <v>1</v>
      </c>
      <c r="AC215" s="2">
        <v>175</v>
      </c>
      <c r="AD215" s="3">
        <v>0</v>
      </c>
      <c r="AE215" s="2">
        <v>0</v>
      </c>
      <c r="AF215" s="2">
        <v>175</v>
      </c>
      <c r="AK215">
        <v>5969683</v>
      </c>
    </row>
    <row r="216" spans="1:37" x14ac:dyDescent="0.25">
      <c r="A216" s="1">
        <v>45980</v>
      </c>
      <c r="B216" s="1">
        <v>45980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593</v>
      </c>
      <c r="J216" t="s">
        <v>594</v>
      </c>
      <c r="M216" t="s">
        <v>278</v>
      </c>
      <c r="O216" t="s">
        <v>279</v>
      </c>
      <c r="P216" t="s">
        <v>280</v>
      </c>
      <c r="Q216" t="s">
        <v>49</v>
      </c>
      <c r="R216" t="s">
        <v>98</v>
      </c>
      <c r="S216" s="1">
        <v>46023</v>
      </c>
      <c r="U216" t="s">
        <v>51</v>
      </c>
      <c r="X216" t="s">
        <v>52</v>
      </c>
      <c r="Y216" s="2">
        <v>0</v>
      </c>
      <c r="Z216" s="2">
        <v>15</v>
      </c>
      <c r="AA216">
        <v>1</v>
      </c>
      <c r="AB216" s="3">
        <v>1</v>
      </c>
      <c r="AC216" s="2">
        <v>15</v>
      </c>
      <c r="AD216" s="3">
        <v>0</v>
      </c>
      <c r="AE216" s="2">
        <v>0</v>
      </c>
      <c r="AF216" s="2">
        <v>15</v>
      </c>
      <c r="AK216">
        <v>5969513</v>
      </c>
    </row>
    <row r="217" spans="1:37" x14ac:dyDescent="0.25">
      <c r="A217" s="1">
        <v>45980</v>
      </c>
      <c r="B217" s="1">
        <v>45980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595</v>
      </c>
      <c r="J217" t="s">
        <v>596</v>
      </c>
      <c r="M217" t="s">
        <v>46</v>
      </c>
      <c r="O217" t="s">
        <v>218</v>
      </c>
      <c r="P217" t="s">
        <v>219</v>
      </c>
      <c r="Q217" t="s">
        <v>49</v>
      </c>
      <c r="R217" t="s">
        <v>98</v>
      </c>
      <c r="S217" s="1">
        <v>46023</v>
      </c>
      <c r="U217" t="s">
        <v>51</v>
      </c>
      <c r="X217" t="s">
        <v>52</v>
      </c>
      <c r="Y217" s="2">
        <v>0</v>
      </c>
      <c r="Z217" s="2">
        <v>15</v>
      </c>
      <c r="AA217">
        <v>1</v>
      </c>
      <c r="AB217" s="3">
        <v>1</v>
      </c>
      <c r="AC217" s="2">
        <v>15</v>
      </c>
      <c r="AD217" s="3">
        <v>0</v>
      </c>
      <c r="AE217" s="2">
        <v>0</v>
      </c>
      <c r="AF217" s="2">
        <v>15</v>
      </c>
      <c r="AK217">
        <v>5969514</v>
      </c>
    </row>
    <row r="218" spans="1:37" x14ac:dyDescent="0.25">
      <c r="A218" s="1">
        <v>45980</v>
      </c>
      <c r="B218" s="1">
        <v>45980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597</v>
      </c>
      <c r="J218" t="s">
        <v>598</v>
      </c>
      <c r="M218" t="s">
        <v>55</v>
      </c>
      <c r="O218" t="s">
        <v>599</v>
      </c>
      <c r="P218" t="s">
        <v>600</v>
      </c>
      <c r="Q218" t="s">
        <v>49</v>
      </c>
      <c r="R218" t="s">
        <v>50</v>
      </c>
      <c r="S218" s="1">
        <v>46023</v>
      </c>
      <c r="U218" t="s">
        <v>51</v>
      </c>
      <c r="X218" t="s">
        <v>52</v>
      </c>
      <c r="Y218" s="2">
        <v>0</v>
      </c>
      <c r="Z218" s="2">
        <v>175</v>
      </c>
      <c r="AA218">
        <v>1</v>
      </c>
      <c r="AB218" s="3">
        <v>1</v>
      </c>
      <c r="AC218" s="2">
        <v>175</v>
      </c>
      <c r="AD218" s="3">
        <v>0</v>
      </c>
      <c r="AE218" s="2">
        <v>0</v>
      </c>
      <c r="AF218" s="2">
        <v>175</v>
      </c>
      <c r="AK218">
        <v>5969684</v>
      </c>
    </row>
    <row r="219" spans="1:37" x14ac:dyDescent="0.25">
      <c r="A219" s="1">
        <v>45980</v>
      </c>
      <c r="B219" s="1">
        <v>45980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601</v>
      </c>
      <c r="J219" t="s">
        <v>602</v>
      </c>
      <c r="M219" t="s">
        <v>55</v>
      </c>
      <c r="O219" t="s">
        <v>101</v>
      </c>
      <c r="P219" t="s">
        <v>102</v>
      </c>
      <c r="Q219" t="s">
        <v>49</v>
      </c>
      <c r="R219" t="s">
        <v>50</v>
      </c>
      <c r="S219" s="1">
        <v>46023</v>
      </c>
      <c r="U219" t="s">
        <v>51</v>
      </c>
      <c r="X219" t="s">
        <v>52</v>
      </c>
      <c r="Y219" s="2">
        <v>0</v>
      </c>
      <c r="Z219" s="2">
        <v>175</v>
      </c>
      <c r="AA219">
        <v>1</v>
      </c>
      <c r="AB219" s="3">
        <v>1</v>
      </c>
      <c r="AC219" s="2">
        <v>175</v>
      </c>
      <c r="AD219" s="3">
        <v>0</v>
      </c>
      <c r="AE219" s="2">
        <v>0</v>
      </c>
      <c r="AF219" s="2">
        <v>175</v>
      </c>
      <c r="AK219">
        <v>5969685</v>
      </c>
    </row>
    <row r="220" spans="1:37" x14ac:dyDescent="0.25">
      <c r="A220" s="1">
        <v>45980</v>
      </c>
      <c r="B220" s="1">
        <v>45980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603</v>
      </c>
      <c r="J220" t="s">
        <v>604</v>
      </c>
      <c r="M220" t="s">
        <v>55</v>
      </c>
      <c r="O220" t="s">
        <v>56</v>
      </c>
      <c r="P220" t="s">
        <v>57</v>
      </c>
      <c r="Q220" t="s">
        <v>49</v>
      </c>
      <c r="R220" t="s">
        <v>50</v>
      </c>
      <c r="S220" s="1">
        <v>46023</v>
      </c>
      <c r="U220" t="s">
        <v>51</v>
      </c>
      <c r="X220" t="s">
        <v>52</v>
      </c>
      <c r="Y220" s="2">
        <v>0</v>
      </c>
      <c r="Z220" s="2">
        <v>175</v>
      </c>
      <c r="AA220">
        <v>1</v>
      </c>
      <c r="AB220" s="3">
        <v>1</v>
      </c>
      <c r="AC220" s="2">
        <v>175</v>
      </c>
      <c r="AD220" s="3">
        <v>0</v>
      </c>
      <c r="AE220" s="2">
        <v>0</v>
      </c>
      <c r="AF220" s="2">
        <v>175</v>
      </c>
      <c r="AK220">
        <v>5969686</v>
      </c>
    </row>
    <row r="221" spans="1:37" x14ac:dyDescent="0.25">
      <c r="A221" s="1">
        <v>45980</v>
      </c>
      <c r="B221" s="1">
        <v>45980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605</v>
      </c>
      <c r="J221" t="s">
        <v>606</v>
      </c>
      <c r="M221" t="s">
        <v>55</v>
      </c>
      <c r="O221" t="s">
        <v>285</v>
      </c>
      <c r="P221" t="s">
        <v>286</v>
      </c>
      <c r="Q221" t="s">
        <v>49</v>
      </c>
      <c r="R221" t="s">
        <v>98</v>
      </c>
      <c r="S221" s="1">
        <v>46023</v>
      </c>
      <c r="U221" t="s">
        <v>51</v>
      </c>
      <c r="X221" t="s">
        <v>52</v>
      </c>
      <c r="Y221" s="2">
        <v>0</v>
      </c>
      <c r="Z221" s="2">
        <v>15</v>
      </c>
      <c r="AA221">
        <v>1</v>
      </c>
      <c r="AB221" s="3">
        <v>1</v>
      </c>
      <c r="AC221" s="2">
        <v>15</v>
      </c>
      <c r="AD221" s="3">
        <v>0</v>
      </c>
      <c r="AE221" s="2">
        <v>0</v>
      </c>
      <c r="AF221" s="2">
        <v>15</v>
      </c>
      <c r="AK221">
        <v>5969515</v>
      </c>
    </row>
    <row r="222" spans="1:37" x14ac:dyDescent="0.25">
      <c r="A222" s="1">
        <v>45980</v>
      </c>
      <c r="B222" s="1">
        <v>45980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607</v>
      </c>
      <c r="J222" t="s">
        <v>608</v>
      </c>
      <c r="M222" t="s">
        <v>55</v>
      </c>
      <c r="O222" t="s">
        <v>150</v>
      </c>
      <c r="P222" t="s">
        <v>151</v>
      </c>
      <c r="Q222" t="s">
        <v>49</v>
      </c>
      <c r="R222" t="s">
        <v>50</v>
      </c>
      <c r="S222" s="1">
        <v>46023</v>
      </c>
      <c r="U222" t="s">
        <v>51</v>
      </c>
      <c r="X222" t="s">
        <v>52</v>
      </c>
      <c r="Y222" s="2">
        <v>0</v>
      </c>
      <c r="Z222" s="2">
        <v>175</v>
      </c>
      <c r="AA222">
        <v>1</v>
      </c>
      <c r="AB222" s="3">
        <v>1</v>
      </c>
      <c r="AC222" s="2">
        <v>175</v>
      </c>
      <c r="AD222" s="3">
        <v>0</v>
      </c>
      <c r="AE222" s="2">
        <v>0</v>
      </c>
      <c r="AF222" s="2">
        <v>175</v>
      </c>
      <c r="AK222">
        <v>5969687</v>
      </c>
    </row>
    <row r="223" spans="1:37" x14ac:dyDescent="0.25">
      <c r="A223" s="1">
        <v>45980</v>
      </c>
      <c r="B223" s="1">
        <v>45980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609</v>
      </c>
      <c r="J223" t="s">
        <v>610</v>
      </c>
      <c r="M223" t="s">
        <v>203</v>
      </c>
      <c r="O223" t="s">
        <v>445</v>
      </c>
      <c r="P223" t="s">
        <v>446</v>
      </c>
      <c r="Q223" t="s">
        <v>49</v>
      </c>
      <c r="R223" t="s">
        <v>98</v>
      </c>
      <c r="S223" s="1">
        <v>46023</v>
      </c>
      <c r="U223" t="s">
        <v>51</v>
      </c>
      <c r="X223" t="s">
        <v>52</v>
      </c>
      <c r="Y223" s="2">
        <v>0</v>
      </c>
      <c r="Z223" s="2">
        <v>15</v>
      </c>
      <c r="AA223">
        <v>1</v>
      </c>
      <c r="AB223" s="3">
        <v>1</v>
      </c>
      <c r="AC223" s="2">
        <v>15</v>
      </c>
      <c r="AD223" s="3">
        <v>0</v>
      </c>
      <c r="AE223" s="2">
        <v>0</v>
      </c>
      <c r="AF223" s="2">
        <v>15</v>
      </c>
      <c r="AK223">
        <v>5969516</v>
      </c>
    </row>
    <row r="224" spans="1:37" x14ac:dyDescent="0.25">
      <c r="A224" s="1">
        <v>45980</v>
      </c>
      <c r="B224" s="1">
        <v>45980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611</v>
      </c>
      <c r="J224" t="s">
        <v>612</v>
      </c>
      <c r="M224" t="s">
        <v>55</v>
      </c>
      <c r="O224" t="s">
        <v>150</v>
      </c>
      <c r="P224" t="s">
        <v>151</v>
      </c>
      <c r="Q224" t="s">
        <v>49</v>
      </c>
      <c r="R224" t="s">
        <v>50</v>
      </c>
      <c r="S224" s="1">
        <v>46023</v>
      </c>
      <c r="U224" t="s">
        <v>51</v>
      </c>
      <c r="X224" t="s">
        <v>52</v>
      </c>
      <c r="Y224" s="2">
        <v>0</v>
      </c>
      <c r="Z224" s="2">
        <v>175</v>
      </c>
      <c r="AA224">
        <v>1</v>
      </c>
      <c r="AB224" s="3">
        <v>1</v>
      </c>
      <c r="AC224" s="2">
        <v>175</v>
      </c>
      <c r="AD224" s="3">
        <v>0</v>
      </c>
      <c r="AE224" s="2">
        <v>0</v>
      </c>
      <c r="AF224" s="2">
        <v>175</v>
      </c>
      <c r="AK224">
        <v>5969688</v>
      </c>
    </row>
    <row r="225" spans="1:37" x14ac:dyDescent="0.25">
      <c r="A225" s="1">
        <v>45980</v>
      </c>
      <c r="B225" s="1">
        <v>45980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613</v>
      </c>
      <c r="J225" t="s">
        <v>614</v>
      </c>
      <c r="M225" t="s">
        <v>55</v>
      </c>
      <c r="O225" t="s">
        <v>285</v>
      </c>
      <c r="P225" t="s">
        <v>286</v>
      </c>
      <c r="Q225" t="s">
        <v>49</v>
      </c>
      <c r="R225" t="s">
        <v>98</v>
      </c>
      <c r="S225" s="1">
        <v>46023</v>
      </c>
      <c r="U225" t="s">
        <v>51</v>
      </c>
      <c r="X225" t="s">
        <v>52</v>
      </c>
      <c r="Y225" s="2">
        <v>0</v>
      </c>
      <c r="Z225" s="2">
        <v>15</v>
      </c>
      <c r="AA225">
        <v>1</v>
      </c>
      <c r="AB225" s="3">
        <v>1</v>
      </c>
      <c r="AC225" s="2">
        <v>15</v>
      </c>
      <c r="AD225" s="3">
        <v>0</v>
      </c>
      <c r="AE225" s="2">
        <v>0</v>
      </c>
      <c r="AF225" s="2">
        <v>15</v>
      </c>
      <c r="AK225">
        <v>5969517</v>
      </c>
    </row>
    <row r="226" spans="1:37" x14ac:dyDescent="0.25">
      <c r="A226" s="1">
        <v>45980</v>
      </c>
      <c r="B226" s="1">
        <v>45980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615</v>
      </c>
      <c r="J226" t="s">
        <v>616</v>
      </c>
      <c r="M226" t="s">
        <v>72</v>
      </c>
      <c r="O226" t="s">
        <v>73</v>
      </c>
      <c r="P226" t="s">
        <v>74</v>
      </c>
      <c r="Q226" t="s">
        <v>49</v>
      </c>
      <c r="R226" t="s">
        <v>98</v>
      </c>
      <c r="S226" s="1">
        <v>46023</v>
      </c>
      <c r="U226" t="s">
        <v>51</v>
      </c>
      <c r="X226" t="s">
        <v>52</v>
      </c>
      <c r="Y226" s="2">
        <v>0</v>
      </c>
      <c r="Z226" s="2">
        <v>15</v>
      </c>
      <c r="AA226">
        <v>1</v>
      </c>
      <c r="AB226" s="3">
        <v>1</v>
      </c>
      <c r="AC226" s="2">
        <v>15</v>
      </c>
      <c r="AD226" s="3">
        <v>0</v>
      </c>
      <c r="AE226" s="2">
        <v>0</v>
      </c>
      <c r="AF226" s="2">
        <v>15</v>
      </c>
      <c r="AK226">
        <v>5969518</v>
      </c>
    </row>
    <row r="227" spans="1:37" x14ac:dyDescent="0.25">
      <c r="A227" s="1">
        <v>45980</v>
      </c>
      <c r="B227" s="1">
        <v>45980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617</v>
      </c>
      <c r="J227" t="s">
        <v>618</v>
      </c>
      <c r="M227" t="s">
        <v>55</v>
      </c>
      <c r="O227" t="s">
        <v>530</v>
      </c>
      <c r="P227" t="s">
        <v>531</v>
      </c>
      <c r="Q227" t="s">
        <v>49</v>
      </c>
      <c r="R227" t="s">
        <v>98</v>
      </c>
      <c r="S227" s="1">
        <v>46054</v>
      </c>
      <c r="U227" t="s">
        <v>51</v>
      </c>
      <c r="X227" t="s">
        <v>52</v>
      </c>
      <c r="Y227" s="2">
        <v>0</v>
      </c>
      <c r="Z227" s="2">
        <v>15</v>
      </c>
      <c r="AA227">
        <v>1</v>
      </c>
      <c r="AB227" s="3">
        <v>1</v>
      </c>
      <c r="AC227" s="2">
        <v>15</v>
      </c>
      <c r="AD227" s="3">
        <v>0</v>
      </c>
      <c r="AE227" s="2">
        <v>0</v>
      </c>
      <c r="AF227" s="2">
        <v>15</v>
      </c>
      <c r="AK227">
        <v>5969519</v>
      </c>
    </row>
    <row r="228" spans="1:37" x14ac:dyDescent="0.25">
      <c r="A228" s="1">
        <v>45980</v>
      </c>
      <c r="B228" s="1">
        <v>45980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619</v>
      </c>
      <c r="J228" t="s">
        <v>620</v>
      </c>
      <c r="M228" t="s">
        <v>72</v>
      </c>
      <c r="O228" t="s">
        <v>73</v>
      </c>
      <c r="P228" t="s">
        <v>74</v>
      </c>
      <c r="Q228" t="s">
        <v>49</v>
      </c>
      <c r="R228" t="s">
        <v>50</v>
      </c>
      <c r="S228" s="1">
        <v>46023</v>
      </c>
      <c r="U228" t="s">
        <v>51</v>
      </c>
      <c r="X228" t="s">
        <v>52</v>
      </c>
      <c r="Y228" s="2">
        <v>0</v>
      </c>
      <c r="Z228" s="2">
        <v>175</v>
      </c>
      <c r="AA228">
        <v>1</v>
      </c>
      <c r="AB228" s="3">
        <v>1</v>
      </c>
      <c r="AC228" s="2">
        <v>175</v>
      </c>
      <c r="AD228" s="3">
        <v>0</v>
      </c>
      <c r="AE228" s="2">
        <v>0</v>
      </c>
      <c r="AF228" s="2">
        <v>175</v>
      </c>
      <c r="AK228">
        <v>5969689</v>
      </c>
    </row>
    <row r="229" spans="1:37" x14ac:dyDescent="0.25">
      <c r="A229" s="1">
        <v>45980</v>
      </c>
      <c r="B229" s="1">
        <v>45980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621</v>
      </c>
      <c r="J229" t="s">
        <v>622</v>
      </c>
      <c r="M229" t="s">
        <v>203</v>
      </c>
      <c r="O229" t="s">
        <v>623</v>
      </c>
      <c r="P229" t="s">
        <v>624</v>
      </c>
      <c r="Q229" t="s">
        <v>49</v>
      </c>
      <c r="R229" t="s">
        <v>98</v>
      </c>
      <c r="S229" s="1">
        <v>46023</v>
      </c>
      <c r="U229" t="s">
        <v>51</v>
      </c>
      <c r="X229" t="s">
        <v>52</v>
      </c>
      <c r="Y229" s="2">
        <v>0</v>
      </c>
      <c r="Z229" s="2">
        <v>15</v>
      </c>
      <c r="AA229">
        <v>1</v>
      </c>
      <c r="AB229" s="3">
        <v>1</v>
      </c>
      <c r="AC229" s="2">
        <v>15</v>
      </c>
      <c r="AD229" s="3">
        <v>0</v>
      </c>
      <c r="AE229" s="2">
        <v>0</v>
      </c>
      <c r="AF229" s="2">
        <v>15</v>
      </c>
      <c r="AK229">
        <v>5969520</v>
      </c>
    </row>
    <row r="230" spans="1:37" x14ac:dyDescent="0.25">
      <c r="A230" s="1">
        <v>45980</v>
      </c>
      <c r="B230" s="1">
        <v>45980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625</v>
      </c>
      <c r="J230" t="s">
        <v>626</v>
      </c>
      <c r="M230" t="s">
        <v>55</v>
      </c>
      <c r="O230" t="s">
        <v>139</v>
      </c>
      <c r="P230" t="s">
        <v>140</v>
      </c>
      <c r="Q230" t="s">
        <v>49</v>
      </c>
      <c r="R230" t="s">
        <v>98</v>
      </c>
      <c r="S230" s="1">
        <v>46023</v>
      </c>
      <c r="U230" t="s">
        <v>51</v>
      </c>
      <c r="X230" t="s">
        <v>52</v>
      </c>
      <c r="Y230" s="2">
        <v>0</v>
      </c>
      <c r="Z230" s="2">
        <v>15</v>
      </c>
      <c r="AA230">
        <v>1</v>
      </c>
      <c r="AB230" s="3">
        <v>1</v>
      </c>
      <c r="AC230" s="2">
        <v>15</v>
      </c>
      <c r="AD230" s="3">
        <v>0</v>
      </c>
      <c r="AE230" s="2">
        <v>0</v>
      </c>
      <c r="AF230" s="2">
        <v>15</v>
      </c>
      <c r="AK230">
        <v>5969521</v>
      </c>
    </row>
    <row r="231" spans="1:37" x14ac:dyDescent="0.25">
      <c r="A231" s="1">
        <v>45980</v>
      </c>
      <c r="B231" s="1">
        <v>45980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627</v>
      </c>
      <c r="J231" t="s">
        <v>628</v>
      </c>
      <c r="M231" t="s">
        <v>55</v>
      </c>
      <c r="O231" t="s">
        <v>285</v>
      </c>
      <c r="P231" t="s">
        <v>286</v>
      </c>
      <c r="Q231" t="s">
        <v>49</v>
      </c>
      <c r="R231" t="s">
        <v>98</v>
      </c>
      <c r="S231" s="1">
        <v>46023</v>
      </c>
      <c r="U231" t="s">
        <v>51</v>
      </c>
      <c r="X231" t="s">
        <v>52</v>
      </c>
      <c r="Y231" s="2">
        <v>0</v>
      </c>
      <c r="Z231" s="2">
        <v>15</v>
      </c>
      <c r="AA231">
        <v>1</v>
      </c>
      <c r="AB231" s="3">
        <v>1</v>
      </c>
      <c r="AC231" s="2">
        <v>15</v>
      </c>
      <c r="AD231" s="3">
        <v>0</v>
      </c>
      <c r="AE231" s="2">
        <v>0</v>
      </c>
      <c r="AF231" s="2">
        <v>15</v>
      </c>
      <c r="AK231">
        <v>5969522</v>
      </c>
    </row>
    <row r="232" spans="1:37" x14ac:dyDescent="0.25">
      <c r="A232" s="1">
        <v>45980</v>
      </c>
      <c r="B232" s="1">
        <v>45980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629</v>
      </c>
      <c r="J232" t="s">
        <v>630</v>
      </c>
      <c r="M232" t="s">
        <v>295</v>
      </c>
      <c r="O232" t="s">
        <v>56</v>
      </c>
      <c r="P232" t="s">
        <v>57</v>
      </c>
      <c r="Q232" t="s">
        <v>49</v>
      </c>
      <c r="R232" t="s">
        <v>50</v>
      </c>
      <c r="S232" s="1">
        <v>46023</v>
      </c>
      <c r="U232" t="s">
        <v>51</v>
      </c>
      <c r="X232" t="s">
        <v>52</v>
      </c>
      <c r="Y232" s="2">
        <v>0</v>
      </c>
      <c r="Z232" s="2">
        <v>175</v>
      </c>
      <c r="AA232">
        <v>1</v>
      </c>
      <c r="AB232" s="3">
        <v>1</v>
      </c>
      <c r="AC232" s="2">
        <v>175</v>
      </c>
      <c r="AD232" s="3">
        <v>0</v>
      </c>
      <c r="AE232" s="2">
        <v>0</v>
      </c>
      <c r="AF232" s="2">
        <v>175</v>
      </c>
      <c r="AK232">
        <v>5969690</v>
      </c>
    </row>
    <row r="233" spans="1:37" x14ac:dyDescent="0.25">
      <c r="A233" s="1">
        <v>45980</v>
      </c>
      <c r="B233" s="1">
        <v>45980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631</v>
      </c>
      <c r="J233" t="s">
        <v>632</v>
      </c>
      <c r="M233" t="s">
        <v>55</v>
      </c>
      <c r="O233" t="s">
        <v>60</v>
      </c>
      <c r="P233" t="s">
        <v>61</v>
      </c>
      <c r="Q233" t="s">
        <v>49</v>
      </c>
      <c r="R233" t="s">
        <v>50</v>
      </c>
      <c r="S233" s="1">
        <v>45992</v>
      </c>
      <c r="U233" t="s">
        <v>51</v>
      </c>
      <c r="X233" t="s">
        <v>52</v>
      </c>
      <c r="Y233" s="2">
        <v>0</v>
      </c>
      <c r="Z233" s="2">
        <v>175</v>
      </c>
      <c r="AA233">
        <v>1</v>
      </c>
      <c r="AB233" s="3">
        <v>1</v>
      </c>
      <c r="AC233" s="2">
        <v>175</v>
      </c>
      <c r="AD233" s="3">
        <v>0</v>
      </c>
      <c r="AE233" s="2">
        <v>0</v>
      </c>
      <c r="AF233" s="2">
        <v>175</v>
      </c>
      <c r="AK233">
        <v>5969691</v>
      </c>
    </row>
    <row r="234" spans="1:37" x14ac:dyDescent="0.25">
      <c r="A234" s="1">
        <v>45980</v>
      </c>
      <c r="B234" s="1">
        <v>45980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633</v>
      </c>
      <c r="J234" t="s">
        <v>634</v>
      </c>
      <c r="M234" t="s">
        <v>46</v>
      </c>
      <c r="O234" t="s">
        <v>218</v>
      </c>
      <c r="P234" t="s">
        <v>219</v>
      </c>
      <c r="Q234" t="s">
        <v>49</v>
      </c>
      <c r="R234" t="s">
        <v>98</v>
      </c>
      <c r="S234" s="1">
        <v>46023</v>
      </c>
      <c r="U234" t="s">
        <v>51</v>
      </c>
      <c r="X234" t="s">
        <v>52</v>
      </c>
      <c r="Y234" s="2">
        <v>0</v>
      </c>
      <c r="Z234" s="2">
        <v>15</v>
      </c>
      <c r="AA234">
        <v>1</v>
      </c>
      <c r="AB234" s="3">
        <v>1</v>
      </c>
      <c r="AC234" s="2">
        <v>15</v>
      </c>
      <c r="AD234" s="3">
        <v>0</v>
      </c>
      <c r="AE234" s="2">
        <v>0</v>
      </c>
      <c r="AF234" s="2">
        <v>15</v>
      </c>
      <c r="AK234">
        <v>5969523</v>
      </c>
    </row>
    <row r="235" spans="1:37" x14ac:dyDescent="0.25">
      <c r="A235" s="1">
        <v>45980</v>
      </c>
      <c r="B235" s="1">
        <v>45980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635</v>
      </c>
      <c r="J235" t="s">
        <v>636</v>
      </c>
      <c r="M235" t="s">
        <v>55</v>
      </c>
      <c r="O235" t="s">
        <v>139</v>
      </c>
      <c r="P235" t="s">
        <v>140</v>
      </c>
      <c r="Q235" t="s">
        <v>49</v>
      </c>
      <c r="R235" t="s">
        <v>98</v>
      </c>
      <c r="S235" s="1">
        <v>46023</v>
      </c>
      <c r="U235" t="s">
        <v>51</v>
      </c>
      <c r="X235" t="s">
        <v>52</v>
      </c>
      <c r="Y235" s="2">
        <v>0</v>
      </c>
      <c r="Z235" s="2">
        <v>15</v>
      </c>
      <c r="AA235">
        <v>1</v>
      </c>
      <c r="AB235" s="3">
        <v>1</v>
      </c>
      <c r="AC235" s="2">
        <v>15</v>
      </c>
      <c r="AD235" s="3">
        <v>0</v>
      </c>
      <c r="AE235" s="2">
        <v>0</v>
      </c>
      <c r="AF235" s="2">
        <v>15</v>
      </c>
      <c r="AK235">
        <v>5969524</v>
      </c>
    </row>
    <row r="236" spans="1:37" x14ac:dyDescent="0.25">
      <c r="A236" s="1">
        <v>45980</v>
      </c>
      <c r="B236" s="1">
        <v>45980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637</v>
      </c>
      <c r="J236" t="s">
        <v>638</v>
      </c>
      <c r="M236" t="s">
        <v>246</v>
      </c>
      <c r="O236" t="s">
        <v>567</v>
      </c>
      <c r="P236" t="s">
        <v>568</v>
      </c>
      <c r="Q236" t="s">
        <v>49</v>
      </c>
      <c r="R236" t="s">
        <v>50</v>
      </c>
      <c r="S236" s="1">
        <v>46023</v>
      </c>
      <c r="U236" t="s">
        <v>51</v>
      </c>
      <c r="X236" t="s">
        <v>52</v>
      </c>
      <c r="Y236" s="2">
        <v>0</v>
      </c>
      <c r="Z236" s="2">
        <v>175</v>
      </c>
      <c r="AA236">
        <v>1</v>
      </c>
      <c r="AB236" s="3">
        <v>1</v>
      </c>
      <c r="AC236" s="2">
        <v>175</v>
      </c>
      <c r="AD236" s="3">
        <v>0</v>
      </c>
      <c r="AE236" s="2">
        <v>0</v>
      </c>
      <c r="AF236" s="2">
        <v>175</v>
      </c>
      <c r="AK236">
        <v>5969692</v>
      </c>
    </row>
    <row r="237" spans="1:37" x14ac:dyDescent="0.25">
      <c r="A237" s="1">
        <v>45980</v>
      </c>
      <c r="B237" s="1">
        <v>45980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639</v>
      </c>
      <c r="J237" t="s">
        <v>640</v>
      </c>
      <c r="M237" t="s">
        <v>55</v>
      </c>
      <c r="O237" t="s">
        <v>56</v>
      </c>
      <c r="P237" t="s">
        <v>57</v>
      </c>
      <c r="Q237" t="s">
        <v>49</v>
      </c>
      <c r="R237" t="s">
        <v>50</v>
      </c>
      <c r="S237" s="1">
        <v>46023</v>
      </c>
      <c r="U237" t="s">
        <v>51</v>
      </c>
      <c r="X237" t="s">
        <v>52</v>
      </c>
      <c r="Y237" s="2">
        <v>0</v>
      </c>
      <c r="Z237" s="2">
        <v>175</v>
      </c>
      <c r="AA237">
        <v>1</v>
      </c>
      <c r="AB237" s="3">
        <v>1</v>
      </c>
      <c r="AC237" s="2">
        <v>175</v>
      </c>
      <c r="AD237" s="3">
        <v>0</v>
      </c>
      <c r="AE237" s="2">
        <v>0</v>
      </c>
      <c r="AF237" s="2">
        <v>175</v>
      </c>
      <c r="AK237">
        <v>5969693</v>
      </c>
    </row>
    <row r="238" spans="1:37" x14ac:dyDescent="0.25">
      <c r="A238" s="1">
        <v>45980</v>
      </c>
      <c r="B238" s="1">
        <v>45980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641</v>
      </c>
      <c r="J238" t="s">
        <v>642</v>
      </c>
      <c r="M238" t="s">
        <v>55</v>
      </c>
      <c r="O238" t="s">
        <v>285</v>
      </c>
      <c r="P238" t="s">
        <v>286</v>
      </c>
      <c r="Q238" t="s">
        <v>49</v>
      </c>
      <c r="R238" t="s">
        <v>98</v>
      </c>
      <c r="S238" s="1">
        <v>46023</v>
      </c>
      <c r="U238" t="s">
        <v>51</v>
      </c>
      <c r="X238" t="s">
        <v>52</v>
      </c>
      <c r="Y238" s="2">
        <v>0</v>
      </c>
      <c r="Z238" s="2">
        <v>15</v>
      </c>
      <c r="AA238">
        <v>1</v>
      </c>
      <c r="AB238" s="3">
        <v>1</v>
      </c>
      <c r="AC238" s="2">
        <v>15</v>
      </c>
      <c r="AD238" s="3">
        <v>0</v>
      </c>
      <c r="AE238" s="2">
        <v>0</v>
      </c>
      <c r="AF238" s="2">
        <v>15</v>
      </c>
      <c r="AK238">
        <v>5969525</v>
      </c>
    </row>
    <row r="239" spans="1:37" x14ac:dyDescent="0.25">
      <c r="A239" s="1">
        <v>45980</v>
      </c>
      <c r="B239" s="1">
        <v>45980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643</v>
      </c>
      <c r="J239" t="s">
        <v>644</v>
      </c>
      <c r="M239" t="s">
        <v>55</v>
      </c>
      <c r="O239" t="s">
        <v>113</v>
      </c>
      <c r="P239" t="s">
        <v>114</v>
      </c>
      <c r="Q239" t="s">
        <v>49</v>
      </c>
      <c r="R239" t="s">
        <v>50</v>
      </c>
      <c r="S239" s="1">
        <v>46023</v>
      </c>
      <c r="U239" t="s">
        <v>51</v>
      </c>
      <c r="X239" t="s">
        <v>52</v>
      </c>
      <c r="Y239" s="2">
        <v>0</v>
      </c>
      <c r="Z239" s="2">
        <v>175</v>
      </c>
      <c r="AA239">
        <v>1</v>
      </c>
      <c r="AB239" s="3">
        <v>1</v>
      </c>
      <c r="AC239" s="2">
        <v>175</v>
      </c>
      <c r="AD239" s="3">
        <v>0</v>
      </c>
      <c r="AE239" s="2">
        <v>0</v>
      </c>
      <c r="AF239" s="2">
        <v>175</v>
      </c>
      <c r="AK239">
        <v>5969694</v>
      </c>
    </row>
    <row r="240" spans="1:37" x14ac:dyDescent="0.25">
      <c r="A240" s="1">
        <v>45980</v>
      </c>
      <c r="B240" s="1">
        <v>45980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645</v>
      </c>
      <c r="J240" t="s">
        <v>118</v>
      </c>
      <c r="M240" t="s">
        <v>55</v>
      </c>
      <c r="O240" t="s">
        <v>117</v>
      </c>
      <c r="P240" t="s">
        <v>118</v>
      </c>
      <c r="Q240" t="s">
        <v>49</v>
      </c>
      <c r="R240" t="s">
        <v>98</v>
      </c>
      <c r="S240" s="1">
        <v>46023</v>
      </c>
      <c r="U240" t="s">
        <v>51</v>
      </c>
      <c r="X240" t="s">
        <v>52</v>
      </c>
      <c r="Y240" s="2">
        <v>0</v>
      </c>
      <c r="Z240" s="2">
        <v>15</v>
      </c>
      <c r="AA240">
        <v>1</v>
      </c>
      <c r="AB240" s="3">
        <v>1</v>
      </c>
      <c r="AC240" s="2">
        <v>15</v>
      </c>
      <c r="AD240" s="3">
        <v>0</v>
      </c>
      <c r="AE240" s="2">
        <v>0</v>
      </c>
      <c r="AF240" s="2">
        <v>15</v>
      </c>
      <c r="AK240">
        <v>5969526</v>
      </c>
    </row>
    <row r="241" spans="1:37" x14ac:dyDescent="0.25">
      <c r="A241" s="1">
        <v>45980</v>
      </c>
      <c r="B241" s="1">
        <v>45980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646</v>
      </c>
      <c r="J241" t="s">
        <v>647</v>
      </c>
      <c r="M241" t="s">
        <v>147</v>
      </c>
      <c r="O241" t="s">
        <v>184</v>
      </c>
      <c r="P241" t="s">
        <v>185</v>
      </c>
      <c r="Q241" t="s">
        <v>49</v>
      </c>
      <c r="R241" t="s">
        <v>50</v>
      </c>
      <c r="S241" s="1">
        <v>46023</v>
      </c>
      <c r="U241" t="s">
        <v>51</v>
      </c>
      <c r="X241" t="s">
        <v>52</v>
      </c>
      <c r="Y241" s="2">
        <v>0</v>
      </c>
      <c r="Z241" s="2">
        <v>175</v>
      </c>
      <c r="AA241">
        <v>1</v>
      </c>
      <c r="AB241" s="3">
        <v>1</v>
      </c>
      <c r="AC241" s="2">
        <v>175</v>
      </c>
      <c r="AD241" s="3">
        <v>0</v>
      </c>
      <c r="AE241" s="2">
        <v>0</v>
      </c>
      <c r="AF241" s="2">
        <v>175</v>
      </c>
      <c r="AK241">
        <v>5969695</v>
      </c>
    </row>
    <row r="242" spans="1:37" x14ac:dyDescent="0.25">
      <c r="A242" s="1">
        <v>45980</v>
      </c>
      <c r="B242" s="1">
        <v>45980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648</v>
      </c>
      <c r="J242" t="s">
        <v>649</v>
      </c>
      <c r="M242" t="s">
        <v>55</v>
      </c>
      <c r="O242" t="s">
        <v>113</v>
      </c>
      <c r="P242" t="s">
        <v>114</v>
      </c>
      <c r="Q242" t="s">
        <v>49</v>
      </c>
      <c r="R242" t="s">
        <v>50</v>
      </c>
      <c r="S242" s="1">
        <v>46023</v>
      </c>
      <c r="U242" t="s">
        <v>51</v>
      </c>
      <c r="X242" t="s">
        <v>52</v>
      </c>
      <c r="Y242" s="2">
        <v>0</v>
      </c>
      <c r="Z242" s="2">
        <v>175</v>
      </c>
      <c r="AA242">
        <v>1</v>
      </c>
      <c r="AB242" s="3">
        <v>1</v>
      </c>
      <c r="AC242" s="2">
        <v>175</v>
      </c>
      <c r="AD242" s="3">
        <v>0</v>
      </c>
      <c r="AE242" s="2">
        <v>0</v>
      </c>
      <c r="AF242" s="2">
        <v>175</v>
      </c>
      <c r="AK242">
        <v>5969696</v>
      </c>
    </row>
    <row r="243" spans="1:37" x14ac:dyDescent="0.25">
      <c r="A243" s="1">
        <v>45980</v>
      </c>
      <c r="B243" s="1">
        <v>45980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650</v>
      </c>
      <c r="J243" t="s">
        <v>651</v>
      </c>
      <c r="M243" t="s">
        <v>55</v>
      </c>
      <c r="O243" t="s">
        <v>150</v>
      </c>
      <c r="P243" t="s">
        <v>151</v>
      </c>
      <c r="Q243" t="s">
        <v>49</v>
      </c>
      <c r="R243" t="s">
        <v>50</v>
      </c>
      <c r="S243" s="1">
        <v>46023</v>
      </c>
      <c r="U243" t="s">
        <v>51</v>
      </c>
      <c r="X243" t="s">
        <v>52</v>
      </c>
      <c r="Y243" s="2">
        <v>0</v>
      </c>
      <c r="Z243" s="2">
        <v>175</v>
      </c>
      <c r="AA243">
        <v>1</v>
      </c>
      <c r="AB243" s="3">
        <v>1</v>
      </c>
      <c r="AC243" s="2">
        <v>175</v>
      </c>
      <c r="AD243" s="3">
        <v>0</v>
      </c>
      <c r="AE243" s="2">
        <v>0</v>
      </c>
      <c r="AF243" s="2">
        <v>175</v>
      </c>
      <c r="AK243">
        <v>5969697</v>
      </c>
    </row>
    <row r="244" spans="1:37" x14ac:dyDescent="0.25">
      <c r="A244" s="1">
        <v>45980</v>
      </c>
      <c r="B244" s="1">
        <v>45980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652</v>
      </c>
      <c r="J244" t="s">
        <v>653</v>
      </c>
      <c r="M244" t="s">
        <v>203</v>
      </c>
      <c r="O244" t="s">
        <v>654</v>
      </c>
      <c r="P244" t="s">
        <v>655</v>
      </c>
      <c r="Q244" t="s">
        <v>49</v>
      </c>
      <c r="R244" t="s">
        <v>98</v>
      </c>
      <c r="S244" s="1">
        <v>46023</v>
      </c>
      <c r="U244" t="s">
        <v>51</v>
      </c>
      <c r="X244" t="s">
        <v>52</v>
      </c>
      <c r="Y244" s="2">
        <v>0</v>
      </c>
      <c r="Z244" s="2">
        <v>15</v>
      </c>
      <c r="AA244">
        <v>1</v>
      </c>
      <c r="AB244" s="3">
        <v>1</v>
      </c>
      <c r="AC244" s="2">
        <v>15</v>
      </c>
      <c r="AD244" s="3">
        <v>0</v>
      </c>
      <c r="AE244" s="2">
        <v>0</v>
      </c>
      <c r="AF244" s="2">
        <v>15</v>
      </c>
      <c r="AK244">
        <v>5969527</v>
      </c>
    </row>
    <row r="245" spans="1:37" x14ac:dyDescent="0.25">
      <c r="A245" s="1">
        <v>45980</v>
      </c>
      <c r="B245" s="1">
        <v>45980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656</v>
      </c>
      <c r="J245" t="s">
        <v>657</v>
      </c>
      <c r="M245" t="s">
        <v>55</v>
      </c>
      <c r="O245" t="s">
        <v>285</v>
      </c>
      <c r="P245" t="s">
        <v>286</v>
      </c>
      <c r="Q245" t="s">
        <v>49</v>
      </c>
      <c r="R245" t="s">
        <v>98</v>
      </c>
      <c r="S245" s="1">
        <v>46023</v>
      </c>
      <c r="U245" t="s">
        <v>51</v>
      </c>
      <c r="X245" t="s">
        <v>52</v>
      </c>
      <c r="Y245" s="2">
        <v>0</v>
      </c>
      <c r="Z245" s="2">
        <v>15</v>
      </c>
      <c r="AA245">
        <v>1</v>
      </c>
      <c r="AB245" s="3">
        <v>1</v>
      </c>
      <c r="AC245" s="2">
        <v>15</v>
      </c>
      <c r="AD245" s="3">
        <v>0</v>
      </c>
      <c r="AE245" s="2">
        <v>0</v>
      </c>
      <c r="AF245" s="2">
        <v>15</v>
      </c>
      <c r="AK245">
        <v>5969528</v>
      </c>
    </row>
    <row r="246" spans="1:37" x14ac:dyDescent="0.25">
      <c r="A246" s="1">
        <v>45980</v>
      </c>
      <c r="B246" s="1">
        <v>45980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658</v>
      </c>
      <c r="J246" t="s">
        <v>659</v>
      </c>
      <c r="M246" t="s">
        <v>203</v>
      </c>
      <c r="O246" t="s">
        <v>445</v>
      </c>
      <c r="P246" t="s">
        <v>446</v>
      </c>
      <c r="Q246" t="s">
        <v>49</v>
      </c>
      <c r="R246" t="s">
        <v>98</v>
      </c>
      <c r="S246" s="1">
        <v>46023</v>
      </c>
      <c r="U246" t="s">
        <v>51</v>
      </c>
      <c r="X246" t="s">
        <v>52</v>
      </c>
      <c r="Y246" s="2">
        <v>0</v>
      </c>
      <c r="Z246" s="2">
        <v>15</v>
      </c>
      <c r="AA246">
        <v>1</v>
      </c>
      <c r="AB246" s="3">
        <v>1</v>
      </c>
      <c r="AC246" s="2">
        <v>15</v>
      </c>
      <c r="AD246" s="3">
        <v>0</v>
      </c>
      <c r="AE246" s="2">
        <v>0</v>
      </c>
      <c r="AF246" s="2">
        <v>15</v>
      </c>
      <c r="AK246">
        <v>5969529</v>
      </c>
    </row>
    <row r="247" spans="1:37" x14ac:dyDescent="0.25">
      <c r="A247" s="1">
        <v>45980</v>
      </c>
      <c r="B247" s="1">
        <v>45980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660</v>
      </c>
      <c r="J247" t="s">
        <v>661</v>
      </c>
      <c r="M247" t="s">
        <v>55</v>
      </c>
      <c r="O247" t="s">
        <v>530</v>
      </c>
      <c r="P247" t="s">
        <v>531</v>
      </c>
      <c r="Q247" t="s">
        <v>49</v>
      </c>
      <c r="R247" t="s">
        <v>98</v>
      </c>
      <c r="S247" s="1">
        <v>46023</v>
      </c>
      <c r="U247" t="s">
        <v>51</v>
      </c>
      <c r="X247" t="s">
        <v>52</v>
      </c>
      <c r="Y247" s="2">
        <v>0</v>
      </c>
      <c r="Z247" s="2">
        <v>15</v>
      </c>
      <c r="AA247">
        <v>1</v>
      </c>
      <c r="AB247" s="3">
        <v>1</v>
      </c>
      <c r="AC247" s="2">
        <v>15</v>
      </c>
      <c r="AD247" s="3">
        <v>0</v>
      </c>
      <c r="AE247" s="2">
        <v>0</v>
      </c>
      <c r="AF247" s="2">
        <v>15</v>
      </c>
      <c r="AK247">
        <v>5969530</v>
      </c>
    </row>
    <row r="248" spans="1:37" x14ac:dyDescent="0.25">
      <c r="A248" s="1">
        <v>45980</v>
      </c>
      <c r="B248" s="1">
        <v>45980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662</v>
      </c>
      <c r="J248" t="s">
        <v>663</v>
      </c>
      <c r="M248" t="s">
        <v>203</v>
      </c>
      <c r="O248" t="s">
        <v>204</v>
      </c>
      <c r="P248" t="s">
        <v>205</v>
      </c>
      <c r="Q248" t="s">
        <v>49</v>
      </c>
      <c r="R248" t="s">
        <v>98</v>
      </c>
      <c r="S248" s="1">
        <v>46023</v>
      </c>
      <c r="U248" t="s">
        <v>51</v>
      </c>
      <c r="X248" t="s">
        <v>52</v>
      </c>
      <c r="Y248" s="2">
        <v>0</v>
      </c>
      <c r="Z248" s="2">
        <v>15</v>
      </c>
      <c r="AA248">
        <v>1</v>
      </c>
      <c r="AB248" s="3">
        <v>1</v>
      </c>
      <c r="AC248" s="2">
        <v>15</v>
      </c>
      <c r="AD248" s="3">
        <v>0</v>
      </c>
      <c r="AE248" s="2">
        <v>0</v>
      </c>
      <c r="AF248" s="2">
        <v>15</v>
      </c>
      <c r="AK248">
        <v>5969314</v>
      </c>
    </row>
    <row r="249" spans="1:37" x14ac:dyDescent="0.25">
      <c r="A249" s="1">
        <v>45980</v>
      </c>
      <c r="B249" s="1">
        <v>45980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664</v>
      </c>
      <c r="J249" t="s">
        <v>665</v>
      </c>
      <c r="M249" t="s">
        <v>55</v>
      </c>
      <c r="O249" t="s">
        <v>56</v>
      </c>
      <c r="P249" t="s">
        <v>57</v>
      </c>
      <c r="Q249" t="s">
        <v>49</v>
      </c>
      <c r="R249" t="s">
        <v>50</v>
      </c>
      <c r="S249" s="1">
        <v>46023</v>
      </c>
      <c r="U249" t="s">
        <v>51</v>
      </c>
      <c r="X249" t="s">
        <v>52</v>
      </c>
      <c r="Y249" s="2">
        <v>0</v>
      </c>
      <c r="Z249" s="2">
        <v>175</v>
      </c>
      <c r="AA249">
        <v>1</v>
      </c>
      <c r="AB249" s="3">
        <v>1</v>
      </c>
      <c r="AC249" s="2">
        <v>175</v>
      </c>
      <c r="AD249" s="3">
        <v>0</v>
      </c>
      <c r="AE249" s="2">
        <v>0</v>
      </c>
      <c r="AF249" s="2">
        <v>175</v>
      </c>
      <c r="AK249">
        <v>5969698</v>
      </c>
    </row>
    <row r="250" spans="1:37" x14ac:dyDescent="0.25">
      <c r="A250" s="1">
        <v>45980</v>
      </c>
      <c r="B250" s="1">
        <v>45980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666</v>
      </c>
      <c r="J250" t="s">
        <v>667</v>
      </c>
      <c r="M250" t="s">
        <v>55</v>
      </c>
      <c r="O250" t="s">
        <v>668</v>
      </c>
      <c r="P250" t="s">
        <v>669</v>
      </c>
      <c r="Q250" t="s">
        <v>49</v>
      </c>
      <c r="R250" t="s">
        <v>98</v>
      </c>
      <c r="S250" s="1">
        <v>46023</v>
      </c>
      <c r="U250" t="s">
        <v>51</v>
      </c>
      <c r="X250" t="s">
        <v>52</v>
      </c>
      <c r="Y250" s="2">
        <v>0</v>
      </c>
      <c r="Z250" s="2">
        <v>15</v>
      </c>
      <c r="AA250">
        <v>1</v>
      </c>
      <c r="AB250" s="3">
        <v>1</v>
      </c>
      <c r="AC250" s="2">
        <v>15</v>
      </c>
      <c r="AD250" s="3">
        <v>0</v>
      </c>
      <c r="AE250" s="2">
        <v>0</v>
      </c>
      <c r="AF250" s="2">
        <v>15</v>
      </c>
      <c r="AK250">
        <v>5969535</v>
      </c>
    </row>
    <row r="251" spans="1:37" x14ac:dyDescent="0.25">
      <c r="A251" s="1">
        <v>45980</v>
      </c>
      <c r="B251" s="1">
        <v>45980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670</v>
      </c>
      <c r="J251" t="s">
        <v>671</v>
      </c>
      <c r="M251" t="s">
        <v>72</v>
      </c>
      <c r="O251" t="s">
        <v>73</v>
      </c>
      <c r="P251" t="s">
        <v>74</v>
      </c>
      <c r="Q251" t="s">
        <v>49</v>
      </c>
      <c r="R251" t="s">
        <v>50</v>
      </c>
      <c r="S251" s="1">
        <v>46023</v>
      </c>
      <c r="U251" t="s">
        <v>51</v>
      </c>
      <c r="X251" t="s">
        <v>52</v>
      </c>
      <c r="Y251" s="2">
        <v>0</v>
      </c>
      <c r="Z251" s="2">
        <v>175</v>
      </c>
      <c r="AA251">
        <v>1</v>
      </c>
      <c r="AB251" s="3">
        <v>1</v>
      </c>
      <c r="AC251" s="2">
        <v>175</v>
      </c>
      <c r="AD251" s="3">
        <v>0</v>
      </c>
      <c r="AE251" s="2">
        <v>0</v>
      </c>
      <c r="AF251" s="2">
        <v>175</v>
      </c>
      <c r="AK251">
        <v>5969699</v>
      </c>
    </row>
    <row r="252" spans="1:37" x14ac:dyDescent="0.25">
      <c r="A252" s="1">
        <v>45980</v>
      </c>
      <c r="B252" s="1">
        <v>45980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672</v>
      </c>
      <c r="J252" t="s">
        <v>673</v>
      </c>
      <c r="M252" t="s">
        <v>55</v>
      </c>
      <c r="O252" t="s">
        <v>285</v>
      </c>
      <c r="P252" t="s">
        <v>286</v>
      </c>
      <c r="Q252" t="s">
        <v>49</v>
      </c>
      <c r="R252" t="s">
        <v>98</v>
      </c>
      <c r="S252" s="1">
        <v>46023</v>
      </c>
      <c r="U252" t="s">
        <v>51</v>
      </c>
      <c r="X252" t="s">
        <v>52</v>
      </c>
      <c r="Y252" s="2">
        <v>0</v>
      </c>
      <c r="Z252" s="2">
        <v>15</v>
      </c>
      <c r="AA252">
        <v>1</v>
      </c>
      <c r="AB252" s="3">
        <v>1</v>
      </c>
      <c r="AC252" s="2">
        <v>15</v>
      </c>
      <c r="AD252" s="3">
        <v>0</v>
      </c>
      <c r="AE252" s="2">
        <v>0</v>
      </c>
      <c r="AF252" s="2">
        <v>15</v>
      </c>
      <c r="AK252">
        <v>5969531</v>
      </c>
    </row>
    <row r="253" spans="1:37" x14ac:dyDescent="0.25">
      <c r="A253" s="1">
        <v>45980</v>
      </c>
      <c r="B253" s="1">
        <v>45980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674</v>
      </c>
      <c r="J253" t="s">
        <v>675</v>
      </c>
      <c r="M253" t="s">
        <v>55</v>
      </c>
      <c r="O253" t="s">
        <v>113</v>
      </c>
      <c r="P253" t="s">
        <v>114</v>
      </c>
      <c r="Q253" t="s">
        <v>49</v>
      </c>
      <c r="R253" t="s">
        <v>50</v>
      </c>
      <c r="S253" s="1">
        <v>46023</v>
      </c>
      <c r="U253" t="s">
        <v>51</v>
      </c>
      <c r="X253" t="s">
        <v>52</v>
      </c>
      <c r="Y253" s="2">
        <v>0</v>
      </c>
      <c r="Z253" s="2">
        <v>175</v>
      </c>
      <c r="AA253">
        <v>1</v>
      </c>
      <c r="AB253" s="3">
        <v>1</v>
      </c>
      <c r="AC253" s="2">
        <v>175</v>
      </c>
      <c r="AD253" s="3">
        <v>0</v>
      </c>
      <c r="AE253" s="2">
        <v>0</v>
      </c>
      <c r="AF253" s="2">
        <v>175</v>
      </c>
      <c r="AK253">
        <v>5969700</v>
      </c>
    </row>
    <row r="254" spans="1:37" x14ac:dyDescent="0.25">
      <c r="A254" s="1">
        <v>45980</v>
      </c>
      <c r="B254" s="1">
        <v>45980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676</v>
      </c>
      <c r="J254" t="s">
        <v>677</v>
      </c>
      <c r="M254" t="s">
        <v>55</v>
      </c>
      <c r="O254" t="s">
        <v>150</v>
      </c>
      <c r="P254" t="s">
        <v>151</v>
      </c>
      <c r="Q254" t="s">
        <v>49</v>
      </c>
      <c r="R254" t="s">
        <v>50</v>
      </c>
      <c r="S254" s="1">
        <v>46023</v>
      </c>
      <c r="U254" t="s">
        <v>51</v>
      </c>
      <c r="X254" t="s">
        <v>52</v>
      </c>
      <c r="Y254" s="2">
        <v>0</v>
      </c>
      <c r="Z254" s="2">
        <v>175</v>
      </c>
      <c r="AA254">
        <v>1</v>
      </c>
      <c r="AB254" s="3">
        <v>1</v>
      </c>
      <c r="AC254" s="2">
        <v>175</v>
      </c>
      <c r="AD254" s="3">
        <v>0</v>
      </c>
      <c r="AE254" s="2">
        <v>0</v>
      </c>
      <c r="AF254" s="2">
        <v>175</v>
      </c>
      <c r="AK254">
        <v>5969701</v>
      </c>
    </row>
    <row r="255" spans="1:37" x14ac:dyDescent="0.25">
      <c r="A255" s="1">
        <v>45980</v>
      </c>
      <c r="B255" s="1">
        <v>45980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678</v>
      </c>
      <c r="J255" t="s">
        <v>679</v>
      </c>
      <c r="M255" t="s">
        <v>55</v>
      </c>
      <c r="O255" t="s">
        <v>56</v>
      </c>
      <c r="P255" t="s">
        <v>57</v>
      </c>
      <c r="Q255" t="s">
        <v>49</v>
      </c>
      <c r="R255" t="s">
        <v>50</v>
      </c>
      <c r="S255" s="1">
        <v>46023</v>
      </c>
      <c r="U255" t="s">
        <v>51</v>
      </c>
      <c r="X255" t="s">
        <v>52</v>
      </c>
      <c r="Y255" s="2">
        <v>0</v>
      </c>
      <c r="Z255" s="2">
        <v>175</v>
      </c>
      <c r="AA255">
        <v>1</v>
      </c>
      <c r="AB255" s="3">
        <v>1</v>
      </c>
      <c r="AC255" s="2">
        <v>175</v>
      </c>
      <c r="AD255" s="3">
        <v>0</v>
      </c>
      <c r="AE255" s="2">
        <v>0</v>
      </c>
      <c r="AF255" s="2">
        <v>175</v>
      </c>
      <c r="AK255">
        <v>5969702</v>
      </c>
    </row>
    <row r="256" spans="1:37" x14ac:dyDescent="0.25">
      <c r="A256" s="1">
        <v>45980</v>
      </c>
      <c r="B256" s="1">
        <v>45980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680</v>
      </c>
      <c r="J256" t="s">
        <v>681</v>
      </c>
      <c r="M256" t="s">
        <v>55</v>
      </c>
      <c r="O256" t="s">
        <v>150</v>
      </c>
      <c r="P256" t="s">
        <v>151</v>
      </c>
      <c r="Q256" t="s">
        <v>49</v>
      </c>
      <c r="R256" t="s">
        <v>50</v>
      </c>
      <c r="S256" s="1">
        <v>46023</v>
      </c>
      <c r="U256" t="s">
        <v>51</v>
      </c>
      <c r="X256" t="s">
        <v>52</v>
      </c>
      <c r="Y256" s="2">
        <v>0</v>
      </c>
      <c r="Z256" s="2">
        <v>175</v>
      </c>
      <c r="AA256">
        <v>1</v>
      </c>
      <c r="AB256" s="3">
        <v>1</v>
      </c>
      <c r="AC256" s="2">
        <v>175</v>
      </c>
      <c r="AD256" s="3">
        <v>0</v>
      </c>
      <c r="AE256" s="2">
        <v>0</v>
      </c>
      <c r="AF256" s="2">
        <v>175</v>
      </c>
      <c r="AK256">
        <v>5969703</v>
      </c>
    </row>
    <row r="257" spans="1:37" x14ac:dyDescent="0.25">
      <c r="A257" s="1">
        <v>45980</v>
      </c>
      <c r="B257" s="1">
        <v>45980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682</v>
      </c>
      <c r="J257" t="s">
        <v>683</v>
      </c>
      <c r="M257" t="s">
        <v>55</v>
      </c>
      <c r="O257" t="s">
        <v>60</v>
      </c>
      <c r="P257" t="s">
        <v>61</v>
      </c>
      <c r="Q257" t="s">
        <v>49</v>
      </c>
      <c r="R257" t="s">
        <v>50</v>
      </c>
      <c r="S257" s="1">
        <v>46023</v>
      </c>
      <c r="U257" t="s">
        <v>51</v>
      </c>
      <c r="X257" t="s">
        <v>52</v>
      </c>
      <c r="Y257" s="2">
        <v>0</v>
      </c>
      <c r="Z257" s="2">
        <v>175</v>
      </c>
      <c r="AA257">
        <v>1</v>
      </c>
      <c r="AB257" s="3">
        <v>1</v>
      </c>
      <c r="AC257" s="2">
        <v>175</v>
      </c>
      <c r="AD257" s="3">
        <v>0</v>
      </c>
      <c r="AE257" s="2">
        <v>0</v>
      </c>
      <c r="AF257" s="2">
        <v>175</v>
      </c>
      <c r="AK257">
        <v>5969704</v>
      </c>
    </row>
    <row r="258" spans="1:37" x14ac:dyDescent="0.25">
      <c r="A258" s="1">
        <v>45980</v>
      </c>
      <c r="B258" s="1">
        <v>45980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684</v>
      </c>
      <c r="J258" t="s">
        <v>685</v>
      </c>
      <c r="M258" t="s">
        <v>55</v>
      </c>
      <c r="O258" t="s">
        <v>171</v>
      </c>
      <c r="P258" t="s">
        <v>172</v>
      </c>
      <c r="Q258" t="s">
        <v>49</v>
      </c>
      <c r="R258" t="s">
        <v>50</v>
      </c>
      <c r="S258" s="1">
        <v>46023</v>
      </c>
      <c r="U258" t="s">
        <v>51</v>
      </c>
      <c r="X258" t="s">
        <v>52</v>
      </c>
      <c r="Y258" s="2">
        <v>0</v>
      </c>
      <c r="Z258" s="2">
        <v>175</v>
      </c>
      <c r="AA258">
        <v>1</v>
      </c>
      <c r="AB258" s="3">
        <v>1</v>
      </c>
      <c r="AC258" s="2">
        <v>175</v>
      </c>
      <c r="AD258" s="3">
        <v>0</v>
      </c>
      <c r="AE258" s="2">
        <v>0</v>
      </c>
      <c r="AF258" s="2">
        <v>175</v>
      </c>
      <c r="AK258">
        <v>5969705</v>
      </c>
    </row>
    <row r="259" spans="1:37" x14ac:dyDescent="0.25">
      <c r="A259" s="1">
        <v>45980</v>
      </c>
      <c r="B259" s="1">
        <v>45980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686</v>
      </c>
      <c r="J259" t="s">
        <v>687</v>
      </c>
      <c r="M259" t="s">
        <v>147</v>
      </c>
      <c r="O259" t="s">
        <v>530</v>
      </c>
      <c r="P259" t="s">
        <v>531</v>
      </c>
      <c r="Q259" t="s">
        <v>49</v>
      </c>
      <c r="R259" t="s">
        <v>98</v>
      </c>
      <c r="S259" s="1">
        <v>46023</v>
      </c>
      <c r="U259" t="s">
        <v>51</v>
      </c>
      <c r="X259" t="s">
        <v>52</v>
      </c>
      <c r="Y259" s="2">
        <v>0</v>
      </c>
      <c r="Z259" s="2">
        <v>15</v>
      </c>
      <c r="AA259">
        <v>1</v>
      </c>
      <c r="AB259" s="3">
        <v>1</v>
      </c>
      <c r="AC259" s="2">
        <v>15</v>
      </c>
      <c r="AD259" s="3">
        <v>0</v>
      </c>
      <c r="AE259" s="2">
        <v>0</v>
      </c>
      <c r="AF259" s="2">
        <v>15</v>
      </c>
      <c r="AK259">
        <v>5969532</v>
      </c>
    </row>
    <row r="260" spans="1:37" x14ac:dyDescent="0.25">
      <c r="A260" s="1">
        <v>45980</v>
      </c>
      <c r="B260" s="1">
        <v>45980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688</v>
      </c>
      <c r="J260" t="s">
        <v>689</v>
      </c>
      <c r="M260" t="s">
        <v>55</v>
      </c>
      <c r="O260" t="s">
        <v>285</v>
      </c>
      <c r="P260" t="s">
        <v>286</v>
      </c>
      <c r="Q260" t="s">
        <v>49</v>
      </c>
      <c r="R260" t="s">
        <v>98</v>
      </c>
      <c r="S260" s="1">
        <v>46023</v>
      </c>
      <c r="U260" t="s">
        <v>51</v>
      </c>
      <c r="X260" t="s">
        <v>52</v>
      </c>
      <c r="Y260" s="2">
        <v>0</v>
      </c>
      <c r="Z260" s="2">
        <v>15</v>
      </c>
      <c r="AA260">
        <v>1</v>
      </c>
      <c r="AB260" s="3">
        <v>1</v>
      </c>
      <c r="AC260" s="2">
        <v>15</v>
      </c>
      <c r="AD260" s="3">
        <v>0</v>
      </c>
      <c r="AE260" s="2">
        <v>0</v>
      </c>
      <c r="AF260" s="2">
        <v>15</v>
      </c>
      <c r="AK260">
        <v>5969533</v>
      </c>
    </row>
    <row r="261" spans="1:37" x14ac:dyDescent="0.25">
      <c r="A261" s="1">
        <v>45980</v>
      </c>
      <c r="B261" s="1">
        <v>45980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690</v>
      </c>
      <c r="J261" t="s">
        <v>691</v>
      </c>
      <c r="M261" t="s">
        <v>55</v>
      </c>
      <c r="O261" t="s">
        <v>85</v>
      </c>
      <c r="P261" t="s">
        <v>86</v>
      </c>
      <c r="Q261" t="s">
        <v>49</v>
      </c>
      <c r="R261" t="s">
        <v>50</v>
      </c>
      <c r="S261" s="1">
        <v>46023</v>
      </c>
      <c r="U261" t="s">
        <v>51</v>
      </c>
      <c r="X261" t="s">
        <v>52</v>
      </c>
      <c r="Y261" s="2">
        <v>0</v>
      </c>
      <c r="Z261" s="2">
        <v>175</v>
      </c>
      <c r="AA261">
        <v>1</v>
      </c>
      <c r="AB261" s="3">
        <v>1</v>
      </c>
      <c r="AC261" s="2">
        <v>175</v>
      </c>
      <c r="AD261" s="3">
        <v>0</v>
      </c>
      <c r="AE261" s="2">
        <v>0</v>
      </c>
      <c r="AF261" s="2">
        <v>175</v>
      </c>
      <c r="AK261">
        <v>5969706</v>
      </c>
    </row>
    <row r="262" spans="1:37" x14ac:dyDescent="0.25">
      <c r="A262" s="1">
        <v>45980</v>
      </c>
      <c r="B262" s="1">
        <v>45980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692</v>
      </c>
      <c r="J262" t="s">
        <v>693</v>
      </c>
      <c r="M262" t="s">
        <v>55</v>
      </c>
      <c r="O262" t="s">
        <v>143</v>
      </c>
      <c r="P262" t="s">
        <v>144</v>
      </c>
      <c r="Q262" t="s">
        <v>49</v>
      </c>
      <c r="R262" t="s">
        <v>50</v>
      </c>
      <c r="S262" s="1">
        <v>46023</v>
      </c>
      <c r="U262" t="s">
        <v>51</v>
      </c>
      <c r="X262" t="s">
        <v>52</v>
      </c>
      <c r="Y262" s="2">
        <v>0</v>
      </c>
      <c r="Z262" s="2">
        <v>175</v>
      </c>
      <c r="AA262">
        <v>1</v>
      </c>
      <c r="AB262" s="3">
        <v>1</v>
      </c>
      <c r="AC262" s="2">
        <v>175</v>
      </c>
      <c r="AD262" s="3">
        <v>0</v>
      </c>
      <c r="AE262" s="2">
        <v>0</v>
      </c>
      <c r="AF262" s="2">
        <v>175</v>
      </c>
      <c r="AK262">
        <v>5969707</v>
      </c>
    </row>
    <row r="263" spans="1:37" x14ac:dyDescent="0.25">
      <c r="A263" s="1">
        <v>45980</v>
      </c>
      <c r="B263" s="1">
        <v>45980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694</v>
      </c>
      <c r="J263" t="s">
        <v>695</v>
      </c>
      <c r="M263" t="s">
        <v>696</v>
      </c>
      <c r="O263" t="s">
        <v>378</v>
      </c>
      <c r="P263" t="s">
        <v>379</v>
      </c>
      <c r="Q263" t="s">
        <v>49</v>
      </c>
      <c r="R263" t="s">
        <v>50</v>
      </c>
      <c r="S263" s="1">
        <v>46023</v>
      </c>
      <c r="U263" t="s">
        <v>51</v>
      </c>
      <c r="X263" t="s">
        <v>52</v>
      </c>
      <c r="Y263" s="2">
        <v>0</v>
      </c>
      <c r="Z263" s="2">
        <v>175</v>
      </c>
      <c r="AA263">
        <v>1</v>
      </c>
      <c r="AB263" s="3">
        <v>1</v>
      </c>
      <c r="AC263" s="2">
        <v>175</v>
      </c>
      <c r="AD263" s="3">
        <v>0</v>
      </c>
      <c r="AE263" s="2">
        <v>0</v>
      </c>
      <c r="AF263" s="2">
        <v>175</v>
      </c>
      <c r="AK263">
        <v>5969381</v>
      </c>
    </row>
    <row r="264" spans="1:37" x14ac:dyDescent="0.25">
      <c r="A264" s="1">
        <v>45980</v>
      </c>
      <c r="B264" s="1">
        <v>45980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697</v>
      </c>
      <c r="J264" t="s">
        <v>698</v>
      </c>
      <c r="M264" t="s">
        <v>46</v>
      </c>
      <c r="O264" t="s">
        <v>47</v>
      </c>
      <c r="P264" t="s">
        <v>48</v>
      </c>
      <c r="Q264" t="s">
        <v>49</v>
      </c>
      <c r="R264" t="s">
        <v>50</v>
      </c>
      <c r="S264" s="1">
        <v>46023</v>
      </c>
      <c r="U264" t="s">
        <v>51</v>
      </c>
      <c r="X264" t="s">
        <v>52</v>
      </c>
      <c r="Y264" s="2">
        <v>0</v>
      </c>
      <c r="Z264" s="2">
        <v>175</v>
      </c>
      <c r="AA264">
        <v>1</v>
      </c>
      <c r="AB264" s="3">
        <v>1</v>
      </c>
      <c r="AC264" s="2">
        <v>175</v>
      </c>
      <c r="AD264" s="3">
        <v>0</v>
      </c>
      <c r="AE264" s="2">
        <v>0</v>
      </c>
      <c r="AF264" s="2">
        <v>175</v>
      </c>
      <c r="AK264">
        <v>5969382</v>
      </c>
    </row>
    <row r="265" spans="1:37" x14ac:dyDescent="0.25">
      <c r="A265" s="1">
        <v>45980</v>
      </c>
      <c r="B265" s="1">
        <v>45980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699</v>
      </c>
      <c r="J265" t="s">
        <v>700</v>
      </c>
      <c r="M265" t="s">
        <v>55</v>
      </c>
      <c r="O265" t="s">
        <v>143</v>
      </c>
      <c r="P265" t="s">
        <v>144</v>
      </c>
      <c r="Q265" t="s">
        <v>49</v>
      </c>
      <c r="R265" t="s">
        <v>50</v>
      </c>
      <c r="S265" s="1">
        <v>46023</v>
      </c>
      <c r="U265" t="s">
        <v>51</v>
      </c>
      <c r="X265" t="s">
        <v>52</v>
      </c>
      <c r="Y265" s="2">
        <v>0</v>
      </c>
      <c r="Z265" s="2">
        <v>175</v>
      </c>
      <c r="AA265">
        <v>1</v>
      </c>
      <c r="AB265" s="3">
        <v>1</v>
      </c>
      <c r="AC265" s="2">
        <v>175</v>
      </c>
      <c r="AD265" s="3">
        <v>0</v>
      </c>
      <c r="AE265" s="2">
        <v>0</v>
      </c>
      <c r="AF265" s="2">
        <v>175</v>
      </c>
      <c r="AK265">
        <v>5969708</v>
      </c>
    </row>
    <row r="266" spans="1:37" x14ac:dyDescent="0.25">
      <c r="A266" s="1">
        <v>45980</v>
      </c>
      <c r="B266" s="1">
        <v>45980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701</v>
      </c>
      <c r="J266" t="s">
        <v>702</v>
      </c>
      <c r="M266" t="s">
        <v>55</v>
      </c>
      <c r="O266" t="s">
        <v>85</v>
      </c>
      <c r="P266" t="s">
        <v>86</v>
      </c>
      <c r="Q266" t="s">
        <v>49</v>
      </c>
      <c r="R266" t="s">
        <v>50</v>
      </c>
      <c r="S266" s="1">
        <v>46023</v>
      </c>
      <c r="U266" t="s">
        <v>51</v>
      </c>
      <c r="X266" t="s">
        <v>52</v>
      </c>
      <c r="Y266" s="2">
        <v>0</v>
      </c>
      <c r="Z266" s="2">
        <v>175</v>
      </c>
      <c r="AA266">
        <v>1</v>
      </c>
      <c r="AB266" s="3">
        <v>1</v>
      </c>
      <c r="AC266" s="2">
        <v>175</v>
      </c>
      <c r="AD266" s="3">
        <v>0</v>
      </c>
      <c r="AE266" s="2">
        <v>0</v>
      </c>
      <c r="AF266" s="2">
        <v>175</v>
      </c>
      <c r="AK266">
        <v>5969709</v>
      </c>
    </row>
    <row r="267" spans="1:37" x14ac:dyDescent="0.25">
      <c r="A267" s="1">
        <v>45980</v>
      </c>
      <c r="B267" s="1">
        <v>45980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703</v>
      </c>
      <c r="J267" t="s">
        <v>704</v>
      </c>
      <c r="M267" t="s">
        <v>183</v>
      </c>
      <c r="O267" t="s">
        <v>189</v>
      </c>
      <c r="P267" t="s">
        <v>190</v>
      </c>
      <c r="Q267" t="s">
        <v>49</v>
      </c>
      <c r="R267" t="s">
        <v>50</v>
      </c>
      <c r="S267" s="1">
        <v>46023</v>
      </c>
      <c r="U267" t="s">
        <v>51</v>
      </c>
      <c r="X267" t="s">
        <v>52</v>
      </c>
      <c r="Y267" s="2">
        <v>0</v>
      </c>
      <c r="Z267" s="2">
        <v>175</v>
      </c>
      <c r="AA267">
        <v>1</v>
      </c>
      <c r="AB267" s="3">
        <v>1</v>
      </c>
      <c r="AC267" s="2">
        <v>175</v>
      </c>
      <c r="AD267" s="3">
        <v>0</v>
      </c>
      <c r="AE267" s="2">
        <v>0</v>
      </c>
      <c r="AF267" s="2">
        <v>175</v>
      </c>
      <c r="AK267">
        <v>5969710</v>
      </c>
    </row>
    <row r="268" spans="1:37" x14ac:dyDescent="0.25">
      <c r="A268" s="1">
        <v>45980</v>
      </c>
      <c r="B268" s="1">
        <v>45980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705</v>
      </c>
      <c r="J268" t="s">
        <v>706</v>
      </c>
      <c r="M268" t="s">
        <v>55</v>
      </c>
      <c r="O268" t="s">
        <v>165</v>
      </c>
      <c r="P268" t="s">
        <v>166</v>
      </c>
      <c r="Q268" t="s">
        <v>49</v>
      </c>
      <c r="R268" t="s">
        <v>50</v>
      </c>
      <c r="S268" s="1">
        <v>46023</v>
      </c>
      <c r="U268" t="s">
        <v>51</v>
      </c>
      <c r="X268" t="s">
        <v>52</v>
      </c>
      <c r="Y268" s="2">
        <v>0</v>
      </c>
      <c r="Z268" s="2">
        <v>175</v>
      </c>
      <c r="AA268">
        <v>1</v>
      </c>
      <c r="AB268" s="3">
        <v>1</v>
      </c>
      <c r="AC268" s="2">
        <v>175</v>
      </c>
      <c r="AD268" s="3">
        <v>0</v>
      </c>
      <c r="AE268" s="2">
        <v>0</v>
      </c>
      <c r="AF268" s="2">
        <v>175</v>
      </c>
      <c r="AK268">
        <v>5969711</v>
      </c>
    </row>
    <row r="269" spans="1:37" x14ac:dyDescent="0.25">
      <c r="A269" s="1">
        <v>45980</v>
      </c>
      <c r="B269" s="1">
        <v>45980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707</v>
      </c>
      <c r="J269" t="s">
        <v>708</v>
      </c>
      <c r="M269" t="s">
        <v>55</v>
      </c>
      <c r="O269" t="s">
        <v>85</v>
      </c>
      <c r="P269" t="s">
        <v>86</v>
      </c>
      <c r="Q269" t="s">
        <v>49</v>
      </c>
      <c r="R269" t="s">
        <v>50</v>
      </c>
      <c r="S269" s="1">
        <v>46023</v>
      </c>
      <c r="U269" t="s">
        <v>51</v>
      </c>
      <c r="X269" t="s">
        <v>52</v>
      </c>
      <c r="Y269" s="2">
        <v>0</v>
      </c>
      <c r="Z269" s="2">
        <v>175</v>
      </c>
      <c r="AA269">
        <v>1</v>
      </c>
      <c r="AB269" s="3">
        <v>1</v>
      </c>
      <c r="AC269" s="2">
        <v>175</v>
      </c>
      <c r="AD269" s="3">
        <v>0</v>
      </c>
      <c r="AE269" s="2">
        <v>0</v>
      </c>
      <c r="AF269" s="2">
        <v>175</v>
      </c>
      <c r="AK269">
        <v>5969712</v>
      </c>
    </row>
    <row r="270" spans="1:37" x14ac:dyDescent="0.25">
      <c r="A270" s="1">
        <v>45980</v>
      </c>
      <c r="B270" s="1">
        <v>45980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709</v>
      </c>
      <c r="J270" t="s">
        <v>710</v>
      </c>
      <c r="M270" t="s">
        <v>246</v>
      </c>
      <c r="O270" t="s">
        <v>567</v>
      </c>
      <c r="P270" t="s">
        <v>568</v>
      </c>
      <c r="Q270" t="s">
        <v>49</v>
      </c>
      <c r="R270" t="s">
        <v>50</v>
      </c>
      <c r="S270" s="1">
        <v>46023</v>
      </c>
      <c r="U270" t="s">
        <v>51</v>
      </c>
      <c r="X270" t="s">
        <v>52</v>
      </c>
      <c r="Y270" s="2">
        <v>0</v>
      </c>
      <c r="Z270" s="2">
        <v>175</v>
      </c>
      <c r="AA270">
        <v>1</v>
      </c>
      <c r="AB270" s="3">
        <v>1</v>
      </c>
      <c r="AC270" s="2">
        <v>175</v>
      </c>
      <c r="AD270" s="3">
        <v>0</v>
      </c>
      <c r="AE270" s="2">
        <v>0</v>
      </c>
      <c r="AF270" s="2">
        <v>175</v>
      </c>
      <c r="AK270">
        <v>5969713</v>
      </c>
    </row>
    <row r="271" spans="1:37" x14ac:dyDescent="0.25">
      <c r="A271" s="1">
        <v>45980</v>
      </c>
      <c r="B271" s="1">
        <v>45980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711</v>
      </c>
      <c r="J271" t="s">
        <v>712</v>
      </c>
      <c r="M271" t="s">
        <v>55</v>
      </c>
      <c r="O271" t="s">
        <v>101</v>
      </c>
      <c r="P271" t="s">
        <v>102</v>
      </c>
      <c r="Q271" t="s">
        <v>49</v>
      </c>
      <c r="R271" t="s">
        <v>50</v>
      </c>
      <c r="S271" s="1">
        <v>45992</v>
      </c>
      <c r="U271" t="s">
        <v>51</v>
      </c>
      <c r="X271" t="s">
        <v>52</v>
      </c>
      <c r="Y271" s="2">
        <v>0</v>
      </c>
      <c r="Z271" s="2">
        <v>175</v>
      </c>
      <c r="AA271">
        <v>1</v>
      </c>
      <c r="AB271" s="3">
        <v>1</v>
      </c>
      <c r="AC271" s="2">
        <v>175</v>
      </c>
      <c r="AD271" s="3">
        <v>0</v>
      </c>
      <c r="AE271" s="2">
        <v>0</v>
      </c>
      <c r="AF271" s="2">
        <v>175</v>
      </c>
      <c r="AK271">
        <v>5969714</v>
      </c>
    </row>
    <row r="272" spans="1:37" x14ac:dyDescent="0.25">
      <c r="A272" s="1">
        <v>45980</v>
      </c>
      <c r="B272" s="1">
        <v>45980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713</v>
      </c>
      <c r="J272" t="s">
        <v>714</v>
      </c>
      <c r="M272" t="s">
        <v>246</v>
      </c>
      <c r="O272" t="s">
        <v>67</v>
      </c>
      <c r="P272" t="s">
        <v>68</v>
      </c>
      <c r="Q272" t="s">
        <v>49</v>
      </c>
      <c r="R272" t="s">
        <v>50</v>
      </c>
      <c r="S272" s="1">
        <v>46023</v>
      </c>
      <c r="U272" t="s">
        <v>51</v>
      </c>
      <c r="X272" t="s">
        <v>52</v>
      </c>
      <c r="Y272" s="2">
        <v>0</v>
      </c>
      <c r="Z272" s="2">
        <v>175</v>
      </c>
      <c r="AA272">
        <v>1</v>
      </c>
      <c r="AB272" s="3">
        <v>1</v>
      </c>
      <c r="AC272" s="2">
        <v>175</v>
      </c>
      <c r="AD272" s="3">
        <v>0</v>
      </c>
      <c r="AE272" s="2">
        <v>0</v>
      </c>
      <c r="AF272" s="2">
        <v>175</v>
      </c>
      <c r="AK272">
        <v>5969715</v>
      </c>
    </row>
    <row r="273" spans="1:38" x14ac:dyDescent="0.25">
      <c r="A273" s="1">
        <v>45980</v>
      </c>
      <c r="B273" s="1">
        <v>45980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715</v>
      </c>
      <c r="J273" t="s">
        <v>716</v>
      </c>
      <c r="M273" t="s">
        <v>55</v>
      </c>
      <c r="O273" t="s">
        <v>60</v>
      </c>
      <c r="P273" t="s">
        <v>61</v>
      </c>
      <c r="Q273" t="s">
        <v>49</v>
      </c>
      <c r="R273" t="s">
        <v>50</v>
      </c>
      <c r="S273" s="1">
        <v>46023</v>
      </c>
      <c r="U273" t="s">
        <v>51</v>
      </c>
      <c r="X273" t="s">
        <v>52</v>
      </c>
      <c r="Y273" s="2">
        <v>0</v>
      </c>
      <c r="Z273" s="2">
        <v>175</v>
      </c>
      <c r="AA273">
        <v>1</v>
      </c>
      <c r="AB273" s="3">
        <v>1</v>
      </c>
      <c r="AC273" s="2">
        <v>175</v>
      </c>
      <c r="AD273" s="3">
        <v>0</v>
      </c>
      <c r="AE273" s="2">
        <v>0</v>
      </c>
      <c r="AF273" s="2">
        <v>175</v>
      </c>
      <c r="AK273">
        <v>5969716</v>
      </c>
    </row>
    <row r="274" spans="1:38" x14ac:dyDescent="0.25">
      <c r="A274" s="1">
        <v>45980</v>
      </c>
      <c r="B274" s="1">
        <v>45980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717</v>
      </c>
      <c r="J274" t="s">
        <v>718</v>
      </c>
      <c r="M274" t="s">
        <v>278</v>
      </c>
      <c r="O274" t="s">
        <v>279</v>
      </c>
      <c r="P274" t="s">
        <v>280</v>
      </c>
      <c r="Q274" t="s">
        <v>49</v>
      </c>
      <c r="R274" t="s">
        <v>50</v>
      </c>
      <c r="S274" s="1">
        <v>46023</v>
      </c>
      <c r="U274" t="s">
        <v>51</v>
      </c>
      <c r="X274" t="s">
        <v>52</v>
      </c>
      <c r="Y274" s="2">
        <v>0</v>
      </c>
      <c r="Z274" s="2">
        <v>175</v>
      </c>
      <c r="AA274">
        <v>1</v>
      </c>
      <c r="AB274" s="3">
        <v>1</v>
      </c>
      <c r="AC274" s="2">
        <v>175</v>
      </c>
      <c r="AD274" s="3">
        <v>0</v>
      </c>
      <c r="AE274" s="2">
        <v>0</v>
      </c>
      <c r="AF274" s="2">
        <v>175</v>
      </c>
      <c r="AK274">
        <v>5969717</v>
      </c>
    </row>
    <row r="275" spans="1:38" x14ac:dyDescent="0.25">
      <c r="A275" s="1">
        <v>45980</v>
      </c>
      <c r="B275" s="1">
        <v>45980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719</v>
      </c>
      <c r="J275" t="s">
        <v>720</v>
      </c>
      <c r="M275" t="s">
        <v>55</v>
      </c>
      <c r="O275" t="s">
        <v>177</v>
      </c>
      <c r="P275" t="s">
        <v>178</v>
      </c>
      <c r="Q275" t="s">
        <v>49</v>
      </c>
      <c r="R275" t="s">
        <v>50</v>
      </c>
      <c r="S275" s="1">
        <v>46023</v>
      </c>
      <c r="U275" t="s">
        <v>51</v>
      </c>
      <c r="X275" t="s">
        <v>52</v>
      </c>
      <c r="Y275" s="2">
        <v>0</v>
      </c>
      <c r="Z275" s="2">
        <v>175</v>
      </c>
      <c r="AA275">
        <v>1</v>
      </c>
      <c r="AB275" s="3">
        <v>1</v>
      </c>
      <c r="AC275" s="2">
        <v>175</v>
      </c>
      <c r="AD275" s="3">
        <v>0</v>
      </c>
      <c r="AE275" s="2">
        <v>0</v>
      </c>
      <c r="AF275" s="2">
        <v>175</v>
      </c>
      <c r="AK275">
        <v>5969718</v>
      </c>
    </row>
    <row r="276" spans="1:38" x14ac:dyDescent="0.25">
      <c r="A276" s="1">
        <v>45980</v>
      </c>
      <c r="B276" s="1">
        <v>45980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721</v>
      </c>
      <c r="J276" t="s">
        <v>722</v>
      </c>
      <c r="M276" t="s">
        <v>55</v>
      </c>
      <c r="O276" t="s">
        <v>723</v>
      </c>
      <c r="P276" t="s">
        <v>724</v>
      </c>
      <c r="Q276" t="s">
        <v>49</v>
      </c>
      <c r="R276" t="s">
        <v>50</v>
      </c>
      <c r="S276" s="1">
        <v>46054</v>
      </c>
      <c r="U276" t="s">
        <v>51</v>
      </c>
      <c r="X276" t="s">
        <v>52</v>
      </c>
      <c r="Y276" s="2">
        <v>0</v>
      </c>
      <c r="Z276" s="2">
        <v>175</v>
      </c>
      <c r="AA276">
        <v>1</v>
      </c>
      <c r="AB276" s="3">
        <v>1</v>
      </c>
      <c r="AC276" s="2">
        <v>175</v>
      </c>
      <c r="AD276" s="3">
        <v>0</v>
      </c>
      <c r="AE276" s="2">
        <v>0</v>
      </c>
      <c r="AF276" s="2">
        <v>175</v>
      </c>
      <c r="AK276">
        <v>5969384</v>
      </c>
    </row>
    <row r="277" spans="1:38" x14ac:dyDescent="0.25">
      <c r="A277" s="1">
        <v>45980</v>
      </c>
      <c r="B277" s="1">
        <v>45980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725</v>
      </c>
      <c r="J277" t="s">
        <v>726</v>
      </c>
      <c r="M277" t="s">
        <v>55</v>
      </c>
      <c r="O277" t="s">
        <v>143</v>
      </c>
      <c r="P277" t="s">
        <v>144</v>
      </c>
      <c r="Q277" t="s">
        <v>49</v>
      </c>
      <c r="R277" t="s">
        <v>50</v>
      </c>
      <c r="S277" s="1">
        <v>46023</v>
      </c>
      <c r="U277" t="s">
        <v>51</v>
      </c>
      <c r="X277" t="s">
        <v>52</v>
      </c>
      <c r="Y277" s="2">
        <v>0</v>
      </c>
      <c r="Z277" s="2">
        <v>175</v>
      </c>
      <c r="AA277">
        <v>1</v>
      </c>
      <c r="AB277" s="3">
        <v>1</v>
      </c>
      <c r="AC277" s="2">
        <v>175</v>
      </c>
      <c r="AD277" s="3">
        <v>0</v>
      </c>
      <c r="AE277" s="2">
        <v>0</v>
      </c>
      <c r="AF277" s="2">
        <v>175</v>
      </c>
      <c r="AK277">
        <v>5969719</v>
      </c>
    </row>
    <row r="278" spans="1:38" x14ac:dyDescent="0.25">
      <c r="A278" s="1">
        <v>45980</v>
      </c>
      <c r="B278" s="1">
        <v>45980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727</v>
      </c>
      <c r="J278" t="s">
        <v>728</v>
      </c>
      <c r="M278" t="s">
        <v>203</v>
      </c>
      <c r="O278" t="s">
        <v>654</v>
      </c>
      <c r="P278" t="s">
        <v>655</v>
      </c>
      <c r="Q278" t="s">
        <v>49</v>
      </c>
      <c r="R278" t="s">
        <v>729</v>
      </c>
      <c r="S278" s="1">
        <v>45992</v>
      </c>
      <c r="U278" t="s">
        <v>51</v>
      </c>
      <c r="X278" t="s">
        <v>52</v>
      </c>
      <c r="Y278" s="2">
        <v>0</v>
      </c>
      <c r="Z278" s="2">
        <v>1.25</v>
      </c>
      <c r="AA278">
        <v>1</v>
      </c>
      <c r="AB278" s="3">
        <v>1</v>
      </c>
      <c r="AC278" s="2">
        <v>1.25</v>
      </c>
      <c r="AD278" s="3">
        <v>0</v>
      </c>
      <c r="AE278" s="2">
        <v>0</v>
      </c>
      <c r="AF278" s="2">
        <v>1.25</v>
      </c>
      <c r="AK278">
        <v>5968809</v>
      </c>
      <c r="AL278" t="s">
        <v>730</v>
      </c>
    </row>
    <row r="279" spans="1:38" x14ac:dyDescent="0.25">
      <c r="A279" s="1">
        <v>45980</v>
      </c>
      <c r="B279" s="1">
        <v>45980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731</v>
      </c>
      <c r="J279" t="s">
        <v>732</v>
      </c>
      <c r="M279" t="s">
        <v>203</v>
      </c>
      <c r="O279" t="s">
        <v>733</v>
      </c>
      <c r="P279" t="s">
        <v>734</v>
      </c>
      <c r="Q279" t="s">
        <v>49</v>
      </c>
      <c r="R279" t="s">
        <v>735</v>
      </c>
      <c r="S279" s="1">
        <v>45962</v>
      </c>
      <c r="U279" t="s">
        <v>51</v>
      </c>
      <c r="X279" t="s">
        <v>52</v>
      </c>
      <c r="Y279" s="2">
        <v>0</v>
      </c>
      <c r="Z279" s="2">
        <v>4.17</v>
      </c>
      <c r="AA279">
        <v>1</v>
      </c>
      <c r="AB279" s="3">
        <v>1</v>
      </c>
      <c r="AC279" s="2">
        <v>4.17</v>
      </c>
      <c r="AD279" s="3">
        <v>0</v>
      </c>
      <c r="AE279" s="2">
        <v>0</v>
      </c>
      <c r="AF279" s="2">
        <v>4.17</v>
      </c>
      <c r="AK279">
        <v>5968810</v>
      </c>
      <c r="AL279" t="s">
        <v>736</v>
      </c>
    </row>
    <row r="280" spans="1:38" x14ac:dyDescent="0.25">
      <c r="A280" s="1">
        <v>45980</v>
      </c>
      <c r="B280" s="1">
        <v>45980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737</v>
      </c>
      <c r="J280" t="s">
        <v>738</v>
      </c>
      <c r="M280" t="s">
        <v>203</v>
      </c>
      <c r="O280" t="s">
        <v>654</v>
      </c>
      <c r="P280" t="s">
        <v>655</v>
      </c>
      <c r="Q280" t="s">
        <v>49</v>
      </c>
      <c r="R280" t="s">
        <v>729</v>
      </c>
      <c r="S280" s="1">
        <v>45992</v>
      </c>
      <c r="U280" t="s">
        <v>51</v>
      </c>
      <c r="X280" t="s">
        <v>52</v>
      </c>
      <c r="Y280" s="2">
        <v>0</v>
      </c>
      <c r="Z280" s="2">
        <v>1.25</v>
      </c>
      <c r="AA280">
        <v>1</v>
      </c>
      <c r="AB280" s="3">
        <v>1</v>
      </c>
      <c r="AC280" s="2">
        <v>1.25</v>
      </c>
      <c r="AD280" s="3">
        <v>0</v>
      </c>
      <c r="AE280" s="2">
        <v>0</v>
      </c>
      <c r="AF280" s="2">
        <v>1.25</v>
      </c>
      <c r="AK280">
        <v>5968816</v>
      </c>
      <c r="AL280" t="s">
        <v>730</v>
      </c>
    </row>
    <row r="281" spans="1:38" x14ac:dyDescent="0.25">
      <c r="A281" s="1">
        <v>45980</v>
      </c>
      <c r="B281" s="1">
        <v>45980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739</v>
      </c>
      <c r="J281" t="s">
        <v>740</v>
      </c>
      <c r="M281" t="s">
        <v>203</v>
      </c>
      <c r="O281" t="s">
        <v>204</v>
      </c>
      <c r="P281" t="s">
        <v>205</v>
      </c>
      <c r="Q281" t="s">
        <v>49</v>
      </c>
      <c r="R281" t="s">
        <v>735</v>
      </c>
      <c r="S281" s="1">
        <v>45992</v>
      </c>
      <c r="U281" t="s">
        <v>51</v>
      </c>
      <c r="X281" t="s">
        <v>52</v>
      </c>
      <c r="Y281" s="2">
        <v>0</v>
      </c>
      <c r="Z281" s="2">
        <v>2.08</v>
      </c>
      <c r="AA281">
        <v>1</v>
      </c>
      <c r="AB281" s="3">
        <v>1</v>
      </c>
      <c r="AC281" s="2">
        <v>2.08</v>
      </c>
      <c r="AD281" s="3">
        <v>0</v>
      </c>
      <c r="AE281" s="2">
        <v>0</v>
      </c>
      <c r="AF281" s="2">
        <v>2.08</v>
      </c>
      <c r="AK281">
        <v>5968817</v>
      </c>
      <c r="AL281" t="s">
        <v>730</v>
      </c>
    </row>
    <row r="282" spans="1:38" x14ac:dyDescent="0.25">
      <c r="A282" s="1">
        <v>45980</v>
      </c>
      <c r="B282" s="1">
        <v>45980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741</v>
      </c>
      <c r="J282" t="s">
        <v>742</v>
      </c>
      <c r="M282" t="s">
        <v>55</v>
      </c>
      <c r="O282" t="s">
        <v>73</v>
      </c>
      <c r="P282" t="s">
        <v>74</v>
      </c>
      <c r="Q282" t="s">
        <v>49</v>
      </c>
      <c r="R282" t="s">
        <v>735</v>
      </c>
      <c r="S282" s="1">
        <v>45962</v>
      </c>
      <c r="U282" t="s">
        <v>51</v>
      </c>
      <c r="X282" t="s">
        <v>52</v>
      </c>
      <c r="Y282" s="2">
        <v>0</v>
      </c>
      <c r="Z282" s="2">
        <v>4.17</v>
      </c>
      <c r="AA282">
        <v>1</v>
      </c>
      <c r="AB282" s="3">
        <v>1</v>
      </c>
      <c r="AC282" s="2">
        <v>4.17</v>
      </c>
      <c r="AD282" s="3">
        <v>0</v>
      </c>
      <c r="AE282" s="2">
        <v>0</v>
      </c>
      <c r="AF282" s="2">
        <v>4.17</v>
      </c>
      <c r="AK282">
        <v>5968823</v>
      </c>
      <c r="AL282" t="s">
        <v>736</v>
      </c>
    </row>
    <row r="283" spans="1:38" x14ac:dyDescent="0.25">
      <c r="A283" s="1">
        <v>45980</v>
      </c>
      <c r="B283" s="1">
        <v>45980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743</v>
      </c>
      <c r="J283" t="s">
        <v>744</v>
      </c>
      <c r="M283" t="s">
        <v>55</v>
      </c>
      <c r="O283" t="s">
        <v>285</v>
      </c>
      <c r="P283" t="s">
        <v>286</v>
      </c>
      <c r="Q283" t="s">
        <v>49</v>
      </c>
      <c r="R283" t="s">
        <v>729</v>
      </c>
      <c r="S283" s="1">
        <v>45962</v>
      </c>
      <c r="U283" t="s">
        <v>51</v>
      </c>
      <c r="X283" t="s">
        <v>52</v>
      </c>
      <c r="Y283" s="2">
        <v>0</v>
      </c>
      <c r="Z283" s="2">
        <v>2.5</v>
      </c>
      <c r="AA283">
        <v>1</v>
      </c>
      <c r="AB283" s="3">
        <v>1</v>
      </c>
      <c r="AC283" s="2">
        <v>2.5</v>
      </c>
      <c r="AD283" s="3">
        <v>0</v>
      </c>
      <c r="AE283" s="2">
        <v>0</v>
      </c>
      <c r="AF283" s="2">
        <v>2.5</v>
      </c>
      <c r="AK283">
        <v>5968824</v>
      </c>
      <c r="AL283" t="s">
        <v>736</v>
      </c>
    </row>
    <row r="284" spans="1:38" x14ac:dyDescent="0.25">
      <c r="A284" s="1">
        <v>45980</v>
      </c>
      <c r="B284" s="1">
        <v>45980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745</v>
      </c>
      <c r="J284" t="s">
        <v>746</v>
      </c>
      <c r="M284" t="s">
        <v>278</v>
      </c>
      <c r="O284" t="s">
        <v>279</v>
      </c>
      <c r="P284" t="s">
        <v>280</v>
      </c>
      <c r="Q284" t="s">
        <v>49</v>
      </c>
      <c r="R284" t="s">
        <v>747</v>
      </c>
      <c r="S284" s="1">
        <v>46023</v>
      </c>
      <c r="U284" t="s">
        <v>51</v>
      </c>
      <c r="X284" t="s">
        <v>52</v>
      </c>
      <c r="Y284" s="2">
        <v>0</v>
      </c>
      <c r="Z284" s="2">
        <v>72</v>
      </c>
      <c r="AA284">
        <v>1</v>
      </c>
      <c r="AB284" s="3">
        <v>1</v>
      </c>
      <c r="AC284" s="2">
        <v>72</v>
      </c>
      <c r="AD284" s="3">
        <v>0</v>
      </c>
      <c r="AE284" s="2">
        <v>0</v>
      </c>
      <c r="AF284" s="2">
        <v>72</v>
      </c>
      <c r="AK284">
        <v>5970120</v>
      </c>
      <c r="AL284" t="s">
        <v>748</v>
      </c>
    </row>
    <row r="285" spans="1:38" x14ac:dyDescent="0.25">
      <c r="A285" s="1">
        <v>45980</v>
      </c>
      <c r="B285" s="1">
        <v>45980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749</v>
      </c>
      <c r="J285" t="s">
        <v>750</v>
      </c>
      <c r="M285" t="s">
        <v>66</v>
      </c>
      <c r="O285" t="s">
        <v>81</v>
      </c>
      <c r="P285" t="s">
        <v>82</v>
      </c>
      <c r="Q285" t="s">
        <v>49</v>
      </c>
      <c r="R285" t="s">
        <v>751</v>
      </c>
      <c r="S285" s="1">
        <v>46023</v>
      </c>
      <c r="U285" t="s">
        <v>51</v>
      </c>
      <c r="X285" t="s">
        <v>52</v>
      </c>
      <c r="Y285" s="2">
        <v>0</v>
      </c>
      <c r="Z285" s="2">
        <v>175</v>
      </c>
      <c r="AA285">
        <v>1</v>
      </c>
      <c r="AB285" s="3">
        <v>1</v>
      </c>
      <c r="AC285" s="2">
        <v>175</v>
      </c>
      <c r="AD285" s="3">
        <v>0</v>
      </c>
      <c r="AE285" s="2">
        <v>0</v>
      </c>
      <c r="AF285" s="2">
        <v>175</v>
      </c>
      <c r="AK285">
        <v>5970140</v>
      </c>
    </row>
    <row r="286" spans="1:38" x14ac:dyDescent="0.25">
      <c r="A286" s="1">
        <v>45980</v>
      </c>
      <c r="B286" s="1">
        <v>45980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752</v>
      </c>
      <c r="J286" t="s">
        <v>753</v>
      </c>
      <c r="M286" t="s">
        <v>203</v>
      </c>
      <c r="O286" t="s">
        <v>654</v>
      </c>
      <c r="P286" t="s">
        <v>655</v>
      </c>
      <c r="Q286" t="s">
        <v>49</v>
      </c>
      <c r="R286" t="s">
        <v>747</v>
      </c>
      <c r="S286" s="1">
        <v>46023</v>
      </c>
      <c r="U286" t="s">
        <v>51</v>
      </c>
      <c r="X286" t="s">
        <v>52</v>
      </c>
      <c r="Y286" s="2">
        <v>0</v>
      </c>
      <c r="Z286" s="2">
        <v>72</v>
      </c>
      <c r="AA286">
        <v>1</v>
      </c>
      <c r="AB286" s="3">
        <v>1</v>
      </c>
      <c r="AC286" s="2">
        <v>72</v>
      </c>
      <c r="AD286" s="3">
        <v>0</v>
      </c>
      <c r="AE286" s="2">
        <v>0</v>
      </c>
      <c r="AF286" s="2">
        <v>72</v>
      </c>
      <c r="AK286">
        <v>5970121</v>
      </c>
      <c r="AL286" t="s">
        <v>748</v>
      </c>
    </row>
    <row r="287" spans="1:38" x14ac:dyDescent="0.25">
      <c r="A287" s="1">
        <v>45980</v>
      </c>
      <c r="B287" s="1">
        <v>45980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754</v>
      </c>
      <c r="J287" t="s">
        <v>755</v>
      </c>
      <c r="M287" t="s">
        <v>398</v>
      </c>
      <c r="O287" t="s">
        <v>139</v>
      </c>
      <c r="P287" t="s">
        <v>140</v>
      </c>
      <c r="Q287" t="s">
        <v>49</v>
      </c>
      <c r="R287" t="s">
        <v>751</v>
      </c>
      <c r="S287" s="1">
        <v>46023</v>
      </c>
      <c r="U287" t="s">
        <v>51</v>
      </c>
      <c r="X287" t="s">
        <v>52</v>
      </c>
      <c r="Y287" s="2">
        <v>0</v>
      </c>
      <c r="Z287" s="2">
        <v>175</v>
      </c>
      <c r="AA287">
        <v>1</v>
      </c>
      <c r="AB287" s="3">
        <v>1</v>
      </c>
      <c r="AC287" s="2">
        <v>175</v>
      </c>
      <c r="AD287" s="3">
        <v>0</v>
      </c>
      <c r="AE287" s="2">
        <v>0</v>
      </c>
      <c r="AF287" s="2">
        <v>175</v>
      </c>
      <c r="AK287">
        <v>5970142</v>
      </c>
    </row>
    <row r="288" spans="1:38" x14ac:dyDescent="0.25">
      <c r="A288" s="1">
        <v>45980</v>
      </c>
      <c r="B288" s="1">
        <v>45980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756</v>
      </c>
      <c r="J288" t="s">
        <v>757</v>
      </c>
      <c r="M288" t="s">
        <v>246</v>
      </c>
      <c r="O288" t="s">
        <v>165</v>
      </c>
      <c r="P288" t="s">
        <v>166</v>
      </c>
      <c r="Q288" t="s">
        <v>49</v>
      </c>
      <c r="R288" t="s">
        <v>751</v>
      </c>
      <c r="S288" s="1">
        <v>46023</v>
      </c>
      <c r="U288" t="s">
        <v>51</v>
      </c>
      <c r="X288" t="s">
        <v>52</v>
      </c>
      <c r="Y288" s="2">
        <v>0</v>
      </c>
      <c r="Z288" s="2">
        <v>175</v>
      </c>
      <c r="AA288">
        <v>1</v>
      </c>
      <c r="AB288" s="3">
        <v>1</v>
      </c>
      <c r="AC288" s="2">
        <v>175</v>
      </c>
      <c r="AD288" s="3">
        <v>0</v>
      </c>
      <c r="AE288" s="2">
        <v>0</v>
      </c>
      <c r="AF288" s="2">
        <v>175</v>
      </c>
      <c r="AK288">
        <v>5970143</v>
      </c>
    </row>
    <row r="289" spans="1:38" x14ac:dyDescent="0.25">
      <c r="A289" s="1">
        <v>45980</v>
      </c>
      <c r="B289" s="1">
        <v>45980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758</v>
      </c>
      <c r="J289" t="s">
        <v>759</v>
      </c>
      <c r="M289" t="s">
        <v>55</v>
      </c>
      <c r="O289" t="s">
        <v>530</v>
      </c>
      <c r="P289" t="s">
        <v>531</v>
      </c>
      <c r="Q289" t="s">
        <v>49</v>
      </c>
      <c r="R289" t="s">
        <v>760</v>
      </c>
      <c r="S289" s="1">
        <v>46023</v>
      </c>
      <c r="U289" t="s">
        <v>51</v>
      </c>
      <c r="X289" t="s">
        <v>52</v>
      </c>
      <c r="Y289" s="2">
        <v>0</v>
      </c>
      <c r="Z289" s="2">
        <v>50</v>
      </c>
      <c r="AA289">
        <v>1</v>
      </c>
      <c r="AB289" s="3">
        <v>1</v>
      </c>
      <c r="AC289" s="2">
        <v>50</v>
      </c>
      <c r="AD289" s="3">
        <v>0</v>
      </c>
      <c r="AE289" s="2">
        <v>0</v>
      </c>
      <c r="AF289" s="2">
        <v>50</v>
      </c>
      <c r="AK289">
        <v>5970109</v>
      </c>
      <c r="AL289" t="s">
        <v>748</v>
      </c>
    </row>
    <row r="290" spans="1:38" x14ac:dyDescent="0.25">
      <c r="A290" s="1">
        <v>45980</v>
      </c>
      <c r="B290" s="1">
        <v>45980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761</v>
      </c>
      <c r="J290" t="s">
        <v>762</v>
      </c>
      <c r="M290" t="s">
        <v>188</v>
      </c>
      <c r="O290" t="s">
        <v>763</v>
      </c>
      <c r="P290" t="s">
        <v>764</v>
      </c>
      <c r="Q290" t="s">
        <v>49</v>
      </c>
      <c r="R290" t="s">
        <v>747</v>
      </c>
      <c r="S290" s="1">
        <v>46023</v>
      </c>
      <c r="U290" t="s">
        <v>51</v>
      </c>
      <c r="X290" t="s">
        <v>52</v>
      </c>
      <c r="Y290" s="2">
        <v>0</v>
      </c>
      <c r="Z290" s="2">
        <v>72</v>
      </c>
      <c r="AA290">
        <v>1</v>
      </c>
      <c r="AB290" s="3">
        <v>1</v>
      </c>
      <c r="AC290" s="2">
        <v>72</v>
      </c>
      <c r="AD290" s="3">
        <v>0</v>
      </c>
      <c r="AE290" s="2">
        <v>0</v>
      </c>
      <c r="AF290" s="2">
        <v>72</v>
      </c>
      <c r="AK290">
        <v>5970126</v>
      </c>
      <c r="AL290" t="s">
        <v>748</v>
      </c>
    </row>
    <row r="291" spans="1:38" x14ac:dyDescent="0.25">
      <c r="A291" s="1">
        <v>45980</v>
      </c>
      <c r="B291" s="1">
        <v>45980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765</v>
      </c>
      <c r="J291" t="s">
        <v>766</v>
      </c>
      <c r="M291" t="s">
        <v>55</v>
      </c>
      <c r="O291" t="s">
        <v>530</v>
      </c>
      <c r="P291" t="s">
        <v>531</v>
      </c>
      <c r="Q291" t="s">
        <v>49</v>
      </c>
      <c r="R291" t="s">
        <v>760</v>
      </c>
      <c r="S291" s="1">
        <v>46023</v>
      </c>
      <c r="U291" t="s">
        <v>51</v>
      </c>
      <c r="X291" t="s">
        <v>52</v>
      </c>
      <c r="Y291" s="2">
        <v>0</v>
      </c>
      <c r="Z291" s="2">
        <v>50</v>
      </c>
      <c r="AA291">
        <v>1</v>
      </c>
      <c r="AB291" s="3">
        <v>1</v>
      </c>
      <c r="AC291" s="2">
        <v>50</v>
      </c>
      <c r="AD291" s="3">
        <v>0</v>
      </c>
      <c r="AE291" s="2">
        <v>0</v>
      </c>
      <c r="AF291" s="2">
        <v>50</v>
      </c>
      <c r="AK291">
        <v>5970110</v>
      </c>
      <c r="AL291" t="s">
        <v>748</v>
      </c>
    </row>
    <row r="292" spans="1:38" x14ac:dyDescent="0.25">
      <c r="A292" s="1">
        <v>45980</v>
      </c>
      <c r="B292" s="1">
        <v>45980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767</v>
      </c>
      <c r="J292" t="s">
        <v>768</v>
      </c>
      <c r="M292" t="s">
        <v>769</v>
      </c>
      <c r="O292" t="s">
        <v>763</v>
      </c>
      <c r="P292" t="s">
        <v>764</v>
      </c>
      <c r="Q292" t="s">
        <v>49</v>
      </c>
      <c r="R292" t="s">
        <v>751</v>
      </c>
      <c r="S292" s="1">
        <v>46023</v>
      </c>
      <c r="U292" t="s">
        <v>51</v>
      </c>
      <c r="X292" t="s">
        <v>52</v>
      </c>
      <c r="Y292" s="2">
        <v>0</v>
      </c>
      <c r="Z292" s="2">
        <v>175</v>
      </c>
      <c r="AA292">
        <v>1</v>
      </c>
      <c r="AB292" s="3">
        <v>1</v>
      </c>
      <c r="AC292" s="2">
        <v>175</v>
      </c>
      <c r="AD292" s="3">
        <v>0</v>
      </c>
      <c r="AE292" s="2">
        <v>0</v>
      </c>
      <c r="AF292" s="2">
        <v>175</v>
      </c>
      <c r="AK292">
        <v>5970152</v>
      </c>
    </row>
    <row r="293" spans="1:38" x14ac:dyDescent="0.25">
      <c r="A293" s="1">
        <v>45980</v>
      </c>
      <c r="B293" s="1">
        <v>45980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770</v>
      </c>
      <c r="J293" t="s">
        <v>771</v>
      </c>
      <c r="M293" t="s">
        <v>772</v>
      </c>
      <c r="O293" t="s">
        <v>773</v>
      </c>
      <c r="P293" t="s">
        <v>774</v>
      </c>
      <c r="Q293" t="s">
        <v>49</v>
      </c>
      <c r="R293" t="s">
        <v>775</v>
      </c>
      <c r="S293" s="1">
        <v>45962</v>
      </c>
      <c r="U293" t="s">
        <v>51</v>
      </c>
      <c r="X293" t="s">
        <v>52</v>
      </c>
      <c r="Y293" s="2">
        <v>0</v>
      </c>
      <c r="Z293" s="2">
        <v>27</v>
      </c>
      <c r="AA293">
        <v>1</v>
      </c>
      <c r="AB293" s="3">
        <v>1</v>
      </c>
      <c r="AC293" s="2">
        <v>27</v>
      </c>
      <c r="AD293" s="3">
        <v>0</v>
      </c>
      <c r="AE293" s="2">
        <v>0</v>
      </c>
      <c r="AF293" s="2">
        <v>27</v>
      </c>
      <c r="AK293">
        <v>5970021</v>
      </c>
    </row>
    <row r="294" spans="1:38" s="20" customFormat="1" x14ac:dyDescent="0.25">
      <c r="A294" s="21">
        <v>45980</v>
      </c>
      <c r="B294" s="21">
        <v>45980</v>
      </c>
      <c r="C294" s="20" t="s">
        <v>38</v>
      </c>
      <c r="D294" s="20" t="s">
        <v>39</v>
      </c>
      <c r="E294" s="20" t="s">
        <v>40</v>
      </c>
      <c r="F294" s="20" t="s">
        <v>41</v>
      </c>
      <c r="G294" s="20" t="s">
        <v>42</v>
      </c>
      <c r="H294" s="20" t="s">
        <v>43</v>
      </c>
      <c r="I294" s="20" t="s">
        <v>776</v>
      </c>
      <c r="J294" s="20" t="s">
        <v>503</v>
      </c>
      <c r="M294" s="20" t="s">
        <v>55</v>
      </c>
      <c r="O294" s="20" t="s">
        <v>90</v>
      </c>
      <c r="P294" s="20" t="s">
        <v>91</v>
      </c>
      <c r="Q294" s="20" t="s">
        <v>49</v>
      </c>
      <c r="R294" s="20" t="s">
        <v>777</v>
      </c>
      <c r="S294" s="21">
        <v>46023</v>
      </c>
      <c r="U294" s="20" t="s">
        <v>51</v>
      </c>
      <c r="X294" s="20" t="s">
        <v>52</v>
      </c>
      <c r="Y294" s="22">
        <v>0</v>
      </c>
      <c r="Z294" s="22">
        <v>9.83</v>
      </c>
      <c r="AA294" s="20">
        <v>9</v>
      </c>
      <c r="AB294" s="23">
        <v>1</v>
      </c>
      <c r="AC294" s="22">
        <v>88.47</v>
      </c>
      <c r="AD294" s="23">
        <v>0</v>
      </c>
      <c r="AE294" s="22">
        <v>0</v>
      </c>
      <c r="AF294" s="22">
        <v>88.47</v>
      </c>
      <c r="AK294" s="20">
        <v>5970022</v>
      </c>
    </row>
    <row r="295" spans="1:38" x14ac:dyDescent="0.25">
      <c r="A295" s="1">
        <v>45980</v>
      </c>
      <c r="B295" s="1">
        <v>45980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778</v>
      </c>
      <c r="J295" t="s">
        <v>779</v>
      </c>
      <c r="M295" t="s">
        <v>55</v>
      </c>
      <c r="O295" t="s">
        <v>90</v>
      </c>
      <c r="P295" t="s">
        <v>91</v>
      </c>
      <c r="Q295" t="s">
        <v>49</v>
      </c>
      <c r="R295" t="s">
        <v>780</v>
      </c>
      <c r="S295" s="1">
        <v>45992</v>
      </c>
      <c r="U295" t="s">
        <v>51</v>
      </c>
      <c r="X295" t="s">
        <v>52</v>
      </c>
      <c r="Y295" s="2">
        <v>0</v>
      </c>
      <c r="Z295" s="2">
        <v>31.98</v>
      </c>
      <c r="AA295">
        <v>9</v>
      </c>
      <c r="AB295" s="3">
        <v>1</v>
      </c>
      <c r="AC295" s="2">
        <v>287.82</v>
      </c>
      <c r="AD295" s="3">
        <v>0</v>
      </c>
      <c r="AE295" s="2">
        <v>0</v>
      </c>
      <c r="AF295" s="2">
        <v>287.82</v>
      </c>
      <c r="AK295">
        <v>5970023</v>
      </c>
    </row>
    <row r="296" spans="1:38" x14ac:dyDescent="0.25">
      <c r="A296" s="1">
        <v>45980</v>
      </c>
      <c r="B296" s="1">
        <v>45980</v>
      </c>
      <c r="C296" t="s">
        <v>781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782</v>
      </c>
      <c r="J296" t="s">
        <v>783</v>
      </c>
      <c r="M296" t="s">
        <v>784</v>
      </c>
      <c r="O296" t="s">
        <v>150</v>
      </c>
      <c r="P296" t="s">
        <v>151</v>
      </c>
      <c r="Q296" t="s">
        <v>785</v>
      </c>
      <c r="R296" t="s">
        <v>69</v>
      </c>
      <c r="S296" s="1">
        <v>45658</v>
      </c>
      <c r="U296" t="s">
        <v>51</v>
      </c>
      <c r="X296" t="s">
        <v>52</v>
      </c>
      <c r="AF296" s="2">
        <v>108</v>
      </c>
      <c r="AG296" s="2">
        <v>0</v>
      </c>
      <c r="AJ296" s="2">
        <v>27</v>
      </c>
    </row>
    <row r="297" spans="1:38" x14ac:dyDescent="0.25">
      <c r="A297" s="1">
        <v>45980</v>
      </c>
      <c r="B297" s="1">
        <v>45980</v>
      </c>
      <c r="C297" t="s">
        <v>781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786</v>
      </c>
      <c r="J297" t="s">
        <v>787</v>
      </c>
      <c r="M297" t="s">
        <v>55</v>
      </c>
      <c r="O297" t="s">
        <v>113</v>
      </c>
      <c r="P297" t="s">
        <v>114</v>
      </c>
      <c r="Q297" t="s">
        <v>785</v>
      </c>
      <c r="R297" t="s">
        <v>50</v>
      </c>
      <c r="S297" s="1">
        <v>46023</v>
      </c>
      <c r="U297" t="s">
        <v>51</v>
      </c>
      <c r="X297" t="s">
        <v>52</v>
      </c>
      <c r="AF297" s="2">
        <v>175</v>
      </c>
      <c r="AG297" s="2">
        <v>0</v>
      </c>
      <c r="AJ297" s="2">
        <v>175</v>
      </c>
    </row>
    <row r="298" spans="1:38" x14ac:dyDescent="0.25">
      <c r="A298" s="1">
        <v>45980</v>
      </c>
      <c r="B298" s="1">
        <v>45980</v>
      </c>
      <c r="C298" t="s">
        <v>781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788</v>
      </c>
      <c r="J298" t="s">
        <v>187</v>
      </c>
      <c r="M298" t="s">
        <v>784</v>
      </c>
      <c r="O298" t="s">
        <v>285</v>
      </c>
      <c r="P298" t="s">
        <v>286</v>
      </c>
      <c r="Q298" t="s">
        <v>785</v>
      </c>
      <c r="R298" t="s">
        <v>69</v>
      </c>
      <c r="S298" s="1">
        <v>45658</v>
      </c>
      <c r="U298" t="s">
        <v>51</v>
      </c>
      <c r="X298" t="s">
        <v>52</v>
      </c>
      <c r="AF298" s="2">
        <v>108</v>
      </c>
      <c r="AG298" s="2">
        <v>0</v>
      </c>
      <c r="AJ298" s="2">
        <v>18.36</v>
      </c>
    </row>
    <row r="299" spans="1:38" x14ac:dyDescent="0.25">
      <c r="A299" s="1">
        <v>45980</v>
      </c>
      <c r="B299" s="1">
        <v>45980</v>
      </c>
      <c r="C299" t="s">
        <v>781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789</v>
      </c>
      <c r="J299" t="s">
        <v>790</v>
      </c>
      <c r="M299" t="s">
        <v>66</v>
      </c>
      <c r="O299" t="s">
        <v>228</v>
      </c>
      <c r="P299" t="s">
        <v>229</v>
      </c>
      <c r="Q299" t="s">
        <v>785</v>
      </c>
      <c r="R299" t="s">
        <v>50</v>
      </c>
      <c r="S299" s="1">
        <v>46023</v>
      </c>
      <c r="U299" t="s">
        <v>51</v>
      </c>
      <c r="X299" t="s">
        <v>52</v>
      </c>
      <c r="AF299" s="2">
        <v>175</v>
      </c>
      <c r="AG299" s="2">
        <v>0</v>
      </c>
      <c r="AJ299" s="2">
        <v>175</v>
      </c>
    </row>
    <row r="300" spans="1:38" x14ac:dyDescent="0.25">
      <c r="A300" s="1">
        <v>45980</v>
      </c>
      <c r="B300" s="1">
        <v>45980</v>
      </c>
      <c r="C300" t="s">
        <v>781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791</v>
      </c>
      <c r="J300" t="s">
        <v>792</v>
      </c>
      <c r="M300" t="s">
        <v>89</v>
      </c>
      <c r="O300" t="s">
        <v>255</v>
      </c>
      <c r="P300" t="s">
        <v>256</v>
      </c>
      <c r="Q300" t="s">
        <v>785</v>
      </c>
      <c r="R300" t="s">
        <v>50</v>
      </c>
      <c r="S300" s="1">
        <v>46023</v>
      </c>
      <c r="U300" t="s">
        <v>51</v>
      </c>
      <c r="X300" t="s">
        <v>52</v>
      </c>
      <c r="AF300" s="2">
        <v>175</v>
      </c>
      <c r="AG300" s="2">
        <v>0</v>
      </c>
      <c r="AJ300" s="2">
        <v>175</v>
      </c>
    </row>
    <row r="301" spans="1:38" x14ac:dyDescent="0.25">
      <c r="A301" s="1">
        <v>45980</v>
      </c>
      <c r="B301" s="1">
        <v>45980</v>
      </c>
      <c r="C301" t="s">
        <v>781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793</v>
      </c>
      <c r="J301" t="s">
        <v>794</v>
      </c>
      <c r="M301" t="s">
        <v>246</v>
      </c>
      <c r="O301" t="s">
        <v>567</v>
      </c>
      <c r="P301" t="s">
        <v>568</v>
      </c>
      <c r="Q301" t="s">
        <v>785</v>
      </c>
      <c r="R301" t="s">
        <v>50</v>
      </c>
      <c r="S301" s="1">
        <v>45658</v>
      </c>
      <c r="U301" t="s">
        <v>51</v>
      </c>
      <c r="X301" t="s">
        <v>52</v>
      </c>
      <c r="AF301" s="2">
        <v>175</v>
      </c>
      <c r="AG301" s="2">
        <v>0</v>
      </c>
      <c r="AJ301" s="2">
        <v>82.04</v>
      </c>
    </row>
    <row r="302" spans="1:38" x14ac:dyDescent="0.25">
      <c r="A302" s="1">
        <v>45980</v>
      </c>
      <c r="B302" s="1">
        <v>45980</v>
      </c>
      <c r="C302" t="s">
        <v>781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795</v>
      </c>
      <c r="J302" t="s">
        <v>796</v>
      </c>
      <c r="M302" t="s">
        <v>295</v>
      </c>
      <c r="O302" t="s">
        <v>255</v>
      </c>
      <c r="P302" t="s">
        <v>256</v>
      </c>
      <c r="Q302" t="s">
        <v>785</v>
      </c>
      <c r="R302" t="s">
        <v>50</v>
      </c>
      <c r="S302" s="1">
        <v>46023</v>
      </c>
      <c r="U302" t="s">
        <v>51</v>
      </c>
      <c r="X302" t="s">
        <v>52</v>
      </c>
      <c r="AF302" s="2">
        <v>175</v>
      </c>
      <c r="AG302" s="2">
        <v>0</v>
      </c>
      <c r="AJ302" s="2">
        <v>175</v>
      </c>
    </row>
    <row r="303" spans="1:38" x14ac:dyDescent="0.25">
      <c r="A303" s="1">
        <v>45980</v>
      </c>
      <c r="B303" s="1">
        <v>45980</v>
      </c>
      <c r="C303" t="s">
        <v>781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797</v>
      </c>
      <c r="J303" t="s">
        <v>798</v>
      </c>
      <c r="M303" t="s">
        <v>246</v>
      </c>
      <c r="O303" t="s">
        <v>567</v>
      </c>
      <c r="P303" t="s">
        <v>568</v>
      </c>
      <c r="Q303" t="s">
        <v>785</v>
      </c>
      <c r="R303" t="s">
        <v>50</v>
      </c>
      <c r="S303" s="1">
        <v>46023</v>
      </c>
      <c r="U303" t="s">
        <v>51</v>
      </c>
      <c r="X303" t="s">
        <v>52</v>
      </c>
      <c r="AF303" s="2">
        <v>175</v>
      </c>
      <c r="AG303" s="2">
        <v>0</v>
      </c>
      <c r="AJ303" s="2">
        <v>175</v>
      </c>
    </row>
    <row r="304" spans="1:38" x14ac:dyDescent="0.25">
      <c r="A304" s="1">
        <v>45980</v>
      </c>
      <c r="B304" s="1">
        <v>45980</v>
      </c>
      <c r="C304" t="s">
        <v>781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799</v>
      </c>
      <c r="J304" t="s">
        <v>800</v>
      </c>
      <c r="M304" t="s">
        <v>55</v>
      </c>
      <c r="O304" t="s">
        <v>285</v>
      </c>
      <c r="P304" t="s">
        <v>286</v>
      </c>
      <c r="Q304" t="s">
        <v>785</v>
      </c>
      <c r="R304" t="s">
        <v>98</v>
      </c>
      <c r="S304" s="1">
        <v>46023</v>
      </c>
      <c r="U304" t="s">
        <v>51</v>
      </c>
      <c r="X304" t="s">
        <v>52</v>
      </c>
      <c r="AF304" s="2">
        <v>15</v>
      </c>
      <c r="AG304" s="2">
        <v>0</v>
      </c>
      <c r="AJ304" s="2">
        <v>15</v>
      </c>
    </row>
    <row r="305" spans="1:36" x14ac:dyDescent="0.25">
      <c r="A305" s="1">
        <v>45980</v>
      </c>
      <c r="B305" s="1">
        <v>45980</v>
      </c>
      <c r="C305" t="s">
        <v>781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801</v>
      </c>
      <c r="J305" t="s">
        <v>802</v>
      </c>
      <c r="M305" t="s">
        <v>398</v>
      </c>
      <c r="O305" t="s">
        <v>378</v>
      </c>
      <c r="P305" t="s">
        <v>379</v>
      </c>
      <c r="Q305" t="s">
        <v>785</v>
      </c>
      <c r="R305" t="s">
        <v>50</v>
      </c>
      <c r="S305" s="1">
        <v>46023</v>
      </c>
      <c r="U305" t="s">
        <v>51</v>
      </c>
      <c r="X305" t="s">
        <v>52</v>
      </c>
      <c r="AF305" s="2">
        <v>175</v>
      </c>
      <c r="AG305" s="2">
        <v>0</v>
      </c>
      <c r="AJ305" s="2">
        <v>175</v>
      </c>
    </row>
    <row r="306" spans="1:36" x14ac:dyDescent="0.25">
      <c r="A306" s="1">
        <v>45980</v>
      </c>
      <c r="B306" s="1">
        <v>45980</v>
      </c>
      <c r="C306" t="s">
        <v>781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803</v>
      </c>
      <c r="J306" t="s">
        <v>804</v>
      </c>
      <c r="M306" t="s">
        <v>398</v>
      </c>
      <c r="O306" t="s">
        <v>378</v>
      </c>
      <c r="P306" t="s">
        <v>379</v>
      </c>
      <c r="Q306" t="s">
        <v>785</v>
      </c>
      <c r="R306" t="s">
        <v>50</v>
      </c>
      <c r="S306" s="1">
        <v>46023</v>
      </c>
      <c r="U306" t="s">
        <v>51</v>
      </c>
      <c r="X306" t="s">
        <v>52</v>
      </c>
      <c r="AF306" s="2">
        <v>175</v>
      </c>
      <c r="AG306" s="2">
        <v>0</v>
      </c>
      <c r="AJ306" s="2">
        <v>175</v>
      </c>
    </row>
    <row r="307" spans="1:36" x14ac:dyDescent="0.25">
      <c r="A307" s="1">
        <v>45980</v>
      </c>
      <c r="B307" s="1">
        <v>45980</v>
      </c>
      <c r="C307" t="s">
        <v>781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805</v>
      </c>
      <c r="J307" t="s">
        <v>806</v>
      </c>
      <c r="M307" t="s">
        <v>147</v>
      </c>
      <c r="O307" t="s">
        <v>763</v>
      </c>
      <c r="P307" t="s">
        <v>764</v>
      </c>
      <c r="Q307" t="s">
        <v>785</v>
      </c>
      <c r="R307" t="s">
        <v>50</v>
      </c>
      <c r="S307" s="1">
        <v>46023</v>
      </c>
      <c r="U307" t="s">
        <v>51</v>
      </c>
      <c r="X307" t="s">
        <v>52</v>
      </c>
      <c r="AF307" s="2">
        <v>175</v>
      </c>
      <c r="AG307" s="2">
        <v>0</v>
      </c>
      <c r="AJ307" s="2">
        <v>175</v>
      </c>
    </row>
    <row r="308" spans="1:36" x14ac:dyDescent="0.25">
      <c r="A308" s="1">
        <v>45980</v>
      </c>
      <c r="B308" s="1">
        <v>45980</v>
      </c>
      <c r="C308" t="s">
        <v>781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807</v>
      </c>
      <c r="J308" t="s">
        <v>808</v>
      </c>
      <c r="M308" t="s">
        <v>55</v>
      </c>
      <c r="O308" t="s">
        <v>165</v>
      </c>
      <c r="P308" t="s">
        <v>166</v>
      </c>
      <c r="Q308" t="s">
        <v>785</v>
      </c>
      <c r="R308" t="s">
        <v>50</v>
      </c>
      <c r="S308" s="1">
        <v>45992</v>
      </c>
      <c r="U308" t="s">
        <v>51</v>
      </c>
      <c r="X308" t="s">
        <v>52</v>
      </c>
      <c r="AF308" s="2">
        <v>175</v>
      </c>
      <c r="AG308" s="2">
        <v>0</v>
      </c>
      <c r="AJ308" s="2">
        <v>175</v>
      </c>
    </row>
    <row r="309" spans="1:36" x14ac:dyDescent="0.25">
      <c r="A309" s="1">
        <v>45980</v>
      </c>
      <c r="B309" s="1">
        <v>45980</v>
      </c>
      <c r="C309" t="s">
        <v>781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809</v>
      </c>
      <c r="J309" t="s">
        <v>810</v>
      </c>
      <c r="M309" t="s">
        <v>55</v>
      </c>
      <c r="O309" t="s">
        <v>90</v>
      </c>
      <c r="P309" t="s">
        <v>91</v>
      </c>
      <c r="Q309" t="s">
        <v>785</v>
      </c>
      <c r="R309" t="s">
        <v>811</v>
      </c>
      <c r="S309" s="1">
        <v>45931</v>
      </c>
      <c r="U309" t="s">
        <v>51</v>
      </c>
      <c r="X309" t="s">
        <v>52</v>
      </c>
      <c r="AF309" s="2">
        <v>626</v>
      </c>
      <c r="AG309" s="2">
        <v>0</v>
      </c>
      <c r="AJ309" s="2">
        <v>626</v>
      </c>
    </row>
    <row r="310" spans="1:36" x14ac:dyDescent="0.25">
      <c r="A310" s="1">
        <v>45980</v>
      </c>
      <c r="B310" s="1">
        <v>45980</v>
      </c>
      <c r="C310" t="s">
        <v>781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812</v>
      </c>
      <c r="J310" t="s">
        <v>810</v>
      </c>
      <c r="M310" t="s">
        <v>55</v>
      </c>
      <c r="O310" t="s">
        <v>90</v>
      </c>
      <c r="P310" t="s">
        <v>91</v>
      </c>
      <c r="Q310" t="s">
        <v>785</v>
      </c>
      <c r="R310" t="s">
        <v>751</v>
      </c>
      <c r="S310" s="1">
        <v>45931</v>
      </c>
      <c r="U310" t="s">
        <v>51</v>
      </c>
      <c r="X310" t="s">
        <v>52</v>
      </c>
      <c r="AF310" s="2">
        <v>175</v>
      </c>
      <c r="AG310" s="2">
        <v>0</v>
      </c>
      <c r="AJ310" s="2">
        <v>175</v>
      </c>
    </row>
    <row r="312" spans="1:36" x14ac:dyDescent="0.25">
      <c r="A312" s="1"/>
      <c r="B312" s="1"/>
      <c r="S312" s="1"/>
      <c r="T312" s="1"/>
      <c r="W312" s="1"/>
      <c r="Y312" s="2"/>
      <c r="Z312" s="2"/>
      <c r="AB312" s="3"/>
      <c r="AC312" s="2"/>
      <c r="AG312" s="2"/>
      <c r="AH312" s="2"/>
      <c r="AI312" s="2"/>
    </row>
    <row r="313" spans="1:36" x14ac:dyDescent="0.25">
      <c r="A313" s="1"/>
      <c r="B313" s="1"/>
      <c r="S313" s="1"/>
      <c r="T313" s="1"/>
      <c r="W313" s="1"/>
      <c r="Y313" s="2"/>
      <c r="Z313" s="2"/>
      <c r="AB313" s="3"/>
      <c r="AC313" s="2"/>
      <c r="AG313" s="2"/>
      <c r="AH313" s="2"/>
      <c r="AI313" s="2"/>
    </row>
    <row r="314" spans="1:36" x14ac:dyDescent="0.25">
      <c r="A314" s="1"/>
      <c r="B314" s="1"/>
      <c r="S314" s="1"/>
      <c r="T314" s="1"/>
      <c r="W314" s="1"/>
      <c r="Y314" s="2"/>
      <c r="Z314" s="2"/>
      <c r="AB314" s="3"/>
      <c r="AC314" s="2"/>
      <c r="AG314" s="2"/>
      <c r="AH314" s="2"/>
      <c r="AI314" s="2"/>
    </row>
    <row r="315" spans="1:36" x14ac:dyDescent="0.25">
      <c r="A315" s="1"/>
      <c r="B315" s="1"/>
      <c r="S315" s="1"/>
      <c r="T315" s="1"/>
      <c r="W315" s="1"/>
      <c r="Y315" s="2"/>
      <c r="Z315" s="2"/>
      <c r="AB315" s="3"/>
      <c r="AC315" s="2"/>
      <c r="AG315" s="2"/>
      <c r="AH315" s="2"/>
      <c r="AI315" s="2"/>
    </row>
    <row r="316" spans="1:36" x14ac:dyDescent="0.25">
      <c r="A316" s="1"/>
      <c r="B316" s="1"/>
      <c r="S316" s="1"/>
      <c r="T316" s="1"/>
      <c r="W316" s="1"/>
      <c r="Y316" s="2"/>
      <c r="Z316" s="2"/>
      <c r="AB316" s="3"/>
      <c r="AC316" s="2"/>
      <c r="AG316" s="2"/>
      <c r="AH316" s="2"/>
      <c r="AI316" s="2"/>
    </row>
    <row r="317" spans="1:36" x14ac:dyDescent="0.25">
      <c r="A317" s="1"/>
      <c r="B317" s="1"/>
      <c r="S317" s="1"/>
      <c r="T317" s="1"/>
      <c r="W317" s="1"/>
      <c r="Y317" s="2"/>
      <c r="Z317" s="2"/>
      <c r="AB317" s="3"/>
      <c r="AC317" s="2"/>
      <c r="AG317" s="2"/>
      <c r="AH317" s="2"/>
      <c r="AI317" s="2"/>
    </row>
    <row r="318" spans="1:36" x14ac:dyDescent="0.25">
      <c r="A318" s="1"/>
      <c r="B318" s="1"/>
      <c r="S318" s="1"/>
      <c r="T318" s="1"/>
      <c r="W318" s="1"/>
      <c r="Y318" s="2"/>
      <c r="Z318" s="2"/>
      <c r="AB318" s="3"/>
      <c r="AC318" s="2"/>
      <c r="AG318" s="2"/>
      <c r="AH318" s="2"/>
      <c r="AI318" s="2"/>
    </row>
    <row r="319" spans="1:36" x14ac:dyDescent="0.25">
      <c r="A319" s="1"/>
      <c r="B319" s="1"/>
      <c r="S319" s="1"/>
      <c r="T319" s="1"/>
      <c r="W319" s="1"/>
      <c r="Y319" s="2"/>
      <c r="Z319" s="2"/>
      <c r="AB319" s="3"/>
      <c r="AC319" s="2"/>
      <c r="AG319" s="2"/>
      <c r="AH319" s="2"/>
      <c r="AI319" s="2"/>
    </row>
    <row r="320" spans="1:36" x14ac:dyDescent="0.25">
      <c r="A320" s="1"/>
      <c r="B320" s="1"/>
      <c r="S320" s="1"/>
      <c r="T320" s="1"/>
      <c r="W320" s="1"/>
      <c r="Y320" s="2"/>
      <c r="Z320" s="2"/>
      <c r="AB320" s="3"/>
      <c r="AC320" s="2"/>
      <c r="AG320" s="2"/>
      <c r="AH320" s="2"/>
      <c r="AI320" s="2"/>
    </row>
    <row r="321" spans="1:35" x14ac:dyDescent="0.25">
      <c r="A321" s="1"/>
      <c r="B321" s="1"/>
      <c r="S321" s="1"/>
      <c r="T321" s="1"/>
      <c r="W321" s="1"/>
      <c r="Y321" s="2"/>
      <c r="Z321" s="2"/>
      <c r="AB321" s="3"/>
      <c r="AC321" s="2"/>
      <c r="AG321" s="2"/>
      <c r="AH321" s="2"/>
      <c r="AI321" s="2"/>
    </row>
    <row r="322" spans="1:35" x14ac:dyDescent="0.25">
      <c r="A322" s="1"/>
      <c r="B322" s="1"/>
      <c r="S322" s="1"/>
      <c r="T322" s="1"/>
      <c r="W322" s="1"/>
      <c r="Y322" s="2"/>
      <c r="Z322" s="2"/>
      <c r="AB322" s="3"/>
      <c r="AC322" s="2"/>
      <c r="AG322" s="2"/>
      <c r="AH322" s="2"/>
      <c r="AI322" s="2"/>
    </row>
    <row r="323" spans="1:35" x14ac:dyDescent="0.25">
      <c r="A323" s="1"/>
      <c r="B323" s="1"/>
      <c r="S323" s="1"/>
      <c r="T323" s="1"/>
      <c r="W323" s="1"/>
      <c r="Y323" s="2"/>
      <c r="Z323" s="2"/>
      <c r="AB323" s="3"/>
      <c r="AC323" s="2"/>
      <c r="AG323" s="2"/>
      <c r="AH323" s="2"/>
      <c r="AI323" s="2"/>
    </row>
    <row r="324" spans="1:35" x14ac:dyDescent="0.25">
      <c r="A324" s="1"/>
      <c r="B324" s="1"/>
      <c r="S324" s="1"/>
      <c r="T324" s="1"/>
      <c r="W324" s="1"/>
      <c r="Y324" s="2"/>
      <c r="Z324" s="2"/>
      <c r="AB324" s="3"/>
      <c r="AC324" s="2"/>
      <c r="AG324" s="2"/>
      <c r="AH324" s="2"/>
      <c r="AI324" s="2"/>
    </row>
    <row r="325" spans="1:35" x14ac:dyDescent="0.25">
      <c r="A325" s="1"/>
      <c r="B325" s="1"/>
      <c r="S325" s="1"/>
      <c r="T325" s="1"/>
      <c r="W325" s="1"/>
      <c r="Y325" s="2"/>
      <c r="Z325" s="2"/>
      <c r="AB325" s="3"/>
      <c r="AC325" s="2"/>
      <c r="AG325" s="2"/>
      <c r="AH325" s="2"/>
      <c r="AI325" s="2"/>
    </row>
    <row r="326" spans="1:35" x14ac:dyDescent="0.25">
      <c r="A326" s="1"/>
      <c r="B326" s="1"/>
      <c r="S326" s="1"/>
      <c r="T326" s="1"/>
      <c r="W326" s="1"/>
      <c r="Y326" s="2"/>
      <c r="Z326" s="2"/>
      <c r="AB326" s="3"/>
      <c r="AC326" s="2"/>
      <c r="AG326" s="2"/>
      <c r="AH326" s="2"/>
      <c r="AI326" s="2"/>
    </row>
    <row r="327" spans="1:35" x14ac:dyDescent="0.25">
      <c r="A327" s="1"/>
      <c r="B327" s="1"/>
      <c r="S327" s="1"/>
      <c r="T327" s="1"/>
      <c r="W327" s="1"/>
      <c r="Y327" s="2"/>
      <c r="Z327" s="2"/>
      <c r="AB327" s="3"/>
      <c r="AC327" s="2"/>
      <c r="AG327" s="2"/>
      <c r="AH327" s="2"/>
      <c r="AI327" s="2"/>
    </row>
    <row r="328" spans="1:35" x14ac:dyDescent="0.25">
      <c r="A328" s="1"/>
      <c r="B328" s="1"/>
      <c r="S328" s="1"/>
      <c r="T328" s="1"/>
      <c r="W328" s="1"/>
      <c r="Y328" s="2"/>
      <c r="Z328" s="2"/>
      <c r="AB328" s="3"/>
      <c r="AC328" s="2"/>
      <c r="AG328" s="2"/>
      <c r="AH328" s="2"/>
      <c r="AI328" s="2"/>
    </row>
    <row r="329" spans="1:35" x14ac:dyDescent="0.25">
      <c r="A329" s="1"/>
      <c r="B329" s="1"/>
      <c r="S329" s="1"/>
      <c r="T329" s="1"/>
      <c r="W329" s="1"/>
      <c r="Y329" s="2"/>
      <c r="Z329" s="2"/>
      <c r="AB329" s="3"/>
      <c r="AC329" s="2"/>
      <c r="AG329" s="2"/>
      <c r="AH329" s="2"/>
      <c r="AI329" s="2"/>
    </row>
    <row r="330" spans="1:35" x14ac:dyDescent="0.25">
      <c r="A330" s="1"/>
      <c r="B330" s="1"/>
      <c r="S330" s="1"/>
      <c r="T330" s="1"/>
      <c r="W330" s="1"/>
      <c r="Y330" s="2"/>
      <c r="Z330" s="2"/>
      <c r="AB330" s="3"/>
      <c r="AC330" s="2"/>
      <c r="AG330" s="2"/>
      <c r="AH330" s="2"/>
      <c r="AI330" s="2"/>
    </row>
    <row r="331" spans="1:35" x14ac:dyDescent="0.25">
      <c r="A331" s="1"/>
      <c r="B331" s="1"/>
      <c r="S331" s="1"/>
      <c r="T331" s="1"/>
      <c r="W331" s="1"/>
      <c r="Y331" s="2"/>
      <c r="Z331" s="2"/>
      <c r="AB331" s="3"/>
      <c r="AC331" s="2"/>
      <c r="AG331" s="2"/>
      <c r="AH331" s="2"/>
      <c r="AI331" s="2"/>
    </row>
    <row r="332" spans="1:35" x14ac:dyDescent="0.25">
      <c r="A332" s="1"/>
      <c r="B332" s="1"/>
      <c r="S332" s="1"/>
      <c r="T332" s="1"/>
      <c r="W332" s="1"/>
      <c r="Y332" s="2"/>
      <c r="Z332" s="2"/>
      <c r="AB332" s="3"/>
      <c r="AC332" s="2"/>
      <c r="AG332" s="2"/>
      <c r="AH332" s="2"/>
      <c r="AI332" s="2"/>
    </row>
    <row r="333" spans="1:35" x14ac:dyDescent="0.25">
      <c r="A333" s="1"/>
      <c r="B333" s="1"/>
      <c r="S333" s="1"/>
      <c r="T333" s="1"/>
      <c r="W333" s="1"/>
      <c r="Y333" s="2"/>
      <c r="Z333" s="2"/>
      <c r="AB333" s="3"/>
      <c r="AC333" s="2"/>
      <c r="AG333" s="2"/>
      <c r="AH333" s="2"/>
      <c r="AI333" s="2"/>
    </row>
    <row r="334" spans="1:35" x14ac:dyDescent="0.25">
      <c r="A334" s="1"/>
      <c r="B334" s="1"/>
      <c r="S334" s="1"/>
      <c r="T334" s="1"/>
      <c r="W334" s="1"/>
      <c r="Y334" s="2"/>
      <c r="Z334" s="2"/>
      <c r="AB334" s="3"/>
      <c r="AC334" s="2"/>
      <c r="AG334" s="2"/>
      <c r="AH334" s="2"/>
      <c r="AI334" s="2"/>
    </row>
    <row r="335" spans="1:35" x14ac:dyDescent="0.25">
      <c r="A335" s="1"/>
      <c r="B335" s="1"/>
      <c r="S335" s="1"/>
      <c r="T335" s="1"/>
      <c r="W335" s="1"/>
      <c r="Y335" s="2"/>
      <c r="Z335" s="2"/>
      <c r="AB335" s="3"/>
      <c r="AC335" s="2"/>
      <c r="AG335" s="2"/>
      <c r="AH335" s="2"/>
      <c r="AI335" s="2"/>
    </row>
    <row r="336" spans="1:35" x14ac:dyDescent="0.25">
      <c r="A336" s="1"/>
      <c r="B336" s="1"/>
      <c r="S336" s="1"/>
      <c r="T336" s="1"/>
      <c r="W336" s="1"/>
      <c r="Y336" s="2"/>
      <c r="Z336" s="2"/>
      <c r="AB336" s="3"/>
      <c r="AC336" s="2"/>
      <c r="AG336" s="2"/>
      <c r="AH336" s="2"/>
      <c r="AI336" s="2"/>
    </row>
    <row r="337" spans="1:35" x14ac:dyDescent="0.25">
      <c r="A337" s="1"/>
      <c r="B337" s="1"/>
      <c r="S337" s="1"/>
      <c r="T337" s="1"/>
      <c r="W337" s="1"/>
      <c r="Y337" s="2"/>
      <c r="Z337" s="2"/>
      <c r="AB337" s="3"/>
      <c r="AC337" s="2"/>
      <c r="AG337" s="2"/>
      <c r="AH337" s="2"/>
      <c r="AI337" s="2"/>
    </row>
    <row r="338" spans="1:35" x14ac:dyDescent="0.25">
      <c r="A338" s="1"/>
      <c r="B338" s="1"/>
      <c r="S338" s="1"/>
      <c r="T338" s="1"/>
      <c r="W338" s="1"/>
      <c r="Y338" s="2"/>
      <c r="Z338" s="2"/>
      <c r="AB338" s="3"/>
      <c r="AC338" s="2"/>
      <c r="AG338" s="2"/>
      <c r="AH338" s="2"/>
      <c r="AI338" s="2"/>
    </row>
    <row r="339" spans="1:35" x14ac:dyDescent="0.25">
      <c r="A339" s="1"/>
      <c r="B339" s="1"/>
      <c r="S339" s="1"/>
      <c r="T339" s="1"/>
      <c r="W339" s="1"/>
      <c r="Y339" s="2"/>
      <c r="Z339" s="2"/>
      <c r="AB339" s="3"/>
      <c r="AC339" s="2"/>
      <c r="AG339" s="2"/>
      <c r="AH339" s="2"/>
      <c r="AI339" s="2"/>
    </row>
    <row r="340" spans="1:35" x14ac:dyDescent="0.25">
      <c r="A340" s="1"/>
      <c r="B340" s="1"/>
      <c r="S340" s="1"/>
      <c r="T340" s="1"/>
      <c r="W340" s="1"/>
      <c r="Y340" s="2"/>
      <c r="Z340" s="2"/>
      <c r="AB340" s="3"/>
      <c r="AC340" s="2"/>
      <c r="AG340" s="2"/>
      <c r="AH340" s="2"/>
      <c r="AI340" s="2"/>
    </row>
    <row r="341" spans="1:35" x14ac:dyDescent="0.25">
      <c r="A341" s="1"/>
      <c r="B341" s="1"/>
      <c r="S341" s="1"/>
      <c r="T341" s="1"/>
      <c r="W341" s="1"/>
      <c r="Y341" s="2"/>
      <c r="Z341" s="2"/>
      <c r="AB341" s="3"/>
      <c r="AC341" s="2"/>
      <c r="AG341" s="2"/>
      <c r="AH341" s="2"/>
      <c r="AI341" s="2"/>
    </row>
    <row r="342" spans="1:35" x14ac:dyDescent="0.25">
      <c r="A342" s="1"/>
      <c r="B342" s="1"/>
      <c r="S342" s="1"/>
      <c r="T342" s="1"/>
      <c r="W342" s="1"/>
      <c r="Y342" s="2"/>
      <c r="Z342" s="2"/>
      <c r="AB342" s="3"/>
      <c r="AC342" s="2"/>
      <c r="AG342" s="2"/>
      <c r="AH342" s="2"/>
      <c r="AI342" s="2"/>
    </row>
    <row r="343" spans="1:35" x14ac:dyDescent="0.25">
      <c r="A343" s="1"/>
      <c r="B343" s="1"/>
      <c r="S343" s="1"/>
      <c r="T343" s="1"/>
      <c r="W343" s="1"/>
      <c r="Y343" s="2"/>
      <c r="Z343" s="2"/>
      <c r="AB343" s="3"/>
      <c r="AC343" s="2"/>
      <c r="AG343" s="2"/>
      <c r="AH343" s="2"/>
      <c r="AI343" s="2"/>
    </row>
    <row r="344" spans="1:35" x14ac:dyDescent="0.25">
      <c r="A344" s="1"/>
      <c r="B344" s="1"/>
      <c r="S344" s="1"/>
      <c r="T344" s="1"/>
      <c r="W344" s="1"/>
      <c r="Y344" s="2"/>
      <c r="Z344" s="2"/>
      <c r="AB344" s="3"/>
      <c r="AC344" s="2"/>
      <c r="AG344" s="2"/>
      <c r="AH344" s="2"/>
      <c r="AI344" s="2"/>
    </row>
    <row r="345" spans="1:35" x14ac:dyDescent="0.25">
      <c r="A345" s="1"/>
      <c r="B345" s="1"/>
      <c r="S345" s="1"/>
      <c r="T345" s="1"/>
      <c r="W345" s="1"/>
      <c r="Y345" s="2"/>
      <c r="Z345" s="2"/>
      <c r="AB345" s="3"/>
      <c r="AC345" s="2"/>
      <c r="AG345" s="2"/>
      <c r="AH345" s="2"/>
      <c r="AI345" s="2"/>
    </row>
    <row r="346" spans="1:35" x14ac:dyDescent="0.25">
      <c r="A346" s="1"/>
      <c r="B346" s="1"/>
      <c r="S346" s="1"/>
      <c r="T346" s="1"/>
      <c r="W346" s="1"/>
      <c r="Y346" s="2"/>
      <c r="Z346" s="2"/>
      <c r="AB346" s="3"/>
      <c r="AC346" s="2"/>
      <c r="AG346" s="2"/>
      <c r="AH346" s="2"/>
      <c r="AI346" s="2"/>
    </row>
    <row r="347" spans="1:35" x14ac:dyDescent="0.25">
      <c r="A347" s="1"/>
      <c r="B347" s="1"/>
      <c r="S347" s="1"/>
      <c r="T347" s="1"/>
      <c r="W347" s="1"/>
      <c r="Y347" s="2"/>
      <c r="Z347" s="2"/>
      <c r="AB347" s="3"/>
      <c r="AC347" s="2"/>
      <c r="AG347" s="2"/>
      <c r="AH347" s="2"/>
      <c r="AI347" s="2"/>
    </row>
    <row r="348" spans="1:35" x14ac:dyDescent="0.25">
      <c r="A348" s="1"/>
      <c r="B348" s="1"/>
      <c r="S348" s="1"/>
      <c r="T348" s="1"/>
      <c r="W348" s="1"/>
      <c r="Y348" s="2"/>
      <c r="Z348" s="2"/>
      <c r="AB348" s="3"/>
      <c r="AC348" s="2"/>
      <c r="AG348" s="2"/>
      <c r="AH348" s="2"/>
      <c r="AI348" s="2"/>
    </row>
    <row r="349" spans="1:35" x14ac:dyDescent="0.25">
      <c r="A349" s="1"/>
      <c r="B349" s="1"/>
      <c r="S349" s="1"/>
      <c r="T349" s="1"/>
      <c r="W349" s="1"/>
      <c r="Y349" s="2"/>
      <c r="Z349" s="2"/>
      <c r="AB349" s="3"/>
      <c r="AC349" s="2"/>
      <c r="AG349" s="2"/>
      <c r="AH349" s="2"/>
      <c r="AI349" s="2"/>
    </row>
    <row r="350" spans="1:35" x14ac:dyDescent="0.25">
      <c r="A350" s="1"/>
      <c r="B350" s="1"/>
      <c r="S350" s="1"/>
      <c r="T350" s="1"/>
      <c r="W350" s="1"/>
      <c r="Y350" s="2"/>
      <c r="Z350" s="2"/>
      <c r="AB350" s="3"/>
      <c r="AC350" s="2"/>
      <c r="AG350" s="2"/>
      <c r="AH350" s="2"/>
      <c r="AI350" s="2"/>
    </row>
    <row r="351" spans="1:35" x14ac:dyDescent="0.25">
      <c r="A351" s="1"/>
      <c r="B351" s="1"/>
      <c r="S351" s="1"/>
      <c r="T351" s="1"/>
      <c r="W351" s="1"/>
      <c r="Y351" s="2"/>
      <c r="Z351" s="2"/>
      <c r="AB351" s="3"/>
      <c r="AC351" s="2"/>
      <c r="AG351" s="2"/>
      <c r="AH351" s="2"/>
      <c r="AI351" s="2"/>
    </row>
    <row r="352" spans="1:35" x14ac:dyDescent="0.25">
      <c r="A352" s="1"/>
      <c r="B352" s="1"/>
      <c r="S352" s="1"/>
      <c r="T352" s="1"/>
      <c r="W352" s="1"/>
      <c r="Y352" s="2"/>
      <c r="Z352" s="2"/>
      <c r="AB352" s="3"/>
      <c r="AC352" s="2"/>
      <c r="AG352" s="2"/>
      <c r="AH352" s="2"/>
      <c r="AI352" s="2"/>
    </row>
    <row r="353" spans="1:35" x14ac:dyDescent="0.25">
      <c r="A353" s="1"/>
      <c r="B353" s="1"/>
      <c r="S353" s="1"/>
      <c r="T353" s="1"/>
      <c r="W353" s="1"/>
      <c r="Y353" s="2"/>
      <c r="Z353" s="2"/>
      <c r="AB353" s="3"/>
      <c r="AC353" s="2"/>
      <c r="AG353" s="2"/>
      <c r="AH353" s="2"/>
      <c r="AI353" s="2"/>
    </row>
    <row r="354" spans="1:35" x14ac:dyDescent="0.25">
      <c r="A354" s="1"/>
      <c r="B354" s="1"/>
      <c r="S354" s="1"/>
      <c r="T354" s="1"/>
      <c r="W354" s="1"/>
      <c r="Y354" s="2"/>
      <c r="Z354" s="2"/>
      <c r="AB354" s="3"/>
      <c r="AC354" s="2"/>
      <c r="AG354" s="2"/>
      <c r="AH354" s="2"/>
      <c r="AI354" s="2"/>
    </row>
    <row r="355" spans="1:35" x14ac:dyDescent="0.25">
      <c r="A355" s="1"/>
      <c r="B355" s="1"/>
      <c r="S355" s="1"/>
      <c r="T355" s="1"/>
      <c r="W355" s="1"/>
      <c r="Y355" s="2"/>
      <c r="Z355" s="2"/>
      <c r="AB355" s="3"/>
      <c r="AC355" s="2"/>
      <c r="AG355" s="2"/>
      <c r="AH355" s="2"/>
      <c r="AI355" s="2"/>
    </row>
    <row r="356" spans="1:35" x14ac:dyDescent="0.25">
      <c r="A356" s="1"/>
      <c r="B356" s="1"/>
      <c r="S356" s="1"/>
      <c r="T356" s="1"/>
      <c r="W356" s="1"/>
      <c r="Y356" s="2"/>
      <c r="Z356" s="2"/>
      <c r="AB356" s="3"/>
      <c r="AC356" s="2"/>
      <c r="AG356" s="2"/>
      <c r="AH356" s="2"/>
      <c r="AI356" s="2"/>
    </row>
    <row r="357" spans="1:35" x14ac:dyDescent="0.25">
      <c r="A357" s="1"/>
      <c r="B357" s="1"/>
      <c r="S357" s="1"/>
      <c r="T357" s="1"/>
      <c r="W357" s="1"/>
      <c r="Y357" s="2"/>
      <c r="Z357" s="2"/>
      <c r="AB357" s="3"/>
      <c r="AC357" s="2"/>
      <c r="AG357" s="2"/>
      <c r="AH357" s="2"/>
      <c r="AI357" s="2"/>
    </row>
    <row r="358" spans="1:35" x14ac:dyDescent="0.25">
      <c r="A358" s="1"/>
      <c r="B358" s="1"/>
      <c r="S358" s="1"/>
      <c r="T358" s="1"/>
      <c r="W358" s="1"/>
      <c r="Y358" s="2"/>
      <c r="Z358" s="2"/>
      <c r="AB358" s="3"/>
      <c r="AC358" s="2"/>
      <c r="AG358" s="2"/>
      <c r="AH358" s="2"/>
      <c r="AI358" s="2"/>
    </row>
    <row r="359" spans="1:35" x14ac:dyDescent="0.25">
      <c r="A359" s="1"/>
      <c r="B359" s="1"/>
      <c r="S359" s="1"/>
      <c r="T359" s="1"/>
      <c r="W359" s="1"/>
      <c r="Y359" s="2"/>
      <c r="Z359" s="2"/>
      <c r="AB359" s="3"/>
      <c r="AC359" s="2"/>
      <c r="AG359" s="2"/>
      <c r="AH359" s="2"/>
      <c r="AI359" s="2"/>
    </row>
    <row r="360" spans="1:35" x14ac:dyDescent="0.25">
      <c r="A360" s="1"/>
      <c r="B360" s="1"/>
      <c r="S360" s="1"/>
      <c r="T360" s="1"/>
      <c r="W360" s="1"/>
      <c r="Y360" s="2"/>
      <c r="Z360" s="2"/>
      <c r="AB360" s="3"/>
      <c r="AC360" s="2"/>
      <c r="AG360" s="2"/>
      <c r="AH360" s="2"/>
      <c r="AI360" s="2"/>
    </row>
    <row r="361" spans="1:35" x14ac:dyDescent="0.25">
      <c r="A361" s="1"/>
      <c r="B361" s="1"/>
      <c r="S361" s="1"/>
      <c r="T361" s="1"/>
      <c r="W361" s="1"/>
      <c r="Y361" s="2"/>
      <c r="Z361" s="2"/>
      <c r="AB361" s="3"/>
      <c r="AC361" s="2"/>
      <c r="AG361" s="2"/>
      <c r="AH361" s="2"/>
      <c r="AI361" s="2"/>
    </row>
    <row r="362" spans="1:35" x14ac:dyDescent="0.25">
      <c r="A362" s="1"/>
      <c r="B362" s="1"/>
      <c r="S362" s="1"/>
      <c r="T362" s="1"/>
      <c r="W362" s="1"/>
      <c r="Y362" s="2"/>
      <c r="Z362" s="2"/>
      <c r="AB362" s="3"/>
      <c r="AC362" s="2"/>
      <c r="AG362" s="2"/>
      <c r="AH362" s="2"/>
      <c r="AI362" s="2"/>
    </row>
    <row r="363" spans="1:35" x14ac:dyDescent="0.25">
      <c r="A363" s="1"/>
      <c r="B363" s="1"/>
      <c r="S363" s="1"/>
      <c r="T363" s="1"/>
      <c r="W363" s="1"/>
      <c r="Y363" s="2"/>
      <c r="Z363" s="2"/>
      <c r="AB363" s="3"/>
      <c r="AC363" s="2"/>
      <c r="AG363" s="2"/>
      <c r="AH363" s="2"/>
      <c r="AI363" s="2"/>
    </row>
    <row r="364" spans="1:35" x14ac:dyDescent="0.25">
      <c r="A364" s="1"/>
      <c r="B364" s="1"/>
      <c r="S364" s="1"/>
      <c r="T364" s="1"/>
      <c r="W364" s="1"/>
      <c r="Y364" s="2"/>
      <c r="Z364" s="2"/>
      <c r="AB364" s="3"/>
      <c r="AC364" s="2"/>
      <c r="AG364" s="2"/>
      <c r="AH364" s="2"/>
      <c r="AI364" s="2"/>
    </row>
    <row r="365" spans="1:35" x14ac:dyDescent="0.25">
      <c r="A365" s="1"/>
      <c r="B365" s="1"/>
      <c r="S365" s="1"/>
      <c r="T365" s="1"/>
      <c r="W365" s="1"/>
      <c r="Y365" s="2"/>
      <c r="Z365" s="2"/>
      <c r="AB365" s="3"/>
      <c r="AC365" s="2"/>
      <c r="AG365" s="2"/>
      <c r="AH365" s="2"/>
      <c r="AI365" s="2"/>
    </row>
    <row r="366" spans="1:35" x14ac:dyDescent="0.25">
      <c r="A366" s="1"/>
      <c r="B366" s="1"/>
      <c r="S366" s="1"/>
      <c r="T366" s="1"/>
      <c r="W366" s="1"/>
      <c r="Y366" s="2"/>
      <c r="Z366" s="2"/>
      <c r="AB366" s="3"/>
      <c r="AC366" s="2"/>
      <c r="AG366" s="2"/>
      <c r="AH366" s="2"/>
      <c r="AI366" s="2"/>
    </row>
    <row r="367" spans="1:35" x14ac:dyDescent="0.25">
      <c r="A367" s="1"/>
      <c r="B367" s="1"/>
      <c r="S367" s="1"/>
      <c r="T367" s="1"/>
      <c r="W367" s="1"/>
      <c r="Y367" s="2"/>
      <c r="Z367" s="2"/>
      <c r="AB367" s="3"/>
      <c r="AC367" s="2"/>
      <c r="AG367" s="2"/>
      <c r="AH367" s="2"/>
      <c r="AI367" s="2"/>
    </row>
    <row r="368" spans="1:35" x14ac:dyDescent="0.25">
      <c r="A368" s="1"/>
      <c r="B368" s="1"/>
      <c r="S368" s="1"/>
      <c r="T368" s="1"/>
      <c r="W368" s="1"/>
      <c r="Y368" s="2"/>
      <c r="Z368" s="2"/>
      <c r="AB368" s="3"/>
      <c r="AC368" s="2"/>
      <c r="AG368" s="2"/>
      <c r="AH368" s="2"/>
      <c r="AI368" s="2"/>
    </row>
    <row r="369" spans="1:35" x14ac:dyDescent="0.25">
      <c r="A369" s="1"/>
      <c r="B369" s="1"/>
      <c r="S369" s="1"/>
      <c r="T369" s="1"/>
      <c r="W369" s="1"/>
      <c r="Y369" s="2"/>
      <c r="Z369" s="2"/>
      <c r="AB369" s="3"/>
      <c r="AC369" s="2"/>
      <c r="AG369" s="2"/>
      <c r="AH369" s="2"/>
      <c r="AI369" s="2"/>
    </row>
    <row r="370" spans="1:35" x14ac:dyDescent="0.25">
      <c r="A370" s="1"/>
      <c r="B370" s="1"/>
      <c r="S370" s="1"/>
      <c r="T370" s="1"/>
      <c r="W370" s="1"/>
      <c r="Y370" s="2"/>
      <c r="Z370" s="2"/>
      <c r="AB370" s="3"/>
      <c r="AC370" s="2"/>
      <c r="AG370" s="2"/>
      <c r="AH370" s="2"/>
      <c r="AI370" s="2"/>
    </row>
    <row r="371" spans="1:35" x14ac:dyDescent="0.25">
      <c r="A371" s="1"/>
      <c r="B371" s="1"/>
      <c r="S371" s="1"/>
      <c r="T371" s="1"/>
      <c r="W371" s="1"/>
      <c r="Y371" s="2"/>
      <c r="Z371" s="2"/>
      <c r="AB371" s="3"/>
      <c r="AC371" s="2"/>
      <c r="AG371" s="2"/>
      <c r="AH371" s="2"/>
      <c r="AI371" s="2"/>
    </row>
    <row r="372" spans="1:35" x14ac:dyDescent="0.25">
      <c r="A372" s="1"/>
      <c r="B372" s="1"/>
      <c r="S372" s="1"/>
      <c r="T372" s="1"/>
      <c r="W372" s="1"/>
      <c r="Y372" s="2"/>
      <c r="Z372" s="2"/>
      <c r="AB372" s="3"/>
      <c r="AC372" s="2"/>
      <c r="AG372" s="2"/>
      <c r="AH372" s="2"/>
      <c r="AI372" s="2"/>
    </row>
    <row r="373" spans="1:35" x14ac:dyDescent="0.25">
      <c r="A373" s="1"/>
      <c r="B373" s="1"/>
      <c r="S373" s="1"/>
      <c r="T373" s="1"/>
      <c r="W373" s="1"/>
      <c r="Y373" s="2"/>
      <c r="Z373" s="2"/>
      <c r="AB373" s="3"/>
      <c r="AC373" s="2"/>
      <c r="AG373" s="2"/>
      <c r="AH373" s="2"/>
      <c r="AI373" s="2"/>
    </row>
    <row r="374" spans="1:35" x14ac:dyDescent="0.25">
      <c r="A374" s="1"/>
      <c r="B374" s="1"/>
      <c r="S374" s="1"/>
      <c r="T374" s="1"/>
      <c r="W374" s="1"/>
      <c r="Y374" s="2"/>
      <c r="Z374" s="2"/>
      <c r="AB374" s="3"/>
      <c r="AC374" s="2"/>
      <c r="AG374" s="2"/>
      <c r="AH374" s="2"/>
      <c r="AI374" s="2"/>
    </row>
    <row r="375" spans="1:35" x14ac:dyDescent="0.25">
      <c r="A375" s="1"/>
      <c r="B375" s="1"/>
      <c r="S375" s="1"/>
      <c r="T375" s="1"/>
      <c r="W375" s="1"/>
      <c r="Y375" s="2"/>
      <c r="Z375" s="2"/>
      <c r="AB375" s="3"/>
      <c r="AC375" s="2"/>
      <c r="AG375" s="2"/>
      <c r="AH375" s="2"/>
      <c r="AI375" s="2"/>
    </row>
    <row r="376" spans="1:35" x14ac:dyDescent="0.25">
      <c r="A376" s="1"/>
      <c r="B376" s="1"/>
      <c r="S376" s="1"/>
      <c r="T376" s="1"/>
      <c r="W376" s="1"/>
      <c r="Y376" s="2"/>
      <c r="Z376" s="2"/>
      <c r="AB376" s="3"/>
      <c r="AC376" s="2"/>
      <c r="AG376" s="2"/>
      <c r="AH376" s="2"/>
      <c r="AI376" s="2"/>
    </row>
    <row r="377" spans="1:35" x14ac:dyDescent="0.25">
      <c r="A377" s="1"/>
      <c r="B377" s="1"/>
      <c r="S377" s="1"/>
      <c r="T377" s="1"/>
      <c r="W377" s="1"/>
      <c r="Y377" s="2"/>
      <c r="Z377" s="2"/>
      <c r="AB377" s="3"/>
      <c r="AC377" s="2"/>
      <c r="AG377" s="2"/>
      <c r="AH377" s="2"/>
      <c r="AI377" s="2"/>
    </row>
    <row r="378" spans="1:35" x14ac:dyDescent="0.25">
      <c r="A378" s="1"/>
      <c r="B378" s="1"/>
      <c r="S378" s="1"/>
      <c r="T378" s="1"/>
      <c r="W378" s="1"/>
      <c r="Y378" s="2"/>
      <c r="Z378" s="2"/>
      <c r="AB378" s="3"/>
      <c r="AC378" s="2"/>
      <c r="AG378" s="2"/>
      <c r="AH378" s="2"/>
      <c r="AI378" s="2"/>
    </row>
    <row r="379" spans="1:35" x14ac:dyDescent="0.25">
      <c r="A379" s="1"/>
      <c r="B379" s="1"/>
      <c r="S379" s="1"/>
      <c r="T379" s="1"/>
      <c r="W379" s="1"/>
      <c r="Y379" s="2"/>
      <c r="Z379" s="2"/>
      <c r="AB379" s="3"/>
      <c r="AC379" s="2"/>
      <c r="AG379" s="2"/>
      <c r="AH379" s="2"/>
      <c r="AI379" s="2"/>
    </row>
    <row r="380" spans="1:35" x14ac:dyDescent="0.25">
      <c r="A380" s="1"/>
      <c r="B380" s="1"/>
      <c r="S380" s="1"/>
      <c r="T380" s="1"/>
      <c r="W380" s="1"/>
      <c r="Y380" s="2"/>
      <c r="Z380" s="2"/>
      <c r="AB380" s="3"/>
      <c r="AC380" s="2"/>
      <c r="AG380" s="2"/>
      <c r="AH380" s="2"/>
      <c r="AI380" s="2"/>
    </row>
    <row r="381" spans="1:35" x14ac:dyDescent="0.25">
      <c r="A381" s="1"/>
      <c r="B381" s="1"/>
      <c r="S381" s="1"/>
      <c r="T381" s="1"/>
      <c r="W381" s="1"/>
      <c r="Y381" s="2"/>
      <c r="Z381" s="2"/>
      <c r="AB381" s="3"/>
      <c r="AC381" s="2"/>
      <c r="AG381" s="2"/>
      <c r="AH381" s="2"/>
      <c r="AI381" s="2"/>
    </row>
    <row r="382" spans="1:35" x14ac:dyDescent="0.25">
      <c r="A382" s="1"/>
      <c r="B382" s="1"/>
      <c r="S382" s="1"/>
      <c r="T382" s="1"/>
      <c r="W382" s="1"/>
      <c r="Y382" s="2"/>
      <c r="Z382" s="2"/>
      <c r="AB382" s="3"/>
      <c r="AC382" s="2"/>
      <c r="AG382" s="2"/>
      <c r="AH382" s="2"/>
      <c r="AI382" s="2"/>
    </row>
    <row r="383" spans="1:35" x14ac:dyDescent="0.25">
      <c r="A383" s="1"/>
      <c r="B383" s="1"/>
      <c r="S383" s="1"/>
      <c r="T383" s="1"/>
      <c r="W383" s="1"/>
      <c r="Y383" s="2"/>
      <c r="Z383" s="2"/>
      <c r="AB383" s="3"/>
      <c r="AC383" s="2"/>
      <c r="AG383" s="2"/>
      <c r="AH383" s="2"/>
      <c r="AI383" s="2"/>
    </row>
    <row r="384" spans="1:35" x14ac:dyDescent="0.25">
      <c r="A384" s="1"/>
      <c r="B384" s="1"/>
      <c r="S384" s="1"/>
      <c r="T384" s="1"/>
      <c r="W384" s="1"/>
      <c r="Y384" s="2"/>
      <c r="Z384" s="2"/>
      <c r="AB384" s="3"/>
      <c r="AC384" s="2"/>
      <c r="AG384" s="2"/>
      <c r="AH384" s="2"/>
      <c r="AI384" s="2"/>
    </row>
    <row r="385" spans="1:35" x14ac:dyDescent="0.25">
      <c r="A385" s="1"/>
      <c r="B385" s="1"/>
      <c r="S385" s="1"/>
      <c r="T385" s="1"/>
      <c r="W385" s="1"/>
      <c r="Y385" s="2"/>
      <c r="Z385" s="2"/>
      <c r="AB385" s="3"/>
      <c r="AC385" s="2"/>
      <c r="AG385" s="2"/>
      <c r="AH385" s="2"/>
      <c r="AI385" s="2"/>
    </row>
    <row r="386" spans="1:35" x14ac:dyDescent="0.25">
      <c r="A386" s="1"/>
      <c r="B386" s="1"/>
      <c r="S386" s="1"/>
      <c r="T386" s="1"/>
      <c r="W386" s="1"/>
      <c r="Y386" s="2"/>
      <c r="Z386" s="2"/>
      <c r="AB386" s="3"/>
      <c r="AC386" s="2"/>
      <c r="AG386" s="2"/>
      <c r="AH386" s="2"/>
      <c r="AI386" s="2"/>
    </row>
    <row r="387" spans="1:35" x14ac:dyDescent="0.25">
      <c r="A387" s="1"/>
      <c r="B387" s="1"/>
      <c r="S387" s="1"/>
      <c r="T387" s="1"/>
      <c r="W387" s="1"/>
      <c r="Y387" s="2"/>
      <c r="Z387" s="2"/>
      <c r="AB387" s="3"/>
      <c r="AC387" s="2"/>
      <c r="AG387" s="2"/>
      <c r="AH387" s="2"/>
      <c r="AI387" s="2"/>
    </row>
    <row r="388" spans="1:35" x14ac:dyDescent="0.25">
      <c r="A388" s="1"/>
      <c r="B388" s="1"/>
      <c r="S388" s="1"/>
      <c r="T388" s="1"/>
      <c r="W388" s="1"/>
      <c r="Y388" s="2"/>
      <c r="Z388" s="2"/>
      <c r="AB388" s="3"/>
      <c r="AC388" s="2"/>
      <c r="AG388" s="2"/>
      <c r="AH388" s="2"/>
      <c r="AI388" s="2"/>
    </row>
    <row r="389" spans="1:35" x14ac:dyDescent="0.25">
      <c r="A389" s="1"/>
      <c r="B389" s="1"/>
      <c r="S389" s="1"/>
      <c r="T389" s="1"/>
      <c r="W389" s="1"/>
      <c r="Y389" s="2"/>
      <c r="Z389" s="2"/>
      <c r="AB389" s="3"/>
      <c r="AC389" s="2"/>
      <c r="AG389" s="2"/>
      <c r="AH389" s="2"/>
      <c r="AI389" s="2"/>
    </row>
    <row r="390" spans="1:35" x14ac:dyDescent="0.25">
      <c r="A390" s="1"/>
      <c r="B390" s="1"/>
      <c r="S390" s="1"/>
      <c r="T390" s="1"/>
      <c r="W390" s="1"/>
      <c r="Y390" s="2"/>
      <c r="Z390" s="2"/>
      <c r="AB390" s="3"/>
      <c r="AC390" s="2"/>
      <c r="AG390" s="2"/>
      <c r="AH390" s="2"/>
      <c r="AI390" s="2"/>
    </row>
    <row r="391" spans="1:35" x14ac:dyDescent="0.25">
      <c r="A391" s="1"/>
      <c r="B391" s="1"/>
      <c r="S391" s="1"/>
      <c r="T391" s="1"/>
      <c r="W391" s="1"/>
      <c r="Y391" s="2"/>
      <c r="Z391" s="2"/>
      <c r="AB391" s="3"/>
      <c r="AC391" s="2"/>
      <c r="AG391" s="2"/>
      <c r="AH391" s="2"/>
      <c r="AI391" s="2"/>
    </row>
    <row r="392" spans="1:35" x14ac:dyDescent="0.25">
      <c r="A392" s="1"/>
      <c r="B392" s="1"/>
      <c r="S392" s="1"/>
      <c r="T392" s="1"/>
      <c r="W392" s="1"/>
      <c r="Y392" s="2"/>
      <c r="Z392" s="2"/>
      <c r="AB392" s="3"/>
      <c r="AC392" s="2"/>
      <c r="AG392" s="2"/>
      <c r="AH392" s="2"/>
      <c r="AI392" s="2"/>
    </row>
    <row r="393" spans="1:35" x14ac:dyDescent="0.25">
      <c r="A393" s="1"/>
      <c r="B393" s="1"/>
      <c r="S393" s="1"/>
      <c r="T393" s="1"/>
      <c r="W393" s="1"/>
      <c r="Y393" s="2"/>
      <c r="Z393" s="2"/>
      <c r="AB393" s="3"/>
      <c r="AC393" s="2"/>
      <c r="AG393" s="2"/>
      <c r="AH393" s="2"/>
      <c r="AI393" s="2"/>
    </row>
    <row r="394" spans="1:35" x14ac:dyDescent="0.25">
      <c r="A394" s="1"/>
      <c r="B394" s="1"/>
      <c r="S394" s="1"/>
      <c r="T394" s="1"/>
      <c r="W394" s="1"/>
      <c r="Y394" s="2"/>
      <c r="Z394" s="2"/>
      <c r="AB394" s="3"/>
      <c r="AC394" s="2"/>
      <c r="AG394" s="2"/>
      <c r="AH394" s="2"/>
      <c r="AI394" s="2"/>
    </row>
    <row r="395" spans="1:35" x14ac:dyDescent="0.25">
      <c r="A395" s="1"/>
      <c r="B395" s="1"/>
      <c r="S395" s="1"/>
      <c r="T395" s="1"/>
      <c r="W395" s="1"/>
      <c r="Y395" s="2"/>
      <c r="Z395" s="2"/>
      <c r="AB395" s="3"/>
      <c r="AC395" s="2"/>
      <c r="AG395" s="2"/>
      <c r="AH395" s="2"/>
      <c r="AI395" s="2"/>
    </row>
    <row r="396" spans="1:35" x14ac:dyDescent="0.25">
      <c r="A396" s="1"/>
      <c r="B396" s="1"/>
      <c r="S396" s="1"/>
      <c r="T396" s="1"/>
      <c r="W396" s="1"/>
      <c r="Y396" s="2"/>
      <c r="Z396" s="2"/>
      <c r="AB396" s="3"/>
      <c r="AC396" s="2"/>
      <c r="AG396" s="2"/>
      <c r="AH396" s="2"/>
      <c r="AI396" s="2"/>
    </row>
    <row r="397" spans="1:35" x14ac:dyDescent="0.25">
      <c r="A397" s="1"/>
      <c r="B397" s="1"/>
      <c r="S397" s="1"/>
      <c r="T397" s="1"/>
      <c r="W397" s="1"/>
      <c r="Y397" s="2"/>
      <c r="Z397" s="2"/>
      <c r="AB397" s="3"/>
      <c r="AC397" s="2"/>
      <c r="AG397" s="2"/>
      <c r="AH397" s="2"/>
      <c r="AI397" s="2"/>
    </row>
    <row r="398" spans="1:35" x14ac:dyDescent="0.25">
      <c r="A398" s="1"/>
      <c r="B398" s="1"/>
      <c r="S398" s="1"/>
      <c r="T398" s="1"/>
      <c r="W398" s="1"/>
      <c r="Y398" s="2"/>
      <c r="Z398" s="2"/>
      <c r="AB398" s="3"/>
      <c r="AC398" s="2"/>
      <c r="AG398" s="2"/>
      <c r="AH398" s="2"/>
      <c r="AI398" s="2"/>
    </row>
    <row r="399" spans="1:35" x14ac:dyDescent="0.25">
      <c r="A399" s="1"/>
      <c r="B399" s="1"/>
      <c r="S399" s="1"/>
      <c r="T399" s="1"/>
      <c r="W399" s="1"/>
      <c r="Y399" s="2"/>
      <c r="Z399" s="2"/>
      <c r="AB399" s="3"/>
      <c r="AC399" s="2"/>
      <c r="AG399" s="2"/>
      <c r="AH399" s="2"/>
      <c r="AI399" s="2"/>
    </row>
    <row r="400" spans="1:35" x14ac:dyDescent="0.25">
      <c r="A400" s="1"/>
      <c r="B400" s="1"/>
      <c r="S400" s="1"/>
      <c r="T400" s="1"/>
      <c r="W400" s="1"/>
      <c r="Y400" s="2"/>
      <c r="Z400" s="2"/>
      <c r="AB400" s="3"/>
      <c r="AC400" s="2"/>
      <c r="AG400" s="2"/>
      <c r="AH400" s="2"/>
      <c r="AI400" s="2"/>
    </row>
    <row r="401" spans="1:35" x14ac:dyDescent="0.25">
      <c r="A401" s="1"/>
      <c r="B401" s="1"/>
      <c r="S401" s="1"/>
      <c r="T401" s="1"/>
      <c r="W401" s="1"/>
      <c r="Y401" s="2"/>
      <c r="Z401" s="2"/>
      <c r="AB401" s="3"/>
      <c r="AC401" s="2"/>
      <c r="AG401" s="2"/>
      <c r="AH401" s="2"/>
      <c r="AI401" s="2"/>
    </row>
    <row r="402" spans="1:35" x14ac:dyDescent="0.25">
      <c r="A402" s="1"/>
      <c r="B402" s="1"/>
      <c r="S402" s="1"/>
      <c r="T402" s="1"/>
      <c r="W402" s="1"/>
      <c r="Y402" s="2"/>
      <c r="Z402" s="2"/>
      <c r="AB402" s="3"/>
      <c r="AC402" s="2"/>
      <c r="AG402" s="2"/>
      <c r="AH402" s="2"/>
      <c r="AI402" s="2"/>
    </row>
    <row r="403" spans="1:35" x14ac:dyDescent="0.25">
      <c r="A403" s="1"/>
      <c r="B403" s="1"/>
      <c r="S403" s="1"/>
      <c r="T403" s="1"/>
      <c r="W403" s="1"/>
      <c r="Y403" s="2"/>
      <c r="Z403" s="2"/>
      <c r="AB403" s="3"/>
      <c r="AC403" s="2"/>
      <c r="AG403" s="2"/>
      <c r="AH403" s="2"/>
      <c r="AI403" s="2"/>
    </row>
    <row r="404" spans="1:35" x14ac:dyDescent="0.25">
      <c r="A404" s="1"/>
      <c r="B404" s="1"/>
      <c r="S404" s="1"/>
      <c r="T404" s="1"/>
      <c r="W404" s="1"/>
      <c r="Y404" s="2"/>
      <c r="Z404" s="2"/>
      <c r="AB404" s="3"/>
      <c r="AC404" s="2"/>
      <c r="AG404" s="2"/>
      <c r="AH404" s="2"/>
      <c r="AI404" s="2"/>
    </row>
    <row r="405" spans="1:35" x14ac:dyDescent="0.25">
      <c r="A405" s="1"/>
      <c r="B405" s="1"/>
      <c r="S405" s="1"/>
      <c r="T405" s="1"/>
      <c r="W405" s="1"/>
      <c r="Y405" s="2"/>
      <c r="Z405" s="2"/>
      <c r="AB405" s="3"/>
      <c r="AC405" s="2"/>
      <c r="AG405" s="2"/>
      <c r="AH405" s="2"/>
      <c r="AI405" s="2"/>
    </row>
    <row r="406" spans="1:35" x14ac:dyDescent="0.25">
      <c r="A406" s="1"/>
      <c r="B406" s="1"/>
      <c r="S406" s="1"/>
      <c r="T406" s="1"/>
      <c r="W406" s="1"/>
      <c r="Y406" s="2"/>
      <c r="Z406" s="2"/>
      <c r="AB406" s="3"/>
      <c r="AC406" s="2"/>
      <c r="AG406" s="2"/>
      <c r="AH406" s="2"/>
      <c r="AI406" s="2"/>
    </row>
    <row r="407" spans="1:35" x14ac:dyDescent="0.25">
      <c r="A407" s="1"/>
      <c r="B407" s="1"/>
      <c r="S407" s="1"/>
      <c r="T407" s="1"/>
      <c r="W407" s="1"/>
      <c r="Y407" s="2"/>
      <c r="Z407" s="2"/>
      <c r="AB407" s="3"/>
      <c r="AC407" s="2"/>
      <c r="AG407" s="2"/>
      <c r="AH407" s="2"/>
      <c r="AI407" s="2"/>
    </row>
    <row r="408" spans="1:35" x14ac:dyDescent="0.25">
      <c r="A408" s="1"/>
      <c r="B408" s="1"/>
      <c r="S408" s="1"/>
      <c r="T408" s="1"/>
      <c r="W408" s="1"/>
      <c r="Y408" s="2"/>
      <c r="Z408" s="2"/>
      <c r="AB408" s="3"/>
      <c r="AC408" s="2"/>
      <c r="AG408" s="2"/>
      <c r="AH408" s="2"/>
      <c r="AI408" s="2"/>
    </row>
    <row r="409" spans="1:35" x14ac:dyDescent="0.25">
      <c r="A409" s="1"/>
      <c r="B409" s="1"/>
      <c r="S409" s="1"/>
      <c r="T409" s="1"/>
      <c r="W409" s="1"/>
      <c r="Y409" s="2"/>
      <c r="Z409" s="2"/>
      <c r="AB409" s="3"/>
      <c r="AC409" s="2"/>
      <c r="AG409" s="2"/>
      <c r="AH409" s="2"/>
      <c r="AI409" s="2"/>
    </row>
    <row r="410" spans="1:35" x14ac:dyDescent="0.25">
      <c r="A410" s="1"/>
      <c r="B410" s="1"/>
      <c r="S410" s="1"/>
      <c r="T410" s="1"/>
      <c r="W410" s="1"/>
      <c r="Y410" s="2"/>
      <c r="Z410" s="2"/>
      <c r="AB410" s="3"/>
      <c r="AC410" s="2"/>
      <c r="AG410" s="2"/>
      <c r="AH410" s="2"/>
      <c r="AI410" s="2"/>
    </row>
    <row r="411" spans="1:35" x14ac:dyDescent="0.25">
      <c r="A411" s="1"/>
      <c r="B411" s="1"/>
      <c r="S411" s="1"/>
      <c r="T411" s="1"/>
      <c r="W411" s="1"/>
      <c r="Y411" s="2"/>
      <c r="Z411" s="2"/>
      <c r="AB411" s="3"/>
      <c r="AC411" s="2"/>
      <c r="AG411" s="2"/>
      <c r="AH411" s="2"/>
      <c r="AI411" s="2"/>
    </row>
    <row r="412" spans="1:35" x14ac:dyDescent="0.25">
      <c r="A412" s="1"/>
      <c r="B412" s="1"/>
      <c r="S412" s="1"/>
      <c r="T412" s="1"/>
      <c r="W412" s="1"/>
      <c r="Y412" s="2"/>
      <c r="Z412" s="2"/>
      <c r="AB412" s="3"/>
      <c r="AC412" s="2"/>
      <c r="AG412" s="2"/>
      <c r="AH412" s="2"/>
      <c r="AI412" s="2"/>
    </row>
    <row r="413" spans="1:35" x14ac:dyDescent="0.25">
      <c r="A413" s="1"/>
      <c r="B413" s="1"/>
      <c r="S413" s="1"/>
      <c r="T413" s="1"/>
      <c r="W413" s="1"/>
      <c r="Y413" s="2"/>
      <c r="Z413" s="2"/>
      <c r="AB413" s="3"/>
      <c r="AC413" s="2"/>
      <c r="AG413" s="2"/>
      <c r="AH413" s="2"/>
      <c r="AI413" s="2"/>
    </row>
    <row r="414" spans="1:35" x14ac:dyDescent="0.25">
      <c r="A414" s="1"/>
      <c r="B414" s="1"/>
      <c r="S414" s="1"/>
      <c r="T414" s="1"/>
      <c r="W414" s="1"/>
      <c r="Y414" s="2"/>
      <c r="Z414" s="2"/>
      <c r="AB414" s="3"/>
      <c r="AC414" s="2"/>
      <c r="AG414" s="2"/>
      <c r="AH414" s="2"/>
      <c r="AI414" s="2"/>
    </row>
    <row r="415" spans="1:35" x14ac:dyDescent="0.25">
      <c r="A415" s="1"/>
      <c r="B415" s="1"/>
      <c r="S415" s="1"/>
      <c r="T415" s="1"/>
      <c r="W415" s="1"/>
      <c r="Y415" s="2"/>
      <c r="Z415" s="2"/>
      <c r="AB415" s="3"/>
      <c r="AC415" s="2"/>
      <c r="AG415" s="2"/>
      <c r="AH415" s="2"/>
      <c r="AI415" s="2"/>
    </row>
    <row r="416" spans="1:35" x14ac:dyDescent="0.25">
      <c r="A416" s="1"/>
      <c r="B416" s="1"/>
      <c r="S416" s="1"/>
      <c r="T416" s="1"/>
      <c r="W416" s="1"/>
      <c r="Y416" s="2"/>
      <c r="Z416" s="2"/>
      <c r="AB416" s="3"/>
      <c r="AC416" s="2"/>
      <c r="AG416" s="2"/>
      <c r="AH416" s="2"/>
      <c r="AI416" s="2"/>
    </row>
    <row r="417" spans="1:35" x14ac:dyDescent="0.25">
      <c r="A417" s="1"/>
      <c r="B417" s="1"/>
      <c r="S417" s="1"/>
      <c r="T417" s="1"/>
      <c r="W417" s="1"/>
      <c r="Y417" s="2"/>
      <c r="Z417" s="2"/>
      <c r="AB417" s="3"/>
      <c r="AC417" s="2"/>
      <c r="AG417" s="2"/>
      <c r="AH417" s="2"/>
      <c r="AI417" s="2"/>
    </row>
    <row r="418" spans="1:35" x14ac:dyDescent="0.25">
      <c r="A418" s="1"/>
      <c r="B418" s="1"/>
      <c r="S418" s="1"/>
      <c r="T418" s="1"/>
      <c r="W418" s="1"/>
      <c r="Y418" s="2"/>
      <c r="Z418" s="2"/>
      <c r="AB418" s="3"/>
      <c r="AC418" s="2"/>
      <c r="AG418" s="2"/>
      <c r="AH418" s="2"/>
      <c r="AI418" s="2"/>
    </row>
    <row r="419" spans="1:35" x14ac:dyDescent="0.25">
      <c r="A419" s="1"/>
      <c r="B419" s="1"/>
      <c r="S419" s="1"/>
      <c r="T419" s="1"/>
      <c r="W419" s="1"/>
      <c r="Y419" s="2"/>
      <c r="Z419" s="2"/>
      <c r="AB419" s="3"/>
      <c r="AC419" s="2"/>
      <c r="AG419" s="2"/>
      <c r="AH419" s="2"/>
      <c r="AI419" s="2"/>
    </row>
    <row r="420" spans="1:35" x14ac:dyDescent="0.25">
      <c r="A420" s="1"/>
      <c r="B420" s="1"/>
      <c r="S420" s="1"/>
      <c r="T420" s="1"/>
      <c r="W420" s="1"/>
      <c r="Y420" s="2"/>
      <c r="Z420" s="2"/>
      <c r="AB420" s="3"/>
      <c r="AC420" s="2"/>
      <c r="AG420" s="2"/>
      <c r="AH420" s="2"/>
      <c r="AI420" s="2"/>
    </row>
    <row r="421" spans="1:35" x14ac:dyDescent="0.25">
      <c r="A421" s="1"/>
      <c r="B421" s="1"/>
      <c r="S421" s="1"/>
      <c r="T421" s="1"/>
      <c r="W421" s="1"/>
      <c r="Y421" s="2"/>
      <c r="Z421" s="2"/>
      <c r="AB421" s="3"/>
      <c r="AC421" s="2"/>
      <c r="AG421" s="2"/>
      <c r="AH421" s="2"/>
      <c r="AI421" s="2"/>
    </row>
    <row r="422" spans="1:35" x14ac:dyDescent="0.25">
      <c r="A422" s="1"/>
      <c r="B422" s="1"/>
      <c r="S422" s="1"/>
      <c r="T422" s="1"/>
      <c r="W422" s="1"/>
      <c r="Y422" s="2"/>
      <c r="Z422" s="2"/>
      <c r="AB422" s="3"/>
      <c r="AC422" s="2"/>
      <c r="AG422" s="2"/>
      <c r="AH422" s="2"/>
      <c r="AI422" s="2"/>
    </row>
    <row r="423" spans="1:35" x14ac:dyDescent="0.25">
      <c r="A423" s="1"/>
      <c r="B423" s="1"/>
      <c r="S423" s="1"/>
      <c r="T423" s="1"/>
      <c r="W423" s="1"/>
      <c r="Y423" s="2"/>
      <c r="Z423" s="2"/>
      <c r="AB423" s="3"/>
      <c r="AC423" s="2"/>
      <c r="AG423" s="2"/>
      <c r="AH423" s="2"/>
      <c r="AI423" s="2"/>
    </row>
    <row r="424" spans="1:35" x14ac:dyDescent="0.25">
      <c r="A424" s="1"/>
      <c r="B424" s="1"/>
      <c r="S424" s="1"/>
      <c r="T424" s="1"/>
      <c r="W424" s="1"/>
      <c r="Y424" s="2"/>
      <c r="Z424" s="2"/>
      <c r="AB424" s="3"/>
      <c r="AC424" s="2"/>
      <c r="AG424" s="2"/>
      <c r="AH424" s="2"/>
      <c r="AI424" s="2"/>
    </row>
    <row r="425" spans="1:35" x14ac:dyDescent="0.25">
      <c r="A425" s="1"/>
      <c r="B425" s="1"/>
      <c r="S425" s="1"/>
      <c r="T425" s="1"/>
      <c r="W425" s="1"/>
      <c r="Y425" s="2"/>
      <c r="Z425" s="2"/>
      <c r="AB425" s="3"/>
      <c r="AC425" s="2"/>
      <c r="AG425" s="2"/>
      <c r="AH425" s="2"/>
      <c r="AI425" s="2"/>
    </row>
    <row r="426" spans="1:35" x14ac:dyDescent="0.25">
      <c r="A426" s="1"/>
      <c r="B426" s="1"/>
      <c r="S426" s="1"/>
      <c r="T426" s="1"/>
      <c r="W426" s="1"/>
      <c r="Y426" s="2"/>
      <c r="Z426" s="2"/>
      <c r="AB426" s="3"/>
      <c r="AC426" s="2"/>
      <c r="AG426" s="2"/>
      <c r="AH426" s="2"/>
      <c r="AI426" s="2"/>
    </row>
    <row r="427" spans="1:35" x14ac:dyDescent="0.25">
      <c r="A427" s="1"/>
      <c r="B427" s="1"/>
      <c r="S427" s="1"/>
      <c r="T427" s="1"/>
      <c r="W427" s="1"/>
      <c r="Y427" s="2"/>
      <c r="Z427" s="2"/>
      <c r="AB427" s="3"/>
      <c r="AC427" s="2"/>
      <c r="AG427" s="2"/>
      <c r="AH427" s="2"/>
      <c r="AI427" s="2"/>
    </row>
    <row r="428" spans="1:35" x14ac:dyDescent="0.25">
      <c r="A428" s="1"/>
      <c r="B428" s="1"/>
      <c r="S428" s="1"/>
      <c r="T428" s="1"/>
      <c r="W428" s="1"/>
      <c r="Y428" s="2"/>
      <c r="Z428" s="2"/>
      <c r="AB428" s="3"/>
      <c r="AC428" s="2"/>
      <c r="AG428" s="2"/>
      <c r="AH428" s="2"/>
      <c r="AI428" s="2"/>
    </row>
    <row r="429" spans="1:35" x14ac:dyDescent="0.25">
      <c r="A429" s="1"/>
      <c r="B429" s="1"/>
      <c r="S429" s="1"/>
      <c r="T429" s="1"/>
      <c r="W429" s="1"/>
      <c r="Y429" s="2"/>
      <c r="Z429" s="2"/>
      <c r="AB429" s="3"/>
      <c r="AC429" s="2"/>
      <c r="AG429" s="2"/>
      <c r="AH429" s="2"/>
      <c r="AI429" s="2"/>
    </row>
    <row r="430" spans="1:35" x14ac:dyDescent="0.25">
      <c r="A430" s="1"/>
      <c r="B430" s="1"/>
      <c r="S430" s="1"/>
      <c r="T430" s="1"/>
      <c r="W430" s="1"/>
      <c r="Y430" s="2"/>
      <c r="Z430" s="2"/>
      <c r="AB430" s="3"/>
      <c r="AC430" s="2"/>
      <c r="AG430" s="2"/>
      <c r="AH430" s="2"/>
      <c r="AI430" s="2"/>
    </row>
    <row r="431" spans="1:35" x14ac:dyDescent="0.25">
      <c r="A431" s="1"/>
      <c r="B431" s="1"/>
      <c r="S431" s="1"/>
      <c r="T431" s="1"/>
      <c r="W431" s="1"/>
      <c r="Y431" s="2"/>
      <c r="Z431" s="2"/>
      <c r="AB431" s="3"/>
      <c r="AC431" s="2"/>
      <c r="AG431" s="2"/>
      <c r="AH431" s="2"/>
      <c r="AI431" s="2"/>
    </row>
    <row r="432" spans="1:35" x14ac:dyDescent="0.25">
      <c r="A432" s="1"/>
      <c r="B432" s="1"/>
      <c r="S432" s="1"/>
      <c r="T432" s="1"/>
      <c r="W432" s="1"/>
      <c r="Y432" s="2"/>
      <c r="Z432" s="2"/>
      <c r="AB432" s="3"/>
      <c r="AC432" s="2"/>
      <c r="AG432" s="2"/>
      <c r="AH432" s="2"/>
      <c r="AI432" s="2"/>
    </row>
    <row r="433" spans="1:35" x14ac:dyDescent="0.25">
      <c r="A433" s="1"/>
      <c r="B433" s="1"/>
      <c r="S433" s="1"/>
      <c r="T433" s="1"/>
      <c r="W433" s="1"/>
      <c r="Y433" s="2"/>
      <c r="Z433" s="2"/>
      <c r="AB433" s="3"/>
      <c r="AC433" s="2"/>
      <c r="AG433" s="2"/>
      <c r="AH433" s="2"/>
      <c r="AI433" s="2"/>
    </row>
    <row r="434" spans="1:35" x14ac:dyDescent="0.25">
      <c r="A434" s="1"/>
      <c r="B434" s="1"/>
      <c r="S434" s="1"/>
      <c r="T434" s="1"/>
      <c r="W434" s="1"/>
      <c r="Y434" s="2"/>
      <c r="Z434" s="2"/>
      <c r="AB434" s="3"/>
      <c r="AC434" s="2"/>
      <c r="AG434" s="2"/>
      <c r="AH434" s="2"/>
      <c r="AI434" s="2"/>
    </row>
    <row r="435" spans="1:35" x14ac:dyDescent="0.25">
      <c r="A435" s="1"/>
      <c r="B435" s="1"/>
      <c r="S435" s="1"/>
      <c r="T435" s="1"/>
      <c r="W435" s="1"/>
      <c r="Y435" s="2"/>
      <c r="Z435" s="2"/>
      <c r="AB435" s="3"/>
      <c r="AC435" s="2"/>
      <c r="AG435" s="2"/>
      <c r="AH435" s="2"/>
      <c r="AI435" s="2"/>
    </row>
    <row r="436" spans="1:35" x14ac:dyDescent="0.25">
      <c r="A436" s="1"/>
      <c r="B436" s="1"/>
      <c r="S436" s="1"/>
      <c r="T436" s="1"/>
      <c r="W436" s="1"/>
      <c r="Y436" s="2"/>
      <c r="Z436" s="2"/>
      <c r="AB436" s="3"/>
      <c r="AC436" s="2"/>
      <c r="AG436" s="2"/>
      <c r="AH436" s="2"/>
      <c r="AI436" s="2"/>
    </row>
    <row r="437" spans="1:35" x14ac:dyDescent="0.25">
      <c r="A437" s="1"/>
      <c r="B437" s="1"/>
      <c r="S437" s="1"/>
      <c r="T437" s="1"/>
      <c r="W437" s="1"/>
      <c r="Y437" s="2"/>
      <c r="Z437" s="2"/>
      <c r="AB437" s="3"/>
      <c r="AC437" s="2"/>
      <c r="AG437" s="2"/>
      <c r="AH437" s="2"/>
      <c r="AI437" s="2"/>
    </row>
    <row r="438" spans="1:35" x14ac:dyDescent="0.25">
      <c r="A438" s="1"/>
      <c r="B438" s="1"/>
      <c r="S438" s="1"/>
      <c r="T438" s="1"/>
      <c r="W438" s="1"/>
      <c r="Y438" s="2"/>
      <c r="Z438" s="2"/>
      <c r="AB438" s="3"/>
      <c r="AC438" s="2"/>
      <c r="AG438" s="2"/>
      <c r="AH438" s="2"/>
      <c r="AI438" s="2"/>
    </row>
    <row r="439" spans="1:35" x14ac:dyDescent="0.25">
      <c r="A439" s="1"/>
      <c r="B439" s="1"/>
      <c r="S439" s="1"/>
      <c r="T439" s="1"/>
      <c r="W439" s="1"/>
      <c r="Y439" s="2"/>
      <c r="Z439" s="2"/>
      <c r="AB439" s="3"/>
      <c r="AC439" s="2"/>
      <c r="AG439" s="2"/>
      <c r="AH439" s="2"/>
      <c r="AI439" s="2"/>
    </row>
    <row r="440" spans="1:35" x14ac:dyDescent="0.25">
      <c r="A440" s="1"/>
      <c r="B440" s="1"/>
      <c r="S440" s="1"/>
      <c r="T440" s="1"/>
      <c r="W440" s="1"/>
      <c r="Y440" s="2"/>
      <c r="Z440" s="2"/>
      <c r="AB440" s="3"/>
      <c r="AC440" s="2"/>
      <c r="AG440" s="2"/>
      <c r="AH440" s="2"/>
      <c r="AI440" s="2"/>
    </row>
    <row r="441" spans="1:35" x14ac:dyDescent="0.25">
      <c r="A441" s="1"/>
      <c r="B441" s="1"/>
      <c r="S441" s="1"/>
      <c r="T441" s="1"/>
      <c r="W441" s="1"/>
      <c r="Y441" s="2"/>
      <c r="Z441" s="2"/>
      <c r="AB441" s="3"/>
      <c r="AC441" s="2"/>
      <c r="AG441" s="2"/>
      <c r="AH441" s="2"/>
      <c r="AI441" s="2"/>
    </row>
    <row r="442" spans="1:35" x14ac:dyDescent="0.25">
      <c r="A442" s="1"/>
      <c r="B442" s="1"/>
      <c r="S442" s="1"/>
      <c r="T442" s="1"/>
      <c r="W442" s="1"/>
      <c r="Y442" s="2"/>
      <c r="Z442" s="2"/>
      <c r="AB442" s="3"/>
      <c r="AC442" s="2"/>
      <c r="AG442" s="2"/>
      <c r="AH442" s="2"/>
      <c r="AI442" s="2"/>
    </row>
    <row r="443" spans="1:35" x14ac:dyDescent="0.25">
      <c r="A443" s="1"/>
      <c r="B443" s="1"/>
      <c r="S443" s="1"/>
      <c r="T443" s="1"/>
      <c r="W443" s="1"/>
      <c r="Y443" s="2"/>
      <c r="Z443" s="2"/>
      <c r="AB443" s="3"/>
      <c r="AC443" s="2"/>
      <c r="AG443" s="2"/>
      <c r="AH443" s="2"/>
      <c r="AI443" s="2"/>
    </row>
    <row r="444" spans="1:35" x14ac:dyDescent="0.25">
      <c r="A444" s="1"/>
      <c r="B444" s="1"/>
      <c r="S444" s="1"/>
      <c r="T444" s="1"/>
      <c r="W444" s="1"/>
      <c r="Y444" s="2"/>
      <c r="Z444" s="2"/>
      <c r="AB444" s="3"/>
      <c r="AC444" s="2"/>
      <c r="AG444" s="2"/>
      <c r="AH444" s="2"/>
      <c r="AI444" s="2"/>
    </row>
    <row r="445" spans="1:35" x14ac:dyDescent="0.25">
      <c r="A445" s="1"/>
      <c r="B445" s="1"/>
      <c r="S445" s="1"/>
      <c r="T445" s="1"/>
      <c r="W445" s="1"/>
      <c r="Y445" s="2"/>
      <c r="Z445" s="2"/>
      <c r="AB445" s="3"/>
      <c r="AC445" s="2"/>
      <c r="AG445" s="2"/>
      <c r="AH445" s="2"/>
      <c r="AI445" s="2"/>
    </row>
    <row r="446" spans="1:35" x14ac:dyDescent="0.25">
      <c r="A446" s="1"/>
      <c r="B446" s="1"/>
      <c r="S446" s="1"/>
      <c r="T446" s="1"/>
      <c r="W446" s="1"/>
      <c r="Y446" s="2"/>
      <c r="Z446" s="2"/>
      <c r="AB446" s="3"/>
      <c r="AC446" s="2"/>
      <c r="AG446" s="2"/>
      <c r="AH446" s="2"/>
      <c r="AI446" s="2"/>
    </row>
    <row r="447" spans="1:35" x14ac:dyDescent="0.25">
      <c r="A447" s="1"/>
      <c r="B447" s="1"/>
      <c r="S447" s="1"/>
      <c r="T447" s="1"/>
      <c r="W447" s="1"/>
      <c r="Y447" s="2"/>
      <c r="Z447" s="2"/>
      <c r="AB447" s="3"/>
      <c r="AC447" s="2"/>
      <c r="AG447" s="2"/>
      <c r="AH447" s="2"/>
      <c r="AI447" s="2"/>
    </row>
    <row r="448" spans="1:35" x14ac:dyDescent="0.25">
      <c r="A448" s="1"/>
      <c r="B448" s="1"/>
      <c r="S448" s="1"/>
      <c r="T448" s="1"/>
      <c r="W448" s="1"/>
      <c r="Y448" s="2"/>
      <c r="Z448" s="2"/>
      <c r="AB448" s="3"/>
      <c r="AC448" s="2"/>
      <c r="AG448" s="2"/>
      <c r="AH448" s="2"/>
      <c r="AI448" s="2"/>
    </row>
    <row r="449" spans="1:35" x14ac:dyDescent="0.25">
      <c r="A449" s="1"/>
      <c r="B449" s="1"/>
      <c r="S449" s="1"/>
      <c r="T449" s="1"/>
      <c r="W449" s="1"/>
      <c r="Y449" s="2"/>
      <c r="Z449" s="2"/>
      <c r="AB449" s="3"/>
      <c r="AC449" s="2"/>
      <c r="AG449" s="2"/>
      <c r="AH449" s="2"/>
      <c r="AI449" s="2"/>
    </row>
    <row r="450" spans="1:35" x14ac:dyDescent="0.25">
      <c r="A450" s="1"/>
      <c r="B450" s="1"/>
      <c r="S450" s="1"/>
      <c r="T450" s="1"/>
      <c r="W450" s="1"/>
      <c r="Y450" s="2"/>
      <c r="Z450" s="2"/>
      <c r="AB450" s="3"/>
      <c r="AC450" s="2"/>
      <c r="AG450" s="2"/>
      <c r="AH450" s="2"/>
      <c r="AI450" s="2"/>
    </row>
    <row r="451" spans="1:35" x14ac:dyDescent="0.25">
      <c r="A451" s="1"/>
      <c r="B451" s="1"/>
      <c r="S451" s="1"/>
      <c r="T451" s="1"/>
      <c r="W451" s="1"/>
      <c r="Y451" s="2"/>
      <c r="Z451" s="2"/>
      <c r="AB451" s="3"/>
      <c r="AC451" s="2"/>
      <c r="AG451" s="2"/>
      <c r="AH451" s="2"/>
      <c r="AI451" s="2"/>
    </row>
    <row r="452" spans="1:35" x14ac:dyDescent="0.25">
      <c r="A452" s="1"/>
      <c r="B452" s="1"/>
      <c r="S452" s="1"/>
      <c r="T452" s="1"/>
      <c r="W452" s="1"/>
      <c r="Y452" s="2"/>
      <c r="Z452" s="2"/>
      <c r="AB452" s="3"/>
      <c r="AC452" s="2"/>
      <c r="AG452" s="2"/>
      <c r="AH452" s="2"/>
      <c r="AI452" s="2"/>
    </row>
    <row r="453" spans="1:35" x14ac:dyDescent="0.25">
      <c r="A453" s="1"/>
      <c r="B453" s="1"/>
      <c r="S453" s="1"/>
      <c r="T453" s="1"/>
      <c r="W453" s="1"/>
      <c r="Y453" s="2"/>
      <c r="Z453" s="2"/>
      <c r="AB453" s="3"/>
      <c r="AC453" s="2"/>
      <c r="AG453" s="2"/>
      <c r="AH453" s="2"/>
      <c r="AI453" s="2"/>
    </row>
    <row r="454" spans="1:35" x14ac:dyDescent="0.25">
      <c r="A454" s="1"/>
      <c r="B454" s="1"/>
      <c r="S454" s="1"/>
      <c r="T454" s="1"/>
      <c r="W454" s="1"/>
      <c r="Y454" s="2"/>
      <c r="Z454" s="2"/>
      <c r="AB454" s="3"/>
      <c r="AC454" s="2"/>
      <c r="AG454" s="2"/>
      <c r="AH454" s="2"/>
      <c r="AI454" s="2"/>
    </row>
    <row r="455" spans="1:35" x14ac:dyDescent="0.25">
      <c r="A455" s="1"/>
      <c r="B455" s="1"/>
      <c r="S455" s="1"/>
      <c r="T455" s="1"/>
      <c r="W455" s="1"/>
      <c r="Y455" s="2"/>
      <c r="Z455" s="2"/>
      <c r="AB455" s="3"/>
      <c r="AC455" s="2"/>
      <c r="AG455" s="2"/>
      <c r="AH455" s="2"/>
      <c r="AI455" s="2"/>
    </row>
    <row r="456" spans="1:35" x14ac:dyDescent="0.25">
      <c r="A456" s="1"/>
      <c r="B456" s="1"/>
      <c r="S456" s="1"/>
      <c r="T456" s="1"/>
      <c r="W456" s="1"/>
      <c r="Y456" s="2"/>
      <c r="Z456" s="2"/>
      <c r="AB456" s="3"/>
      <c r="AC456" s="2"/>
      <c r="AG456" s="2"/>
      <c r="AH456" s="2"/>
      <c r="AI456" s="2"/>
    </row>
    <row r="457" spans="1:35" x14ac:dyDescent="0.25">
      <c r="A457" s="1"/>
      <c r="B457" s="1"/>
      <c r="S457" s="1"/>
      <c r="T457" s="1"/>
      <c r="W457" s="1"/>
      <c r="Y457" s="2"/>
      <c r="Z457" s="2"/>
      <c r="AB457" s="3"/>
      <c r="AC457" s="2"/>
      <c r="AG457" s="2"/>
      <c r="AH457" s="2"/>
      <c r="AI457" s="2"/>
    </row>
    <row r="458" spans="1:35" x14ac:dyDescent="0.25">
      <c r="A458" s="1"/>
      <c r="B458" s="1"/>
      <c r="S458" s="1"/>
      <c r="T458" s="1"/>
      <c r="W458" s="1"/>
      <c r="Y458" s="2"/>
      <c r="Z458" s="2"/>
      <c r="AB458" s="3"/>
      <c r="AC458" s="2"/>
      <c r="AG458" s="2"/>
      <c r="AH458" s="2"/>
      <c r="AI458" s="2"/>
    </row>
    <row r="459" spans="1:35" x14ac:dyDescent="0.25">
      <c r="A459" s="1"/>
      <c r="B459" s="1"/>
      <c r="S459" s="1"/>
      <c r="T459" s="1"/>
      <c r="W459" s="1"/>
      <c r="Y459" s="2"/>
      <c r="Z459" s="2"/>
      <c r="AB459" s="3"/>
      <c r="AC459" s="2"/>
      <c r="AG459" s="2"/>
      <c r="AH459" s="2"/>
      <c r="AI459" s="2"/>
    </row>
    <row r="460" spans="1:35" x14ac:dyDescent="0.25">
      <c r="A460" s="1"/>
      <c r="B460" s="1"/>
      <c r="S460" s="1"/>
      <c r="T460" s="1"/>
      <c r="W460" s="1"/>
      <c r="Y460" s="2"/>
      <c r="Z460" s="2"/>
      <c r="AB460" s="3"/>
      <c r="AC460" s="2"/>
      <c r="AG460" s="2"/>
      <c r="AH460" s="2"/>
      <c r="AI460" s="2"/>
    </row>
    <row r="461" spans="1:35" x14ac:dyDescent="0.25">
      <c r="A461" s="1"/>
      <c r="B461" s="1"/>
      <c r="S461" s="1"/>
      <c r="T461" s="1"/>
      <c r="W461" s="1"/>
      <c r="Y461" s="2"/>
      <c r="Z461" s="2"/>
      <c r="AB461" s="3"/>
      <c r="AC461" s="2"/>
      <c r="AG461" s="2"/>
      <c r="AH461" s="2"/>
      <c r="AI461" s="2"/>
    </row>
    <row r="462" spans="1:35" x14ac:dyDescent="0.25">
      <c r="A462" s="1"/>
      <c r="B462" s="1"/>
      <c r="S462" s="1"/>
      <c r="T462" s="1"/>
      <c r="W462" s="1"/>
      <c r="Y462" s="2"/>
      <c r="Z462" s="2"/>
      <c r="AB462" s="3"/>
      <c r="AC462" s="2"/>
      <c r="AG462" s="2"/>
      <c r="AH462" s="2"/>
      <c r="AI462" s="2"/>
    </row>
    <row r="463" spans="1:35" x14ac:dyDescent="0.25">
      <c r="A463" s="1"/>
      <c r="B463" s="1"/>
      <c r="S463" s="1"/>
      <c r="T463" s="1"/>
      <c r="W463" s="1"/>
      <c r="Y463" s="2"/>
      <c r="Z463" s="2"/>
      <c r="AB463" s="3"/>
      <c r="AC463" s="2"/>
      <c r="AG463" s="2"/>
      <c r="AH463" s="2"/>
      <c r="AI463" s="2"/>
    </row>
    <row r="464" spans="1:35" x14ac:dyDescent="0.25">
      <c r="A464" s="1"/>
      <c r="B464" s="1"/>
      <c r="S464" s="1"/>
      <c r="T464" s="1"/>
      <c r="W464" s="1"/>
      <c r="Y464" s="2"/>
      <c r="Z464" s="2"/>
      <c r="AB464" s="3"/>
      <c r="AC464" s="2"/>
      <c r="AG464" s="2"/>
      <c r="AH464" s="2"/>
      <c r="AI464" s="2"/>
    </row>
    <row r="465" spans="1:35" x14ac:dyDescent="0.25">
      <c r="A465" s="1"/>
      <c r="B465" s="1"/>
      <c r="S465" s="1"/>
      <c r="T465" s="1"/>
      <c r="W465" s="1"/>
      <c r="Y465" s="2"/>
      <c r="Z465" s="2"/>
      <c r="AB465" s="3"/>
      <c r="AC465" s="2"/>
      <c r="AG465" s="2"/>
      <c r="AH465" s="2"/>
      <c r="AI465" s="2"/>
    </row>
    <row r="466" spans="1:35" x14ac:dyDescent="0.25">
      <c r="A466" s="1"/>
      <c r="B466" s="1"/>
      <c r="S466" s="1"/>
      <c r="T466" s="1"/>
      <c r="W466" s="1"/>
      <c r="Y466" s="2"/>
      <c r="Z466" s="2"/>
      <c r="AB466" s="3"/>
      <c r="AC466" s="2"/>
      <c r="AG466" s="2"/>
      <c r="AH466" s="2"/>
      <c r="AI466" s="2"/>
    </row>
    <row r="467" spans="1:35" x14ac:dyDescent="0.25">
      <c r="A467" s="1"/>
      <c r="B467" s="1"/>
      <c r="S467" s="1"/>
      <c r="T467" s="1"/>
      <c r="W467" s="1"/>
      <c r="Y467" s="2"/>
      <c r="Z467" s="2"/>
      <c r="AB467" s="3"/>
      <c r="AC467" s="2"/>
      <c r="AG467" s="2"/>
      <c r="AH467" s="2"/>
      <c r="AI467" s="2"/>
    </row>
    <row r="468" spans="1:35" x14ac:dyDescent="0.25">
      <c r="A468" s="1"/>
      <c r="B468" s="1"/>
      <c r="S468" s="1"/>
      <c r="T468" s="1"/>
      <c r="W468" s="1"/>
      <c r="Y468" s="2"/>
      <c r="Z468" s="2"/>
      <c r="AB468" s="3"/>
      <c r="AC468" s="2"/>
      <c r="AG468" s="2"/>
      <c r="AH468" s="2"/>
      <c r="AI468" s="2"/>
    </row>
    <row r="469" spans="1:35" x14ac:dyDescent="0.25">
      <c r="A469" s="1"/>
      <c r="B469" s="1"/>
      <c r="S469" s="1"/>
      <c r="T469" s="1"/>
      <c r="W469" s="1"/>
      <c r="Y469" s="2"/>
      <c r="Z469" s="2"/>
      <c r="AB469" s="3"/>
      <c r="AC469" s="2"/>
      <c r="AG469" s="2"/>
      <c r="AH469" s="2"/>
      <c r="AI469" s="2"/>
    </row>
    <row r="470" spans="1:35" x14ac:dyDescent="0.25">
      <c r="A470" s="1"/>
      <c r="B470" s="1"/>
      <c r="S470" s="1"/>
      <c r="T470" s="1"/>
      <c r="W470" s="1"/>
      <c r="Y470" s="2"/>
      <c r="Z470" s="2"/>
      <c r="AB470" s="3"/>
      <c r="AC470" s="2"/>
      <c r="AG470" s="2"/>
      <c r="AH470" s="2"/>
      <c r="AI470" s="2"/>
    </row>
    <row r="471" spans="1:35" x14ac:dyDescent="0.25">
      <c r="A471" s="1"/>
      <c r="B471" s="1"/>
      <c r="S471" s="1"/>
      <c r="T471" s="1"/>
      <c r="W471" s="1"/>
      <c r="Y471" s="2"/>
      <c r="Z471" s="2"/>
      <c r="AB471" s="3"/>
      <c r="AC471" s="2"/>
      <c r="AG471" s="2"/>
      <c r="AH471" s="2"/>
      <c r="AI471" s="2"/>
    </row>
    <row r="472" spans="1:35" x14ac:dyDescent="0.25">
      <c r="A472" s="1"/>
      <c r="B472" s="1"/>
      <c r="S472" s="1"/>
      <c r="T472" s="1"/>
      <c r="W472" s="1"/>
      <c r="Y472" s="2"/>
      <c r="Z472" s="2"/>
      <c r="AB472" s="3"/>
      <c r="AC472" s="2"/>
      <c r="AG472" s="2"/>
      <c r="AH472" s="2"/>
      <c r="AI472" s="2"/>
    </row>
    <row r="473" spans="1:35" x14ac:dyDescent="0.25">
      <c r="A473" s="1"/>
      <c r="B473" s="1"/>
      <c r="S473" s="1"/>
      <c r="T473" s="1"/>
      <c r="W473" s="1"/>
      <c r="Y473" s="2"/>
      <c r="Z473" s="2"/>
      <c r="AB473" s="3"/>
      <c r="AC473" s="2"/>
      <c r="AG473" s="2"/>
      <c r="AH473" s="2"/>
      <c r="AI473" s="2"/>
    </row>
    <row r="474" spans="1:35" x14ac:dyDescent="0.25">
      <c r="A474" s="1"/>
      <c r="B474" s="1"/>
      <c r="S474" s="1"/>
      <c r="T474" s="1"/>
      <c r="W474" s="1"/>
      <c r="Y474" s="2"/>
      <c r="Z474" s="2"/>
      <c r="AB474" s="3"/>
      <c r="AC474" s="2"/>
      <c r="AG474" s="2"/>
      <c r="AH474" s="2"/>
      <c r="AI474" s="2"/>
    </row>
    <row r="475" spans="1:35" x14ac:dyDescent="0.25">
      <c r="A475" s="1"/>
      <c r="B475" s="1"/>
      <c r="S475" s="1"/>
      <c r="T475" s="1"/>
      <c r="W475" s="1"/>
      <c r="Y475" s="2"/>
      <c r="Z475" s="2"/>
      <c r="AB475" s="3"/>
      <c r="AC475" s="2"/>
      <c r="AG475" s="2"/>
      <c r="AH475" s="2"/>
      <c r="AI475" s="2"/>
    </row>
    <row r="476" spans="1:35" x14ac:dyDescent="0.25">
      <c r="A476" s="1"/>
      <c r="B476" s="1"/>
      <c r="S476" s="1"/>
      <c r="T476" s="1"/>
      <c r="W476" s="1"/>
      <c r="Y476" s="2"/>
      <c r="Z476" s="2"/>
      <c r="AB476" s="3"/>
      <c r="AC476" s="2"/>
      <c r="AG476" s="2"/>
      <c r="AH476" s="2"/>
      <c r="AI476" s="2"/>
    </row>
    <row r="477" spans="1:35" x14ac:dyDescent="0.25">
      <c r="A477" s="1"/>
      <c r="B477" s="1"/>
      <c r="S477" s="1"/>
      <c r="T477" s="1"/>
      <c r="W477" s="1"/>
      <c r="Y477" s="2"/>
      <c r="Z477" s="2"/>
      <c r="AB477" s="3"/>
      <c r="AC477" s="2"/>
      <c r="AG477" s="2"/>
      <c r="AH477" s="2"/>
      <c r="AI477" s="2"/>
    </row>
    <row r="478" spans="1:35" x14ac:dyDescent="0.25">
      <c r="A478" s="1"/>
      <c r="B478" s="1"/>
      <c r="S478" s="1"/>
      <c r="T478" s="1"/>
      <c r="W478" s="1"/>
      <c r="Y478" s="2"/>
      <c r="Z478" s="2"/>
      <c r="AB478" s="3"/>
      <c r="AC478" s="2"/>
      <c r="AG478" s="2"/>
      <c r="AH478" s="2"/>
      <c r="AI478" s="2"/>
    </row>
    <row r="479" spans="1:35" x14ac:dyDescent="0.25">
      <c r="A479" s="1"/>
      <c r="B479" s="1"/>
      <c r="S479" s="1"/>
      <c r="T479" s="1"/>
      <c r="W479" s="1"/>
      <c r="Y479" s="2"/>
      <c r="Z479" s="2"/>
      <c r="AB479" s="3"/>
      <c r="AC479" s="2"/>
      <c r="AG479" s="2"/>
      <c r="AH479" s="2"/>
      <c r="AI479" s="2"/>
    </row>
    <row r="480" spans="1:35" x14ac:dyDescent="0.25">
      <c r="A480" s="1"/>
      <c r="B480" s="1"/>
      <c r="S480" s="1"/>
      <c r="T480" s="1"/>
      <c r="W480" s="1"/>
      <c r="Y480" s="2"/>
      <c r="Z480" s="2"/>
      <c r="AB480" s="3"/>
      <c r="AC480" s="2"/>
      <c r="AG480" s="2"/>
      <c r="AH480" s="2"/>
      <c r="AI480" s="2"/>
    </row>
    <row r="481" spans="1:35" x14ac:dyDescent="0.25">
      <c r="A481" s="1"/>
      <c r="B481" s="1"/>
      <c r="S481" s="1"/>
      <c r="T481" s="1"/>
      <c r="W481" s="1"/>
      <c r="Y481" s="2"/>
      <c r="Z481" s="2"/>
      <c r="AB481" s="3"/>
      <c r="AC481" s="2"/>
      <c r="AG481" s="2"/>
      <c r="AH481" s="2"/>
      <c r="AI481" s="2"/>
    </row>
    <row r="482" spans="1:35" x14ac:dyDescent="0.25">
      <c r="A482" s="1"/>
      <c r="B482" s="1"/>
      <c r="S482" s="1"/>
      <c r="T482" s="1"/>
      <c r="W482" s="1"/>
      <c r="Y482" s="2"/>
      <c r="Z482" s="2"/>
      <c r="AB482" s="3"/>
      <c r="AC482" s="2"/>
      <c r="AG482" s="2"/>
      <c r="AH482" s="2"/>
      <c r="AI482" s="2"/>
    </row>
    <row r="483" spans="1:35" x14ac:dyDescent="0.25">
      <c r="A483" s="1"/>
      <c r="B483" s="1"/>
      <c r="S483" s="1"/>
      <c r="T483" s="1"/>
      <c r="W483" s="1"/>
      <c r="Y483" s="2"/>
      <c r="Z483" s="2"/>
      <c r="AB483" s="3"/>
      <c r="AC483" s="2"/>
      <c r="AG483" s="2"/>
      <c r="AH483" s="2"/>
      <c r="AI483" s="2"/>
    </row>
    <row r="484" spans="1:35" x14ac:dyDescent="0.25">
      <c r="A484" s="1"/>
      <c r="B484" s="1"/>
      <c r="S484" s="1"/>
      <c r="T484" s="1"/>
      <c r="W484" s="1"/>
      <c r="Y484" s="2"/>
      <c r="Z484" s="2"/>
      <c r="AB484" s="3"/>
      <c r="AC484" s="2"/>
      <c r="AG484" s="2"/>
      <c r="AH484" s="2"/>
      <c r="AI484" s="2"/>
    </row>
    <row r="485" spans="1:35" x14ac:dyDescent="0.25">
      <c r="A485" s="1"/>
      <c r="B485" s="1"/>
      <c r="S485" s="1"/>
      <c r="T485" s="1"/>
      <c r="W485" s="1"/>
      <c r="Y485" s="2"/>
      <c r="Z485" s="2"/>
      <c r="AB485" s="3"/>
      <c r="AC485" s="2"/>
      <c r="AG485" s="2"/>
      <c r="AH485" s="2"/>
      <c r="AI485" s="2"/>
    </row>
    <row r="486" spans="1:35" x14ac:dyDescent="0.25">
      <c r="A486" s="1"/>
      <c r="B486" s="1"/>
      <c r="S486" s="1"/>
      <c r="T486" s="1"/>
      <c r="W486" s="1"/>
      <c r="Y486" s="2"/>
      <c r="Z486" s="2"/>
      <c r="AB486" s="3"/>
      <c r="AC486" s="2"/>
      <c r="AG486" s="2"/>
      <c r="AH486" s="2"/>
      <c r="AI486" s="2"/>
    </row>
    <row r="487" spans="1:35" x14ac:dyDescent="0.25">
      <c r="A487" s="1"/>
      <c r="B487" s="1"/>
      <c r="S487" s="1"/>
      <c r="T487" s="1"/>
      <c r="W487" s="1"/>
      <c r="Y487" s="2"/>
      <c r="Z487" s="2"/>
      <c r="AB487" s="3"/>
      <c r="AC487" s="2"/>
      <c r="AG487" s="2"/>
      <c r="AH487" s="2"/>
      <c r="AI487" s="2"/>
    </row>
    <row r="488" spans="1:35" x14ac:dyDescent="0.25">
      <c r="A488" s="1"/>
      <c r="B488" s="1"/>
      <c r="S488" s="1"/>
      <c r="T488" s="1"/>
      <c r="W488" s="1"/>
      <c r="Y488" s="2"/>
      <c r="Z488" s="2"/>
      <c r="AB488" s="3"/>
      <c r="AC488" s="2"/>
      <c r="AG488" s="2"/>
      <c r="AH488" s="2"/>
      <c r="AI488" s="2"/>
    </row>
    <row r="489" spans="1:35" x14ac:dyDescent="0.25">
      <c r="A489" s="1"/>
      <c r="B489" s="1"/>
      <c r="S489" s="1"/>
      <c r="T489" s="1"/>
      <c r="W489" s="1"/>
      <c r="Y489" s="2"/>
      <c r="Z489" s="2"/>
      <c r="AB489" s="3"/>
      <c r="AC489" s="2"/>
      <c r="AG489" s="2"/>
      <c r="AH489" s="2"/>
      <c r="AI489" s="2"/>
    </row>
    <row r="490" spans="1:35" x14ac:dyDescent="0.25">
      <c r="A490" s="1"/>
      <c r="B490" s="1"/>
      <c r="S490" s="1"/>
      <c r="T490" s="1"/>
      <c r="W490" s="1"/>
      <c r="Y490" s="2"/>
      <c r="Z490" s="2"/>
      <c r="AB490" s="3"/>
      <c r="AC490" s="2"/>
      <c r="AG490" s="2"/>
      <c r="AH490" s="2"/>
      <c r="AI490" s="2"/>
    </row>
    <row r="491" spans="1:35" x14ac:dyDescent="0.25">
      <c r="A491" s="1"/>
      <c r="B491" s="1"/>
      <c r="S491" s="1"/>
      <c r="T491" s="1"/>
      <c r="W491" s="1"/>
      <c r="Y491" s="2"/>
      <c r="Z491" s="2"/>
      <c r="AB491" s="3"/>
      <c r="AC491" s="2"/>
      <c r="AG491" s="2"/>
      <c r="AH491" s="2"/>
      <c r="AI491" s="2"/>
    </row>
    <row r="492" spans="1:35" x14ac:dyDescent="0.25">
      <c r="A492" s="1"/>
      <c r="B492" s="1"/>
      <c r="S492" s="1"/>
      <c r="T492" s="1"/>
      <c r="W492" s="1"/>
      <c r="Y492" s="2"/>
      <c r="Z492" s="2"/>
      <c r="AB492" s="3"/>
      <c r="AC492" s="2"/>
      <c r="AG492" s="2"/>
      <c r="AH492" s="2"/>
      <c r="AI492" s="2"/>
    </row>
    <row r="493" spans="1:35" x14ac:dyDescent="0.25">
      <c r="A493" s="1"/>
      <c r="B493" s="1"/>
      <c r="S493" s="1"/>
      <c r="T493" s="1"/>
      <c r="W493" s="1"/>
      <c r="Y493" s="2"/>
      <c r="Z493" s="2"/>
      <c r="AB493" s="3"/>
      <c r="AC493" s="2"/>
      <c r="AG493" s="2"/>
      <c r="AH493" s="2"/>
      <c r="AI493" s="2"/>
    </row>
    <row r="494" spans="1:35" x14ac:dyDescent="0.25">
      <c r="A494" s="1"/>
      <c r="B494" s="1"/>
      <c r="S494" s="1"/>
      <c r="T494" s="1"/>
      <c r="W494" s="1"/>
      <c r="Y494" s="2"/>
      <c r="Z494" s="2"/>
      <c r="AB494" s="3"/>
      <c r="AC494" s="2"/>
      <c r="AG494" s="2"/>
      <c r="AH494" s="2"/>
      <c r="AI494" s="2"/>
    </row>
    <row r="495" spans="1:35" x14ac:dyDescent="0.25">
      <c r="A495" s="1"/>
      <c r="B495" s="1"/>
      <c r="S495" s="1"/>
      <c r="T495" s="1"/>
      <c r="W495" s="1"/>
      <c r="Y495" s="2"/>
      <c r="Z495" s="2"/>
      <c r="AB495" s="3"/>
      <c r="AC495" s="2"/>
      <c r="AG495" s="2"/>
      <c r="AH495" s="2"/>
      <c r="AI495" s="2"/>
    </row>
    <row r="496" spans="1:35" x14ac:dyDescent="0.25">
      <c r="A496" s="1"/>
      <c r="B496" s="1"/>
      <c r="S496" s="1"/>
      <c r="T496" s="1"/>
      <c r="W496" s="1"/>
      <c r="Y496" s="2"/>
      <c r="Z496" s="2"/>
      <c r="AB496" s="3"/>
      <c r="AC496" s="2"/>
      <c r="AG496" s="2"/>
      <c r="AH496" s="2"/>
      <c r="AI496" s="2"/>
    </row>
    <row r="497" spans="1:35" x14ac:dyDescent="0.25">
      <c r="A497" s="1"/>
      <c r="B497" s="1"/>
      <c r="S497" s="1"/>
      <c r="T497" s="1"/>
      <c r="W497" s="1"/>
      <c r="Y497" s="2"/>
      <c r="Z497" s="2"/>
      <c r="AB497" s="3"/>
      <c r="AC497" s="2"/>
      <c r="AG497" s="2"/>
      <c r="AH497" s="2"/>
      <c r="AI497" s="2"/>
    </row>
    <row r="498" spans="1:35" x14ac:dyDescent="0.25">
      <c r="A498" s="1"/>
      <c r="B498" s="1"/>
      <c r="S498" s="1"/>
      <c r="T498" s="1"/>
      <c r="W498" s="1"/>
      <c r="Y498" s="2"/>
      <c r="Z498" s="2"/>
      <c r="AB498" s="3"/>
      <c r="AC498" s="2"/>
      <c r="AG498" s="2"/>
      <c r="AH498" s="2"/>
      <c r="AI498" s="2"/>
    </row>
    <row r="499" spans="1:35" x14ac:dyDescent="0.25">
      <c r="A499" s="1"/>
      <c r="B499" s="1"/>
      <c r="S499" s="1"/>
      <c r="T499" s="1"/>
      <c r="W499" s="1"/>
      <c r="Y499" s="2"/>
      <c r="Z499" s="2"/>
      <c r="AB499" s="3"/>
      <c r="AC499" s="2"/>
      <c r="AG499" s="2"/>
      <c r="AH499" s="2"/>
      <c r="AI499" s="2"/>
    </row>
    <row r="500" spans="1:35" x14ac:dyDescent="0.25">
      <c r="A500" s="1"/>
      <c r="B500" s="1"/>
      <c r="S500" s="1"/>
      <c r="T500" s="1"/>
      <c r="W500" s="1"/>
      <c r="Y500" s="2"/>
      <c r="Z500" s="2"/>
      <c r="AB500" s="3"/>
      <c r="AC500" s="2"/>
      <c r="AG500" s="2"/>
      <c r="AH500" s="2"/>
      <c r="AI500" s="2"/>
    </row>
    <row r="501" spans="1:35" x14ac:dyDescent="0.25">
      <c r="A501" s="1"/>
      <c r="B501" s="1"/>
      <c r="S501" s="1"/>
      <c r="T501" s="1"/>
      <c r="W501" s="1"/>
      <c r="Y501" s="2"/>
      <c r="Z501" s="2"/>
      <c r="AB501" s="3"/>
      <c r="AC501" s="2"/>
      <c r="AG501" s="2"/>
      <c r="AH501" s="2"/>
      <c r="AI501" s="2"/>
    </row>
    <row r="502" spans="1:35" x14ac:dyDescent="0.25">
      <c r="A502" s="1"/>
      <c r="B502" s="1"/>
      <c r="S502" s="1"/>
      <c r="T502" s="1"/>
      <c r="W502" s="1"/>
      <c r="Y502" s="2"/>
      <c r="Z502" s="2"/>
      <c r="AB502" s="3"/>
      <c r="AC502" s="2"/>
      <c r="AG502" s="2"/>
      <c r="AH502" s="2"/>
      <c r="AI502" s="2"/>
    </row>
    <row r="503" spans="1:35" x14ac:dyDescent="0.25">
      <c r="A503" s="1"/>
      <c r="B503" s="1"/>
      <c r="S503" s="1"/>
      <c r="T503" s="1"/>
      <c r="W503" s="1"/>
      <c r="Y503" s="2"/>
      <c r="Z503" s="2"/>
      <c r="AB503" s="3"/>
      <c r="AC503" s="2"/>
      <c r="AG503" s="2"/>
      <c r="AH503" s="2"/>
      <c r="AI503" s="2"/>
    </row>
    <row r="504" spans="1:35" x14ac:dyDescent="0.25">
      <c r="A504" s="1"/>
      <c r="B504" s="1"/>
      <c r="S504" s="1"/>
      <c r="T504" s="1"/>
      <c r="W504" s="1"/>
      <c r="Y504" s="2"/>
      <c r="Z504" s="2"/>
      <c r="AB504" s="3"/>
      <c r="AC504" s="2"/>
      <c r="AG504" s="2"/>
      <c r="AH504" s="2"/>
      <c r="AI504" s="2"/>
    </row>
    <row r="505" spans="1:35" x14ac:dyDescent="0.25">
      <c r="A505" s="1"/>
      <c r="B505" s="1"/>
      <c r="S505" s="1"/>
      <c r="T505" s="1"/>
      <c r="W505" s="1"/>
      <c r="Y505" s="2"/>
      <c r="Z505" s="2"/>
      <c r="AB505" s="3"/>
      <c r="AC505" s="2"/>
      <c r="AG505" s="2"/>
      <c r="AH505" s="2"/>
      <c r="AI505" s="2"/>
    </row>
    <row r="506" spans="1:35" x14ac:dyDescent="0.25">
      <c r="A506" s="1"/>
      <c r="B506" s="1"/>
      <c r="S506" s="1"/>
      <c r="T506" s="1"/>
      <c r="W506" s="1"/>
      <c r="Y506" s="2"/>
      <c r="Z506" s="2"/>
      <c r="AB506" s="3"/>
      <c r="AC506" s="2"/>
      <c r="AG506" s="2"/>
      <c r="AH506" s="2"/>
      <c r="AI506" s="2"/>
    </row>
    <row r="507" spans="1:35" x14ac:dyDescent="0.25">
      <c r="A507" s="1"/>
      <c r="B507" s="1"/>
      <c r="S507" s="1"/>
      <c r="T507" s="1"/>
      <c r="W507" s="1"/>
      <c r="Y507" s="2"/>
      <c r="Z507" s="2"/>
      <c r="AB507" s="3"/>
      <c r="AC507" s="2"/>
      <c r="AG507" s="2"/>
      <c r="AH507" s="2"/>
      <c r="AI507" s="2"/>
    </row>
    <row r="508" spans="1:35" x14ac:dyDescent="0.25">
      <c r="A508" s="1"/>
      <c r="B508" s="1"/>
      <c r="S508" s="1"/>
      <c r="T508" s="1"/>
      <c r="W508" s="1"/>
      <c r="Y508" s="2"/>
      <c r="Z508" s="2"/>
      <c r="AB508" s="3"/>
      <c r="AC508" s="2"/>
      <c r="AG508" s="2"/>
      <c r="AH508" s="2"/>
      <c r="AI508" s="2"/>
    </row>
    <row r="509" spans="1:35" x14ac:dyDescent="0.25">
      <c r="A509" s="1"/>
      <c r="B509" s="1"/>
      <c r="S509" s="1"/>
      <c r="T509" s="1"/>
      <c r="W509" s="1"/>
      <c r="Y509" s="2"/>
      <c r="Z509" s="2"/>
      <c r="AB509" s="3"/>
      <c r="AC509" s="2"/>
      <c r="AG509" s="2"/>
      <c r="AH509" s="2"/>
      <c r="AI509" s="2"/>
    </row>
    <row r="510" spans="1:35" x14ac:dyDescent="0.25">
      <c r="A510" s="1"/>
      <c r="B510" s="1"/>
      <c r="S510" s="1"/>
      <c r="T510" s="1"/>
      <c r="W510" s="1"/>
      <c r="Y510" s="2"/>
      <c r="Z510" s="2"/>
      <c r="AB510" s="3"/>
      <c r="AC510" s="2"/>
      <c r="AG510" s="2"/>
      <c r="AH510" s="2"/>
      <c r="AI510" s="2"/>
    </row>
    <row r="511" spans="1:35" x14ac:dyDescent="0.25">
      <c r="A511" s="1"/>
      <c r="B511" s="1"/>
      <c r="S511" s="1"/>
      <c r="T511" s="1"/>
      <c r="W511" s="1"/>
      <c r="Y511" s="2"/>
      <c r="Z511" s="2"/>
      <c r="AB511" s="3"/>
      <c r="AC511" s="2"/>
      <c r="AG511" s="2"/>
      <c r="AH511" s="2"/>
      <c r="AI511" s="2"/>
    </row>
    <row r="512" spans="1:35" x14ac:dyDescent="0.25">
      <c r="A512" s="1"/>
      <c r="B512" s="1"/>
      <c r="S512" s="1"/>
      <c r="T512" s="1"/>
      <c r="W512" s="1"/>
      <c r="Y512" s="2"/>
      <c r="Z512" s="2"/>
      <c r="AB512" s="3"/>
      <c r="AC512" s="2"/>
      <c r="AG512" s="2"/>
      <c r="AH512" s="2"/>
      <c r="AI512" s="2"/>
    </row>
    <row r="513" spans="1:35" x14ac:dyDescent="0.25">
      <c r="A513" s="1"/>
      <c r="B513" s="1"/>
      <c r="S513" s="1"/>
      <c r="T513" s="1"/>
      <c r="W513" s="1"/>
      <c r="Y513" s="2"/>
      <c r="Z513" s="2"/>
      <c r="AB513" s="3"/>
      <c r="AC513" s="2"/>
      <c r="AG513" s="2"/>
      <c r="AH513" s="2"/>
      <c r="AI513" s="2"/>
    </row>
    <row r="514" spans="1:35" x14ac:dyDescent="0.25">
      <c r="A514" s="1"/>
      <c r="B514" s="1"/>
      <c r="S514" s="1"/>
      <c r="T514" s="1"/>
      <c r="W514" s="1"/>
      <c r="Y514" s="2"/>
      <c r="Z514" s="2"/>
      <c r="AB514" s="3"/>
      <c r="AC514" s="2"/>
      <c r="AG514" s="2"/>
      <c r="AH514" s="2"/>
      <c r="AI514" s="2"/>
    </row>
    <row r="515" spans="1:35" x14ac:dyDescent="0.25">
      <c r="A515" s="1"/>
      <c r="B515" s="1"/>
      <c r="S515" s="1"/>
      <c r="T515" s="1"/>
      <c r="W515" s="1"/>
      <c r="Y515" s="2"/>
      <c r="Z515" s="2"/>
      <c r="AB515" s="3"/>
      <c r="AC515" s="2"/>
      <c r="AG515" s="2"/>
      <c r="AH515" s="2"/>
      <c r="AI515" s="2"/>
    </row>
    <row r="516" spans="1:35" x14ac:dyDescent="0.25">
      <c r="A516" s="1"/>
      <c r="B516" s="1"/>
      <c r="S516" s="1"/>
      <c r="T516" s="1"/>
      <c r="W516" s="1"/>
      <c r="Y516" s="2"/>
      <c r="Z516" s="2"/>
      <c r="AB516" s="3"/>
      <c r="AC516" s="2"/>
      <c r="AG516" s="2"/>
      <c r="AH516" s="2"/>
      <c r="AI516" s="2"/>
    </row>
    <row r="517" spans="1:35" x14ac:dyDescent="0.25">
      <c r="A517" s="1"/>
      <c r="B517" s="1"/>
      <c r="S517" s="1"/>
      <c r="T517" s="1"/>
      <c r="W517" s="1"/>
      <c r="Y517" s="2"/>
      <c r="Z517" s="2"/>
      <c r="AB517" s="3"/>
      <c r="AC517" s="2"/>
      <c r="AG517" s="2"/>
      <c r="AH517" s="2"/>
      <c r="AI517" s="2"/>
    </row>
    <row r="518" spans="1:35" x14ac:dyDescent="0.25">
      <c r="A518" s="1"/>
      <c r="B518" s="1"/>
      <c r="S518" s="1"/>
      <c r="T518" s="1"/>
      <c r="W518" s="1"/>
      <c r="Y518" s="2"/>
      <c r="Z518" s="2"/>
      <c r="AB518" s="3"/>
      <c r="AC518" s="2"/>
      <c r="AG518" s="2"/>
      <c r="AH518" s="2"/>
      <c r="AI518" s="2"/>
    </row>
    <row r="519" spans="1:35" x14ac:dyDescent="0.25">
      <c r="A519" s="1"/>
      <c r="B519" s="1"/>
      <c r="S519" s="1"/>
      <c r="T519" s="1"/>
      <c r="W519" s="1"/>
      <c r="Y519" s="2"/>
      <c r="Z519" s="2"/>
      <c r="AB519" s="3"/>
      <c r="AC519" s="2"/>
      <c r="AG519" s="2"/>
      <c r="AH519" s="2"/>
      <c r="AI519" s="2"/>
    </row>
    <row r="520" spans="1:35" x14ac:dyDescent="0.25">
      <c r="A520" s="1"/>
      <c r="B520" s="1"/>
      <c r="S520" s="1"/>
      <c r="T520" s="1"/>
      <c r="W520" s="1"/>
      <c r="Y520" s="2"/>
      <c r="Z520" s="2"/>
      <c r="AB520" s="3"/>
      <c r="AC520" s="2"/>
      <c r="AG520" s="2"/>
      <c r="AH520" s="2"/>
      <c r="AI520" s="2"/>
    </row>
    <row r="521" spans="1:35" x14ac:dyDescent="0.25">
      <c r="A521" s="1"/>
      <c r="B521" s="1"/>
      <c r="S521" s="1"/>
      <c r="T521" s="1"/>
      <c r="W521" s="1"/>
      <c r="Y521" s="2"/>
      <c r="Z521" s="2"/>
      <c r="AB521" s="3"/>
      <c r="AC521" s="2"/>
      <c r="AG521" s="2"/>
      <c r="AH521" s="2"/>
      <c r="AI521" s="2"/>
    </row>
    <row r="522" spans="1:35" x14ac:dyDescent="0.25">
      <c r="A522" s="1"/>
      <c r="B522" s="1"/>
      <c r="S522" s="1"/>
      <c r="T522" s="1"/>
      <c r="W522" s="1"/>
      <c r="Y522" s="2"/>
      <c r="Z522" s="2"/>
      <c r="AB522" s="3"/>
      <c r="AC522" s="2"/>
      <c r="AG522" s="2"/>
      <c r="AH522" s="2"/>
      <c r="AI522" s="2"/>
    </row>
    <row r="523" spans="1:35" x14ac:dyDescent="0.25">
      <c r="A523" s="1"/>
      <c r="B523" s="1"/>
      <c r="S523" s="1"/>
      <c r="T523" s="1"/>
      <c r="W523" s="1"/>
      <c r="Y523" s="2"/>
      <c r="Z523" s="2"/>
      <c r="AB523" s="3"/>
      <c r="AC523" s="2"/>
      <c r="AG523" s="2"/>
      <c r="AH523" s="2"/>
      <c r="AI523" s="2"/>
    </row>
    <row r="524" spans="1:35" x14ac:dyDescent="0.25">
      <c r="A524" s="1"/>
      <c r="B524" s="1"/>
      <c r="S524" s="1"/>
      <c r="T524" s="1"/>
      <c r="W524" s="1"/>
      <c r="Y524" s="2"/>
      <c r="Z524" s="2"/>
      <c r="AB524" s="3"/>
      <c r="AC524" s="2"/>
      <c r="AG524" s="2"/>
      <c r="AH524" s="2"/>
      <c r="AI524" s="2"/>
    </row>
    <row r="525" spans="1:35" x14ac:dyDescent="0.25">
      <c r="A525" s="1"/>
      <c r="B525" s="1"/>
      <c r="S525" s="1"/>
      <c r="T525" s="1"/>
      <c r="W525" s="1"/>
      <c r="Y525" s="2"/>
      <c r="Z525" s="2"/>
      <c r="AB525" s="3"/>
      <c r="AC525" s="2"/>
      <c r="AG525" s="2"/>
      <c r="AH525" s="2"/>
      <c r="AI525" s="2"/>
    </row>
    <row r="526" spans="1:35" x14ac:dyDescent="0.25">
      <c r="A526" s="1"/>
      <c r="B526" s="1"/>
      <c r="S526" s="1"/>
      <c r="T526" s="1"/>
      <c r="W526" s="1"/>
      <c r="Y526" s="2"/>
      <c r="Z526" s="2"/>
      <c r="AB526" s="3"/>
      <c r="AC526" s="2"/>
      <c r="AG526" s="2"/>
      <c r="AH526" s="2"/>
      <c r="AI526" s="2"/>
    </row>
    <row r="527" spans="1:35" x14ac:dyDescent="0.25">
      <c r="A527" s="1"/>
      <c r="B527" s="1"/>
      <c r="S527" s="1"/>
      <c r="T527" s="1"/>
      <c r="W527" s="1"/>
      <c r="Y527" s="2"/>
      <c r="Z527" s="2"/>
      <c r="AB527" s="3"/>
      <c r="AC527" s="2"/>
      <c r="AG527" s="2"/>
      <c r="AH527" s="2"/>
      <c r="AI527" s="2"/>
    </row>
    <row r="528" spans="1:35" x14ac:dyDescent="0.25">
      <c r="A528" s="1"/>
      <c r="B528" s="1"/>
      <c r="S528" s="1"/>
      <c r="T528" s="1"/>
      <c r="W528" s="1"/>
      <c r="Y528" s="2"/>
      <c r="Z528" s="2"/>
      <c r="AB528" s="3"/>
      <c r="AC528" s="2"/>
      <c r="AG528" s="2"/>
      <c r="AH528" s="2"/>
      <c r="AI528" s="2"/>
    </row>
    <row r="529" spans="1:35" x14ac:dyDescent="0.25">
      <c r="A529" s="1"/>
      <c r="B529" s="1"/>
      <c r="S529" s="1"/>
      <c r="T529" s="1"/>
      <c r="W529" s="1"/>
      <c r="Y529" s="2"/>
      <c r="Z529" s="2"/>
      <c r="AB529" s="3"/>
      <c r="AC529" s="2"/>
      <c r="AG529" s="2"/>
      <c r="AH529" s="2"/>
      <c r="AI529" s="2"/>
    </row>
    <row r="530" spans="1:35" x14ac:dyDescent="0.25">
      <c r="A530" s="1"/>
      <c r="B530" s="1"/>
      <c r="S530" s="1"/>
      <c r="T530" s="1"/>
      <c r="W530" s="1"/>
      <c r="Y530" s="2"/>
      <c r="Z530" s="2"/>
      <c r="AB530" s="3"/>
      <c r="AC530" s="2"/>
      <c r="AG530" s="2"/>
      <c r="AH530" s="2"/>
      <c r="AI530" s="2"/>
    </row>
    <row r="531" spans="1:35" x14ac:dyDescent="0.25">
      <c r="A531" s="1"/>
      <c r="B531" s="1"/>
      <c r="S531" s="1"/>
      <c r="T531" s="1"/>
      <c r="W531" s="1"/>
      <c r="Y531" s="2"/>
      <c r="Z531" s="2"/>
      <c r="AB531" s="3"/>
      <c r="AC531" s="2"/>
      <c r="AG531" s="2"/>
      <c r="AH531" s="2"/>
      <c r="AI531" s="2"/>
    </row>
    <row r="532" spans="1:35" x14ac:dyDescent="0.25">
      <c r="A532" s="1"/>
      <c r="B532" s="1"/>
      <c r="S532" s="1"/>
      <c r="T532" s="1"/>
      <c r="W532" s="1"/>
      <c r="Y532" s="2"/>
      <c r="Z532" s="2"/>
      <c r="AB532" s="3"/>
      <c r="AC532" s="2"/>
      <c r="AG532" s="2"/>
      <c r="AH532" s="2"/>
      <c r="AI532" s="2"/>
    </row>
    <row r="533" spans="1:35" x14ac:dyDescent="0.25">
      <c r="A533" s="1"/>
      <c r="B533" s="1"/>
      <c r="S533" s="1"/>
      <c r="T533" s="1"/>
      <c r="W533" s="1"/>
      <c r="Y533" s="2"/>
      <c r="Z533" s="2"/>
      <c r="AB533" s="3"/>
      <c r="AC533" s="2"/>
      <c r="AG533" s="2"/>
      <c r="AH533" s="2"/>
      <c r="AI533" s="2"/>
    </row>
    <row r="534" spans="1:35" x14ac:dyDescent="0.25">
      <c r="A534" s="1"/>
      <c r="B534" s="1"/>
      <c r="S534" s="1"/>
      <c r="T534" s="1"/>
      <c r="W534" s="1"/>
      <c r="Y534" s="2"/>
      <c r="Z534" s="2"/>
      <c r="AB534" s="3"/>
      <c r="AC534" s="2"/>
      <c r="AG534" s="2"/>
      <c r="AH534" s="2"/>
      <c r="AI534" s="2"/>
    </row>
    <row r="535" spans="1:35" x14ac:dyDescent="0.25">
      <c r="A535" s="1"/>
      <c r="B535" s="1"/>
      <c r="S535" s="1"/>
      <c r="T535" s="1"/>
      <c r="W535" s="1"/>
      <c r="Y535" s="2"/>
      <c r="Z535" s="2"/>
      <c r="AB535" s="3"/>
      <c r="AC535" s="2"/>
      <c r="AG535" s="2"/>
      <c r="AH535" s="2"/>
      <c r="AI535" s="2"/>
    </row>
    <row r="536" spans="1:35" x14ac:dyDescent="0.25">
      <c r="A536" s="1"/>
      <c r="B536" s="1"/>
      <c r="S536" s="1"/>
      <c r="T536" s="1"/>
      <c r="W536" s="1"/>
      <c r="Y536" s="2"/>
      <c r="Z536" s="2"/>
      <c r="AB536" s="3"/>
      <c r="AC536" s="2"/>
      <c r="AG536" s="2"/>
      <c r="AH536" s="2"/>
      <c r="AI536" s="2"/>
    </row>
    <row r="537" spans="1:35" x14ac:dyDescent="0.25">
      <c r="A537" s="1"/>
      <c r="B537" s="1"/>
      <c r="S537" s="1"/>
      <c r="T537" s="1"/>
      <c r="W537" s="1"/>
      <c r="Y537" s="2"/>
      <c r="Z537" s="2"/>
      <c r="AB537" s="3"/>
      <c r="AC537" s="2"/>
      <c r="AG537" s="2"/>
      <c r="AH537" s="2"/>
      <c r="AI537" s="2"/>
    </row>
    <row r="538" spans="1:35" x14ac:dyDescent="0.25">
      <c r="A538" s="1"/>
      <c r="B538" s="1"/>
      <c r="S538" s="1"/>
      <c r="T538" s="1"/>
      <c r="W538" s="1"/>
      <c r="Y538" s="2"/>
      <c r="Z538" s="2"/>
      <c r="AB538" s="3"/>
      <c r="AC538" s="2"/>
      <c r="AG538" s="2"/>
      <c r="AH538" s="2"/>
      <c r="AI538" s="2"/>
    </row>
    <row r="539" spans="1:35" x14ac:dyDescent="0.25">
      <c r="A539" s="1"/>
      <c r="B539" s="1"/>
      <c r="S539" s="1"/>
      <c r="T539" s="1"/>
      <c r="W539" s="1"/>
      <c r="Y539" s="2"/>
      <c r="Z539" s="2"/>
      <c r="AB539" s="3"/>
      <c r="AC539" s="2"/>
      <c r="AG539" s="2"/>
      <c r="AH539" s="2"/>
      <c r="AI539" s="2"/>
    </row>
    <row r="540" spans="1:35" x14ac:dyDescent="0.25">
      <c r="A540" s="1"/>
      <c r="B540" s="1"/>
      <c r="S540" s="1"/>
      <c r="T540" s="1"/>
      <c r="W540" s="1"/>
      <c r="Y540" s="2"/>
      <c r="Z540" s="2"/>
      <c r="AB540" s="3"/>
      <c r="AC540" s="2"/>
      <c r="AG540" s="2"/>
      <c r="AH540" s="2"/>
      <c r="AI540" s="2"/>
    </row>
    <row r="541" spans="1:35" x14ac:dyDescent="0.25">
      <c r="A541" s="1"/>
      <c r="B541" s="1"/>
      <c r="S541" s="1"/>
      <c r="T541" s="1"/>
      <c r="W541" s="1"/>
      <c r="Y541" s="2"/>
      <c r="Z541" s="2"/>
      <c r="AB541" s="3"/>
      <c r="AC541" s="2"/>
      <c r="AG541" s="2"/>
      <c r="AH541" s="2"/>
      <c r="AI541" s="2"/>
    </row>
    <row r="542" spans="1:35" x14ac:dyDescent="0.25">
      <c r="A542" s="1"/>
      <c r="B542" s="1"/>
      <c r="S542" s="1"/>
      <c r="T542" s="1"/>
      <c r="W542" s="1"/>
      <c r="Y542" s="2"/>
      <c r="Z542" s="2"/>
      <c r="AB542" s="3"/>
      <c r="AC542" s="2"/>
      <c r="AG542" s="2"/>
      <c r="AH542" s="2"/>
      <c r="AI542" s="2"/>
    </row>
    <row r="543" spans="1:35" x14ac:dyDescent="0.25">
      <c r="A543" s="1"/>
      <c r="B543" s="1"/>
      <c r="S543" s="1"/>
      <c r="T543" s="1"/>
      <c r="W543" s="1"/>
      <c r="Y543" s="2"/>
      <c r="Z543" s="2"/>
      <c r="AB543" s="3"/>
      <c r="AC543" s="2"/>
      <c r="AG543" s="2"/>
      <c r="AH543" s="2"/>
      <c r="AI543" s="2"/>
    </row>
    <row r="544" spans="1:35" x14ac:dyDescent="0.25">
      <c r="A544" s="1"/>
      <c r="B544" s="1"/>
      <c r="S544" s="1"/>
      <c r="T544" s="1"/>
      <c r="W544" s="1"/>
      <c r="Y544" s="2"/>
      <c r="Z544" s="2"/>
      <c r="AB544" s="3"/>
      <c r="AC544" s="2"/>
      <c r="AG544" s="2"/>
      <c r="AH544" s="2"/>
      <c r="AI544" s="2"/>
    </row>
    <row r="545" spans="1:35" x14ac:dyDescent="0.25">
      <c r="A545" s="1"/>
      <c r="B545" s="1"/>
      <c r="S545" s="1"/>
      <c r="T545" s="1"/>
      <c r="W545" s="1"/>
      <c r="Y545" s="2"/>
      <c r="Z545" s="2"/>
      <c r="AB545" s="3"/>
      <c r="AC545" s="2"/>
      <c r="AG545" s="2"/>
      <c r="AH545" s="2"/>
      <c r="AI545" s="2"/>
    </row>
    <row r="546" spans="1:35" x14ac:dyDescent="0.25">
      <c r="A546" s="1"/>
      <c r="B546" s="1"/>
      <c r="S546" s="1"/>
      <c r="T546" s="1"/>
      <c r="W546" s="1"/>
      <c r="Y546" s="2"/>
      <c r="Z546" s="2"/>
      <c r="AB546" s="3"/>
      <c r="AC546" s="2"/>
      <c r="AG546" s="2"/>
      <c r="AH546" s="2"/>
      <c r="AI546" s="2"/>
    </row>
    <row r="547" spans="1:35" x14ac:dyDescent="0.25">
      <c r="A547" s="1"/>
      <c r="B547" s="1"/>
      <c r="S547" s="1"/>
      <c r="T547" s="1"/>
      <c r="W547" s="1"/>
      <c r="Y547" s="2"/>
      <c r="Z547" s="2"/>
      <c r="AB547" s="3"/>
      <c r="AC547" s="2"/>
      <c r="AG547" s="2"/>
      <c r="AH547" s="2"/>
      <c r="AI547" s="2"/>
    </row>
    <row r="548" spans="1:35" x14ac:dyDescent="0.25">
      <c r="A548" s="1"/>
      <c r="B548" s="1"/>
      <c r="S548" s="1"/>
      <c r="T548" s="1"/>
      <c r="W548" s="1"/>
      <c r="Y548" s="2"/>
      <c r="Z548" s="2"/>
      <c r="AB548" s="3"/>
      <c r="AC548" s="2"/>
      <c r="AG548" s="2"/>
      <c r="AH548" s="2"/>
      <c r="AI548" s="2"/>
    </row>
    <row r="549" spans="1:35" x14ac:dyDescent="0.25">
      <c r="A549" s="1"/>
      <c r="B549" s="1"/>
      <c r="S549" s="1"/>
      <c r="T549" s="1"/>
      <c r="W549" s="1"/>
      <c r="Y549" s="2"/>
      <c r="Z549" s="2"/>
      <c r="AB549" s="3"/>
      <c r="AC549" s="2"/>
      <c r="AG549" s="2"/>
      <c r="AH549" s="2"/>
      <c r="AI549" s="2"/>
    </row>
    <row r="550" spans="1:35" x14ac:dyDescent="0.25">
      <c r="A550" s="1"/>
      <c r="B550" s="1"/>
      <c r="S550" s="1"/>
      <c r="T550" s="1"/>
      <c r="W550" s="1"/>
      <c r="Y550" s="2"/>
      <c r="Z550" s="2"/>
      <c r="AB550" s="3"/>
      <c r="AC550" s="2"/>
      <c r="AG550" s="2"/>
      <c r="AH550" s="2"/>
      <c r="AI550" s="2"/>
    </row>
    <row r="551" spans="1:35" x14ac:dyDescent="0.25">
      <c r="A551" s="1"/>
      <c r="B551" s="1"/>
      <c r="S551" s="1"/>
      <c r="T551" s="1"/>
      <c r="W551" s="1"/>
      <c r="Y551" s="2"/>
      <c r="Z551" s="2"/>
      <c r="AB551" s="3"/>
      <c r="AC551" s="2"/>
      <c r="AG551" s="2"/>
      <c r="AH551" s="2"/>
      <c r="AI551" s="2"/>
    </row>
    <row r="552" spans="1:35" x14ac:dyDescent="0.25">
      <c r="A552" s="1"/>
      <c r="B552" s="1"/>
      <c r="S552" s="1"/>
      <c r="T552" s="1"/>
      <c r="W552" s="1"/>
      <c r="Y552" s="2"/>
      <c r="Z552" s="2"/>
      <c r="AB552" s="3"/>
      <c r="AC552" s="2"/>
      <c r="AG552" s="2"/>
      <c r="AH552" s="2"/>
      <c r="AI552" s="2"/>
    </row>
    <row r="553" spans="1:35" x14ac:dyDescent="0.25">
      <c r="A553" s="1"/>
      <c r="B553" s="1"/>
      <c r="S553" s="1"/>
      <c r="T553" s="1"/>
      <c r="W553" s="1"/>
      <c r="Y553" s="2"/>
      <c r="Z553" s="2"/>
      <c r="AB553" s="3"/>
      <c r="AC553" s="2"/>
      <c r="AG553" s="2"/>
      <c r="AH553" s="2"/>
      <c r="AI553" s="2"/>
    </row>
    <row r="554" spans="1:35" x14ac:dyDescent="0.25">
      <c r="A554" s="1"/>
      <c r="B554" s="1"/>
      <c r="S554" s="1"/>
      <c r="T554" s="1"/>
      <c r="W554" s="1"/>
      <c r="Y554" s="2"/>
      <c r="Z554" s="2"/>
      <c r="AB554" s="3"/>
      <c r="AC554" s="2"/>
      <c r="AG554" s="2"/>
      <c r="AH554" s="2"/>
      <c r="AI554" s="2"/>
    </row>
    <row r="555" spans="1:35" x14ac:dyDescent="0.25">
      <c r="A555" s="1"/>
      <c r="B555" s="1"/>
      <c r="S555" s="1"/>
      <c r="T555" s="1"/>
      <c r="W555" s="1"/>
      <c r="Y555" s="2"/>
      <c r="Z555" s="2"/>
      <c r="AB555" s="3"/>
      <c r="AC555" s="2"/>
      <c r="AG555" s="2"/>
      <c r="AH555" s="2"/>
      <c r="AI555" s="2"/>
    </row>
    <row r="556" spans="1:35" x14ac:dyDescent="0.25">
      <c r="A556" s="1"/>
      <c r="B556" s="1"/>
      <c r="S556" s="1"/>
      <c r="T556" s="1"/>
      <c r="W556" s="1"/>
      <c r="Y556" s="2"/>
      <c r="Z556" s="2"/>
      <c r="AB556" s="3"/>
      <c r="AC556" s="2"/>
      <c r="AG556" s="2"/>
      <c r="AH556" s="2"/>
      <c r="AI556" s="2"/>
    </row>
    <row r="557" spans="1:35" x14ac:dyDescent="0.25">
      <c r="A557" s="1"/>
      <c r="B557" s="1"/>
      <c r="S557" s="1"/>
      <c r="T557" s="1"/>
      <c r="W557" s="1"/>
      <c r="Y557" s="2"/>
      <c r="Z557" s="2"/>
      <c r="AB557" s="3"/>
      <c r="AC557" s="2"/>
      <c r="AG557" s="2"/>
      <c r="AH557" s="2"/>
      <c r="AI557" s="2"/>
    </row>
    <row r="558" spans="1:35" x14ac:dyDescent="0.25">
      <c r="A558" s="1"/>
      <c r="B558" s="1"/>
      <c r="S558" s="1"/>
      <c r="T558" s="1"/>
      <c r="W558" s="1"/>
      <c r="Y558" s="2"/>
      <c r="Z558" s="2"/>
      <c r="AB558" s="3"/>
      <c r="AC558" s="2"/>
      <c r="AG558" s="2"/>
      <c r="AH558" s="2"/>
      <c r="AI558" s="2"/>
    </row>
    <row r="559" spans="1:35" x14ac:dyDescent="0.25">
      <c r="A559" s="1"/>
      <c r="B559" s="1"/>
      <c r="S559" s="1"/>
      <c r="T559" s="1"/>
      <c r="W559" s="1"/>
      <c r="Y559" s="2"/>
      <c r="Z559" s="2"/>
      <c r="AB559" s="3"/>
      <c r="AC559" s="2"/>
      <c r="AG559" s="2"/>
      <c r="AH559" s="2"/>
      <c r="AI559" s="2"/>
    </row>
    <row r="560" spans="1:35" x14ac:dyDescent="0.25">
      <c r="A560" s="1"/>
      <c r="B560" s="1"/>
      <c r="S560" s="1"/>
      <c r="T560" s="1"/>
      <c r="W560" s="1"/>
      <c r="Y560" s="2"/>
      <c r="Z560" s="2"/>
      <c r="AB560" s="3"/>
      <c r="AC560" s="2"/>
      <c r="AG560" s="2"/>
      <c r="AH560" s="2"/>
      <c r="AI560" s="2"/>
    </row>
    <row r="561" spans="1:35" x14ac:dyDescent="0.25">
      <c r="A561" s="1"/>
      <c r="B561" s="1"/>
      <c r="S561" s="1"/>
      <c r="T561" s="1"/>
      <c r="W561" s="1"/>
      <c r="Y561" s="2"/>
      <c r="Z561" s="2"/>
      <c r="AB561" s="3"/>
      <c r="AC561" s="2"/>
      <c r="AG561" s="2"/>
      <c r="AH561" s="2"/>
      <c r="AI561" s="2"/>
    </row>
    <row r="562" spans="1:35" x14ac:dyDescent="0.25">
      <c r="A562" s="1"/>
      <c r="B562" s="1"/>
      <c r="S562" s="1"/>
      <c r="T562" s="1"/>
      <c r="W562" s="1"/>
      <c r="Y562" s="2"/>
      <c r="Z562" s="2"/>
      <c r="AB562" s="3"/>
      <c r="AC562" s="2"/>
      <c r="AG562" s="2"/>
      <c r="AH562" s="2"/>
      <c r="AI562" s="2"/>
    </row>
    <row r="563" spans="1:35" x14ac:dyDescent="0.25">
      <c r="A563" s="1"/>
      <c r="B563" s="1"/>
      <c r="S563" s="1"/>
      <c r="T563" s="1"/>
      <c r="W563" s="1"/>
      <c r="Y563" s="2"/>
      <c r="Z563" s="2"/>
      <c r="AB563" s="3"/>
      <c r="AC563" s="2"/>
      <c r="AG563" s="2"/>
      <c r="AH563" s="2"/>
      <c r="AI563" s="2"/>
    </row>
    <row r="564" spans="1:35" x14ac:dyDescent="0.25">
      <c r="A564" s="1"/>
      <c r="B564" s="1"/>
      <c r="S564" s="1"/>
      <c r="T564" s="1"/>
      <c r="W564" s="1"/>
      <c r="Y564" s="2"/>
      <c r="Z564" s="2"/>
      <c r="AB564" s="3"/>
      <c r="AC564" s="2"/>
      <c r="AG564" s="2"/>
      <c r="AH564" s="2"/>
      <c r="AI564" s="2"/>
    </row>
    <row r="565" spans="1:35" x14ac:dyDescent="0.25">
      <c r="A565" s="1"/>
      <c r="B565" s="1"/>
      <c r="S565" s="1"/>
      <c r="T565" s="1"/>
      <c r="W565" s="1"/>
      <c r="Y565" s="2"/>
      <c r="Z565" s="2"/>
      <c r="AB565" s="3"/>
      <c r="AC565" s="2"/>
      <c r="AG565" s="2"/>
      <c r="AH565" s="2"/>
      <c r="AI565" s="2"/>
    </row>
    <row r="566" spans="1:35" x14ac:dyDescent="0.25">
      <c r="A566" s="1"/>
      <c r="B566" s="1"/>
      <c r="S566" s="1"/>
      <c r="T566" s="1"/>
      <c r="W566" s="1"/>
      <c r="Y566" s="2"/>
      <c r="Z566" s="2"/>
      <c r="AB566" s="3"/>
      <c r="AC566" s="2"/>
      <c r="AG566" s="2"/>
      <c r="AH566" s="2"/>
      <c r="AI566" s="2"/>
    </row>
    <row r="567" spans="1:35" x14ac:dyDescent="0.25">
      <c r="A567" s="1"/>
      <c r="B567" s="1"/>
      <c r="S567" s="1"/>
      <c r="T567" s="1"/>
      <c r="W567" s="1"/>
      <c r="Y567" s="2"/>
      <c r="Z567" s="2"/>
      <c r="AB567" s="3"/>
      <c r="AC567" s="2"/>
      <c r="AG567" s="2"/>
      <c r="AH567" s="2"/>
      <c r="AI567" s="2"/>
    </row>
    <row r="568" spans="1:35" x14ac:dyDescent="0.25">
      <c r="A568" s="1"/>
      <c r="B568" s="1"/>
      <c r="S568" s="1"/>
      <c r="T568" s="1"/>
      <c r="W568" s="1"/>
      <c r="Y568" s="2"/>
      <c r="Z568" s="2"/>
      <c r="AB568" s="3"/>
      <c r="AC568" s="2"/>
      <c r="AG568" s="2"/>
      <c r="AH568" s="2"/>
      <c r="AI568" s="2"/>
    </row>
    <row r="569" spans="1:35" x14ac:dyDescent="0.25">
      <c r="A569" s="1"/>
      <c r="B569" s="1"/>
      <c r="S569" s="1"/>
      <c r="T569" s="1"/>
      <c r="W569" s="1"/>
      <c r="Y569" s="2"/>
      <c r="Z569" s="2"/>
      <c r="AB569" s="3"/>
      <c r="AC569" s="2"/>
      <c r="AG569" s="2"/>
      <c r="AH569" s="2"/>
      <c r="AI569" s="2"/>
    </row>
    <row r="570" spans="1:35" x14ac:dyDescent="0.25">
      <c r="A570" s="1"/>
      <c r="B570" s="1"/>
      <c r="S570" s="1"/>
      <c r="T570" s="1"/>
      <c r="W570" s="1"/>
      <c r="Y570" s="2"/>
      <c r="Z570" s="2"/>
      <c r="AB570" s="3"/>
      <c r="AC570" s="2"/>
      <c r="AG570" s="2"/>
      <c r="AH570" s="2"/>
      <c r="AI570" s="2"/>
    </row>
    <row r="571" spans="1:35" x14ac:dyDescent="0.25">
      <c r="A571" s="1"/>
      <c r="B571" s="1"/>
      <c r="S571" s="1"/>
      <c r="T571" s="1"/>
      <c r="W571" s="1"/>
      <c r="Y571" s="2"/>
      <c r="Z571" s="2"/>
      <c r="AB571" s="3"/>
      <c r="AC571" s="2"/>
      <c r="AG571" s="2"/>
      <c r="AH571" s="2"/>
      <c r="AI571" s="2"/>
    </row>
    <row r="572" spans="1:35" x14ac:dyDescent="0.25">
      <c r="A572" s="1"/>
      <c r="B572" s="1"/>
      <c r="S572" s="1"/>
      <c r="T572" s="1"/>
      <c r="W572" s="1"/>
      <c r="Y572" s="2"/>
      <c r="Z572" s="2"/>
      <c r="AB572" s="3"/>
      <c r="AC572" s="2"/>
      <c r="AG572" s="2"/>
      <c r="AH572" s="2"/>
      <c r="AI572" s="2"/>
    </row>
    <row r="573" spans="1:35" x14ac:dyDescent="0.25">
      <c r="A573" s="1"/>
      <c r="B573" s="1"/>
      <c r="S573" s="1"/>
      <c r="T573" s="1"/>
      <c r="W573" s="1"/>
      <c r="Y573" s="2"/>
      <c r="Z573" s="2"/>
      <c r="AB573" s="3"/>
      <c r="AC573" s="2"/>
      <c r="AG573" s="2"/>
      <c r="AH573" s="2"/>
      <c r="AI573" s="2"/>
    </row>
    <row r="574" spans="1:35" x14ac:dyDescent="0.25">
      <c r="A574" s="1"/>
      <c r="B574" s="1"/>
      <c r="S574" s="1"/>
      <c r="T574" s="1"/>
      <c r="W574" s="1"/>
      <c r="Y574" s="2"/>
      <c r="Z574" s="2"/>
      <c r="AB574" s="3"/>
      <c r="AC574" s="2"/>
      <c r="AG574" s="2"/>
      <c r="AH574" s="2"/>
      <c r="AI574" s="2"/>
    </row>
    <row r="575" spans="1:35" x14ac:dyDescent="0.25">
      <c r="A575" s="1"/>
      <c r="B575" s="1"/>
      <c r="S575" s="1"/>
      <c r="T575" s="1"/>
      <c r="W575" s="1"/>
      <c r="Y575" s="2"/>
      <c r="Z575" s="2"/>
      <c r="AB575" s="3"/>
      <c r="AC575" s="2"/>
      <c r="AG575" s="2"/>
      <c r="AH575" s="2"/>
      <c r="AI575" s="2"/>
    </row>
    <row r="576" spans="1:35" x14ac:dyDescent="0.25">
      <c r="A576" s="1"/>
      <c r="B576" s="1"/>
      <c r="S576" s="1"/>
      <c r="T576" s="1"/>
      <c r="W576" s="1"/>
      <c r="Y576" s="2"/>
      <c r="Z576" s="2"/>
      <c r="AB576" s="3"/>
      <c r="AC576" s="2"/>
      <c r="AG576" s="2"/>
      <c r="AH576" s="2"/>
      <c r="AI576" s="2"/>
    </row>
    <row r="577" spans="1:35" x14ac:dyDescent="0.25">
      <c r="A577" s="1"/>
      <c r="B577" s="1"/>
      <c r="S577" s="1"/>
      <c r="T577" s="1"/>
      <c r="W577" s="1"/>
      <c r="Y577" s="2"/>
      <c r="Z577" s="2"/>
      <c r="AB577" s="3"/>
      <c r="AC577" s="2"/>
      <c r="AG577" s="2"/>
      <c r="AH577" s="2"/>
      <c r="AI577" s="2"/>
    </row>
    <row r="578" spans="1:35" x14ac:dyDescent="0.25">
      <c r="A578" s="1"/>
      <c r="B578" s="1"/>
      <c r="S578" s="1"/>
      <c r="T578" s="1"/>
      <c r="W578" s="1"/>
      <c r="Y578" s="2"/>
      <c r="Z578" s="2"/>
      <c r="AB578" s="3"/>
      <c r="AC578" s="2"/>
      <c r="AG578" s="2"/>
      <c r="AH578" s="2"/>
      <c r="AI578" s="2"/>
    </row>
    <row r="579" spans="1:35" x14ac:dyDescent="0.25">
      <c r="A579" s="1"/>
      <c r="B579" s="1"/>
      <c r="S579" s="1"/>
      <c r="T579" s="1"/>
      <c r="W579" s="1"/>
      <c r="Y579" s="2"/>
      <c r="Z579" s="2"/>
      <c r="AB579" s="3"/>
      <c r="AC579" s="2"/>
      <c r="AG579" s="2"/>
      <c r="AH579" s="2"/>
      <c r="AI579" s="2"/>
    </row>
    <row r="580" spans="1:35" x14ac:dyDescent="0.25">
      <c r="A580" s="1"/>
      <c r="B580" s="1"/>
      <c r="S580" s="1"/>
      <c r="T580" s="1"/>
      <c r="W580" s="1"/>
      <c r="Y580" s="2"/>
      <c r="Z580" s="2"/>
      <c r="AB580" s="3"/>
      <c r="AC580" s="2"/>
      <c r="AG580" s="2"/>
      <c r="AH580" s="2"/>
      <c r="AI580" s="2"/>
    </row>
    <row r="581" spans="1:35" x14ac:dyDescent="0.25">
      <c r="A581" s="1"/>
      <c r="B581" s="1"/>
      <c r="S581" s="1"/>
      <c r="T581" s="1"/>
      <c r="W581" s="1"/>
      <c r="Y581" s="2"/>
      <c r="Z581" s="2"/>
      <c r="AB581" s="3"/>
      <c r="AC581" s="2"/>
      <c r="AG581" s="2"/>
      <c r="AH581" s="2"/>
      <c r="AI581" s="2"/>
    </row>
    <row r="582" spans="1:35" x14ac:dyDescent="0.25">
      <c r="A582" s="1"/>
      <c r="B582" s="1"/>
      <c r="S582" s="1"/>
      <c r="T582" s="1"/>
      <c r="W582" s="1"/>
      <c r="Y582" s="2"/>
      <c r="Z582" s="2"/>
      <c r="AB582" s="3"/>
      <c r="AC582" s="2"/>
      <c r="AG582" s="2"/>
      <c r="AH582" s="2"/>
      <c r="AI582" s="2"/>
    </row>
    <row r="583" spans="1:35" x14ac:dyDescent="0.25">
      <c r="A583" s="1"/>
      <c r="B583" s="1"/>
      <c r="S583" s="1"/>
      <c r="T583" s="1"/>
      <c r="W583" s="1"/>
      <c r="Y583" s="2"/>
      <c r="Z583" s="2"/>
      <c r="AB583" s="3"/>
      <c r="AC583" s="2"/>
      <c r="AG583" s="2"/>
      <c r="AH583" s="2"/>
      <c r="AI583" s="2"/>
    </row>
    <row r="584" spans="1:35" x14ac:dyDescent="0.25">
      <c r="A584" s="1"/>
      <c r="B584" s="1"/>
      <c r="S584" s="1"/>
      <c r="T584" s="1"/>
      <c r="W584" s="1"/>
      <c r="Y584" s="2"/>
      <c r="Z584" s="2"/>
      <c r="AB584" s="3"/>
      <c r="AC584" s="2"/>
      <c r="AG584" s="2"/>
      <c r="AH584" s="2"/>
      <c r="AI584" s="2"/>
    </row>
    <row r="585" spans="1:35" x14ac:dyDescent="0.25">
      <c r="A585" s="1"/>
      <c r="B585" s="1"/>
      <c r="S585" s="1"/>
      <c r="T585" s="1"/>
      <c r="W585" s="1"/>
      <c r="Y585" s="2"/>
      <c r="Z585" s="2"/>
      <c r="AB585" s="3"/>
      <c r="AC585" s="2"/>
      <c r="AG585" s="2"/>
      <c r="AH585" s="2"/>
      <c r="AI585" s="2"/>
    </row>
    <row r="586" spans="1:35" x14ac:dyDescent="0.25">
      <c r="A586" s="1"/>
      <c r="B586" s="1"/>
      <c r="S586" s="1"/>
      <c r="T586" s="1"/>
      <c r="W586" s="1"/>
      <c r="Y586" s="2"/>
      <c r="Z586" s="2"/>
      <c r="AB586" s="3"/>
      <c r="AC586" s="2"/>
      <c r="AG586" s="2"/>
      <c r="AH586" s="2"/>
      <c r="AI586" s="2"/>
    </row>
    <row r="587" spans="1:35" x14ac:dyDescent="0.25">
      <c r="A587" s="1"/>
      <c r="B587" s="1"/>
      <c r="S587" s="1"/>
      <c r="T587" s="1"/>
      <c r="W587" s="1"/>
      <c r="Y587" s="2"/>
      <c r="Z587" s="2"/>
      <c r="AB587" s="3"/>
      <c r="AC587" s="2"/>
      <c r="AG587" s="2"/>
      <c r="AH587" s="2"/>
      <c r="AI587" s="2"/>
    </row>
    <row r="588" spans="1:35" x14ac:dyDescent="0.25">
      <c r="A588" s="1"/>
      <c r="B588" s="1"/>
      <c r="S588" s="1"/>
      <c r="T588" s="1"/>
      <c r="W588" s="1"/>
      <c r="Y588" s="2"/>
      <c r="Z588" s="2"/>
      <c r="AB588" s="3"/>
      <c r="AC588" s="2"/>
      <c r="AG588" s="2"/>
      <c r="AH588" s="2"/>
      <c r="AI588" s="2"/>
    </row>
    <row r="589" spans="1:35" x14ac:dyDescent="0.25">
      <c r="A589" s="1"/>
      <c r="B589" s="1"/>
      <c r="S589" s="1"/>
      <c r="T589" s="1"/>
      <c r="W589" s="1"/>
      <c r="Y589" s="2"/>
      <c r="Z589" s="2"/>
      <c r="AB589" s="3"/>
      <c r="AC589" s="2"/>
      <c r="AG589" s="2"/>
      <c r="AH589" s="2"/>
      <c r="AI589" s="2"/>
    </row>
    <row r="590" spans="1:35" x14ac:dyDescent="0.25">
      <c r="A590" s="1"/>
      <c r="B590" s="1"/>
      <c r="S590" s="1"/>
      <c r="T590" s="1"/>
      <c r="W590" s="1"/>
      <c r="Y590" s="2"/>
      <c r="Z590" s="2"/>
      <c r="AB590" s="3"/>
      <c r="AC590" s="2"/>
      <c r="AG590" s="2"/>
      <c r="AH590" s="2"/>
      <c r="AI590" s="2"/>
    </row>
    <row r="591" spans="1:35" x14ac:dyDescent="0.25">
      <c r="A591" s="1"/>
      <c r="B591" s="1"/>
      <c r="S591" s="1"/>
      <c r="T591" s="1"/>
      <c r="W591" s="1"/>
      <c r="Y591" s="2"/>
      <c r="Z591" s="2"/>
      <c r="AB591" s="3"/>
      <c r="AC591" s="2"/>
      <c r="AG591" s="2"/>
      <c r="AH591" s="2"/>
      <c r="AI591" s="2"/>
    </row>
    <row r="592" spans="1:35" x14ac:dyDescent="0.25">
      <c r="A592" s="1"/>
      <c r="B592" s="1"/>
      <c r="S592" s="1"/>
      <c r="T592" s="1"/>
      <c r="W592" s="1"/>
      <c r="Y592" s="2"/>
      <c r="Z592" s="2"/>
      <c r="AB592" s="3"/>
      <c r="AC592" s="2"/>
      <c r="AG592" s="2"/>
      <c r="AH592" s="2"/>
      <c r="AI592" s="2"/>
    </row>
    <row r="593" spans="1:35" x14ac:dyDescent="0.25">
      <c r="A593" s="1"/>
      <c r="B593" s="1"/>
      <c r="S593" s="1"/>
      <c r="T593" s="1"/>
      <c r="W593" s="1"/>
      <c r="Y593" s="2"/>
      <c r="Z593" s="2"/>
      <c r="AB593" s="3"/>
      <c r="AC593" s="2"/>
      <c r="AG593" s="2"/>
      <c r="AH593" s="2"/>
      <c r="AI593" s="2"/>
    </row>
    <row r="594" spans="1:35" x14ac:dyDescent="0.25">
      <c r="A594" s="1"/>
      <c r="B594" s="1"/>
      <c r="S594" s="1"/>
      <c r="T594" s="1"/>
      <c r="W594" s="1"/>
      <c r="Y594" s="2"/>
      <c r="Z594" s="2"/>
      <c r="AB594" s="3"/>
      <c r="AC594" s="2"/>
      <c r="AG594" s="2"/>
      <c r="AH594" s="2"/>
      <c r="AI594" s="2"/>
    </row>
    <row r="595" spans="1:35" x14ac:dyDescent="0.25">
      <c r="A595" s="1"/>
      <c r="B595" s="1"/>
      <c r="S595" s="1"/>
      <c r="T595" s="1"/>
      <c r="W595" s="1"/>
      <c r="Y595" s="2"/>
      <c r="Z595" s="2"/>
      <c r="AB595" s="3"/>
      <c r="AC595" s="2"/>
      <c r="AG595" s="2"/>
      <c r="AH595" s="2"/>
      <c r="AI595" s="2"/>
    </row>
    <row r="596" spans="1:35" x14ac:dyDescent="0.25">
      <c r="A596" s="1"/>
      <c r="B596" s="1"/>
      <c r="S596" s="1"/>
      <c r="T596" s="1"/>
      <c r="W596" s="1"/>
      <c r="Y596" s="2"/>
      <c r="Z596" s="2"/>
      <c r="AB596" s="3"/>
      <c r="AC596" s="2"/>
      <c r="AG596" s="2"/>
      <c r="AH596" s="2"/>
      <c r="AI596" s="2"/>
    </row>
    <row r="597" spans="1:35" x14ac:dyDescent="0.25">
      <c r="A597" s="1"/>
      <c r="B597" s="1"/>
      <c r="S597" s="1"/>
      <c r="T597" s="1"/>
      <c r="W597" s="1"/>
      <c r="Y597" s="2"/>
      <c r="Z597" s="2"/>
      <c r="AB597" s="3"/>
      <c r="AC597" s="2"/>
      <c r="AG597" s="2"/>
      <c r="AH597" s="2"/>
      <c r="AI597" s="2"/>
    </row>
    <row r="598" spans="1:35" x14ac:dyDescent="0.25">
      <c r="A598" s="1"/>
      <c r="B598" s="1"/>
      <c r="S598" s="1"/>
      <c r="T598" s="1"/>
      <c r="W598" s="1"/>
      <c r="Y598" s="2"/>
      <c r="Z598" s="2"/>
      <c r="AB598" s="3"/>
      <c r="AC598" s="2"/>
      <c r="AG598" s="2"/>
      <c r="AH598" s="2"/>
      <c r="AI598" s="2"/>
    </row>
    <row r="599" spans="1:35" x14ac:dyDescent="0.25">
      <c r="A599" s="1"/>
      <c r="B599" s="1"/>
      <c r="S599" s="1"/>
      <c r="T599" s="1"/>
      <c r="W599" s="1"/>
      <c r="Y599" s="2"/>
      <c r="Z599" s="2"/>
      <c r="AB599" s="3"/>
      <c r="AC599" s="2"/>
      <c r="AG599" s="2"/>
      <c r="AH599" s="2"/>
      <c r="AI599" s="2"/>
    </row>
    <row r="600" spans="1:35" x14ac:dyDescent="0.25">
      <c r="A600" s="1"/>
      <c r="B600" s="1"/>
      <c r="S600" s="1"/>
      <c r="T600" s="1"/>
      <c r="W600" s="1"/>
      <c r="Y600" s="2"/>
      <c r="Z600" s="2"/>
      <c r="AB600" s="3"/>
      <c r="AC600" s="2"/>
      <c r="AG600" s="2"/>
      <c r="AH600" s="2"/>
      <c r="AI600" s="2"/>
    </row>
    <row r="601" spans="1:35" x14ac:dyDescent="0.25">
      <c r="A601" s="1"/>
      <c r="B601" s="1"/>
      <c r="S601" s="1"/>
      <c r="T601" s="1"/>
      <c r="W601" s="1"/>
      <c r="Y601" s="2"/>
      <c r="Z601" s="2"/>
      <c r="AB601" s="3"/>
      <c r="AC601" s="2"/>
      <c r="AG601" s="2"/>
      <c r="AH601" s="2"/>
      <c r="AI601" s="2"/>
    </row>
    <row r="602" spans="1:35" x14ac:dyDescent="0.25">
      <c r="A602" s="1"/>
      <c r="B602" s="1"/>
      <c r="S602" s="1"/>
      <c r="T602" s="1"/>
      <c r="W602" s="1"/>
      <c r="Y602" s="2"/>
      <c r="Z602" s="2"/>
      <c r="AB602" s="3"/>
      <c r="AC602" s="2"/>
      <c r="AG602" s="2"/>
      <c r="AH602" s="2"/>
      <c r="AI602" s="2"/>
    </row>
    <row r="603" spans="1:35" x14ac:dyDescent="0.25">
      <c r="A603" s="1"/>
      <c r="B603" s="1"/>
      <c r="S603" s="1"/>
      <c r="T603" s="1"/>
      <c r="W603" s="1"/>
      <c r="Y603" s="2"/>
      <c r="Z603" s="2"/>
      <c r="AB603" s="3"/>
      <c r="AC603" s="2"/>
      <c r="AG603" s="2"/>
      <c r="AH603" s="2"/>
      <c r="AI603" s="2"/>
    </row>
    <row r="604" spans="1:35" x14ac:dyDescent="0.25">
      <c r="A604" s="1"/>
      <c r="B604" s="1"/>
      <c r="S604" s="1"/>
      <c r="T604" s="1"/>
      <c r="W604" s="1"/>
      <c r="Y604" s="2"/>
      <c r="Z604" s="2"/>
      <c r="AB604" s="3"/>
      <c r="AC604" s="2"/>
      <c r="AG604" s="2"/>
      <c r="AH604" s="2"/>
      <c r="AI604" s="2"/>
    </row>
    <row r="605" spans="1:35" x14ac:dyDescent="0.25">
      <c r="A605" s="1"/>
      <c r="B605" s="1"/>
      <c r="S605" s="1"/>
      <c r="T605" s="1"/>
      <c r="W605" s="1"/>
      <c r="Y605" s="2"/>
      <c r="Z605" s="2"/>
      <c r="AB605" s="3"/>
      <c r="AC605" s="2"/>
      <c r="AG605" s="2"/>
      <c r="AH605" s="2"/>
      <c r="AI605" s="2"/>
    </row>
    <row r="606" spans="1:35" x14ac:dyDescent="0.25">
      <c r="A606" s="1"/>
      <c r="B606" s="1"/>
      <c r="S606" s="1"/>
      <c r="T606" s="1"/>
      <c r="W606" s="1"/>
      <c r="Y606" s="2"/>
      <c r="Z606" s="2"/>
      <c r="AB606" s="3"/>
      <c r="AC606" s="2"/>
      <c r="AG606" s="2"/>
      <c r="AH606" s="2"/>
      <c r="AI606" s="2"/>
    </row>
    <row r="607" spans="1:35" x14ac:dyDescent="0.25">
      <c r="A607" s="1"/>
      <c r="B607" s="1"/>
      <c r="S607" s="1"/>
      <c r="T607" s="1"/>
      <c r="W607" s="1"/>
      <c r="Y607" s="2"/>
      <c r="Z607" s="2"/>
      <c r="AB607" s="3"/>
      <c r="AC607" s="2"/>
      <c r="AG607" s="2"/>
      <c r="AH607" s="2"/>
      <c r="AI607" s="2"/>
    </row>
    <row r="608" spans="1:35" x14ac:dyDescent="0.25">
      <c r="A608" s="1"/>
      <c r="B608" s="1"/>
      <c r="S608" s="1"/>
      <c r="T608" s="1"/>
      <c r="W608" s="1"/>
      <c r="Y608" s="2"/>
      <c r="Z608" s="2"/>
      <c r="AB608" s="3"/>
      <c r="AC608" s="2"/>
      <c r="AG608" s="2"/>
      <c r="AH608" s="2"/>
      <c r="AI608" s="2"/>
    </row>
    <row r="609" spans="1:35" x14ac:dyDescent="0.25">
      <c r="A609" s="1"/>
      <c r="B609" s="1"/>
      <c r="S609" s="1"/>
      <c r="T609" s="1"/>
      <c r="W609" s="1"/>
      <c r="Y609" s="2"/>
      <c r="Z609" s="2"/>
      <c r="AB609" s="3"/>
      <c r="AC609" s="2"/>
      <c r="AG609" s="2"/>
      <c r="AH609" s="2"/>
      <c r="AI609" s="2"/>
    </row>
    <row r="610" spans="1:35" x14ac:dyDescent="0.25">
      <c r="A610" s="1"/>
      <c r="B610" s="1"/>
      <c r="S610" s="1"/>
      <c r="T610" s="1"/>
      <c r="W610" s="1"/>
      <c r="Y610" s="2"/>
      <c r="Z610" s="2"/>
      <c r="AB610" s="3"/>
      <c r="AC610" s="2"/>
      <c r="AG610" s="2"/>
      <c r="AH610" s="2"/>
      <c r="AI610" s="2"/>
    </row>
    <row r="611" spans="1:35" x14ac:dyDescent="0.25">
      <c r="A611" s="1"/>
      <c r="B611" s="1"/>
      <c r="S611" s="1"/>
      <c r="T611" s="1"/>
      <c r="W611" s="1"/>
      <c r="Y611" s="2"/>
      <c r="Z611" s="2"/>
      <c r="AB611" s="3"/>
      <c r="AC611" s="2"/>
      <c r="AG611" s="2"/>
      <c r="AH611" s="2"/>
      <c r="AI611" s="2"/>
    </row>
    <row r="612" spans="1:35" x14ac:dyDescent="0.25">
      <c r="A612" s="1"/>
      <c r="B612" s="1"/>
      <c r="S612" s="1"/>
      <c r="T612" s="1"/>
      <c r="W612" s="1"/>
      <c r="Y612" s="2"/>
      <c r="Z612" s="2"/>
      <c r="AB612" s="3"/>
      <c r="AC612" s="2"/>
      <c r="AG612" s="2"/>
      <c r="AH612" s="2"/>
      <c r="AI612" s="2"/>
    </row>
    <row r="613" spans="1:35" x14ac:dyDescent="0.25">
      <c r="A613" s="1"/>
      <c r="B613" s="1"/>
      <c r="S613" s="1"/>
      <c r="T613" s="1"/>
      <c r="W613" s="1"/>
      <c r="Y613" s="2"/>
      <c r="Z613" s="2"/>
      <c r="AB613" s="3"/>
      <c r="AC613" s="2"/>
      <c r="AG613" s="2"/>
      <c r="AH613" s="2"/>
      <c r="AI613" s="2"/>
    </row>
    <row r="614" spans="1:35" x14ac:dyDescent="0.25">
      <c r="A614" s="1"/>
      <c r="B614" s="1"/>
      <c r="S614" s="1"/>
      <c r="T614" s="1"/>
      <c r="W614" s="1"/>
      <c r="Y614" s="2"/>
      <c r="Z614" s="2"/>
      <c r="AB614" s="3"/>
      <c r="AC614" s="2"/>
      <c r="AG614" s="2"/>
      <c r="AH614" s="2"/>
      <c r="AI614" s="2"/>
    </row>
    <row r="615" spans="1:35" x14ac:dyDescent="0.25">
      <c r="A615" s="1"/>
      <c r="B615" s="1"/>
      <c r="S615" s="1"/>
      <c r="T615" s="1"/>
      <c r="W615" s="1"/>
      <c r="Y615" s="2"/>
      <c r="Z615" s="2"/>
      <c r="AB615" s="3"/>
      <c r="AC615" s="2"/>
      <c r="AG615" s="2"/>
      <c r="AH615" s="2"/>
      <c r="AI615" s="2"/>
    </row>
    <row r="616" spans="1:35" x14ac:dyDescent="0.25">
      <c r="A616" s="1"/>
      <c r="B616" s="1"/>
      <c r="S616" s="1"/>
      <c r="T616" s="1"/>
      <c r="W616" s="1"/>
      <c r="Y616" s="2"/>
      <c r="Z616" s="2"/>
      <c r="AB616" s="3"/>
      <c r="AC616" s="2"/>
      <c r="AG616" s="2"/>
      <c r="AH616" s="2"/>
      <c r="AI616" s="2"/>
    </row>
    <row r="617" spans="1:35" x14ac:dyDescent="0.25">
      <c r="A617" s="1"/>
      <c r="B617" s="1"/>
      <c r="S617" s="1"/>
      <c r="T617" s="1"/>
      <c r="W617" s="1"/>
      <c r="Y617" s="2"/>
      <c r="Z617" s="2"/>
      <c r="AB617" s="3"/>
      <c r="AC617" s="2"/>
      <c r="AG617" s="2"/>
      <c r="AH617" s="2"/>
      <c r="AI617" s="2"/>
    </row>
    <row r="618" spans="1:35" x14ac:dyDescent="0.25">
      <c r="A618" s="1"/>
      <c r="B618" s="1"/>
      <c r="S618" s="1"/>
      <c r="T618" s="1"/>
      <c r="W618" s="1"/>
      <c r="Y618" s="2"/>
      <c r="Z618" s="2"/>
      <c r="AB618" s="3"/>
      <c r="AC618" s="2"/>
      <c r="AG618" s="2"/>
      <c r="AH618" s="2"/>
      <c r="AI618" s="2"/>
    </row>
    <row r="619" spans="1:35" x14ac:dyDescent="0.25">
      <c r="A619" s="1"/>
      <c r="B619" s="1"/>
      <c r="S619" s="1"/>
      <c r="T619" s="1"/>
      <c r="W619" s="1"/>
      <c r="Y619" s="2"/>
      <c r="Z619" s="2"/>
      <c r="AB619" s="3"/>
      <c r="AC619" s="2"/>
      <c r="AG619" s="2"/>
      <c r="AH619" s="2"/>
      <c r="AI619" s="2"/>
    </row>
    <row r="620" spans="1:35" x14ac:dyDescent="0.25">
      <c r="A620" s="1"/>
      <c r="B620" s="1"/>
      <c r="S620" s="1"/>
      <c r="T620" s="1"/>
      <c r="W620" s="1"/>
      <c r="Y620" s="2"/>
      <c r="Z620" s="2"/>
      <c r="AB620" s="3"/>
      <c r="AC620" s="2"/>
      <c r="AG620" s="2"/>
      <c r="AH620" s="2"/>
      <c r="AI620" s="2"/>
    </row>
    <row r="621" spans="1:35" x14ac:dyDescent="0.25">
      <c r="A621" s="1"/>
      <c r="B621" s="1"/>
      <c r="S621" s="1"/>
      <c r="T621" s="1"/>
      <c r="W621" s="1"/>
      <c r="Y621" s="2"/>
      <c r="Z621" s="2"/>
      <c r="AB621" s="3"/>
      <c r="AC621" s="2"/>
      <c r="AG621" s="2"/>
      <c r="AH621" s="2"/>
      <c r="AI621" s="2"/>
    </row>
    <row r="622" spans="1:35" x14ac:dyDescent="0.25">
      <c r="A622" s="1"/>
      <c r="B622" s="1"/>
      <c r="S622" s="1"/>
      <c r="T622" s="1"/>
      <c r="W622" s="1"/>
      <c r="Y622" s="2"/>
      <c r="Z622" s="2"/>
      <c r="AB622" s="3"/>
      <c r="AC622" s="2"/>
      <c r="AG622" s="2"/>
      <c r="AH622" s="2"/>
      <c r="AI622" s="2"/>
    </row>
    <row r="623" spans="1:35" x14ac:dyDescent="0.25">
      <c r="A623" s="1"/>
      <c r="B623" s="1"/>
      <c r="S623" s="1"/>
      <c r="T623" s="1"/>
      <c r="W623" s="1"/>
      <c r="Y623" s="2"/>
      <c r="Z623" s="2"/>
      <c r="AB623" s="3"/>
      <c r="AC623" s="2"/>
      <c r="AG623" s="2"/>
      <c r="AH623" s="2"/>
      <c r="AI623" s="2"/>
    </row>
    <row r="624" spans="1:35" x14ac:dyDescent="0.25">
      <c r="A624" s="1"/>
      <c r="B624" s="1"/>
      <c r="S624" s="1"/>
      <c r="T624" s="1"/>
      <c r="W624" s="1"/>
      <c r="Y624" s="2"/>
      <c r="Z624" s="2"/>
      <c r="AB624" s="3"/>
      <c r="AC624" s="2"/>
      <c r="AG624" s="2"/>
      <c r="AH624" s="2"/>
      <c r="AI624" s="2"/>
    </row>
    <row r="625" spans="1:35" x14ac:dyDescent="0.25">
      <c r="A625" s="1"/>
      <c r="B625" s="1"/>
      <c r="S625" s="1"/>
      <c r="T625" s="1"/>
      <c r="W625" s="1"/>
      <c r="Y625" s="2"/>
      <c r="Z625" s="2"/>
      <c r="AB625" s="3"/>
      <c r="AC625" s="2"/>
      <c r="AG625" s="2"/>
      <c r="AH625" s="2"/>
      <c r="AI625" s="2"/>
    </row>
    <row r="626" spans="1:35" x14ac:dyDescent="0.25">
      <c r="A626" s="1"/>
      <c r="B626" s="1"/>
      <c r="S626" s="1"/>
      <c r="T626" s="1"/>
      <c r="W626" s="1"/>
      <c r="Y626" s="2"/>
      <c r="Z626" s="2"/>
      <c r="AB626" s="3"/>
      <c r="AC626" s="2"/>
      <c r="AG626" s="2"/>
      <c r="AH626" s="2"/>
      <c r="AI626" s="2"/>
    </row>
    <row r="627" spans="1:35" x14ac:dyDescent="0.25">
      <c r="A627" s="1"/>
      <c r="B627" s="1"/>
      <c r="S627" s="1"/>
      <c r="T627" s="1"/>
      <c r="W627" s="1"/>
      <c r="Y627" s="2"/>
      <c r="Z627" s="2"/>
      <c r="AB627" s="3"/>
      <c r="AC627" s="2"/>
      <c r="AG627" s="2"/>
      <c r="AH627" s="2"/>
      <c r="AI627" s="2"/>
    </row>
    <row r="628" spans="1:35" x14ac:dyDescent="0.25">
      <c r="A628" s="1"/>
      <c r="B628" s="1"/>
      <c r="S628" s="1"/>
      <c r="T628" s="1"/>
      <c r="W628" s="1"/>
      <c r="Y628" s="2"/>
      <c r="Z628" s="2"/>
      <c r="AB628" s="3"/>
      <c r="AC628" s="2"/>
      <c r="AG628" s="2"/>
      <c r="AH628" s="2"/>
      <c r="AI628" s="2"/>
    </row>
    <row r="629" spans="1:35" x14ac:dyDescent="0.25">
      <c r="A629" s="1"/>
      <c r="B629" s="1"/>
      <c r="S629" s="1"/>
      <c r="T629" s="1"/>
      <c r="W629" s="1"/>
      <c r="Y629" s="2"/>
      <c r="Z629" s="2"/>
      <c r="AB629" s="3"/>
      <c r="AC629" s="2"/>
      <c r="AG629" s="2"/>
      <c r="AH629" s="2"/>
      <c r="AI629" s="2"/>
    </row>
    <row r="630" spans="1:35" x14ac:dyDescent="0.25">
      <c r="A630" s="1"/>
      <c r="B630" s="1"/>
      <c r="S630" s="1"/>
      <c r="T630" s="1"/>
      <c r="W630" s="1"/>
      <c r="Y630" s="2"/>
      <c r="Z630" s="2"/>
      <c r="AB630" s="3"/>
      <c r="AC630" s="2"/>
      <c r="AG630" s="2"/>
      <c r="AH630" s="2"/>
      <c r="AI630" s="2"/>
    </row>
    <row r="631" spans="1:35" x14ac:dyDescent="0.25">
      <c r="A631" s="1"/>
      <c r="B631" s="1"/>
      <c r="S631" s="1"/>
      <c r="T631" s="1"/>
      <c r="W631" s="1"/>
      <c r="Y631" s="2"/>
      <c r="Z631" s="2"/>
      <c r="AB631" s="3"/>
      <c r="AC631" s="2"/>
      <c r="AG631" s="2"/>
      <c r="AH631" s="2"/>
      <c r="AI631" s="2"/>
    </row>
    <row r="632" spans="1:35" x14ac:dyDescent="0.25">
      <c r="A632" s="1"/>
      <c r="B632" s="1"/>
      <c r="S632" s="1"/>
      <c r="T632" s="1"/>
      <c r="W632" s="1"/>
      <c r="Y632" s="2"/>
      <c r="Z632" s="2"/>
      <c r="AB632" s="3"/>
      <c r="AC632" s="2"/>
      <c r="AG632" s="2"/>
      <c r="AH632" s="2"/>
      <c r="AI632" s="2"/>
    </row>
    <row r="633" spans="1:35" x14ac:dyDescent="0.25">
      <c r="A633" s="1"/>
      <c r="B633" s="1"/>
      <c r="S633" s="1"/>
      <c r="T633" s="1"/>
      <c r="W633" s="1"/>
      <c r="Y633" s="2"/>
      <c r="Z633" s="2"/>
      <c r="AB633" s="3"/>
      <c r="AC633" s="2"/>
      <c r="AG633" s="2"/>
      <c r="AH633" s="2"/>
      <c r="AI633" s="2"/>
    </row>
    <row r="634" spans="1:35" x14ac:dyDescent="0.25">
      <c r="A634" s="1"/>
      <c r="B634" s="1"/>
      <c r="S634" s="1"/>
      <c r="T634" s="1"/>
      <c r="W634" s="1"/>
      <c r="Y634" s="2"/>
      <c r="Z634" s="2"/>
      <c r="AB634" s="3"/>
      <c r="AC634" s="2"/>
      <c r="AG634" s="2"/>
      <c r="AH634" s="2"/>
      <c r="AI634" s="2"/>
    </row>
    <row r="635" spans="1:35" x14ac:dyDescent="0.25">
      <c r="A635" s="1"/>
      <c r="B635" s="1"/>
      <c r="S635" s="1"/>
      <c r="T635" s="1"/>
      <c r="W635" s="1"/>
      <c r="Y635" s="2"/>
      <c r="Z635" s="2"/>
      <c r="AB635" s="3"/>
      <c r="AC635" s="2"/>
      <c r="AG635" s="2"/>
      <c r="AH635" s="2"/>
      <c r="AI635" s="2"/>
    </row>
    <row r="636" spans="1:35" x14ac:dyDescent="0.25">
      <c r="A636" s="1"/>
      <c r="B636" s="1"/>
      <c r="S636" s="1"/>
      <c r="T636" s="1"/>
      <c r="W636" s="1"/>
      <c r="Y636" s="2"/>
      <c r="Z636" s="2"/>
      <c r="AB636" s="3"/>
      <c r="AC636" s="2"/>
      <c r="AG636" s="2"/>
      <c r="AH636" s="2"/>
      <c r="AI636" s="2"/>
    </row>
    <row r="637" spans="1:35" x14ac:dyDescent="0.25">
      <c r="A637" s="1"/>
      <c r="B637" s="1"/>
      <c r="S637" s="1"/>
      <c r="T637" s="1"/>
      <c r="W637" s="1"/>
      <c r="Y637" s="2"/>
      <c r="Z637" s="2"/>
      <c r="AB637" s="3"/>
      <c r="AC637" s="2"/>
      <c r="AG637" s="2"/>
      <c r="AH637" s="2"/>
      <c r="AI637" s="2"/>
    </row>
    <row r="638" spans="1:35" x14ac:dyDescent="0.25">
      <c r="A638" s="1"/>
      <c r="B638" s="1"/>
      <c r="S638" s="1"/>
      <c r="T638" s="1"/>
      <c r="W638" s="1"/>
      <c r="Y638" s="2"/>
      <c r="Z638" s="2"/>
      <c r="AB638" s="3"/>
      <c r="AC638" s="2"/>
      <c r="AG638" s="2"/>
      <c r="AH638" s="2"/>
      <c r="AI638" s="2"/>
    </row>
    <row r="639" spans="1:35" x14ac:dyDescent="0.25">
      <c r="A639" s="1"/>
      <c r="B639" s="1"/>
      <c r="S639" s="1"/>
      <c r="T639" s="1"/>
      <c r="W639" s="1"/>
      <c r="Y639" s="2"/>
      <c r="Z639" s="2"/>
      <c r="AB639" s="3"/>
      <c r="AC639" s="2"/>
      <c r="AG639" s="2"/>
      <c r="AH639" s="2"/>
      <c r="AI639" s="2"/>
    </row>
    <row r="640" spans="1:35" x14ac:dyDescent="0.25">
      <c r="A640" s="1"/>
      <c r="B640" s="1"/>
      <c r="S640" s="1"/>
      <c r="T640" s="1"/>
      <c r="W640" s="1"/>
      <c r="Y640" s="2"/>
      <c r="Z640" s="2"/>
      <c r="AB640" s="3"/>
      <c r="AC640" s="2"/>
      <c r="AG640" s="2"/>
      <c r="AH640" s="2"/>
      <c r="AI640" s="2"/>
    </row>
    <row r="641" spans="1:35" x14ac:dyDescent="0.25">
      <c r="A641" s="1"/>
      <c r="B641" s="1"/>
      <c r="S641" s="1"/>
      <c r="T641" s="1"/>
      <c r="W641" s="1"/>
      <c r="Y641" s="2"/>
      <c r="Z641" s="2"/>
      <c r="AB641" s="3"/>
      <c r="AC641" s="2"/>
      <c r="AG641" s="2"/>
      <c r="AH641" s="2"/>
      <c r="AI641" s="2"/>
    </row>
    <row r="642" spans="1:35" x14ac:dyDescent="0.25">
      <c r="A642" s="1"/>
      <c r="B642" s="1"/>
      <c r="S642" s="1"/>
      <c r="T642" s="1"/>
      <c r="W642" s="1"/>
      <c r="Y642" s="2"/>
      <c r="Z642" s="2"/>
      <c r="AB642" s="3"/>
      <c r="AC642" s="2"/>
      <c r="AG642" s="2"/>
      <c r="AH642" s="2"/>
      <c r="AI642" s="2"/>
    </row>
    <row r="643" spans="1:35" x14ac:dyDescent="0.25">
      <c r="A643" s="1"/>
      <c r="B643" s="1"/>
      <c r="S643" s="1"/>
      <c r="T643" s="1"/>
      <c r="W643" s="1"/>
      <c r="Y643" s="2"/>
      <c r="Z643" s="2"/>
      <c r="AB643" s="3"/>
      <c r="AC643" s="2"/>
      <c r="AG643" s="2"/>
      <c r="AH643" s="2"/>
      <c r="AI643" s="2"/>
    </row>
    <row r="644" spans="1:35" x14ac:dyDescent="0.25">
      <c r="A644" s="1"/>
      <c r="B644" s="1"/>
      <c r="S644" s="1"/>
      <c r="T644" s="1"/>
      <c r="W644" s="1"/>
      <c r="Y644" s="2"/>
      <c r="Z644" s="2"/>
      <c r="AB644" s="3"/>
      <c r="AC644" s="2"/>
      <c r="AG644" s="2"/>
      <c r="AH644" s="2"/>
      <c r="AI644" s="2"/>
    </row>
    <row r="645" spans="1:35" x14ac:dyDescent="0.25">
      <c r="A645" s="1"/>
      <c r="B645" s="1"/>
      <c r="S645" s="1"/>
      <c r="T645" s="1"/>
      <c r="W645" s="1"/>
      <c r="Y645" s="2"/>
      <c r="Z645" s="2"/>
      <c r="AB645" s="3"/>
      <c r="AC645" s="2"/>
      <c r="AG645" s="2"/>
      <c r="AH645" s="2"/>
      <c r="AI645" s="2"/>
    </row>
    <row r="646" spans="1:35" x14ac:dyDescent="0.25">
      <c r="A646" s="1"/>
      <c r="B646" s="1"/>
      <c r="S646" s="1"/>
      <c r="T646" s="1"/>
      <c r="W646" s="1"/>
      <c r="Y646" s="2"/>
      <c r="Z646" s="2"/>
      <c r="AB646" s="3"/>
      <c r="AC646" s="2"/>
      <c r="AG646" s="2"/>
      <c r="AH646" s="2"/>
      <c r="AI646" s="2"/>
    </row>
    <row r="647" spans="1:35" x14ac:dyDescent="0.25">
      <c r="A647" s="1"/>
      <c r="B647" s="1"/>
      <c r="S647" s="1"/>
      <c r="T647" s="1"/>
      <c r="W647" s="1"/>
      <c r="Y647" s="2"/>
      <c r="Z647" s="2"/>
      <c r="AB647" s="3"/>
      <c r="AC647" s="2"/>
      <c r="AG647" s="2"/>
      <c r="AH647" s="2"/>
      <c r="AI647" s="2"/>
    </row>
    <row r="648" spans="1:35" x14ac:dyDescent="0.25">
      <c r="A648" s="1"/>
      <c r="B648" s="1"/>
      <c r="S648" s="1"/>
      <c r="T648" s="1"/>
      <c r="W648" s="1"/>
      <c r="Y648" s="2"/>
      <c r="Z648" s="2"/>
      <c r="AB648" s="3"/>
      <c r="AC648" s="2"/>
      <c r="AG648" s="2"/>
      <c r="AH648" s="2"/>
      <c r="AI648" s="2"/>
    </row>
    <row r="649" spans="1:35" x14ac:dyDescent="0.25">
      <c r="A649" s="1"/>
      <c r="B649" s="1"/>
      <c r="S649" s="1"/>
      <c r="T649" s="1"/>
      <c r="W649" s="1"/>
      <c r="Y649" s="2"/>
      <c r="Z649" s="2"/>
      <c r="AB649" s="3"/>
      <c r="AC649" s="2"/>
      <c r="AG649" s="2"/>
      <c r="AH649" s="2"/>
      <c r="AI649" s="2"/>
    </row>
    <row r="650" spans="1:35" x14ac:dyDescent="0.25">
      <c r="A650" s="1"/>
      <c r="B650" s="1"/>
      <c r="S650" s="1"/>
      <c r="T650" s="1"/>
      <c r="W650" s="1"/>
      <c r="Y650" s="2"/>
      <c r="Z650" s="2"/>
      <c r="AB650" s="3"/>
      <c r="AC650" s="2"/>
      <c r="AG650" s="2"/>
      <c r="AH650" s="2"/>
      <c r="AI650" s="2"/>
    </row>
    <row r="651" spans="1:35" x14ac:dyDescent="0.25">
      <c r="A651" s="1"/>
      <c r="B651" s="1"/>
      <c r="S651" s="1"/>
      <c r="T651" s="1"/>
      <c r="W651" s="1"/>
      <c r="Y651" s="2"/>
      <c r="Z651" s="2"/>
      <c r="AB651" s="3"/>
      <c r="AC651" s="2"/>
      <c r="AG651" s="2"/>
      <c r="AH651" s="2"/>
      <c r="AI651" s="2"/>
    </row>
    <row r="652" spans="1:35" x14ac:dyDescent="0.25">
      <c r="A652" s="1"/>
      <c r="B652" s="1"/>
      <c r="S652" s="1"/>
      <c r="T652" s="1"/>
      <c r="W652" s="1"/>
      <c r="Y652" s="2"/>
      <c r="Z652" s="2"/>
      <c r="AB652" s="3"/>
      <c r="AC652" s="2"/>
      <c r="AG652" s="2"/>
      <c r="AH652" s="2"/>
      <c r="AI652" s="2"/>
    </row>
    <row r="653" spans="1:35" x14ac:dyDescent="0.25">
      <c r="A653" s="1"/>
      <c r="B653" s="1"/>
      <c r="S653" s="1"/>
      <c r="T653" s="1"/>
      <c r="W653" s="1"/>
      <c r="Y653" s="2"/>
      <c r="Z653" s="2"/>
      <c r="AB653" s="3"/>
      <c r="AC653" s="2"/>
      <c r="AG653" s="2"/>
      <c r="AH653" s="2"/>
      <c r="AI653" s="2"/>
    </row>
    <row r="654" spans="1:35" x14ac:dyDescent="0.25">
      <c r="A654" s="1"/>
      <c r="B654" s="1"/>
      <c r="S654" s="1"/>
      <c r="T654" s="1"/>
      <c r="W654" s="1"/>
      <c r="Y654" s="2"/>
      <c r="Z654" s="2"/>
      <c r="AB654" s="3"/>
      <c r="AC654" s="2"/>
      <c r="AG654" s="2"/>
      <c r="AH654" s="2"/>
      <c r="AI654" s="2"/>
    </row>
    <row r="655" spans="1:35" x14ac:dyDescent="0.25">
      <c r="A655" s="1"/>
      <c r="B655" s="1"/>
      <c r="S655" s="1"/>
      <c r="T655" s="1"/>
      <c r="W655" s="1"/>
      <c r="Y655" s="2"/>
      <c r="Z655" s="2"/>
      <c r="AB655" s="3"/>
      <c r="AC655" s="2"/>
      <c r="AG655" s="2"/>
      <c r="AH655" s="2"/>
      <c r="AI655" s="2"/>
    </row>
    <row r="656" spans="1:35" x14ac:dyDescent="0.25">
      <c r="A656" s="1"/>
      <c r="B656" s="1"/>
      <c r="S656" s="1"/>
      <c r="T656" s="1"/>
      <c r="W656" s="1"/>
      <c r="Y656" s="2"/>
      <c r="Z656" s="2"/>
      <c r="AB656" s="3"/>
      <c r="AC656" s="2"/>
      <c r="AG656" s="2"/>
      <c r="AH656" s="2"/>
      <c r="AI656" s="2"/>
    </row>
    <row r="657" spans="1:35" x14ac:dyDescent="0.25">
      <c r="A657" s="1"/>
      <c r="B657" s="1"/>
      <c r="S657" s="1"/>
      <c r="T657" s="1"/>
      <c r="W657" s="1"/>
      <c r="Y657" s="2"/>
      <c r="Z657" s="2"/>
      <c r="AB657" s="3"/>
      <c r="AC657" s="2"/>
      <c r="AG657" s="2"/>
      <c r="AH657" s="2"/>
      <c r="AI657" s="2"/>
    </row>
    <row r="658" spans="1:35" x14ac:dyDescent="0.25">
      <c r="A658" s="1"/>
      <c r="B658" s="1"/>
      <c r="S658" s="1"/>
      <c r="T658" s="1"/>
      <c r="W658" s="1"/>
      <c r="Y658" s="2"/>
      <c r="Z658" s="2"/>
      <c r="AB658" s="3"/>
      <c r="AC658" s="2"/>
      <c r="AG658" s="2"/>
      <c r="AH658" s="2"/>
      <c r="AI658" s="2"/>
    </row>
    <row r="659" spans="1:35" x14ac:dyDescent="0.25">
      <c r="A659" s="1"/>
      <c r="B659" s="1"/>
      <c r="S659" s="1"/>
      <c r="T659" s="1"/>
      <c r="W659" s="1"/>
      <c r="Y659" s="2"/>
      <c r="Z659" s="2"/>
      <c r="AB659" s="3"/>
      <c r="AC659" s="2"/>
      <c r="AG659" s="2"/>
      <c r="AH659" s="2"/>
      <c r="AI659" s="2"/>
    </row>
    <row r="660" spans="1:35" x14ac:dyDescent="0.25">
      <c r="A660" s="1"/>
      <c r="B660" s="1"/>
      <c r="S660" s="1"/>
      <c r="T660" s="1"/>
      <c r="W660" s="1"/>
      <c r="Y660" s="2"/>
      <c r="Z660" s="2"/>
      <c r="AB660" s="3"/>
      <c r="AC660" s="2"/>
      <c r="AG660" s="2"/>
      <c r="AH660" s="2"/>
      <c r="AI660" s="2"/>
    </row>
    <row r="661" spans="1:35" x14ac:dyDescent="0.25">
      <c r="A661" s="1"/>
      <c r="B661" s="1"/>
      <c r="S661" s="1"/>
      <c r="T661" s="1"/>
      <c r="W661" s="1"/>
      <c r="Y661" s="2"/>
      <c r="Z661" s="2"/>
      <c r="AB661" s="3"/>
      <c r="AC661" s="2"/>
      <c r="AG661" s="2"/>
      <c r="AH661" s="2"/>
      <c r="AI661" s="2"/>
    </row>
    <row r="662" spans="1:35" x14ac:dyDescent="0.25">
      <c r="A662" s="1"/>
      <c r="B662" s="1"/>
      <c r="S662" s="1"/>
      <c r="T662" s="1"/>
      <c r="W662" s="1"/>
      <c r="Y662" s="2"/>
      <c r="Z662" s="2"/>
      <c r="AB662" s="3"/>
      <c r="AC662" s="2"/>
      <c r="AG662" s="2"/>
      <c r="AH662" s="2"/>
      <c r="AI662" s="2"/>
    </row>
    <row r="663" spans="1:35" x14ac:dyDescent="0.25">
      <c r="A663" s="1"/>
      <c r="B663" s="1"/>
      <c r="S663" s="1"/>
      <c r="T663" s="1"/>
      <c r="W663" s="1"/>
      <c r="Y663" s="2"/>
      <c r="Z663" s="2"/>
      <c r="AB663" s="3"/>
      <c r="AC663" s="2"/>
      <c r="AG663" s="2"/>
      <c r="AH663" s="2"/>
      <c r="AI663" s="2"/>
    </row>
    <row r="664" spans="1:35" x14ac:dyDescent="0.25">
      <c r="A664" s="1"/>
      <c r="B664" s="1"/>
      <c r="S664" s="1"/>
      <c r="T664" s="1"/>
      <c r="W664" s="1"/>
      <c r="Y664" s="2"/>
      <c r="Z664" s="2"/>
      <c r="AB664" s="3"/>
      <c r="AC664" s="2"/>
      <c r="AG664" s="2"/>
      <c r="AH664" s="2"/>
      <c r="AI664" s="2"/>
    </row>
    <row r="665" spans="1:35" x14ac:dyDescent="0.25">
      <c r="A665" s="1"/>
      <c r="B665" s="1"/>
      <c r="S665" s="1"/>
      <c r="T665" s="1"/>
      <c r="W665" s="1"/>
      <c r="Y665" s="2"/>
      <c r="Z665" s="2"/>
      <c r="AB665" s="3"/>
      <c r="AC665" s="2"/>
      <c r="AG665" s="2"/>
      <c r="AH665" s="2"/>
      <c r="AI665" s="2"/>
    </row>
    <row r="666" spans="1:35" x14ac:dyDescent="0.25">
      <c r="A666" s="1"/>
      <c r="B666" s="1"/>
      <c r="S666" s="1"/>
      <c r="T666" s="1"/>
      <c r="W666" s="1"/>
      <c r="Y666" s="2"/>
      <c r="Z666" s="2"/>
      <c r="AB666" s="3"/>
      <c r="AC666" s="2"/>
      <c r="AG666" s="2"/>
      <c r="AH666" s="2"/>
      <c r="AI666" s="2"/>
    </row>
    <row r="667" spans="1:35" x14ac:dyDescent="0.25">
      <c r="A667" s="1"/>
      <c r="B667" s="1"/>
      <c r="S667" s="1"/>
      <c r="T667" s="1"/>
      <c r="W667" s="1"/>
      <c r="Y667" s="2"/>
      <c r="Z667" s="2"/>
      <c r="AB667" s="3"/>
      <c r="AC667" s="2"/>
      <c r="AG667" s="2"/>
      <c r="AH667" s="2"/>
      <c r="AI667" s="2"/>
    </row>
    <row r="668" spans="1:35" x14ac:dyDescent="0.25">
      <c r="A668" s="1"/>
      <c r="B668" s="1"/>
      <c r="S668" s="1"/>
      <c r="T668" s="1"/>
      <c r="W668" s="1"/>
      <c r="Y668" s="2"/>
      <c r="Z668" s="2"/>
      <c r="AB668" s="3"/>
      <c r="AC668" s="2"/>
      <c r="AG668" s="2"/>
      <c r="AH668" s="2"/>
      <c r="AI668" s="2"/>
    </row>
    <row r="669" spans="1:35" x14ac:dyDescent="0.25">
      <c r="A669" s="1"/>
      <c r="B669" s="1"/>
      <c r="S669" s="1"/>
      <c r="T669" s="1"/>
      <c r="W669" s="1"/>
      <c r="Y669" s="2"/>
      <c r="Z669" s="2"/>
      <c r="AB669" s="3"/>
      <c r="AC669" s="2"/>
      <c r="AG669" s="2"/>
      <c r="AH669" s="2"/>
      <c r="AI669" s="2"/>
    </row>
    <row r="670" spans="1:35" x14ac:dyDescent="0.25">
      <c r="A670" s="1"/>
      <c r="B670" s="1"/>
      <c r="S670" s="1"/>
      <c r="T670" s="1"/>
      <c r="W670" s="1"/>
      <c r="Y670" s="2"/>
      <c r="Z670" s="2"/>
      <c r="AB670" s="3"/>
      <c r="AC670" s="2"/>
      <c r="AG670" s="2"/>
      <c r="AH670" s="2"/>
      <c r="AI670" s="2"/>
    </row>
    <row r="671" spans="1:35" x14ac:dyDescent="0.25">
      <c r="A671" s="1"/>
      <c r="B671" s="1"/>
      <c r="S671" s="1"/>
      <c r="T671" s="1"/>
      <c r="W671" s="1"/>
      <c r="Y671" s="2"/>
      <c r="Z671" s="2"/>
      <c r="AB671" s="3"/>
      <c r="AC671" s="2"/>
      <c r="AG671" s="2"/>
      <c r="AH671" s="2"/>
      <c r="AI671" s="2"/>
    </row>
    <row r="672" spans="1:35" x14ac:dyDescent="0.25">
      <c r="A672" s="1"/>
      <c r="B672" s="1"/>
      <c r="S672" s="1"/>
      <c r="T672" s="1"/>
      <c r="W672" s="1"/>
      <c r="Y672" s="2"/>
      <c r="Z672" s="2"/>
      <c r="AB672" s="3"/>
      <c r="AC672" s="2"/>
      <c r="AG672" s="2"/>
      <c r="AH672" s="2"/>
      <c r="AI672" s="2"/>
    </row>
    <row r="673" spans="1:35" x14ac:dyDescent="0.25">
      <c r="A673" s="1"/>
      <c r="B673" s="1"/>
      <c r="S673" s="1"/>
      <c r="T673" s="1"/>
      <c r="W673" s="1"/>
      <c r="Y673" s="2"/>
      <c r="Z673" s="2"/>
      <c r="AB673" s="3"/>
      <c r="AC673" s="2"/>
      <c r="AG673" s="2"/>
      <c r="AH673" s="2"/>
      <c r="AI673" s="2"/>
    </row>
    <row r="674" spans="1:35" x14ac:dyDescent="0.25">
      <c r="A674" s="1"/>
      <c r="B674" s="1"/>
      <c r="S674" s="1"/>
      <c r="T674" s="1"/>
      <c r="W674" s="1"/>
      <c r="Y674" s="2"/>
      <c r="Z674" s="2"/>
      <c r="AB674" s="3"/>
      <c r="AC674" s="2"/>
      <c r="AG674" s="2"/>
      <c r="AH674" s="2"/>
      <c r="AI674" s="2"/>
    </row>
    <row r="675" spans="1:35" x14ac:dyDescent="0.25">
      <c r="A675" s="1"/>
      <c r="B675" s="1"/>
      <c r="S675" s="1"/>
      <c r="T675" s="1"/>
      <c r="W675" s="1"/>
      <c r="Y675" s="2"/>
      <c r="Z675" s="2"/>
      <c r="AB675" s="3"/>
      <c r="AC675" s="2"/>
      <c r="AG675" s="2"/>
      <c r="AH675" s="2"/>
      <c r="AI675" s="2"/>
    </row>
    <row r="676" spans="1:35" x14ac:dyDescent="0.25">
      <c r="A676" s="1"/>
      <c r="B676" s="1"/>
      <c r="S676" s="1"/>
      <c r="T676" s="1"/>
      <c r="W676" s="1"/>
      <c r="Y676" s="2"/>
      <c r="Z676" s="2"/>
      <c r="AB676" s="3"/>
      <c r="AC676" s="2"/>
      <c r="AG676" s="2"/>
      <c r="AH676" s="2"/>
      <c r="AI676" s="2"/>
    </row>
    <row r="677" spans="1:35" x14ac:dyDescent="0.25">
      <c r="A677" s="1"/>
      <c r="B677" s="1"/>
      <c r="S677" s="1"/>
      <c r="T677" s="1"/>
      <c r="W677" s="1"/>
      <c r="Y677" s="2"/>
      <c r="Z677" s="2"/>
      <c r="AB677" s="3"/>
      <c r="AC677" s="2"/>
      <c r="AG677" s="2"/>
      <c r="AH677" s="2"/>
      <c r="AI677" s="2"/>
    </row>
    <row r="678" spans="1:35" x14ac:dyDescent="0.25">
      <c r="A678" s="1"/>
      <c r="B678" s="1"/>
      <c r="S678" s="1"/>
      <c r="T678" s="1"/>
      <c r="W678" s="1"/>
      <c r="Y678" s="2"/>
      <c r="Z678" s="2"/>
      <c r="AB678" s="3"/>
      <c r="AC678" s="2"/>
      <c r="AG678" s="2"/>
      <c r="AH678" s="2"/>
      <c r="AI678" s="2"/>
    </row>
    <row r="679" spans="1:35" x14ac:dyDescent="0.25">
      <c r="A679" s="1"/>
      <c r="B679" s="1"/>
      <c r="S679" s="1"/>
      <c r="T679" s="1"/>
      <c r="W679" s="1"/>
      <c r="Y679" s="2"/>
      <c r="Z679" s="2"/>
      <c r="AB679" s="3"/>
      <c r="AC679" s="2"/>
      <c r="AG679" s="2"/>
      <c r="AH679" s="2"/>
      <c r="AI679" s="2"/>
    </row>
    <row r="680" spans="1:35" x14ac:dyDescent="0.25">
      <c r="A680" s="1"/>
      <c r="B680" s="1"/>
      <c r="S680" s="1"/>
      <c r="T680" s="1"/>
      <c r="W680" s="1"/>
      <c r="Y680" s="2"/>
      <c r="Z680" s="2"/>
      <c r="AB680" s="3"/>
      <c r="AC680" s="2"/>
      <c r="AG680" s="2"/>
      <c r="AH680" s="2"/>
      <c r="AI680" s="2"/>
    </row>
    <row r="681" spans="1:35" x14ac:dyDescent="0.25">
      <c r="A681" s="1"/>
      <c r="B681" s="1"/>
      <c r="S681" s="1"/>
      <c r="T681" s="1"/>
      <c r="W681" s="1"/>
      <c r="Y681" s="2"/>
      <c r="Z681" s="2"/>
      <c r="AB681" s="3"/>
      <c r="AC681" s="2"/>
      <c r="AG681" s="2"/>
      <c r="AH681" s="2"/>
      <c r="AI681" s="2"/>
    </row>
    <row r="682" spans="1:35" x14ac:dyDescent="0.25">
      <c r="A682" s="1"/>
      <c r="B682" s="1"/>
      <c r="S682" s="1"/>
      <c r="T682" s="1"/>
      <c r="W682" s="1"/>
      <c r="Y682" s="2"/>
      <c r="Z682" s="2"/>
      <c r="AB682" s="3"/>
      <c r="AC682" s="2"/>
      <c r="AG682" s="2"/>
      <c r="AH682" s="2"/>
      <c r="AI682" s="2"/>
    </row>
    <row r="683" spans="1:35" x14ac:dyDescent="0.25">
      <c r="A683" s="1"/>
      <c r="B683" s="1"/>
      <c r="S683" s="1"/>
      <c r="T683" s="1"/>
      <c r="W683" s="1"/>
      <c r="Y683" s="2"/>
      <c r="Z683" s="2"/>
      <c r="AB683" s="3"/>
      <c r="AC683" s="2"/>
      <c r="AG683" s="2"/>
      <c r="AH683" s="2"/>
      <c r="AI683" s="2"/>
    </row>
    <row r="684" spans="1:35" x14ac:dyDescent="0.25">
      <c r="A684" s="1"/>
      <c r="B684" s="1"/>
      <c r="S684" s="1"/>
      <c r="T684" s="1"/>
      <c r="W684" s="1"/>
      <c r="Y684" s="2"/>
      <c r="Z684" s="2"/>
      <c r="AB684" s="3"/>
      <c r="AC684" s="2"/>
      <c r="AG684" s="2"/>
      <c r="AH684" s="2"/>
      <c r="AI684" s="2"/>
    </row>
    <row r="685" spans="1:35" x14ac:dyDescent="0.25">
      <c r="A685" s="1"/>
      <c r="B685" s="1"/>
      <c r="S685" s="1"/>
      <c r="T685" s="1"/>
      <c r="W685" s="1"/>
      <c r="Y685" s="2"/>
      <c r="Z685" s="2"/>
      <c r="AB685" s="3"/>
      <c r="AC685" s="2"/>
      <c r="AG685" s="2"/>
      <c r="AH685" s="2"/>
      <c r="AI685" s="2"/>
    </row>
    <row r="686" spans="1:35" x14ac:dyDescent="0.25">
      <c r="A686" s="1"/>
      <c r="B686" s="1"/>
      <c r="S686" s="1"/>
      <c r="T686" s="1"/>
      <c r="W686" s="1"/>
      <c r="Y686" s="2"/>
      <c r="Z686" s="2"/>
      <c r="AB686" s="3"/>
      <c r="AC686" s="2"/>
      <c r="AG686" s="2"/>
      <c r="AH686" s="2"/>
      <c r="AI686" s="2"/>
    </row>
    <row r="687" spans="1:35" x14ac:dyDescent="0.25">
      <c r="A687" s="1"/>
      <c r="B687" s="1"/>
      <c r="S687" s="1"/>
      <c r="T687" s="1"/>
      <c r="W687" s="1"/>
      <c r="Y687" s="2"/>
      <c r="Z687" s="2"/>
      <c r="AB687" s="3"/>
      <c r="AC687" s="2"/>
      <c r="AG687" s="2"/>
      <c r="AH687" s="2"/>
      <c r="AI687" s="2"/>
    </row>
    <row r="688" spans="1:35" x14ac:dyDescent="0.25">
      <c r="A688" s="1"/>
      <c r="B688" s="1"/>
      <c r="S688" s="1"/>
      <c r="T688" s="1"/>
      <c r="W688" s="1"/>
      <c r="Y688" s="2"/>
      <c r="Z688" s="2"/>
      <c r="AB688" s="3"/>
      <c r="AC688" s="2"/>
      <c r="AG688" s="2"/>
      <c r="AH688" s="2"/>
      <c r="AI688" s="2"/>
    </row>
    <row r="689" spans="1:35" x14ac:dyDescent="0.25">
      <c r="A689" s="1"/>
      <c r="B689" s="1"/>
      <c r="S689" s="1"/>
      <c r="T689" s="1"/>
      <c r="W689" s="1"/>
      <c r="Y689" s="2"/>
      <c r="Z689" s="2"/>
      <c r="AB689" s="3"/>
      <c r="AC689" s="2"/>
      <c r="AG689" s="2"/>
      <c r="AH689" s="2"/>
      <c r="AI689" s="2"/>
    </row>
    <row r="690" spans="1:35" x14ac:dyDescent="0.25">
      <c r="A690" s="1"/>
      <c r="B690" s="1"/>
      <c r="S690" s="1"/>
      <c r="T690" s="1"/>
      <c r="W690" s="1"/>
      <c r="Y690" s="2"/>
      <c r="Z690" s="2"/>
      <c r="AB690" s="3"/>
      <c r="AC690" s="2"/>
      <c r="AG690" s="2"/>
      <c r="AH690" s="2"/>
      <c r="AI690" s="2"/>
    </row>
    <row r="691" spans="1:35" x14ac:dyDescent="0.25">
      <c r="A691" s="1"/>
      <c r="B691" s="1"/>
      <c r="S691" s="1"/>
      <c r="T691" s="1"/>
      <c r="W691" s="1"/>
      <c r="Y691" s="2"/>
      <c r="Z691" s="2"/>
      <c r="AB691" s="3"/>
      <c r="AC691" s="2"/>
      <c r="AG691" s="2"/>
      <c r="AH691" s="2"/>
      <c r="AI691" s="2"/>
    </row>
    <row r="692" spans="1:35" x14ac:dyDescent="0.25">
      <c r="A692" s="1"/>
      <c r="B692" s="1"/>
      <c r="S692" s="1"/>
      <c r="T692" s="1"/>
      <c r="W692" s="1"/>
      <c r="Y692" s="2"/>
      <c r="Z692" s="2"/>
      <c r="AB692" s="3"/>
      <c r="AC692" s="2"/>
      <c r="AG692" s="2"/>
      <c r="AH692" s="2"/>
      <c r="AI692" s="2"/>
    </row>
    <row r="693" spans="1:35" x14ac:dyDescent="0.25">
      <c r="A693" s="1"/>
      <c r="B693" s="1"/>
      <c r="S693" s="1"/>
      <c r="T693" s="1"/>
      <c r="W693" s="1"/>
      <c r="Y693" s="2"/>
      <c r="Z693" s="2"/>
      <c r="AB693" s="3"/>
      <c r="AC693" s="2"/>
      <c r="AG693" s="2"/>
      <c r="AH693" s="2"/>
      <c r="AI693" s="2"/>
    </row>
    <row r="694" spans="1:35" x14ac:dyDescent="0.25">
      <c r="A694" s="1"/>
      <c r="B694" s="1"/>
      <c r="S694" s="1"/>
      <c r="T694" s="1"/>
      <c r="W694" s="1"/>
      <c r="Y694" s="2"/>
      <c r="Z694" s="2"/>
      <c r="AB694" s="3"/>
      <c r="AC694" s="2"/>
      <c r="AG694" s="2"/>
      <c r="AH694" s="2"/>
      <c r="AI694" s="2"/>
    </row>
    <row r="695" spans="1:35" x14ac:dyDescent="0.25">
      <c r="A695" s="1"/>
      <c r="B695" s="1"/>
      <c r="S695" s="1"/>
      <c r="T695" s="1"/>
      <c r="W695" s="1"/>
      <c r="Y695" s="2"/>
      <c r="Z695" s="2"/>
      <c r="AB695" s="3"/>
      <c r="AC695" s="2"/>
      <c r="AG695" s="2"/>
      <c r="AH695" s="2"/>
      <c r="AI695" s="2"/>
    </row>
    <row r="696" spans="1:35" x14ac:dyDescent="0.25">
      <c r="A696" s="1"/>
      <c r="B696" s="1"/>
      <c r="S696" s="1"/>
      <c r="T696" s="1"/>
      <c r="W696" s="1"/>
      <c r="Y696" s="2"/>
      <c r="Z696" s="2"/>
      <c r="AB696" s="3"/>
      <c r="AC696" s="2"/>
      <c r="AG696" s="2"/>
      <c r="AH696" s="2"/>
      <c r="AI696" s="2"/>
    </row>
    <row r="697" spans="1:35" x14ac:dyDescent="0.25">
      <c r="A697" s="1"/>
      <c r="B697" s="1"/>
      <c r="S697" s="1"/>
      <c r="T697" s="1"/>
      <c r="W697" s="1"/>
      <c r="Y697" s="2"/>
      <c r="Z697" s="2"/>
      <c r="AB697" s="3"/>
      <c r="AC697" s="2"/>
      <c r="AG697" s="2"/>
      <c r="AH697" s="2"/>
      <c r="AI697" s="2"/>
    </row>
    <row r="698" spans="1:35" x14ac:dyDescent="0.25">
      <c r="A698" s="1"/>
      <c r="B698" s="1"/>
      <c r="S698" s="1"/>
      <c r="T698" s="1"/>
      <c r="W698" s="1"/>
      <c r="Y698" s="2"/>
      <c r="Z698" s="2"/>
      <c r="AB698" s="3"/>
      <c r="AC698" s="2"/>
      <c r="AG698" s="2"/>
      <c r="AH698" s="2"/>
      <c r="AI698" s="2"/>
    </row>
    <row r="699" spans="1:35" x14ac:dyDescent="0.25">
      <c r="A699" s="1"/>
      <c r="B699" s="1"/>
      <c r="S699" s="1"/>
      <c r="T699" s="1"/>
      <c r="W699" s="1"/>
      <c r="Y699" s="2"/>
      <c r="Z699" s="2"/>
      <c r="AB699" s="3"/>
      <c r="AC699" s="2"/>
      <c r="AG699" s="2"/>
      <c r="AH699" s="2"/>
      <c r="AI699" s="2"/>
    </row>
    <row r="700" spans="1:35" x14ac:dyDescent="0.25">
      <c r="A700" s="1"/>
      <c r="B700" s="1"/>
      <c r="S700" s="1"/>
      <c r="T700" s="1"/>
      <c r="W700" s="1"/>
      <c r="Y700" s="2"/>
      <c r="Z700" s="2"/>
      <c r="AB700" s="3"/>
      <c r="AC700" s="2"/>
      <c r="AG700" s="2"/>
      <c r="AH700" s="2"/>
      <c r="AI700" s="2"/>
    </row>
    <row r="701" spans="1:35" x14ac:dyDescent="0.25">
      <c r="A701" s="1"/>
      <c r="B701" s="1"/>
      <c r="S701" s="1"/>
      <c r="T701" s="1"/>
      <c r="W701" s="1"/>
      <c r="Y701" s="2"/>
      <c r="Z701" s="2"/>
      <c r="AB701" s="3"/>
      <c r="AC701" s="2"/>
      <c r="AG701" s="2"/>
      <c r="AH701" s="2"/>
      <c r="AI701" s="2"/>
    </row>
    <row r="702" spans="1:35" x14ac:dyDescent="0.25">
      <c r="A702" s="1"/>
      <c r="B702" s="1"/>
      <c r="S702" s="1"/>
      <c r="T702" s="1"/>
      <c r="W702" s="1"/>
      <c r="Y702" s="2"/>
      <c r="Z702" s="2"/>
      <c r="AB702" s="3"/>
      <c r="AC702" s="2"/>
      <c r="AG702" s="2"/>
      <c r="AH702" s="2"/>
      <c r="AI702" s="2"/>
    </row>
    <row r="703" spans="1:35" x14ac:dyDescent="0.25">
      <c r="A703" s="1"/>
      <c r="B703" s="1"/>
      <c r="S703" s="1"/>
      <c r="T703" s="1"/>
      <c r="W703" s="1"/>
      <c r="Y703" s="2"/>
      <c r="Z703" s="2"/>
      <c r="AB703" s="3"/>
      <c r="AC703" s="2"/>
      <c r="AG703" s="2"/>
      <c r="AH703" s="2"/>
      <c r="AI703" s="2"/>
    </row>
    <row r="704" spans="1:35" x14ac:dyDescent="0.25">
      <c r="A704" s="1"/>
      <c r="B704" s="1"/>
      <c r="S704" s="1"/>
      <c r="T704" s="1"/>
      <c r="W704" s="1"/>
      <c r="Y704" s="2"/>
      <c r="Z704" s="2"/>
      <c r="AB704" s="3"/>
      <c r="AC704" s="2"/>
      <c r="AG704" s="2"/>
      <c r="AH704" s="2"/>
      <c r="AI704" s="2"/>
    </row>
    <row r="705" spans="1:35" x14ac:dyDescent="0.25">
      <c r="A705" s="1"/>
      <c r="B705" s="1"/>
      <c r="S705" s="1"/>
      <c r="T705" s="1"/>
      <c r="W705" s="1"/>
      <c r="Y705" s="2"/>
      <c r="Z705" s="2"/>
      <c r="AB705" s="3"/>
      <c r="AC705" s="2"/>
      <c r="AG705" s="2"/>
      <c r="AH705" s="2"/>
      <c r="AI705" s="2"/>
    </row>
    <row r="706" spans="1:35" x14ac:dyDescent="0.25">
      <c r="A706" s="1"/>
      <c r="B706" s="1"/>
      <c r="S706" s="1"/>
      <c r="T706" s="1"/>
      <c r="W706" s="1"/>
      <c r="Y706" s="2"/>
      <c r="Z706" s="2"/>
      <c r="AB706" s="3"/>
      <c r="AC706" s="2"/>
      <c r="AG706" s="2"/>
      <c r="AH706" s="2"/>
      <c r="AI706" s="2"/>
    </row>
    <row r="707" spans="1:35" x14ac:dyDescent="0.25">
      <c r="A707" s="1"/>
      <c r="B707" s="1"/>
      <c r="S707" s="1"/>
      <c r="T707" s="1"/>
      <c r="W707" s="1"/>
      <c r="Y707" s="2"/>
      <c r="Z707" s="2"/>
      <c r="AB707" s="3"/>
      <c r="AC707" s="2"/>
      <c r="AG707" s="2"/>
      <c r="AH707" s="2"/>
      <c r="AI707" s="2"/>
    </row>
    <row r="708" spans="1:35" x14ac:dyDescent="0.25">
      <c r="A708" s="1"/>
      <c r="B708" s="1"/>
      <c r="S708" s="1"/>
      <c r="T708" s="1"/>
      <c r="W708" s="1"/>
      <c r="Y708" s="2"/>
      <c r="Z708" s="2"/>
      <c r="AB708" s="3"/>
      <c r="AC708" s="2"/>
      <c r="AG708" s="2"/>
      <c r="AH708" s="2"/>
      <c r="AI708" s="2"/>
    </row>
    <row r="709" spans="1:35" x14ac:dyDescent="0.25">
      <c r="A709" s="1"/>
      <c r="B709" s="1"/>
      <c r="S709" s="1"/>
      <c r="T709" s="1"/>
      <c r="W709" s="1"/>
      <c r="Y709" s="2"/>
      <c r="Z709" s="2"/>
      <c r="AB709" s="3"/>
      <c r="AC709" s="2"/>
      <c r="AG709" s="2"/>
      <c r="AH709" s="2"/>
      <c r="AI709" s="2"/>
    </row>
    <row r="710" spans="1:35" x14ac:dyDescent="0.25">
      <c r="A710" s="1"/>
      <c r="B710" s="1"/>
      <c r="S710" s="1"/>
      <c r="T710" s="1"/>
      <c r="W710" s="1"/>
      <c r="Y710" s="2"/>
      <c r="Z710" s="2"/>
      <c r="AB710" s="3"/>
      <c r="AC710" s="2"/>
      <c r="AG710" s="2"/>
      <c r="AH710" s="2"/>
      <c r="AI710" s="2"/>
    </row>
    <row r="711" spans="1:35" x14ac:dyDescent="0.25">
      <c r="A711" s="1"/>
      <c r="B711" s="1"/>
      <c r="S711" s="1"/>
      <c r="T711" s="1"/>
      <c r="W711" s="1"/>
      <c r="Y711" s="2"/>
      <c r="Z711" s="2"/>
      <c r="AB711" s="3"/>
      <c r="AC711" s="2"/>
      <c r="AG711" s="2"/>
      <c r="AH711" s="2"/>
      <c r="AI711" s="2"/>
    </row>
    <row r="712" spans="1:35" x14ac:dyDescent="0.25">
      <c r="A712" s="1"/>
      <c r="B712" s="1"/>
      <c r="S712" s="1"/>
      <c r="T712" s="1"/>
      <c r="W712" s="1"/>
      <c r="Y712" s="2"/>
      <c r="Z712" s="2"/>
      <c r="AB712" s="3"/>
      <c r="AC712" s="2"/>
      <c r="AG712" s="2"/>
      <c r="AH712" s="2"/>
      <c r="AI712" s="2"/>
    </row>
    <row r="713" spans="1:35" x14ac:dyDescent="0.25">
      <c r="A713" s="1"/>
      <c r="B713" s="1"/>
      <c r="S713" s="1"/>
      <c r="T713" s="1"/>
      <c r="W713" s="1"/>
      <c r="Y713" s="2"/>
      <c r="Z713" s="2"/>
      <c r="AB713" s="3"/>
      <c r="AC713" s="2"/>
      <c r="AG713" s="2"/>
      <c r="AH713" s="2"/>
      <c r="AI713" s="2"/>
    </row>
    <row r="714" spans="1:35" x14ac:dyDescent="0.25">
      <c r="A714" s="1"/>
      <c r="B714" s="1"/>
      <c r="S714" s="1"/>
      <c r="T714" s="1"/>
      <c r="W714" s="1"/>
      <c r="Y714" s="2"/>
      <c r="Z714" s="2"/>
      <c r="AB714" s="3"/>
      <c r="AC714" s="2"/>
      <c r="AG714" s="2"/>
      <c r="AH714" s="2"/>
      <c r="AI714" s="2"/>
    </row>
    <row r="715" spans="1:35" x14ac:dyDescent="0.25">
      <c r="A715" s="1"/>
      <c r="B715" s="1"/>
      <c r="S715" s="1"/>
      <c r="T715" s="1"/>
      <c r="W715" s="1"/>
      <c r="Y715" s="2"/>
      <c r="Z715" s="2"/>
      <c r="AB715" s="3"/>
      <c r="AC715" s="2"/>
      <c r="AG715" s="2"/>
      <c r="AH715" s="2"/>
      <c r="AI715" s="2"/>
    </row>
    <row r="716" spans="1:35" x14ac:dyDescent="0.25">
      <c r="A716" s="1"/>
      <c r="B716" s="1"/>
      <c r="S716" s="1"/>
      <c r="T716" s="1"/>
      <c r="W716" s="1"/>
      <c r="Y716" s="2"/>
      <c r="Z716" s="2"/>
      <c r="AB716" s="3"/>
      <c r="AC716" s="2"/>
      <c r="AG716" s="2"/>
      <c r="AH716" s="2"/>
      <c r="AI716" s="2"/>
    </row>
    <row r="717" spans="1:35" x14ac:dyDescent="0.25">
      <c r="A717" s="1"/>
      <c r="B717" s="1"/>
      <c r="S717" s="1"/>
      <c r="T717" s="1"/>
      <c r="W717" s="1"/>
      <c r="Y717" s="2"/>
      <c r="Z717" s="2"/>
      <c r="AB717" s="3"/>
      <c r="AC717" s="2"/>
      <c r="AG717" s="2"/>
      <c r="AH717" s="2"/>
      <c r="AI717" s="2"/>
    </row>
    <row r="718" spans="1:35" x14ac:dyDescent="0.25">
      <c r="A718" s="1"/>
      <c r="B718" s="1"/>
      <c r="S718" s="1"/>
      <c r="T718" s="1"/>
      <c r="W718" s="1"/>
      <c r="Y718" s="2"/>
      <c r="Z718" s="2"/>
      <c r="AB718" s="3"/>
      <c r="AC718" s="2"/>
      <c r="AG718" s="2"/>
      <c r="AH718" s="2"/>
      <c r="AI718" s="2"/>
    </row>
    <row r="719" spans="1:35" x14ac:dyDescent="0.25">
      <c r="A719" s="1"/>
      <c r="B719" s="1"/>
      <c r="S719" s="1"/>
      <c r="T719" s="1"/>
      <c r="W719" s="1"/>
      <c r="Y719" s="2"/>
      <c r="Z719" s="2"/>
      <c r="AB719" s="3"/>
      <c r="AC719" s="2"/>
      <c r="AG719" s="2"/>
      <c r="AH719" s="2"/>
      <c r="AI719" s="2"/>
    </row>
    <row r="720" spans="1:35" x14ac:dyDescent="0.25">
      <c r="A720" s="1"/>
      <c r="B720" s="1"/>
      <c r="S720" s="1"/>
      <c r="T720" s="1"/>
      <c r="W720" s="1"/>
      <c r="Y720" s="2"/>
      <c r="Z720" s="2"/>
      <c r="AB720" s="3"/>
      <c r="AC720" s="2"/>
      <c r="AG720" s="2"/>
      <c r="AH720" s="2"/>
      <c r="AI720" s="2"/>
    </row>
    <row r="721" spans="1:35" x14ac:dyDescent="0.25">
      <c r="A721" s="1"/>
      <c r="B721" s="1"/>
      <c r="S721" s="1"/>
      <c r="T721" s="1"/>
      <c r="W721" s="1"/>
      <c r="Y721" s="2"/>
      <c r="Z721" s="2"/>
      <c r="AB721" s="3"/>
      <c r="AC721" s="2"/>
      <c r="AG721" s="2"/>
      <c r="AH721" s="2"/>
      <c r="AI721" s="2"/>
    </row>
    <row r="722" spans="1:35" x14ac:dyDescent="0.25">
      <c r="A722" s="1"/>
      <c r="B722" s="1"/>
      <c r="S722" s="1"/>
      <c r="T722" s="1"/>
      <c r="W722" s="1"/>
      <c r="Y722" s="2"/>
      <c r="Z722" s="2"/>
      <c r="AB722" s="3"/>
      <c r="AC722" s="2"/>
      <c r="AG722" s="2"/>
      <c r="AH722" s="2"/>
      <c r="AI722" s="2"/>
    </row>
    <row r="723" spans="1:35" x14ac:dyDescent="0.25">
      <c r="A723" s="1"/>
      <c r="B723" s="1"/>
      <c r="S723" s="1"/>
      <c r="T723" s="1"/>
      <c r="W723" s="1"/>
      <c r="Y723" s="2"/>
      <c r="Z723" s="2"/>
      <c r="AB723" s="3"/>
      <c r="AC723" s="2"/>
      <c r="AG723" s="2"/>
      <c r="AH723" s="2"/>
      <c r="AI723" s="2"/>
    </row>
    <row r="724" spans="1:35" x14ac:dyDescent="0.25">
      <c r="A724" s="1"/>
      <c r="B724" s="1"/>
      <c r="S724" s="1"/>
      <c r="T724" s="1"/>
      <c r="W724" s="1"/>
      <c r="Y724" s="2"/>
      <c r="Z724" s="2"/>
      <c r="AB724" s="3"/>
      <c r="AC724" s="2"/>
      <c r="AG724" s="2"/>
      <c r="AH724" s="2"/>
      <c r="AI724" s="2"/>
    </row>
    <row r="725" spans="1:35" x14ac:dyDescent="0.25">
      <c r="A725" s="1"/>
      <c r="B725" s="1"/>
      <c r="S725" s="1"/>
      <c r="T725" s="1"/>
      <c r="W725" s="1"/>
      <c r="Y725" s="2"/>
      <c r="Z725" s="2"/>
      <c r="AB725" s="3"/>
      <c r="AC725" s="2"/>
      <c r="AG725" s="2"/>
      <c r="AH725" s="2"/>
      <c r="AI725" s="2"/>
    </row>
    <row r="726" spans="1:35" x14ac:dyDescent="0.25">
      <c r="A726" s="1"/>
      <c r="B726" s="1"/>
      <c r="S726" s="1"/>
      <c r="T726" s="1"/>
      <c r="W726" s="1"/>
      <c r="Y726" s="2"/>
      <c r="Z726" s="2"/>
      <c r="AB726" s="3"/>
      <c r="AC726" s="2"/>
      <c r="AG726" s="2"/>
      <c r="AH726" s="2"/>
      <c r="AI726" s="2"/>
    </row>
    <row r="727" spans="1:35" x14ac:dyDescent="0.25">
      <c r="A727" s="1"/>
      <c r="B727" s="1"/>
      <c r="S727" s="1"/>
      <c r="T727" s="1"/>
      <c r="W727" s="1"/>
      <c r="Y727" s="2"/>
      <c r="Z727" s="2"/>
      <c r="AB727" s="3"/>
      <c r="AC727" s="2"/>
      <c r="AG727" s="2"/>
      <c r="AH727" s="2"/>
      <c r="AI727" s="2"/>
    </row>
    <row r="728" spans="1:35" x14ac:dyDescent="0.25">
      <c r="A728" s="1"/>
      <c r="B728" s="1"/>
      <c r="S728" s="1"/>
      <c r="T728" s="1"/>
      <c r="W728" s="1"/>
      <c r="Y728" s="2"/>
      <c r="Z728" s="2"/>
      <c r="AB728" s="3"/>
      <c r="AC728" s="2"/>
      <c r="AG728" s="2"/>
      <c r="AH728" s="2"/>
      <c r="AI728" s="2"/>
    </row>
    <row r="729" spans="1:35" x14ac:dyDescent="0.25">
      <c r="A729" s="1"/>
      <c r="B729" s="1"/>
      <c r="S729" s="1"/>
      <c r="T729" s="1"/>
      <c r="W729" s="1"/>
      <c r="Y729" s="2"/>
      <c r="Z729" s="2"/>
      <c r="AB729" s="3"/>
      <c r="AC729" s="2"/>
      <c r="AG729" s="2"/>
      <c r="AH729" s="2"/>
      <c r="AI729" s="2"/>
    </row>
    <row r="730" spans="1:35" x14ac:dyDescent="0.25">
      <c r="A730" s="1"/>
      <c r="B730" s="1"/>
      <c r="S730" s="1"/>
      <c r="T730" s="1"/>
      <c r="W730" s="1"/>
      <c r="Y730" s="2"/>
      <c r="Z730" s="2"/>
      <c r="AB730" s="3"/>
      <c r="AC730" s="2"/>
      <c r="AG730" s="2"/>
      <c r="AH730" s="2"/>
      <c r="AI730" s="2"/>
    </row>
    <row r="731" spans="1:35" x14ac:dyDescent="0.25">
      <c r="A731" s="1"/>
      <c r="B731" s="1"/>
      <c r="S731" s="1"/>
      <c r="T731" s="1"/>
      <c r="W731" s="1"/>
      <c r="Y731" s="2"/>
      <c r="Z731" s="2"/>
      <c r="AB731" s="3"/>
      <c r="AC731" s="2"/>
      <c r="AG731" s="2"/>
      <c r="AH731" s="2"/>
      <c r="AI731" s="2"/>
    </row>
    <row r="732" spans="1:35" x14ac:dyDescent="0.25">
      <c r="A732" s="1"/>
      <c r="B732" s="1"/>
      <c r="S732" s="1"/>
      <c r="T732" s="1"/>
      <c r="W732" s="1"/>
      <c r="Y732" s="2"/>
      <c r="Z732" s="2"/>
      <c r="AB732" s="3"/>
      <c r="AC732" s="2"/>
      <c r="AG732" s="2"/>
      <c r="AH732" s="2"/>
      <c r="AI732" s="2"/>
    </row>
    <row r="733" spans="1:35" x14ac:dyDescent="0.25">
      <c r="A733" s="1"/>
      <c r="B733" s="1"/>
      <c r="S733" s="1"/>
      <c r="T733" s="1"/>
      <c r="W733" s="1"/>
      <c r="Y733" s="2"/>
      <c r="Z733" s="2"/>
      <c r="AB733" s="3"/>
      <c r="AC733" s="2"/>
      <c r="AG733" s="2"/>
      <c r="AH733" s="2"/>
      <c r="AI733" s="2"/>
    </row>
    <row r="734" spans="1:35" x14ac:dyDescent="0.25">
      <c r="A734" s="1"/>
      <c r="B734" s="1"/>
      <c r="S734" s="1"/>
      <c r="T734" s="1"/>
      <c r="W734" s="1"/>
      <c r="Y734" s="2"/>
      <c r="Z734" s="2"/>
      <c r="AB734" s="3"/>
      <c r="AC734" s="2"/>
      <c r="AG734" s="2"/>
      <c r="AH734" s="2"/>
      <c r="AI734" s="2"/>
    </row>
    <row r="735" spans="1:35" x14ac:dyDescent="0.25">
      <c r="A735" s="1"/>
      <c r="B735" s="1"/>
      <c r="S735" s="1"/>
      <c r="T735" s="1"/>
      <c r="W735" s="1"/>
      <c r="Y735" s="2"/>
      <c r="Z735" s="2"/>
      <c r="AB735" s="3"/>
      <c r="AC735" s="2"/>
      <c r="AG735" s="2"/>
      <c r="AH735" s="2"/>
      <c r="AI735" s="2"/>
    </row>
    <row r="736" spans="1:35" x14ac:dyDescent="0.25">
      <c r="A736" s="1"/>
      <c r="B736" s="1"/>
      <c r="S736" s="1"/>
      <c r="T736" s="1"/>
      <c r="W736" s="1"/>
      <c r="Y736" s="2"/>
      <c r="Z736" s="2"/>
      <c r="AB736" s="3"/>
      <c r="AC736" s="2"/>
      <c r="AG736" s="2"/>
      <c r="AH736" s="2"/>
      <c r="AI736" s="2"/>
    </row>
    <row r="737" spans="1:35" x14ac:dyDescent="0.25">
      <c r="A737" s="1"/>
      <c r="B737" s="1"/>
      <c r="S737" s="1"/>
      <c r="T737" s="1"/>
      <c r="W737" s="1"/>
      <c r="Y737" s="2"/>
      <c r="Z737" s="2"/>
      <c r="AB737" s="3"/>
      <c r="AC737" s="2"/>
      <c r="AG737" s="2"/>
      <c r="AH737" s="2"/>
      <c r="AI737" s="2"/>
    </row>
    <row r="738" spans="1:35" x14ac:dyDescent="0.25">
      <c r="A738" s="1"/>
      <c r="B738" s="1"/>
      <c r="S738" s="1"/>
      <c r="T738" s="1"/>
      <c r="W738" s="1"/>
      <c r="Y738" s="2"/>
      <c r="Z738" s="2"/>
      <c r="AB738" s="3"/>
      <c r="AC738" s="2"/>
      <c r="AG738" s="2"/>
      <c r="AH738" s="2"/>
      <c r="AI738" s="2"/>
    </row>
    <row r="739" spans="1:35" x14ac:dyDescent="0.25">
      <c r="A739" s="1"/>
      <c r="B739" s="1"/>
      <c r="S739" s="1"/>
      <c r="T739" s="1"/>
      <c r="W739" s="1"/>
      <c r="Y739" s="2"/>
      <c r="Z739" s="2"/>
      <c r="AB739" s="3"/>
      <c r="AC739" s="2"/>
      <c r="AG739" s="2"/>
      <c r="AH739" s="2"/>
      <c r="AI739" s="2"/>
    </row>
    <row r="740" spans="1:35" x14ac:dyDescent="0.25">
      <c r="A740" s="1"/>
      <c r="B740" s="1"/>
      <c r="S740" s="1"/>
      <c r="T740" s="1"/>
      <c r="W740" s="1"/>
      <c r="Y740" s="2"/>
      <c r="Z740" s="2"/>
      <c r="AB740" s="3"/>
      <c r="AC740" s="2"/>
      <c r="AG740" s="2"/>
      <c r="AH740" s="2"/>
      <c r="AI740" s="2"/>
    </row>
    <row r="741" spans="1:35" x14ac:dyDescent="0.25">
      <c r="A741" s="1"/>
      <c r="B741" s="1"/>
      <c r="S741" s="1"/>
      <c r="T741" s="1"/>
      <c r="W741" s="1"/>
      <c r="Y741" s="2"/>
      <c r="Z741" s="2"/>
      <c r="AB741" s="3"/>
      <c r="AC741" s="2"/>
      <c r="AG741" s="2"/>
      <c r="AH741" s="2"/>
      <c r="AI741" s="2"/>
    </row>
    <row r="742" spans="1:35" x14ac:dyDescent="0.25">
      <c r="A742" s="1"/>
      <c r="B742" s="1"/>
      <c r="S742" s="1"/>
      <c r="T742" s="1"/>
      <c r="W742" s="1"/>
      <c r="Y742" s="2"/>
      <c r="Z742" s="2"/>
      <c r="AB742" s="3"/>
      <c r="AC742" s="2"/>
      <c r="AG742" s="2"/>
      <c r="AH742" s="2"/>
      <c r="AI742" s="2"/>
    </row>
    <row r="743" spans="1:35" x14ac:dyDescent="0.25">
      <c r="A743" s="1"/>
      <c r="B743" s="1"/>
      <c r="S743" s="1"/>
      <c r="T743" s="1"/>
      <c r="W743" s="1"/>
      <c r="Y743" s="2"/>
      <c r="Z743" s="2"/>
      <c r="AB743" s="3"/>
      <c r="AC743" s="2"/>
      <c r="AG743" s="2"/>
      <c r="AH743" s="2"/>
      <c r="AI743" s="2"/>
    </row>
    <row r="744" spans="1:35" x14ac:dyDescent="0.25">
      <c r="A744" s="1"/>
      <c r="B744" s="1"/>
      <c r="S744" s="1"/>
      <c r="T744" s="1"/>
      <c r="W744" s="1"/>
      <c r="Y744" s="2"/>
      <c r="Z744" s="2"/>
      <c r="AB744" s="3"/>
      <c r="AC744" s="2"/>
      <c r="AG744" s="2"/>
      <c r="AH744" s="2"/>
      <c r="AI744" s="2"/>
    </row>
    <row r="745" spans="1:35" x14ac:dyDescent="0.25">
      <c r="A745" s="1"/>
      <c r="B745" s="1"/>
      <c r="S745" s="1"/>
      <c r="T745" s="1"/>
      <c r="W745" s="1"/>
      <c r="Y745" s="2"/>
      <c r="Z745" s="2"/>
      <c r="AB745" s="3"/>
      <c r="AC745" s="2"/>
      <c r="AG745" s="2"/>
      <c r="AH745" s="2"/>
      <c r="AI745" s="2"/>
    </row>
    <row r="746" spans="1:35" x14ac:dyDescent="0.25">
      <c r="A746" s="1"/>
      <c r="B746" s="1"/>
      <c r="S746" s="1"/>
      <c r="T746" s="1"/>
      <c r="W746" s="1"/>
      <c r="Y746" s="2"/>
      <c r="Z746" s="2"/>
      <c r="AB746" s="3"/>
      <c r="AC746" s="2"/>
      <c r="AG746" s="2"/>
      <c r="AH746" s="2"/>
      <c r="AI746" s="2"/>
    </row>
    <row r="747" spans="1:35" x14ac:dyDescent="0.25">
      <c r="A747" s="1"/>
      <c r="B747" s="1"/>
      <c r="S747" s="1"/>
      <c r="T747" s="1"/>
      <c r="W747" s="1"/>
      <c r="Y747" s="2"/>
      <c r="Z747" s="2"/>
      <c r="AB747" s="3"/>
      <c r="AC747" s="2"/>
      <c r="AG747" s="2"/>
      <c r="AH747" s="2"/>
      <c r="AI747" s="2"/>
    </row>
    <row r="748" spans="1:35" x14ac:dyDescent="0.25">
      <c r="A748" s="1"/>
      <c r="B748" s="1"/>
      <c r="S748" s="1"/>
      <c r="T748" s="1"/>
      <c r="W748" s="1"/>
      <c r="Y748" s="2"/>
      <c r="Z748" s="2"/>
      <c r="AB748" s="3"/>
      <c r="AC748" s="2"/>
      <c r="AG748" s="2"/>
      <c r="AH748" s="2"/>
      <c r="AI748" s="2"/>
    </row>
    <row r="749" spans="1:35" x14ac:dyDescent="0.25">
      <c r="A749" s="1"/>
      <c r="B749" s="1"/>
      <c r="S749" s="1"/>
      <c r="T749" s="1"/>
      <c r="W749" s="1"/>
      <c r="Y749" s="2"/>
      <c r="Z749" s="2"/>
      <c r="AB749" s="3"/>
      <c r="AC749" s="2"/>
      <c r="AG749" s="2"/>
      <c r="AH749" s="2"/>
      <c r="AI749" s="2"/>
    </row>
    <row r="750" spans="1:35" x14ac:dyDescent="0.25">
      <c r="A750" s="1"/>
      <c r="B750" s="1"/>
      <c r="S750" s="1"/>
      <c r="T750" s="1"/>
      <c r="W750" s="1"/>
      <c r="Y750" s="2"/>
      <c r="Z750" s="2"/>
      <c r="AB750" s="3"/>
      <c r="AC750" s="2"/>
      <c r="AG750" s="2"/>
      <c r="AH750" s="2"/>
      <c r="AI750" s="2"/>
    </row>
    <row r="751" spans="1:35" x14ac:dyDescent="0.25">
      <c r="A751" s="1"/>
      <c r="B751" s="1"/>
      <c r="S751" s="1"/>
      <c r="T751" s="1"/>
      <c r="W751" s="1"/>
      <c r="Y751" s="2"/>
      <c r="Z751" s="2"/>
      <c r="AB751" s="3"/>
      <c r="AC751" s="2"/>
      <c r="AG751" s="2"/>
      <c r="AH751" s="2"/>
      <c r="AI751" s="2"/>
    </row>
    <row r="752" spans="1:35" x14ac:dyDescent="0.25">
      <c r="A752" s="1"/>
      <c r="B752" s="1"/>
      <c r="S752" s="1"/>
      <c r="T752" s="1"/>
      <c r="W752" s="1"/>
      <c r="Y752" s="2"/>
      <c r="Z752" s="2"/>
      <c r="AB752" s="3"/>
      <c r="AC752" s="2"/>
      <c r="AG752" s="2"/>
      <c r="AH752" s="2"/>
      <c r="AI752" s="2"/>
    </row>
    <row r="753" spans="1:35" x14ac:dyDescent="0.25">
      <c r="A753" s="1"/>
      <c r="B753" s="1"/>
      <c r="S753" s="1"/>
      <c r="T753" s="1"/>
      <c r="W753" s="1"/>
      <c r="Y753" s="2"/>
      <c r="Z753" s="2"/>
      <c r="AB753" s="3"/>
      <c r="AC753" s="2"/>
      <c r="AG753" s="2"/>
      <c r="AH753" s="2"/>
      <c r="AI753" s="2"/>
    </row>
    <row r="754" spans="1:35" x14ac:dyDescent="0.25">
      <c r="A754" s="1"/>
      <c r="B754" s="1"/>
      <c r="S754" s="1"/>
      <c r="T754" s="1"/>
      <c r="W754" s="1"/>
      <c r="Y754" s="2"/>
      <c r="Z754" s="2"/>
      <c r="AB754" s="3"/>
      <c r="AC754" s="2"/>
      <c r="AG754" s="2"/>
      <c r="AH754" s="2"/>
      <c r="AI754" s="2"/>
    </row>
    <row r="755" spans="1:35" x14ac:dyDescent="0.25">
      <c r="A755" s="1"/>
      <c r="B755" s="1"/>
      <c r="S755" s="1"/>
      <c r="T755" s="1"/>
      <c r="W755" s="1"/>
      <c r="Y755" s="2"/>
      <c r="Z755" s="2"/>
      <c r="AB755" s="3"/>
      <c r="AC755" s="2"/>
      <c r="AG755" s="2"/>
      <c r="AH755" s="2"/>
      <c r="AI755" s="2"/>
    </row>
    <row r="756" spans="1:35" x14ac:dyDescent="0.25">
      <c r="A756" s="1"/>
      <c r="B756" s="1"/>
      <c r="S756" s="1"/>
      <c r="T756" s="1"/>
      <c r="W756" s="1"/>
      <c r="Y756" s="2"/>
      <c r="Z756" s="2"/>
      <c r="AB756" s="3"/>
      <c r="AC756" s="2"/>
      <c r="AG756" s="2"/>
      <c r="AH756" s="2"/>
      <c r="AI756" s="2"/>
    </row>
    <row r="757" spans="1:35" x14ac:dyDescent="0.25">
      <c r="A757" s="1"/>
      <c r="B757" s="1"/>
      <c r="S757" s="1"/>
      <c r="T757" s="1"/>
      <c r="W757" s="1"/>
      <c r="Y757" s="2"/>
      <c r="Z757" s="2"/>
      <c r="AB757" s="3"/>
      <c r="AC757" s="2"/>
      <c r="AG757" s="2"/>
      <c r="AH757" s="2"/>
      <c r="AI757" s="2"/>
    </row>
    <row r="758" spans="1:35" x14ac:dyDescent="0.25">
      <c r="A758" s="1"/>
      <c r="B758" s="1"/>
      <c r="S758" s="1"/>
      <c r="T758" s="1"/>
      <c r="W758" s="1"/>
      <c r="Y758" s="2"/>
      <c r="Z758" s="2"/>
      <c r="AB758" s="3"/>
      <c r="AC758" s="2"/>
      <c r="AG758" s="2"/>
      <c r="AH758" s="2"/>
      <c r="AI758" s="2"/>
    </row>
    <row r="759" spans="1:35" x14ac:dyDescent="0.25">
      <c r="A759" s="1"/>
      <c r="B759" s="1"/>
      <c r="S759" s="1"/>
      <c r="T759" s="1"/>
      <c r="W759" s="1"/>
      <c r="Y759" s="2"/>
      <c r="Z759" s="2"/>
      <c r="AB759" s="3"/>
      <c r="AC759" s="2"/>
      <c r="AG759" s="2"/>
      <c r="AH759" s="2"/>
      <c r="AI759" s="2"/>
    </row>
    <row r="760" spans="1:35" x14ac:dyDescent="0.25">
      <c r="A760" s="1"/>
      <c r="B760" s="1"/>
      <c r="S760" s="1"/>
      <c r="T760" s="1"/>
      <c r="W760" s="1"/>
      <c r="Y760" s="2"/>
      <c r="Z760" s="2"/>
      <c r="AB760" s="3"/>
      <c r="AC760" s="2"/>
      <c r="AG760" s="2"/>
      <c r="AH760" s="2"/>
      <c r="AI760" s="2"/>
    </row>
    <row r="761" spans="1:35" x14ac:dyDescent="0.25">
      <c r="A761" s="1"/>
      <c r="B761" s="1"/>
      <c r="S761" s="1"/>
      <c r="T761" s="1"/>
      <c r="W761" s="1"/>
      <c r="Y761" s="2"/>
      <c r="Z761" s="2"/>
      <c r="AB761" s="3"/>
      <c r="AC761" s="2"/>
      <c r="AG761" s="2"/>
      <c r="AH761" s="2"/>
      <c r="AI761" s="2"/>
    </row>
    <row r="762" spans="1:35" x14ac:dyDescent="0.25">
      <c r="A762" s="1"/>
      <c r="B762" s="1"/>
      <c r="S762" s="1"/>
      <c r="T762" s="1"/>
      <c r="W762" s="1"/>
      <c r="Y762" s="2"/>
      <c r="Z762" s="2"/>
      <c r="AB762" s="3"/>
      <c r="AC762" s="2"/>
      <c r="AG762" s="2"/>
      <c r="AH762" s="2"/>
      <c r="AI762" s="2"/>
    </row>
    <row r="763" spans="1:35" x14ac:dyDescent="0.25">
      <c r="A763" s="1"/>
      <c r="B763" s="1"/>
      <c r="S763" s="1"/>
      <c r="T763" s="1"/>
      <c r="W763" s="1"/>
      <c r="Y763" s="2"/>
      <c r="Z763" s="2"/>
      <c r="AB763" s="3"/>
      <c r="AC763" s="2"/>
      <c r="AG763" s="2"/>
      <c r="AH763" s="2"/>
      <c r="AI763" s="2"/>
    </row>
    <row r="764" spans="1:35" x14ac:dyDescent="0.25">
      <c r="A764" s="1"/>
      <c r="B764" s="1"/>
      <c r="S764" s="1"/>
      <c r="T764" s="1"/>
      <c r="W764" s="1"/>
      <c r="Y764" s="2"/>
      <c r="Z764" s="2"/>
      <c r="AB764" s="3"/>
      <c r="AC764" s="2"/>
      <c r="AG764" s="2"/>
      <c r="AH764" s="2"/>
      <c r="AI764" s="2"/>
    </row>
    <row r="765" spans="1:35" x14ac:dyDescent="0.25">
      <c r="A765" s="1"/>
      <c r="B765" s="1"/>
      <c r="S765" s="1"/>
      <c r="T765" s="1"/>
      <c r="W765" s="1"/>
      <c r="Y765" s="2"/>
      <c r="Z765" s="2"/>
      <c r="AB765" s="3"/>
      <c r="AC765" s="2"/>
      <c r="AG765" s="2"/>
      <c r="AH765" s="2"/>
      <c r="AI765" s="2"/>
    </row>
    <row r="766" spans="1:35" x14ac:dyDescent="0.25">
      <c r="A766" s="1"/>
      <c r="B766" s="1"/>
      <c r="S766" s="1"/>
      <c r="T766" s="1"/>
      <c r="W766" s="1"/>
      <c r="Y766" s="2"/>
      <c r="Z766" s="2"/>
      <c r="AB766" s="3"/>
      <c r="AC766" s="2"/>
      <c r="AG766" s="2"/>
      <c r="AH766" s="2"/>
      <c r="AI766" s="2"/>
    </row>
    <row r="767" spans="1:35" x14ac:dyDescent="0.25">
      <c r="A767" s="1"/>
      <c r="B767" s="1"/>
      <c r="S767" s="1"/>
      <c r="T767" s="1"/>
      <c r="W767" s="1"/>
      <c r="Y767" s="2"/>
      <c r="Z767" s="2"/>
      <c r="AB767" s="3"/>
      <c r="AC767" s="2"/>
      <c r="AG767" s="2"/>
      <c r="AH767" s="2"/>
      <c r="AI767" s="2"/>
    </row>
    <row r="768" spans="1:35" x14ac:dyDescent="0.25">
      <c r="A768" s="1"/>
      <c r="B768" s="1"/>
      <c r="S768" s="1"/>
      <c r="T768" s="1"/>
      <c r="W768" s="1"/>
      <c r="Y768" s="2"/>
      <c r="Z768" s="2"/>
      <c r="AB768" s="3"/>
      <c r="AC768" s="2"/>
      <c r="AG768" s="2"/>
      <c r="AH768" s="2"/>
      <c r="AI768" s="2"/>
    </row>
    <row r="769" spans="1:35" x14ac:dyDescent="0.25">
      <c r="A769" s="1"/>
      <c r="B769" s="1"/>
      <c r="S769" s="1"/>
      <c r="T769" s="1"/>
      <c r="W769" s="1"/>
      <c r="Y769" s="2"/>
      <c r="Z769" s="2"/>
      <c r="AB769" s="3"/>
      <c r="AC769" s="2"/>
      <c r="AG769" s="2"/>
      <c r="AH769" s="2"/>
      <c r="AI769" s="2"/>
    </row>
    <row r="770" spans="1:35" x14ac:dyDescent="0.25">
      <c r="A770" s="1"/>
      <c r="B770" s="1"/>
      <c r="S770" s="1"/>
      <c r="T770" s="1"/>
      <c r="W770" s="1"/>
      <c r="Y770" s="2"/>
      <c r="Z770" s="2"/>
      <c r="AB770" s="3"/>
      <c r="AC770" s="2"/>
      <c r="AG770" s="2"/>
      <c r="AH770" s="2"/>
      <c r="AI770" s="2"/>
    </row>
    <row r="771" spans="1:35" x14ac:dyDescent="0.25">
      <c r="A771" s="1"/>
      <c r="B771" s="1"/>
      <c r="S771" s="1"/>
      <c r="T771" s="1"/>
      <c r="W771" s="1"/>
      <c r="Y771" s="2"/>
      <c r="Z771" s="2"/>
      <c r="AB771" s="3"/>
      <c r="AC771" s="2"/>
      <c r="AG771" s="2"/>
      <c r="AH771" s="2"/>
      <c r="AI771" s="2"/>
    </row>
    <row r="772" spans="1:35" x14ac:dyDescent="0.25">
      <c r="A772" s="1"/>
      <c r="B772" s="1"/>
      <c r="S772" s="1"/>
      <c r="T772" s="1"/>
      <c r="W772" s="1"/>
      <c r="Y772" s="2"/>
      <c r="Z772" s="2"/>
      <c r="AB772" s="3"/>
      <c r="AC772" s="2"/>
      <c r="AG772" s="2"/>
      <c r="AH772" s="2"/>
      <c r="AI772" s="2"/>
    </row>
    <row r="773" spans="1:35" x14ac:dyDescent="0.25">
      <c r="A773" s="1"/>
      <c r="B773" s="1"/>
      <c r="S773" s="1"/>
      <c r="T773" s="1"/>
      <c r="W773" s="1"/>
      <c r="Y773" s="2"/>
      <c r="Z773" s="2"/>
      <c r="AB773" s="3"/>
      <c r="AC773" s="2"/>
      <c r="AG773" s="2"/>
      <c r="AH773" s="2"/>
      <c r="AI773" s="2"/>
    </row>
    <row r="774" spans="1:35" x14ac:dyDescent="0.25">
      <c r="A774" s="1"/>
      <c r="B774" s="1"/>
      <c r="S774" s="1"/>
      <c r="T774" s="1"/>
      <c r="W774" s="1"/>
      <c r="Y774" s="2"/>
      <c r="Z774" s="2"/>
      <c r="AB774" s="3"/>
      <c r="AC774" s="2"/>
      <c r="AG774" s="2"/>
      <c r="AH774" s="2"/>
      <c r="AI774" s="2"/>
    </row>
    <row r="775" spans="1:35" x14ac:dyDescent="0.25">
      <c r="A775" s="1"/>
      <c r="B775" s="1"/>
      <c r="S775" s="1"/>
      <c r="T775" s="1"/>
      <c r="W775" s="1"/>
      <c r="Y775" s="2"/>
      <c r="Z775" s="2"/>
      <c r="AB775" s="3"/>
      <c r="AC775" s="2"/>
      <c r="AG775" s="2"/>
      <c r="AH775" s="2"/>
      <c r="AI775" s="2"/>
    </row>
    <row r="776" spans="1:35" x14ac:dyDescent="0.25">
      <c r="A776" s="1"/>
      <c r="B776" s="1"/>
      <c r="S776" s="1"/>
      <c r="T776" s="1"/>
      <c r="W776" s="1"/>
      <c r="Y776" s="2"/>
      <c r="Z776" s="2"/>
      <c r="AB776" s="3"/>
      <c r="AC776" s="2"/>
      <c r="AG776" s="2"/>
      <c r="AH776" s="2"/>
      <c r="AI776" s="2"/>
    </row>
    <row r="777" spans="1:35" x14ac:dyDescent="0.25">
      <c r="A777" s="1"/>
      <c r="B777" s="1"/>
      <c r="S777" s="1"/>
      <c r="T777" s="1"/>
      <c r="W777" s="1"/>
      <c r="Y777" s="2"/>
      <c r="Z777" s="2"/>
      <c r="AB777" s="3"/>
      <c r="AC777" s="2"/>
      <c r="AG777" s="2"/>
      <c r="AH777" s="2"/>
      <c r="AI777" s="2"/>
    </row>
    <row r="778" spans="1:35" x14ac:dyDescent="0.25">
      <c r="A778" s="1"/>
      <c r="B778" s="1"/>
      <c r="S778" s="1"/>
      <c r="T778" s="1"/>
      <c r="W778" s="1"/>
      <c r="Y778" s="2"/>
      <c r="Z778" s="2"/>
      <c r="AB778" s="3"/>
      <c r="AC778" s="2"/>
      <c r="AG778" s="2"/>
      <c r="AH778" s="2"/>
      <c r="AI778" s="2"/>
    </row>
    <row r="779" spans="1:35" x14ac:dyDescent="0.25">
      <c r="A779" s="1"/>
      <c r="B779" s="1"/>
      <c r="S779" s="1"/>
      <c r="T779" s="1"/>
      <c r="W779" s="1"/>
      <c r="Y779" s="2"/>
      <c r="Z779" s="2"/>
      <c r="AB779" s="3"/>
      <c r="AC779" s="2"/>
      <c r="AG779" s="2"/>
      <c r="AH779" s="2"/>
      <c r="AI779" s="2"/>
    </row>
    <row r="780" spans="1:35" x14ac:dyDescent="0.25">
      <c r="A780" s="1"/>
      <c r="B780" s="1"/>
      <c r="S780" s="1"/>
      <c r="T780" s="1"/>
      <c r="W780" s="1"/>
      <c r="Y780" s="2"/>
      <c r="Z780" s="2"/>
      <c r="AB780" s="3"/>
      <c r="AC780" s="2"/>
      <c r="AG780" s="2"/>
      <c r="AH780" s="2"/>
      <c r="AI780" s="2"/>
    </row>
    <row r="781" spans="1:35" x14ac:dyDescent="0.25">
      <c r="A781" s="1"/>
      <c r="B781" s="1"/>
      <c r="S781" s="1"/>
      <c r="T781" s="1"/>
      <c r="W781" s="1"/>
      <c r="Y781" s="2"/>
      <c r="Z781" s="2"/>
      <c r="AB781" s="3"/>
      <c r="AC781" s="2"/>
      <c r="AG781" s="2"/>
      <c r="AH781" s="2"/>
      <c r="AI781" s="2"/>
    </row>
    <row r="782" spans="1:35" x14ac:dyDescent="0.25">
      <c r="A782" s="1"/>
      <c r="B782" s="1"/>
      <c r="S782" s="1"/>
      <c r="T782" s="1"/>
      <c r="W782" s="1"/>
      <c r="Y782" s="2"/>
      <c r="Z782" s="2"/>
      <c r="AB782" s="3"/>
      <c r="AC782" s="2"/>
      <c r="AG782" s="2"/>
      <c r="AH782" s="2"/>
      <c r="AI782" s="2"/>
    </row>
    <row r="783" spans="1:35" x14ac:dyDescent="0.25">
      <c r="A783" s="1"/>
      <c r="B783" s="1"/>
      <c r="S783" s="1"/>
      <c r="T783" s="1"/>
      <c r="W783" s="1"/>
      <c r="Y783" s="2"/>
      <c r="Z783" s="2"/>
      <c r="AB783" s="3"/>
      <c r="AC783" s="2"/>
      <c r="AG783" s="2"/>
      <c r="AH783" s="2"/>
      <c r="AI783" s="2"/>
    </row>
    <row r="784" spans="1:35" x14ac:dyDescent="0.25">
      <c r="A784" s="1"/>
      <c r="B784" s="1"/>
      <c r="S784" s="1"/>
      <c r="T784" s="1"/>
      <c r="W784" s="1"/>
      <c r="Y784" s="2"/>
      <c r="Z784" s="2"/>
      <c r="AB784" s="3"/>
      <c r="AC784" s="2"/>
      <c r="AG784" s="2"/>
      <c r="AH784" s="2"/>
      <c r="AI784" s="2"/>
    </row>
    <row r="785" spans="1:35" x14ac:dyDescent="0.25">
      <c r="A785" s="1"/>
      <c r="B785" s="1"/>
      <c r="S785" s="1"/>
      <c r="T785" s="1"/>
      <c r="W785" s="1"/>
      <c r="Y785" s="2"/>
      <c r="Z785" s="2"/>
      <c r="AB785" s="3"/>
      <c r="AC785" s="2"/>
      <c r="AG785" s="2"/>
      <c r="AH785" s="2"/>
      <c r="AI785" s="2"/>
    </row>
    <row r="786" spans="1:35" x14ac:dyDescent="0.25">
      <c r="A786" s="1"/>
      <c r="B786" s="1"/>
      <c r="S786" s="1"/>
      <c r="T786" s="1"/>
      <c r="W786" s="1"/>
      <c r="Y786" s="2"/>
      <c r="Z786" s="2"/>
      <c r="AB786" s="3"/>
      <c r="AC786" s="2"/>
      <c r="AG786" s="2"/>
      <c r="AH786" s="2"/>
      <c r="AI786" s="2"/>
    </row>
    <row r="787" spans="1:35" x14ac:dyDescent="0.25">
      <c r="A787" s="1"/>
      <c r="B787" s="1"/>
      <c r="S787" s="1"/>
      <c r="T787" s="1"/>
      <c r="W787" s="1"/>
      <c r="Y787" s="2"/>
      <c r="Z787" s="2"/>
      <c r="AB787" s="3"/>
      <c r="AC787" s="2"/>
      <c r="AG787" s="2"/>
      <c r="AH787" s="2"/>
      <c r="AI787" s="2"/>
    </row>
    <row r="788" spans="1:35" x14ac:dyDescent="0.25">
      <c r="A788" s="1"/>
      <c r="B788" s="1"/>
      <c r="S788" s="1"/>
      <c r="T788" s="1"/>
      <c r="W788" s="1"/>
      <c r="Y788" s="2"/>
      <c r="Z788" s="2"/>
      <c r="AB788" s="3"/>
      <c r="AC788" s="2"/>
      <c r="AG788" s="2"/>
      <c r="AH788" s="2"/>
      <c r="AI788" s="2"/>
    </row>
    <row r="789" spans="1:35" x14ac:dyDescent="0.25">
      <c r="A789" s="1"/>
      <c r="B789" s="1"/>
      <c r="S789" s="1"/>
      <c r="T789" s="1"/>
      <c r="W789" s="1"/>
      <c r="Y789" s="2"/>
      <c r="Z789" s="2"/>
      <c r="AB789" s="3"/>
      <c r="AC789" s="2"/>
      <c r="AG789" s="2"/>
      <c r="AH789" s="2"/>
      <c r="AI789" s="2"/>
    </row>
    <row r="790" spans="1:35" x14ac:dyDescent="0.25">
      <c r="A790" s="1"/>
      <c r="B790" s="1"/>
      <c r="S790" s="1"/>
      <c r="T790" s="1"/>
      <c r="W790" s="1"/>
      <c r="Y790" s="2"/>
      <c r="Z790" s="2"/>
      <c r="AB790" s="3"/>
      <c r="AC790" s="2"/>
      <c r="AG790" s="2"/>
      <c r="AH790" s="2"/>
      <c r="AI790" s="2"/>
    </row>
    <row r="791" spans="1:35" x14ac:dyDescent="0.25">
      <c r="A791" s="1"/>
      <c r="B791" s="1"/>
      <c r="S791" s="1"/>
      <c r="T791" s="1"/>
      <c r="W791" s="1"/>
      <c r="Y791" s="2"/>
      <c r="Z791" s="2"/>
      <c r="AB791" s="3"/>
      <c r="AC791" s="2"/>
      <c r="AG791" s="2"/>
      <c r="AH791" s="2"/>
      <c r="AI791" s="2"/>
    </row>
    <row r="792" spans="1:35" x14ac:dyDescent="0.25">
      <c r="A792" s="1"/>
      <c r="B792" s="1"/>
      <c r="S792" s="1"/>
      <c r="T792" s="1"/>
      <c r="W792" s="1"/>
      <c r="Y792" s="2"/>
      <c r="Z792" s="2"/>
      <c r="AB792" s="3"/>
      <c r="AC792" s="2"/>
      <c r="AG792" s="2"/>
      <c r="AH792" s="2"/>
      <c r="AI792" s="2"/>
    </row>
    <row r="793" spans="1:35" x14ac:dyDescent="0.25">
      <c r="A793" s="1"/>
      <c r="B793" s="1"/>
      <c r="S793" s="1"/>
      <c r="T793" s="1"/>
      <c r="W793" s="1"/>
      <c r="Y793" s="2"/>
      <c r="Z793" s="2"/>
      <c r="AB793" s="3"/>
      <c r="AC793" s="2"/>
      <c r="AG793" s="2"/>
      <c r="AH793" s="2"/>
      <c r="AI793" s="2"/>
    </row>
    <row r="794" spans="1:35" x14ac:dyDescent="0.25">
      <c r="A794" s="1"/>
      <c r="B794" s="1"/>
      <c r="S794" s="1"/>
      <c r="T794" s="1"/>
      <c r="W794" s="1"/>
      <c r="Y794" s="2"/>
      <c r="Z794" s="2"/>
      <c r="AB794" s="3"/>
      <c r="AC794" s="2"/>
      <c r="AG794" s="2"/>
      <c r="AH794" s="2"/>
      <c r="AI794" s="2"/>
    </row>
    <row r="795" spans="1:35" x14ac:dyDescent="0.25">
      <c r="A795" s="1"/>
      <c r="B795" s="1"/>
      <c r="S795" s="1"/>
      <c r="T795" s="1"/>
      <c r="W795" s="1"/>
      <c r="Y795" s="2"/>
      <c r="Z795" s="2"/>
      <c r="AB795" s="3"/>
      <c r="AC795" s="2"/>
      <c r="AG795" s="2"/>
      <c r="AH795" s="2"/>
      <c r="AI795" s="2"/>
    </row>
    <row r="796" spans="1:35" x14ac:dyDescent="0.25">
      <c r="A796" s="1"/>
      <c r="B796" s="1"/>
      <c r="S796" s="1"/>
      <c r="T796" s="1"/>
      <c r="W796" s="1"/>
      <c r="Y796" s="2"/>
      <c r="Z796" s="2"/>
      <c r="AB796" s="3"/>
      <c r="AC796" s="2"/>
      <c r="AG796" s="2"/>
      <c r="AH796" s="2"/>
      <c r="AI796" s="2"/>
    </row>
    <row r="797" spans="1:35" x14ac:dyDescent="0.25">
      <c r="A797" s="1"/>
      <c r="B797" s="1"/>
      <c r="S797" s="1"/>
      <c r="T797" s="1"/>
      <c r="W797" s="1"/>
      <c r="Y797" s="2"/>
      <c r="Z797" s="2"/>
      <c r="AB797" s="3"/>
      <c r="AC797" s="2"/>
      <c r="AG797" s="2"/>
      <c r="AH797" s="2"/>
      <c r="AI797" s="2"/>
    </row>
    <row r="798" spans="1:35" x14ac:dyDescent="0.25">
      <c r="A798" s="1"/>
      <c r="B798" s="1"/>
      <c r="S798" s="1"/>
      <c r="T798" s="1"/>
      <c r="W798" s="1"/>
      <c r="Y798" s="2"/>
      <c r="Z798" s="2"/>
      <c r="AB798" s="3"/>
      <c r="AC798" s="2"/>
      <c r="AG798" s="2"/>
      <c r="AH798" s="2"/>
      <c r="AI798" s="2"/>
    </row>
    <row r="799" spans="1:35" x14ac:dyDescent="0.25">
      <c r="A799" s="1"/>
      <c r="B799" s="1"/>
      <c r="S799" s="1"/>
      <c r="T799" s="1"/>
      <c r="W799" s="1"/>
      <c r="Y799" s="2"/>
      <c r="Z799" s="2"/>
      <c r="AB799" s="3"/>
      <c r="AC799" s="2"/>
      <c r="AG799" s="2"/>
      <c r="AH799" s="2"/>
      <c r="AI799" s="2"/>
    </row>
    <row r="800" spans="1:35" x14ac:dyDescent="0.25">
      <c r="A800" s="1"/>
      <c r="B800" s="1"/>
      <c r="S800" s="1"/>
      <c r="T800" s="1"/>
      <c r="W800" s="1"/>
      <c r="Y800" s="2"/>
      <c r="Z800" s="2"/>
      <c r="AB800" s="3"/>
      <c r="AC800" s="2"/>
      <c r="AG800" s="2"/>
      <c r="AH800" s="2"/>
      <c r="AI800" s="2"/>
    </row>
    <row r="801" spans="1:35" x14ac:dyDescent="0.25">
      <c r="A801" s="1"/>
      <c r="B801" s="1"/>
      <c r="S801" s="1"/>
      <c r="T801" s="1"/>
      <c r="W801" s="1"/>
      <c r="Y801" s="2"/>
      <c r="Z801" s="2"/>
      <c r="AB801" s="3"/>
      <c r="AC801" s="2"/>
      <c r="AG801" s="2"/>
      <c r="AH801" s="2"/>
      <c r="AI801" s="2"/>
    </row>
    <row r="802" spans="1:35" x14ac:dyDescent="0.25">
      <c r="A802" s="1"/>
      <c r="B802" s="1"/>
      <c r="S802" s="1"/>
      <c r="T802" s="1"/>
      <c r="W802" s="1"/>
      <c r="Y802" s="2"/>
      <c r="Z802" s="2"/>
      <c r="AB802" s="3"/>
      <c r="AC802" s="2"/>
      <c r="AG802" s="2"/>
      <c r="AH802" s="2"/>
      <c r="AI802" s="2"/>
    </row>
    <row r="803" spans="1:35" x14ac:dyDescent="0.25">
      <c r="A803" s="1"/>
      <c r="B803" s="1"/>
      <c r="S803" s="1"/>
      <c r="T803" s="1"/>
      <c r="W803" s="1"/>
      <c r="Y803" s="2"/>
      <c r="Z803" s="2"/>
      <c r="AB803" s="3"/>
      <c r="AC803" s="2"/>
      <c r="AG803" s="2"/>
      <c r="AH803" s="2"/>
      <c r="AI803" s="2"/>
    </row>
    <row r="804" spans="1:35" x14ac:dyDescent="0.25">
      <c r="A804" s="1"/>
      <c r="B804" s="1"/>
      <c r="S804" s="1"/>
      <c r="T804" s="1"/>
      <c r="W804" s="1"/>
      <c r="Y804" s="2"/>
      <c r="Z804" s="2"/>
      <c r="AB804" s="3"/>
      <c r="AC804" s="2"/>
      <c r="AG804" s="2"/>
      <c r="AH804" s="2"/>
      <c r="AI804" s="2"/>
    </row>
    <row r="805" spans="1:35" x14ac:dyDescent="0.25">
      <c r="A805" s="1"/>
      <c r="B805" s="1"/>
      <c r="S805" s="1"/>
      <c r="T805" s="1"/>
      <c r="W805" s="1"/>
      <c r="Y805" s="2"/>
      <c r="Z805" s="2"/>
      <c r="AB805" s="3"/>
      <c r="AC805" s="2"/>
      <c r="AG805" s="2"/>
      <c r="AH805" s="2"/>
      <c r="AI805" s="2"/>
    </row>
    <row r="806" spans="1:35" x14ac:dyDescent="0.25">
      <c r="A806" s="1"/>
      <c r="B806" s="1"/>
      <c r="S806" s="1"/>
      <c r="T806" s="1"/>
      <c r="W806" s="1"/>
      <c r="Y806" s="2"/>
      <c r="Z806" s="2"/>
      <c r="AB806" s="3"/>
      <c r="AC806" s="2"/>
      <c r="AG806" s="2"/>
      <c r="AH806" s="2"/>
      <c r="AI806" s="2"/>
    </row>
    <row r="807" spans="1:35" x14ac:dyDescent="0.25">
      <c r="A807" s="1"/>
      <c r="B807" s="1"/>
      <c r="S807" s="1"/>
      <c r="T807" s="1"/>
      <c r="W807" s="1"/>
      <c r="Y807" s="2"/>
      <c r="Z807" s="2"/>
      <c r="AB807" s="3"/>
      <c r="AC807" s="2"/>
      <c r="AG807" s="2"/>
      <c r="AH807" s="2"/>
      <c r="AI807" s="2"/>
    </row>
    <row r="808" spans="1:35" x14ac:dyDescent="0.25">
      <c r="A808" s="1"/>
      <c r="B808" s="1"/>
      <c r="S808" s="1"/>
      <c r="T808" s="1"/>
      <c r="W808" s="1"/>
      <c r="Y808" s="2"/>
      <c r="Z808" s="2"/>
      <c r="AB808" s="3"/>
      <c r="AC808" s="2"/>
      <c r="AG808" s="2"/>
      <c r="AH808" s="2"/>
      <c r="AI808" s="2"/>
    </row>
    <row r="809" spans="1:35" x14ac:dyDescent="0.25">
      <c r="A809" s="1"/>
      <c r="B809" s="1"/>
      <c r="S809" s="1"/>
      <c r="T809" s="1"/>
      <c r="W809" s="1"/>
      <c r="Y809" s="2"/>
      <c r="Z809" s="2"/>
      <c r="AB809" s="3"/>
      <c r="AC809" s="2"/>
      <c r="AG809" s="2"/>
      <c r="AH809" s="2"/>
      <c r="AI809" s="2"/>
    </row>
    <row r="810" spans="1:35" x14ac:dyDescent="0.25">
      <c r="A810" s="1"/>
      <c r="B810" s="1"/>
      <c r="S810" s="1"/>
      <c r="T810" s="1"/>
      <c r="W810" s="1"/>
      <c r="Y810" s="2"/>
      <c r="Z810" s="2"/>
      <c r="AB810" s="3"/>
      <c r="AC810" s="2"/>
      <c r="AG810" s="2"/>
      <c r="AH810" s="2"/>
      <c r="AI810" s="2"/>
    </row>
    <row r="811" spans="1:35" x14ac:dyDescent="0.25">
      <c r="A811" s="1"/>
      <c r="B811" s="1"/>
      <c r="S811" s="1"/>
      <c r="T811" s="1"/>
      <c r="W811" s="1"/>
      <c r="Y811" s="2"/>
      <c r="Z811" s="2"/>
      <c r="AB811" s="3"/>
      <c r="AC811" s="2"/>
      <c r="AG811" s="2"/>
      <c r="AH811" s="2"/>
      <c r="AI811" s="2"/>
    </row>
    <row r="812" spans="1:35" x14ac:dyDescent="0.25">
      <c r="A812" s="1"/>
      <c r="B812" s="1"/>
      <c r="S812" s="1"/>
      <c r="T812" s="1"/>
      <c r="W812" s="1"/>
      <c r="Y812" s="2"/>
      <c r="Z812" s="2"/>
      <c r="AB812" s="3"/>
      <c r="AC812" s="2"/>
      <c r="AG812" s="2"/>
      <c r="AH812" s="2"/>
      <c r="AI812" s="2"/>
    </row>
    <row r="813" spans="1:35" x14ac:dyDescent="0.25">
      <c r="A813" s="1"/>
      <c r="B813" s="1"/>
      <c r="S813" s="1"/>
      <c r="T813" s="1"/>
      <c r="W813" s="1"/>
      <c r="Y813" s="2"/>
      <c r="Z813" s="2"/>
      <c r="AB813" s="3"/>
      <c r="AC813" s="2"/>
      <c r="AG813" s="2"/>
      <c r="AH813" s="2"/>
      <c r="AI813" s="2"/>
    </row>
    <row r="814" spans="1:35" x14ac:dyDescent="0.25">
      <c r="A814" s="1"/>
      <c r="B814" s="1"/>
      <c r="S814" s="1"/>
      <c r="T814" s="1"/>
      <c r="W814" s="1"/>
      <c r="Y814" s="2"/>
      <c r="Z814" s="2"/>
      <c r="AB814" s="3"/>
      <c r="AC814" s="2"/>
      <c r="AG814" s="2"/>
      <c r="AH814" s="2"/>
      <c r="AI814" s="2"/>
    </row>
    <row r="815" spans="1:35" x14ac:dyDescent="0.25">
      <c r="A815" s="1"/>
      <c r="B815" s="1"/>
      <c r="S815" s="1"/>
      <c r="T815" s="1"/>
      <c r="W815" s="1"/>
      <c r="Y815" s="2"/>
      <c r="Z815" s="2"/>
      <c r="AB815" s="3"/>
      <c r="AC815" s="2"/>
      <c r="AG815" s="2"/>
      <c r="AH815" s="2"/>
      <c r="AI815" s="2"/>
    </row>
    <row r="816" spans="1:35" x14ac:dyDescent="0.25">
      <c r="A816" s="1"/>
      <c r="B816" s="1"/>
      <c r="S816" s="1"/>
      <c r="T816" s="1"/>
      <c r="W816" s="1"/>
      <c r="Y816" s="2"/>
      <c r="Z816" s="2"/>
      <c r="AB816" s="3"/>
      <c r="AC816" s="2"/>
      <c r="AG816" s="2"/>
      <c r="AH816" s="2"/>
      <c r="AI816" s="2"/>
    </row>
    <row r="817" spans="1:35" x14ac:dyDescent="0.25">
      <c r="A817" s="1"/>
      <c r="B817" s="1"/>
      <c r="S817" s="1"/>
      <c r="T817" s="1"/>
      <c r="W817" s="1"/>
      <c r="Y817" s="2"/>
      <c r="Z817" s="2"/>
      <c r="AB817" s="3"/>
      <c r="AC817" s="2"/>
      <c r="AG817" s="2"/>
      <c r="AH817" s="2"/>
      <c r="AI817" s="2"/>
    </row>
    <row r="818" spans="1:35" x14ac:dyDescent="0.25">
      <c r="A818" s="1"/>
      <c r="B818" s="1"/>
      <c r="S818" s="1"/>
      <c r="T818" s="1"/>
      <c r="W818" s="1"/>
      <c r="Y818" s="2"/>
      <c r="Z818" s="2"/>
      <c r="AB818" s="3"/>
      <c r="AC818" s="2"/>
      <c r="AG818" s="2"/>
      <c r="AH818" s="2"/>
      <c r="AI818" s="2"/>
    </row>
    <row r="819" spans="1:35" x14ac:dyDescent="0.25">
      <c r="A819" s="1"/>
      <c r="B819" s="1"/>
      <c r="S819" s="1"/>
      <c r="T819" s="1"/>
      <c r="W819" s="1"/>
      <c r="Y819" s="2"/>
      <c r="Z819" s="2"/>
      <c r="AB819" s="3"/>
      <c r="AC819" s="2"/>
      <c r="AG819" s="2"/>
      <c r="AH819" s="2"/>
      <c r="AI819" s="2"/>
    </row>
    <row r="820" spans="1:35" x14ac:dyDescent="0.25">
      <c r="A820" s="1"/>
      <c r="B820" s="1"/>
      <c r="S820" s="1"/>
      <c r="T820" s="1"/>
      <c r="W820" s="1"/>
      <c r="Y820" s="2"/>
      <c r="Z820" s="2"/>
      <c r="AB820" s="3"/>
      <c r="AC820" s="2"/>
      <c r="AG820" s="2"/>
      <c r="AH820" s="2"/>
      <c r="AI820" s="2"/>
    </row>
    <row r="821" spans="1:35" x14ac:dyDescent="0.25">
      <c r="A821" s="1"/>
      <c r="B821" s="1"/>
      <c r="S821" s="1"/>
      <c r="T821" s="1"/>
      <c r="W821" s="1"/>
      <c r="Y821" s="2"/>
      <c r="Z821" s="2"/>
      <c r="AB821" s="3"/>
      <c r="AC821" s="2"/>
      <c r="AG821" s="2"/>
      <c r="AH821" s="2"/>
      <c r="AI821" s="2"/>
    </row>
    <row r="822" spans="1:35" x14ac:dyDescent="0.25">
      <c r="A822" s="1"/>
      <c r="B822" s="1"/>
      <c r="S822" s="1"/>
      <c r="T822" s="1"/>
      <c r="W822" s="1"/>
      <c r="Y822" s="2"/>
      <c r="Z822" s="2"/>
      <c r="AB822" s="3"/>
      <c r="AC822" s="2"/>
      <c r="AG822" s="2"/>
      <c r="AH822" s="2"/>
      <c r="AI822" s="2"/>
    </row>
    <row r="823" spans="1:35" x14ac:dyDescent="0.25">
      <c r="A823" s="1"/>
      <c r="B823" s="1"/>
      <c r="S823" s="1"/>
      <c r="T823" s="1"/>
      <c r="W823" s="1"/>
      <c r="Y823" s="2"/>
      <c r="Z823" s="2"/>
      <c r="AB823" s="3"/>
      <c r="AC823" s="2"/>
      <c r="AG823" s="2"/>
      <c r="AH823" s="2"/>
      <c r="AI823" s="2"/>
    </row>
    <row r="824" spans="1:35" x14ac:dyDescent="0.25">
      <c r="A824" s="1"/>
      <c r="B824" s="1"/>
      <c r="S824" s="1"/>
      <c r="T824" s="1"/>
      <c r="W824" s="1"/>
      <c r="Y824" s="2"/>
      <c r="Z824" s="2"/>
      <c r="AB824" s="3"/>
      <c r="AC824" s="2"/>
      <c r="AG824" s="2"/>
      <c r="AH824" s="2"/>
      <c r="AI824" s="2"/>
    </row>
    <row r="825" spans="1:35" x14ac:dyDescent="0.25">
      <c r="A825" s="1"/>
      <c r="B825" s="1"/>
      <c r="S825" s="1"/>
      <c r="T825" s="1"/>
      <c r="W825" s="1"/>
      <c r="Y825" s="2"/>
      <c r="Z825" s="2"/>
      <c r="AB825" s="3"/>
      <c r="AC825" s="2"/>
      <c r="AG825" s="2"/>
      <c r="AH825" s="2"/>
      <c r="AI825" s="2"/>
    </row>
    <row r="826" spans="1:35" x14ac:dyDescent="0.25">
      <c r="A826" s="1"/>
      <c r="B826" s="1"/>
      <c r="S826" s="1"/>
      <c r="T826" s="1"/>
      <c r="W826" s="1"/>
      <c r="Y826" s="2"/>
      <c r="Z826" s="2"/>
      <c r="AB826" s="3"/>
      <c r="AC826" s="2"/>
      <c r="AG826" s="2"/>
      <c r="AH826" s="2"/>
      <c r="AI826" s="2"/>
    </row>
    <row r="827" spans="1:35" x14ac:dyDescent="0.25">
      <c r="A827" s="1"/>
      <c r="B827" s="1"/>
      <c r="S827" s="1"/>
      <c r="T827" s="1"/>
      <c r="W827" s="1"/>
      <c r="Y827" s="2"/>
      <c r="Z827" s="2"/>
      <c r="AB827" s="3"/>
      <c r="AC827" s="2"/>
      <c r="AG827" s="2"/>
      <c r="AH827" s="2"/>
      <c r="AI827" s="2"/>
    </row>
    <row r="828" spans="1:35" x14ac:dyDescent="0.25">
      <c r="A828" s="1"/>
      <c r="B828" s="1"/>
      <c r="S828" s="1"/>
      <c r="T828" s="1"/>
      <c r="W828" s="1"/>
      <c r="Y828" s="2"/>
      <c r="Z828" s="2"/>
      <c r="AB828" s="3"/>
      <c r="AC828" s="2"/>
      <c r="AG828" s="2"/>
      <c r="AH828" s="2"/>
      <c r="AI828" s="2"/>
    </row>
    <row r="829" spans="1:35" x14ac:dyDescent="0.25">
      <c r="A829" s="1"/>
      <c r="B829" s="1"/>
      <c r="S829" s="1"/>
      <c r="T829" s="1"/>
      <c r="W829" s="1"/>
      <c r="Y829" s="2"/>
      <c r="Z829" s="2"/>
      <c r="AB829" s="3"/>
      <c r="AC829" s="2"/>
      <c r="AG829" s="2"/>
      <c r="AH829" s="2"/>
      <c r="AI829" s="2"/>
    </row>
    <row r="830" spans="1:35" x14ac:dyDescent="0.25">
      <c r="A830" s="1"/>
      <c r="B830" s="1"/>
      <c r="S830" s="1"/>
      <c r="T830" s="1"/>
      <c r="W830" s="1"/>
      <c r="Y830" s="2"/>
      <c r="Z830" s="2"/>
      <c r="AB830" s="3"/>
      <c r="AC830" s="2"/>
      <c r="AG830" s="2"/>
      <c r="AH830" s="2"/>
      <c r="AI830" s="2"/>
    </row>
    <row r="831" spans="1:35" x14ac:dyDescent="0.25">
      <c r="A831" s="1"/>
      <c r="B831" s="1"/>
      <c r="S831" s="1"/>
      <c r="T831" s="1"/>
      <c r="W831" s="1"/>
      <c r="Y831" s="2"/>
      <c r="Z831" s="2"/>
      <c r="AB831" s="3"/>
      <c r="AC831" s="2"/>
      <c r="AG831" s="2"/>
      <c r="AH831" s="2"/>
      <c r="AI831" s="2"/>
    </row>
    <row r="832" spans="1:35" x14ac:dyDescent="0.25">
      <c r="A832" s="1"/>
      <c r="B832" s="1"/>
      <c r="S832" s="1"/>
      <c r="T832" s="1"/>
      <c r="W832" s="1"/>
      <c r="Y832" s="2"/>
      <c r="Z832" s="2"/>
      <c r="AB832" s="3"/>
      <c r="AC832" s="2"/>
      <c r="AG832" s="2"/>
      <c r="AH832" s="2"/>
      <c r="AI832" s="2"/>
    </row>
    <row r="833" spans="1:35" x14ac:dyDescent="0.25">
      <c r="A833" s="1"/>
      <c r="B833" s="1"/>
      <c r="S833" s="1"/>
      <c r="T833" s="1"/>
      <c r="W833" s="1"/>
      <c r="Y833" s="2"/>
      <c r="Z833" s="2"/>
      <c r="AB833" s="3"/>
      <c r="AC833" s="2"/>
      <c r="AG833" s="2"/>
      <c r="AH833" s="2"/>
      <c r="AI833" s="2"/>
    </row>
    <row r="834" spans="1:35" x14ac:dyDescent="0.25">
      <c r="A834" s="1"/>
      <c r="B834" s="1"/>
      <c r="S834" s="1"/>
      <c r="T834" s="1"/>
      <c r="W834" s="1"/>
      <c r="Y834" s="2"/>
      <c r="Z834" s="2"/>
      <c r="AB834" s="3"/>
      <c r="AC834" s="2"/>
      <c r="AG834" s="2"/>
      <c r="AH834" s="2"/>
      <c r="AI834" s="2"/>
    </row>
    <row r="835" spans="1:35" x14ac:dyDescent="0.25">
      <c r="A835" s="1"/>
      <c r="B835" s="1"/>
      <c r="S835" s="1"/>
      <c r="T835" s="1"/>
      <c r="W835" s="1"/>
      <c r="Y835" s="2"/>
      <c r="Z835" s="2"/>
      <c r="AB835" s="3"/>
      <c r="AC835" s="2"/>
      <c r="AG835" s="2"/>
      <c r="AH835" s="2"/>
      <c r="AI835" s="2"/>
    </row>
    <row r="836" spans="1:35" x14ac:dyDescent="0.25">
      <c r="A836" s="1"/>
      <c r="B836" s="1"/>
      <c r="S836" s="1"/>
      <c r="T836" s="1"/>
      <c r="W836" s="1"/>
      <c r="Y836" s="2"/>
      <c r="Z836" s="2"/>
      <c r="AB836" s="3"/>
      <c r="AC836" s="2"/>
      <c r="AG836" s="2"/>
      <c r="AH836" s="2"/>
      <c r="AI836" s="2"/>
    </row>
    <row r="837" spans="1:35" x14ac:dyDescent="0.25">
      <c r="A837" s="1"/>
      <c r="B837" s="1"/>
      <c r="S837" s="1"/>
      <c r="T837" s="1"/>
      <c r="W837" s="1"/>
      <c r="Y837" s="2"/>
      <c r="Z837" s="2"/>
      <c r="AB837" s="3"/>
      <c r="AC837" s="2"/>
      <c r="AG837" s="2"/>
      <c r="AH837" s="2"/>
      <c r="AI837" s="2"/>
    </row>
    <row r="838" spans="1:35" x14ac:dyDescent="0.25">
      <c r="A838" s="1"/>
      <c r="B838" s="1"/>
      <c r="S838" s="1"/>
      <c r="T838" s="1"/>
      <c r="W838" s="1"/>
      <c r="Y838" s="2"/>
      <c r="Z838" s="2"/>
      <c r="AB838" s="3"/>
      <c r="AC838" s="2"/>
      <c r="AG838" s="2"/>
      <c r="AH838" s="2"/>
      <c r="AI838" s="2"/>
    </row>
    <row r="839" spans="1:35" x14ac:dyDescent="0.25">
      <c r="A839" s="1"/>
      <c r="B839" s="1"/>
      <c r="S839" s="1"/>
      <c r="T839" s="1"/>
      <c r="W839" s="1"/>
      <c r="Y839" s="2"/>
      <c r="Z839" s="2"/>
      <c r="AB839" s="3"/>
      <c r="AC839" s="2"/>
      <c r="AG839" s="2"/>
      <c r="AH839" s="2"/>
      <c r="AI839" s="2"/>
    </row>
    <row r="840" spans="1:35" x14ac:dyDescent="0.25">
      <c r="A840" s="1"/>
      <c r="B840" s="1"/>
      <c r="S840" s="1"/>
      <c r="T840" s="1"/>
      <c r="W840" s="1"/>
      <c r="Y840" s="2"/>
      <c r="Z840" s="2"/>
      <c r="AB840" s="3"/>
      <c r="AC840" s="2"/>
      <c r="AG840" s="2"/>
      <c r="AH840" s="2"/>
      <c r="AI840" s="2"/>
    </row>
    <row r="841" spans="1:35" x14ac:dyDescent="0.25">
      <c r="A841" s="1"/>
      <c r="B841" s="1"/>
      <c r="S841" s="1"/>
      <c r="T841" s="1"/>
      <c r="W841" s="1"/>
      <c r="Y841" s="2"/>
      <c r="Z841" s="2"/>
      <c r="AB841" s="3"/>
      <c r="AC841" s="2"/>
      <c r="AG841" s="2"/>
      <c r="AH841" s="2"/>
      <c r="AI841" s="2"/>
    </row>
    <row r="842" spans="1:35" x14ac:dyDescent="0.25">
      <c r="A842" s="1"/>
      <c r="B842" s="1"/>
      <c r="S842" s="1"/>
      <c r="T842" s="1"/>
      <c r="W842" s="1"/>
      <c r="Y842" s="2"/>
      <c r="Z842" s="2"/>
      <c r="AB842" s="3"/>
      <c r="AC842" s="2"/>
      <c r="AG842" s="2"/>
      <c r="AH842" s="2"/>
      <c r="AI842" s="2"/>
    </row>
    <row r="843" spans="1:35" x14ac:dyDescent="0.25">
      <c r="A843" s="1"/>
      <c r="B843" s="1"/>
      <c r="S843" s="1"/>
      <c r="T843" s="1"/>
      <c r="W843" s="1"/>
      <c r="Y843" s="2"/>
      <c r="Z843" s="2"/>
      <c r="AB843" s="3"/>
      <c r="AC843" s="2"/>
      <c r="AG843" s="2"/>
      <c r="AH843" s="2"/>
      <c r="AI843" s="2"/>
    </row>
    <row r="844" spans="1:35" x14ac:dyDescent="0.25">
      <c r="A844" s="1"/>
      <c r="B844" s="1"/>
      <c r="S844" s="1"/>
      <c r="T844" s="1"/>
      <c r="W844" s="1"/>
      <c r="Y844" s="2"/>
      <c r="Z844" s="2"/>
      <c r="AB844" s="3"/>
      <c r="AC844" s="2"/>
      <c r="AG844" s="2"/>
      <c r="AH844" s="2"/>
      <c r="AI844" s="2"/>
    </row>
    <row r="845" spans="1:35" x14ac:dyDescent="0.25">
      <c r="A845" s="1"/>
      <c r="B845" s="1"/>
      <c r="S845" s="1"/>
      <c r="T845" s="1"/>
      <c r="W845" s="1"/>
      <c r="Y845" s="2"/>
      <c r="Z845" s="2"/>
      <c r="AB845" s="3"/>
      <c r="AC845" s="2"/>
      <c r="AG845" s="2"/>
      <c r="AH845" s="2"/>
      <c r="AI845" s="2"/>
    </row>
    <row r="846" spans="1:35" x14ac:dyDescent="0.25">
      <c r="A846" s="1"/>
      <c r="B846" s="1"/>
      <c r="S846" s="1"/>
      <c r="T846" s="1"/>
      <c r="W846" s="1"/>
      <c r="Y846" s="2"/>
      <c r="Z846" s="2"/>
      <c r="AB846" s="3"/>
      <c r="AC846" s="2"/>
      <c r="AG846" s="2"/>
      <c r="AH846" s="2"/>
      <c r="AI846" s="2"/>
    </row>
    <row r="847" spans="1:35" x14ac:dyDescent="0.25">
      <c r="A847" s="1"/>
      <c r="B847" s="1"/>
      <c r="S847" s="1"/>
      <c r="T847" s="1"/>
      <c r="W847" s="1"/>
      <c r="Y847" s="2"/>
      <c r="Z847" s="2"/>
      <c r="AB847" s="3"/>
      <c r="AC847" s="2"/>
      <c r="AG847" s="2"/>
      <c r="AH847" s="2"/>
      <c r="AI847" s="2"/>
    </row>
    <row r="848" spans="1:35" x14ac:dyDescent="0.25">
      <c r="A848" s="1"/>
      <c r="B848" s="1"/>
      <c r="S848" s="1"/>
      <c r="T848" s="1"/>
      <c r="W848" s="1"/>
      <c r="Y848" s="2"/>
      <c r="Z848" s="2"/>
      <c r="AB848" s="3"/>
      <c r="AC848" s="2"/>
      <c r="AG848" s="2"/>
      <c r="AH848" s="2"/>
      <c r="AI848" s="2"/>
    </row>
    <row r="849" spans="1:35" x14ac:dyDescent="0.25">
      <c r="A849" s="1"/>
      <c r="B849" s="1"/>
      <c r="S849" s="1"/>
      <c r="T849" s="1"/>
      <c r="W849" s="1"/>
      <c r="Y849" s="2"/>
      <c r="Z849" s="2"/>
      <c r="AB849" s="3"/>
      <c r="AC849" s="2"/>
      <c r="AG849" s="2"/>
      <c r="AH849" s="2"/>
      <c r="AI849" s="2"/>
    </row>
    <row r="850" spans="1:35" x14ac:dyDescent="0.25">
      <c r="A850" s="1"/>
      <c r="B850" s="1"/>
      <c r="S850" s="1"/>
      <c r="T850" s="1"/>
      <c r="W850" s="1"/>
      <c r="Y850" s="2"/>
      <c r="Z850" s="2"/>
      <c r="AB850" s="3"/>
      <c r="AC850" s="2"/>
      <c r="AG850" s="2"/>
      <c r="AH850" s="2"/>
      <c r="AI850" s="2"/>
    </row>
    <row r="851" spans="1:35" x14ac:dyDescent="0.25">
      <c r="A851" s="1"/>
      <c r="B851" s="1"/>
      <c r="S851" s="1"/>
      <c r="T851" s="1"/>
      <c r="W851" s="1"/>
      <c r="Y851" s="2"/>
      <c r="Z851" s="2"/>
      <c r="AB851" s="3"/>
      <c r="AC851" s="2"/>
      <c r="AG851" s="2"/>
      <c r="AH851" s="2"/>
      <c r="AI851" s="2"/>
    </row>
    <row r="852" spans="1:35" x14ac:dyDescent="0.25">
      <c r="A852" s="1"/>
      <c r="B852" s="1"/>
      <c r="S852" s="1"/>
      <c r="T852" s="1"/>
      <c r="W852" s="1"/>
      <c r="Y852" s="2"/>
      <c r="Z852" s="2"/>
      <c r="AB852" s="3"/>
      <c r="AC852" s="2"/>
      <c r="AG852" s="2"/>
      <c r="AH852" s="2"/>
      <c r="AI852" s="2"/>
    </row>
    <row r="853" spans="1:35" x14ac:dyDescent="0.25">
      <c r="A853" s="1"/>
      <c r="B853" s="1"/>
      <c r="S853" s="1"/>
      <c r="T853" s="1"/>
      <c r="W853" s="1"/>
      <c r="Y853" s="2"/>
      <c r="Z853" s="2"/>
      <c r="AB853" s="3"/>
      <c r="AC853" s="2"/>
      <c r="AG853" s="2"/>
      <c r="AH853" s="2"/>
      <c r="AI853" s="2"/>
    </row>
    <row r="854" spans="1:35" x14ac:dyDescent="0.25">
      <c r="A854" s="1"/>
      <c r="B854" s="1"/>
      <c r="S854" s="1"/>
      <c r="T854" s="1"/>
      <c r="W854" s="1"/>
      <c r="Y854" s="2"/>
      <c r="Z854" s="2"/>
      <c r="AB854" s="3"/>
      <c r="AC854" s="2"/>
      <c r="AG854" s="2"/>
      <c r="AH854" s="2"/>
      <c r="AI854" s="2"/>
    </row>
    <row r="855" spans="1:35" x14ac:dyDescent="0.25">
      <c r="A855" s="1"/>
      <c r="B855" s="1"/>
      <c r="S855" s="1"/>
      <c r="T855" s="1"/>
      <c r="W855" s="1"/>
      <c r="Y855" s="2"/>
      <c r="Z855" s="2"/>
      <c r="AB855" s="3"/>
      <c r="AC855" s="2"/>
      <c r="AG855" s="2"/>
      <c r="AH855" s="2"/>
      <c r="AI855" s="2"/>
    </row>
    <row r="856" spans="1:35" x14ac:dyDescent="0.25">
      <c r="A856" s="1"/>
      <c r="B856" s="1"/>
      <c r="S856" s="1"/>
      <c r="T856" s="1"/>
      <c r="W856" s="1"/>
      <c r="Y856" s="2"/>
      <c r="Z856" s="2"/>
      <c r="AB856" s="3"/>
      <c r="AC856" s="2"/>
      <c r="AG856" s="2"/>
      <c r="AH856" s="2"/>
      <c r="AI856" s="2"/>
    </row>
    <row r="857" spans="1:35" x14ac:dyDescent="0.25">
      <c r="A857" s="1"/>
      <c r="B857" s="1"/>
      <c r="S857" s="1"/>
      <c r="T857" s="1"/>
      <c r="W857" s="1"/>
      <c r="Y857" s="2"/>
      <c r="Z857" s="2"/>
      <c r="AB857" s="3"/>
      <c r="AC857" s="2"/>
      <c r="AG857" s="2"/>
      <c r="AH857" s="2"/>
      <c r="AI857" s="2"/>
    </row>
    <row r="858" spans="1:35" x14ac:dyDescent="0.25">
      <c r="A858" s="1"/>
      <c r="B858" s="1"/>
      <c r="S858" s="1"/>
      <c r="T858" s="1"/>
      <c r="W858" s="1"/>
      <c r="Y858" s="2"/>
      <c r="Z858" s="2"/>
      <c r="AB858" s="3"/>
      <c r="AC858" s="2"/>
      <c r="AG858" s="2"/>
      <c r="AH858" s="2"/>
      <c r="AI858" s="2"/>
    </row>
    <row r="859" spans="1:35" x14ac:dyDescent="0.25">
      <c r="A859" s="1"/>
      <c r="B859" s="1"/>
      <c r="S859" s="1"/>
      <c r="T859" s="1"/>
      <c r="W859" s="1"/>
      <c r="Y859" s="2"/>
      <c r="Z859" s="2"/>
      <c r="AB859" s="3"/>
      <c r="AC859" s="2"/>
      <c r="AG859" s="2"/>
      <c r="AH859" s="2"/>
      <c r="AI859" s="2"/>
    </row>
    <row r="860" spans="1:35" x14ac:dyDescent="0.25">
      <c r="A860" s="1"/>
      <c r="B860" s="1"/>
      <c r="S860" s="1"/>
      <c r="T860" s="1"/>
      <c r="W860" s="1"/>
      <c r="Y860" s="2"/>
      <c r="Z860" s="2"/>
      <c r="AB860" s="3"/>
      <c r="AC860" s="2"/>
      <c r="AG860" s="2"/>
      <c r="AH860" s="2"/>
      <c r="AI860" s="2"/>
    </row>
    <row r="861" spans="1:35" x14ac:dyDescent="0.25">
      <c r="A861" s="1"/>
      <c r="B861" s="1"/>
      <c r="S861" s="1"/>
      <c r="T861" s="1"/>
      <c r="W861" s="1"/>
      <c r="Y861" s="2"/>
      <c r="Z861" s="2"/>
      <c r="AB861" s="3"/>
      <c r="AC861" s="2"/>
      <c r="AG861" s="2"/>
      <c r="AH861" s="2"/>
      <c r="AI861" s="2"/>
    </row>
    <row r="862" spans="1:35" x14ac:dyDescent="0.25">
      <c r="A862" s="1"/>
      <c r="B862" s="1"/>
      <c r="S862" s="1"/>
      <c r="T862" s="1"/>
      <c r="W862" s="1"/>
      <c r="Y862" s="2"/>
      <c r="Z862" s="2"/>
      <c r="AB862" s="3"/>
      <c r="AC862" s="2"/>
      <c r="AG862" s="2"/>
      <c r="AH862" s="2"/>
      <c r="AI862" s="2"/>
    </row>
    <row r="863" spans="1:35" x14ac:dyDescent="0.25">
      <c r="A863" s="1"/>
      <c r="B863" s="1"/>
      <c r="S863" s="1"/>
      <c r="T863" s="1"/>
      <c r="W863" s="1"/>
      <c r="Y863" s="2"/>
      <c r="Z863" s="2"/>
      <c r="AB863" s="3"/>
      <c r="AC863" s="2"/>
      <c r="AG863" s="2"/>
      <c r="AH863" s="2"/>
      <c r="AI863" s="2"/>
    </row>
    <row r="864" spans="1:35" x14ac:dyDescent="0.25">
      <c r="A864" s="1"/>
      <c r="B864" s="1"/>
      <c r="S864" s="1"/>
      <c r="T864" s="1"/>
      <c r="W864" s="1"/>
      <c r="Y864" s="2"/>
      <c r="Z864" s="2"/>
      <c r="AB864" s="3"/>
      <c r="AC864" s="2"/>
      <c r="AG864" s="2"/>
      <c r="AH864" s="2"/>
      <c r="AI864" s="2"/>
    </row>
    <row r="865" spans="1:35" x14ac:dyDescent="0.25">
      <c r="A865" s="1"/>
      <c r="B865" s="1"/>
      <c r="S865" s="1"/>
      <c r="T865" s="1"/>
      <c r="W865" s="1"/>
      <c r="Y865" s="2"/>
      <c r="Z865" s="2"/>
      <c r="AB865" s="3"/>
      <c r="AC865" s="2"/>
      <c r="AG865" s="2"/>
      <c r="AH865" s="2"/>
      <c r="AI865" s="2"/>
    </row>
    <row r="866" spans="1:35" x14ac:dyDescent="0.25">
      <c r="A866" s="1"/>
      <c r="B866" s="1"/>
      <c r="S866" s="1"/>
      <c r="T866" s="1"/>
      <c r="W866" s="1"/>
      <c r="Y866" s="2"/>
      <c r="Z866" s="2"/>
      <c r="AB866" s="3"/>
      <c r="AC866" s="2"/>
      <c r="AG866" s="2"/>
      <c r="AH866" s="2"/>
      <c r="AI866" s="2"/>
    </row>
    <row r="867" spans="1:35" x14ac:dyDescent="0.25">
      <c r="A867" s="1"/>
      <c r="B867" s="1"/>
      <c r="S867" s="1"/>
      <c r="T867" s="1"/>
      <c r="W867" s="1"/>
      <c r="Y867" s="2"/>
      <c r="Z867" s="2"/>
      <c r="AB867" s="3"/>
      <c r="AC867" s="2"/>
      <c r="AG867" s="2"/>
      <c r="AH867" s="2"/>
      <c r="AI867" s="2"/>
    </row>
    <row r="868" spans="1:35" x14ac:dyDescent="0.25">
      <c r="A868" s="1"/>
      <c r="B868" s="1"/>
      <c r="S868" s="1"/>
      <c r="T868" s="1"/>
      <c r="W868" s="1"/>
      <c r="Y868" s="2"/>
      <c r="Z868" s="2"/>
      <c r="AB868" s="3"/>
      <c r="AC868" s="2"/>
      <c r="AG868" s="2"/>
      <c r="AH868" s="2"/>
      <c r="AI868" s="2"/>
    </row>
    <row r="869" spans="1:35" x14ac:dyDescent="0.25">
      <c r="A869" s="1"/>
      <c r="B869" s="1"/>
      <c r="S869" s="1"/>
      <c r="T869" s="1"/>
      <c r="W869" s="1"/>
      <c r="Y869" s="2"/>
      <c r="Z869" s="2"/>
      <c r="AB869" s="3"/>
      <c r="AC869" s="2"/>
      <c r="AG869" s="2"/>
      <c r="AH869" s="2"/>
      <c r="AI869" s="2"/>
    </row>
    <row r="870" spans="1:35" x14ac:dyDescent="0.25">
      <c r="A870" s="1"/>
      <c r="B870" s="1"/>
      <c r="S870" s="1"/>
      <c r="T870" s="1"/>
      <c r="W870" s="1"/>
      <c r="Y870" s="2"/>
      <c r="Z870" s="2"/>
      <c r="AB870" s="3"/>
      <c r="AC870" s="2"/>
      <c r="AG870" s="2"/>
      <c r="AH870" s="2"/>
      <c r="AI870" s="2"/>
    </row>
    <row r="871" spans="1:35" x14ac:dyDescent="0.25">
      <c r="A871" s="1"/>
      <c r="B871" s="1"/>
      <c r="S871" s="1"/>
      <c r="T871" s="1"/>
      <c r="W871" s="1"/>
      <c r="Y871" s="2"/>
      <c r="Z871" s="2"/>
      <c r="AB871" s="3"/>
      <c r="AC871" s="2"/>
      <c r="AG871" s="2"/>
      <c r="AH871" s="2"/>
      <c r="AI871" s="2"/>
    </row>
    <row r="872" spans="1:35" x14ac:dyDescent="0.25">
      <c r="A872" s="1"/>
      <c r="B872" s="1"/>
      <c r="S872" s="1"/>
      <c r="T872" s="1"/>
      <c r="W872" s="1"/>
      <c r="Y872" s="2"/>
      <c r="Z872" s="2"/>
      <c r="AB872" s="3"/>
      <c r="AC872" s="2"/>
      <c r="AG872" s="2"/>
      <c r="AH872" s="2"/>
      <c r="AI872" s="2"/>
    </row>
    <row r="873" spans="1:35" x14ac:dyDescent="0.25">
      <c r="A873" s="1"/>
      <c r="B873" s="1"/>
      <c r="S873" s="1"/>
      <c r="T873" s="1"/>
      <c r="W873" s="1"/>
      <c r="Y873" s="2"/>
      <c r="Z873" s="2"/>
      <c r="AB873" s="3"/>
      <c r="AC873" s="2"/>
      <c r="AG873" s="2"/>
      <c r="AH873" s="2"/>
      <c r="AI873" s="2"/>
    </row>
    <row r="874" spans="1:35" x14ac:dyDescent="0.25">
      <c r="A874" s="1"/>
      <c r="B874" s="1"/>
      <c r="S874" s="1"/>
      <c r="T874" s="1"/>
      <c r="W874" s="1"/>
      <c r="Y874" s="2"/>
      <c r="Z874" s="2"/>
      <c r="AB874" s="3"/>
      <c r="AC874" s="2"/>
      <c r="AG874" s="2"/>
      <c r="AH874" s="2"/>
      <c r="AI874" s="2"/>
    </row>
    <row r="875" spans="1:35" x14ac:dyDescent="0.25">
      <c r="A875" s="1"/>
      <c r="B875" s="1"/>
      <c r="S875" s="1"/>
      <c r="T875" s="1"/>
      <c r="W875" s="1"/>
      <c r="Y875" s="2"/>
      <c r="Z875" s="2"/>
      <c r="AB875" s="3"/>
      <c r="AC875" s="2"/>
      <c r="AG875" s="2"/>
      <c r="AH875" s="2"/>
      <c r="AI875" s="2"/>
    </row>
    <row r="876" spans="1:35" x14ac:dyDescent="0.25">
      <c r="A876" s="1"/>
      <c r="B876" s="1"/>
      <c r="S876" s="1"/>
      <c r="T876" s="1"/>
      <c r="W876" s="1"/>
      <c r="Y876" s="2"/>
      <c r="Z876" s="2"/>
      <c r="AB876" s="3"/>
      <c r="AC876" s="2"/>
      <c r="AG876" s="2"/>
      <c r="AH876" s="2"/>
      <c r="AI876" s="2"/>
    </row>
    <row r="877" spans="1:35" x14ac:dyDescent="0.25">
      <c r="A877" s="1"/>
      <c r="B877" s="1"/>
      <c r="S877" s="1"/>
      <c r="T877" s="1"/>
      <c r="W877" s="1"/>
      <c r="Y877" s="2"/>
      <c r="Z877" s="2"/>
      <c r="AB877" s="3"/>
      <c r="AC877" s="2"/>
      <c r="AG877" s="2"/>
      <c r="AH877" s="2"/>
      <c r="AI877" s="2"/>
    </row>
    <row r="878" spans="1:35" x14ac:dyDescent="0.25">
      <c r="A878" s="1"/>
      <c r="B878" s="1"/>
      <c r="S878" s="1"/>
      <c r="T878" s="1"/>
      <c r="W878" s="1"/>
      <c r="Y878" s="2"/>
      <c r="Z878" s="2"/>
      <c r="AB878" s="3"/>
      <c r="AC878" s="2"/>
      <c r="AG878" s="2"/>
      <c r="AH878" s="2"/>
      <c r="AI878" s="2"/>
    </row>
    <row r="879" spans="1:35" x14ac:dyDescent="0.25">
      <c r="A879" s="1"/>
      <c r="B879" s="1"/>
      <c r="S879" s="1"/>
      <c r="T879" s="1"/>
      <c r="W879" s="1"/>
      <c r="Y879" s="2"/>
      <c r="Z879" s="2"/>
      <c r="AB879" s="3"/>
      <c r="AC879" s="2"/>
      <c r="AG879" s="2"/>
      <c r="AH879" s="2"/>
      <c r="AI879" s="2"/>
    </row>
    <row r="880" spans="1:35" x14ac:dyDescent="0.25">
      <c r="A880" s="1"/>
      <c r="B880" s="1"/>
      <c r="S880" s="1"/>
      <c r="T880" s="1"/>
      <c r="W880" s="1"/>
      <c r="Y880" s="2"/>
      <c r="Z880" s="2"/>
      <c r="AB880" s="3"/>
      <c r="AC880" s="2"/>
      <c r="AG880" s="2"/>
      <c r="AH880" s="2"/>
      <c r="AI880" s="2"/>
    </row>
    <row r="881" spans="1:35" x14ac:dyDescent="0.25">
      <c r="A881" s="1"/>
      <c r="B881" s="1"/>
      <c r="S881" s="1"/>
      <c r="T881" s="1"/>
      <c r="W881" s="1"/>
      <c r="Y881" s="2"/>
      <c r="Z881" s="2"/>
      <c r="AB881" s="3"/>
      <c r="AC881" s="2"/>
      <c r="AG881" s="2"/>
      <c r="AH881" s="2"/>
      <c r="AI881" s="2"/>
    </row>
    <row r="882" spans="1:35" x14ac:dyDescent="0.25">
      <c r="A882" s="1"/>
      <c r="B882" s="1"/>
      <c r="S882" s="1"/>
      <c r="T882" s="1"/>
      <c r="W882" s="1"/>
      <c r="Y882" s="2"/>
      <c r="Z882" s="2"/>
      <c r="AB882" s="3"/>
      <c r="AC882" s="2"/>
      <c r="AG882" s="2"/>
      <c r="AH882" s="2"/>
      <c r="AI882" s="2"/>
    </row>
    <row r="883" spans="1:35" x14ac:dyDescent="0.25">
      <c r="A883" s="1"/>
      <c r="B883" s="1"/>
      <c r="S883" s="1"/>
      <c r="T883" s="1"/>
      <c r="W883" s="1"/>
      <c r="Y883" s="2"/>
      <c r="Z883" s="2"/>
      <c r="AB883" s="3"/>
      <c r="AC883" s="2"/>
      <c r="AG883" s="2"/>
      <c r="AH883" s="2"/>
      <c r="AI883" s="2"/>
    </row>
    <row r="884" spans="1:35" x14ac:dyDescent="0.25">
      <c r="A884" s="1"/>
      <c r="B884" s="1"/>
      <c r="S884" s="1"/>
      <c r="T884" s="1"/>
      <c r="W884" s="1"/>
      <c r="Y884" s="2"/>
      <c r="Z884" s="2"/>
      <c r="AB884" s="3"/>
      <c r="AC884" s="2"/>
      <c r="AG884" s="2"/>
      <c r="AH884" s="2"/>
      <c r="AI884" s="2"/>
    </row>
    <row r="885" spans="1:35" x14ac:dyDescent="0.25">
      <c r="A885" s="1"/>
      <c r="B885" s="1"/>
      <c r="S885" s="1"/>
      <c r="T885" s="1"/>
      <c r="W885" s="1"/>
      <c r="Y885" s="2"/>
      <c r="Z885" s="2"/>
      <c r="AB885" s="3"/>
      <c r="AC885" s="2"/>
      <c r="AG885" s="2"/>
      <c r="AH885" s="2"/>
      <c r="AI885" s="2"/>
    </row>
    <row r="886" spans="1:35" x14ac:dyDescent="0.25">
      <c r="A886" s="1"/>
      <c r="B886" s="1"/>
      <c r="S886" s="1"/>
      <c r="T886" s="1"/>
      <c r="W886" s="1"/>
      <c r="Y886" s="2"/>
      <c r="Z886" s="2"/>
      <c r="AB886" s="3"/>
      <c r="AC886" s="2"/>
      <c r="AG886" s="2"/>
      <c r="AH886" s="2"/>
      <c r="AI886" s="2"/>
    </row>
    <row r="887" spans="1:35" x14ac:dyDescent="0.25">
      <c r="A887" s="1"/>
      <c r="B887" s="1"/>
      <c r="S887" s="1"/>
      <c r="T887" s="1"/>
      <c r="W887" s="1"/>
      <c r="Y887" s="2"/>
      <c r="Z887" s="2"/>
      <c r="AB887" s="3"/>
      <c r="AC887" s="2"/>
      <c r="AG887" s="2"/>
      <c r="AH887" s="2"/>
      <c r="AI887" s="2"/>
    </row>
    <row r="888" spans="1:35" x14ac:dyDescent="0.25">
      <c r="A888" s="1"/>
      <c r="B888" s="1"/>
      <c r="S888" s="1"/>
      <c r="T888" s="1"/>
      <c r="W888" s="1"/>
      <c r="Y888" s="2"/>
      <c r="Z888" s="2"/>
      <c r="AB888" s="3"/>
      <c r="AC888" s="2"/>
      <c r="AG888" s="2"/>
      <c r="AH888" s="2"/>
      <c r="AI888" s="2"/>
    </row>
    <row r="889" spans="1:35" x14ac:dyDescent="0.25">
      <c r="A889" s="1"/>
      <c r="B889" s="1"/>
      <c r="S889" s="1"/>
      <c r="T889" s="1"/>
      <c r="W889" s="1"/>
      <c r="Y889" s="2"/>
      <c r="Z889" s="2"/>
      <c r="AB889" s="3"/>
      <c r="AC889" s="2"/>
      <c r="AG889" s="2"/>
      <c r="AH889" s="2"/>
      <c r="AI889" s="2"/>
    </row>
    <row r="890" spans="1:35" x14ac:dyDescent="0.25">
      <c r="A890" s="1"/>
      <c r="B890" s="1"/>
      <c r="S890" s="1"/>
      <c r="T890" s="1"/>
      <c r="W890" s="1"/>
      <c r="Y890" s="2"/>
      <c r="Z890" s="2"/>
      <c r="AB890" s="3"/>
      <c r="AC890" s="2"/>
      <c r="AG890" s="2"/>
      <c r="AH890" s="2"/>
      <c r="AI890" s="2"/>
    </row>
    <row r="891" spans="1:35" x14ac:dyDescent="0.25">
      <c r="A891" s="1"/>
      <c r="B891" s="1"/>
      <c r="S891" s="1"/>
      <c r="T891" s="1"/>
      <c r="W891" s="1"/>
      <c r="Y891" s="2"/>
      <c r="Z891" s="2"/>
      <c r="AB891" s="3"/>
      <c r="AC891" s="2"/>
      <c r="AG891" s="2"/>
      <c r="AH891" s="2"/>
      <c r="AI891" s="2"/>
    </row>
    <row r="892" spans="1:35" x14ac:dyDescent="0.25">
      <c r="A892" s="1"/>
      <c r="B892" s="1"/>
      <c r="S892" s="1"/>
      <c r="T892" s="1"/>
      <c r="W892" s="1"/>
      <c r="Y892" s="2"/>
      <c r="Z892" s="2"/>
      <c r="AB892" s="3"/>
      <c r="AC892" s="2"/>
      <c r="AG892" s="2"/>
      <c r="AH892" s="2"/>
      <c r="AI892" s="2"/>
    </row>
    <row r="893" spans="1:35" x14ac:dyDescent="0.25">
      <c r="A893" s="1"/>
      <c r="B893" s="1"/>
      <c r="S893" s="1"/>
      <c r="T893" s="1"/>
      <c r="W893" s="1"/>
      <c r="Y893" s="2"/>
      <c r="Z893" s="2"/>
      <c r="AB893" s="3"/>
      <c r="AC893" s="2"/>
      <c r="AG893" s="2"/>
      <c r="AH893" s="2"/>
      <c r="AI893" s="2"/>
    </row>
    <row r="894" spans="1:35" x14ac:dyDescent="0.25">
      <c r="A894" s="1"/>
      <c r="B894" s="1"/>
      <c r="S894" s="1"/>
      <c r="T894" s="1"/>
      <c r="W894" s="1"/>
      <c r="Y894" s="2"/>
      <c r="Z894" s="2"/>
      <c r="AB894" s="3"/>
      <c r="AC894" s="2"/>
      <c r="AG894" s="2"/>
      <c r="AH894" s="2"/>
      <c r="AI894" s="2"/>
    </row>
    <row r="895" spans="1:35" x14ac:dyDescent="0.25">
      <c r="A895" s="1"/>
      <c r="B895" s="1"/>
      <c r="S895" s="1"/>
      <c r="T895" s="1"/>
      <c r="W895" s="1"/>
      <c r="Y895" s="2"/>
      <c r="Z895" s="2"/>
      <c r="AB895" s="3"/>
      <c r="AC895" s="2"/>
      <c r="AG895" s="2"/>
      <c r="AH895" s="2"/>
      <c r="AI895" s="2"/>
    </row>
    <row r="896" spans="1:35" x14ac:dyDescent="0.25">
      <c r="A896" s="1"/>
      <c r="B896" s="1"/>
      <c r="S896" s="1"/>
      <c r="T896" s="1"/>
      <c r="W896" s="1"/>
      <c r="Y896" s="2"/>
      <c r="Z896" s="2"/>
      <c r="AB896" s="3"/>
      <c r="AC896" s="2"/>
      <c r="AG896" s="2"/>
      <c r="AH896" s="2"/>
      <c r="AI896" s="2"/>
    </row>
    <row r="897" spans="1:35" x14ac:dyDescent="0.25">
      <c r="A897" s="1"/>
      <c r="B897" s="1"/>
      <c r="S897" s="1"/>
      <c r="T897" s="1"/>
      <c r="W897" s="1"/>
      <c r="Y897" s="2"/>
      <c r="Z897" s="2"/>
      <c r="AB897" s="3"/>
      <c r="AC897" s="2"/>
      <c r="AG897" s="2"/>
      <c r="AH897" s="2"/>
      <c r="AI897" s="2"/>
    </row>
    <row r="898" spans="1:35" x14ac:dyDescent="0.25">
      <c r="A898" s="1"/>
      <c r="B898" s="1"/>
      <c r="S898" s="1"/>
      <c r="T898" s="1"/>
      <c r="W898" s="1"/>
      <c r="Y898" s="2"/>
      <c r="Z898" s="2"/>
      <c r="AB898" s="3"/>
      <c r="AC898" s="2"/>
      <c r="AG898" s="2"/>
      <c r="AH898" s="2"/>
      <c r="AI898" s="2"/>
    </row>
    <row r="899" spans="1:35" x14ac:dyDescent="0.25">
      <c r="A899" s="1"/>
      <c r="B899" s="1"/>
      <c r="S899" s="1"/>
      <c r="T899" s="1"/>
      <c r="W899" s="1"/>
      <c r="Y899" s="2"/>
      <c r="Z899" s="2"/>
      <c r="AB899" s="3"/>
      <c r="AC899" s="2"/>
      <c r="AG899" s="2"/>
      <c r="AH899" s="2"/>
      <c r="AI899" s="2"/>
    </row>
    <row r="900" spans="1:35" x14ac:dyDescent="0.25">
      <c r="A900" s="1"/>
      <c r="B900" s="1"/>
      <c r="S900" s="1"/>
      <c r="T900" s="1"/>
      <c r="W900" s="1"/>
      <c r="Y900" s="2"/>
      <c r="Z900" s="2"/>
      <c r="AB900" s="3"/>
      <c r="AC900" s="2"/>
      <c r="AG900" s="2"/>
      <c r="AH900" s="2"/>
      <c r="AI900" s="2"/>
    </row>
    <row r="901" spans="1:35" x14ac:dyDescent="0.25">
      <c r="A901" s="1"/>
      <c r="B901" s="1"/>
      <c r="S901" s="1"/>
      <c r="T901" s="1"/>
      <c r="W901" s="1"/>
      <c r="Y901" s="2"/>
      <c r="Z901" s="2"/>
      <c r="AB901" s="3"/>
      <c r="AC901" s="2"/>
      <c r="AG901" s="2"/>
      <c r="AH901" s="2"/>
      <c r="AI901" s="2"/>
    </row>
    <row r="902" spans="1:35" x14ac:dyDescent="0.25">
      <c r="A902" s="1"/>
      <c r="B902" s="1"/>
      <c r="S902" s="1"/>
      <c r="T902" s="1"/>
      <c r="W902" s="1"/>
      <c r="Y902" s="2"/>
      <c r="Z902" s="2"/>
      <c r="AB902" s="3"/>
      <c r="AC902" s="2"/>
      <c r="AG902" s="2"/>
      <c r="AH902" s="2"/>
      <c r="AI902" s="2"/>
    </row>
    <row r="903" spans="1:35" x14ac:dyDescent="0.25">
      <c r="A903" s="1"/>
      <c r="B903" s="1"/>
      <c r="S903" s="1"/>
      <c r="T903" s="1"/>
      <c r="W903" s="1"/>
      <c r="Y903" s="2"/>
      <c r="Z903" s="2"/>
      <c r="AB903" s="3"/>
      <c r="AC903" s="2"/>
      <c r="AG903" s="2"/>
      <c r="AH903" s="2"/>
      <c r="AI903" s="2"/>
    </row>
    <row r="904" spans="1:35" x14ac:dyDescent="0.25">
      <c r="A904" s="1"/>
      <c r="B904" s="1"/>
      <c r="S904" s="1"/>
      <c r="T904" s="1"/>
      <c r="W904" s="1"/>
      <c r="Y904" s="2"/>
      <c r="Z904" s="2"/>
      <c r="AB904" s="3"/>
      <c r="AC904" s="2"/>
      <c r="AG904" s="2"/>
      <c r="AH904" s="2"/>
      <c r="AI904" s="2"/>
    </row>
    <row r="905" spans="1:35" x14ac:dyDescent="0.25">
      <c r="A905" s="1"/>
      <c r="B905" s="1"/>
      <c r="S905" s="1"/>
      <c r="T905" s="1"/>
      <c r="W905" s="1"/>
      <c r="Y905" s="2"/>
      <c r="Z905" s="2"/>
      <c r="AB905" s="3"/>
      <c r="AC905" s="2"/>
      <c r="AG905" s="2"/>
      <c r="AH905" s="2"/>
      <c r="AI905" s="2"/>
    </row>
    <row r="906" spans="1:35" x14ac:dyDescent="0.25">
      <c r="A906" s="1"/>
      <c r="B906" s="1"/>
      <c r="S906" s="1"/>
      <c r="T906" s="1"/>
      <c r="W906" s="1"/>
      <c r="Y906" s="2"/>
      <c r="Z906" s="2"/>
      <c r="AB906" s="3"/>
      <c r="AC906" s="2"/>
      <c r="AG906" s="2"/>
      <c r="AH906" s="2"/>
      <c r="AI906" s="2"/>
    </row>
    <row r="907" spans="1:35" x14ac:dyDescent="0.25">
      <c r="A907" s="1"/>
      <c r="B907" s="1"/>
      <c r="S907" s="1"/>
      <c r="T907" s="1"/>
      <c r="W907" s="1"/>
      <c r="Y907" s="2"/>
      <c r="Z907" s="2"/>
      <c r="AB907" s="3"/>
      <c r="AC907" s="2"/>
      <c r="AG907" s="2"/>
      <c r="AH907" s="2"/>
      <c r="AI907" s="2"/>
    </row>
    <row r="908" spans="1:35" x14ac:dyDescent="0.25">
      <c r="A908" s="1"/>
      <c r="B908" s="1"/>
      <c r="S908" s="1"/>
      <c r="T908" s="1"/>
      <c r="W908" s="1"/>
      <c r="Y908" s="2"/>
      <c r="Z908" s="2"/>
      <c r="AB908" s="3"/>
      <c r="AC908" s="2"/>
      <c r="AG908" s="2"/>
      <c r="AH908" s="2"/>
      <c r="AI908" s="2"/>
    </row>
    <row r="909" spans="1:35" x14ac:dyDescent="0.25">
      <c r="A909" s="1"/>
      <c r="B909" s="1"/>
      <c r="S909" s="1"/>
      <c r="T909" s="1"/>
      <c r="W909" s="1"/>
      <c r="Y909" s="2"/>
      <c r="Z909" s="2"/>
      <c r="AB909" s="3"/>
      <c r="AC909" s="2"/>
      <c r="AG909" s="2"/>
      <c r="AH909" s="2"/>
      <c r="AI909" s="2"/>
    </row>
    <row r="910" spans="1:35" x14ac:dyDescent="0.25">
      <c r="A910" s="1"/>
      <c r="B910" s="1"/>
      <c r="S910" s="1"/>
      <c r="T910" s="1"/>
      <c r="W910" s="1"/>
      <c r="Y910" s="2"/>
      <c r="Z910" s="2"/>
      <c r="AB910" s="3"/>
      <c r="AC910" s="2"/>
      <c r="AG910" s="2"/>
      <c r="AH910" s="2"/>
      <c r="AI910" s="2"/>
    </row>
    <row r="911" spans="1:35" x14ac:dyDescent="0.25">
      <c r="A911" s="1"/>
      <c r="B911" s="1"/>
      <c r="S911" s="1"/>
      <c r="T911" s="1"/>
      <c r="W911" s="1"/>
      <c r="Y911" s="2"/>
      <c r="Z911" s="2"/>
      <c r="AB911" s="3"/>
      <c r="AC911" s="2"/>
      <c r="AG911" s="2"/>
      <c r="AH911" s="2"/>
      <c r="AI911" s="2"/>
    </row>
    <row r="912" spans="1:35" x14ac:dyDescent="0.25">
      <c r="A912" s="1"/>
      <c r="B912" s="1"/>
      <c r="S912" s="1"/>
      <c r="T912" s="1"/>
      <c r="W912" s="1"/>
      <c r="Y912" s="2"/>
      <c r="Z912" s="2"/>
      <c r="AB912" s="3"/>
      <c r="AC912" s="2"/>
      <c r="AG912" s="2"/>
      <c r="AH912" s="2"/>
      <c r="AI912" s="2"/>
    </row>
    <row r="913" spans="1:35" x14ac:dyDescent="0.25">
      <c r="A913" s="1"/>
      <c r="B913" s="1"/>
      <c r="S913" s="1"/>
      <c r="T913" s="1"/>
      <c r="W913" s="1"/>
      <c r="Y913" s="2"/>
      <c r="Z913" s="2"/>
      <c r="AB913" s="3"/>
      <c r="AC913" s="2"/>
      <c r="AG913" s="2"/>
      <c r="AH913" s="2"/>
      <c r="AI913" s="2"/>
    </row>
    <row r="914" spans="1:35" x14ac:dyDescent="0.25">
      <c r="A914" s="1"/>
      <c r="B914" s="1"/>
      <c r="S914" s="1"/>
      <c r="T914" s="1"/>
      <c r="W914" s="1"/>
      <c r="Y914" s="2"/>
      <c r="Z914" s="2"/>
      <c r="AB914" s="3"/>
      <c r="AC914" s="2"/>
      <c r="AG914" s="2"/>
      <c r="AH914" s="2"/>
      <c r="AI914" s="2"/>
    </row>
    <row r="915" spans="1:35" x14ac:dyDescent="0.25">
      <c r="A915" s="1"/>
      <c r="B915" s="1"/>
      <c r="S915" s="1"/>
      <c r="T915" s="1"/>
      <c r="W915" s="1"/>
      <c r="Y915" s="2"/>
      <c r="Z915" s="2"/>
      <c r="AB915" s="3"/>
      <c r="AC915" s="2"/>
      <c r="AG915" s="2"/>
      <c r="AH915" s="2"/>
      <c r="AI915" s="2"/>
    </row>
    <row r="916" spans="1:35" x14ac:dyDescent="0.25">
      <c r="A916" s="1"/>
      <c r="B916" s="1"/>
      <c r="S916" s="1"/>
      <c r="T916" s="1"/>
      <c r="W916" s="1"/>
      <c r="Y916" s="2"/>
      <c r="Z916" s="2"/>
      <c r="AB916" s="3"/>
      <c r="AC916" s="2"/>
      <c r="AG916" s="2"/>
      <c r="AH916" s="2"/>
      <c r="AI916" s="2"/>
    </row>
    <row r="917" spans="1:35" x14ac:dyDescent="0.25">
      <c r="A917" s="1"/>
      <c r="B917" s="1"/>
      <c r="S917" s="1"/>
      <c r="T917" s="1"/>
      <c r="W917" s="1"/>
      <c r="Y917" s="2"/>
      <c r="Z917" s="2"/>
      <c r="AB917" s="3"/>
      <c r="AC917" s="2"/>
      <c r="AG917" s="2"/>
      <c r="AH917" s="2"/>
      <c r="AI917" s="2"/>
    </row>
    <row r="918" spans="1:35" x14ac:dyDescent="0.25">
      <c r="A918" s="1"/>
      <c r="B918" s="1"/>
      <c r="S918" s="1"/>
      <c r="T918" s="1"/>
      <c r="W918" s="1"/>
      <c r="Y918" s="2"/>
      <c r="Z918" s="2"/>
      <c r="AB918" s="3"/>
      <c r="AC918" s="2"/>
      <c r="AG918" s="2"/>
      <c r="AH918" s="2"/>
      <c r="AI918" s="2"/>
    </row>
    <row r="919" spans="1:35" x14ac:dyDescent="0.25">
      <c r="A919" s="1"/>
      <c r="B919" s="1"/>
      <c r="S919" s="1"/>
      <c r="T919" s="1"/>
      <c r="W919" s="1"/>
      <c r="Y919" s="2"/>
      <c r="Z919" s="2"/>
      <c r="AB919" s="3"/>
      <c r="AC919" s="2"/>
      <c r="AG919" s="2"/>
      <c r="AH919" s="2"/>
      <c r="AI919" s="2"/>
    </row>
    <row r="920" spans="1:35" x14ac:dyDescent="0.25">
      <c r="A920" s="1"/>
      <c r="B920" s="1"/>
      <c r="S920" s="1"/>
      <c r="T920" s="1"/>
      <c r="W920" s="1"/>
      <c r="Y920" s="2"/>
      <c r="Z920" s="2"/>
      <c r="AB920" s="3"/>
      <c r="AC920" s="2"/>
      <c r="AG920" s="2"/>
      <c r="AH920" s="2"/>
      <c r="AI920" s="2"/>
    </row>
    <row r="921" spans="1:35" x14ac:dyDescent="0.25">
      <c r="A921" s="1"/>
      <c r="B921" s="1"/>
      <c r="S921" s="1"/>
      <c r="T921" s="1"/>
      <c r="W921" s="1"/>
      <c r="Y921" s="2"/>
      <c r="Z921" s="2"/>
      <c r="AB921" s="3"/>
      <c r="AC921" s="2"/>
      <c r="AG921" s="2"/>
      <c r="AH921" s="2"/>
      <c r="AI921" s="2"/>
    </row>
    <row r="922" spans="1:35" x14ac:dyDescent="0.25">
      <c r="A922" s="1"/>
      <c r="B922" s="1"/>
      <c r="S922" s="1"/>
      <c r="T922" s="1"/>
      <c r="W922" s="1"/>
      <c r="Y922" s="2"/>
      <c r="Z922" s="2"/>
      <c r="AB922" s="3"/>
      <c r="AC922" s="2"/>
      <c r="AG922" s="2"/>
      <c r="AH922" s="2"/>
      <c r="AI922" s="2"/>
    </row>
    <row r="923" spans="1:35" x14ac:dyDescent="0.25">
      <c r="A923" s="1"/>
      <c r="B923" s="1"/>
      <c r="S923" s="1"/>
      <c r="T923" s="1"/>
      <c r="W923" s="1"/>
      <c r="Y923" s="2"/>
      <c r="Z923" s="2"/>
      <c r="AB923" s="3"/>
      <c r="AC923" s="2"/>
      <c r="AG923" s="2"/>
      <c r="AH923" s="2"/>
      <c r="AI923" s="2"/>
    </row>
    <row r="924" spans="1:35" x14ac:dyDescent="0.25">
      <c r="A924" s="1"/>
      <c r="B924" s="1"/>
      <c r="S924" s="1"/>
      <c r="T924" s="1"/>
      <c r="W924" s="1"/>
      <c r="Y924" s="2"/>
      <c r="Z924" s="2"/>
      <c r="AB924" s="3"/>
      <c r="AC924" s="2"/>
      <c r="AG924" s="2"/>
      <c r="AH924" s="2"/>
      <c r="AI924" s="2"/>
    </row>
    <row r="925" spans="1:35" x14ac:dyDescent="0.25">
      <c r="A925" s="1"/>
      <c r="B925" s="1"/>
      <c r="S925" s="1"/>
      <c r="T925" s="1"/>
      <c r="W925" s="1"/>
      <c r="Y925" s="2"/>
      <c r="Z925" s="2"/>
      <c r="AB925" s="3"/>
      <c r="AC925" s="2"/>
      <c r="AG925" s="2"/>
      <c r="AH925" s="2"/>
      <c r="AI925" s="2"/>
    </row>
    <row r="926" spans="1:35" x14ac:dyDescent="0.25">
      <c r="A926" s="1"/>
      <c r="B926" s="1"/>
      <c r="S926" s="1"/>
      <c r="T926" s="1"/>
      <c r="W926" s="1"/>
      <c r="Y926" s="2"/>
      <c r="Z926" s="2"/>
      <c r="AB926" s="3"/>
      <c r="AC926" s="2"/>
      <c r="AG926" s="2"/>
      <c r="AH926" s="2"/>
      <c r="AI926" s="2"/>
    </row>
    <row r="927" spans="1:35" x14ac:dyDescent="0.25">
      <c r="A927" s="1"/>
      <c r="B927" s="1"/>
      <c r="S927" s="1"/>
      <c r="T927" s="1"/>
      <c r="W927" s="1"/>
      <c r="Y927" s="2"/>
      <c r="Z927" s="2"/>
      <c r="AB927" s="3"/>
      <c r="AC927" s="2"/>
      <c r="AG927" s="2"/>
      <c r="AH927" s="2"/>
      <c r="AI927" s="2"/>
    </row>
    <row r="928" spans="1:35" x14ac:dyDescent="0.25">
      <c r="A928" s="1"/>
      <c r="B928" s="1"/>
      <c r="S928" s="1"/>
      <c r="T928" s="1"/>
      <c r="W928" s="1"/>
      <c r="Y928" s="2"/>
      <c r="Z928" s="2"/>
      <c r="AB928" s="3"/>
      <c r="AC928" s="2"/>
      <c r="AG928" s="2"/>
      <c r="AH928" s="2"/>
      <c r="AI928" s="2"/>
    </row>
    <row r="929" spans="1:35" x14ac:dyDescent="0.25">
      <c r="A929" s="1"/>
      <c r="B929" s="1"/>
      <c r="S929" s="1"/>
      <c r="T929" s="1"/>
      <c r="W929" s="1"/>
      <c r="Y929" s="2"/>
      <c r="Z929" s="2"/>
      <c r="AB929" s="3"/>
      <c r="AC929" s="2"/>
      <c r="AG929" s="2"/>
      <c r="AH929" s="2"/>
      <c r="AI929" s="2"/>
    </row>
    <row r="930" spans="1:35" x14ac:dyDescent="0.25">
      <c r="A930" s="1"/>
      <c r="B930" s="1"/>
      <c r="S930" s="1"/>
      <c r="T930" s="1"/>
      <c r="W930" s="1"/>
      <c r="Y930" s="2"/>
      <c r="Z930" s="2"/>
      <c r="AB930" s="3"/>
      <c r="AC930" s="2"/>
      <c r="AG930" s="2"/>
      <c r="AH930" s="2"/>
      <c r="AI930" s="2"/>
    </row>
    <row r="931" spans="1:35" x14ac:dyDescent="0.25">
      <c r="A931" s="1"/>
      <c r="B931" s="1"/>
      <c r="S931" s="1"/>
      <c r="T931" s="1"/>
      <c r="W931" s="1"/>
      <c r="Y931" s="2"/>
      <c r="Z931" s="2"/>
      <c r="AB931" s="3"/>
      <c r="AC931" s="2"/>
      <c r="AG931" s="2"/>
      <c r="AH931" s="2"/>
      <c r="AI931" s="2"/>
    </row>
    <row r="932" spans="1:35" x14ac:dyDescent="0.25">
      <c r="A932" s="1"/>
      <c r="B932" s="1"/>
      <c r="S932" s="1"/>
      <c r="T932" s="1"/>
      <c r="W932" s="1"/>
      <c r="Y932" s="2"/>
      <c r="Z932" s="2"/>
      <c r="AB932" s="3"/>
      <c r="AC932" s="2"/>
      <c r="AG932" s="2"/>
      <c r="AH932" s="2"/>
      <c r="AI932" s="2"/>
    </row>
    <row r="933" spans="1:35" x14ac:dyDescent="0.25">
      <c r="A933" s="1"/>
      <c r="B933" s="1"/>
      <c r="S933" s="1"/>
      <c r="T933" s="1"/>
      <c r="W933" s="1"/>
      <c r="Y933" s="2"/>
      <c r="Z933" s="2"/>
      <c r="AB933" s="3"/>
      <c r="AC933" s="2"/>
      <c r="AG933" s="2"/>
      <c r="AH933" s="2"/>
      <c r="AI933" s="2"/>
    </row>
    <row r="934" spans="1:35" x14ac:dyDescent="0.25">
      <c r="A934" s="1"/>
      <c r="B934" s="1"/>
      <c r="S934" s="1"/>
      <c r="T934" s="1"/>
      <c r="W934" s="1"/>
      <c r="Y934" s="2"/>
      <c r="Z934" s="2"/>
      <c r="AB934" s="3"/>
      <c r="AC934" s="2"/>
      <c r="AG934" s="2"/>
      <c r="AH934" s="2"/>
      <c r="AI934" s="2"/>
    </row>
    <row r="935" spans="1:35" x14ac:dyDescent="0.25">
      <c r="A935" s="1"/>
      <c r="B935" s="1"/>
      <c r="S935" s="1"/>
      <c r="T935" s="1"/>
      <c r="W935" s="1"/>
      <c r="Y935" s="2"/>
      <c r="Z935" s="2"/>
      <c r="AB935" s="3"/>
      <c r="AC935" s="2"/>
      <c r="AG935" s="2"/>
      <c r="AH935" s="2"/>
      <c r="AI935" s="2"/>
    </row>
    <row r="936" spans="1:35" x14ac:dyDescent="0.25">
      <c r="A936" s="1"/>
      <c r="B936" s="1"/>
      <c r="S936" s="1"/>
      <c r="T936" s="1"/>
      <c r="W936" s="1"/>
      <c r="Y936" s="2"/>
      <c r="Z936" s="2"/>
      <c r="AB936" s="3"/>
      <c r="AC936" s="2"/>
      <c r="AG936" s="2"/>
      <c r="AH936" s="2"/>
      <c r="AI936" s="2"/>
    </row>
    <row r="937" spans="1:35" x14ac:dyDescent="0.25">
      <c r="A937" s="1"/>
      <c r="B937" s="1"/>
      <c r="S937" s="1"/>
      <c r="T937" s="1"/>
      <c r="W937" s="1"/>
      <c r="Y937" s="2"/>
      <c r="Z937" s="2"/>
      <c r="AB937" s="3"/>
      <c r="AC937" s="2"/>
      <c r="AG937" s="2"/>
      <c r="AH937" s="2"/>
      <c r="AI937" s="2"/>
    </row>
    <row r="938" spans="1:35" x14ac:dyDescent="0.25">
      <c r="A938" s="1"/>
      <c r="B938" s="1"/>
      <c r="S938" s="1"/>
      <c r="T938" s="1"/>
      <c r="W938" s="1"/>
      <c r="Y938" s="2"/>
      <c r="Z938" s="2"/>
      <c r="AB938" s="3"/>
      <c r="AC938" s="2"/>
      <c r="AG938" s="2"/>
      <c r="AH938" s="2"/>
      <c r="AI938" s="2"/>
    </row>
    <row r="939" spans="1:35" x14ac:dyDescent="0.25">
      <c r="A939" s="1"/>
      <c r="B939" s="1"/>
      <c r="S939" s="1"/>
      <c r="T939" s="1"/>
      <c r="W939" s="1"/>
      <c r="Y939" s="2"/>
      <c r="Z939" s="2"/>
      <c r="AB939" s="3"/>
      <c r="AC939" s="2"/>
      <c r="AG939" s="2"/>
      <c r="AH939" s="2"/>
      <c r="AI939" s="2"/>
    </row>
    <row r="940" spans="1:35" x14ac:dyDescent="0.25">
      <c r="A940" s="1"/>
      <c r="B940" s="1"/>
      <c r="S940" s="1"/>
      <c r="T940" s="1"/>
      <c r="W940" s="1"/>
      <c r="Y940" s="2"/>
      <c r="Z940" s="2"/>
      <c r="AB940" s="3"/>
      <c r="AC940" s="2"/>
      <c r="AG940" s="2"/>
      <c r="AH940" s="2"/>
      <c r="AI940" s="2"/>
    </row>
    <row r="941" spans="1:35" x14ac:dyDescent="0.25">
      <c r="A941" s="1"/>
      <c r="B941" s="1"/>
      <c r="S941" s="1"/>
      <c r="T941" s="1"/>
      <c r="W941" s="1"/>
      <c r="Y941" s="2"/>
      <c r="Z941" s="2"/>
      <c r="AB941" s="3"/>
      <c r="AC941" s="2"/>
      <c r="AG941" s="2"/>
      <c r="AH941" s="2"/>
      <c r="AI941" s="2"/>
    </row>
    <row r="942" spans="1:35" x14ac:dyDescent="0.25">
      <c r="A942" s="1"/>
      <c r="B942" s="1"/>
      <c r="S942" s="1"/>
      <c r="T942" s="1"/>
      <c r="W942" s="1"/>
      <c r="Y942" s="2"/>
      <c r="Z942" s="2"/>
      <c r="AB942" s="3"/>
      <c r="AC942" s="2"/>
      <c r="AG942" s="2"/>
      <c r="AH942" s="2"/>
      <c r="AI942" s="2"/>
    </row>
    <row r="943" spans="1:35" x14ac:dyDescent="0.25">
      <c r="A943" s="1"/>
      <c r="B943" s="1"/>
      <c r="S943" s="1"/>
      <c r="T943" s="1"/>
      <c r="W943" s="1"/>
      <c r="Y943" s="2"/>
      <c r="Z943" s="2"/>
      <c r="AB943" s="3"/>
      <c r="AC943" s="2"/>
      <c r="AG943" s="2"/>
      <c r="AH943" s="2"/>
      <c r="AI943" s="2"/>
    </row>
    <row r="944" spans="1:35" x14ac:dyDescent="0.25">
      <c r="A944" s="1"/>
      <c r="B944" s="1"/>
      <c r="S944" s="1"/>
      <c r="T944" s="1"/>
      <c r="W944" s="1"/>
      <c r="Y944" s="2"/>
      <c r="Z944" s="2"/>
      <c r="AB944" s="3"/>
      <c r="AC944" s="2"/>
      <c r="AG944" s="2"/>
      <c r="AH944" s="2"/>
      <c r="AI944" s="2"/>
    </row>
    <row r="945" spans="1:35" x14ac:dyDescent="0.25">
      <c r="A945" s="1"/>
      <c r="B945" s="1"/>
      <c r="S945" s="1"/>
      <c r="T945" s="1"/>
      <c r="W945" s="1"/>
      <c r="Y945" s="2"/>
      <c r="Z945" s="2"/>
      <c r="AB945" s="3"/>
      <c r="AC945" s="2"/>
      <c r="AG945" s="2"/>
      <c r="AH945" s="2"/>
      <c r="AI945" s="2"/>
    </row>
    <row r="946" spans="1:35" x14ac:dyDescent="0.25">
      <c r="A946" s="1"/>
      <c r="B946" s="1"/>
      <c r="S946" s="1"/>
      <c r="T946" s="1"/>
      <c r="W946" s="1"/>
      <c r="Y946" s="2"/>
      <c r="Z946" s="2"/>
      <c r="AB946" s="3"/>
      <c r="AC946" s="2"/>
      <c r="AG946" s="2"/>
      <c r="AH946" s="2"/>
      <c r="AI946" s="2"/>
    </row>
    <row r="947" spans="1:35" x14ac:dyDescent="0.25">
      <c r="A947" s="1"/>
      <c r="B947" s="1"/>
      <c r="S947" s="1"/>
      <c r="T947" s="1"/>
      <c r="W947" s="1"/>
      <c r="Y947" s="2"/>
      <c r="Z947" s="2"/>
      <c r="AB947" s="3"/>
      <c r="AC947" s="2"/>
      <c r="AG947" s="2"/>
      <c r="AH947" s="2"/>
      <c r="AI947" s="2"/>
    </row>
    <row r="948" spans="1:35" x14ac:dyDescent="0.25">
      <c r="A948" s="1"/>
      <c r="B948" s="1"/>
      <c r="S948" s="1"/>
      <c r="T948" s="1"/>
      <c r="W948" s="1"/>
      <c r="Y948" s="2"/>
      <c r="Z948" s="2"/>
      <c r="AB948" s="3"/>
      <c r="AC948" s="2"/>
      <c r="AG948" s="2"/>
      <c r="AH948" s="2"/>
      <c r="AI948" s="2"/>
    </row>
    <row r="949" spans="1:35" x14ac:dyDescent="0.25">
      <c r="A949" s="1"/>
      <c r="B949" s="1"/>
      <c r="S949" s="1"/>
      <c r="T949" s="1"/>
      <c r="W949" s="1"/>
      <c r="Y949" s="2"/>
      <c r="Z949" s="2"/>
      <c r="AB949" s="3"/>
      <c r="AC949" s="2"/>
      <c r="AG949" s="2"/>
      <c r="AH949" s="2"/>
      <c r="AI949" s="2"/>
    </row>
    <row r="950" spans="1:35" x14ac:dyDescent="0.25">
      <c r="A950" s="1"/>
      <c r="B950" s="1"/>
      <c r="S950" s="1"/>
      <c r="T950" s="1"/>
      <c r="W950" s="1"/>
      <c r="Y950" s="2"/>
      <c r="Z950" s="2"/>
      <c r="AB950" s="3"/>
      <c r="AC950" s="2"/>
      <c r="AG950" s="2"/>
      <c r="AH950" s="2"/>
      <c r="AI950" s="2"/>
    </row>
    <row r="951" spans="1:35" x14ac:dyDescent="0.25">
      <c r="A951" s="1"/>
      <c r="B951" s="1"/>
      <c r="S951" s="1"/>
      <c r="T951" s="1"/>
      <c r="W951" s="1"/>
      <c r="Y951" s="2"/>
      <c r="Z951" s="2"/>
      <c r="AB951" s="3"/>
      <c r="AC951" s="2"/>
      <c r="AG951" s="2"/>
      <c r="AH951" s="2"/>
      <c r="AI951" s="2"/>
    </row>
    <row r="952" spans="1:35" x14ac:dyDescent="0.25">
      <c r="A952" s="1"/>
      <c r="B952" s="1"/>
      <c r="S952" s="1"/>
      <c r="T952" s="1"/>
      <c r="W952" s="1"/>
      <c r="Y952" s="2"/>
      <c r="Z952" s="2"/>
      <c r="AB952" s="3"/>
      <c r="AC952" s="2"/>
      <c r="AG952" s="2"/>
      <c r="AH952" s="2"/>
      <c r="AI952" s="2"/>
    </row>
    <row r="953" spans="1:35" x14ac:dyDescent="0.25">
      <c r="A953" s="1"/>
      <c r="B953" s="1"/>
      <c r="S953" s="1"/>
      <c r="T953" s="1"/>
      <c r="W953" s="1"/>
      <c r="Y953" s="2"/>
      <c r="Z953" s="2"/>
      <c r="AB953" s="3"/>
      <c r="AC953" s="2"/>
      <c r="AG953" s="2"/>
      <c r="AH953" s="2"/>
      <c r="AI953" s="2"/>
    </row>
    <row r="954" spans="1:35" x14ac:dyDescent="0.25">
      <c r="A954" s="1"/>
      <c r="B954" s="1"/>
      <c r="S954" s="1"/>
      <c r="T954" s="1"/>
      <c r="W954" s="1"/>
      <c r="Y954" s="2"/>
      <c r="Z954" s="2"/>
      <c r="AB954" s="3"/>
      <c r="AC954" s="2"/>
      <c r="AG954" s="2"/>
      <c r="AH954" s="2"/>
      <c r="AI954" s="2"/>
    </row>
    <row r="955" spans="1:35" x14ac:dyDescent="0.25">
      <c r="A955" s="1"/>
      <c r="B955" s="1"/>
      <c r="S955" s="1"/>
      <c r="T955" s="1"/>
      <c r="W955" s="1"/>
      <c r="Y955" s="2"/>
      <c r="Z955" s="2"/>
      <c r="AB955" s="3"/>
      <c r="AC955" s="2"/>
      <c r="AG955" s="2"/>
      <c r="AH955" s="2"/>
      <c r="AI955" s="2"/>
    </row>
    <row r="956" spans="1:35" x14ac:dyDescent="0.25">
      <c r="A956" s="1"/>
      <c r="B956" s="1"/>
      <c r="S956" s="1"/>
      <c r="T956" s="1"/>
      <c r="W956" s="1"/>
      <c r="Y956" s="2"/>
      <c r="Z956" s="2"/>
      <c r="AB956" s="3"/>
      <c r="AC956" s="2"/>
      <c r="AG956" s="2"/>
      <c r="AH956" s="2"/>
      <c r="AI956" s="2"/>
    </row>
    <row r="957" spans="1:35" x14ac:dyDescent="0.25">
      <c r="A957" s="1"/>
      <c r="B957" s="1"/>
      <c r="S957" s="1"/>
      <c r="T957" s="1"/>
      <c r="W957" s="1"/>
      <c r="Y957" s="2"/>
      <c r="Z957" s="2"/>
      <c r="AB957" s="3"/>
      <c r="AC957" s="2"/>
      <c r="AG957" s="2"/>
      <c r="AH957" s="2"/>
      <c r="AI957" s="2"/>
    </row>
    <row r="958" spans="1:35" x14ac:dyDescent="0.25">
      <c r="A958" s="1"/>
      <c r="B958" s="1"/>
      <c r="S958" s="1"/>
      <c r="T958" s="1"/>
      <c r="W958" s="1"/>
      <c r="Y958" s="2"/>
      <c r="Z958" s="2"/>
      <c r="AB958" s="3"/>
      <c r="AC958" s="2"/>
      <c r="AG958" s="2"/>
      <c r="AH958" s="2"/>
      <c r="AI958" s="2"/>
    </row>
    <row r="959" spans="1:35" x14ac:dyDescent="0.25">
      <c r="A959" s="1"/>
      <c r="B959" s="1"/>
      <c r="S959" s="1"/>
      <c r="T959" s="1"/>
      <c r="W959" s="1"/>
      <c r="Y959" s="2"/>
      <c r="Z959" s="2"/>
      <c r="AB959" s="3"/>
      <c r="AC959" s="2"/>
      <c r="AG959" s="2"/>
      <c r="AH959" s="2"/>
      <c r="AI959" s="2"/>
    </row>
    <row r="960" spans="1:35" x14ac:dyDescent="0.25">
      <c r="A960" s="1"/>
      <c r="B960" s="1"/>
      <c r="S960" s="1"/>
      <c r="T960" s="1"/>
      <c r="W960" s="1"/>
      <c r="Y960" s="2"/>
      <c r="Z960" s="2"/>
      <c r="AB960" s="3"/>
      <c r="AC960" s="2"/>
      <c r="AG960" s="2"/>
      <c r="AH960" s="2"/>
      <c r="AI96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C45F-7D5D-48A8-8CEF-7B46A38288B8}">
  <dimension ref="A1:V957"/>
  <sheetViews>
    <sheetView topLeftCell="A895" workbookViewId="0">
      <selection activeCell="A867" sqref="A1:XFD1048576"/>
    </sheetView>
  </sheetViews>
  <sheetFormatPr defaultRowHeight="15" x14ac:dyDescent="0.25"/>
  <cols>
    <col min="1" max="1" width="15.5703125" style="8" customWidth="1"/>
    <col min="2" max="2" width="17.85546875" style="8" customWidth="1"/>
    <col min="3" max="3" width="25.7109375" bestFit="1" customWidth="1"/>
    <col min="4" max="4" width="5.5703125" bestFit="1" customWidth="1"/>
    <col min="5" max="5" width="15.7109375" bestFit="1" customWidth="1"/>
    <col min="6" max="6" width="24.5703125" bestFit="1" customWidth="1"/>
    <col min="7" max="7" width="29.42578125" customWidth="1"/>
    <col min="8" max="8" width="10.140625" bestFit="1" customWidth="1"/>
    <col min="9" max="9" width="7.7109375" customWidth="1"/>
    <col min="10" max="10" width="7" customWidth="1"/>
    <col min="11" max="11" width="10.140625" customWidth="1"/>
    <col min="12" max="12" width="20.28515625" customWidth="1"/>
    <col min="13" max="13" width="26.28515625" customWidth="1"/>
  </cols>
  <sheetData>
    <row r="1" spans="1:13" x14ac:dyDescent="0.25">
      <c r="A1" s="8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25</v>
      </c>
      <c r="J1" t="s">
        <v>26</v>
      </c>
      <c r="K1" t="s">
        <v>28</v>
      </c>
      <c r="L1" t="s">
        <v>37</v>
      </c>
    </row>
    <row r="2" spans="1:13" x14ac:dyDescent="0.25">
      <c r="A2" s="9">
        <v>101048751100</v>
      </c>
      <c r="B2" s="9" t="str">
        <f>CONCATENATE(A2,"OVR")</f>
        <v>101048751100OVR</v>
      </c>
      <c r="C2" t="s">
        <v>955</v>
      </c>
      <c r="D2" t="s">
        <v>203</v>
      </c>
      <c r="E2">
        <v>20411454</v>
      </c>
      <c r="F2" t="s">
        <v>1993</v>
      </c>
      <c r="G2" t="s">
        <v>956</v>
      </c>
      <c r="H2" s="1">
        <v>43466</v>
      </c>
      <c r="I2" s="2">
        <v>1</v>
      </c>
      <c r="K2" s="2">
        <v>2</v>
      </c>
      <c r="L2" t="s">
        <v>957</v>
      </c>
      <c r="M2" t="s">
        <v>1962</v>
      </c>
    </row>
    <row r="3" spans="1:13" x14ac:dyDescent="0.25">
      <c r="A3" s="9">
        <v>101049150200</v>
      </c>
      <c r="B3" s="9" t="str">
        <f t="shared" ref="B3:B66" si="0">CONCATENATE(A3,"OVR")</f>
        <v>101049150200OVR</v>
      </c>
      <c r="C3" t="s">
        <v>958</v>
      </c>
      <c r="D3" t="s">
        <v>203</v>
      </c>
      <c r="E3">
        <v>20411454</v>
      </c>
      <c r="F3" t="s">
        <v>1993</v>
      </c>
      <c r="G3" t="s">
        <v>956</v>
      </c>
      <c r="H3" s="1">
        <v>44562</v>
      </c>
      <c r="I3" s="2">
        <v>3</v>
      </c>
      <c r="K3" s="2">
        <v>6</v>
      </c>
      <c r="L3" t="s">
        <v>957</v>
      </c>
      <c r="M3" t="s">
        <v>1962</v>
      </c>
    </row>
    <row r="4" spans="1:13" x14ac:dyDescent="0.25">
      <c r="A4" s="9">
        <v>101049995200</v>
      </c>
      <c r="B4" s="9" t="str">
        <f t="shared" si="0"/>
        <v>101049995200OVR</v>
      </c>
      <c r="C4" t="s">
        <v>959</v>
      </c>
      <c r="D4" t="s">
        <v>203</v>
      </c>
      <c r="E4">
        <v>20411454</v>
      </c>
      <c r="F4" t="s">
        <v>1993</v>
      </c>
      <c r="G4" t="s">
        <v>956</v>
      </c>
      <c r="H4" s="1">
        <v>43922</v>
      </c>
      <c r="I4" s="2">
        <v>3</v>
      </c>
      <c r="K4" s="2">
        <v>6</v>
      </c>
      <c r="L4" t="s">
        <v>957</v>
      </c>
      <c r="M4" t="s">
        <v>1962</v>
      </c>
    </row>
    <row r="5" spans="1:13" x14ac:dyDescent="0.25">
      <c r="A5" s="9">
        <v>101050888000</v>
      </c>
      <c r="B5" s="9" t="str">
        <f t="shared" si="0"/>
        <v>101050888000OVR</v>
      </c>
      <c r="C5" t="s">
        <v>960</v>
      </c>
      <c r="D5" t="s">
        <v>203</v>
      </c>
      <c r="E5">
        <v>20411454</v>
      </c>
      <c r="F5" t="s">
        <v>1993</v>
      </c>
      <c r="G5" t="s">
        <v>956</v>
      </c>
      <c r="H5" s="1">
        <v>44562</v>
      </c>
      <c r="I5" s="2">
        <v>1</v>
      </c>
      <c r="K5" s="2">
        <v>2</v>
      </c>
      <c r="L5" t="s">
        <v>957</v>
      </c>
      <c r="M5" t="s">
        <v>1962</v>
      </c>
    </row>
    <row r="6" spans="1:13" x14ac:dyDescent="0.25">
      <c r="A6" s="9">
        <v>101051538100</v>
      </c>
      <c r="B6" s="9" t="str">
        <f t="shared" si="0"/>
        <v>101051538100OVR</v>
      </c>
      <c r="C6" t="s">
        <v>961</v>
      </c>
      <c r="D6" t="s">
        <v>962</v>
      </c>
      <c r="E6">
        <v>20411454</v>
      </c>
      <c r="F6" t="s">
        <v>1993</v>
      </c>
      <c r="G6" t="s">
        <v>956</v>
      </c>
      <c r="H6" s="1">
        <v>45444</v>
      </c>
      <c r="I6" s="2">
        <v>1</v>
      </c>
      <c r="K6" s="2">
        <v>2</v>
      </c>
      <c r="L6" t="s">
        <v>957</v>
      </c>
      <c r="M6" t="s">
        <v>1962</v>
      </c>
    </row>
    <row r="7" spans="1:13" x14ac:dyDescent="0.25">
      <c r="A7" s="9">
        <v>101051689400</v>
      </c>
      <c r="B7" s="9" t="str">
        <f t="shared" si="0"/>
        <v>101051689400OVR</v>
      </c>
      <c r="C7" t="s">
        <v>963</v>
      </c>
      <c r="D7" t="s">
        <v>203</v>
      </c>
      <c r="E7">
        <v>20411454</v>
      </c>
      <c r="F7" t="s">
        <v>1993</v>
      </c>
      <c r="G7" t="s">
        <v>956</v>
      </c>
      <c r="H7" s="1">
        <v>45658</v>
      </c>
      <c r="I7" s="2">
        <v>1</v>
      </c>
      <c r="K7" s="2">
        <v>2</v>
      </c>
      <c r="L7" t="s">
        <v>957</v>
      </c>
      <c r="M7" t="s">
        <v>1962</v>
      </c>
    </row>
    <row r="8" spans="1:13" x14ac:dyDescent="0.25">
      <c r="A8" s="9">
        <v>101052135000</v>
      </c>
      <c r="B8" s="9" t="str">
        <f t="shared" si="0"/>
        <v>101052135000OVR</v>
      </c>
      <c r="C8" t="s">
        <v>964</v>
      </c>
      <c r="D8" t="s">
        <v>203</v>
      </c>
      <c r="E8">
        <v>20411454</v>
      </c>
      <c r="F8" t="s">
        <v>1993</v>
      </c>
      <c r="G8" t="s">
        <v>956</v>
      </c>
      <c r="H8" s="1">
        <v>40909</v>
      </c>
      <c r="I8" s="2">
        <v>1</v>
      </c>
      <c r="K8" s="2">
        <v>2</v>
      </c>
      <c r="L8" t="s">
        <v>957</v>
      </c>
      <c r="M8" t="s">
        <v>1962</v>
      </c>
    </row>
    <row r="9" spans="1:13" x14ac:dyDescent="0.25">
      <c r="A9" s="9">
        <v>101053757200</v>
      </c>
      <c r="B9" s="9" t="str">
        <f t="shared" si="0"/>
        <v>101053757200OVR</v>
      </c>
      <c r="C9" t="s">
        <v>965</v>
      </c>
      <c r="D9" t="s">
        <v>203</v>
      </c>
      <c r="E9">
        <v>20411454</v>
      </c>
      <c r="F9" t="s">
        <v>1993</v>
      </c>
      <c r="G9" t="s">
        <v>956</v>
      </c>
      <c r="H9" s="1">
        <v>43862</v>
      </c>
      <c r="I9" s="2">
        <v>1</v>
      </c>
      <c r="K9" s="2">
        <v>2</v>
      </c>
      <c r="L9" t="s">
        <v>957</v>
      </c>
      <c r="M9" t="s">
        <v>1962</v>
      </c>
    </row>
    <row r="10" spans="1:13" x14ac:dyDescent="0.25">
      <c r="A10" s="9">
        <v>101054911000</v>
      </c>
      <c r="B10" s="9" t="str">
        <f t="shared" si="0"/>
        <v>101054911000OVR</v>
      </c>
      <c r="C10" t="s">
        <v>966</v>
      </c>
      <c r="D10" t="s">
        <v>203</v>
      </c>
      <c r="E10">
        <v>20411454</v>
      </c>
      <c r="F10" t="s">
        <v>1993</v>
      </c>
      <c r="G10" t="s">
        <v>956</v>
      </c>
      <c r="H10" s="1">
        <v>43678</v>
      </c>
      <c r="I10" s="2">
        <v>1</v>
      </c>
      <c r="K10" s="2">
        <v>2</v>
      </c>
      <c r="L10" t="s">
        <v>957</v>
      </c>
      <c r="M10" t="s">
        <v>1962</v>
      </c>
    </row>
    <row r="11" spans="1:13" x14ac:dyDescent="0.25">
      <c r="A11" s="9">
        <v>101055639600</v>
      </c>
      <c r="B11" s="9" t="str">
        <f t="shared" si="0"/>
        <v>101055639600OVR</v>
      </c>
      <c r="C11" t="s">
        <v>967</v>
      </c>
      <c r="D11" t="s">
        <v>203</v>
      </c>
      <c r="E11">
        <v>20411454</v>
      </c>
      <c r="F11" t="s">
        <v>1993</v>
      </c>
      <c r="G11" t="s">
        <v>956</v>
      </c>
      <c r="H11" s="1">
        <v>43466</v>
      </c>
      <c r="I11" s="2">
        <v>1</v>
      </c>
      <c r="K11" s="2">
        <v>2</v>
      </c>
      <c r="L11" t="s">
        <v>957</v>
      </c>
      <c r="M11" t="s">
        <v>1962</v>
      </c>
    </row>
    <row r="12" spans="1:13" x14ac:dyDescent="0.25">
      <c r="A12" s="9">
        <v>101057312000</v>
      </c>
      <c r="B12" s="9" t="str">
        <f t="shared" si="0"/>
        <v>101057312000OVR</v>
      </c>
      <c r="C12" t="s">
        <v>968</v>
      </c>
      <c r="D12" t="s">
        <v>203</v>
      </c>
      <c r="E12">
        <v>20411454</v>
      </c>
      <c r="F12" t="s">
        <v>1993</v>
      </c>
      <c r="G12" t="s">
        <v>956</v>
      </c>
      <c r="H12" s="1">
        <v>43466</v>
      </c>
      <c r="I12" s="2">
        <v>1</v>
      </c>
      <c r="K12" s="2">
        <v>2</v>
      </c>
      <c r="L12" t="s">
        <v>957</v>
      </c>
      <c r="M12" t="s">
        <v>1962</v>
      </c>
    </row>
    <row r="13" spans="1:13" x14ac:dyDescent="0.25">
      <c r="A13" s="9">
        <v>101057924100</v>
      </c>
      <c r="B13" s="9" t="str">
        <f t="shared" si="0"/>
        <v>101057924100OVR</v>
      </c>
      <c r="C13" t="s">
        <v>969</v>
      </c>
      <c r="D13" t="s">
        <v>203</v>
      </c>
      <c r="E13">
        <v>20411454</v>
      </c>
      <c r="F13" t="s">
        <v>1993</v>
      </c>
      <c r="G13" t="s">
        <v>956</v>
      </c>
      <c r="H13" s="1">
        <v>43466</v>
      </c>
      <c r="I13" s="2">
        <v>1</v>
      </c>
      <c r="K13" s="2">
        <v>2</v>
      </c>
      <c r="L13" t="s">
        <v>957</v>
      </c>
      <c r="M13" t="s">
        <v>1962</v>
      </c>
    </row>
    <row r="14" spans="1:13" x14ac:dyDescent="0.25">
      <c r="A14" s="9">
        <v>101058087000</v>
      </c>
      <c r="B14" s="9" t="str">
        <f t="shared" si="0"/>
        <v>101058087000OVR</v>
      </c>
      <c r="C14" t="s">
        <v>970</v>
      </c>
      <c r="D14" t="s">
        <v>203</v>
      </c>
      <c r="E14">
        <v>20411454</v>
      </c>
      <c r="F14" t="s">
        <v>1993</v>
      </c>
      <c r="G14" t="s">
        <v>956</v>
      </c>
      <c r="H14" s="1">
        <v>44562</v>
      </c>
      <c r="I14" s="2">
        <v>1</v>
      </c>
      <c r="K14" s="2">
        <v>2</v>
      </c>
      <c r="L14" t="s">
        <v>957</v>
      </c>
      <c r="M14" t="s">
        <v>1962</v>
      </c>
    </row>
    <row r="15" spans="1:13" x14ac:dyDescent="0.25">
      <c r="A15" s="9">
        <v>101058793600</v>
      </c>
      <c r="B15" s="9" t="str">
        <f t="shared" si="0"/>
        <v>101058793600OVR</v>
      </c>
      <c r="C15" t="s">
        <v>971</v>
      </c>
      <c r="D15" t="s">
        <v>203</v>
      </c>
      <c r="E15">
        <v>20411454</v>
      </c>
      <c r="F15" t="s">
        <v>1993</v>
      </c>
      <c r="G15" t="s">
        <v>956</v>
      </c>
      <c r="H15" s="1">
        <v>43466</v>
      </c>
      <c r="I15" s="2">
        <v>1</v>
      </c>
      <c r="K15" s="2">
        <v>2</v>
      </c>
      <c r="L15" t="s">
        <v>957</v>
      </c>
      <c r="M15" t="s">
        <v>1962</v>
      </c>
    </row>
    <row r="16" spans="1:13" x14ac:dyDescent="0.25">
      <c r="A16" s="9">
        <v>101060073300</v>
      </c>
      <c r="B16" s="9" t="str">
        <f t="shared" si="0"/>
        <v>101060073300OVR</v>
      </c>
      <c r="C16" t="s">
        <v>972</v>
      </c>
      <c r="D16" t="s">
        <v>203</v>
      </c>
      <c r="E16">
        <v>20411454</v>
      </c>
      <c r="F16" t="s">
        <v>1993</v>
      </c>
      <c r="G16" t="s">
        <v>956</v>
      </c>
      <c r="H16" s="1">
        <v>43678</v>
      </c>
      <c r="I16" s="2">
        <v>1</v>
      </c>
      <c r="K16" s="2">
        <v>2</v>
      </c>
      <c r="L16" t="s">
        <v>957</v>
      </c>
      <c r="M16" t="s">
        <v>1962</v>
      </c>
    </row>
    <row r="17" spans="1:13" x14ac:dyDescent="0.25">
      <c r="A17" s="9">
        <v>101060456400</v>
      </c>
      <c r="B17" s="9" t="str">
        <f t="shared" si="0"/>
        <v>101060456400OVR</v>
      </c>
      <c r="C17" t="s">
        <v>973</v>
      </c>
      <c r="D17" t="s">
        <v>203</v>
      </c>
      <c r="E17">
        <v>20411454</v>
      </c>
      <c r="F17" t="s">
        <v>1993</v>
      </c>
      <c r="G17" t="s">
        <v>956</v>
      </c>
      <c r="H17" s="1">
        <v>43466</v>
      </c>
      <c r="I17" s="2">
        <v>1</v>
      </c>
      <c r="K17" s="2">
        <v>2</v>
      </c>
      <c r="L17" t="s">
        <v>957</v>
      </c>
      <c r="M17" t="s">
        <v>1962</v>
      </c>
    </row>
    <row r="18" spans="1:13" x14ac:dyDescent="0.25">
      <c r="A18" s="9">
        <v>101063039500</v>
      </c>
      <c r="B18" s="9" t="str">
        <f t="shared" si="0"/>
        <v>101063039500OVR</v>
      </c>
      <c r="C18" t="s">
        <v>974</v>
      </c>
      <c r="D18" t="s">
        <v>203</v>
      </c>
      <c r="E18">
        <v>20411454</v>
      </c>
      <c r="F18" t="s">
        <v>1993</v>
      </c>
      <c r="G18" t="s">
        <v>956</v>
      </c>
      <c r="H18" s="1">
        <v>45658</v>
      </c>
      <c r="I18" s="2">
        <v>1</v>
      </c>
      <c r="K18" s="2">
        <v>2</v>
      </c>
      <c r="L18" t="s">
        <v>957</v>
      </c>
      <c r="M18" t="s">
        <v>1962</v>
      </c>
    </row>
    <row r="19" spans="1:13" x14ac:dyDescent="0.25">
      <c r="A19" s="9">
        <v>101063380800</v>
      </c>
      <c r="B19" s="9" t="str">
        <f t="shared" si="0"/>
        <v>101063380800OVR</v>
      </c>
      <c r="C19" t="s">
        <v>975</v>
      </c>
      <c r="D19" t="s">
        <v>203</v>
      </c>
      <c r="E19">
        <v>20411454</v>
      </c>
      <c r="F19" t="s">
        <v>1993</v>
      </c>
      <c r="G19" t="s">
        <v>956</v>
      </c>
      <c r="H19" s="1">
        <v>43831</v>
      </c>
      <c r="I19" s="2">
        <v>3</v>
      </c>
      <c r="K19" s="2">
        <v>6</v>
      </c>
      <c r="L19" t="s">
        <v>957</v>
      </c>
      <c r="M19" t="s">
        <v>1962</v>
      </c>
    </row>
    <row r="20" spans="1:13" x14ac:dyDescent="0.25">
      <c r="A20" s="9">
        <v>101064228200</v>
      </c>
      <c r="B20" s="9" t="str">
        <f t="shared" si="0"/>
        <v>101064228200OVR</v>
      </c>
      <c r="C20" t="s">
        <v>976</v>
      </c>
      <c r="D20" t="s">
        <v>203</v>
      </c>
      <c r="E20">
        <v>20411454</v>
      </c>
      <c r="F20" t="s">
        <v>1993</v>
      </c>
      <c r="G20" t="s">
        <v>956</v>
      </c>
      <c r="H20" s="1">
        <v>44562</v>
      </c>
      <c r="I20" s="2">
        <v>1</v>
      </c>
      <c r="K20" s="2">
        <v>2</v>
      </c>
      <c r="L20" t="s">
        <v>957</v>
      </c>
      <c r="M20" t="s">
        <v>1962</v>
      </c>
    </row>
    <row r="21" spans="1:13" x14ac:dyDescent="0.25">
      <c r="A21" s="9">
        <v>101066997100</v>
      </c>
      <c r="B21" s="9" t="str">
        <f t="shared" si="0"/>
        <v>101066997100OVR</v>
      </c>
      <c r="C21" t="s">
        <v>977</v>
      </c>
      <c r="D21" t="s">
        <v>203</v>
      </c>
      <c r="E21">
        <v>20411454</v>
      </c>
      <c r="F21" t="s">
        <v>1993</v>
      </c>
      <c r="G21" t="s">
        <v>956</v>
      </c>
      <c r="H21" s="1">
        <v>43891</v>
      </c>
      <c r="I21" s="2">
        <v>1</v>
      </c>
      <c r="K21" s="2">
        <v>2</v>
      </c>
      <c r="L21" t="s">
        <v>957</v>
      </c>
      <c r="M21" t="s">
        <v>1962</v>
      </c>
    </row>
    <row r="22" spans="1:13" x14ac:dyDescent="0.25">
      <c r="A22" s="9">
        <v>101070037600</v>
      </c>
      <c r="B22" s="9" t="str">
        <f t="shared" si="0"/>
        <v>101070037600OVR</v>
      </c>
      <c r="C22" t="s">
        <v>978</v>
      </c>
      <c r="D22" t="s">
        <v>203</v>
      </c>
      <c r="E22">
        <v>20411454</v>
      </c>
      <c r="F22" t="s">
        <v>1993</v>
      </c>
      <c r="G22" t="s">
        <v>956</v>
      </c>
      <c r="H22" s="1">
        <v>41640</v>
      </c>
      <c r="I22" s="2">
        <v>1</v>
      </c>
      <c r="K22" s="2">
        <v>2</v>
      </c>
      <c r="L22" t="s">
        <v>957</v>
      </c>
      <c r="M22" t="s">
        <v>1962</v>
      </c>
    </row>
    <row r="23" spans="1:13" x14ac:dyDescent="0.25">
      <c r="A23" s="9">
        <v>101077326300</v>
      </c>
      <c r="B23" s="9" t="str">
        <f t="shared" si="0"/>
        <v>101077326300OVR</v>
      </c>
      <c r="C23" t="s">
        <v>979</v>
      </c>
      <c r="D23" t="s">
        <v>203</v>
      </c>
      <c r="E23">
        <v>20411454</v>
      </c>
      <c r="F23" t="s">
        <v>1993</v>
      </c>
      <c r="G23" t="s">
        <v>956</v>
      </c>
      <c r="H23" s="1">
        <v>43647</v>
      </c>
      <c r="I23" s="2">
        <v>1</v>
      </c>
      <c r="K23" s="2">
        <v>2</v>
      </c>
      <c r="L23" t="s">
        <v>957</v>
      </c>
      <c r="M23" t="s">
        <v>1962</v>
      </c>
    </row>
    <row r="24" spans="1:13" x14ac:dyDescent="0.25">
      <c r="A24" s="9">
        <v>101078984800</v>
      </c>
      <c r="B24" s="9" t="str">
        <f t="shared" si="0"/>
        <v>101078984800OVR</v>
      </c>
      <c r="C24" t="s">
        <v>980</v>
      </c>
      <c r="D24" t="s">
        <v>203</v>
      </c>
      <c r="E24">
        <v>20411454</v>
      </c>
      <c r="F24" t="s">
        <v>1993</v>
      </c>
      <c r="G24" t="s">
        <v>956</v>
      </c>
      <c r="H24" s="1">
        <v>43922</v>
      </c>
      <c r="I24" s="2">
        <v>3</v>
      </c>
      <c r="K24" s="2">
        <v>6</v>
      </c>
      <c r="L24" t="s">
        <v>957</v>
      </c>
      <c r="M24" t="s">
        <v>1962</v>
      </c>
    </row>
    <row r="25" spans="1:13" x14ac:dyDescent="0.25">
      <c r="A25" s="9">
        <v>101079484800</v>
      </c>
      <c r="B25" s="9" t="str">
        <f t="shared" si="0"/>
        <v>101079484800OVR</v>
      </c>
      <c r="C25" t="s">
        <v>981</v>
      </c>
      <c r="D25" t="s">
        <v>203</v>
      </c>
      <c r="E25">
        <v>20411454</v>
      </c>
      <c r="F25" t="s">
        <v>1993</v>
      </c>
      <c r="G25" t="s">
        <v>956</v>
      </c>
      <c r="H25" s="1">
        <v>44044</v>
      </c>
      <c r="I25" s="2">
        <v>1</v>
      </c>
      <c r="K25" s="2">
        <v>2</v>
      </c>
      <c r="L25" t="s">
        <v>957</v>
      </c>
      <c r="M25" t="s">
        <v>1962</v>
      </c>
    </row>
    <row r="26" spans="1:13" x14ac:dyDescent="0.25">
      <c r="A26" s="9">
        <v>101081464500</v>
      </c>
      <c r="B26" s="9" t="str">
        <f t="shared" si="0"/>
        <v>101081464500OVR</v>
      </c>
      <c r="C26" t="s">
        <v>982</v>
      </c>
      <c r="D26" t="s">
        <v>203</v>
      </c>
      <c r="E26">
        <v>20411454</v>
      </c>
      <c r="F26" t="s">
        <v>1993</v>
      </c>
      <c r="G26" t="s">
        <v>956</v>
      </c>
      <c r="H26" s="1">
        <v>40909</v>
      </c>
      <c r="I26" s="2">
        <v>1</v>
      </c>
      <c r="K26" s="2">
        <v>2</v>
      </c>
      <c r="L26" t="s">
        <v>957</v>
      </c>
      <c r="M26" t="s">
        <v>1962</v>
      </c>
    </row>
    <row r="27" spans="1:13" x14ac:dyDescent="0.25">
      <c r="A27" s="9">
        <v>101083195000</v>
      </c>
      <c r="B27" s="9" t="str">
        <f t="shared" si="0"/>
        <v>101083195000OVR</v>
      </c>
      <c r="C27" t="s">
        <v>983</v>
      </c>
      <c r="D27" t="s">
        <v>203</v>
      </c>
      <c r="E27">
        <v>20411454</v>
      </c>
      <c r="F27" t="s">
        <v>1993</v>
      </c>
      <c r="G27" t="s">
        <v>956</v>
      </c>
      <c r="H27" s="1">
        <v>40909</v>
      </c>
      <c r="I27" s="2">
        <v>1</v>
      </c>
      <c r="K27" s="2">
        <v>2</v>
      </c>
      <c r="L27" t="s">
        <v>957</v>
      </c>
      <c r="M27" t="s">
        <v>1962</v>
      </c>
    </row>
    <row r="28" spans="1:13" x14ac:dyDescent="0.25">
      <c r="A28" s="9">
        <v>101088372600</v>
      </c>
      <c r="B28" s="9" t="str">
        <f t="shared" si="0"/>
        <v>101088372600OVR</v>
      </c>
      <c r="C28" t="s">
        <v>984</v>
      </c>
      <c r="D28" t="s">
        <v>203</v>
      </c>
      <c r="E28">
        <v>20411454</v>
      </c>
      <c r="F28" t="s">
        <v>1993</v>
      </c>
      <c r="G28" t="s">
        <v>956</v>
      </c>
      <c r="H28" s="1">
        <v>44562</v>
      </c>
      <c r="I28" s="2">
        <v>1</v>
      </c>
      <c r="K28" s="2">
        <v>2</v>
      </c>
      <c r="L28" t="s">
        <v>957</v>
      </c>
      <c r="M28" t="s">
        <v>1962</v>
      </c>
    </row>
    <row r="29" spans="1:13" x14ac:dyDescent="0.25">
      <c r="A29" s="9">
        <v>101091001900</v>
      </c>
      <c r="B29" s="9" t="str">
        <f t="shared" si="0"/>
        <v>101091001900OVR</v>
      </c>
      <c r="C29" t="s">
        <v>985</v>
      </c>
      <c r="D29" t="s">
        <v>203</v>
      </c>
      <c r="E29">
        <v>20411454</v>
      </c>
      <c r="F29" t="s">
        <v>1993</v>
      </c>
      <c r="G29" t="s">
        <v>956</v>
      </c>
      <c r="H29" s="1">
        <v>40909</v>
      </c>
      <c r="I29" s="2">
        <v>1</v>
      </c>
      <c r="K29" s="2">
        <v>2</v>
      </c>
      <c r="L29" t="s">
        <v>957</v>
      </c>
      <c r="M29" t="s">
        <v>1962</v>
      </c>
    </row>
    <row r="30" spans="1:13" x14ac:dyDescent="0.25">
      <c r="A30" s="9">
        <v>101094290600</v>
      </c>
      <c r="B30" s="9" t="str">
        <f t="shared" si="0"/>
        <v>101094290600OVR</v>
      </c>
      <c r="C30" t="s">
        <v>986</v>
      </c>
      <c r="D30" t="s">
        <v>203</v>
      </c>
      <c r="E30">
        <v>20411454</v>
      </c>
      <c r="F30" t="s">
        <v>1993</v>
      </c>
      <c r="G30" t="s">
        <v>956</v>
      </c>
      <c r="H30" s="1">
        <v>44562</v>
      </c>
      <c r="I30" s="2">
        <v>1</v>
      </c>
      <c r="K30" s="2">
        <v>2</v>
      </c>
      <c r="L30" t="s">
        <v>957</v>
      </c>
      <c r="M30" t="s">
        <v>1962</v>
      </c>
    </row>
    <row r="31" spans="1:13" x14ac:dyDescent="0.25">
      <c r="A31" s="9">
        <v>101097095200</v>
      </c>
      <c r="B31" s="9" t="str">
        <f t="shared" si="0"/>
        <v>101097095200OVR</v>
      </c>
      <c r="C31" t="s">
        <v>987</v>
      </c>
      <c r="D31" t="s">
        <v>203</v>
      </c>
      <c r="E31">
        <v>20411454</v>
      </c>
      <c r="F31" t="s">
        <v>1993</v>
      </c>
      <c r="G31" t="s">
        <v>956</v>
      </c>
      <c r="H31" s="1">
        <v>45658</v>
      </c>
      <c r="I31" s="2">
        <v>1</v>
      </c>
      <c r="K31" s="2">
        <v>2</v>
      </c>
      <c r="L31" t="s">
        <v>957</v>
      </c>
      <c r="M31" t="s">
        <v>1962</v>
      </c>
    </row>
    <row r="32" spans="1:13" x14ac:dyDescent="0.25">
      <c r="A32" s="9">
        <v>101098603800</v>
      </c>
      <c r="B32" s="9" t="str">
        <f t="shared" si="0"/>
        <v>101098603800OVR</v>
      </c>
      <c r="C32" t="s">
        <v>988</v>
      </c>
      <c r="D32" t="s">
        <v>203</v>
      </c>
      <c r="E32">
        <v>20411454</v>
      </c>
      <c r="F32" t="s">
        <v>1993</v>
      </c>
      <c r="G32" t="s">
        <v>956</v>
      </c>
      <c r="H32" s="1">
        <v>44562</v>
      </c>
      <c r="I32" s="2">
        <v>1</v>
      </c>
      <c r="K32" s="2">
        <v>2</v>
      </c>
      <c r="L32" t="s">
        <v>957</v>
      </c>
      <c r="M32" t="s">
        <v>1962</v>
      </c>
    </row>
    <row r="33" spans="1:13" x14ac:dyDescent="0.25">
      <c r="A33" s="9">
        <v>101108661400</v>
      </c>
      <c r="B33" s="9" t="str">
        <f t="shared" si="0"/>
        <v>101108661400OVR</v>
      </c>
      <c r="C33" t="s">
        <v>989</v>
      </c>
      <c r="D33" t="s">
        <v>203</v>
      </c>
      <c r="E33">
        <v>20411454</v>
      </c>
      <c r="F33" t="s">
        <v>1993</v>
      </c>
      <c r="G33" t="s">
        <v>956</v>
      </c>
      <c r="H33" s="1">
        <v>43831</v>
      </c>
      <c r="I33" s="2">
        <v>3</v>
      </c>
      <c r="K33" s="2">
        <v>6</v>
      </c>
      <c r="L33" t="s">
        <v>957</v>
      </c>
      <c r="M33" t="s">
        <v>1962</v>
      </c>
    </row>
    <row r="34" spans="1:13" x14ac:dyDescent="0.25">
      <c r="A34" s="9">
        <v>101109076200</v>
      </c>
      <c r="B34" s="9" t="str">
        <f t="shared" si="0"/>
        <v>101109076200OVR</v>
      </c>
      <c r="C34" t="s">
        <v>990</v>
      </c>
      <c r="D34" t="s">
        <v>203</v>
      </c>
      <c r="E34">
        <v>20411454</v>
      </c>
      <c r="F34" t="s">
        <v>1993</v>
      </c>
      <c r="G34" t="s">
        <v>956</v>
      </c>
      <c r="H34" s="1">
        <v>43831</v>
      </c>
      <c r="I34" s="2">
        <v>3</v>
      </c>
      <c r="K34" s="2">
        <v>6</v>
      </c>
      <c r="L34" t="s">
        <v>957</v>
      </c>
      <c r="M34" t="s">
        <v>1962</v>
      </c>
    </row>
    <row r="35" spans="1:13" x14ac:dyDescent="0.25">
      <c r="A35" s="9">
        <v>101109815100</v>
      </c>
      <c r="B35" s="9" t="str">
        <f t="shared" si="0"/>
        <v>101109815100OVR</v>
      </c>
      <c r="C35" t="s">
        <v>991</v>
      </c>
      <c r="D35" t="s">
        <v>203</v>
      </c>
      <c r="E35">
        <v>20411454</v>
      </c>
      <c r="F35" t="s">
        <v>1993</v>
      </c>
      <c r="G35" t="s">
        <v>956</v>
      </c>
      <c r="H35" s="1">
        <v>43831</v>
      </c>
      <c r="I35" s="2">
        <v>1</v>
      </c>
      <c r="K35" s="2">
        <v>2</v>
      </c>
      <c r="L35" t="s">
        <v>957</v>
      </c>
      <c r="M35" t="s">
        <v>1962</v>
      </c>
    </row>
    <row r="36" spans="1:13" x14ac:dyDescent="0.25">
      <c r="A36" s="9">
        <v>101114920100</v>
      </c>
      <c r="B36" s="9" t="str">
        <f t="shared" si="0"/>
        <v>101114920100OVR</v>
      </c>
      <c r="C36" t="s">
        <v>992</v>
      </c>
      <c r="D36" t="s">
        <v>203</v>
      </c>
      <c r="E36">
        <v>20411454</v>
      </c>
      <c r="F36" t="s">
        <v>1993</v>
      </c>
      <c r="G36" t="s">
        <v>956</v>
      </c>
      <c r="H36" s="1">
        <v>44562</v>
      </c>
      <c r="I36" s="2">
        <v>1</v>
      </c>
      <c r="K36" s="2">
        <v>2</v>
      </c>
      <c r="L36" t="s">
        <v>957</v>
      </c>
      <c r="M36" t="s">
        <v>1962</v>
      </c>
    </row>
    <row r="37" spans="1:13" x14ac:dyDescent="0.25">
      <c r="A37" s="9">
        <v>101119229200</v>
      </c>
      <c r="B37" s="9" t="str">
        <f t="shared" si="0"/>
        <v>101119229200OVR</v>
      </c>
      <c r="C37" t="s">
        <v>993</v>
      </c>
      <c r="D37" t="s">
        <v>203</v>
      </c>
      <c r="E37">
        <v>20411454</v>
      </c>
      <c r="F37" t="s">
        <v>1993</v>
      </c>
      <c r="G37" t="s">
        <v>956</v>
      </c>
      <c r="H37" s="1">
        <v>43831</v>
      </c>
      <c r="I37" s="2">
        <v>1</v>
      </c>
      <c r="K37" s="2">
        <v>2</v>
      </c>
      <c r="L37" t="s">
        <v>957</v>
      </c>
      <c r="M37" t="s">
        <v>1962</v>
      </c>
    </row>
    <row r="38" spans="1:13" x14ac:dyDescent="0.25">
      <c r="A38" s="9">
        <v>101119817400</v>
      </c>
      <c r="B38" s="9" t="str">
        <f t="shared" si="0"/>
        <v>101119817400OVR</v>
      </c>
      <c r="C38" t="s">
        <v>994</v>
      </c>
      <c r="D38" t="s">
        <v>203</v>
      </c>
      <c r="E38">
        <v>20411454</v>
      </c>
      <c r="F38" t="s">
        <v>1993</v>
      </c>
      <c r="G38" t="s">
        <v>956</v>
      </c>
      <c r="H38" s="1">
        <v>43831</v>
      </c>
      <c r="I38" s="2">
        <v>3</v>
      </c>
      <c r="K38" s="2">
        <v>6</v>
      </c>
      <c r="L38" t="s">
        <v>957</v>
      </c>
      <c r="M38" t="s">
        <v>1962</v>
      </c>
    </row>
    <row r="39" spans="1:13" x14ac:dyDescent="0.25">
      <c r="A39" s="9">
        <v>101120868400</v>
      </c>
      <c r="B39" s="9" t="str">
        <f t="shared" si="0"/>
        <v>101120868400OVR</v>
      </c>
      <c r="C39" t="s">
        <v>995</v>
      </c>
      <c r="D39" t="s">
        <v>203</v>
      </c>
      <c r="E39">
        <v>20411454</v>
      </c>
      <c r="F39" t="s">
        <v>1993</v>
      </c>
      <c r="G39" t="s">
        <v>956</v>
      </c>
      <c r="H39" s="1">
        <v>43831</v>
      </c>
      <c r="I39" s="2">
        <v>1</v>
      </c>
      <c r="K39" s="2">
        <v>2</v>
      </c>
      <c r="L39" t="s">
        <v>957</v>
      </c>
      <c r="M39" t="s">
        <v>1962</v>
      </c>
    </row>
    <row r="40" spans="1:13" x14ac:dyDescent="0.25">
      <c r="A40" s="9">
        <v>101129469000</v>
      </c>
      <c r="B40" s="9" t="str">
        <f t="shared" si="0"/>
        <v>101129469000OVR</v>
      </c>
      <c r="C40" t="s">
        <v>996</v>
      </c>
      <c r="D40" t="s">
        <v>203</v>
      </c>
      <c r="E40">
        <v>20411454</v>
      </c>
      <c r="F40" t="s">
        <v>1993</v>
      </c>
      <c r="G40" t="s">
        <v>956</v>
      </c>
      <c r="H40" s="1">
        <v>43831</v>
      </c>
      <c r="I40" s="2">
        <v>1</v>
      </c>
      <c r="K40" s="2">
        <v>2</v>
      </c>
      <c r="L40" t="s">
        <v>957</v>
      </c>
      <c r="M40" t="s">
        <v>1962</v>
      </c>
    </row>
    <row r="41" spans="1:13" x14ac:dyDescent="0.25">
      <c r="A41" s="9">
        <v>101137592300</v>
      </c>
      <c r="B41" s="9" t="str">
        <f t="shared" si="0"/>
        <v>101137592300OVR</v>
      </c>
      <c r="C41" t="s">
        <v>997</v>
      </c>
      <c r="D41" t="s">
        <v>203</v>
      </c>
      <c r="E41">
        <v>20411454</v>
      </c>
      <c r="F41" t="s">
        <v>1993</v>
      </c>
      <c r="G41" t="s">
        <v>956</v>
      </c>
      <c r="H41" s="1">
        <v>43862</v>
      </c>
      <c r="I41" s="2">
        <v>1</v>
      </c>
      <c r="K41" s="2">
        <v>2</v>
      </c>
      <c r="L41" t="s">
        <v>957</v>
      </c>
      <c r="M41" t="s">
        <v>1962</v>
      </c>
    </row>
    <row r="42" spans="1:13" x14ac:dyDescent="0.25">
      <c r="A42" s="9">
        <v>101138580000</v>
      </c>
      <c r="B42" s="9" t="str">
        <f t="shared" si="0"/>
        <v>101138580000OVR</v>
      </c>
      <c r="C42" t="s">
        <v>998</v>
      </c>
      <c r="D42" t="s">
        <v>203</v>
      </c>
      <c r="E42">
        <v>20411454</v>
      </c>
      <c r="F42" t="s">
        <v>1993</v>
      </c>
      <c r="G42" t="s">
        <v>956</v>
      </c>
      <c r="H42" s="1">
        <v>45292</v>
      </c>
      <c r="I42" s="2">
        <v>1</v>
      </c>
      <c r="K42" s="2">
        <v>2</v>
      </c>
      <c r="L42" t="s">
        <v>957</v>
      </c>
      <c r="M42" t="s">
        <v>1962</v>
      </c>
    </row>
    <row r="43" spans="1:13" x14ac:dyDescent="0.25">
      <c r="A43" s="9">
        <v>101180383800</v>
      </c>
      <c r="B43" s="9" t="str">
        <f t="shared" si="0"/>
        <v>101180383800OVR</v>
      </c>
      <c r="C43" t="s">
        <v>999</v>
      </c>
      <c r="D43" t="s">
        <v>203</v>
      </c>
      <c r="E43">
        <v>20411454</v>
      </c>
      <c r="F43" t="s">
        <v>1993</v>
      </c>
      <c r="G43" t="s">
        <v>956</v>
      </c>
      <c r="H43" s="1">
        <v>43922</v>
      </c>
      <c r="I43" s="2">
        <v>3</v>
      </c>
      <c r="K43" s="2">
        <v>6</v>
      </c>
      <c r="L43" t="s">
        <v>957</v>
      </c>
      <c r="M43" t="s">
        <v>1962</v>
      </c>
    </row>
    <row r="44" spans="1:13" x14ac:dyDescent="0.25">
      <c r="A44" s="9">
        <v>101183834800</v>
      </c>
      <c r="B44" s="9" t="str">
        <f t="shared" si="0"/>
        <v>101183834800OVR</v>
      </c>
      <c r="C44" t="s">
        <v>1000</v>
      </c>
      <c r="D44" t="s">
        <v>203</v>
      </c>
      <c r="E44">
        <v>20411454</v>
      </c>
      <c r="F44" t="s">
        <v>1993</v>
      </c>
      <c r="G44" t="s">
        <v>956</v>
      </c>
      <c r="H44" s="1">
        <v>45658</v>
      </c>
      <c r="I44" s="2">
        <v>1</v>
      </c>
      <c r="K44" s="2">
        <v>2</v>
      </c>
      <c r="L44" t="s">
        <v>957</v>
      </c>
      <c r="M44" t="s">
        <v>1962</v>
      </c>
    </row>
    <row r="45" spans="1:13" x14ac:dyDescent="0.25">
      <c r="A45" s="9">
        <v>101185004500</v>
      </c>
      <c r="B45" s="9" t="str">
        <f t="shared" si="0"/>
        <v>101185004500OVR</v>
      </c>
      <c r="C45" t="s">
        <v>1001</v>
      </c>
      <c r="D45" t="s">
        <v>203</v>
      </c>
      <c r="E45">
        <v>20411454</v>
      </c>
      <c r="F45" t="s">
        <v>1993</v>
      </c>
      <c r="G45" t="s">
        <v>956</v>
      </c>
      <c r="H45" s="1">
        <v>44044</v>
      </c>
      <c r="I45" s="2">
        <v>3</v>
      </c>
      <c r="K45" s="2">
        <v>6</v>
      </c>
      <c r="L45" t="s">
        <v>957</v>
      </c>
      <c r="M45" t="s">
        <v>1962</v>
      </c>
    </row>
    <row r="46" spans="1:13" x14ac:dyDescent="0.25">
      <c r="A46" s="9">
        <v>101189072000</v>
      </c>
      <c r="B46" s="9" t="str">
        <f t="shared" si="0"/>
        <v>101189072000OVR</v>
      </c>
      <c r="C46" t="s">
        <v>1002</v>
      </c>
      <c r="D46" t="s">
        <v>203</v>
      </c>
      <c r="E46">
        <v>20411454</v>
      </c>
      <c r="F46" t="s">
        <v>1993</v>
      </c>
      <c r="G46" t="s">
        <v>956</v>
      </c>
      <c r="H46" s="1">
        <v>44197</v>
      </c>
      <c r="I46" s="2">
        <v>1</v>
      </c>
      <c r="K46" s="2">
        <v>2</v>
      </c>
      <c r="L46" t="s">
        <v>957</v>
      </c>
      <c r="M46" t="s">
        <v>1962</v>
      </c>
    </row>
    <row r="47" spans="1:13" x14ac:dyDescent="0.25">
      <c r="A47" s="9">
        <v>101191675700</v>
      </c>
      <c r="B47" s="9" t="str">
        <f t="shared" si="0"/>
        <v>101191675700OVR</v>
      </c>
      <c r="C47" t="s">
        <v>1003</v>
      </c>
      <c r="D47" t="s">
        <v>203</v>
      </c>
      <c r="E47">
        <v>20411454</v>
      </c>
      <c r="F47" t="s">
        <v>1993</v>
      </c>
      <c r="G47" t="s">
        <v>956</v>
      </c>
      <c r="H47" s="1">
        <v>44197</v>
      </c>
      <c r="I47" s="2">
        <v>3</v>
      </c>
      <c r="K47" s="2">
        <v>6</v>
      </c>
      <c r="L47" t="s">
        <v>957</v>
      </c>
      <c r="M47" t="s">
        <v>1962</v>
      </c>
    </row>
    <row r="48" spans="1:13" x14ac:dyDescent="0.25">
      <c r="A48" s="9">
        <v>101193630100</v>
      </c>
      <c r="B48" s="9" t="str">
        <f t="shared" si="0"/>
        <v>101193630100OVR</v>
      </c>
      <c r="C48" t="s">
        <v>1004</v>
      </c>
      <c r="D48" t="s">
        <v>203</v>
      </c>
      <c r="E48">
        <v>20411454</v>
      </c>
      <c r="F48" t="s">
        <v>1993</v>
      </c>
      <c r="G48" t="s">
        <v>956</v>
      </c>
      <c r="H48" s="1">
        <v>44197</v>
      </c>
      <c r="I48" s="2">
        <v>3</v>
      </c>
      <c r="K48" s="2">
        <v>6</v>
      </c>
      <c r="L48" t="s">
        <v>957</v>
      </c>
      <c r="M48" t="s">
        <v>1962</v>
      </c>
    </row>
    <row r="49" spans="1:13" x14ac:dyDescent="0.25">
      <c r="A49" s="9">
        <v>101196246500</v>
      </c>
      <c r="B49" s="9" t="str">
        <f t="shared" si="0"/>
        <v>101196246500OVR</v>
      </c>
      <c r="C49" t="s">
        <v>1005</v>
      </c>
      <c r="D49" t="s">
        <v>203</v>
      </c>
      <c r="E49">
        <v>20411454</v>
      </c>
      <c r="F49" t="s">
        <v>1993</v>
      </c>
      <c r="G49" t="s">
        <v>956</v>
      </c>
      <c r="H49" s="1">
        <v>44562</v>
      </c>
      <c r="I49" s="2">
        <v>1</v>
      </c>
      <c r="K49" s="2">
        <v>2</v>
      </c>
      <c r="L49" t="s">
        <v>957</v>
      </c>
      <c r="M49" t="s">
        <v>1962</v>
      </c>
    </row>
    <row r="50" spans="1:13" x14ac:dyDescent="0.25">
      <c r="A50" s="9">
        <v>101196250400</v>
      </c>
      <c r="B50" s="9" t="str">
        <f t="shared" si="0"/>
        <v>101196250400OVR</v>
      </c>
      <c r="C50" t="s">
        <v>1006</v>
      </c>
      <c r="D50" t="s">
        <v>203</v>
      </c>
      <c r="E50">
        <v>20411454</v>
      </c>
      <c r="F50" t="s">
        <v>1993</v>
      </c>
      <c r="G50" t="s">
        <v>956</v>
      </c>
      <c r="H50" s="1">
        <v>44562</v>
      </c>
      <c r="I50" s="2">
        <v>1</v>
      </c>
      <c r="K50" s="2">
        <v>2</v>
      </c>
      <c r="L50" t="s">
        <v>957</v>
      </c>
      <c r="M50" t="s">
        <v>1962</v>
      </c>
    </row>
    <row r="51" spans="1:13" x14ac:dyDescent="0.25">
      <c r="A51" s="9">
        <v>101200378400</v>
      </c>
      <c r="B51" s="9" t="str">
        <f t="shared" si="0"/>
        <v>101200378400OVR</v>
      </c>
      <c r="C51" t="s">
        <v>1007</v>
      </c>
      <c r="D51" t="s">
        <v>203</v>
      </c>
      <c r="E51">
        <v>20411454</v>
      </c>
      <c r="F51" t="s">
        <v>1993</v>
      </c>
      <c r="G51" t="s">
        <v>956</v>
      </c>
      <c r="H51" s="1">
        <v>44197</v>
      </c>
      <c r="I51" s="2">
        <v>3</v>
      </c>
      <c r="K51" s="2">
        <v>6</v>
      </c>
      <c r="L51" t="s">
        <v>957</v>
      </c>
      <c r="M51" t="s">
        <v>1962</v>
      </c>
    </row>
    <row r="52" spans="1:13" x14ac:dyDescent="0.25">
      <c r="A52" s="9">
        <v>101201876300</v>
      </c>
      <c r="B52" s="9" t="str">
        <f t="shared" si="0"/>
        <v>101201876300OVR</v>
      </c>
      <c r="C52" t="s">
        <v>1008</v>
      </c>
      <c r="D52" t="s">
        <v>203</v>
      </c>
      <c r="E52">
        <v>20411454</v>
      </c>
      <c r="F52" t="s">
        <v>1993</v>
      </c>
      <c r="G52" t="s">
        <v>956</v>
      </c>
      <c r="H52" s="1">
        <v>44197</v>
      </c>
      <c r="I52" s="2">
        <v>1</v>
      </c>
      <c r="K52" s="2">
        <v>2</v>
      </c>
      <c r="L52" t="s">
        <v>957</v>
      </c>
      <c r="M52" t="s">
        <v>1962</v>
      </c>
    </row>
    <row r="53" spans="1:13" x14ac:dyDescent="0.25">
      <c r="A53" s="9">
        <v>101201921800</v>
      </c>
      <c r="B53" s="9" t="str">
        <f t="shared" si="0"/>
        <v>101201921800OVR</v>
      </c>
      <c r="C53" t="s">
        <v>1009</v>
      </c>
      <c r="D53" t="s">
        <v>203</v>
      </c>
      <c r="E53">
        <v>20411454</v>
      </c>
      <c r="F53" t="s">
        <v>1993</v>
      </c>
      <c r="G53" t="s">
        <v>956</v>
      </c>
      <c r="H53" s="1">
        <v>44197</v>
      </c>
      <c r="I53" s="2">
        <v>1</v>
      </c>
      <c r="K53" s="2">
        <v>2</v>
      </c>
      <c r="L53" t="s">
        <v>957</v>
      </c>
      <c r="M53" t="s">
        <v>1962</v>
      </c>
    </row>
    <row r="54" spans="1:13" x14ac:dyDescent="0.25">
      <c r="A54" s="9">
        <v>101202905500</v>
      </c>
      <c r="B54" s="9" t="str">
        <f t="shared" si="0"/>
        <v>101202905500OVR</v>
      </c>
      <c r="C54" t="s">
        <v>1010</v>
      </c>
      <c r="D54" t="s">
        <v>203</v>
      </c>
      <c r="E54">
        <v>20411454</v>
      </c>
      <c r="F54" t="s">
        <v>1993</v>
      </c>
      <c r="G54" t="s">
        <v>956</v>
      </c>
      <c r="H54" s="1">
        <v>44166</v>
      </c>
      <c r="I54" s="2">
        <v>1</v>
      </c>
      <c r="K54" s="2">
        <v>2</v>
      </c>
      <c r="L54" t="s">
        <v>957</v>
      </c>
      <c r="M54" t="s">
        <v>1962</v>
      </c>
    </row>
    <row r="55" spans="1:13" x14ac:dyDescent="0.25">
      <c r="A55" s="9">
        <v>101204412700</v>
      </c>
      <c r="B55" s="9" t="str">
        <f t="shared" si="0"/>
        <v>101204412700OVR</v>
      </c>
      <c r="C55" t="s">
        <v>1011</v>
      </c>
      <c r="D55" t="s">
        <v>203</v>
      </c>
      <c r="E55">
        <v>20411454</v>
      </c>
      <c r="F55" t="s">
        <v>1993</v>
      </c>
      <c r="G55" t="s">
        <v>956</v>
      </c>
      <c r="H55" s="1">
        <v>44197</v>
      </c>
      <c r="I55" s="2">
        <v>1</v>
      </c>
      <c r="K55" s="2">
        <v>2</v>
      </c>
      <c r="L55" t="s">
        <v>957</v>
      </c>
      <c r="M55" t="s">
        <v>1962</v>
      </c>
    </row>
    <row r="56" spans="1:13" x14ac:dyDescent="0.25">
      <c r="A56" s="9">
        <v>101204473000</v>
      </c>
      <c r="B56" s="9" t="str">
        <f t="shared" si="0"/>
        <v>101204473000OVR</v>
      </c>
      <c r="C56" t="s">
        <v>1012</v>
      </c>
      <c r="D56" t="s">
        <v>203</v>
      </c>
      <c r="E56">
        <v>20411454</v>
      </c>
      <c r="F56" t="s">
        <v>1993</v>
      </c>
      <c r="G56" t="s">
        <v>956</v>
      </c>
      <c r="H56" s="1">
        <v>44197</v>
      </c>
      <c r="I56" s="2">
        <v>1</v>
      </c>
      <c r="K56" s="2">
        <v>2</v>
      </c>
      <c r="L56" t="s">
        <v>957</v>
      </c>
      <c r="M56" t="s">
        <v>1962</v>
      </c>
    </row>
    <row r="57" spans="1:13" x14ac:dyDescent="0.25">
      <c r="A57" s="9">
        <v>101205114900</v>
      </c>
      <c r="B57" s="9" t="str">
        <f t="shared" si="0"/>
        <v>101205114900OVR</v>
      </c>
      <c r="C57" t="s">
        <v>1013</v>
      </c>
      <c r="D57" t="s">
        <v>203</v>
      </c>
      <c r="E57">
        <v>20411454</v>
      </c>
      <c r="F57" t="s">
        <v>1993</v>
      </c>
      <c r="G57" t="s">
        <v>956</v>
      </c>
      <c r="H57" s="1">
        <v>44197</v>
      </c>
      <c r="I57" s="2">
        <v>1</v>
      </c>
      <c r="K57" s="2">
        <v>2</v>
      </c>
      <c r="L57" t="s">
        <v>957</v>
      </c>
      <c r="M57" t="s">
        <v>1962</v>
      </c>
    </row>
    <row r="58" spans="1:13" x14ac:dyDescent="0.25">
      <c r="A58" s="9">
        <v>101205241100</v>
      </c>
      <c r="B58" s="9" t="str">
        <f t="shared" si="0"/>
        <v>101205241100OVR</v>
      </c>
      <c r="C58" t="s">
        <v>1014</v>
      </c>
      <c r="D58" t="s">
        <v>203</v>
      </c>
      <c r="E58">
        <v>20411454</v>
      </c>
      <c r="F58" t="s">
        <v>1993</v>
      </c>
      <c r="G58" t="s">
        <v>956</v>
      </c>
      <c r="H58" s="1">
        <v>44197</v>
      </c>
      <c r="I58" s="2">
        <v>1</v>
      </c>
      <c r="K58" s="2">
        <v>2</v>
      </c>
      <c r="L58" t="s">
        <v>957</v>
      </c>
      <c r="M58" t="s">
        <v>1962</v>
      </c>
    </row>
    <row r="59" spans="1:13" x14ac:dyDescent="0.25">
      <c r="A59" s="9">
        <v>101209240300</v>
      </c>
      <c r="B59" s="9" t="str">
        <f t="shared" si="0"/>
        <v>101209240300OVR</v>
      </c>
      <c r="C59" t="s">
        <v>1015</v>
      </c>
      <c r="D59" t="s">
        <v>203</v>
      </c>
      <c r="E59">
        <v>20411454</v>
      </c>
      <c r="F59" t="s">
        <v>1993</v>
      </c>
      <c r="G59" t="s">
        <v>956</v>
      </c>
      <c r="H59" s="1">
        <v>45658</v>
      </c>
      <c r="I59" s="2">
        <v>1</v>
      </c>
      <c r="K59" s="2">
        <v>2</v>
      </c>
      <c r="L59" t="s">
        <v>957</v>
      </c>
      <c r="M59" t="s">
        <v>1962</v>
      </c>
    </row>
    <row r="60" spans="1:13" x14ac:dyDescent="0.25">
      <c r="A60" s="9">
        <v>101209265600</v>
      </c>
      <c r="B60" s="9" t="str">
        <f t="shared" si="0"/>
        <v>101209265600OVR</v>
      </c>
      <c r="C60" t="s">
        <v>1016</v>
      </c>
      <c r="D60" t="s">
        <v>203</v>
      </c>
      <c r="E60">
        <v>20411454</v>
      </c>
      <c r="F60" t="s">
        <v>1993</v>
      </c>
      <c r="G60" t="s">
        <v>956</v>
      </c>
      <c r="H60" s="1">
        <v>44256</v>
      </c>
      <c r="I60" s="2">
        <v>3</v>
      </c>
      <c r="K60" s="2">
        <v>6</v>
      </c>
      <c r="L60" t="s">
        <v>957</v>
      </c>
      <c r="M60" t="s">
        <v>1962</v>
      </c>
    </row>
    <row r="61" spans="1:13" x14ac:dyDescent="0.25">
      <c r="A61" s="9">
        <v>101209273900</v>
      </c>
      <c r="B61" s="9" t="str">
        <f t="shared" si="0"/>
        <v>101209273900OVR</v>
      </c>
      <c r="C61" t="s">
        <v>1017</v>
      </c>
      <c r="D61" t="s">
        <v>203</v>
      </c>
      <c r="E61">
        <v>20411454</v>
      </c>
      <c r="F61" t="s">
        <v>1993</v>
      </c>
      <c r="G61" t="s">
        <v>956</v>
      </c>
      <c r="H61" s="1">
        <v>44256</v>
      </c>
      <c r="I61" s="2">
        <v>1</v>
      </c>
      <c r="K61" s="2">
        <v>2</v>
      </c>
      <c r="L61" t="s">
        <v>957</v>
      </c>
      <c r="M61" t="s">
        <v>1962</v>
      </c>
    </row>
    <row r="62" spans="1:13" x14ac:dyDescent="0.25">
      <c r="A62" s="9">
        <v>101209504000</v>
      </c>
      <c r="B62" s="9" t="str">
        <f t="shared" si="0"/>
        <v>101209504000OVR</v>
      </c>
      <c r="C62" t="s">
        <v>1018</v>
      </c>
      <c r="D62" t="s">
        <v>203</v>
      </c>
      <c r="E62">
        <v>20411454</v>
      </c>
      <c r="F62" t="s">
        <v>1993</v>
      </c>
      <c r="G62" t="s">
        <v>956</v>
      </c>
      <c r="H62" s="1">
        <v>44927</v>
      </c>
      <c r="I62" s="2">
        <v>1</v>
      </c>
      <c r="K62" s="2">
        <v>2</v>
      </c>
      <c r="L62" t="s">
        <v>957</v>
      </c>
      <c r="M62" t="s">
        <v>1962</v>
      </c>
    </row>
    <row r="63" spans="1:13" x14ac:dyDescent="0.25">
      <c r="A63" s="9">
        <v>101209755200</v>
      </c>
      <c r="B63" s="9" t="str">
        <f t="shared" si="0"/>
        <v>101209755200OVR</v>
      </c>
      <c r="C63" t="s">
        <v>1019</v>
      </c>
      <c r="D63" t="s">
        <v>203</v>
      </c>
      <c r="E63">
        <v>20411454</v>
      </c>
      <c r="F63" t="s">
        <v>1993</v>
      </c>
      <c r="G63" t="s">
        <v>956</v>
      </c>
      <c r="H63" s="1">
        <v>45658</v>
      </c>
      <c r="I63" s="2">
        <v>1</v>
      </c>
      <c r="K63" s="2">
        <v>2</v>
      </c>
      <c r="L63" t="s">
        <v>957</v>
      </c>
      <c r="M63" t="s">
        <v>1962</v>
      </c>
    </row>
    <row r="64" spans="1:13" x14ac:dyDescent="0.25">
      <c r="A64" s="9">
        <v>101209812800</v>
      </c>
      <c r="B64" s="9" t="str">
        <f t="shared" si="0"/>
        <v>101209812800OVR</v>
      </c>
      <c r="C64" t="s">
        <v>1020</v>
      </c>
      <c r="D64" t="s">
        <v>203</v>
      </c>
      <c r="E64">
        <v>20411454</v>
      </c>
      <c r="F64" t="s">
        <v>1993</v>
      </c>
      <c r="G64" t="s">
        <v>956</v>
      </c>
      <c r="H64" s="1">
        <v>45658</v>
      </c>
      <c r="I64" s="2">
        <v>1</v>
      </c>
      <c r="K64" s="2">
        <v>2</v>
      </c>
      <c r="L64" t="s">
        <v>957</v>
      </c>
      <c r="M64" t="s">
        <v>1962</v>
      </c>
    </row>
    <row r="65" spans="1:13" x14ac:dyDescent="0.25">
      <c r="A65" s="9">
        <v>101212333500</v>
      </c>
      <c r="B65" s="9" t="str">
        <f t="shared" si="0"/>
        <v>101212333500OVR</v>
      </c>
      <c r="C65" t="s">
        <v>1021</v>
      </c>
      <c r="D65" t="s">
        <v>203</v>
      </c>
      <c r="E65">
        <v>20411454</v>
      </c>
      <c r="F65" t="s">
        <v>1993</v>
      </c>
      <c r="G65" t="s">
        <v>956</v>
      </c>
      <c r="H65" s="1">
        <v>44562</v>
      </c>
      <c r="I65" s="2">
        <v>1</v>
      </c>
      <c r="K65" s="2">
        <v>2</v>
      </c>
      <c r="L65" t="s">
        <v>957</v>
      </c>
      <c r="M65" t="s">
        <v>1962</v>
      </c>
    </row>
    <row r="66" spans="1:13" x14ac:dyDescent="0.25">
      <c r="A66" s="9">
        <v>101212516000</v>
      </c>
      <c r="B66" s="9" t="str">
        <f t="shared" si="0"/>
        <v>101212516000OVR</v>
      </c>
      <c r="C66" t="s">
        <v>1022</v>
      </c>
      <c r="D66" t="s">
        <v>203</v>
      </c>
      <c r="E66">
        <v>20411454</v>
      </c>
      <c r="F66" t="s">
        <v>1993</v>
      </c>
      <c r="G66" t="s">
        <v>956</v>
      </c>
      <c r="H66" s="1">
        <v>44562</v>
      </c>
      <c r="I66" s="2">
        <v>1</v>
      </c>
      <c r="K66" s="2">
        <v>2</v>
      </c>
      <c r="L66" t="s">
        <v>957</v>
      </c>
      <c r="M66" t="s">
        <v>1962</v>
      </c>
    </row>
    <row r="67" spans="1:13" x14ac:dyDescent="0.25">
      <c r="A67" s="9">
        <v>101212543700</v>
      </c>
      <c r="B67" s="9" t="str">
        <f t="shared" ref="B67:B130" si="1">CONCATENATE(A67,"OVR")</f>
        <v>101212543700OVR</v>
      </c>
      <c r="C67" t="s">
        <v>1023</v>
      </c>
      <c r="D67" t="s">
        <v>203</v>
      </c>
      <c r="E67">
        <v>20411454</v>
      </c>
      <c r="F67" t="s">
        <v>1993</v>
      </c>
      <c r="G67" t="s">
        <v>956</v>
      </c>
      <c r="H67" s="1">
        <v>44317</v>
      </c>
      <c r="I67" s="2">
        <v>1</v>
      </c>
      <c r="K67" s="2">
        <v>2</v>
      </c>
      <c r="L67" t="s">
        <v>957</v>
      </c>
      <c r="M67" t="s">
        <v>1962</v>
      </c>
    </row>
    <row r="68" spans="1:13" x14ac:dyDescent="0.25">
      <c r="A68" s="9">
        <v>101260351600</v>
      </c>
      <c r="B68" s="9" t="str">
        <f t="shared" si="1"/>
        <v>101260351600OVR</v>
      </c>
      <c r="C68" t="s">
        <v>1024</v>
      </c>
      <c r="D68" t="s">
        <v>55</v>
      </c>
      <c r="E68">
        <v>20411454</v>
      </c>
      <c r="F68" t="s">
        <v>1993</v>
      </c>
      <c r="G68" t="s">
        <v>956</v>
      </c>
      <c r="H68" s="1">
        <v>44256</v>
      </c>
      <c r="I68" s="2">
        <v>1</v>
      </c>
      <c r="K68" s="2">
        <v>2</v>
      </c>
      <c r="L68" t="s">
        <v>957</v>
      </c>
      <c r="M68" t="s">
        <v>1962</v>
      </c>
    </row>
    <row r="69" spans="1:13" x14ac:dyDescent="0.25">
      <c r="A69" s="9">
        <v>101280490300</v>
      </c>
      <c r="B69" s="9" t="str">
        <f t="shared" si="1"/>
        <v>101280490300OVR</v>
      </c>
      <c r="C69" t="s">
        <v>1025</v>
      </c>
      <c r="D69" t="s">
        <v>203</v>
      </c>
      <c r="E69">
        <v>20411454</v>
      </c>
      <c r="F69" t="s">
        <v>1993</v>
      </c>
      <c r="G69" t="s">
        <v>956</v>
      </c>
      <c r="H69" s="1">
        <v>43466</v>
      </c>
      <c r="I69" s="2">
        <v>1</v>
      </c>
      <c r="K69" s="2">
        <v>2</v>
      </c>
      <c r="L69" t="s">
        <v>957</v>
      </c>
      <c r="M69" t="s">
        <v>1962</v>
      </c>
    </row>
    <row r="70" spans="1:13" x14ac:dyDescent="0.25">
      <c r="A70" s="9">
        <v>101298071600</v>
      </c>
      <c r="B70" s="9" t="str">
        <f t="shared" si="1"/>
        <v>101298071600OVR</v>
      </c>
      <c r="C70" t="s">
        <v>1026</v>
      </c>
      <c r="D70" t="s">
        <v>55</v>
      </c>
      <c r="E70">
        <v>20411454</v>
      </c>
      <c r="F70" t="s">
        <v>1993</v>
      </c>
      <c r="G70" t="s">
        <v>956</v>
      </c>
      <c r="H70" s="1">
        <v>45292</v>
      </c>
      <c r="I70" s="2">
        <v>1</v>
      </c>
      <c r="K70" s="2">
        <v>2</v>
      </c>
      <c r="L70" t="s">
        <v>957</v>
      </c>
      <c r="M70" t="s">
        <v>1962</v>
      </c>
    </row>
    <row r="71" spans="1:13" x14ac:dyDescent="0.25">
      <c r="A71" s="9">
        <v>101316867900</v>
      </c>
      <c r="B71" s="9" t="str">
        <f t="shared" si="1"/>
        <v>101316867900OVR</v>
      </c>
      <c r="C71" t="s">
        <v>1029</v>
      </c>
      <c r="D71" t="s">
        <v>203</v>
      </c>
      <c r="E71">
        <v>20411454</v>
      </c>
      <c r="F71" t="s">
        <v>1993</v>
      </c>
      <c r="G71" t="s">
        <v>956</v>
      </c>
      <c r="H71" s="1">
        <v>43800</v>
      </c>
      <c r="I71" s="2">
        <v>1</v>
      </c>
      <c r="K71" s="2">
        <v>2</v>
      </c>
      <c r="L71" t="s">
        <v>957</v>
      </c>
      <c r="M71" t="s">
        <v>1962</v>
      </c>
    </row>
    <row r="72" spans="1:13" x14ac:dyDescent="0.25">
      <c r="A72" s="9">
        <v>101337869700</v>
      </c>
      <c r="B72" s="9" t="str">
        <f t="shared" si="1"/>
        <v>101337869700OVR</v>
      </c>
      <c r="C72" t="s">
        <v>1030</v>
      </c>
      <c r="D72" t="s">
        <v>203</v>
      </c>
      <c r="E72">
        <v>20411454</v>
      </c>
      <c r="F72" t="s">
        <v>1993</v>
      </c>
      <c r="G72" t="s">
        <v>956</v>
      </c>
      <c r="H72" s="1">
        <v>43466</v>
      </c>
      <c r="I72" s="2">
        <v>1</v>
      </c>
      <c r="K72" s="2">
        <v>2</v>
      </c>
      <c r="L72" t="s">
        <v>957</v>
      </c>
      <c r="M72" t="s">
        <v>1962</v>
      </c>
    </row>
    <row r="73" spans="1:13" x14ac:dyDescent="0.25">
      <c r="A73" s="9">
        <v>101338772600</v>
      </c>
      <c r="B73" s="9" t="str">
        <f t="shared" si="1"/>
        <v>101338772600OVR</v>
      </c>
      <c r="C73" t="s">
        <v>1031</v>
      </c>
      <c r="D73" t="s">
        <v>784</v>
      </c>
      <c r="E73">
        <v>20411454</v>
      </c>
      <c r="F73" t="s">
        <v>1993</v>
      </c>
      <c r="G73" t="s">
        <v>956</v>
      </c>
      <c r="H73" s="1">
        <v>45536</v>
      </c>
      <c r="I73" s="2">
        <v>1</v>
      </c>
      <c r="K73" s="2">
        <v>2</v>
      </c>
      <c r="L73" t="s">
        <v>957</v>
      </c>
      <c r="M73" t="s">
        <v>1962</v>
      </c>
    </row>
    <row r="74" spans="1:13" x14ac:dyDescent="0.25">
      <c r="A74" s="9">
        <v>101351768100</v>
      </c>
      <c r="B74" s="9" t="str">
        <f t="shared" si="1"/>
        <v>101351768100OVR</v>
      </c>
      <c r="C74" t="s">
        <v>1032</v>
      </c>
      <c r="D74" t="s">
        <v>55</v>
      </c>
      <c r="E74">
        <v>20411454</v>
      </c>
      <c r="F74" t="s">
        <v>1993</v>
      </c>
      <c r="G74" t="s">
        <v>956</v>
      </c>
      <c r="H74" s="1">
        <v>43831</v>
      </c>
      <c r="I74" s="2">
        <v>1</v>
      </c>
      <c r="K74" s="2">
        <v>2</v>
      </c>
      <c r="L74" t="s">
        <v>957</v>
      </c>
      <c r="M74" t="s">
        <v>1962</v>
      </c>
    </row>
    <row r="75" spans="1:13" x14ac:dyDescent="0.25">
      <c r="A75" s="9">
        <v>101368023800</v>
      </c>
      <c r="B75" s="9" t="str">
        <f t="shared" si="1"/>
        <v>101368023800OVR</v>
      </c>
      <c r="C75" t="s">
        <v>1033</v>
      </c>
      <c r="D75" t="s">
        <v>55</v>
      </c>
      <c r="E75">
        <v>20411454</v>
      </c>
      <c r="F75" t="s">
        <v>1993</v>
      </c>
      <c r="G75" t="s">
        <v>956</v>
      </c>
      <c r="H75" s="1">
        <v>45292</v>
      </c>
      <c r="I75" s="2">
        <v>1</v>
      </c>
      <c r="K75" s="2">
        <v>2</v>
      </c>
      <c r="L75" t="s">
        <v>957</v>
      </c>
      <c r="M75" t="s">
        <v>1962</v>
      </c>
    </row>
    <row r="76" spans="1:13" x14ac:dyDescent="0.25">
      <c r="A76" s="9">
        <v>101375450100</v>
      </c>
      <c r="B76" s="9" t="str">
        <f t="shared" si="1"/>
        <v>101375450100OVR</v>
      </c>
      <c r="C76" t="s">
        <v>1034</v>
      </c>
      <c r="D76" t="s">
        <v>55</v>
      </c>
      <c r="E76">
        <v>20411454</v>
      </c>
      <c r="F76" t="s">
        <v>1993</v>
      </c>
      <c r="G76" t="s">
        <v>956</v>
      </c>
      <c r="H76" s="1">
        <v>45292</v>
      </c>
      <c r="I76" s="2">
        <v>1</v>
      </c>
      <c r="K76" s="2">
        <v>2</v>
      </c>
      <c r="L76" t="s">
        <v>957</v>
      </c>
      <c r="M76" t="s">
        <v>1962</v>
      </c>
    </row>
    <row r="77" spans="1:13" x14ac:dyDescent="0.25">
      <c r="A77" s="9">
        <v>101388566000</v>
      </c>
      <c r="B77" s="9" t="str">
        <f t="shared" si="1"/>
        <v>101388566000OVR</v>
      </c>
      <c r="C77" t="s">
        <v>1035</v>
      </c>
      <c r="D77" t="s">
        <v>55</v>
      </c>
      <c r="E77">
        <v>20411454</v>
      </c>
      <c r="F77" t="s">
        <v>1993</v>
      </c>
      <c r="G77" t="s">
        <v>956</v>
      </c>
      <c r="H77" s="1">
        <v>44136</v>
      </c>
      <c r="I77" s="2">
        <v>1</v>
      </c>
      <c r="K77" s="2">
        <v>2</v>
      </c>
      <c r="L77" t="s">
        <v>957</v>
      </c>
      <c r="M77" t="s">
        <v>1962</v>
      </c>
    </row>
    <row r="78" spans="1:13" x14ac:dyDescent="0.25">
      <c r="A78" s="9">
        <v>101453387000</v>
      </c>
      <c r="B78" s="9" t="str">
        <f t="shared" si="1"/>
        <v>101453387000OVR</v>
      </c>
      <c r="C78" t="s">
        <v>1036</v>
      </c>
      <c r="D78" t="s">
        <v>203</v>
      </c>
      <c r="E78">
        <v>20411454</v>
      </c>
      <c r="F78" t="s">
        <v>1993</v>
      </c>
      <c r="G78" t="s">
        <v>956</v>
      </c>
      <c r="H78" s="1">
        <v>44256</v>
      </c>
      <c r="I78" s="2">
        <v>1</v>
      </c>
      <c r="K78" s="2">
        <v>2</v>
      </c>
      <c r="L78" t="s">
        <v>957</v>
      </c>
      <c r="M78" t="s">
        <v>1962</v>
      </c>
    </row>
    <row r="79" spans="1:13" x14ac:dyDescent="0.25">
      <c r="A79" s="9">
        <v>101453389700</v>
      </c>
      <c r="B79" s="9" t="str">
        <f t="shared" si="1"/>
        <v>101453389700OVR</v>
      </c>
      <c r="C79" t="s">
        <v>1037</v>
      </c>
      <c r="D79" t="s">
        <v>203</v>
      </c>
      <c r="E79">
        <v>20411454</v>
      </c>
      <c r="F79" t="s">
        <v>1993</v>
      </c>
      <c r="G79" t="s">
        <v>956</v>
      </c>
      <c r="H79" s="1">
        <v>44287</v>
      </c>
      <c r="I79" s="2">
        <v>1</v>
      </c>
      <c r="K79" s="2">
        <v>2</v>
      </c>
      <c r="L79" t="s">
        <v>957</v>
      </c>
      <c r="M79" t="s">
        <v>1962</v>
      </c>
    </row>
    <row r="80" spans="1:13" x14ac:dyDescent="0.25">
      <c r="A80" s="9">
        <v>101458682200</v>
      </c>
      <c r="B80" s="9" t="str">
        <f t="shared" si="1"/>
        <v>101458682200OVR</v>
      </c>
      <c r="C80" t="s">
        <v>1039</v>
      </c>
      <c r="D80" t="s">
        <v>203</v>
      </c>
      <c r="E80">
        <v>20411454</v>
      </c>
      <c r="F80" t="s">
        <v>1993</v>
      </c>
      <c r="G80" t="s">
        <v>956</v>
      </c>
      <c r="H80" s="1">
        <v>44317</v>
      </c>
      <c r="I80" s="2">
        <v>1</v>
      </c>
      <c r="K80" s="2">
        <v>2</v>
      </c>
      <c r="L80" t="s">
        <v>957</v>
      </c>
      <c r="M80" t="s">
        <v>1962</v>
      </c>
    </row>
    <row r="81" spans="1:13" x14ac:dyDescent="0.25">
      <c r="A81" s="9">
        <v>101458763400</v>
      </c>
      <c r="B81" s="9" t="str">
        <f t="shared" si="1"/>
        <v>101458763400OVR</v>
      </c>
      <c r="C81" t="s">
        <v>1040</v>
      </c>
      <c r="D81" t="s">
        <v>203</v>
      </c>
      <c r="E81">
        <v>20411454</v>
      </c>
      <c r="F81" t="s">
        <v>1993</v>
      </c>
      <c r="G81" t="s">
        <v>956</v>
      </c>
      <c r="H81" s="1">
        <v>45658</v>
      </c>
      <c r="I81" s="2">
        <v>1</v>
      </c>
      <c r="K81" s="2">
        <v>2</v>
      </c>
      <c r="L81" t="s">
        <v>957</v>
      </c>
      <c r="M81" t="s">
        <v>1962</v>
      </c>
    </row>
    <row r="82" spans="1:13" x14ac:dyDescent="0.25">
      <c r="A82" s="9">
        <v>101460290100</v>
      </c>
      <c r="B82" s="9" t="str">
        <f t="shared" si="1"/>
        <v>101460290100OVR</v>
      </c>
      <c r="C82" t="s">
        <v>1041</v>
      </c>
      <c r="D82" t="s">
        <v>203</v>
      </c>
      <c r="E82">
        <v>20411454</v>
      </c>
      <c r="F82" t="s">
        <v>1993</v>
      </c>
      <c r="G82" t="s">
        <v>956</v>
      </c>
      <c r="H82" s="1">
        <v>44378</v>
      </c>
      <c r="I82" s="2">
        <v>3</v>
      </c>
      <c r="K82" s="2">
        <v>6</v>
      </c>
      <c r="L82" t="s">
        <v>957</v>
      </c>
      <c r="M82" t="s">
        <v>1962</v>
      </c>
    </row>
    <row r="83" spans="1:13" x14ac:dyDescent="0.25">
      <c r="A83" s="9">
        <v>101462077200</v>
      </c>
      <c r="B83" s="9" t="str">
        <f t="shared" si="1"/>
        <v>101462077200OVR</v>
      </c>
      <c r="C83" t="s">
        <v>1042</v>
      </c>
      <c r="D83" t="s">
        <v>203</v>
      </c>
      <c r="E83">
        <v>20411454</v>
      </c>
      <c r="F83" t="s">
        <v>1993</v>
      </c>
      <c r="G83" t="s">
        <v>956</v>
      </c>
      <c r="H83" s="1">
        <v>44378</v>
      </c>
      <c r="I83" s="2">
        <v>3</v>
      </c>
      <c r="K83" s="2">
        <v>6</v>
      </c>
      <c r="L83" t="s">
        <v>957</v>
      </c>
      <c r="M83" t="s">
        <v>1962</v>
      </c>
    </row>
    <row r="84" spans="1:13" x14ac:dyDescent="0.25">
      <c r="A84" s="9">
        <v>101470020600</v>
      </c>
      <c r="B84" s="9" t="str">
        <f t="shared" si="1"/>
        <v>101470020600OVR</v>
      </c>
      <c r="C84" t="s">
        <v>1043</v>
      </c>
      <c r="D84" t="s">
        <v>203</v>
      </c>
      <c r="E84">
        <v>20411454</v>
      </c>
      <c r="F84" t="s">
        <v>1993</v>
      </c>
      <c r="G84" t="s">
        <v>956</v>
      </c>
      <c r="H84" s="1">
        <v>44501</v>
      </c>
      <c r="I84" s="2">
        <v>3</v>
      </c>
      <c r="K84" s="2">
        <v>6</v>
      </c>
      <c r="L84" t="s">
        <v>957</v>
      </c>
      <c r="M84" t="s">
        <v>1962</v>
      </c>
    </row>
    <row r="85" spans="1:13" x14ac:dyDescent="0.25">
      <c r="A85" s="9">
        <v>101470294200</v>
      </c>
      <c r="B85" s="9" t="str">
        <f t="shared" si="1"/>
        <v>101470294200OVR</v>
      </c>
      <c r="C85" t="s">
        <v>1044</v>
      </c>
      <c r="D85" t="s">
        <v>203</v>
      </c>
      <c r="E85">
        <v>20411454</v>
      </c>
      <c r="F85" t="s">
        <v>1993</v>
      </c>
      <c r="G85" t="s">
        <v>956</v>
      </c>
      <c r="H85" s="1">
        <v>44501</v>
      </c>
      <c r="I85" s="2">
        <v>3</v>
      </c>
      <c r="K85" s="2">
        <v>6</v>
      </c>
      <c r="L85" t="s">
        <v>957</v>
      </c>
      <c r="M85" t="s">
        <v>1962</v>
      </c>
    </row>
    <row r="86" spans="1:13" x14ac:dyDescent="0.25">
      <c r="A86" s="9">
        <v>101470645900</v>
      </c>
      <c r="B86" s="9" t="str">
        <f t="shared" si="1"/>
        <v>101470645900OVR</v>
      </c>
      <c r="C86" t="s">
        <v>1045</v>
      </c>
      <c r="D86" t="s">
        <v>203</v>
      </c>
      <c r="E86">
        <v>20411454</v>
      </c>
      <c r="F86" t="s">
        <v>1993</v>
      </c>
      <c r="G86" t="s">
        <v>956</v>
      </c>
      <c r="H86" s="1">
        <v>44531</v>
      </c>
      <c r="I86" s="2">
        <v>3</v>
      </c>
      <c r="K86" s="2">
        <v>6</v>
      </c>
      <c r="L86" t="s">
        <v>957</v>
      </c>
      <c r="M86" t="s">
        <v>1962</v>
      </c>
    </row>
    <row r="87" spans="1:13" x14ac:dyDescent="0.25">
      <c r="A87" s="9">
        <v>101470696800</v>
      </c>
      <c r="B87" s="9" t="str">
        <f t="shared" si="1"/>
        <v>101470696800OVR</v>
      </c>
      <c r="C87" t="s">
        <v>1046</v>
      </c>
      <c r="D87" t="s">
        <v>203</v>
      </c>
      <c r="E87">
        <v>20411454</v>
      </c>
      <c r="F87" t="s">
        <v>1993</v>
      </c>
      <c r="G87" t="s">
        <v>956</v>
      </c>
      <c r="H87" s="1">
        <v>44501</v>
      </c>
      <c r="I87" s="2">
        <v>1</v>
      </c>
      <c r="K87" s="2">
        <v>2</v>
      </c>
      <c r="L87" t="s">
        <v>957</v>
      </c>
      <c r="M87" t="s">
        <v>1962</v>
      </c>
    </row>
    <row r="88" spans="1:13" x14ac:dyDescent="0.25">
      <c r="A88" s="9">
        <v>101471660500</v>
      </c>
      <c r="B88" s="9" t="str">
        <f t="shared" si="1"/>
        <v>101471660500OVR</v>
      </c>
      <c r="C88" t="s">
        <v>1047</v>
      </c>
      <c r="D88" t="s">
        <v>203</v>
      </c>
      <c r="E88">
        <v>20411454</v>
      </c>
      <c r="F88" t="s">
        <v>1993</v>
      </c>
      <c r="G88" t="s">
        <v>956</v>
      </c>
      <c r="H88" s="1">
        <v>44562</v>
      </c>
      <c r="I88" s="2">
        <v>1</v>
      </c>
      <c r="K88" s="2">
        <v>2</v>
      </c>
      <c r="L88" t="s">
        <v>957</v>
      </c>
      <c r="M88" t="s">
        <v>1962</v>
      </c>
    </row>
    <row r="89" spans="1:13" x14ac:dyDescent="0.25">
      <c r="A89" s="9">
        <v>101471707600</v>
      </c>
      <c r="B89" s="9" t="str">
        <f t="shared" si="1"/>
        <v>101471707600OVR</v>
      </c>
      <c r="C89" t="s">
        <v>1048</v>
      </c>
      <c r="D89" t="s">
        <v>55</v>
      </c>
      <c r="E89">
        <v>20411454</v>
      </c>
      <c r="F89" t="s">
        <v>1993</v>
      </c>
      <c r="G89" t="s">
        <v>956</v>
      </c>
      <c r="H89" s="1">
        <v>44562</v>
      </c>
      <c r="I89" s="2">
        <v>1</v>
      </c>
      <c r="K89" s="2">
        <v>2</v>
      </c>
      <c r="L89" t="s">
        <v>957</v>
      </c>
      <c r="M89" t="s">
        <v>1962</v>
      </c>
    </row>
    <row r="90" spans="1:13" x14ac:dyDescent="0.25">
      <c r="A90" s="9">
        <v>101471757300</v>
      </c>
      <c r="B90" s="9" t="str">
        <f t="shared" si="1"/>
        <v>101471757300OVR</v>
      </c>
      <c r="C90" t="s">
        <v>1049</v>
      </c>
      <c r="D90" t="s">
        <v>203</v>
      </c>
      <c r="E90">
        <v>20411454</v>
      </c>
      <c r="F90" t="s">
        <v>1993</v>
      </c>
      <c r="G90" t="s">
        <v>956</v>
      </c>
      <c r="H90" s="1">
        <v>44562</v>
      </c>
      <c r="I90" s="2">
        <v>1</v>
      </c>
      <c r="K90" s="2">
        <v>2</v>
      </c>
      <c r="L90" t="s">
        <v>957</v>
      </c>
      <c r="M90" t="s">
        <v>1962</v>
      </c>
    </row>
    <row r="91" spans="1:13" x14ac:dyDescent="0.25">
      <c r="A91" s="9">
        <v>101472308200</v>
      </c>
      <c r="B91" s="9" t="str">
        <f t="shared" si="1"/>
        <v>101472308200OVR</v>
      </c>
      <c r="C91" t="s">
        <v>1050</v>
      </c>
      <c r="D91" t="s">
        <v>203</v>
      </c>
      <c r="E91">
        <v>20411454</v>
      </c>
      <c r="F91" t="s">
        <v>1993</v>
      </c>
      <c r="G91" t="s">
        <v>956</v>
      </c>
      <c r="H91" s="1">
        <v>44562</v>
      </c>
      <c r="I91" s="2">
        <v>1</v>
      </c>
      <c r="K91" s="2">
        <v>2</v>
      </c>
      <c r="L91" t="s">
        <v>957</v>
      </c>
      <c r="M91" t="s">
        <v>1962</v>
      </c>
    </row>
    <row r="92" spans="1:13" x14ac:dyDescent="0.25">
      <c r="A92" s="9">
        <v>101472611200</v>
      </c>
      <c r="B92" s="9" t="str">
        <f t="shared" si="1"/>
        <v>101472611200OVR</v>
      </c>
      <c r="C92" t="s">
        <v>1051</v>
      </c>
      <c r="D92" t="s">
        <v>203</v>
      </c>
      <c r="E92">
        <v>20411454</v>
      </c>
      <c r="F92" t="s">
        <v>1993</v>
      </c>
      <c r="G92" t="s">
        <v>956</v>
      </c>
      <c r="H92" s="1">
        <v>44562</v>
      </c>
      <c r="I92" s="2">
        <v>3</v>
      </c>
      <c r="K92" s="2">
        <v>6</v>
      </c>
      <c r="L92" t="s">
        <v>957</v>
      </c>
      <c r="M92" t="s">
        <v>1962</v>
      </c>
    </row>
    <row r="93" spans="1:13" x14ac:dyDescent="0.25">
      <c r="A93" s="9">
        <v>101472627800</v>
      </c>
      <c r="B93" s="9" t="str">
        <f t="shared" si="1"/>
        <v>101472627800OVR</v>
      </c>
      <c r="C93" t="s">
        <v>1052</v>
      </c>
      <c r="D93" t="s">
        <v>203</v>
      </c>
      <c r="E93">
        <v>20411454</v>
      </c>
      <c r="F93" t="s">
        <v>1993</v>
      </c>
      <c r="G93" t="s">
        <v>956</v>
      </c>
      <c r="H93" s="1">
        <v>44562</v>
      </c>
      <c r="I93" s="2">
        <v>1</v>
      </c>
      <c r="K93" s="2">
        <v>2</v>
      </c>
      <c r="L93" t="s">
        <v>957</v>
      </c>
      <c r="M93" t="s">
        <v>1962</v>
      </c>
    </row>
    <row r="94" spans="1:13" x14ac:dyDescent="0.25">
      <c r="A94" s="9">
        <v>101472724500</v>
      </c>
      <c r="B94" s="9" t="str">
        <f t="shared" si="1"/>
        <v>101472724500OVR</v>
      </c>
      <c r="C94" t="s">
        <v>1053</v>
      </c>
      <c r="D94" t="s">
        <v>203</v>
      </c>
      <c r="E94">
        <v>20411454</v>
      </c>
      <c r="F94" t="s">
        <v>1993</v>
      </c>
      <c r="G94" t="s">
        <v>956</v>
      </c>
      <c r="H94" s="1">
        <v>44562</v>
      </c>
      <c r="I94" s="2">
        <v>3</v>
      </c>
      <c r="K94" s="2">
        <v>6</v>
      </c>
      <c r="L94" t="s">
        <v>957</v>
      </c>
      <c r="M94" t="s">
        <v>1962</v>
      </c>
    </row>
    <row r="95" spans="1:13" x14ac:dyDescent="0.25">
      <c r="A95" s="9">
        <v>101473096300</v>
      </c>
      <c r="B95" s="9" t="str">
        <f t="shared" si="1"/>
        <v>101473096300OVR</v>
      </c>
      <c r="C95" t="s">
        <v>1054</v>
      </c>
      <c r="D95" t="s">
        <v>203</v>
      </c>
      <c r="E95">
        <v>20411454</v>
      </c>
      <c r="F95" t="s">
        <v>1993</v>
      </c>
      <c r="G95" t="s">
        <v>956</v>
      </c>
      <c r="H95" s="1">
        <v>44562</v>
      </c>
      <c r="I95" s="2">
        <v>1</v>
      </c>
      <c r="K95" s="2">
        <v>2</v>
      </c>
      <c r="L95" t="s">
        <v>957</v>
      </c>
      <c r="M95" t="s">
        <v>1962</v>
      </c>
    </row>
    <row r="96" spans="1:13" x14ac:dyDescent="0.25">
      <c r="A96" s="9">
        <v>101473158500</v>
      </c>
      <c r="B96" s="9" t="str">
        <f t="shared" si="1"/>
        <v>101473158500OVR</v>
      </c>
      <c r="C96" t="s">
        <v>1055</v>
      </c>
      <c r="D96" t="s">
        <v>203</v>
      </c>
      <c r="E96">
        <v>20411454</v>
      </c>
      <c r="F96" t="s">
        <v>1993</v>
      </c>
      <c r="G96" t="s">
        <v>956</v>
      </c>
      <c r="H96" s="1">
        <v>44927</v>
      </c>
      <c r="I96" s="2">
        <v>1</v>
      </c>
      <c r="K96" s="2">
        <v>2</v>
      </c>
      <c r="L96" t="s">
        <v>957</v>
      </c>
      <c r="M96" t="s">
        <v>1962</v>
      </c>
    </row>
    <row r="97" spans="1:13" x14ac:dyDescent="0.25">
      <c r="A97" s="9">
        <v>101473461600</v>
      </c>
      <c r="B97" s="9" t="str">
        <f t="shared" si="1"/>
        <v>101473461600OVR</v>
      </c>
      <c r="C97" t="s">
        <v>1056</v>
      </c>
      <c r="D97" t="s">
        <v>203</v>
      </c>
      <c r="E97">
        <v>20411454</v>
      </c>
      <c r="F97" t="s">
        <v>1993</v>
      </c>
      <c r="G97" t="s">
        <v>956</v>
      </c>
      <c r="H97" s="1">
        <v>44562</v>
      </c>
      <c r="I97" s="2">
        <v>1</v>
      </c>
      <c r="K97" s="2">
        <v>2</v>
      </c>
      <c r="L97" t="s">
        <v>957</v>
      </c>
      <c r="M97" t="s">
        <v>1962</v>
      </c>
    </row>
    <row r="98" spans="1:13" x14ac:dyDescent="0.25">
      <c r="A98" s="9">
        <v>101473506200</v>
      </c>
      <c r="B98" s="9" t="str">
        <f t="shared" si="1"/>
        <v>101473506200OVR</v>
      </c>
      <c r="C98" t="s">
        <v>1057</v>
      </c>
      <c r="D98" t="s">
        <v>203</v>
      </c>
      <c r="E98">
        <v>20411454</v>
      </c>
      <c r="F98" t="s">
        <v>1993</v>
      </c>
      <c r="G98" t="s">
        <v>956</v>
      </c>
      <c r="H98" s="1">
        <v>44562</v>
      </c>
      <c r="I98" s="2">
        <v>3</v>
      </c>
      <c r="K98" s="2">
        <v>6</v>
      </c>
      <c r="L98" t="s">
        <v>957</v>
      </c>
      <c r="M98" t="s">
        <v>1962</v>
      </c>
    </row>
    <row r="99" spans="1:13" x14ac:dyDescent="0.25">
      <c r="A99" s="9">
        <v>101473890900</v>
      </c>
      <c r="B99" s="9" t="str">
        <f t="shared" si="1"/>
        <v>101473890900OVR</v>
      </c>
      <c r="C99" t="s">
        <v>1058</v>
      </c>
      <c r="D99" t="s">
        <v>203</v>
      </c>
      <c r="E99">
        <v>20411454</v>
      </c>
      <c r="F99" t="s">
        <v>1993</v>
      </c>
      <c r="G99" t="s">
        <v>956</v>
      </c>
      <c r="H99" s="1">
        <v>44562</v>
      </c>
      <c r="I99" s="2">
        <v>1</v>
      </c>
      <c r="K99" s="2">
        <v>2</v>
      </c>
      <c r="L99" t="s">
        <v>957</v>
      </c>
      <c r="M99" t="s">
        <v>1962</v>
      </c>
    </row>
    <row r="100" spans="1:13" x14ac:dyDescent="0.25">
      <c r="A100" s="9">
        <v>101473907300</v>
      </c>
      <c r="B100" s="9" t="str">
        <f t="shared" si="1"/>
        <v>101473907300OVR</v>
      </c>
      <c r="C100" t="s">
        <v>1059</v>
      </c>
      <c r="D100" t="s">
        <v>203</v>
      </c>
      <c r="E100">
        <v>20411454</v>
      </c>
      <c r="F100" t="s">
        <v>1993</v>
      </c>
      <c r="G100" t="s">
        <v>956</v>
      </c>
      <c r="H100" s="1">
        <v>44562</v>
      </c>
      <c r="I100" s="2">
        <v>1</v>
      </c>
      <c r="K100" s="2">
        <v>2</v>
      </c>
      <c r="L100" t="s">
        <v>957</v>
      </c>
      <c r="M100" t="s">
        <v>1962</v>
      </c>
    </row>
    <row r="101" spans="1:13" x14ac:dyDescent="0.25">
      <c r="A101" s="9">
        <v>101474570000</v>
      </c>
      <c r="B101" s="9" t="str">
        <f t="shared" si="1"/>
        <v>101474570000OVR</v>
      </c>
      <c r="C101" t="s">
        <v>1060</v>
      </c>
      <c r="D101" t="s">
        <v>203</v>
      </c>
      <c r="E101">
        <v>20411454</v>
      </c>
      <c r="F101" t="s">
        <v>1993</v>
      </c>
      <c r="G101" t="s">
        <v>956</v>
      </c>
      <c r="H101" s="1">
        <v>44562</v>
      </c>
      <c r="I101" s="2">
        <v>1</v>
      </c>
      <c r="K101" s="2">
        <v>2</v>
      </c>
      <c r="L101" t="s">
        <v>957</v>
      </c>
      <c r="M101" t="s">
        <v>1962</v>
      </c>
    </row>
    <row r="102" spans="1:13" x14ac:dyDescent="0.25">
      <c r="A102" s="9">
        <v>101474765700</v>
      </c>
      <c r="B102" s="9" t="str">
        <f t="shared" si="1"/>
        <v>101474765700OVR</v>
      </c>
      <c r="C102" t="s">
        <v>1061</v>
      </c>
      <c r="D102" t="s">
        <v>203</v>
      </c>
      <c r="E102">
        <v>20411454</v>
      </c>
      <c r="F102" t="s">
        <v>1993</v>
      </c>
      <c r="G102" t="s">
        <v>956</v>
      </c>
      <c r="H102" s="1">
        <v>44562</v>
      </c>
      <c r="I102" s="2">
        <v>3</v>
      </c>
      <c r="K102" s="2">
        <v>6</v>
      </c>
      <c r="L102" t="s">
        <v>957</v>
      </c>
      <c r="M102" t="s">
        <v>1962</v>
      </c>
    </row>
    <row r="103" spans="1:13" x14ac:dyDescent="0.25">
      <c r="A103" s="9">
        <v>101475440500</v>
      </c>
      <c r="B103" s="9" t="str">
        <f t="shared" si="1"/>
        <v>101475440500OVR</v>
      </c>
      <c r="C103" t="s">
        <v>1062</v>
      </c>
      <c r="D103" t="s">
        <v>203</v>
      </c>
      <c r="E103">
        <v>20411454</v>
      </c>
      <c r="F103" t="s">
        <v>1993</v>
      </c>
      <c r="G103" t="s">
        <v>956</v>
      </c>
      <c r="H103" s="1">
        <v>44562</v>
      </c>
      <c r="I103" s="2">
        <v>1</v>
      </c>
      <c r="K103" s="2">
        <v>2</v>
      </c>
      <c r="L103" t="s">
        <v>957</v>
      </c>
      <c r="M103" t="s">
        <v>1962</v>
      </c>
    </row>
    <row r="104" spans="1:13" x14ac:dyDescent="0.25">
      <c r="A104" s="9">
        <v>101475587700</v>
      </c>
      <c r="B104" s="9" t="str">
        <f t="shared" si="1"/>
        <v>101475587700OVR</v>
      </c>
      <c r="C104" t="s">
        <v>1063</v>
      </c>
      <c r="D104" t="s">
        <v>203</v>
      </c>
      <c r="E104">
        <v>20411454</v>
      </c>
      <c r="F104" t="s">
        <v>1993</v>
      </c>
      <c r="G104" t="s">
        <v>956</v>
      </c>
      <c r="H104" s="1">
        <v>45658</v>
      </c>
      <c r="I104" s="2">
        <v>1</v>
      </c>
      <c r="K104" s="2">
        <v>2</v>
      </c>
      <c r="L104" t="s">
        <v>957</v>
      </c>
      <c r="M104" t="s">
        <v>1962</v>
      </c>
    </row>
    <row r="105" spans="1:13" x14ac:dyDescent="0.25">
      <c r="A105" s="9">
        <v>101475742300</v>
      </c>
      <c r="B105" s="9" t="str">
        <f t="shared" si="1"/>
        <v>101475742300OVR</v>
      </c>
      <c r="C105" t="s">
        <v>1064</v>
      </c>
      <c r="D105" t="s">
        <v>203</v>
      </c>
      <c r="E105">
        <v>20411454</v>
      </c>
      <c r="F105" t="s">
        <v>1993</v>
      </c>
      <c r="G105" t="s">
        <v>956</v>
      </c>
      <c r="H105" s="1">
        <v>44562</v>
      </c>
      <c r="I105" s="2">
        <v>1</v>
      </c>
      <c r="K105" s="2">
        <v>2</v>
      </c>
      <c r="L105" t="s">
        <v>957</v>
      </c>
      <c r="M105" t="s">
        <v>1962</v>
      </c>
    </row>
    <row r="106" spans="1:13" x14ac:dyDescent="0.25">
      <c r="A106" s="9">
        <v>101476005600</v>
      </c>
      <c r="B106" s="9" t="str">
        <f t="shared" si="1"/>
        <v>101476005600OVR</v>
      </c>
      <c r="C106" t="s">
        <v>1065</v>
      </c>
      <c r="D106" t="s">
        <v>203</v>
      </c>
      <c r="E106">
        <v>20411454</v>
      </c>
      <c r="F106" t="s">
        <v>1993</v>
      </c>
      <c r="G106" t="s">
        <v>956</v>
      </c>
      <c r="H106" s="1">
        <v>44501</v>
      </c>
      <c r="I106" s="2">
        <v>1</v>
      </c>
      <c r="K106" s="2">
        <v>2</v>
      </c>
      <c r="L106" t="s">
        <v>957</v>
      </c>
      <c r="M106" t="s">
        <v>1962</v>
      </c>
    </row>
    <row r="107" spans="1:13" x14ac:dyDescent="0.25">
      <c r="A107" s="9">
        <v>101476298900</v>
      </c>
      <c r="B107" s="9" t="str">
        <f t="shared" si="1"/>
        <v>101476298900OVR</v>
      </c>
      <c r="C107" t="s">
        <v>1066</v>
      </c>
      <c r="D107" t="s">
        <v>203</v>
      </c>
      <c r="E107">
        <v>20411454</v>
      </c>
      <c r="F107" t="s">
        <v>1993</v>
      </c>
      <c r="G107" t="s">
        <v>956</v>
      </c>
      <c r="H107" s="1">
        <v>44562</v>
      </c>
      <c r="I107" s="2">
        <v>1</v>
      </c>
      <c r="K107" s="2">
        <v>2</v>
      </c>
      <c r="L107" t="s">
        <v>957</v>
      </c>
      <c r="M107" t="s">
        <v>1962</v>
      </c>
    </row>
    <row r="108" spans="1:13" x14ac:dyDescent="0.25">
      <c r="A108" s="9">
        <v>101476390500</v>
      </c>
      <c r="B108" s="9" t="str">
        <f t="shared" si="1"/>
        <v>101476390500OVR</v>
      </c>
      <c r="C108" t="s">
        <v>1067</v>
      </c>
      <c r="D108" t="s">
        <v>203</v>
      </c>
      <c r="E108">
        <v>20411454</v>
      </c>
      <c r="F108" t="s">
        <v>1993</v>
      </c>
      <c r="G108" t="s">
        <v>956</v>
      </c>
      <c r="H108" s="1">
        <v>44562</v>
      </c>
      <c r="I108" s="2">
        <v>3</v>
      </c>
      <c r="K108" s="2">
        <v>6</v>
      </c>
      <c r="L108" t="s">
        <v>957</v>
      </c>
      <c r="M108" t="s">
        <v>1962</v>
      </c>
    </row>
    <row r="109" spans="1:13" x14ac:dyDescent="0.25">
      <c r="A109" s="9">
        <v>101477828300</v>
      </c>
      <c r="B109" s="9" t="str">
        <f t="shared" si="1"/>
        <v>101477828300OVR</v>
      </c>
      <c r="C109" t="s">
        <v>1068</v>
      </c>
      <c r="D109" t="s">
        <v>203</v>
      </c>
      <c r="E109">
        <v>20411454</v>
      </c>
      <c r="F109" t="s">
        <v>1993</v>
      </c>
      <c r="G109" t="s">
        <v>956</v>
      </c>
      <c r="H109" s="1">
        <v>44562</v>
      </c>
      <c r="I109" s="2">
        <v>1</v>
      </c>
      <c r="K109" s="2">
        <v>2</v>
      </c>
      <c r="L109" t="s">
        <v>957</v>
      </c>
      <c r="M109" t="s">
        <v>1962</v>
      </c>
    </row>
    <row r="110" spans="1:13" x14ac:dyDescent="0.25">
      <c r="A110" s="9">
        <v>101478649400</v>
      </c>
      <c r="B110" s="9" t="str">
        <f t="shared" si="1"/>
        <v>101478649400OVR</v>
      </c>
      <c r="C110" t="s">
        <v>1069</v>
      </c>
      <c r="D110" t="s">
        <v>203</v>
      </c>
      <c r="E110">
        <v>20411454</v>
      </c>
      <c r="F110" t="s">
        <v>1993</v>
      </c>
      <c r="G110" t="s">
        <v>956</v>
      </c>
      <c r="H110" s="1">
        <v>44562</v>
      </c>
      <c r="I110" s="2">
        <v>3</v>
      </c>
      <c r="K110" s="2">
        <v>6</v>
      </c>
      <c r="L110" t="s">
        <v>957</v>
      </c>
      <c r="M110" t="s">
        <v>1962</v>
      </c>
    </row>
    <row r="111" spans="1:13" x14ac:dyDescent="0.25">
      <c r="A111" s="9">
        <v>101481629800</v>
      </c>
      <c r="B111" s="9" t="str">
        <f t="shared" si="1"/>
        <v>101481629800OVR</v>
      </c>
      <c r="C111" t="s">
        <v>1070</v>
      </c>
      <c r="D111" t="s">
        <v>203</v>
      </c>
      <c r="E111">
        <v>20411454</v>
      </c>
      <c r="F111" t="s">
        <v>1993</v>
      </c>
      <c r="G111" t="s">
        <v>956</v>
      </c>
      <c r="H111" s="1">
        <v>44562</v>
      </c>
      <c r="I111" s="2">
        <v>1</v>
      </c>
      <c r="K111" s="2">
        <v>2</v>
      </c>
      <c r="L111" t="s">
        <v>957</v>
      </c>
      <c r="M111" t="s">
        <v>1962</v>
      </c>
    </row>
    <row r="112" spans="1:13" x14ac:dyDescent="0.25">
      <c r="A112" s="9">
        <v>101485016400</v>
      </c>
      <c r="B112" s="9" t="str">
        <f t="shared" si="1"/>
        <v>101485016400OVR</v>
      </c>
      <c r="C112" t="s">
        <v>1071</v>
      </c>
      <c r="D112" t="s">
        <v>203</v>
      </c>
      <c r="E112">
        <v>20411454</v>
      </c>
      <c r="F112" t="s">
        <v>1993</v>
      </c>
      <c r="G112" t="s">
        <v>956</v>
      </c>
      <c r="H112" s="1">
        <v>44562</v>
      </c>
      <c r="I112" s="2">
        <v>3</v>
      </c>
      <c r="K112" s="2">
        <v>6</v>
      </c>
      <c r="L112" t="s">
        <v>957</v>
      </c>
      <c r="M112" t="s">
        <v>1962</v>
      </c>
    </row>
    <row r="113" spans="1:13" x14ac:dyDescent="0.25">
      <c r="A113" s="9">
        <v>101485181900</v>
      </c>
      <c r="B113" s="9" t="str">
        <f t="shared" si="1"/>
        <v>101485181900OVR</v>
      </c>
      <c r="C113" t="s">
        <v>1072</v>
      </c>
      <c r="D113" t="s">
        <v>203</v>
      </c>
      <c r="E113">
        <v>20411454</v>
      </c>
      <c r="F113" t="s">
        <v>1993</v>
      </c>
      <c r="G113" t="s">
        <v>956</v>
      </c>
      <c r="H113" s="1">
        <v>44562</v>
      </c>
      <c r="I113" s="2">
        <v>1</v>
      </c>
      <c r="K113" s="2">
        <v>2</v>
      </c>
      <c r="L113" t="s">
        <v>957</v>
      </c>
      <c r="M113" t="s">
        <v>1962</v>
      </c>
    </row>
    <row r="114" spans="1:13" x14ac:dyDescent="0.25">
      <c r="A114" s="9">
        <v>101485351600</v>
      </c>
      <c r="B114" s="9" t="str">
        <f t="shared" si="1"/>
        <v>101485351600OVR</v>
      </c>
      <c r="C114" t="s">
        <v>1073</v>
      </c>
      <c r="D114" t="s">
        <v>203</v>
      </c>
      <c r="E114">
        <v>20411454</v>
      </c>
      <c r="F114" t="s">
        <v>1993</v>
      </c>
      <c r="G114" t="s">
        <v>956</v>
      </c>
      <c r="H114" s="1">
        <v>44562</v>
      </c>
      <c r="I114" s="2">
        <v>1</v>
      </c>
      <c r="K114" s="2">
        <v>2</v>
      </c>
      <c r="L114" t="s">
        <v>957</v>
      </c>
      <c r="M114" t="s">
        <v>1962</v>
      </c>
    </row>
    <row r="115" spans="1:13" x14ac:dyDescent="0.25">
      <c r="A115" s="9">
        <v>101486796300</v>
      </c>
      <c r="B115" s="9" t="str">
        <f t="shared" si="1"/>
        <v>101486796300OVR</v>
      </c>
      <c r="C115" t="s">
        <v>1074</v>
      </c>
      <c r="D115" t="s">
        <v>203</v>
      </c>
      <c r="E115">
        <v>20411454</v>
      </c>
      <c r="F115" t="s">
        <v>1993</v>
      </c>
      <c r="G115" t="s">
        <v>956</v>
      </c>
      <c r="H115" s="1">
        <v>44562</v>
      </c>
      <c r="I115" s="2">
        <v>1</v>
      </c>
      <c r="K115" s="2">
        <v>2</v>
      </c>
      <c r="L115" t="s">
        <v>957</v>
      </c>
      <c r="M115" t="s">
        <v>1962</v>
      </c>
    </row>
    <row r="116" spans="1:13" x14ac:dyDescent="0.25">
      <c r="A116" s="9">
        <v>101488727700</v>
      </c>
      <c r="B116" s="9" t="str">
        <f t="shared" si="1"/>
        <v>101488727700OVR</v>
      </c>
      <c r="C116" t="s">
        <v>1075</v>
      </c>
      <c r="D116" t="s">
        <v>203</v>
      </c>
      <c r="E116">
        <v>20411454</v>
      </c>
      <c r="F116" t="s">
        <v>1993</v>
      </c>
      <c r="G116" t="s">
        <v>956</v>
      </c>
      <c r="H116" s="1">
        <v>44562</v>
      </c>
      <c r="I116" s="2">
        <v>1</v>
      </c>
      <c r="K116" s="2">
        <v>2</v>
      </c>
      <c r="L116" t="s">
        <v>957</v>
      </c>
      <c r="M116" t="s">
        <v>1962</v>
      </c>
    </row>
    <row r="117" spans="1:13" x14ac:dyDescent="0.25">
      <c r="A117" s="9">
        <v>101491248600</v>
      </c>
      <c r="B117" s="9" t="str">
        <f t="shared" si="1"/>
        <v>101491248600OVR</v>
      </c>
      <c r="C117" t="s">
        <v>1076</v>
      </c>
      <c r="D117" t="s">
        <v>203</v>
      </c>
      <c r="E117">
        <v>20411454</v>
      </c>
      <c r="F117" t="s">
        <v>1993</v>
      </c>
      <c r="G117" t="s">
        <v>956</v>
      </c>
      <c r="H117" s="1">
        <v>44562</v>
      </c>
      <c r="I117" s="2">
        <v>3</v>
      </c>
      <c r="K117" s="2">
        <v>6</v>
      </c>
      <c r="L117" t="s">
        <v>957</v>
      </c>
      <c r="M117" t="s">
        <v>1962</v>
      </c>
    </row>
    <row r="118" spans="1:13" x14ac:dyDescent="0.25">
      <c r="A118" s="9">
        <v>101494501900</v>
      </c>
      <c r="B118" s="9" t="str">
        <f t="shared" si="1"/>
        <v>101494501900OVR</v>
      </c>
      <c r="C118" t="s">
        <v>1077</v>
      </c>
      <c r="D118" t="s">
        <v>203</v>
      </c>
      <c r="E118">
        <v>20411454</v>
      </c>
      <c r="F118" t="s">
        <v>1993</v>
      </c>
      <c r="G118" t="s">
        <v>956</v>
      </c>
      <c r="H118" s="1">
        <v>44562</v>
      </c>
      <c r="I118" s="2">
        <v>1</v>
      </c>
      <c r="K118" s="2">
        <v>2</v>
      </c>
      <c r="L118" t="s">
        <v>957</v>
      </c>
      <c r="M118" t="s">
        <v>1962</v>
      </c>
    </row>
    <row r="119" spans="1:13" x14ac:dyDescent="0.25">
      <c r="A119" s="9">
        <v>101495427300</v>
      </c>
      <c r="B119" s="9" t="str">
        <f t="shared" si="1"/>
        <v>101495427300OVR</v>
      </c>
      <c r="C119" t="s">
        <v>1078</v>
      </c>
      <c r="D119" t="s">
        <v>203</v>
      </c>
      <c r="E119">
        <v>20411454</v>
      </c>
      <c r="F119" t="s">
        <v>1993</v>
      </c>
      <c r="G119" t="s">
        <v>956</v>
      </c>
      <c r="H119" s="1">
        <v>44562</v>
      </c>
      <c r="I119" s="2">
        <v>1</v>
      </c>
      <c r="K119" s="2">
        <v>2</v>
      </c>
      <c r="L119" t="s">
        <v>957</v>
      </c>
      <c r="M119" t="s">
        <v>1962</v>
      </c>
    </row>
    <row r="120" spans="1:13" x14ac:dyDescent="0.25">
      <c r="A120" s="9">
        <v>101495460400</v>
      </c>
      <c r="B120" s="9" t="str">
        <f t="shared" si="1"/>
        <v>101495460400OVR</v>
      </c>
      <c r="C120" t="s">
        <v>1079</v>
      </c>
      <c r="D120" t="s">
        <v>203</v>
      </c>
      <c r="E120">
        <v>20411454</v>
      </c>
      <c r="F120" t="s">
        <v>1993</v>
      </c>
      <c r="G120" t="s">
        <v>956</v>
      </c>
      <c r="H120" s="1">
        <v>44562</v>
      </c>
      <c r="I120" s="2">
        <v>1</v>
      </c>
      <c r="K120" s="2">
        <v>2</v>
      </c>
      <c r="L120" t="s">
        <v>957</v>
      </c>
      <c r="M120" t="s">
        <v>1962</v>
      </c>
    </row>
    <row r="121" spans="1:13" x14ac:dyDescent="0.25">
      <c r="A121" s="9">
        <v>101500561700</v>
      </c>
      <c r="B121" s="9" t="str">
        <f t="shared" si="1"/>
        <v>101500561700OVR</v>
      </c>
      <c r="C121" t="s">
        <v>1080</v>
      </c>
      <c r="D121" t="s">
        <v>203</v>
      </c>
      <c r="E121">
        <v>20411454</v>
      </c>
      <c r="F121" t="s">
        <v>1993</v>
      </c>
      <c r="G121" t="s">
        <v>956</v>
      </c>
      <c r="H121" s="1">
        <v>44562</v>
      </c>
      <c r="I121" s="2">
        <v>1</v>
      </c>
      <c r="K121" s="2">
        <v>2</v>
      </c>
      <c r="L121" t="s">
        <v>957</v>
      </c>
      <c r="M121" t="s">
        <v>1962</v>
      </c>
    </row>
    <row r="122" spans="1:13" x14ac:dyDescent="0.25">
      <c r="A122" s="9">
        <v>101502394600</v>
      </c>
      <c r="B122" s="9" t="str">
        <f t="shared" si="1"/>
        <v>101502394600OVR</v>
      </c>
      <c r="C122" t="s">
        <v>1081</v>
      </c>
      <c r="D122" t="s">
        <v>203</v>
      </c>
      <c r="E122">
        <v>20411454</v>
      </c>
      <c r="F122" t="s">
        <v>1993</v>
      </c>
      <c r="G122" t="s">
        <v>956</v>
      </c>
      <c r="H122" s="1">
        <v>44562</v>
      </c>
      <c r="I122" s="2">
        <v>1</v>
      </c>
      <c r="K122" s="2">
        <v>2</v>
      </c>
      <c r="L122" t="s">
        <v>957</v>
      </c>
      <c r="M122" t="s">
        <v>1962</v>
      </c>
    </row>
    <row r="123" spans="1:13" x14ac:dyDescent="0.25">
      <c r="A123" s="9">
        <v>101502443300</v>
      </c>
      <c r="B123" s="9" t="str">
        <f t="shared" si="1"/>
        <v>101502443300OVR</v>
      </c>
      <c r="C123" t="s">
        <v>1082</v>
      </c>
      <c r="D123" t="s">
        <v>203</v>
      </c>
      <c r="E123">
        <v>20411454</v>
      </c>
      <c r="F123" t="s">
        <v>1993</v>
      </c>
      <c r="G123" t="s">
        <v>956</v>
      </c>
      <c r="H123" s="1">
        <v>44562</v>
      </c>
      <c r="I123" s="2">
        <v>3</v>
      </c>
      <c r="K123" s="2">
        <v>6</v>
      </c>
      <c r="L123" t="s">
        <v>957</v>
      </c>
      <c r="M123" t="s">
        <v>1962</v>
      </c>
    </row>
    <row r="124" spans="1:13" x14ac:dyDescent="0.25">
      <c r="A124" s="9">
        <v>101505160900</v>
      </c>
      <c r="B124" s="9" t="str">
        <f t="shared" si="1"/>
        <v>101505160900OVR</v>
      </c>
      <c r="C124" t="s">
        <v>1083</v>
      </c>
      <c r="D124" t="s">
        <v>203</v>
      </c>
      <c r="E124">
        <v>20411454</v>
      </c>
      <c r="F124" t="s">
        <v>1993</v>
      </c>
      <c r="G124" t="s">
        <v>956</v>
      </c>
      <c r="H124" s="1">
        <v>44562</v>
      </c>
      <c r="I124" s="2">
        <v>1</v>
      </c>
      <c r="K124" s="2">
        <v>2</v>
      </c>
      <c r="L124" t="s">
        <v>957</v>
      </c>
      <c r="M124" t="s">
        <v>1962</v>
      </c>
    </row>
    <row r="125" spans="1:13" x14ac:dyDescent="0.25">
      <c r="A125" s="9">
        <v>101506807700</v>
      </c>
      <c r="B125" s="9" t="str">
        <f t="shared" si="1"/>
        <v>101506807700OVR</v>
      </c>
      <c r="C125" t="s">
        <v>1084</v>
      </c>
      <c r="D125" t="s">
        <v>203</v>
      </c>
      <c r="E125">
        <v>20411454</v>
      </c>
      <c r="F125" t="s">
        <v>1993</v>
      </c>
      <c r="G125" t="s">
        <v>956</v>
      </c>
      <c r="H125" s="1">
        <v>44562</v>
      </c>
      <c r="I125" s="2">
        <v>1</v>
      </c>
      <c r="K125" s="2">
        <v>2</v>
      </c>
      <c r="L125" t="s">
        <v>957</v>
      </c>
      <c r="M125" t="s">
        <v>1962</v>
      </c>
    </row>
    <row r="126" spans="1:13" x14ac:dyDescent="0.25">
      <c r="A126" s="9">
        <v>101507907500</v>
      </c>
      <c r="B126" s="9" t="str">
        <f t="shared" si="1"/>
        <v>101507907500OVR</v>
      </c>
      <c r="C126" t="s">
        <v>1085</v>
      </c>
      <c r="D126" t="s">
        <v>203</v>
      </c>
      <c r="E126">
        <v>20411454</v>
      </c>
      <c r="F126" t="s">
        <v>1993</v>
      </c>
      <c r="G126" t="s">
        <v>956</v>
      </c>
      <c r="H126" s="1">
        <v>44562</v>
      </c>
      <c r="I126" s="2">
        <v>1</v>
      </c>
      <c r="K126" s="2">
        <v>2</v>
      </c>
      <c r="L126" t="s">
        <v>957</v>
      </c>
      <c r="M126" t="s">
        <v>1962</v>
      </c>
    </row>
    <row r="127" spans="1:13" x14ac:dyDescent="0.25">
      <c r="A127" s="9">
        <v>101508102100</v>
      </c>
      <c r="B127" s="9" t="str">
        <f t="shared" si="1"/>
        <v>101508102100OVR</v>
      </c>
      <c r="C127" t="s">
        <v>1086</v>
      </c>
      <c r="D127" t="s">
        <v>203</v>
      </c>
      <c r="E127">
        <v>20411454</v>
      </c>
      <c r="F127" t="s">
        <v>1993</v>
      </c>
      <c r="G127" t="s">
        <v>956</v>
      </c>
      <c r="H127" s="1">
        <v>44562</v>
      </c>
      <c r="I127" s="2">
        <v>1</v>
      </c>
      <c r="K127" s="2">
        <v>2</v>
      </c>
      <c r="L127" t="s">
        <v>957</v>
      </c>
      <c r="M127" t="s">
        <v>1962</v>
      </c>
    </row>
    <row r="128" spans="1:13" x14ac:dyDescent="0.25">
      <c r="A128" s="9">
        <v>101508874400</v>
      </c>
      <c r="B128" s="9" t="str">
        <f t="shared" si="1"/>
        <v>101508874400OVR</v>
      </c>
      <c r="C128" t="s">
        <v>1087</v>
      </c>
      <c r="D128" t="s">
        <v>203</v>
      </c>
      <c r="E128">
        <v>20411454</v>
      </c>
      <c r="F128" t="s">
        <v>1993</v>
      </c>
      <c r="G128" t="s">
        <v>956</v>
      </c>
      <c r="H128" s="1">
        <v>44562</v>
      </c>
      <c r="I128" s="2">
        <v>1</v>
      </c>
      <c r="K128" s="2">
        <v>2</v>
      </c>
      <c r="L128" t="s">
        <v>957</v>
      </c>
      <c r="M128" t="s">
        <v>1962</v>
      </c>
    </row>
    <row r="129" spans="1:13" x14ac:dyDescent="0.25">
      <c r="A129" s="9">
        <v>101515257200</v>
      </c>
      <c r="B129" s="9" t="str">
        <f t="shared" si="1"/>
        <v>101515257200OVR</v>
      </c>
      <c r="C129" t="s">
        <v>1088</v>
      </c>
      <c r="D129" t="s">
        <v>203</v>
      </c>
      <c r="E129">
        <v>20411454</v>
      </c>
      <c r="F129" t="s">
        <v>1993</v>
      </c>
      <c r="G129" t="s">
        <v>956</v>
      </c>
      <c r="H129" s="1">
        <v>44593</v>
      </c>
      <c r="I129" s="2">
        <v>1</v>
      </c>
      <c r="K129" s="2">
        <v>2</v>
      </c>
      <c r="L129" t="s">
        <v>957</v>
      </c>
      <c r="M129" t="s">
        <v>1962</v>
      </c>
    </row>
    <row r="130" spans="1:13" x14ac:dyDescent="0.25">
      <c r="A130" s="9">
        <v>101516771800</v>
      </c>
      <c r="B130" s="9" t="str">
        <f t="shared" si="1"/>
        <v>101516771800OVR</v>
      </c>
      <c r="C130" t="s">
        <v>1089</v>
      </c>
      <c r="D130" t="s">
        <v>203</v>
      </c>
      <c r="E130">
        <v>20411454</v>
      </c>
      <c r="F130" t="s">
        <v>1993</v>
      </c>
      <c r="G130" t="s">
        <v>956</v>
      </c>
      <c r="H130" s="1">
        <v>44562</v>
      </c>
      <c r="I130" s="2">
        <v>3</v>
      </c>
      <c r="K130" s="2">
        <v>6</v>
      </c>
      <c r="L130" t="s">
        <v>957</v>
      </c>
      <c r="M130" t="s">
        <v>1962</v>
      </c>
    </row>
    <row r="131" spans="1:13" x14ac:dyDescent="0.25">
      <c r="A131" s="9">
        <v>101516783700</v>
      </c>
      <c r="B131" s="9" t="str">
        <f t="shared" ref="B131:B194" si="2">CONCATENATE(A131,"OVR")</f>
        <v>101516783700OVR</v>
      </c>
      <c r="C131" t="s">
        <v>1090</v>
      </c>
      <c r="D131" t="s">
        <v>203</v>
      </c>
      <c r="E131">
        <v>20411454</v>
      </c>
      <c r="F131" t="s">
        <v>1993</v>
      </c>
      <c r="G131" t="s">
        <v>956</v>
      </c>
      <c r="H131" s="1">
        <v>44562</v>
      </c>
      <c r="I131" s="2">
        <v>3</v>
      </c>
      <c r="K131" s="2">
        <v>6</v>
      </c>
      <c r="L131" t="s">
        <v>957</v>
      </c>
      <c r="M131" t="s">
        <v>1962</v>
      </c>
    </row>
    <row r="132" spans="1:13" x14ac:dyDescent="0.25">
      <c r="A132" s="9">
        <v>101519777300</v>
      </c>
      <c r="B132" s="9" t="str">
        <f t="shared" si="2"/>
        <v>101519777300OVR</v>
      </c>
      <c r="C132" t="s">
        <v>1091</v>
      </c>
      <c r="D132" t="s">
        <v>203</v>
      </c>
      <c r="E132">
        <v>20411454</v>
      </c>
      <c r="F132" t="s">
        <v>1993</v>
      </c>
      <c r="G132" t="s">
        <v>956</v>
      </c>
      <c r="H132" s="1">
        <v>45017</v>
      </c>
      <c r="I132" s="2">
        <v>1</v>
      </c>
      <c r="K132" s="2">
        <v>2</v>
      </c>
      <c r="L132" t="s">
        <v>957</v>
      </c>
      <c r="M132" t="s">
        <v>1962</v>
      </c>
    </row>
    <row r="133" spans="1:13" x14ac:dyDescent="0.25">
      <c r="A133" s="9">
        <v>101520044500</v>
      </c>
      <c r="B133" s="9" t="str">
        <f t="shared" si="2"/>
        <v>101520044500OVR</v>
      </c>
      <c r="C133" t="s">
        <v>1092</v>
      </c>
      <c r="D133" t="s">
        <v>203</v>
      </c>
      <c r="E133">
        <v>20411454</v>
      </c>
      <c r="F133" t="s">
        <v>1993</v>
      </c>
      <c r="G133" t="s">
        <v>956</v>
      </c>
      <c r="H133" s="1">
        <v>44593</v>
      </c>
      <c r="I133" s="2">
        <v>1</v>
      </c>
      <c r="K133" s="2">
        <v>2</v>
      </c>
      <c r="L133" t="s">
        <v>957</v>
      </c>
      <c r="M133" t="s">
        <v>1962</v>
      </c>
    </row>
    <row r="134" spans="1:13" x14ac:dyDescent="0.25">
      <c r="A134" s="9">
        <v>101520916200</v>
      </c>
      <c r="B134" s="9" t="str">
        <f t="shared" si="2"/>
        <v>101520916200OVR</v>
      </c>
      <c r="C134" t="s">
        <v>1093</v>
      </c>
      <c r="D134" t="s">
        <v>203</v>
      </c>
      <c r="E134">
        <v>20411454</v>
      </c>
      <c r="F134" t="s">
        <v>1993</v>
      </c>
      <c r="G134" t="s">
        <v>956</v>
      </c>
      <c r="H134" s="1">
        <v>44593</v>
      </c>
      <c r="I134" s="2">
        <v>1</v>
      </c>
      <c r="K134" s="2">
        <v>2</v>
      </c>
      <c r="L134" t="s">
        <v>957</v>
      </c>
      <c r="M134" t="s">
        <v>1962</v>
      </c>
    </row>
    <row r="135" spans="1:13" x14ac:dyDescent="0.25">
      <c r="A135" s="9">
        <v>101525528100</v>
      </c>
      <c r="B135" s="9" t="str">
        <f t="shared" si="2"/>
        <v>101525528100OVR</v>
      </c>
      <c r="C135" t="s">
        <v>1094</v>
      </c>
      <c r="D135" t="s">
        <v>203</v>
      </c>
      <c r="E135">
        <v>20411454</v>
      </c>
      <c r="F135" t="s">
        <v>1993</v>
      </c>
      <c r="G135" t="s">
        <v>956</v>
      </c>
      <c r="H135" s="1">
        <v>44621</v>
      </c>
      <c r="I135" s="2">
        <v>3</v>
      </c>
      <c r="K135" s="2">
        <v>6</v>
      </c>
      <c r="L135" t="s">
        <v>957</v>
      </c>
      <c r="M135" t="s">
        <v>1962</v>
      </c>
    </row>
    <row r="136" spans="1:13" x14ac:dyDescent="0.25">
      <c r="A136" s="9">
        <v>101526780400</v>
      </c>
      <c r="B136" s="9" t="str">
        <f t="shared" si="2"/>
        <v>101526780400OVR</v>
      </c>
      <c r="C136" t="s">
        <v>1095</v>
      </c>
      <c r="D136" t="s">
        <v>203</v>
      </c>
      <c r="E136">
        <v>20411454</v>
      </c>
      <c r="F136" t="s">
        <v>1993</v>
      </c>
      <c r="G136" t="s">
        <v>956</v>
      </c>
      <c r="H136" s="1">
        <v>44682</v>
      </c>
      <c r="I136" s="2">
        <v>1</v>
      </c>
      <c r="K136" s="2">
        <v>2</v>
      </c>
      <c r="L136" t="s">
        <v>957</v>
      </c>
      <c r="M136" t="s">
        <v>1962</v>
      </c>
    </row>
    <row r="137" spans="1:13" x14ac:dyDescent="0.25">
      <c r="A137" s="9">
        <v>101529182400</v>
      </c>
      <c r="B137" s="9" t="str">
        <f t="shared" si="2"/>
        <v>101529182400OVR</v>
      </c>
      <c r="C137" t="s">
        <v>1096</v>
      </c>
      <c r="D137" t="s">
        <v>203</v>
      </c>
      <c r="E137">
        <v>20411454</v>
      </c>
      <c r="F137" t="s">
        <v>1993</v>
      </c>
      <c r="G137" t="s">
        <v>956</v>
      </c>
      <c r="H137" s="1">
        <v>44621</v>
      </c>
      <c r="I137" s="2">
        <v>3</v>
      </c>
      <c r="K137" s="2">
        <v>6</v>
      </c>
      <c r="L137" t="s">
        <v>957</v>
      </c>
      <c r="M137" t="s">
        <v>1962</v>
      </c>
    </row>
    <row r="138" spans="1:13" x14ac:dyDescent="0.25">
      <c r="A138" s="9">
        <v>101531379400</v>
      </c>
      <c r="B138" s="9" t="str">
        <f t="shared" si="2"/>
        <v>101531379400OVR</v>
      </c>
      <c r="C138" t="s">
        <v>1097</v>
      </c>
      <c r="D138" t="s">
        <v>203</v>
      </c>
      <c r="E138">
        <v>20411454</v>
      </c>
      <c r="F138" t="s">
        <v>1993</v>
      </c>
      <c r="G138" t="s">
        <v>956</v>
      </c>
      <c r="H138" s="1">
        <v>44682</v>
      </c>
      <c r="I138" s="2">
        <v>1</v>
      </c>
      <c r="K138" s="2">
        <v>2</v>
      </c>
      <c r="L138" t="s">
        <v>957</v>
      </c>
      <c r="M138" t="s">
        <v>1962</v>
      </c>
    </row>
    <row r="139" spans="1:13" x14ac:dyDescent="0.25">
      <c r="A139" s="9">
        <v>101533325800</v>
      </c>
      <c r="B139" s="9" t="str">
        <f t="shared" si="2"/>
        <v>101533325800OVR</v>
      </c>
      <c r="C139" t="s">
        <v>1098</v>
      </c>
      <c r="D139" t="s">
        <v>203</v>
      </c>
      <c r="E139">
        <v>20411454</v>
      </c>
      <c r="F139" t="s">
        <v>1993</v>
      </c>
      <c r="G139" t="s">
        <v>956</v>
      </c>
      <c r="H139" s="1">
        <v>44652</v>
      </c>
      <c r="I139" s="2">
        <v>1</v>
      </c>
      <c r="K139" s="2">
        <v>2</v>
      </c>
      <c r="L139" t="s">
        <v>957</v>
      </c>
      <c r="M139" t="s">
        <v>1962</v>
      </c>
    </row>
    <row r="140" spans="1:13" x14ac:dyDescent="0.25">
      <c r="A140" s="9">
        <v>101534378900</v>
      </c>
      <c r="B140" s="9" t="str">
        <f t="shared" si="2"/>
        <v>101534378900OVR</v>
      </c>
      <c r="C140" t="s">
        <v>1099</v>
      </c>
      <c r="D140" t="s">
        <v>203</v>
      </c>
      <c r="E140">
        <v>20411454</v>
      </c>
      <c r="F140" t="s">
        <v>1993</v>
      </c>
      <c r="G140" t="s">
        <v>956</v>
      </c>
      <c r="H140" s="1">
        <v>44652</v>
      </c>
      <c r="I140" s="2">
        <v>1</v>
      </c>
      <c r="K140" s="2">
        <v>2</v>
      </c>
      <c r="L140" t="s">
        <v>957</v>
      </c>
      <c r="M140" t="s">
        <v>1962</v>
      </c>
    </row>
    <row r="141" spans="1:13" x14ac:dyDescent="0.25">
      <c r="A141" s="9">
        <v>101535235200</v>
      </c>
      <c r="B141" s="9" t="str">
        <f t="shared" si="2"/>
        <v>101535235200OVR</v>
      </c>
      <c r="C141" t="s">
        <v>1100</v>
      </c>
      <c r="D141" t="s">
        <v>203</v>
      </c>
      <c r="E141">
        <v>20411454</v>
      </c>
      <c r="F141" t="s">
        <v>1993</v>
      </c>
      <c r="G141" t="s">
        <v>956</v>
      </c>
      <c r="H141" s="1">
        <v>44652</v>
      </c>
      <c r="I141" s="2">
        <v>3</v>
      </c>
      <c r="K141" s="2">
        <v>6</v>
      </c>
      <c r="L141" t="s">
        <v>957</v>
      </c>
      <c r="M141" t="s">
        <v>1962</v>
      </c>
    </row>
    <row r="142" spans="1:13" x14ac:dyDescent="0.25">
      <c r="A142" s="9">
        <v>101537242400</v>
      </c>
      <c r="B142" s="9" t="str">
        <f t="shared" si="2"/>
        <v>101537242400OVR</v>
      </c>
      <c r="C142" t="s">
        <v>1101</v>
      </c>
      <c r="D142" t="s">
        <v>203</v>
      </c>
      <c r="E142">
        <v>20411454</v>
      </c>
      <c r="F142" t="s">
        <v>1993</v>
      </c>
      <c r="G142" t="s">
        <v>956</v>
      </c>
      <c r="H142" s="1">
        <v>44743</v>
      </c>
      <c r="I142" s="2">
        <v>1</v>
      </c>
      <c r="K142" s="2">
        <v>2</v>
      </c>
      <c r="L142" t="s">
        <v>957</v>
      </c>
      <c r="M142" t="s">
        <v>1962</v>
      </c>
    </row>
    <row r="143" spans="1:13" x14ac:dyDescent="0.25">
      <c r="A143" s="9">
        <v>101545262100</v>
      </c>
      <c r="B143" s="9" t="str">
        <f t="shared" si="2"/>
        <v>101545262100OVR</v>
      </c>
      <c r="C143" t="s">
        <v>1103</v>
      </c>
      <c r="D143" t="s">
        <v>203</v>
      </c>
      <c r="E143">
        <v>20411454</v>
      </c>
      <c r="F143" t="s">
        <v>1993</v>
      </c>
      <c r="G143" t="s">
        <v>956</v>
      </c>
      <c r="H143" s="1">
        <v>44805</v>
      </c>
      <c r="I143" s="2">
        <v>3</v>
      </c>
      <c r="K143" s="2">
        <v>6</v>
      </c>
      <c r="L143" t="s">
        <v>957</v>
      </c>
      <c r="M143" t="s">
        <v>1962</v>
      </c>
    </row>
    <row r="144" spans="1:13" x14ac:dyDescent="0.25">
      <c r="A144" s="9">
        <v>101545532600</v>
      </c>
      <c r="B144" s="9" t="str">
        <f t="shared" si="2"/>
        <v>101545532600OVR</v>
      </c>
      <c r="C144" t="s">
        <v>1104</v>
      </c>
      <c r="D144" t="s">
        <v>203</v>
      </c>
      <c r="E144">
        <v>20411454</v>
      </c>
      <c r="F144" t="s">
        <v>1993</v>
      </c>
      <c r="G144" t="s">
        <v>956</v>
      </c>
      <c r="H144" s="1">
        <v>44743</v>
      </c>
      <c r="I144" s="2">
        <v>1</v>
      </c>
      <c r="K144" s="2">
        <v>2</v>
      </c>
      <c r="L144" t="s">
        <v>957</v>
      </c>
      <c r="M144" t="s">
        <v>1962</v>
      </c>
    </row>
    <row r="145" spans="1:13" x14ac:dyDescent="0.25">
      <c r="A145" s="9">
        <v>101546683100</v>
      </c>
      <c r="B145" s="9" t="str">
        <f t="shared" si="2"/>
        <v>101546683100OVR</v>
      </c>
      <c r="C145" t="s">
        <v>1105</v>
      </c>
      <c r="D145" t="s">
        <v>203</v>
      </c>
      <c r="E145">
        <v>20411454</v>
      </c>
      <c r="F145" t="s">
        <v>1993</v>
      </c>
      <c r="G145" t="s">
        <v>956</v>
      </c>
      <c r="H145" s="1">
        <v>44774</v>
      </c>
      <c r="I145" s="2">
        <v>1</v>
      </c>
      <c r="K145" s="2">
        <v>2</v>
      </c>
      <c r="L145" t="s">
        <v>957</v>
      </c>
      <c r="M145" t="s">
        <v>1962</v>
      </c>
    </row>
    <row r="146" spans="1:13" x14ac:dyDescent="0.25">
      <c r="A146" s="9">
        <v>101547081000</v>
      </c>
      <c r="B146" s="9" t="str">
        <f t="shared" si="2"/>
        <v>101547081000OVR</v>
      </c>
      <c r="C146" t="s">
        <v>1106</v>
      </c>
      <c r="D146" t="s">
        <v>203</v>
      </c>
      <c r="E146">
        <v>20411454</v>
      </c>
      <c r="F146" t="s">
        <v>1993</v>
      </c>
      <c r="G146" t="s">
        <v>956</v>
      </c>
      <c r="H146" s="1">
        <v>44805</v>
      </c>
      <c r="I146" s="2">
        <v>1</v>
      </c>
      <c r="K146" s="2">
        <v>2</v>
      </c>
      <c r="L146" t="s">
        <v>957</v>
      </c>
      <c r="M146" t="s">
        <v>1962</v>
      </c>
    </row>
    <row r="147" spans="1:13" x14ac:dyDescent="0.25">
      <c r="A147" s="9">
        <v>101548751600</v>
      </c>
      <c r="B147" s="9" t="str">
        <f t="shared" si="2"/>
        <v>101548751600OVR</v>
      </c>
      <c r="C147" t="s">
        <v>1107</v>
      </c>
      <c r="D147" t="s">
        <v>203</v>
      </c>
      <c r="E147">
        <v>20411454</v>
      </c>
      <c r="F147" t="s">
        <v>1993</v>
      </c>
      <c r="G147" t="s">
        <v>956</v>
      </c>
      <c r="H147" s="1">
        <v>44743</v>
      </c>
      <c r="I147" s="2">
        <v>1</v>
      </c>
      <c r="K147" s="2">
        <v>2</v>
      </c>
      <c r="L147" t="s">
        <v>957</v>
      </c>
      <c r="M147" t="s">
        <v>1962</v>
      </c>
    </row>
    <row r="148" spans="1:13" x14ac:dyDescent="0.25">
      <c r="A148" s="9">
        <v>101548955100</v>
      </c>
      <c r="B148" s="9" t="str">
        <f t="shared" si="2"/>
        <v>101548955100OVR</v>
      </c>
      <c r="C148" t="s">
        <v>1108</v>
      </c>
      <c r="D148" t="s">
        <v>203</v>
      </c>
      <c r="E148">
        <v>20411454</v>
      </c>
      <c r="F148" t="s">
        <v>1993</v>
      </c>
      <c r="G148" t="s">
        <v>956</v>
      </c>
      <c r="H148" s="1">
        <v>44805</v>
      </c>
      <c r="I148" s="2">
        <v>1</v>
      </c>
      <c r="K148" s="2">
        <v>2</v>
      </c>
      <c r="L148" t="s">
        <v>957</v>
      </c>
      <c r="M148" t="s">
        <v>1962</v>
      </c>
    </row>
    <row r="149" spans="1:13" x14ac:dyDescent="0.25">
      <c r="A149" s="9">
        <v>101549408600</v>
      </c>
      <c r="B149" s="9" t="str">
        <f t="shared" si="2"/>
        <v>101549408600OVR</v>
      </c>
      <c r="C149" t="s">
        <v>1109</v>
      </c>
      <c r="D149" t="s">
        <v>203</v>
      </c>
      <c r="E149">
        <v>20411454</v>
      </c>
      <c r="F149" t="s">
        <v>1993</v>
      </c>
      <c r="G149" t="s">
        <v>956</v>
      </c>
      <c r="H149" s="1">
        <v>44805</v>
      </c>
      <c r="I149" s="2">
        <v>1</v>
      </c>
      <c r="K149" s="2">
        <v>2</v>
      </c>
      <c r="L149" t="s">
        <v>957</v>
      </c>
      <c r="M149" t="s">
        <v>1962</v>
      </c>
    </row>
    <row r="150" spans="1:13" x14ac:dyDescent="0.25">
      <c r="A150" s="9">
        <v>101549506900</v>
      </c>
      <c r="B150" s="9" t="str">
        <f t="shared" si="2"/>
        <v>101549506900OVR</v>
      </c>
      <c r="C150" t="s">
        <v>1110</v>
      </c>
      <c r="D150" t="s">
        <v>203</v>
      </c>
      <c r="E150">
        <v>20411454</v>
      </c>
      <c r="F150" t="s">
        <v>1993</v>
      </c>
      <c r="G150" t="s">
        <v>956</v>
      </c>
      <c r="H150" s="1">
        <v>44805</v>
      </c>
      <c r="I150" s="2">
        <v>1</v>
      </c>
      <c r="K150" s="2">
        <v>2</v>
      </c>
      <c r="L150" t="s">
        <v>957</v>
      </c>
      <c r="M150" t="s">
        <v>1962</v>
      </c>
    </row>
    <row r="151" spans="1:13" x14ac:dyDescent="0.25">
      <c r="A151" s="9">
        <v>101550164600</v>
      </c>
      <c r="B151" s="9" t="str">
        <f t="shared" si="2"/>
        <v>101550164600OVR</v>
      </c>
      <c r="C151" t="s">
        <v>1111</v>
      </c>
      <c r="D151" t="s">
        <v>203</v>
      </c>
      <c r="E151">
        <v>20411454</v>
      </c>
      <c r="F151" t="s">
        <v>1993</v>
      </c>
      <c r="G151" t="s">
        <v>956</v>
      </c>
      <c r="H151" s="1">
        <v>44835</v>
      </c>
      <c r="I151" s="2">
        <v>1</v>
      </c>
      <c r="K151" s="2">
        <v>2</v>
      </c>
      <c r="L151" t="s">
        <v>957</v>
      </c>
      <c r="M151" t="s">
        <v>1962</v>
      </c>
    </row>
    <row r="152" spans="1:13" x14ac:dyDescent="0.25">
      <c r="A152" s="9">
        <v>101550521000</v>
      </c>
      <c r="B152" s="9" t="str">
        <f t="shared" si="2"/>
        <v>101550521000OVR</v>
      </c>
      <c r="C152" t="s">
        <v>1112</v>
      </c>
      <c r="D152" t="s">
        <v>203</v>
      </c>
      <c r="E152">
        <v>20411454</v>
      </c>
      <c r="F152" t="s">
        <v>1993</v>
      </c>
      <c r="G152" t="s">
        <v>956</v>
      </c>
      <c r="H152" s="1">
        <v>44774</v>
      </c>
      <c r="I152" s="2">
        <v>1</v>
      </c>
      <c r="K152" s="2">
        <v>2</v>
      </c>
      <c r="L152" t="s">
        <v>957</v>
      </c>
      <c r="M152" t="s">
        <v>1962</v>
      </c>
    </row>
    <row r="153" spans="1:13" x14ac:dyDescent="0.25">
      <c r="A153" s="9">
        <v>101550554800</v>
      </c>
      <c r="B153" s="9" t="str">
        <f t="shared" si="2"/>
        <v>101550554800OVR</v>
      </c>
      <c r="C153" t="s">
        <v>1113</v>
      </c>
      <c r="D153" t="s">
        <v>203</v>
      </c>
      <c r="E153">
        <v>20411454</v>
      </c>
      <c r="F153" t="s">
        <v>1993</v>
      </c>
      <c r="G153" t="s">
        <v>956</v>
      </c>
      <c r="H153" s="1">
        <v>44774</v>
      </c>
      <c r="I153" s="2">
        <v>1</v>
      </c>
      <c r="K153" s="2">
        <v>2</v>
      </c>
      <c r="L153" t="s">
        <v>957</v>
      </c>
      <c r="M153" t="s">
        <v>1962</v>
      </c>
    </row>
    <row r="154" spans="1:13" x14ac:dyDescent="0.25">
      <c r="A154" s="9">
        <v>101551336000</v>
      </c>
      <c r="B154" s="9" t="str">
        <f t="shared" si="2"/>
        <v>101551336000OVR</v>
      </c>
      <c r="C154" t="s">
        <v>1114</v>
      </c>
      <c r="D154" t="s">
        <v>203</v>
      </c>
      <c r="E154">
        <v>20411454</v>
      </c>
      <c r="F154" t="s">
        <v>1993</v>
      </c>
      <c r="G154" t="s">
        <v>956</v>
      </c>
      <c r="H154" s="1">
        <v>44835</v>
      </c>
      <c r="I154" s="2">
        <v>1</v>
      </c>
      <c r="K154" s="2">
        <v>2</v>
      </c>
      <c r="L154" t="s">
        <v>957</v>
      </c>
      <c r="M154" t="s">
        <v>1962</v>
      </c>
    </row>
    <row r="155" spans="1:13" x14ac:dyDescent="0.25">
      <c r="A155" s="9">
        <v>101554033600</v>
      </c>
      <c r="B155" s="9" t="str">
        <f t="shared" si="2"/>
        <v>101554033600OVR</v>
      </c>
      <c r="C155" t="s">
        <v>1115</v>
      </c>
      <c r="D155" t="s">
        <v>203</v>
      </c>
      <c r="E155">
        <v>20411454</v>
      </c>
      <c r="F155" t="s">
        <v>1993</v>
      </c>
      <c r="G155" t="s">
        <v>956</v>
      </c>
      <c r="H155" s="1">
        <v>44866</v>
      </c>
      <c r="I155" s="2">
        <v>1</v>
      </c>
      <c r="K155" s="2">
        <v>2</v>
      </c>
      <c r="L155" t="s">
        <v>957</v>
      </c>
      <c r="M155" t="s">
        <v>1962</v>
      </c>
    </row>
    <row r="156" spans="1:13" x14ac:dyDescent="0.25">
      <c r="A156" s="9">
        <v>101554327200</v>
      </c>
      <c r="B156" s="9" t="str">
        <f t="shared" si="2"/>
        <v>101554327200OVR</v>
      </c>
      <c r="C156" t="s">
        <v>1116</v>
      </c>
      <c r="D156" t="s">
        <v>203</v>
      </c>
      <c r="E156">
        <v>20411454</v>
      </c>
      <c r="F156" t="s">
        <v>1993</v>
      </c>
      <c r="G156" t="s">
        <v>956</v>
      </c>
      <c r="H156" s="1">
        <v>44866</v>
      </c>
      <c r="I156" s="2">
        <v>3</v>
      </c>
      <c r="K156" s="2">
        <v>6</v>
      </c>
      <c r="L156" t="s">
        <v>957</v>
      </c>
      <c r="M156" t="s">
        <v>1962</v>
      </c>
    </row>
    <row r="157" spans="1:13" x14ac:dyDescent="0.25">
      <c r="A157" s="9">
        <v>101554359200</v>
      </c>
      <c r="B157" s="9" t="str">
        <f t="shared" si="2"/>
        <v>101554359200OVR</v>
      </c>
      <c r="C157" t="s">
        <v>1117</v>
      </c>
      <c r="D157" t="s">
        <v>203</v>
      </c>
      <c r="E157">
        <v>20411454</v>
      </c>
      <c r="F157" t="s">
        <v>1993</v>
      </c>
      <c r="G157" t="s">
        <v>956</v>
      </c>
      <c r="H157" s="1">
        <v>45658</v>
      </c>
      <c r="I157" s="2">
        <v>3</v>
      </c>
      <c r="K157" s="2">
        <v>6</v>
      </c>
      <c r="L157" t="s">
        <v>957</v>
      </c>
      <c r="M157" t="s">
        <v>1962</v>
      </c>
    </row>
    <row r="158" spans="1:13" x14ac:dyDescent="0.25">
      <c r="A158" s="9">
        <v>101555784700</v>
      </c>
      <c r="B158" s="9" t="str">
        <f t="shared" si="2"/>
        <v>101555784700OVR</v>
      </c>
      <c r="C158" t="s">
        <v>1118</v>
      </c>
      <c r="D158" t="s">
        <v>203</v>
      </c>
      <c r="E158">
        <v>20411454</v>
      </c>
      <c r="F158" t="s">
        <v>1993</v>
      </c>
      <c r="G158" t="s">
        <v>956</v>
      </c>
      <c r="H158" s="1">
        <v>44866</v>
      </c>
      <c r="I158" s="2">
        <v>1</v>
      </c>
      <c r="K158" s="2">
        <v>2</v>
      </c>
      <c r="L158" t="s">
        <v>957</v>
      </c>
      <c r="M158" t="s">
        <v>1962</v>
      </c>
    </row>
    <row r="159" spans="1:13" x14ac:dyDescent="0.25">
      <c r="A159" s="9">
        <v>101558094400</v>
      </c>
      <c r="B159" s="9" t="str">
        <f t="shared" si="2"/>
        <v>101558094400OVR</v>
      </c>
      <c r="C159" t="s">
        <v>1119</v>
      </c>
      <c r="D159" t="s">
        <v>203</v>
      </c>
      <c r="E159">
        <v>20411454</v>
      </c>
      <c r="F159" t="s">
        <v>1993</v>
      </c>
      <c r="G159" t="s">
        <v>956</v>
      </c>
      <c r="H159" s="1">
        <v>44835</v>
      </c>
      <c r="I159" s="2">
        <v>1</v>
      </c>
      <c r="K159" s="2">
        <v>2</v>
      </c>
      <c r="L159" t="s">
        <v>957</v>
      </c>
      <c r="M159" t="s">
        <v>1962</v>
      </c>
    </row>
    <row r="160" spans="1:13" x14ac:dyDescent="0.25">
      <c r="A160" s="9">
        <v>101558299900</v>
      </c>
      <c r="B160" s="9" t="str">
        <f t="shared" si="2"/>
        <v>101558299900OVR</v>
      </c>
      <c r="C160" t="s">
        <v>1120</v>
      </c>
      <c r="D160" t="s">
        <v>203</v>
      </c>
      <c r="E160">
        <v>20411454</v>
      </c>
      <c r="F160" t="s">
        <v>1993</v>
      </c>
      <c r="G160" t="s">
        <v>956</v>
      </c>
      <c r="H160" s="1">
        <v>44835</v>
      </c>
      <c r="I160" s="2">
        <v>1</v>
      </c>
      <c r="K160" s="2">
        <v>2</v>
      </c>
      <c r="L160" t="s">
        <v>957</v>
      </c>
      <c r="M160" t="s">
        <v>1962</v>
      </c>
    </row>
    <row r="161" spans="1:13" x14ac:dyDescent="0.25">
      <c r="A161" s="9">
        <v>101559233900</v>
      </c>
      <c r="B161" s="9" t="str">
        <f t="shared" si="2"/>
        <v>101559233900OVR</v>
      </c>
      <c r="C161" t="s">
        <v>1121</v>
      </c>
      <c r="D161" t="s">
        <v>203</v>
      </c>
      <c r="E161">
        <v>20411454</v>
      </c>
      <c r="F161" t="s">
        <v>1993</v>
      </c>
      <c r="G161" t="s">
        <v>956</v>
      </c>
      <c r="H161" s="1">
        <v>44896</v>
      </c>
      <c r="I161" s="2">
        <v>1</v>
      </c>
      <c r="K161" s="2">
        <v>2</v>
      </c>
      <c r="L161" t="s">
        <v>957</v>
      </c>
      <c r="M161" t="s">
        <v>1962</v>
      </c>
    </row>
    <row r="162" spans="1:13" x14ac:dyDescent="0.25">
      <c r="A162" s="9">
        <v>101559848400</v>
      </c>
      <c r="B162" s="9" t="str">
        <f t="shared" si="2"/>
        <v>101559848400OVR</v>
      </c>
      <c r="C162" t="s">
        <v>1122</v>
      </c>
      <c r="D162" t="s">
        <v>203</v>
      </c>
      <c r="E162">
        <v>20411454</v>
      </c>
      <c r="F162" t="s">
        <v>1993</v>
      </c>
      <c r="G162" t="s">
        <v>956</v>
      </c>
      <c r="H162" s="1">
        <v>44835</v>
      </c>
      <c r="I162" s="2">
        <v>1</v>
      </c>
      <c r="K162" s="2">
        <v>2</v>
      </c>
      <c r="L162" t="s">
        <v>957</v>
      </c>
      <c r="M162" t="s">
        <v>1962</v>
      </c>
    </row>
    <row r="163" spans="1:13" x14ac:dyDescent="0.25">
      <c r="A163" s="9">
        <v>101559849800</v>
      </c>
      <c r="B163" s="9" t="str">
        <f t="shared" si="2"/>
        <v>101559849800OVR</v>
      </c>
      <c r="C163" t="s">
        <v>1123</v>
      </c>
      <c r="D163" t="s">
        <v>203</v>
      </c>
      <c r="E163">
        <v>20411454</v>
      </c>
      <c r="F163" t="s">
        <v>1993</v>
      </c>
      <c r="G163" t="s">
        <v>956</v>
      </c>
      <c r="H163" s="1">
        <v>44835</v>
      </c>
      <c r="I163" s="2">
        <v>1</v>
      </c>
      <c r="K163" s="2">
        <v>2</v>
      </c>
      <c r="L163" t="s">
        <v>957</v>
      </c>
      <c r="M163" t="s">
        <v>1962</v>
      </c>
    </row>
    <row r="164" spans="1:13" x14ac:dyDescent="0.25">
      <c r="A164" s="9">
        <v>101562440600</v>
      </c>
      <c r="B164" s="9" t="str">
        <f t="shared" si="2"/>
        <v>101562440600OVR</v>
      </c>
      <c r="C164" t="s">
        <v>1124</v>
      </c>
      <c r="D164" t="s">
        <v>203</v>
      </c>
      <c r="E164">
        <v>20411454</v>
      </c>
      <c r="F164" t="s">
        <v>1993</v>
      </c>
      <c r="G164" t="s">
        <v>956</v>
      </c>
      <c r="H164" s="1">
        <v>44927</v>
      </c>
      <c r="I164" s="2">
        <v>3</v>
      </c>
      <c r="K164" s="2">
        <v>6</v>
      </c>
      <c r="L164" t="s">
        <v>957</v>
      </c>
      <c r="M164" t="s">
        <v>1962</v>
      </c>
    </row>
    <row r="165" spans="1:13" x14ac:dyDescent="0.25">
      <c r="A165" s="9">
        <v>101562443500</v>
      </c>
      <c r="B165" s="9" t="str">
        <f t="shared" si="2"/>
        <v>101562443500OVR</v>
      </c>
      <c r="C165" t="s">
        <v>1125</v>
      </c>
      <c r="D165" t="s">
        <v>203</v>
      </c>
      <c r="E165">
        <v>20411454</v>
      </c>
      <c r="F165" t="s">
        <v>1993</v>
      </c>
      <c r="G165" t="s">
        <v>956</v>
      </c>
      <c r="H165" s="1">
        <v>45017</v>
      </c>
      <c r="I165" s="2">
        <v>1</v>
      </c>
      <c r="K165" s="2">
        <v>2</v>
      </c>
      <c r="L165" t="s">
        <v>957</v>
      </c>
      <c r="M165" t="s">
        <v>1962</v>
      </c>
    </row>
    <row r="166" spans="1:13" x14ac:dyDescent="0.25">
      <c r="A166" s="9">
        <v>101562671800</v>
      </c>
      <c r="B166" s="9" t="str">
        <f t="shared" si="2"/>
        <v>101562671800OVR</v>
      </c>
      <c r="C166" t="s">
        <v>1126</v>
      </c>
      <c r="D166" t="s">
        <v>203</v>
      </c>
      <c r="E166">
        <v>20411454</v>
      </c>
      <c r="F166" t="s">
        <v>1993</v>
      </c>
      <c r="G166" t="s">
        <v>956</v>
      </c>
      <c r="H166" s="1">
        <v>44927</v>
      </c>
      <c r="I166" s="2">
        <v>3</v>
      </c>
      <c r="K166" s="2">
        <v>6</v>
      </c>
      <c r="L166" t="s">
        <v>957</v>
      </c>
      <c r="M166" t="s">
        <v>1962</v>
      </c>
    </row>
    <row r="167" spans="1:13" x14ac:dyDescent="0.25">
      <c r="A167" s="9">
        <v>101564021500</v>
      </c>
      <c r="B167" s="9" t="str">
        <f t="shared" si="2"/>
        <v>101564021500OVR</v>
      </c>
      <c r="C167" t="s">
        <v>1127</v>
      </c>
      <c r="D167" t="s">
        <v>203</v>
      </c>
      <c r="E167">
        <v>20411454</v>
      </c>
      <c r="F167" t="s">
        <v>1993</v>
      </c>
      <c r="G167" t="s">
        <v>956</v>
      </c>
      <c r="H167" s="1">
        <v>44927</v>
      </c>
      <c r="I167" s="2">
        <v>1</v>
      </c>
      <c r="K167" s="2">
        <v>2</v>
      </c>
      <c r="L167" t="s">
        <v>957</v>
      </c>
      <c r="M167" t="s">
        <v>1962</v>
      </c>
    </row>
    <row r="168" spans="1:13" x14ac:dyDescent="0.25">
      <c r="A168" s="9">
        <v>101564541800</v>
      </c>
      <c r="B168" s="9" t="str">
        <f t="shared" si="2"/>
        <v>101564541800OVR</v>
      </c>
      <c r="C168" t="s">
        <v>1128</v>
      </c>
      <c r="D168" t="s">
        <v>203</v>
      </c>
      <c r="E168">
        <v>20411454</v>
      </c>
      <c r="F168" t="s">
        <v>1993</v>
      </c>
      <c r="G168" t="s">
        <v>956</v>
      </c>
      <c r="H168" s="1">
        <v>44927</v>
      </c>
      <c r="I168" s="2">
        <v>1</v>
      </c>
      <c r="K168" s="2">
        <v>2</v>
      </c>
      <c r="L168" t="s">
        <v>957</v>
      </c>
      <c r="M168" t="s">
        <v>1962</v>
      </c>
    </row>
    <row r="169" spans="1:13" x14ac:dyDescent="0.25">
      <c r="A169" s="9">
        <v>101564908700</v>
      </c>
      <c r="B169" s="9" t="str">
        <f t="shared" si="2"/>
        <v>101564908700OVR</v>
      </c>
      <c r="C169" t="s">
        <v>1129</v>
      </c>
      <c r="D169" t="s">
        <v>203</v>
      </c>
      <c r="E169">
        <v>20411454</v>
      </c>
      <c r="F169" t="s">
        <v>1993</v>
      </c>
      <c r="G169" t="s">
        <v>956</v>
      </c>
      <c r="H169" s="1">
        <v>44927</v>
      </c>
      <c r="I169" s="2">
        <v>3</v>
      </c>
      <c r="K169" s="2">
        <v>6</v>
      </c>
      <c r="L169" t="s">
        <v>957</v>
      </c>
      <c r="M169" t="s">
        <v>1962</v>
      </c>
    </row>
    <row r="170" spans="1:13" x14ac:dyDescent="0.25">
      <c r="A170" s="9">
        <v>101565188200</v>
      </c>
      <c r="B170" s="9" t="str">
        <f t="shared" si="2"/>
        <v>101565188200OVR</v>
      </c>
      <c r="C170" t="s">
        <v>1130</v>
      </c>
      <c r="D170" t="s">
        <v>203</v>
      </c>
      <c r="E170">
        <v>20411454</v>
      </c>
      <c r="F170" t="s">
        <v>1993</v>
      </c>
      <c r="G170" t="s">
        <v>956</v>
      </c>
      <c r="H170" s="1">
        <v>44927</v>
      </c>
      <c r="I170" s="2">
        <v>1</v>
      </c>
      <c r="K170" s="2">
        <v>2</v>
      </c>
      <c r="L170" t="s">
        <v>957</v>
      </c>
      <c r="M170" t="s">
        <v>1962</v>
      </c>
    </row>
    <row r="171" spans="1:13" x14ac:dyDescent="0.25">
      <c r="A171" s="9">
        <v>101565291100</v>
      </c>
      <c r="B171" s="9" t="str">
        <f t="shared" si="2"/>
        <v>101565291100OVR</v>
      </c>
      <c r="C171" t="s">
        <v>1131</v>
      </c>
      <c r="D171" t="s">
        <v>203</v>
      </c>
      <c r="E171">
        <v>20411454</v>
      </c>
      <c r="F171" t="s">
        <v>1993</v>
      </c>
      <c r="G171" t="s">
        <v>956</v>
      </c>
      <c r="H171" s="1">
        <v>44927</v>
      </c>
      <c r="I171" s="2">
        <v>3</v>
      </c>
      <c r="K171" s="2">
        <v>6</v>
      </c>
      <c r="L171" t="s">
        <v>957</v>
      </c>
      <c r="M171" t="s">
        <v>1962</v>
      </c>
    </row>
    <row r="172" spans="1:13" x14ac:dyDescent="0.25">
      <c r="A172" s="9">
        <v>101565317500</v>
      </c>
      <c r="B172" s="9" t="str">
        <f t="shared" si="2"/>
        <v>101565317500OVR</v>
      </c>
      <c r="C172" t="s">
        <v>1132</v>
      </c>
      <c r="D172" t="s">
        <v>203</v>
      </c>
      <c r="E172">
        <v>20411454</v>
      </c>
      <c r="F172" t="s">
        <v>1993</v>
      </c>
      <c r="G172" t="s">
        <v>956</v>
      </c>
      <c r="H172" s="1">
        <v>44927</v>
      </c>
      <c r="I172" s="2">
        <v>1</v>
      </c>
      <c r="K172" s="2">
        <v>2</v>
      </c>
      <c r="L172" t="s">
        <v>957</v>
      </c>
      <c r="M172" t="s">
        <v>1962</v>
      </c>
    </row>
    <row r="173" spans="1:13" x14ac:dyDescent="0.25">
      <c r="A173" s="9">
        <v>101565368600</v>
      </c>
      <c r="B173" s="9" t="str">
        <f t="shared" si="2"/>
        <v>101565368600OVR</v>
      </c>
      <c r="C173" t="s">
        <v>1133</v>
      </c>
      <c r="D173" t="s">
        <v>203</v>
      </c>
      <c r="E173">
        <v>20411454</v>
      </c>
      <c r="F173" t="s">
        <v>1993</v>
      </c>
      <c r="G173" t="s">
        <v>956</v>
      </c>
      <c r="H173" s="1">
        <v>44927</v>
      </c>
      <c r="I173" s="2">
        <v>1</v>
      </c>
      <c r="K173" s="2">
        <v>2</v>
      </c>
      <c r="L173" t="s">
        <v>957</v>
      </c>
      <c r="M173" t="s">
        <v>1962</v>
      </c>
    </row>
    <row r="174" spans="1:13" x14ac:dyDescent="0.25">
      <c r="A174" s="9">
        <v>101565683600</v>
      </c>
      <c r="B174" s="9" t="str">
        <f t="shared" si="2"/>
        <v>101565683600OVR</v>
      </c>
      <c r="C174" t="s">
        <v>1134</v>
      </c>
      <c r="D174" t="s">
        <v>203</v>
      </c>
      <c r="E174">
        <v>20411454</v>
      </c>
      <c r="F174" t="s">
        <v>1993</v>
      </c>
      <c r="G174" t="s">
        <v>956</v>
      </c>
      <c r="H174" s="1">
        <v>45658</v>
      </c>
      <c r="I174" s="2">
        <v>1</v>
      </c>
      <c r="K174" s="2">
        <v>2</v>
      </c>
      <c r="L174" t="s">
        <v>957</v>
      </c>
      <c r="M174" t="s">
        <v>1962</v>
      </c>
    </row>
    <row r="175" spans="1:13" x14ac:dyDescent="0.25">
      <c r="A175" s="9">
        <v>101566325300</v>
      </c>
      <c r="B175" s="9" t="str">
        <f t="shared" si="2"/>
        <v>101566325300OVR</v>
      </c>
      <c r="C175" t="s">
        <v>1135</v>
      </c>
      <c r="D175" t="s">
        <v>203</v>
      </c>
      <c r="E175">
        <v>20411454</v>
      </c>
      <c r="F175" t="s">
        <v>1993</v>
      </c>
      <c r="G175" t="s">
        <v>956</v>
      </c>
      <c r="H175" s="1">
        <v>44927</v>
      </c>
      <c r="I175" s="2">
        <v>3</v>
      </c>
      <c r="K175" s="2">
        <v>6</v>
      </c>
      <c r="L175" t="s">
        <v>957</v>
      </c>
      <c r="M175" t="s">
        <v>1962</v>
      </c>
    </row>
    <row r="176" spans="1:13" x14ac:dyDescent="0.25">
      <c r="A176" s="9">
        <v>101568867100</v>
      </c>
      <c r="B176" s="9" t="str">
        <f t="shared" si="2"/>
        <v>101568867100OVR</v>
      </c>
      <c r="C176" t="s">
        <v>1136</v>
      </c>
      <c r="D176" t="s">
        <v>203</v>
      </c>
      <c r="E176">
        <v>20411454</v>
      </c>
      <c r="F176" t="s">
        <v>1993</v>
      </c>
      <c r="G176" t="s">
        <v>956</v>
      </c>
      <c r="H176" s="1">
        <v>44927</v>
      </c>
      <c r="I176" s="2">
        <v>1</v>
      </c>
      <c r="K176" s="2">
        <v>2</v>
      </c>
      <c r="L176" t="s">
        <v>957</v>
      </c>
      <c r="M176" t="s">
        <v>1962</v>
      </c>
    </row>
    <row r="177" spans="1:13" x14ac:dyDescent="0.25">
      <c r="A177" s="9">
        <v>101581399800</v>
      </c>
      <c r="B177" s="9" t="str">
        <f t="shared" si="2"/>
        <v>101581399800OVR</v>
      </c>
      <c r="C177" t="s">
        <v>1137</v>
      </c>
      <c r="D177" t="s">
        <v>203</v>
      </c>
      <c r="E177">
        <v>20411454</v>
      </c>
      <c r="F177" t="s">
        <v>1993</v>
      </c>
      <c r="G177" t="s">
        <v>956</v>
      </c>
      <c r="H177" s="1">
        <v>44927</v>
      </c>
      <c r="I177" s="2">
        <v>1</v>
      </c>
      <c r="K177" s="2">
        <v>2</v>
      </c>
      <c r="L177" t="s">
        <v>957</v>
      </c>
      <c r="M177" t="s">
        <v>1962</v>
      </c>
    </row>
    <row r="178" spans="1:13" x14ac:dyDescent="0.25">
      <c r="A178" s="9">
        <v>101583947600</v>
      </c>
      <c r="B178" s="9" t="str">
        <f t="shared" si="2"/>
        <v>101583947600OVR</v>
      </c>
      <c r="C178" t="s">
        <v>1138</v>
      </c>
      <c r="D178" t="s">
        <v>203</v>
      </c>
      <c r="E178">
        <v>20411454</v>
      </c>
      <c r="F178" t="s">
        <v>1993</v>
      </c>
      <c r="G178" t="s">
        <v>956</v>
      </c>
      <c r="H178" s="1">
        <v>44958</v>
      </c>
      <c r="I178" s="2">
        <v>1</v>
      </c>
      <c r="K178" s="2">
        <v>2</v>
      </c>
      <c r="L178" t="s">
        <v>957</v>
      </c>
      <c r="M178" t="s">
        <v>1962</v>
      </c>
    </row>
    <row r="179" spans="1:13" x14ac:dyDescent="0.25">
      <c r="A179" s="9">
        <v>101585745000</v>
      </c>
      <c r="B179" s="9" t="str">
        <f t="shared" si="2"/>
        <v>101585745000OVR</v>
      </c>
      <c r="C179" t="s">
        <v>1139</v>
      </c>
      <c r="D179" t="s">
        <v>203</v>
      </c>
      <c r="E179">
        <v>20411454</v>
      </c>
      <c r="F179" t="s">
        <v>1993</v>
      </c>
      <c r="G179" t="s">
        <v>956</v>
      </c>
      <c r="H179" s="1">
        <v>44927</v>
      </c>
      <c r="I179" s="2">
        <v>3</v>
      </c>
      <c r="K179" s="2">
        <v>6</v>
      </c>
      <c r="L179" t="s">
        <v>957</v>
      </c>
      <c r="M179" t="s">
        <v>1962</v>
      </c>
    </row>
    <row r="180" spans="1:13" x14ac:dyDescent="0.25">
      <c r="A180" s="9">
        <v>101585746700</v>
      </c>
      <c r="B180" s="9" t="str">
        <f t="shared" si="2"/>
        <v>101585746700OVR</v>
      </c>
      <c r="C180" t="s">
        <v>1140</v>
      </c>
      <c r="D180" t="s">
        <v>203</v>
      </c>
      <c r="E180">
        <v>20411454</v>
      </c>
      <c r="F180" t="s">
        <v>1993</v>
      </c>
      <c r="G180" t="s">
        <v>956</v>
      </c>
      <c r="H180" s="1">
        <v>44927</v>
      </c>
      <c r="I180" s="2">
        <v>1</v>
      </c>
      <c r="K180" s="2">
        <v>2</v>
      </c>
      <c r="L180" t="s">
        <v>957</v>
      </c>
      <c r="M180" t="s">
        <v>1962</v>
      </c>
    </row>
    <row r="181" spans="1:13" x14ac:dyDescent="0.25">
      <c r="A181" s="9">
        <v>101585747400</v>
      </c>
      <c r="B181" s="9" t="str">
        <f t="shared" si="2"/>
        <v>101585747400OVR</v>
      </c>
      <c r="C181" t="s">
        <v>1141</v>
      </c>
      <c r="D181" t="s">
        <v>203</v>
      </c>
      <c r="E181">
        <v>20411454</v>
      </c>
      <c r="F181" t="s">
        <v>1993</v>
      </c>
      <c r="G181" t="s">
        <v>956</v>
      </c>
      <c r="H181" s="1">
        <v>44927</v>
      </c>
      <c r="I181" s="2">
        <v>3</v>
      </c>
      <c r="K181" s="2">
        <v>6</v>
      </c>
      <c r="L181" t="s">
        <v>957</v>
      </c>
      <c r="M181" t="s">
        <v>1962</v>
      </c>
    </row>
    <row r="182" spans="1:13" x14ac:dyDescent="0.25">
      <c r="A182" s="9">
        <v>101585766600</v>
      </c>
      <c r="B182" s="9" t="str">
        <f t="shared" si="2"/>
        <v>101585766600OVR</v>
      </c>
      <c r="C182" t="s">
        <v>1142</v>
      </c>
      <c r="D182" t="s">
        <v>203</v>
      </c>
      <c r="E182">
        <v>20411454</v>
      </c>
      <c r="F182" t="s">
        <v>1993</v>
      </c>
      <c r="G182" t="s">
        <v>956</v>
      </c>
      <c r="H182" s="1">
        <v>44927</v>
      </c>
      <c r="I182" s="2">
        <v>3</v>
      </c>
      <c r="K182" s="2">
        <v>6</v>
      </c>
      <c r="L182" t="s">
        <v>957</v>
      </c>
      <c r="M182" t="s">
        <v>1962</v>
      </c>
    </row>
    <row r="183" spans="1:13" x14ac:dyDescent="0.25">
      <c r="A183" s="9">
        <v>101600159500</v>
      </c>
      <c r="B183" s="9" t="str">
        <f t="shared" si="2"/>
        <v>101600159500OVR</v>
      </c>
      <c r="C183" t="s">
        <v>1143</v>
      </c>
      <c r="D183" t="s">
        <v>203</v>
      </c>
      <c r="E183">
        <v>20411454</v>
      </c>
      <c r="F183" t="s">
        <v>1993</v>
      </c>
      <c r="G183" t="s">
        <v>956</v>
      </c>
      <c r="H183" s="1">
        <v>44927</v>
      </c>
      <c r="I183" s="2">
        <v>3</v>
      </c>
      <c r="K183" s="2">
        <v>6</v>
      </c>
      <c r="L183" t="s">
        <v>957</v>
      </c>
      <c r="M183" t="s">
        <v>1962</v>
      </c>
    </row>
    <row r="184" spans="1:13" x14ac:dyDescent="0.25">
      <c r="A184" s="9">
        <v>101603418900</v>
      </c>
      <c r="B184" s="9" t="str">
        <f t="shared" si="2"/>
        <v>101603418900OVR</v>
      </c>
      <c r="C184" t="s">
        <v>1144</v>
      </c>
      <c r="D184" t="s">
        <v>203</v>
      </c>
      <c r="E184">
        <v>20411454</v>
      </c>
      <c r="F184" t="s">
        <v>1993</v>
      </c>
      <c r="G184" t="s">
        <v>956</v>
      </c>
      <c r="H184" s="1">
        <v>44927</v>
      </c>
      <c r="I184" s="2">
        <v>1</v>
      </c>
      <c r="K184" s="2">
        <v>2</v>
      </c>
      <c r="L184" t="s">
        <v>957</v>
      </c>
      <c r="M184" t="s">
        <v>1962</v>
      </c>
    </row>
    <row r="185" spans="1:13" x14ac:dyDescent="0.25">
      <c r="A185" s="9">
        <v>101616349500</v>
      </c>
      <c r="B185" s="9" t="str">
        <f t="shared" si="2"/>
        <v>101616349500OVR</v>
      </c>
      <c r="C185" t="s">
        <v>1145</v>
      </c>
      <c r="D185" t="s">
        <v>203</v>
      </c>
      <c r="E185">
        <v>20411454</v>
      </c>
      <c r="F185" t="s">
        <v>1993</v>
      </c>
      <c r="G185" t="s">
        <v>956</v>
      </c>
      <c r="H185" s="1">
        <v>44927</v>
      </c>
      <c r="I185" s="2">
        <v>3</v>
      </c>
      <c r="K185" s="2">
        <v>6</v>
      </c>
      <c r="L185" t="s">
        <v>957</v>
      </c>
      <c r="M185" t="s">
        <v>1962</v>
      </c>
    </row>
    <row r="186" spans="1:13" x14ac:dyDescent="0.25">
      <c r="A186" s="9">
        <v>101617531200</v>
      </c>
      <c r="B186" s="9" t="str">
        <f t="shared" si="2"/>
        <v>101617531200OVR</v>
      </c>
      <c r="C186" t="s">
        <v>1146</v>
      </c>
      <c r="D186" t="s">
        <v>203</v>
      </c>
      <c r="E186">
        <v>20411454</v>
      </c>
      <c r="F186" t="s">
        <v>1993</v>
      </c>
      <c r="G186" t="s">
        <v>956</v>
      </c>
      <c r="H186" s="1">
        <v>44927</v>
      </c>
      <c r="I186" s="2">
        <v>1</v>
      </c>
      <c r="K186" s="2">
        <v>2</v>
      </c>
      <c r="L186" t="s">
        <v>957</v>
      </c>
      <c r="M186" t="s">
        <v>1962</v>
      </c>
    </row>
    <row r="187" spans="1:13" x14ac:dyDescent="0.25">
      <c r="A187" s="9">
        <v>101617582800</v>
      </c>
      <c r="B187" s="9" t="str">
        <f t="shared" si="2"/>
        <v>101617582800OVR</v>
      </c>
      <c r="C187" t="s">
        <v>1147</v>
      </c>
      <c r="D187" t="s">
        <v>203</v>
      </c>
      <c r="E187">
        <v>20411454</v>
      </c>
      <c r="F187" t="s">
        <v>1993</v>
      </c>
      <c r="G187" t="s">
        <v>956</v>
      </c>
      <c r="H187" s="1">
        <v>44927</v>
      </c>
      <c r="I187" s="2">
        <v>3</v>
      </c>
      <c r="K187" s="2">
        <v>6</v>
      </c>
      <c r="L187" t="s">
        <v>957</v>
      </c>
      <c r="M187" t="s">
        <v>1962</v>
      </c>
    </row>
    <row r="188" spans="1:13" x14ac:dyDescent="0.25">
      <c r="A188" s="9">
        <v>101619192600</v>
      </c>
      <c r="B188" s="9" t="str">
        <f t="shared" si="2"/>
        <v>101619192600OVR</v>
      </c>
      <c r="C188" t="s">
        <v>1148</v>
      </c>
      <c r="D188" t="s">
        <v>203</v>
      </c>
      <c r="E188">
        <v>20411454</v>
      </c>
      <c r="F188" t="s">
        <v>1993</v>
      </c>
      <c r="G188" t="s">
        <v>956</v>
      </c>
      <c r="H188" s="1">
        <v>44927</v>
      </c>
      <c r="I188" s="2">
        <v>1</v>
      </c>
      <c r="K188" s="2">
        <v>2</v>
      </c>
      <c r="L188" t="s">
        <v>957</v>
      </c>
      <c r="M188" t="s">
        <v>1962</v>
      </c>
    </row>
    <row r="189" spans="1:13" x14ac:dyDescent="0.25">
      <c r="A189" s="9">
        <v>101625894300</v>
      </c>
      <c r="B189" s="9" t="str">
        <f t="shared" si="2"/>
        <v>101625894300OVR</v>
      </c>
      <c r="C189" t="s">
        <v>1149</v>
      </c>
      <c r="D189" t="s">
        <v>203</v>
      </c>
      <c r="E189">
        <v>20411454</v>
      </c>
      <c r="F189" t="s">
        <v>1993</v>
      </c>
      <c r="G189" t="s">
        <v>956</v>
      </c>
      <c r="H189" s="1">
        <v>44927</v>
      </c>
      <c r="I189" s="2">
        <v>1</v>
      </c>
      <c r="K189" s="2">
        <v>2</v>
      </c>
      <c r="L189" t="s">
        <v>957</v>
      </c>
      <c r="M189" t="s">
        <v>1962</v>
      </c>
    </row>
    <row r="190" spans="1:13" x14ac:dyDescent="0.25">
      <c r="A190" s="9">
        <v>101626027800</v>
      </c>
      <c r="B190" s="9" t="str">
        <f t="shared" si="2"/>
        <v>101626027800OVR</v>
      </c>
      <c r="C190" t="s">
        <v>1150</v>
      </c>
      <c r="D190" t="s">
        <v>203</v>
      </c>
      <c r="E190">
        <v>20411454</v>
      </c>
      <c r="F190" t="s">
        <v>1993</v>
      </c>
      <c r="G190" t="s">
        <v>956</v>
      </c>
      <c r="H190" s="1">
        <v>44986</v>
      </c>
      <c r="I190" s="2">
        <v>1</v>
      </c>
      <c r="K190" s="2">
        <v>2</v>
      </c>
      <c r="L190" t="s">
        <v>957</v>
      </c>
      <c r="M190" t="s">
        <v>1962</v>
      </c>
    </row>
    <row r="191" spans="1:13" x14ac:dyDescent="0.25">
      <c r="A191" s="9">
        <v>101626129100</v>
      </c>
      <c r="B191" s="9" t="str">
        <f t="shared" si="2"/>
        <v>101626129100OVR</v>
      </c>
      <c r="C191" t="s">
        <v>1151</v>
      </c>
      <c r="D191" t="s">
        <v>203</v>
      </c>
      <c r="E191">
        <v>20411454</v>
      </c>
      <c r="F191" t="s">
        <v>1993</v>
      </c>
      <c r="G191" t="s">
        <v>956</v>
      </c>
      <c r="H191" s="1">
        <v>44927</v>
      </c>
      <c r="I191" s="2">
        <v>1</v>
      </c>
      <c r="K191" s="2">
        <v>2</v>
      </c>
      <c r="L191" t="s">
        <v>957</v>
      </c>
      <c r="M191" t="s">
        <v>1962</v>
      </c>
    </row>
    <row r="192" spans="1:13" x14ac:dyDescent="0.25">
      <c r="A192" s="9">
        <v>101626199000</v>
      </c>
      <c r="B192" s="9" t="str">
        <f t="shared" si="2"/>
        <v>101626199000OVR</v>
      </c>
      <c r="C192" t="s">
        <v>1152</v>
      </c>
      <c r="D192" t="s">
        <v>203</v>
      </c>
      <c r="E192">
        <v>20411454</v>
      </c>
      <c r="F192" t="s">
        <v>1993</v>
      </c>
      <c r="G192" t="s">
        <v>956</v>
      </c>
      <c r="H192" s="1">
        <v>44927</v>
      </c>
      <c r="I192" s="2">
        <v>1</v>
      </c>
      <c r="K192" s="2">
        <v>2</v>
      </c>
      <c r="L192" t="s">
        <v>957</v>
      </c>
      <c r="M192" t="s">
        <v>1962</v>
      </c>
    </row>
    <row r="193" spans="1:13" x14ac:dyDescent="0.25">
      <c r="A193" s="9">
        <v>101626483300</v>
      </c>
      <c r="B193" s="9" t="str">
        <f t="shared" si="2"/>
        <v>101626483300OVR</v>
      </c>
      <c r="C193" t="s">
        <v>1153</v>
      </c>
      <c r="D193" t="s">
        <v>203</v>
      </c>
      <c r="E193">
        <v>20411454</v>
      </c>
      <c r="F193" t="s">
        <v>1993</v>
      </c>
      <c r="G193" t="s">
        <v>956</v>
      </c>
      <c r="H193" s="1">
        <v>44927</v>
      </c>
      <c r="I193" s="2">
        <v>1</v>
      </c>
      <c r="K193" s="2">
        <v>2</v>
      </c>
      <c r="L193" t="s">
        <v>957</v>
      </c>
      <c r="M193" t="s">
        <v>1962</v>
      </c>
    </row>
    <row r="194" spans="1:13" x14ac:dyDescent="0.25">
      <c r="A194" s="9">
        <v>101626512800</v>
      </c>
      <c r="B194" s="9" t="str">
        <f t="shared" si="2"/>
        <v>101626512800OVR</v>
      </c>
      <c r="C194" t="s">
        <v>1154</v>
      </c>
      <c r="D194" t="s">
        <v>203</v>
      </c>
      <c r="E194">
        <v>20411454</v>
      </c>
      <c r="F194" t="s">
        <v>1993</v>
      </c>
      <c r="G194" t="s">
        <v>956</v>
      </c>
      <c r="H194" s="1">
        <v>44927</v>
      </c>
      <c r="I194" s="2">
        <v>1</v>
      </c>
      <c r="K194" s="2">
        <v>2</v>
      </c>
      <c r="L194" t="s">
        <v>957</v>
      </c>
      <c r="M194" t="s">
        <v>1962</v>
      </c>
    </row>
    <row r="195" spans="1:13" x14ac:dyDescent="0.25">
      <c r="A195" s="9">
        <v>101628755300</v>
      </c>
      <c r="B195" s="9" t="str">
        <f t="shared" ref="B195:B258" si="3">CONCATENATE(A195,"OVR")</f>
        <v>101628755300OVR</v>
      </c>
      <c r="C195" t="s">
        <v>1155</v>
      </c>
      <c r="D195" t="s">
        <v>203</v>
      </c>
      <c r="E195">
        <v>20411454</v>
      </c>
      <c r="F195" t="s">
        <v>1993</v>
      </c>
      <c r="G195" t="s">
        <v>956</v>
      </c>
      <c r="H195" s="1">
        <v>44927</v>
      </c>
      <c r="I195" s="2">
        <v>1</v>
      </c>
      <c r="K195" s="2">
        <v>2</v>
      </c>
      <c r="L195" t="s">
        <v>957</v>
      </c>
      <c r="M195" t="s">
        <v>1962</v>
      </c>
    </row>
    <row r="196" spans="1:13" x14ac:dyDescent="0.25">
      <c r="A196" s="9">
        <v>101628951400</v>
      </c>
      <c r="B196" s="9" t="str">
        <f t="shared" si="3"/>
        <v>101628951400OVR</v>
      </c>
      <c r="C196" t="s">
        <v>1156</v>
      </c>
      <c r="D196" t="s">
        <v>203</v>
      </c>
      <c r="E196">
        <v>20411454</v>
      </c>
      <c r="F196" t="s">
        <v>1993</v>
      </c>
      <c r="G196" t="s">
        <v>956</v>
      </c>
      <c r="H196" s="1">
        <v>44927</v>
      </c>
      <c r="I196" s="2">
        <v>1</v>
      </c>
      <c r="K196" s="2">
        <v>2</v>
      </c>
      <c r="L196" t="s">
        <v>957</v>
      </c>
      <c r="M196" t="s">
        <v>1962</v>
      </c>
    </row>
    <row r="197" spans="1:13" x14ac:dyDescent="0.25">
      <c r="A197" s="9">
        <v>101645477500</v>
      </c>
      <c r="B197" s="9" t="str">
        <f t="shared" si="3"/>
        <v>101645477500OVR</v>
      </c>
      <c r="C197" t="s">
        <v>1157</v>
      </c>
      <c r="D197" t="s">
        <v>203</v>
      </c>
      <c r="E197">
        <v>20411454</v>
      </c>
      <c r="F197" t="s">
        <v>1993</v>
      </c>
      <c r="G197" t="s">
        <v>956</v>
      </c>
      <c r="H197" s="1">
        <v>44927</v>
      </c>
      <c r="I197" s="2">
        <v>1</v>
      </c>
      <c r="K197" s="2">
        <v>2</v>
      </c>
      <c r="L197" t="s">
        <v>957</v>
      </c>
      <c r="M197" t="s">
        <v>1962</v>
      </c>
    </row>
    <row r="198" spans="1:13" x14ac:dyDescent="0.25">
      <c r="A198" s="9">
        <v>101645612000</v>
      </c>
      <c r="B198" s="9" t="str">
        <f t="shared" si="3"/>
        <v>101645612000OVR</v>
      </c>
      <c r="C198" t="s">
        <v>1158</v>
      </c>
      <c r="D198" t="s">
        <v>203</v>
      </c>
      <c r="E198">
        <v>20411454</v>
      </c>
      <c r="F198" t="s">
        <v>1993</v>
      </c>
      <c r="G198" t="s">
        <v>956</v>
      </c>
      <c r="H198" s="1">
        <v>45658</v>
      </c>
      <c r="I198" s="2">
        <v>1</v>
      </c>
      <c r="K198" s="2">
        <v>2</v>
      </c>
      <c r="L198" t="s">
        <v>957</v>
      </c>
      <c r="M198" t="s">
        <v>1962</v>
      </c>
    </row>
    <row r="199" spans="1:13" x14ac:dyDescent="0.25">
      <c r="A199" s="9">
        <v>101654020400</v>
      </c>
      <c r="B199" s="9" t="str">
        <f t="shared" si="3"/>
        <v>101654020400OVR</v>
      </c>
      <c r="C199" t="s">
        <v>1159</v>
      </c>
      <c r="D199" t="s">
        <v>203</v>
      </c>
      <c r="E199">
        <v>20411454</v>
      </c>
      <c r="F199" t="s">
        <v>1993</v>
      </c>
      <c r="G199" t="s">
        <v>956</v>
      </c>
      <c r="H199" s="1">
        <v>44927</v>
      </c>
      <c r="I199" s="2">
        <v>3</v>
      </c>
      <c r="K199" s="2">
        <v>6</v>
      </c>
      <c r="L199" t="s">
        <v>957</v>
      </c>
      <c r="M199" t="s">
        <v>1962</v>
      </c>
    </row>
    <row r="200" spans="1:13" x14ac:dyDescent="0.25">
      <c r="A200" s="9">
        <v>101685445600</v>
      </c>
      <c r="B200" s="9" t="str">
        <f t="shared" si="3"/>
        <v>101685445600OVR</v>
      </c>
      <c r="C200" t="s">
        <v>1160</v>
      </c>
      <c r="D200" t="s">
        <v>203</v>
      </c>
      <c r="E200">
        <v>20411454</v>
      </c>
      <c r="F200" t="s">
        <v>1993</v>
      </c>
      <c r="G200" t="s">
        <v>956</v>
      </c>
      <c r="H200" s="1">
        <v>44958</v>
      </c>
      <c r="I200" s="2">
        <v>1</v>
      </c>
      <c r="K200" s="2">
        <v>2</v>
      </c>
      <c r="L200" t="s">
        <v>957</v>
      </c>
      <c r="M200" t="s">
        <v>1962</v>
      </c>
    </row>
    <row r="201" spans="1:13" x14ac:dyDescent="0.25">
      <c r="A201" s="9">
        <v>101685446200</v>
      </c>
      <c r="B201" s="9" t="str">
        <f t="shared" si="3"/>
        <v>101685446200OVR</v>
      </c>
      <c r="C201" t="s">
        <v>1161</v>
      </c>
      <c r="D201" t="s">
        <v>203</v>
      </c>
      <c r="E201">
        <v>20411454</v>
      </c>
      <c r="F201" t="s">
        <v>1993</v>
      </c>
      <c r="G201" t="s">
        <v>956</v>
      </c>
      <c r="H201" s="1">
        <v>44986</v>
      </c>
      <c r="I201" s="2">
        <v>1</v>
      </c>
      <c r="K201" s="2">
        <v>2</v>
      </c>
      <c r="L201" t="s">
        <v>957</v>
      </c>
      <c r="M201" t="s">
        <v>1962</v>
      </c>
    </row>
    <row r="202" spans="1:13" x14ac:dyDescent="0.25">
      <c r="A202" s="9">
        <v>101685455300</v>
      </c>
      <c r="B202" s="9" t="str">
        <f t="shared" si="3"/>
        <v>101685455300OVR</v>
      </c>
      <c r="C202" t="s">
        <v>1162</v>
      </c>
      <c r="D202" t="s">
        <v>203</v>
      </c>
      <c r="E202">
        <v>20411454</v>
      </c>
      <c r="F202" t="s">
        <v>1993</v>
      </c>
      <c r="G202" t="s">
        <v>956</v>
      </c>
      <c r="H202" s="1">
        <v>44958</v>
      </c>
      <c r="I202" s="2">
        <v>3</v>
      </c>
      <c r="K202" s="2">
        <v>6</v>
      </c>
      <c r="L202" t="s">
        <v>957</v>
      </c>
      <c r="M202" t="s">
        <v>1962</v>
      </c>
    </row>
    <row r="203" spans="1:13" x14ac:dyDescent="0.25">
      <c r="A203" s="9">
        <v>101686775500</v>
      </c>
      <c r="B203" s="9" t="str">
        <f t="shared" si="3"/>
        <v>101686775500OVR</v>
      </c>
      <c r="C203" t="s">
        <v>1163</v>
      </c>
      <c r="D203" t="s">
        <v>203</v>
      </c>
      <c r="E203">
        <v>20411454</v>
      </c>
      <c r="F203" t="s">
        <v>1993</v>
      </c>
      <c r="G203" t="s">
        <v>956</v>
      </c>
      <c r="H203" s="1">
        <v>44958</v>
      </c>
      <c r="I203" s="2">
        <v>1</v>
      </c>
      <c r="K203" s="2">
        <v>2</v>
      </c>
      <c r="L203" t="s">
        <v>957</v>
      </c>
      <c r="M203" t="s">
        <v>1962</v>
      </c>
    </row>
    <row r="204" spans="1:13" x14ac:dyDescent="0.25">
      <c r="A204" s="9">
        <v>101689246200</v>
      </c>
      <c r="B204" s="9" t="str">
        <f t="shared" si="3"/>
        <v>101689246200OVR</v>
      </c>
      <c r="C204" t="s">
        <v>1164</v>
      </c>
      <c r="D204" t="s">
        <v>203</v>
      </c>
      <c r="E204">
        <v>20411454</v>
      </c>
      <c r="F204" t="s">
        <v>1993</v>
      </c>
      <c r="G204" t="s">
        <v>956</v>
      </c>
      <c r="H204" s="1">
        <v>44958</v>
      </c>
      <c r="I204" s="2">
        <v>1</v>
      </c>
      <c r="K204" s="2">
        <v>2</v>
      </c>
      <c r="L204" t="s">
        <v>957</v>
      </c>
      <c r="M204" t="s">
        <v>1962</v>
      </c>
    </row>
    <row r="205" spans="1:13" x14ac:dyDescent="0.25">
      <c r="A205" s="9">
        <v>101689670100</v>
      </c>
      <c r="B205" s="9" t="str">
        <f t="shared" si="3"/>
        <v>101689670100OVR</v>
      </c>
      <c r="C205" t="s">
        <v>1165</v>
      </c>
      <c r="D205" t="s">
        <v>203</v>
      </c>
      <c r="E205">
        <v>20411454</v>
      </c>
      <c r="F205" t="s">
        <v>1993</v>
      </c>
      <c r="G205" t="s">
        <v>956</v>
      </c>
      <c r="H205" s="1">
        <v>44958</v>
      </c>
      <c r="I205" s="2">
        <v>1</v>
      </c>
      <c r="K205" s="2">
        <v>2</v>
      </c>
      <c r="L205" t="s">
        <v>957</v>
      </c>
      <c r="M205" t="s">
        <v>1962</v>
      </c>
    </row>
    <row r="206" spans="1:13" x14ac:dyDescent="0.25">
      <c r="A206" s="9">
        <v>101692296700</v>
      </c>
      <c r="B206" s="9" t="str">
        <f t="shared" si="3"/>
        <v>101692296700OVR</v>
      </c>
      <c r="C206" t="s">
        <v>1166</v>
      </c>
      <c r="D206" t="s">
        <v>203</v>
      </c>
      <c r="E206">
        <v>20411454</v>
      </c>
      <c r="F206" t="s">
        <v>1993</v>
      </c>
      <c r="G206" t="s">
        <v>956</v>
      </c>
      <c r="H206" s="1">
        <v>44958</v>
      </c>
      <c r="I206" s="2">
        <v>3</v>
      </c>
      <c r="K206" s="2">
        <v>6</v>
      </c>
      <c r="L206" t="s">
        <v>957</v>
      </c>
      <c r="M206" t="s">
        <v>1962</v>
      </c>
    </row>
    <row r="207" spans="1:13" x14ac:dyDescent="0.25">
      <c r="A207" s="9">
        <v>101693064700</v>
      </c>
      <c r="B207" s="9" t="str">
        <f t="shared" si="3"/>
        <v>101693064700OVR</v>
      </c>
      <c r="C207" t="s">
        <v>1167</v>
      </c>
      <c r="D207" t="s">
        <v>203</v>
      </c>
      <c r="E207">
        <v>20411454</v>
      </c>
      <c r="F207" t="s">
        <v>1993</v>
      </c>
      <c r="G207" t="s">
        <v>956</v>
      </c>
      <c r="H207" s="1">
        <v>44986</v>
      </c>
      <c r="I207" s="2">
        <v>1</v>
      </c>
      <c r="K207" s="2">
        <v>2</v>
      </c>
      <c r="L207" t="s">
        <v>957</v>
      </c>
      <c r="M207" t="s">
        <v>1962</v>
      </c>
    </row>
    <row r="208" spans="1:13" x14ac:dyDescent="0.25">
      <c r="A208" s="9">
        <v>101694605000</v>
      </c>
      <c r="B208" s="9" t="str">
        <f t="shared" si="3"/>
        <v>101694605000OVR</v>
      </c>
      <c r="C208" t="s">
        <v>1168</v>
      </c>
      <c r="D208" t="s">
        <v>203</v>
      </c>
      <c r="E208">
        <v>20411454</v>
      </c>
      <c r="F208" t="s">
        <v>1993</v>
      </c>
      <c r="G208" t="s">
        <v>956</v>
      </c>
      <c r="H208" s="1">
        <v>45047</v>
      </c>
      <c r="I208" s="2">
        <v>1</v>
      </c>
      <c r="K208" s="2">
        <v>2</v>
      </c>
      <c r="L208" t="s">
        <v>957</v>
      </c>
      <c r="M208" t="s">
        <v>1962</v>
      </c>
    </row>
    <row r="209" spans="1:13" x14ac:dyDescent="0.25">
      <c r="A209" s="9">
        <v>101696813600</v>
      </c>
      <c r="B209" s="9" t="str">
        <f t="shared" si="3"/>
        <v>101696813600OVR</v>
      </c>
      <c r="C209" t="s">
        <v>1169</v>
      </c>
      <c r="D209" t="s">
        <v>203</v>
      </c>
      <c r="E209">
        <v>20411454</v>
      </c>
      <c r="F209" t="s">
        <v>1993</v>
      </c>
      <c r="G209" t="s">
        <v>956</v>
      </c>
      <c r="H209" s="1">
        <v>44986</v>
      </c>
      <c r="I209" s="2">
        <v>1</v>
      </c>
      <c r="K209" s="2">
        <v>2</v>
      </c>
      <c r="L209" t="s">
        <v>957</v>
      </c>
      <c r="M209" t="s">
        <v>1962</v>
      </c>
    </row>
    <row r="210" spans="1:13" x14ac:dyDescent="0.25">
      <c r="A210" s="9">
        <v>101696815200</v>
      </c>
      <c r="B210" s="9" t="str">
        <f t="shared" si="3"/>
        <v>101696815200OVR</v>
      </c>
      <c r="C210" t="s">
        <v>1170</v>
      </c>
      <c r="D210" t="s">
        <v>203</v>
      </c>
      <c r="E210">
        <v>20411454</v>
      </c>
      <c r="F210" t="s">
        <v>1993</v>
      </c>
      <c r="G210" t="s">
        <v>956</v>
      </c>
      <c r="H210" s="1">
        <v>45658</v>
      </c>
      <c r="I210" s="2">
        <v>1</v>
      </c>
      <c r="K210" s="2">
        <v>2</v>
      </c>
      <c r="L210" t="s">
        <v>957</v>
      </c>
      <c r="M210" t="s">
        <v>1962</v>
      </c>
    </row>
    <row r="211" spans="1:13" x14ac:dyDescent="0.25">
      <c r="A211" s="9">
        <v>101697166100</v>
      </c>
      <c r="B211" s="9" t="str">
        <f t="shared" si="3"/>
        <v>101697166100OVR</v>
      </c>
      <c r="C211" t="s">
        <v>1171</v>
      </c>
      <c r="D211" t="s">
        <v>203</v>
      </c>
      <c r="E211">
        <v>20411454</v>
      </c>
      <c r="F211" t="s">
        <v>1993</v>
      </c>
      <c r="G211" t="s">
        <v>956</v>
      </c>
      <c r="H211" s="1">
        <v>44986</v>
      </c>
      <c r="I211" s="2">
        <v>1</v>
      </c>
      <c r="K211" s="2">
        <v>2</v>
      </c>
      <c r="L211" t="s">
        <v>957</v>
      </c>
      <c r="M211" t="s">
        <v>1962</v>
      </c>
    </row>
    <row r="212" spans="1:13" x14ac:dyDescent="0.25">
      <c r="A212" s="9">
        <v>101698190600</v>
      </c>
      <c r="B212" s="9" t="str">
        <f t="shared" si="3"/>
        <v>101698190600OVR</v>
      </c>
      <c r="C212" t="s">
        <v>1172</v>
      </c>
      <c r="D212" t="s">
        <v>203</v>
      </c>
      <c r="E212">
        <v>20411454</v>
      </c>
      <c r="F212" t="s">
        <v>1993</v>
      </c>
      <c r="G212" t="s">
        <v>956</v>
      </c>
      <c r="H212" s="1">
        <v>44986</v>
      </c>
      <c r="I212" s="2">
        <v>1</v>
      </c>
      <c r="K212" s="2">
        <v>2</v>
      </c>
      <c r="L212" t="s">
        <v>957</v>
      </c>
      <c r="M212" t="s">
        <v>1962</v>
      </c>
    </row>
    <row r="213" spans="1:13" x14ac:dyDescent="0.25">
      <c r="A213" s="9">
        <v>101699610400</v>
      </c>
      <c r="B213" s="9" t="str">
        <f t="shared" si="3"/>
        <v>101699610400OVR</v>
      </c>
      <c r="C213" t="s">
        <v>1173</v>
      </c>
      <c r="D213" t="s">
        <v>203</v>
      </c>
      <c r="E213">
        <v>20411454</v>
      </c>
      <c r="F213" t="s">
        <v>1993</v>
      </c>
      <c r="G213" t="s">
        <v>956</v>
      </c>
      <c r="H213" s="1">
        <v>44986</v>
      </c>
      <c r="I213" s="2">
        <v>3</v>
      </c>
      <c r="K213" s="2">
        <v>6</v>
      </c>
      <c r="L213" t="s">
        <v>957</v>
      </c>
      <c r="M213" t="s">
        <v>1962</v>
      </c>
    </row>
    <row r="214" spans="1:13" x14ac:dyDescent="0.25">
      <c r="A214" s="9">
        <v>101702068200</v>
      </c>
      <c r="B214" s="9" t="str">
        <f t="shared" si="3"/>
        <v>101702068200OVR</v>
      </c>
      <c r="C214" t="s">
        <v>1174</v>
      </c>
      <c r="D214" t="s">
        <v>203</v>
      </c>
      <c r="E214">
        <v>20411454</v>
      </c>
      <c r="F214" t="s">
        <v>1993</v>
      </c>
      <c r="G214" t="s">
        <v>956</v>
      </c>
      <c r="H214" s="1">
        <v>44986</v>
      </c>
      <c r="I214" s="2">
        <v>3</v>
      </c>
      <c r="K214" s="2">
        <v>6</v>
      </c>
      <c r="L214" t="s">
        <v>957</v>
      </c>
      <c r="M214" t="s">
        <v>1962</v>
      </c>
    </row>
    <row r="215" spans="1:13" x14ac:dyDescent="0.25">
      <c r="A215" s="9">
        <v>101705440500</v>
      </c>
      <c r="B215" s="9" t="str">
        <f t="shared" si="3"/>
        <v>101705440500OVR</v>
      </c>
      <c r="C215" t="s">
        <v>1175</v>
      </c>
      <c r="D215" t="s">
        <v>203</v>
      </c>
      <c r="E215">
        <v>20411454</v>
      </c>
      <c r="F215" t="s">
        <v>1993</v>
      </c>
      <c r="G215" t="s">
        <v>956</v>
      </c>
      <c r="H215" s="1">
        <v>45017</v>
      </c>
      <c r="I215" s="2">
        <v>1</v>
      </c>
      <c r="K215" s="2">
        <v>2</v>
      </c>
      <c r="L215" t="s">
        <v>957</v>
      </c>
      <c r="M215" t="s">
        <v>1962</v>
      </c>
    </row>
    <row r="216" spans="1:13" x14ac:dyDescent="0.25">
      <c r="A216" s="9">
        <v>101707075800</v>
      </c>
      <c r="B216" s="9" t="str">
        <f t="shared" si="3"/>
        <v>101707075800OVR</v>
      </c>
      <c r="C216" t="s">
        <v>1176</v>
      </c>
      <c r="D216" t="s">
        <v>203</v>
      </c>
      <c r="E216">
        <v>20411454</v>
      </c>
      <c r="F216" t="s">
        <v>1993</v>
      </c>
      <c r="G216" t="s">
        <v>956</v>
      </c>
      <c r="H216" s="1">
        <v>45047</v>
      </c>
      <c r="I216" s="2">
        <v>3</v>
      </c>
      <c r="K216" s="2">
        <v>6</v>
      </c>
      <c r="L216" t="s">
        <v>957</v>
      </c>
      <c r="M216" t="s">
        <v>1962</v>
      </c>
    </row>
    <row r="217" spans="1:13" x14ac:dyDescent="0.25">
      <c r="A217" s="9">
        <v>101707211600</v>
      </c>
      <c r="B217" s="9" t="str">
        <f t="shared" si="3"/>
        <v>101707211600OVR</v>
      </c>
      <c r="C217" t="s">
        <v>1177</v>
      </c>
      <c r="D217" t="s">
        <v>203</v>
      </c>
      <c r="E217">
        <v>20411454</v>
      </c>
      <c r="F217" t="s">
        <v>1993</v>
      </c>
      <c r="G217" t="s">
        <v>956</v>
      </c>
      <c r="H217" s="1">
        <v>45017</v>
      </c>
      <c r="I217" s="2">
        <v>1</v>
      </c>
      <c r="K217" s="2">
        <v>2</v>
      </c>
      <c r="L217" t="s">
        <v>957</v>
      </c>
      <c r="M217" t="s">
        <v>1962</v>
      </c>
    </row>
    <row r="218" spans="1:13" x14ac:dyDescent="0.25">
      <c r="A218" s="9">
        <v>101708065000</v>
      </c>
      <c r="B218" s="9" t="str">
        <f t="shared" si="3"/>
        <v>101708065000OVR</v>
      </c>
      <c r="C218" t="s">
        <v>1178</v>
      </c>
      <c r="D218" t="s">
        <v>203</v>
      </c>
      <c r="E218">
        <v>20411454</v>
      </c>
      <c r="F218" t="s">
        <v>1993</v>
      </c>
      <c r="G218" t="s">
        <v>956</v>
      </c>
      <c r="H218" s="1">
        <v>45078</v>
      </c>
      <c r="I218" s="2">
        <v>1</v>
      </c>
      <c r="K218" s="2">
        <v>2</v>
      </c>
      <c r="L218" t="s">
        <v>957</v>
      </c>
      <c r="M218" t="s">
        <v>1962</v>
      </c>
    </row>
    <row r="219" spans="1:13" x14ac:dyDescent="0.25">
      <c r="A219" s="9">
        <v>101708071100</v>
      </c>
      <c r="B219" s="9" t="str">
        <f t="shared" si="3"/>
        <v>101708071100OVR</v>
      </c>
      <c r="C219" t="s">
        <v>1179</v>
      </c>
      <c r="D219" t="s">
        <v>203</v>
      </c>
      <c r="E219">
        <v>20411454</v>
      </c>
      <c r="F219" t="s">
        <v>1993</v>
      </c>
      <c r="G219" t="s">
        <v>956</v>
      </c>
      <c r="H219" s="1">
        <v>45078</v>
      </c>
      <c r="I219" s="2">
        <v>1</v>
      </c>
      <c r="K219" s="2">
        <v>2</v>
      </c>
      <c r="L219" t="s">
        <v>957</v>
      </c>
      <c r="M219" t="s">
        <v>1962</v>
      </c>
    </row>
    <row r="220" spans="1:13" x14ac:dyDescent="0.25">
      <c r="A220" s="9">
        <v>101708503500</v>
      </c>
      <c r="B220" s="9" t="str">
        <f t="shared" si="3"/>
        <v>101708503500OVR</v>
      </c>
      <c r="C220" t="s">
        <v>1180</v>
      </c>
      <c r="D220" t="s">
        <v>203</v>
      </c>
      <c r="E220">
        <v>20411454</v>
      </c>
      <c r="F220" t="s">
        <v>1993</v>
      </c>
      <c r="G220" t="s">
        <v>956</v>
      </c>
      <c r="H220" s="1">
        <v>45017</v>
      </c>
      <c r="I220" s="2">
        <v>1</v>
      </c>
      <c r="K220" s="2">
        <v>2</v>
      </c>
      <c r="L220" t="s">
        <v>957</v>
      </c>
      <c r="M220" t="s">
        <v>1962</v>
      </c>
    </row>
    <row r="221" spans="1:13" x14ac:dyDescent="0.25">
      <c r="A221" s="9">
        <v>101709439700</v>
      </c>
      <c r="B221" s="9" t="str">
        <f t="shared" si="3"/>
        <v>101709439700OVR</v>
      </c>
      <c r="C221" t="s">
        <v>1181</v>
      </c>
      <c r="D221" t="s">
        <v>203</v>
      </c>
      <c r="E221">
        <v>20411454</v>
      </c>
      <c r="F221" t="s">
        <v>1993</v>
      </c>
      <c r="G221" t="s">
        <v>956</v>
      </c>
      <c r="H221" s="1">
        <v>45017</v>
      </c>
      <c r="I221" s="2">
        <v>1</v>
      </c>
      <c r="K221" s="2">
        <v>2</v>
      </c>
      <c r="L221" t="s">
        <v>957</v>
      </c>
      <c r="M221" t="s">
        <v>1962</v>
      </c>
    </row>
    <row r="222" spans="1:13" x14ac:dyDescent="0.25">
      <c r="A222" s="9">
        <v>101720743300</v>
      </c>
      <c r="B222" s="9" t="str">
        <f t="shared" si="3"/>
        <v>101720743300OVR</v>
      </c>
      <c r="C222" t="s">
        <v>1182</v>
      </c>
      <c r="D222" t="s">
        <v>203</v>
      </c>
      <c r="E222">
        <v>20411454</v>
      </c>
      <c r="F222" t="s">
        <v>1993</v>
      </c>
      <c r="G222" t="s">
        <v>956</v>
      </c>
      <c r="H222" s="1">
        <v>45047</v>
      </c>
      <c r="I222" s="2">
        <v>1</v>
      </c>
      <c r="K222" s="2">
        <v>2</v>
      </c>
      <c r="L222" t="s">
        <v>957</v>
      </c>
      <c r="M222" t="s">
        <v>1962</v>
      </c>
    </row>
    <row r="223" spans="1:13" x14ac:dyDescent="0.25">
      <c r="A223" s="9">
        <v>101785684000</v>
      </c>
      <c r="B223" s="9" t="str">
        <f t="shared" si="3"/>
        <v>101785684000OVR</v>
      </c>
      <c r="C223" t="s">
        <v>1183</v>
      </c>
      <c r="D223" t="s">
        <v>295</v>
      </c>
      <c r="E223">
        <v>20411454</v>
      </c>
      <c r="F223" t="s">
        <v>1993</v>
      </c>
      <c r="G223" t="s">
        <v>956</v>
      </c>
      <c r="H223" s="1">
        <v>45292</v>
      </c>
      <c r="I223" s="2">
        <v>1</v>
      </c>
      <c r="K223" s="2">
        <v>2</v>
      </c>
      <c r="L223" t="s">
        <v>957</v>
      </c>
      <c r="M223" t="s">
        <v>1962</v>
      </c>
    </row>
    <row r="224" spans="1:13" x14ac:dyDescent="0.25">
      <c r="A224" s="9">
        <v>101857276600</v>
      </c>
      <c r="B224" s="9" t="str">
        <f t="shared" si="3"/>
        <v>101857276600OVR</v>
      </c>
      <c r="C224" t="s">
        <v>1184</v>
      </c>
      <c r="D224" t="s">
        <v>246</v>
      </c>
      <c r="E224">
        <v>20411454</v>
      </c>
      <c r="F224" t="s">
        <v>1993</v>
      </c>
      <c r="G224" t="s">
        <v>956</v>
      </c>
      <c r="H224" s="1">
        <v>45292</v>
      </c>
      <c r="I224" s="2">
        <v>1</v>
      </c>
      <c r="K224" s="2">
        <v>2</v>
      </c>
      <c r="L224" t="s">
        <v>957</v>
      </c>
      <c r="M224" t="s">
        <v>1962</v>
      </c>
    </row>
    <row r="225" spans="1:13" x14ac:dyDescent="0.25">
      <c r="A225" s="9">
        <v>101857371800</v>
      </c>
      <c r="B225" s="9" t="str">
        <f t="shared" si="3"/>
        <v>101857371800OVR</v>
      </c>
      <c r="C225" t="s">
        <v>1185</v>
      </c>
      <c r="D225" t="s">
        <v>784</v>
      </c>
      <c r="E225">
        <v>20411454</v>
      </c>
      <c r="F225" t="s">
        <v>1993</v>
      </c>
      <c r="G225" t="s">
        <v>956</v>
      </c>
      <c r="H225" s="1">
        <v>45292</v>
      </c>
      <c r="I225" s="2">
        <v>1</v>
      </c>
      <c r="K225" s="2">
        <v>2</v>
      </c>
      <c r="L225" t="s">
        <v>957</v>
      </c>
      <c r="M225" t="s">
        <v>1962</v>
      </c>
    </row>
    <row r="226" spans="1:13" x14ac:dyDescent="0.25">
      <c r="A226" s="9">
        <v>101953198300</v>
      </c>
      <c r="B226" s="9" t="str">
        <f t="shared" si="3"/>
        <v>101953198300OVR</v>
      </c>
      <c r="C226" t="s">
        <v>1187</v>
      </c>
      <c r="D226" t="s">
        <v>203</v>
      </c>
      <c r="E226">
        <v>20411454</v>
      </c>
      <c r="F226" t="s">
        <v>1993</v>
      </c>
      <c r="G226" t="s">
        <v>956</v>
      </c>
      <c r="H226" s="1">
        <v>45627</v>
      </c>
      <c r="I226" s="2">
        <v>1</v>
      </c>
      <c r="K226" s="2">
        <v>2</v>
      </c>
      <c r="L226" t="s">
        <v>957</v>
      </c>
      <c r="M226" t="s">
        <v>1962</v>
      </c>
    </row>
    <row r="227" spans="1:13" x14ac:dyDescent="0.25">
      <c r="A227" s="9">
        <v>102006468500</v>
      </c>
      <c r="B227" s="9" t="str">
        <f t="shared" si="3"/>
        <v>102006468500OVR</v>
      </c>
      <c r="C227" t="s">
        <v>1190</v>
      </c>
      <c r="D227" t="s">
        <v>1189</v>
      </c>
      <c r="E227">
        <v>20411454</v>
      </c>
      <c r="F227" t="s">
        <v>1993</v>
      </c>
      <c r="G227" t="s">
        <v>956</v>
      </c>
      <c r="H227" s="1">
        <v>45444</v>
      </c>
      <c r="I227" s="2">
        <v>1</v>
      </c>
      <c r="K227" s="2">
        <v>2</v>
      </c>
      <c r="L227" t="s">
        <v>957</v>
      </c>
      <c r="M227" t="s">
        <v>1962</v>
      </c>
    </row>
    <row r="228" spans="1:13" x14ac:dyDescent="0.25">
      <c r="A228" s="9">
        <v>102006527900</v>
      </c>
      <c r="B228" s="9" t="str">
        <f t="shared" si="3"/>
        <v>102006527900OVR</v>
      </c>
      <c r="C228" t="s">
        <v>1191</v>
      </c>
      <c r="D228" t="s">
        <v>1189</v>
      </c>
      <c r="E228">
        <v>20411454</v>
      </c>
      <c r="F228" t="s">
        <v>1993</v>
      </c>
      <c r="G228" t="s">
        <v>956</v>
      </c>
      <c r="H228" s="1">
        <v>45444</v>
      </c>
      <c r="I228" s="2">
        <v>1</v>
      </c>
      <c r="K228" s="2">
        <v>2</v>
      </c>
      <c r="L228" t="s">
        <v>957</v>
      </c>
      <c r="M228" t="s">
        <v>1962</v>
      </c>
    </row>
    <row r="229" spans="1:13" x14ac:dyDescent="0.25">
      <c r="A229" s="9">
        <v>102007511900</v>
      </c>
      <c r="B229" s="9" t="str">
        <f t="shared" si="3"/>
        <v>102007511900OVR</v>
      </c>
      <c r="C229" t="s">
        <v>1192</v>
      </c>
      <c r="D229" t="s">
        <v>962</v>
      </c>
      <c r="E229">
        <v>20411454</v>
      </c>
      <c r="F229" t="s">
        <v>1993</v>
      </c>
      <c r="G229" t="s">
        <v>956</v>
      </c>
      <c r="H229" s="1">
        <v>45505</v>
      </c>
      <c r="I229" s="2">
        <v>1</v>
      </c>
      <c r="K229" s="2">
        <v>2</v>
      </c>
      <c r="L229" t="s">
        <v>957</v>
      </c>
      <c r="M229" t="s">
        <v>1962</v>
      </c>
    </row>
    <row r="230" spans="1:13" x14ac:dyDescent="0.25">
      <c r="A230" s="9">
        <v>102008188300</v>
      </c>
      <c r="B230" s="9" t="str">
        <f t="shared" si="3"/>
        <v>102008188300OVR</v>
      </c>
      <c r="C230" t="s">
        <v>1193</v>
      </c>
      <c r="D230" t="s">
        <v>46</v>
      </c>
      <c r="E230">
        <v>20411454</v>
      </c>
      <c r="F230" t="s">
        <v>1993</v>
      </c>
      <c r="G230" t="s">
        <v>956</v>
      </c>
      <c r="H230" s="1">
        <v>45444</v>
      </c>
      <c r="I230" s="2">
        <v>1</v>
      </c>
      <c r="K230" s="2">
        <v>2</v>
      </c>
      <c r="L230" t="s">
        <v>957</v>
      </c>
      <c r="M230" t="s">
        <v>1962</v>
      </c>
    </row>
    <row r="231" spans="1:13" x14ac:dyDescent="0.25">
      <c r="A231" s="9">
        <v>102009524100</v>
      </c>
      <c r="B231" s="9" t="str">
        <f t="shared" si="3"/>
        <v>102009524100OVR</v>
      </c>
      <c r="C231" t="s">
        <v>1194</v>
      </c>
      <c r="D231" t="s">
        <v>203</v>
      </c>
      <c r="E231">
        <v>20411454</v>
      </c>
      <c r="F231" t="s">
        <v>1993</v>
      </c>
      <c r="G231" t="s">
        <v>956</v>
      </c>
      <c r="H231" s="1">
        <v>45444</v>
      </c>
      <c r="I231" s="2">
        <v>1</v>
      </c>
      <c r="K231" s="2">
        <v>2</v>
      </c>
      <c r="L231" t="s">
        <v>957</v>
      </c>
      <c r="M231" t="s">
        <v>1962</v>
      </c>
    </row>
    <row r="232" spans="1:13" x14ac:dyDescent="0.25">
      <c r="A232" s="9">
        <v>102009546700</v>
      </c>
      <c r="B232" s="9" t="str">
        <f t="shared" si="3"/>
        <v>102009546700OVR</v>
      </c>
      <c r="C232" t="s">
        <v>1195</v>
      </c>
      <c r="D232" t="s">
        <v>203</v>
      </c>
      <c r="E232">
        <v>20411454</v>
      </c>
      <c r="F232" t="s">
        <v>1993</v>
      </c>
      <c r="G232" t="s">
        <v>956</v>
      </c>
      <c r="H232" s="1">
        <v>45444</v>
      </c>
      <c r="I232" s="2">
        <v>1</v>
      </c>
      <c r="K232" s="2">
        <v>2</v>
      </c>
      <c r="L232" t="s">
        <v>957</v>
      </c>
      <c r="M232" t="s">
        <v>1962</v>
      </c>
    </row>
    <row r="233" spans="1:13" x14ac:dyDescent="0.25">
      <c r="A233" s="9">
        <v>102010075000</v>
      </c>
      <c r="B233" s="9" t="str">
        <f t="shared" si="3"/>
        <v>102010075000OVR</v>
      </c>
      <c r="C233" t="s">
        <v>1196</v>
      </c>
      <c r="D233" t="s">
        <v>203</v>
      </c>
      <c r="E233">
        <v>20411454</v>
      </c>
      <c r="F233" t="s">
        <v>1993</v>
      </c>
      <c r="G233" t="s">
        <v>956</v>
      </c>
      <c r="H233" s="1">
        <v>45474</v>
      </c>
      <c r="I233" s="2">
        <v>1</v>
      </c>
      <c r="K233" s="2">
        <v>2</v>
      </c>
      <c r="L233" t="s">
        <v>957</v>
      </c>
      <c r="M233" t="s">
        <v>1962</v>
      </c>
    </row>
    <row r="234" spans="1:13" x14ac:dyDescent="0.25">
      <c r="A234" s="9">
        <v>102012252800</v>
      </c>
      <c r="B234" s="9" t="str">
        <f t="shared" si="3"/>
        <v>102012252800OVR</v>
      </c>
      <c r="C234" t="s">
        <v>1197</v>
      </c>
      <c r="D234" t="s">
        <v>72</v>
      </c>
      <c r="E234">
        <v>20411454</v>
      </c>
      <c r="F234" t="s">
        <v>1993</v>
      </c>
      <c r="G234" t="s">
        <v>956</v>
      </c>
      <c r="H234" s="1">
        <v>45505</v>
      </c>
      <c r="I234" s="2">
        <v>1</v>
      </c>
      <c r="K234" s="2">
        <v>2</v>
      </c>
      <c r="L234" t="s">
        <v>957</v>
      </c>
      <c r="M234" t="s">
        <v>1962</v>
      </c>
    </row>
    <row r="235" spans="1:13" x14ac:dyDescent="0.25">
      <c r="A235" s="9">
        <v>102013256200</v>
      </c>
      <c r="B235" s="9" t="str">
        <f t="shared" si="3"/>
        <v>102013256200OVR</v>
      </c>
      <c r="C235" t="s">
        <v>1198</v>
      </c>
      <c r="D235" t="s">
        <v>203</v>
      </c>
      <c r="E235">
        <v>20411454</v>
      </c>
      <c r="F235" t="s">
        <v>1993</v>
      </c>
      <c r="G235" t="s">
        <v>956</v>
      </c>
      <c r="H235" s="1">
        <v>45505</v>
      </c>
      <c r="I235" s="2">
        <v>1</v>
      </c>
      <c r="K235" s="2">
        <v>2</v>
      </c>
      <c r="L235" t="s">
        <v>957</v>
      </c>
      <c r="M235" t="s">
        <v>1962</v>
      </c>
    </row>
    <row r="236" spans="1:13" x14ac:dyDescent="0.25">
      <c r="A236" s="9">
        <v>102014399100</v>
      </c>
      <c r="B236" s="9" t="str">
        <f t="shared" si="3"/>
        <v>102014399100OVR</v>
      </c>
      <c r="C236" t="s">
        <v>1199</v>
      </c>
      <c r="D236" t="s">
        <v>203</v>
      </c>
      <c r="E236">
        <v>20411454</v>
      </c>
      <c r="F236" t="s">
        <v>1993</v>
      </c>
      <c r="G236" t="s">
        <v>956</v>
      </c>
      <c r="H236" s="1">
        <v>45505</v>
      </c>
      <c r="I236" s="2">
        <v>1</v>
      </c>
      <c r="K236" s="2">
        <v>2</v>
      </c>
      <c r="L236" t="s">
        <v>957</v>
      </c>
      <c r="M236" t="s">
        <v>1962</v>
      </c>
    </row>
    <row r="237" spans="1:13" x14ac:dyDescent="0.25">
      <c r="A237" s="9">
        <v>102014897000</v>
      </c>
      <c r="B237" s="9" t="str">
        <f t="shared" si="3"/>
        <v>102014897000OVR</v>
      </c>
      <c r="C237" t="s">
        <v>1201</v>
      </c>
      <c r="D237" t="s">
        <v>203</v>
      </c>
      <c r="E237">
        <v>20411454</v>
      </c>
      <c r="F237" t="s">
        <v>1993</v>
      </c>
      <c r="G237" t="s">
        <v>956</v>
      </c>
      <c r="H237" s="1">
        <v>45474</v>
      </c>
      <c r="I237" s="2">
        <v>1</v>
      </c>
      <c r="K237" s="2">
        <v>2</v>
      </c>
      <c r="L237" t="s">
        <v>957</v>
      </c>
      <c r="M237" t="s">
        <v>1962</v>
      </c>
    </row>
    <row r="238" spans="1:13" x14ac:dyDescent="0.25">
      <c r="A238" s="9">
        <v>102015648800</v>
      </c>
      <c r="B238" s="9" t="str">
        <f t="shared" si="3"/>
        <v>102015648800OVR</v>
      </c>
      <c r="C238" t="s">
        <v>1202</v>
      </c>
      <c r="D238" t="s">
        <v>203</v>
      </c>
      <c r="E238">
        <v>20411454</v>
      </c>
      <c r="F238" t="s">
        <v>1993</v>
      </c>
      <c r="G238" t="s">
        <v>956</v>
      </c>
      <c r="H238" s="1">
        <v>45474</v>
      </c>
      <c r="I238" s="2">
        <v>1</v>
      </c>
      <c r="K238" s="2">
        <v>2</v>
      </c>
      <c r="L238" t="s">
        <v>957</v>
      </c>
      <c r="M238" t="s">
        <v>1962</v>
      </c>
    </row>
    <row r="239" spans="1:13" x14ac:dyDescent="0.25">
      <c r="A239" s="9">
        <v>102015762800</v>
      </c>
      <c r="B239" s="9" t="str">
        <f t="shared" si="3"/>
        <v>102015762800OVR</v>
      </c>
      <c r="C239" t="s">
        <v>1203</v>
      </c>
      <c r="D239" t="s">
        <v>203</v>
      </c>
      <c r="E239">
        <v>20411454</v>
      </c>
      <c r="F239" t="s">
        <v>1993</v>
      </c>
      <c r="G239" t="s">
        <v>956</v>
      </c>
      <c r="H239" s="1">
        <v>45474</v>
      </c>
      <c r="I239" s="2">
        <v>1</v>
      </c>
      <c r="K239" s="2">
        <v>2</v>
      </c>
      <c r="L239" t="s">
        <v>957</v>
      </c>
      <c r="M239" t="s">
        <v>1962</v>
      </c>
    </row>
    <row r="240" spans="1:13" x14ac:dyDescent="0.25">
      <c r="A240" s="9">
        <v>102017009100</v>
      </c>
      <c r="B240" s="9" t="str">
        <f t="shared" si="3"/>
        <v>102017009100OVR</v>
      </c>
      <c r="C240" t="s">
        <v>1204</v>
      </c>
      <c r="D240" t="s">
        <v>203</v>
      </c>
      <c r="E240">
        <v>20411454</v>
      </c>
      <c r="F240" t="s">
        <v>1993</v>
      </c>
      <c r="G240" t="s">
        <v>956</v>
      </c>
      <c r="H240" s="1">
        <v>45474</v>
      </c>
      <c r="I240" s="2">
        <v>1</v>
      </c>
      <c r="K240" s="2">
        <v>2</v>
      </c>
      <c r="L240" t="s">
        <v>957</v>
      </c>
      <c r="M240" t="s">
        <v>1962</v>
      </c>
    </row>
    <row r="241" spans="1:13" x14ac:dyDescent="0.25">
      <c r="A241" s="9">
        <v>102017011000</v>
      </c>
      <c r="B241" s="9" t="str">
        <f t="shared" si="3"/>
        <v>102017011000OVR</v>
      </c>
      <c r="C241" t="s">
        <v>1205</v>
      </c>
      <c r="D241" t="s">
        <v>203</v>
      </c>
      <c r="E241">
        <v>20411454</v>
      </c>
      <c r="F241" t="s">
        <v>1993</v>
      </c>
      <c r="G241" t="s">
        <v>956</v>
      </c>
      <c r="H241" s="1">
        <v>45658</v>
      </c>
      <c r="I241" s="2">
        <v>1</v>
      </c>
      <c r="K241" s="2">
        <v>2</v>
      </c>
      <c r="L241" t="s">
        <v>957</v>
      </c>
      <c r="M241" t="s">
        <v>1962</v>
      </c>
    </row>
    <row r="242" spans="1:13" x14ac:dyDescent="0.25">
      <c r="A242" s="9">
        <v>102017011100</v>
      </c>
      <c r="B242" s="9" t="str">
        <f t="shared" si="3"/>
        <v>102017011100OVR</v>
      </c>
      <c r="C242" t="s">
        <v>1206</v>
      </c>
      <c r="D242" t="s">
        <v>203</v>
      </c>
      <c r="E242">
        <v>20411454</v>
      </c>
      <c r="F242" t="s">
        <v>1993</v>
      </c>
      <c r="G242" t="s">
        <v>956</v>
      </c>
      <c r="H242" s="1">
        <v>45474</v>
      </c>
      <c r="I242" s="2">
        <v>1</v>
      </c>
      <c r="K242" s="2">
        <v>2</v>
      </c>
      <c r="L242" t="s">
        <v>957</v>
      </c>
      <c r="M242" t="s">
        <v>1962</v>
      </c>
    </row>
    <row r="243" spans="1:13" x14ac:dyDescent="0.25">
      <c r="A243" s="9">
        <v>102017118900</v>
      </c>
      <c r="B243" s="9" t="str">
        <f t="shared" si="3"/>
        <v>102017118900OVR</v>
      </c>
      <c r="C243" t="s">
        <v>1207</v>
      </c>
      <c r="D243" t="s">
        <v>55</v>
      </c>
      <c r="E243">
        <v>20411454</v>
      </c>
      <c r="F243" t="s">
        <v>1993</v>
      </c>
      <c r="G243" t="s">
        <v>956</v>
      </c>
      <c r="H243" s="1">
        <v>45474</v>
      </c>
      <c r="I243" s="2">
        <v>1</v>
      </c>
      <c r="K243" s="2">
        <v>2</v>
      </c>
      <c r="L243" t="s">
        <v>957</v>
      </c>
      <c r="M243" t="s">
        <v>1962</v>
      </c>
    </row>
    <row r="244" spans="1:13" x14ac:dyDescent="0.25">
      <c r="A244" s="9">
        <v>102018981300</v>
      </c>
      <c r="B244" s="9" t="str">
        <f t="shared" si="3"/>
        <v>102018981300OVR</v>
      </c>
      <c r="C244" t="s">
        <v>1208</v>
      </c>
      <c r="D244" t="s">
        <v>203</v>
      </c>
      <c r="E244">
        <v>20411454</v>
      </c>
      <c r="F244" t="s">
        <v>1993</v>
      </c>
      <c r="G244" t="s">
        <v>956</v>
      </c>
      <c r="H244" s="1">
        <v>45505</v>
      </c>
      <c r="I244" s="2">
        <v>1</v>
      </c>
      <c r="K244" s="2">
        <v>2</v>
      </c>
      <c r="L244" t="s">
        <v>957</v>
      </c>
      <c r="M244" t="s">
        <v>1962</v>
      </c>
    </row>
    <row r="245" spans="1:13" x14ac:dyDescent="0.25">
      <c r="A245" s="9">
        <v>102021150000</v>
      </c>
      <c r="B245" s="9" t="str">
        <f t="shared" si="3"/>
        <v>102021150000OVR</v>
      </c>
      <c r="C245" t="s">
        <v>1209</v>
      </c>
      <c r="D245" t="s">
        <v>203</v>
      </c>
      <c r="E245">
        <v>20411454</v>
      </c>
      <c r="F245" t="s">
        <v>1993</v>
      </c>
      <c r="G245" t="s">
        <v>956</v>
      </c>
      <c r="H245" s="1">
        <v>45536</v>
      </c>
      <c r="I245" s="2">
        <v>1</v>
      </c>
      <c r="K245" s="2">
        <v>2</v>
      </c>
      <c r="L245" t="s">
        <v>957</v>
      </c>
      <c r="M245" t="s">
        <v>1962</v>
      </c>
    </row>
    <row r="246" spans="1:13" x14ac:dyDescent="0.25">
      <c r="A246" s="9">
        <v>102021599000</v>
      </c>
      <c r="B246" s="9" t="str">
        <f t="shared" si="3"/>
        <v>102021599000OVR</v>
      </c>
      <c r="C246" t="s">
        <v>1210</v>
      </c>
      <c r="D246" t="s">
        <v>203</v>
      </c>
      <c r="E246">
        <v>20411454</v>
      </c>
      <c r="F246" t="s">
        <v>1993</v>
      </c>
      <c r="G246" t="s">
        <v>956</v>
      </c>
      <c r="H246" s="1">
        <v>45505</v>
      </c>
      <c r="I246" s="2">
        <v>1</v>
      </c>
      <c r="K246" s="2">
        <v>2</v>
      </c>
      <c r="L246" t="s">
        <v>957</v>
      </c>
      <c r="M246" t="s">
        <v>1962</v>
      </c>
    </row>
    <row r="247" spans="1:13" x14ac:dyDescent="0.25">
      <c r="A247" s="9">
        <v>102021703600</v>
      </c>
      <c r="B247" s="9" t="str">
        <f t="shared" si="3"/>
        <v>102021703600OVR</v>
      </c>
      <c r="C247" t="s">
        <v>1211</v>
      </c>
      <c r="D247" t="s">
        <v>203</v>
      </c>
      <c r="E247">
        <v>20411454</v>
      </c>
      <c r="F247" t="s">
        <v>1993</v>
      </c>
      <c r="G247" t="s">
        <v>956</v>
      </c>
      <c r="H247" s="1">
        <v>45536</v>
      </c>
      <c r="I247" s="2">
        <v>1</v>
      </c>
      <c r="K247" s="2">
        <v>2</v>
      </c>
      <c r="L247" t="s">
        <v>957</v>
      </c>
      <c r="M247" t="s">
        <v>1962</v>
      </c>
    </row>
    <row r="248" spans="1:13" x14ac:dyDescent="0.25">
      <c r="A248" s="9">
        <v>102022258700</v>
      </c>
      <c r="B248" s="9" t="str">
        <f t="shared" si="3"/>
        <v>102022258700OVR</v>
      </c>
      <c r="C248" t="s">
        <v>1212</v>
      </c>
      <c r="D248" t="s">
        <v>203</v>
      </c>
      <c r="E248">
        <v>20411454</v>
      </c>
      <c r="F248" t="s">
        <v>1993</v>
      </c>
      <c r="G248" t="s">
        <v>956</v>
      </c>
      <c r="H248" s="1">
        <v>45474</v>
      </c>
      <c r="I248" s="2">
        <v>1</v>
      </c>
      <c r="K248" s="2">
        <v>2</v>
      </c>
      <c r="L248" t="s">
        <v>957</v>
      </c>
      <c r="M248" t="s">
        <v>1962</v>
      </c>
    </row>
    <row r="249" spans="1:13" x14ac:dyDescent="0.25">
      <c r="A249" s="9">
        <v>102022261800</v>
      </c>
      <c r="B249" s="9" t="str">
        <f t="shared" si="3"/>
        <v>102022261800OVR</v>
      </c>
      <c r="C249" t="s">
        <v>1213</v>
      </c>
      <c r="D249" t="s">
        <v>203</v>
      </c>
      <c r="E249">
        <v>20411454</v>
      </c>
      <c r="F249" t="s">
        <v>1993</v>
      </c>
      <c r="G249" t="s">
        <v>956</v>
      </c>
      <c r="H249" s="1">
        <v>45474</v>
      </c>
      <c r="I249" s="2">
        <v>1</v>
      </c>
      <c r="K249" s="2">
        <v>2</v>
      </c>
      <c r="L249" t="s">
        <v>957</v>
      </c>
      <c r="M249" t="s">
        <v>1962</v>
      </c>
    </row>
    <row r="250" spans="1:13" x14ac:dyDescent="0.25">
      <c r="A250" s="9">
        <v>102022904500</v>
      </c>
      <c r="B250" s="9" t="str">
        <f t="shared" si="3"/>
        <v>102022904500OVR</v>
      </c>
      <c r="C250" t="s">
        <v>1214</v>
      </c>
      <c r="D250" t="s">
        <v>203</v>
      </c>
      <c r="E250">
        <v>20411454</v>
      </c>
      <c r="F250" t="s">
        <v>1993</v>
      </c>
      <c r="G250" t="s">
        <v>956</v>
      </c>
      <c r="H250" s="1">
        <v>45505</v>
      </c>
      <c r="I250" s="2">
        <v>1</v>
      </c>
      <c r="K250" s="2">
        <v>2</v>
      </c>
      <c r="L250" t="s">
        <v>957</v>
      </c>
      <c r="M250" t="s">
        <v>1962</v>
      </c>
    </row>
    <row r="251" spans="1:13" x14ac:dyDescent="0.25">
      <c r="A251" s="9">
        <v>102025517700</v>
      </c>
      <c r="B251" s="9" t="str">
        <f t="shared" si="3"/>
        <v>102025517700OVR</v>
      </c>
      <c r="C251" t="s">
        <v>1216</v>
      </c>
      <c r="D251" t="s">
        <v>784</v>
      </c>
      <c r="E251">
        <v>20411454</v>
      </c>
      <c r="F251" t="s">
        <v>1993</v>
      </c>
      <c r="G251" t="s">
        <v>956</v>
      </c>
      <c r="H251" s="1">
        <v>45474</v>
      </c>
      <c r="I251" s="2">
        <v>1</v>
      </c>
      <c r="K251" s="2">
        <v>2</v>
      </c>
      <c r="L251" t="s">
        <v>957</v>
      </c>
      <c r="M251" t="s">
        <v>1962</v>
      </c>
    </row>
    <row r="252" spans="1:13" x14ac:dyDescent="0.25">
      <c r="A252" s="9">
        <v>102025592500</v>
      </c>
      <c r="B252" s="9" t="str">
        <f t="shared" si="3"/>
        <v>102025592500OVR</v>
      </c>
      <c r="C252" t="s">
        <v>523</v>
      </c>
      <c r="D252" t="s">
        <v>66</v>
      </c>
      <c r="E252">
        <v>20411454</v>
      </c>
      <c r="F252" t="s">
        <v>1993</v>
      </c>
      <c r="G252" t="s">
        <v>956</v>
      </c>
      <c r="H252" s="1">
        <v>45505</v>
      </c>
      <c r="I252" s="2">
        <v>1</v>
      </c>
      <c r="K252" s="2">
        <v>2</v>
      </c>
      <c r="L252" t="s">
        <v>957</v>
      </c>
      <c r="M252" t="s">
        <v>1962</v>
      </c>
    </row>
    <row r="253" spans="1:13" x14ac:dyDescent="0.25">
      <c r="A253" s="9">
        <v>102026454000</v>
      </c>
      <c r="B253" s="9" t="str">
        <f t="shared" si="3"/>
        <v>102026454000OVR</v>
      </c>
      <c r="C253" t="s">
        <v>1217</v>
      </c>
      <c r="D253" t="s">
        <v>1218</v>
      </c>
      <c r="E253">
        <v>20411454</v>
      </c>
      <c r="F253" t="s">
        <v>1993</v>
      </c>
      <c r="G253" t="s">
        <v>956</v>
      </c>
      <c r="H253" s="1">
        <v>45474</v>
      </c>
      <c r="I253" s="2">
        <v>1</v>
      </c>
      <c r="K253" s="2">
        <v>2</v>
      </c>
      <c r="L253" t="s">
        <v>957</v>
      </c>
      <c r="M253" t="s">
        <v>1962</v>
      </c>
    </row>
    <row r="254" spans="1:13" x14ac:dyDescent="0.25">
      <c r="A254" s="9">
        <v>102027923000</v>
      </c>
      <c r="B254" s="9" t="str">
        <f t="shared" si="3"/>
        <v>102027923000OVR</v>
      </c>
      <c r="C254" t="s">
        <v>1219</v>
      </c>
      <c r="D254" t="s">
        <v>55</v>
      </c>
      <c r="E254">
        <v>20411454</v>
      </c>
      <c r="F254" t="s">
        <v>1993</v>
      </c>
      <c r="G254" t="s">
        <v>956</v>
      </c>
      <c r="H254" s="1">
        <v>45474</v>
      </c>
      <c r="I254" s="2">
        <v>1</v>
      </c>
      <c r="K254" s="2">
        <v>2</v>
      </c>
      <c r="L254" t="s">
        <v>957</v>
      </c>
      <c r="M254" t="s">
        <v>1962</v>
      </c>
    </row>
    <row r="255" spans="1:13" x14ac:dyDescent="0.25">
      <c r="A255" s="9">
        <v>102028483000</v>
      </c>
      <c r="B255" s="9" t="str">
        <f t="shared" si="3"/>
        <v>102028483000OVR</v>
      </c>
      <c r="C255" t="s">
        <v>1220</v>
      </c>
      <c r="D255" t="s">
        <v>203</v>
      </c>
      <c r="E255">
        <v>20411454</v>
      </c>
      <c r="F255" t="s">
        <v>1993</v>
      </c>
      <c r="G255" t="s">
        <v>956</v>
      </c>
      <c r="H255" s="1">
        <v>45505</v>
      </c>
      <c r="I255" s="2">
        <v>1</v>
      </c>
      <c r="K255" s="2">
        <v>2</v>
      </c>
      <c r="L255" t="s">
        <v>957</v>
      </c>
      <c r="M255" t="s">
        <v>1962</v>
      </c>
    </row>
    <row r="256" spans="1:13" x14ac:dyDescent="0.25">
      <c r="A256" s="9">
        <v>102029053100</v>
      </c>
      <c r="B256" s="9" t="str">
        <f t="shared" si="3"/>
        <v>102029053100OVR</v>
      </c>
      <c r="C256" t="s">
        <v>1221</v>
      </c>
      <c r="D256" t="s">
        <v>203</v>
      </c>
      <c r="E256">
        <v>20411454</v>
      </c>
      <c r="F256" t="s">
        <v>1993</v>
      </c>
      <c r="G256" t="s">
        <v>956</v>
      </c>
      <c r="H256" s="1">
        <v>45566</v>
      </c>
      <c r="I256" s="2">
        <v>1</v>
      </c>
      <c r="K256" s="2">
        <v>2</v>
      </c>
      <c r="L256" t="s">
        <v>957</v>
      </c>
      <c r="M256" t="s">
        <v>1962</v>
      </c>
    </row>
    <row r="257" spans="1:13" x14ac:dyDescent="0.25">
      <c r="A257" s="9">
        <v>102029646800</v>
      </c>
      <c r="B257" s="9" t="str">
        <f t="shared" si="3"/>
        <v>102029646800OVR</v>
      </c>
      <c r="C257" t="s">
        <v>1222</v>
      </c>
      <c r="D257" t="s">
        <v>55</v>
      </c>
      <c r="E257">
        <v>20411454</v>
      </c>
      <c r="F257" t="s">
        <v>1993</v>
      </c>
      <c r="G257" t="s">
        <v>956</v>
      </c>
      <c r="H257" s="1">
        <v>45566</v>
      </c>
      <c r="I257" s="2">
        <v>1</v>
      </c>
      <c r="K257" s="2">
        <v>2</v>
      </c>
      <c r="L257" t="s">
        <v>957</v>
      </c>
      <c r="M257" t="s">
        <v>1962</v>
      </c>
    </row>
    <row r="258" spans="1:13" x14ac:dyDescent="0.25">
      <c r="A258" s="9">
        <v>102030348000</v>
      </c>
      <c r="B258" s="9" t="str">
        <f t="shared" si="3"/>
        <v>102030348000OVR</v>
      </c>
      <c r="C258" t="s">
        <v>1223</v>
      </c>
      <c r="D258" t="s">
        <v>203</v>
      </c>
      <c r="E258">
        <v>20411454</v>
      </c>
      <c r="F258" t="s">
        <v>1993</v>
      </c>
      <c r="G258" t="s">
        <v>956</v>
      </c>
      <c r="H258" s="1">
        <v>45505</v>
      </c>
      <c r="I258" s="2">
        <v>1</v>
      </c>
      <c r="K258" s="2">
        <v>2</v>
      </c>
      <c r="L258" t="s">
        <v>957</v>
      </c>
      <c r="M258" t="s">
        <v>1962</v>
      </c>
    </row>
    <row r="259" spans="1:13" x14ac:dyDescent="0.25">
      <c r="A259" s="9">
        <v>102030760700</v>
      </c>
      <c r="B259" s="9" t="str">
        <f t="shared" ref="B259:B322" si="4">CONCATENATE(A259,"OVR")</f>
        <v>102030760700OVR</v>
      </c>
      <c r="C259" t="s">
        <v>1224</v>
      </c>
      <c r="D259" t="s">
        <v>55</v>
      </c>
      <c r="E259">
        <v>20411454</v>
      </c>
      <c r="F259" t="s">
        <v>1993</v>
      </c>
      <c r="G259" t="s">
        <v>956</v>
      </c>
      <c r="H259" s="1">
        <v>45505</v>
      </c>
      <c r="I259" s="2">
        <v>1</v>
      </c>
      <c r="K259" s="2">
        <v>2</v>
      </c>
      <c r="L259" t="s">
        <v>957</v>
      </c>
      <c r="M259" t="s">
        <v>1962</v>
      </c>
    </row>
    <row r="260" spans="1:13" x14ac:dyDescent="0.25">
      <c r="A260" s="9">
        <v>102030823900</v>
      </c>
      <c r="B260" s="9" t="str">
        <f t="shared" si="4"/>
        <v>102030823900OVR</v>
      </c>
      <c r="C260" t="s">
        <v>1225</v>
      </c>
      <c r="D260" t="s">
        <v>55</v>
      </c>
      <c r="E260">
        <v>20411454</v>
      </c>
      <c r="F260" t="s">
        <v>1993</v>
      </c>
      <c r="G260" t="s">
        <v>956</v>
      </c>
      <c r="H260" s="1">
        <v>45505</v>
      </c>
      <c r="I260" s="2">
        <v>1</v>
      </c>
      <c r="K260" s="2">
        <v>2</v>
      </c>
      <c r="L260" t="s">
        <v>957</v>
      </c>
      <c r="M260" t="s">
        <v>1962</v>
      </c>
    </row>
    <row r="261" spans="1:13" x14ac:dyDescent="0.25">
      <c r="A261" s="9">
        <v>102030825500</v>
      </c>
      <c r="B261" s="9" t="str">
        <f t="shared" si="4"/>
        <v>102030825500OVR</v>
      </c>
      <c r="C261" t="s">
        <v>1226</v>
      </c>
      <c r="D261" t="s">
        <v>55</v>
      </c>
      <c r="E261">
        <v>20411454</v>
      </c>
      <c r="F261" t="s">
        <v>1993</v>
      </c>
      <c r="G261" t="s">
        <v>956</v>
      </c>
      <c r="H261" s="1">
        <v>45505</v>
      </c>
      <c r="I261" s="2">
        <v>1</v>
      </c>
      <c r="K261" s="2">
        <v>2</v>
      </c>
      <c r="L261" t="s">
        <v>957</v>
      </c>
      <c r="M261" t="s">
        <v>1962</v>
      </c>
    </row>
    <row r="262" spans="1:13" x14ac:dyDescent="0.25">
      <c r="A262" s="9">
        <v>102031351800</v>
      </c>
      <c r="B262" s="9" t="str">
        <f t="shared" si="4"/>
        <v>102031351800OVR</v>
      </c>
      <c r="C262" t="s">
        <v>1227</v>
      </c>
      <c r="D262" t="s">
        <v>203</v>
      </c>
      <c r="E262">
        <v>20411454</v>
      </c>
      <c r="F262" t="s">
        <v>1993</v>
      </c>
      <c r="G262" t="s">
        <v>956</v>
      </c>
      <c r="H262" s="1">
        <v>45505</v>
      </c>
      <c r="I262" s="2">
        <v>1</v>
      </c>
      <c r="K262" s="2">
        <v>2</v>
      </c>
      <c r="L262" t="s">
        <v>957</v>
      </c>
      <c r="M262" t="s">
        <v>1962</v>
      </c>
    </row>
    <row r="263" spans="1:13" x14ac:dyDescent="0.25">
      <c r="A263" s="9">
        <v>102033862400</v>
      </c>
      <c r="B263" s="9" t="str">
        <f t="shared" si="4"/>
        <v>102033862400OVR</v>
      </c>
      <c r="C263" t="s">
        <v>1229</v>
      </c>
      <c r="D263" t="s">
        <v>203</v>
      </c>
      <c r="E263">
        <v>20411454</v>
      </c>
      <c r="F263" t="s">
        <v>1993</v>
      </c>
      <c r="G263" t="s">
        <v>956</v>
      </c>
      <c r="H263" s="1">
        <v>45505</v>
      </c>
      <c r="I263" s="2">
        <v>1</v>
      </c>
      <c r="K263" s="2">
        <v>2</v>
      </c>
      <c r="L263" t="s">
        <v>957</v>
      </c>
      <c r="M263" t="s">
        <v>1962</v>
      </c>
    </row>
    <row r="264" spans="1:13" x14ac:dyDescent="0.25">
      <c r="A264" s="9">
        <v>102034658300</v>
      </c>
      <c r="B264" s="9" t="str">
        <f t="shared" si="4"/>
        <v>102034658300OVR</v>
      </c>
      <c r="C264" t="s">
        <v>1230</v>
      </c>
      <c r="D264" t="s">
        <v>203</v>
      </c>
      <c r="E264">
        <v>20411454</v>
      </c>
      <c r="F264" t="s">
        <v>1993</v>
      </c>
      <c r="G264" t="s">
        <v>956</v>
      </c>
      <c r="H264" s="1">
        <v>45536</v>
      </c>
      <c r="I264" s="2">
        <v>1</v>
      </c>
      <c r="K264" s="2">
        <v>2</v>
      </c>
      <c r="L264" t="s">
        <v>957</v>
      </c>
      <c r="M264" t="s">
        <v>1962</v>
      </c>
    </row>
    <row r="265" spans="1:13" x14ac:dyDescent="0.25">
      <c r="A265" s="9">
        <v>102035247000</v>
      </c>
      <c r="B265" s="9" t="str">
        <f t="shared" si="4"/>
        <v>102035247000OVR</v>
      </c>
      <c r="C265" t="s">
        <v>1231</v>
      </c>
      <c r="D265" t="s">
        <v>203</v>
      </c>
      <c r="E265">
        <v>20411454</v>
      </c>
      <c r="F265" t="s">
        <v>1993</v>
      </c>
      <c r="G265" t="s">
        <v>956</v>
      </c>
      <c r="H265" s="1">
        <v>45536</v>
      </c>
      <c r="I265" s="2">
        <v>1</v>
      </c>
      <c r="K265" s="2">
        <v>2</v>
      </c>
      <c r="L265" t="s">
        <v>957</v>
      </c>
      <c r="M265" t="s">
        <v>1962</v>
      </c>
    </row>
    <row r="266" spans="1:13" x14ac:dyDescent="0.25">
      <c r="A266" s="9">
        <v>102035273900</v>
      </c>
      <c r="B266" s="9" t="str">
        <f t="shared" si="4"/>
        <v>102035273900OVR</v>
      </c>
      <c r="C266" t="s">
        <v>1232</v>
      </c>
      <c r="D266" t="s">
        <v>55</v>
      </c>
      <c r="E266">
        <v>20411454</v>
      </c>
      <c r="F266" t="s">
        <v>1993</v>
      </c>
      <c r="G266" t="s">
        <v>956</v>
      </c>
      <c r="H266" s="1">
        <v>45566</v>
      </c>
      <c r="I266" s="2">
        <v>1</v>
      </c>
      <c r="K266" s="2">
        <v>2</v>
      </c>
      <c r="L266" t="s">
        <v>957</v>
      </c>
      <c r="M266" t="s">
        <v>1962</v>
      </c>
    </row>
    <row r="267" spans="1:13" x14ac:dyDescent="0.25">
      <c r="A267" s="9">
        <v>102035359600</v>
      </c>
      <c r="B267" s="9" t="str">
        <f t="shared" si="4"/>
        <v>102035359600OVR</v>
      </c>
      <c r="C267" t="s">
        <v>1233</v>
      </c>
      <c r="D267" t="s">
        <v>55</v>
      </c>
      <c r="E267">
        <v>20411454</v>
      </c>
      <c r="F267" t="s">
        <v>1993</v>
      </c>
      <c r="G267" t="s">
        <v>956</v>
      </c>
      <c r="H267" s="1">
        <v>45505</v>
      </c>
      <c r="I267" s="2">
        <v>1</v>
      </c>
      <c r="K267" s="2">
        <v>2</v>
      </c>
      <c r="L267" t="s">
        <v>957</v>
      </c>
      <c r="M267" t="s">
        <v>1962</v>
      </c>
    </row>
    <row r="268" spans="1:13" x14ac:dyDescent="0.25">
      <c r="A268" s="9">
        <v>102035806200</v>
      </c>
      <c r="B268" s="9" t="str">
        <f t="shared" si="4"/>
        <v>102035806200OVR</v>
      </c>
      <c r="C268" t="s">
        <v>1234</v>
      </c>
      <c r="D268" t="s">
        <v>188</v>
      </c>
      <c r="E268">
        <v>20411454</v>
      </c>
      <c r="F268" t="s">
        <v>1993</v>
      </c>
      <c r="G268" t="s">
        <v>956</v>
      </c>
      <c r="H268" s="1">
        <v>45566</v>
      </c>
      <c r="I268" s="2">
        <v>1</v>
      </c>
      <c r="K268" s="2">
        <v>2</v>
      </c>
      <c r="L268" t="s">
        <v>957</v>
      </c>
      <c r="M268" t="s">
        <v>1962</v>
      </c>
    </row>
    <row r="269" spans="1:13" x14ac:dyDescent="0.25">
      <c r="A269" s="9">
        <v>102035849400</v>
      </c>
      <c r="B269" s="9" t="str">
        <f t="shared" si="4"/>
        <v>102035849400OVR</v>
      </c>
      <c r="C269" t="s">
        <v>1235</v>
      </c>
      <c r="D269" t="s">
        <v>55</v>
      </c>
      <c r="E269">
        <v>20411454</v>
      </c>
      <c r="F269" t="s">
        <v>1993</v>
      </c>
      <c r="G269" t="s">
        <v>956</v>
      </c>
      <c r="H269" s="1">
        <v>45505</v>
      </c>
      <c r="I269" s="2">
        <v>1</v>
      </c>
      <c r="K269" s="2">
        <v>2</v>
      </c>
      <c r="L269" t="s">
        <v>957</v>
      </c>
      <c r="M269" t="s">
        <v>1962</v>
      </c>
    </row>
    <row r="270" spans="1:13" x14ac:dyDescent="0.25">
      <c r="A270" s="9">
        <v>102035916500</v>
      </c>
      <c r="B270" s="9" t="str">
        <f t="shared" si="4"/>
        <v>102035916500OVR</v>
      </c>
      <c r="C270" t="s">
        <v>1236</v>
      </c>
      <c r="D270" t="s">
        <v>203</v>
      </c>
      <c r="E270">
        <v>20411454</v>
      </c>
      <c r="F270" t="s">
        <v>1993</v>
      </c>
      <c r="G270" t="s">
        <v>956</v>
      </c>
      <c r="H270" s="1">
        <v>45505</v>
      </c>
      <c r="I270" s="2">
        <v>1</v>
      </c>
      <c r="K270" s="2">
        <v>2</v>
      </c>
      <c r="L270" t="s">
        <v>957</v>
      </c>
      <c r="M270" t="s">
        <v>1962</v>
      </c>
    </row>
    <row r="271" spans="1:13" x14ac:dyDescent="0.25">
      <c r="A271" s="9">
        <v>102036450000</v>
      </c>
      <c r="B271" s="9" t="str">
        <f t="shared" si="4"/>
        <v>102036450000OVR</v>
      </c>
      <c r="C271" t="s">
        <v>1239</v>
      </c>
      <c r="D271" t="s">
        <v>203</v>
      </c>
      <c r="E271">
        <v>20411454</v>
      </c>
      <c r="F271" t="s">
        <v>1993</v>
      </c>
      <c r="G271" t="s">
        <v>956</v>
      </c>
      <c r="H271" s="1">
        <v>45505</v>
      </c>
      <c r="I271" s="2">
        <v>1</v>
      </c>
      <c r="K271" s="2">
        <v>2</v>
      </c>
      <c r="L271" t="s">
        <v>957</v>
      </c>
      <c r="M271" t="s">
        <v>1962</v>
      </c>
    </row>
    <row r="272" spans="1:13" x14ac:dyDescent="0.25">
      <c r="A272" s="9">
        <v>102036471300</v>
      </c>
      <c r="B272" s="9" t="str">
        <f t="shared" si="4"/>
        <v>102036471300OVR</v>
      </c>
      <c r="C272" t="s">
        <v>1240</v>
      </c>
      <c r="D272" t="s">
        <v>203</v>
      </c>
      <c r="E272">
        <v>20411454</v>
      </c>
      <c r="F272" t="s">
        <v>1993</v>
      </c>
      <c r="G272" t="s">
        <v>956</v>
      </c>
      <c r="H272" s="1">
        <v>45505</v>
      </c>
      <c r="I272" s="2">
        <v>1</v>
      </c>
      <c r="K272" s="2">
        <v>2</v>
      </c>
      <c r="L272" t="s">
        <v>957</v>
      </c>
      <c r="M272" t="s">
        <v>1962</v>
      </c>
    </row>
    <row r="273" spans="1:13" x14ac:dyDescent="0.25">
      <c r="A273" s="9">
        <v>102037067200</v>
      </c>
      <c r="B273" s="9" t="str">
        <f t="shared" si="4"/>
        <v>102037067200OVR</v>
      </c>
      <c r="C273" t="s">
        <v>1241</v>
      </c>
      <c r="D273" t="s">
        <v>55</v>
      </c>
      <c r="E273">
        <v>20411454</v>
      </c>
      <c r="F273" t="s">
        <v>1993</v>
      </c>
      <c r="G273" t="s">
        <v>956</v>
      </c>
      <c r="H273" s="1">
        <v>45566</v>
      </c>
      <c r="I273" s="2">
        <v>1</v>
      </c>
      <c r="K273" s="2">
        <v>2</v>
      </c>
      <c r="L273" t="s">
        <v>957</v>
      </c>
      <c r="M273" t="s">
        <v>1962</v>
      </c>
    </row>
    <row r="274" spans="1:13" x14ac:dyDescent="0.25">
      <c r="A274" s="9">
        <v>102037178300</v>
      </c>
      <c r="B274" s="9" t="str">
        <f t="shared" si="4"/>
        <v>102037178300OVR</v>
      </c>
      <c r="C274" t="s">
        <v>1242</v>
      </c>
      <c r="D274" t="s">
        <v>203</v>
      </c>
      <c r="E274">
        <v>20411454</v>
      </c>
      <c r="F274" t="s">
        <v>1993</v>
      </c>
      <c r="G274" t="s">
        <v>956</v>
      </c>
      <c r="H274" s="1">
        <v>45505</v>
      </c>
      <c r="I274" s="2">
        <v>1</v>
      </c>
      <c r="K274" s="2">
        <v>2</v>
      </c>
      <c r="L274" t="s">
        <v>957</v>
      </c>
      <c r="M274" t="s">
        <v>1962</v>
      </c>
    </row>
    <row r="275" spans="1:13" x14ac:dyDescent="0.25">
      <c r="A275" s="9">
        <v>102037208500</v>
      </c>
      <c r="B275" s="9" t="str">
        <f t="shared" si="4"/>
        <v>102037208500OVR</v>
      </c>
      <c r="C275" t="s">
        <v>1243</v>
      </c>
      <c r="D275" t="s">
        <v>46</v>
      </c>
      <c r="E275">
        <v>20411454</v>
      </c>
      <c r="F275" t="s">
        <v>1993</v>
      </c>
      <c r="G275" t="s">
        <v>956</v>
      </c>
      <c r="H275" s="1">
        <v>45566</v>
      </c>
      <c r="I275" s="2">
        <v>1</v>
      </c>
      <c r="K275" s="2">
        <v>2</v>
      </c>
      <c r="L275" t="s">
        <v>957</v>
      </c>
      <c r="M275" t="s">
        <v>1962</v>
      </c>
    </row>
    <row r="276" spans="1:13" x14ac:dyDescent="0.25">
      <c r="A276" s="9">
        <v>102037260600</v>
      </c>
      <c r="B276" s="9" t="str">
        <f t="shared" si="4"/>
        <v>102037260600OVR</v>
      </c>
      <c r="C276" t="s">
        <v>1244</v>
      </c>
      <c r="D276" t="s">
        <v>55</v>
      </c>
      <c r="E276">
        <v>20411454</v>
      </c>
      <c r="F276" t="s">
        <v>1993</v>
      </c>
      <c r="G276" t="s">
        <v>956</v>
      </c>
      <c r="H276" s="1">
        <v>45505</v>
      </c>
      <c r="I276" s="2">
        <v>1</v>
      </c>
      <c r="K276" s="2">
        <v>2</v>
      </c>
      <c r="L276" t="s">
        <v>957</v>
      </c>
      <c r="M276" t="s">
        <v>1962</v>
      </c>
    </row>
    <row r="277" spans="1:13" x14ac:dyDescent="0.25">
      <c r="A277" s="9">
        <v>102037642800</v>
      </c>
      <c r="B277" s="9" t="str">
        <f t="shared" si="4"/>
        <v>102037642800OVR</v>
      </c>
      <c r="C277" t="s">
        <v>1245</v>
      </c>
      <c r="D277" t="s">
        <v>203</v>
      </c>
      <c r="E277">
        <v>20411454</v>
      </c>
      <c r="F277" t="s">
        <v>1993</v>
      </c>
      <c r="G277" t="s">
        <v>956</v>
      </c>
      <c r="H277" s="1">
        <v>45505</v>
      </c>
      <c r="I277" s="2">
        <v>1</v>
      </c>
      <c r="K277" s="2">
        <v>2</v>
      </c>
      <c r="L277" t="s">
        <v>957</v>
      </c>
      <c r="M277" t="s">
        <v>1962</v>
      </c>
    </row>
    <row r="278" spans="1:13" x14ac:dyDescent="0.25">
      <c r="A278" s="9">
        <v>102038194700</v>
      </c>
      <c r="B278" s="9" t="str">
        <f t="shared" si="4"/>
        <v>102038194700OVR</v>
      </c>
      <c r="C278" t="s">
        <v>1246</v>
      </c>
      <c r="D278" t="s">
        <v>46</v>
      </c>
      <c r="E278">
        <v>20411454</v>
      </c>
      <c r="F278" t="s">
        <v>1993</v>
      </c>
      <c r="G278" t="s">
        <v>956</v>
      </c>
      <c r="H278" s="1">
        <v>45505</v>
      </c>
      <c r="I278" s="2">
        <v>1</v>
      </c>
      <c r="K278" s="2">
        <v>2</v>
      </c>
      <c r="L278" t="s">
        <v>957</v>
      </c>
      <c r="M278" t="s">
        <v>1962</v>
      </c>
    </row>
    <row r="279" spans="1:13" x14ac:dyDescent="0.25">
      <c r="A279" s="9">
        <v>102040124800</v>
      </c>
      <c r="B279" s="9" t="str">
        <f t="shared" si="4"/>
        <v>102040124800OVR</v>
      </c>
      <c r="C279" t="s">
        <v>1247</v>
      </c>
      <c r="D279" t="s">
        <v>66</v>
      </c>
      <c r="E279">
        <v>20411454</v>
      </c>
      <c r="F279" t="s">
        <v>1993</v>
      </c>
      <c r="G279" t="s">
        <v>956</v>
      </c>
      <c r="H279" s="1">
        <v>45536</v>
      </c>
      <c r="I279" s="2">
        <v>1</v>
      </c>
      <c r="K279" s="2">
        <v>2</v>
      </c>
      <c r="L279" t="s">
        <v>957</v>
      </c>
      <c r="M279" t="s">
        <v>1962</v>
      </c>
    </row>
    <row r="280" spans="1:13" x14ac:dyDescent="0.25">
      <c r="A280" s="9">
        <v>102040827300</v>
      </c>
      <c r="B280" s="9" t="str">
        <f t="shared" si="4"/>
        <v>102040827300OVR</v>
      </c>
      <c r="C280" t="s">
        <v>1248</v>
      </c>
      <c r="D280" t="s">
        <v>55</v>
      </c>
      <c r="E280">
        <v>20411454</v>
      </c>
      <c r="F280" t="s">
        <v>1993</v>
      </c>
      <c r="G280" t="s">
        <v>956</v>
      </c>
      <c r="H280" s="1">
        <v>45566</v>
      </c>
      <c r="I280" s="2">
        <v>1</v>
      </c>
      <c r="K280" s="2">
        <v>2</v>
      </c>
      <c r="L280" t="s">
        <v>957</v>
      </c>
      <c r="M280" t="s">
        <v>1962</v>
      </c>
    </row>
    <row r="281" spans="1:13" x14ac:dyDescent="0.25">
      <c r="A281" s="9">
        <v>102041647300</v>
      </c>
      <c r="B281" s="9" t="str">
        <f t="shared" si="4"/>
        <v>102041647300OVR</v>
      </c>
      <c r="C281" t="s">
        <v>1249</v>
      </c>
      <c r="D281" t="s">
        <v>962</v>
      </c>
      <c r="E281">
        <v>20411454</v>
      </c>
      <c r="F281" t="s">
        <v>1993</v>
      </c>
      <c r="G281" t="s">
        <v>956</v>
      </c>
      <c r="H281" s="1">
        <v>45505</v>
      </c>
      <c r="I281" s="2">
        <v>1</v>
      </c>
      <c r="K281" s="2">
        <v>2</v>
      </c>
      <c r="L281" t="s">
        <v>957</v>
      </c>
      <c r="M281" t="s">
        <v>1962</v>
      </c>
    </row>
    <row r="282" spans="1:13" x14ac:dyDescent="0.25">
      <c r="A282" s="9">
        <v>102042487000</v>
      </c>
      <c r="B282" s="9" t="str">
        <f t="shared" si="4"/>
        <v>102042487000OVR</v>
      </c>
      <c r="C282" t="s">
        <v>1250</v>
      </c>
      <c r="D282" t="s">
        <v>203</v>
      </c>
      <c r="E282">
        <v>20411454</v>
      </c>
      <c r="F282" t="s">
        <v>1993</v>
      </c>
      <c r="G282" t="s">
        <v>956</v>
      </c>
      <c r="H282" s="1">
        <v>45536</v>
      </c>
      <c r="I282" s="2">
        <v>1</v>
      </c>
      <c r="K282" s="2">
        <v>2</v>
      </c>
      <c r="L282" t="s">
        <v>957</v>
      </c>
      <c r="M282" t="s">
        <v>1962</v>
      </c>
    </row>
    <row r="283" spans="1:13" x14ac:dyDescent="0.25">
      <c r="A283" s="9">
        <v>102043771500</v>
      </c>
      <c r="B283" s="9" t="str">
        <f t="shared" si="4"/>
        <v>102043771500OVR</v>
      </c>
      <c r="C283" t="s">
        <v>1252</v>
      </c>
      <c r="D283" t="s">
        <v>55</v>
      </c>
      <c r="E283">
        <v>20411454</v>
      </c>
      <c r="F283" t="s">
        <v>1993</v>
      </c>
      <c r="G283" t="s">
        <v>956</v>
      </c>
      <c r="H283" s="1">
        <v>45566</v>
      </c>
      <c r="I283" s="2">
        <v>1</v>
      </c>
      <c r="K283" s="2">
        <v>2</v>
      </c>
      <c r="L283" t="s">
        <v>957</v>
      </c>
      <c r="M283" t="s">
        <v>1962</v>
      </c>
    </row>
    <row r="284" spans="1:13" x14ac:dyDescent="0.25">
      <c r="A284" s="9">
        <v>102043872000</v>
      </c>
      <c r="B284" s="9" t="str">
        <f t="shared" si="4"/>
        <v>102043872000OVR</v>
      </c>
      <c r="C284" t="s">
        <v>1253</v>
      </c>
      <c r="D284" t="s">
        <v>203</v>
      </c>
      <c r="E284">
        <v>20411454</v>
      </c>
      <c r="F284" t="s">
        <v>1993</v>
      </c>
      <c r="G284" t="s">
        <v>956</v>
      </c>
      <c r="H284" s="1">
        <v>45536</v>
      </c>
      <c r="I284" s="2">
        <v>1</v>
      </c>
      <c r="K284" s="2">
        <v>2</v>
      </c>
      <c r="L284" t="s">
        <v>957</v>
      </c>
      <c r="M284" t="s">
        <v>1962</v>
      </c>
    </row>
    <row r="285" spans="1:13" x14ac:dyDescent="0.25">
      <c r="A285" s="9">
        <v>102044679100</v>
      </c>
      <c r="B285" s="9" t="str">
        <f t="shared" si="4"/>
        <v>102044679100OVR</v>
      </c>
      <c r="C285" t="s">
        <v>1254</v>
      </c>
      <c r="D285" t="s">
        <v>203</v>
      </c>
      <c r="E285">
        <v>20411454</v>
      </c>
      <c r="F285" t="s">
        <v>1993</v>
      </c>
      <c r="G285" t="s">
        <v>956</v>
      </c>
      <c r="H285" s="1">
        <v>45566</v>
      </c>
      <c r="I285" s="2">
        <v>1</v>
      </c>
      <c r="K285" s="2">
        <v>2</v>
      </c>
      <c r="L285" t="s">
        <v>957</v>
      </c>
      <c r="M285" t="s">
        <v>1962</v>
      </c>
    </row>
    <row r="286" spans="1:13" x14ac:dyDescent="0.25">
      <c r="A286" s="9">
        <v>102044729900</v>
      </c>
      <c r="B286" s="9" t="str">
        <f t="shared" si="4"/>
        <v>102044729900OVR</v>
      </c>
      <c r="C286" t="s">
        <v>1255</v>
      </c>
      <c r="D286" t="s">
        <v>55</v>
      </c>
      <c r="E286">
        <v>20411454</v>
      </c>
      <c r="F286" t="s">
        <v>1993</v>
      </c>
      <c r="G286" t="s">
        <v>956</v>
      </c>
      <c r="H286" s="1">
        <v>45566</v>
      </c>
      <c r="I286" s="2">
        <v>1</v>
      </c>
      <c r="K286" s="2">
        <v>2</v>
      </c>
      <c r="L286" t="s">
        <v>957</v>
      </c>
      <c r="M286" t="s">
        <v>1962</v>
      </c>
    </row>
    <row r="287" spans="1:13" x14ac:dyDescent="0.25">
      <c r="A287" s="9">
        <v>102046259200</v>
      </c>
      <c r="B287" s="9" t="str">
        <f t="shared" si="4"/>
        <v>102046259200OVR</v>
      </c>
      <c r="C287" t="s">
        <v>1256</v>
      </c>
      <c r="D287" t="s">
        <v>203</v>
      </c>
      <c r="E287">
        <v>20411454</v>
      </c>
      <c r="F287" t="s">
        <v>1993</v>
      </c>
      <c r="G287" t="s">
        <v>956</v>
      </c>
      <c r="H287" s="1">
        <v>45597</v>
      </c>
      <c r="I287" s="2">
        <v>1</v>
      </c>
      <c r="K287" s="2">
        <v>2</v>
      </c>
      <c r="L287" t="s">
        <v>957</v>
      </c>
      <c r="M287" t="s">
        <v>1962</v>
      </c>
    </row>
    <row r="288" spans="1:13" x14ac:dyDescent="0.25">
      <c r="A288" s="9">
        <v>102046287500</v>
      </c>
      <c r="B288" s="9" t="str">
        <f t="shared" si="4"/>
        <v>102046287500OVR</v>
      </c>
      <c r="C288" t="s">
        <v>1257</v>
      </c>
      <c r="D288" t="s">
        <v>203</v>
      </c>
      <c r="E288">
        <v>20411454</v>
      </c>
      <c r="F288" t="s">
        <v>1993</v>
      </c>
      <c r="G288" t="s">
        <v>956</v>
      </c>
      <c r="H288" s="1">
        <v>45536</v>
      </c>
      <c r="I288" s="2">
        <v>1</v>
      </c>
      <c r="K288" s="2">
        <v>2</v>
      </c>
      <c r="L288" t="s">
        <v>957</v>
      </c>
      <c r="M288" t="s">
        <v>1962</v>
      </c>
    </row>
    <row r="289" spans="1:13" x14ac:dyDescent="0.25">
      <c r="A289" s="9">
        <v>102046673700</v>
      </c>
      <c r="B289" s="9" t="str">
        <f t="shared" si="4"/>
        <v>102046673700OVR</v>
      </c>
      <c r="C289" t="s">
        <v>1258</v>
      </c>
      <c r="D289" t="s">
        <v>203</v>
      </c>
      <c r="E289">
        <v>20411454</v>
      </c>
      <c r="F289" t="s">
        <v>1993</v>
      </c>
      <c r="G289" t="s">
        <v>956</v>
      </c>
      <c r="H289" s="1">
        <v>45536</v>
      </c>
      <c r="I289" s="2">
        <v>1</v>
      </c>
      <c r="K289" s="2">
        <v>2</v>
      </c>
      <c r="L289" t="s">
        <v>957</v>
      </c>
      <c r="M289" t="s">
        <v>1962</v>
      </c>
    </row>
    <row r="290" spans="1:13" x14ac:dyDescent="0.25">
      <c r="A290" s="9">
        <v>102048671500</v>
      </c>
      <c r="B290" s="9" t="str">
        <f t="shared" si="4"/>
        <v>102048671500OVR</v>
      </c>
      <c r="C290" t="s">
        <v>1259</v>
      </c>
      <c r="D290" t="s">
        <v>203</v>
      </c>
      <c r="E290">
        <v>20411454</v>
      </c>
      <c r="F290" t="s">
        <v>1993</v>
      </c>
      <c r="G290" t="s">
        <v>956</v>
      </c>
      <c r="H290" s="1">
        <v>45566</v>
      </c>
      <c r="I290" s="2">
        <v>1</v>
      </c>
      <c r="K290" s="2">
        <v>2</v>
      </c>
      <c r="L290" t="s">
        <v>957</v>
      </c>
      <c r="M290" t="s">
        <v>1962</v>
      </c>
    </row>
    <row r="291" spans="1:13" x14ac:dyDescent="0.25">
      <c r="A291" s="9">
        <v>102048695700</v>
      </c>
      <c r="B291" s="9" t="str">
        <f t="shared" si="4"/>
        <v>102048695700OVR</v>
      </c>
      <c r="C291" t="s">
        <v>1260</v>
      </c>
      <c r="D291" t="s">
        <v>203</v>
      </c>
      <c r="E291">
        <v>20411454</v>
      </c>
      <c r="F291" t="s">
        <v>1993</v>
      </c>
      <c r="G291" t="s">
        <v>956</v>
      </c>
      <c r="H291" s="1">
        <v>45536</v>
      </c>
      <c r="I291" s="2">
        <v>1</v>
      </c>
      <c r="K291" s="2">
        <v>2</v>
      </c>
      <c r="L291" t="s">
        <v>957</v>
      </c>
      <c r="M291" t="s">
        <v>1962</v>
      </c>
    </row>
    <row r="292" spans="1:13" x14ac:dyDescent="0.25">
      <c r="A292" s="9">
        <v>102049165000</v>
      </c>
      <c r="B292" s="9" t="str">
        <f t="shared" si="4"/>
        <v>102049165000OVR</v>
      </c>
      <c r="C292" t="s">
        <v>1261</v>
      </c>
      <c r="D292" t="s">
        <v>55</v>
      </c>
      <c r="E292">
        <v>20411454</v>
      </c>
      <c r="F292" t="s">
        <v>1993</v>
      </c>
      <c r="G292" t="s">
        <v>956</v>
      </c>
      <c r="H292" s="1">
        <v>45566</v>
      </c>
      <c r="I292" s="2">
        <v>1</v>
      </c>
      <c r="K292" s="2">
        <v>2</v>
      </c>
      <c r="L292" t="s">
        <v>957</v>
      </c>
      <c r="M292" t="s">
        <v>1962</v>
      </c>
    </row>
    <row r="293" spans="1:13" x14ac:dyDescent="0.25">
      <c r="A293" s="9">
        <v>102049245100</v>
      </c>
      <c r="B293" s="9" t="str">
        <f t="shared" si="4"/>
        <v>102049245100OVR</v>
      </c>
      <c r="C293" t="s">
        <v>1262</v>
      </c>
      <c r="D293" t="s">
        <v>1263</v>
      </c>
      <c r="E293">
        <v>20411454</v>
      </c>
      <c r="F293" t="s">
        <v>1993</v>
      </c>
      <c r="G293" t="s">
        <v>956</v>
      </c>
      <c r="H293" s="1">
        <v>45597</v>
      </c>
      <c r="I293" s="2">
        <v>1</v>
      </c>
      <c r="K293" s="2">
        <v>2</v>
      </c>
      <c r="L293" t="s">
        <v>957</v>
      </c>
      <c r="M293" t="s">
        <v>1962</v>
      </c>
    </row>
    <row r="294" spans="1:13" x14ac:dyDescent="0.25">
      <c r="A294" s="9">
        <v>102049267000</v>
      </c>
      <c r="B294" s="9" t="str">
        <f t="shared" si="4"/>
        <v>102049267000OVR</v>
      </c>
      <c r="C294" t="s">
        <v>1264</v>
      </c>
      <c r="D294" t="s">
        <v>203</v>
      </c>
      <c r="E294">
        <v>20411454</v>
      </c>
      <c r="F294" t="s">
        <v>1993</v>
      </c>
      <c r="G294" t="s">
        <v>956</v>
      </c>
      <c r="H294" s="1">
        <v>45536</v>
      </c>
      <c r="I294" s="2">
        <v>1</v>
      </c>
      <c r="K294" s="2">
        <v>2</v>
      </c>
      <c r="L294" t="s">
        <v>957</v>
      </c>
      <c r="M294" t="s">
        <v>1962</v>
      </c>
    </row>
    <row r="295" spans="1:13" x14ac:dyDescent="0.25">
      <c r="A295" s="9">
        <v>102049634300</v>
      </c>
      <c r="B295" s="9" t="str">
        <f t="shared" si="4"/>
        <v>102049634300OVR</v>
      </c>
      <c r="C295" t="s">
        <v>1265</v>
      </c>
      <c r="D295" t="s">
        <v>203</v>
      </c>
      <c r="E295">
        <v>20411454</v>
      </c>
      <c r="F295" t="s">
        <v>1993</v>
      </c>
      <c r="G295" t="s">
        <v>956</v>
      </c>
      <c r="H295" s="1">
        <v>45597</v>
      </c>
      <c r="I295" s="2">
        <v>1</v>
      </c>
      <c r="K295" s="2">
        <v>2</v>
      </c>
      <c r="L295" t="s">
        <v>957</v>
      </c>
      <c r="M295" t="s">
        <v>1962</v>
      </c>
    </row>
    <row r="296" spans="1:13" x14ac:dyDescent="0.25">
      <c r="A296" s="9">
        <v>102049702100</v>
      </c>
      <c r="B296" s="9" t="str">
        <f t="shared" si="4"/>
        <v>102049702100OVR</v>
      </c>
      <c r="C296" t="s">
        <v>1267</v>
      </c>
      <c r="D296" t="s">
        <v>263</v>
      </c>
      <c r="E296">
        <v>20411454</v>
      </c>
      <c r="F296" t="s">
        <v>1993</v>
      </c>
      <c r="G296" t="s">
        <v>956</v>
      </c>
      <c r="H296" s="1">
        <v>45536</v>
      </c>
      <c r="I296" s="2">
        <v>1</v>
      </c>
      <c r="K296" s="2">
        <v>2</v>
      </c>
      <c r="L296" t="s">
        <v>957</v>
      </c>
      <c r="M296" t="s">
        <v>1962</v>
      </c>
    </row>
    <row r="297" spans="1:13" x14ac:dyDescent="0.25">
      <c r="A297" s="9">
        <v>102049732200</v>
      </c>
      <c r="B297" s="9" t="str">
        <f t="shared" si="4"/>
        <v>102049732200OVR</v>
      </c>
      <c r="C297" t="s">
        <v>1268</v>
      </c>
      <c r="D297" t="s">
        <v>55</v>
      </c>
      <c r="E297">
        <v>20411454</v>
      </c>
      <c r="F297" t="s">
        <v>1993</v>
      </c>
      <c r="G297" t="s">
        <v>956</v>
      </c>
      <c r="H297" s="1">
        <v>45597</v>
      </c>
      <c r="I297" s="2">
        <v>1</v>
      </c>
      <c r="K297" s="2">
        <v>2</v>
      </c>
      <c r="L297" t="s">
        <v>957</v>
      </c>
      <c r="M297" t="s">
        <v>1962</v>
      </c>
    </row>
    <row r="298" spans="1:13" x14ac:dyDescent="0.25">
      <c r="A298" s="9">
        <v>102050057000</v>
      </c>
      <c r="B298" s="9" t="str">
        <f t="shared" si="4"/>
        <v>102050057000OVR</v>
      </c>
      <c r="C298" t="s">
        <v>1269</v>
      </c>
      <c r="D298" t="s">
        <v>203</v>
      </c>
      <c r="E298">
        <v>20411454</v>
      </c>
      <c r="F298" t="s">
        <v>1993</v>
      </c>
      <c r="G298" t="s">
        <v>956</v>
      </c>
      <c r="H298" s="1">
        <v>45566</v>
      </c>
      <c r="I298" s="2">
        <v>1</v>
      </c>
      <c r="K298" s="2">
        <v>2</v>
      </c>
      <c r="L298" t="s">
        <v>957</v>
      </c>
      <c r="M298" t="s">
        <v>1962</v>
      </c>
    </row>
    <row r="299" spans="1:13" x14ac:dyDescent="0.25">
      <c r="A299" s="9">
        <v>102050057700</v>
      </c>
      <c r="B299" s="9" t="str">
        <f t="shared" si="4"/>
        <v>102050057700OVR</v>
      </c>
      <c r="C299" t="s">
        <v>1270</v>
      </c>
      <c r="D299" t="s">
        <v>203</v>
      </c>
      <c r="E299">
        <v>20411454</v>
      </c>
      <c r="F299" t="s">
        <v>1993</v>
      </c>
      <c r="G299" t="s">
        <v>956</v>
      </c>
      <c r="H299" s="1">
        <v>45566</v>
      </c>
      <c r="I299" s="2">
        <v>1</v>
      </c>
      <c r="K299" s="2">
        <v>2</v>
      </c>
      <c r="L299" t="s">
        <v>957</v>
      </c>
      <c r="M299" t="s">
        <v>1962</v>
      </c>
    </row>
    <row r="300" spans="1:13" x14ac:dyDescent="0.25">
      <c r="A300" s="9">
        <v>102050179700</v>
      </c>
      <c r="B300" s="9" t="str">
        <f t="shared" si="4"/>
        <v>102050179700OVR</v>
      </c>
      <c r="C300" t="s">
        <v>1272</v>
      </c>
      <c r="D300" t="s">
        <v>1189</v>
      </c>
      <c r="E300">
        <v>20411454</v>
      </c>
      <c r="F300" t="s">
        <v>1993</v>
      </c>
      <c r="G300" t="s">
        <v>956</v>
      </c>
      <c r="H300" s="1">
        <v>45536</v>
      </c>
      <c r="I300" s="2">
        <v>1</v>
      </c>
      <c r="K300" s="2">
        <v>2</v>
      </c>
      <c r="L300" t="s">
        <v>957</v>
      </c>
      <c r="M300" t="s">
        <v>1962</v>
      </c>
    </row>
    <row r="301" spans="1:13" x14ac:dyDescent="0.25">
      <c r="A301" s="9">
        <v>102050715300</v>
      </c>
      <c r="B301" s="9" t="str">
        <f t="shared" si="4"/>
        <v>102050715300OVR</v>
      </c>
      <c r="C301" t="s">
        <v>1273</v>
      </c>
      <c r="D301" t="s">
        <v>55</v>
      </c>
      <c r="E301">
        <v>20411454</v>
      </c>
      <c r="F301" t="s">
        <v>1993</v>
      </c>
      <c r="G301" t="s">
        <v>956</v>
      </c>
      <c r="H301" s="1">
        <v>45566</v>
      </c>
      <c r="I301" s="2">
        <v>1</v>
      </c>
      <c r="K301" s="2">
        <v>2</v>
      </c>
      <c r="L301" t="s">
        <v>957</v>
      </c>
      <c r="M301" t="s">
        <v>1962</v>
      </c>
    </row>
    <row r="302" spans="1:13" x14ac:dyDescent="0.25">
      <c r="A302" s="9">
        <v>102051406100</v>
      </c>
      <c r="B302" s="9" t="str">
        <f t="shared" si="4"/>
        <v>102051406100OVR</v>
      </c>
      <c r="C302" t="s">
        <v>1274</v>
      </c>
      <c r="D302" t="s">
        <v>203</v>
      </c>
      <c r="E302">
        <v>20411454</v>
      </c>
      <c r="F302" t="s">
        <v>1993</v>
      </c>
      <c r="G302" t="s">
        <v>956</v>
      </c>
      <c r="H302" s="1">
        <v>45536</v>
      </c>
      <c r="I302" s="2">
        <v>1</v>
      </c>
      <c r="K302" s="2">
        <v>2</v>
      </c>
      <c r="L302" t="s">
        <v>957</v>
      </c>
      <c r="M302" t="s">
        <v>1962</v>
      </c>
    </row>
    <row r="303" spans="1:13" x14ac:dyDescent="0.25">
      <c r="A303" s="9">
        <v>102051423100</v>
      </c>
      <c r="B303" s="9" t="str">
        <f t="shared" si="4"/>
        <v>102051423100OVR</v>
      </c>
      <c r="C303" t="s">
        <v>359</v>
      </c>
      <c r="D303" t="s">
        <v>154</v>
      </c>
      <c r="E303">
        <v>20411454</v>
      </c>
      <c r="F303" t="s">
        <v>1993</v>
      </c>
      <c r="G303" t="s">
        <v>956</v>
      </c>
      <c r="H303" s="1">
        <v>45536</v>
      </c>
      <c r="I303" s="2">
        <v>1</v>
      </c>
      <c r="K303" s="2">
        <v>2</v>
      </c>
      <c r="L303" t="s">
        <v>957</v>
      </c>
      <c r="M303" t="s">
        <v>1962</v>
      </c>
    </row>
    <row r="304" spans="1:13" x14ac:dyDescent="0.25">
      <c r="A304" s="9">
        <v>102051462300</v>
      </c>
      <c r="B304" s="9" t="str">
        <f t="shared" si="4"/>
        <v>102051462300OVR</v>
      </c>
      <c r="C304" t="s">
        <v>1275</v>
      </c>
      <c r="D304" t="s">
        <v>203</v>
      </c>
      <c r="E304">
        <v>20411454</v>
      </c>
      <c r="F304" t="s">
        <v>1993</v>
      </c>
      <c r="G304" t="s">
        <v>956</v>
      </c>
      <c r="H304" s="1">
        <v>45536</v>
      </c>
      <c r="I304" s="2">
        <v>1</v>
      </c>
      <c r="K304" s="2">
        <v>2</v>
      </c>
      <c r="L304" t="s">
        <v>957</v>
      </c>
      <c r="M304" t="s">
        <v>1962</v>
      </c>
    </row>
    <row r="305" spans="1:13" x14ac:dyDescent="0.25">
      <c r="A305" s="9">
        <v>102051937300</v>
      </c>
      <c r="B305" s="9" t="str">
        <f t="shared" si="4"/>
        <v>102051937300OVR</v>
      </c>
      <c r="C305" t="s">
        <v>1276</v>
      </c>
      <c r="D305" t="s">
        <v>66</v>
      </c>
      <c r="E305">
        <v>20411454</v>
      </c>
      <c r="F305" t="s">
        <v>1993</v>
      </c>
      <c r="G305" t="s">
        <v>956</v>
      </c>
      <c r="H305" s="1">
        <v>45536</v>
      </c>
      <c r="I305" s="2">
        <v>1</v>
      </c>
      <c r="K305" s="2">
        <v>2</v>
      </c>
      <c r="L305" t="s">
        <v>957</v>
      </c>
      <c r="M305" t="s">
        <v>1962</v>
      </c>
    </row>
    <row r="306" spans="1:13" x14ac:dyDescent="0.25">
      <c r="A306" s="9">
        <v>102052502800</v>
      </c>
      <c r="B306" s="9" t="str">
        <f t="shared" si="4"/>
        <v>102052502800OVR</v>
      </c>
      <c r="C306" t="s">
        <v>1277</v>
      </c>
      <c r="D306" t="s">
        <v>55</v>
      </c>
      <c r="E306">
        <v>20411454</v>
      </c>
      <c r="F306" t="s">
        <v>1993</v>
      </c>
      <c r="G306" t="s">
        <v>956</v>
      </c>
      <c r="H306" s="1">
        <v>45536</v>
      </c>
      <c r="I306" s="2">
        <v>1</v>
      </c>
      <c r="K306" s="2">
        <v>2</v>
      </c>
      <c r="L306" t="s">
        <v>957</v>
      </c>
      <c r="M306" t="s">
        <v>1962</v>
      </c>
    </row>
    <row r="307" spans="1:13" x14ac:dyDescent="0.25">
      <c r="A307" s="9">
        <v>102053217100</v>
      </c>
      <c r="B307" s="9" t="str">
        <f t="shared" si="4"/>
        <v>102053217100OVR</v>
      </c>
      <c r="C307" t="s">
        <v>282</v>
      </c>
      <c r="D307" t="s">
        <v>55</v>
      </c>
      <c r="E307">
        <v>20411454</v>
      </c>
      <c r="F307" t="s">
        <v>1993</v>
      </c>
      <c r="G307" t="s">
        <v>956</v>
      </c>
      <c r="H307" s="1">
        <v>45536</v>
      </c>
      <c r="I307" s="2">
        <v>1</v>
      </c>
      <c r="K307" s="2">
        <v>2</v>
      </c>
      <c r="L307" t="s">
        <v>957</v>
      </c>
      <c r="M307" t="s">
        <v>1962</v>
      </c>
    </row>
    <row r="308" spans="1:13" x14ac:dyDescent="0.25">
      <c r="A308" s="9">
        <v>102053241100</v>
      </c>
      <c r="B308" s="9" t="str">
        <f t="shared" si="4"/>
        <v>102053241100OVR</v>
      </c>
      <c r="C308" t="s">
        <v>1279</v>
      </c>
      <c r="D308" t="s">
        <v>55</v>
      </c>
      <c r="E308">
        <v>20411454</v>
      </c>
      <c r="F308" t="s">
        <v>1993</v>
      </c>
      <c r="G308" t="s">
        <v>956</v>
      </c>
      <c r="H308" s="1">
        <v>45536</v>
      </c>
      <c r="I308" s="2">
        <v>1</v>
      </c>
      <c r="K308" s="2">
        <v>2</v>
      </c>
      <c r="L308" t="s">
        <v>957</v>
      </c>
      <c r="M308" t="s">
        <v>1962</v>
      </c>
    </row>
    <row r="309" spans="1:13" x14ac:dyDescent="0.25">
      <c r="A309" s="9">
        <v>102053814300</v>
      </c>
      <c r="B309" s="9" t="str">
        <f t="shared" si="4"/>
        <v>102053814300OVR</v>
      </c>
      <c r="C309" t="s">
        <v>1280</v>
      </c>
      <c r="D309" t="s">
        <v>55</v>
      </c>
      <c r="E309">
        <v>20411454</v>
      </c>
      <c r="F309" t="s">
        <v>1993</v>
      </c>
      <c r="G309" t="s">
        <v>956</v>
      </c>
      <c r="H309" s="1">
        <v>45536</v>
      </c>
      <c r="I309" s="2">
        <v>1</v>
      </c>
      <c r="K309" s="2">
        <v>2</v>
      </c>
      <c r="L309" t="s">
        <v>957</v>
      </c>
      <c r="M309" t="s">
        <v>1962</v>
      </c>
    </row>
    <row r="310" spans="1:13" x14ac:dyDescent="0.25">
      <c r="A310" s="9">
        <v>102054994500</v>
      </c>
      <c r="B310" s="9" t="str">
        <f t="shared" si="4"/>
        <v>102054994500OVR</v>
      </c>
      <c r="C310" t="s">
        <v>1281</v>
      </c>
      <c r="D310" t="s">
        <v>188</v>
      </c>
      <c r="E310">
        <v>20411454</v>
      </c>
      <c r="F310" t="s">
        <v>1993</v>
      </c>
      <c r="G310" t="s">
        <v>956</v>
      </c>
      <c r="H310" s="1">
        <v>45566</v>
      </c>
      <c r="I310" s="2">
        <v>1</v>
      </c>
      <c r="K310" s="2">
        <v>2</v>
      </c>
      <c r="L310" t="s">
        <v>957</v>
      </c>
      <c r="M310" t="s">
        <v>1962</v>
      </c>
    </row>
    <row r="311" spans="1:13" x14ac:dyDescent="0.25">
      <c r="A311" s="9">
        <v>102054999900</v>
      </c>
      <c r="B311" s="9" t="str">
        <f t="shared" si="4"/>
        <v>102054999900OVR</v>
      </c>
      <c r="C311" t="s">
        <v>1282</v>
      </c>
      <c r="D311" t="s">
        <v>203</v>
      </c>
      <c r="E311">
        <v>20411454</v>
      </c>
      <c r="F311" t="s">
        <v>1993</v>
      </c>
      <c r="G311" t="s">
        <v>956</v>
      </c>
      <c r="H311" s="1">
        <v>45566</v>
      </c>
      <c r="I311" s="2">
        <v>1</v>
      </c>
      <c r="K311" s="2">
        <v>2</v>
      </c>
      <c r="L311" t="s">
        <v>957</v>
      </c>
      <c r="M311" t="s">
        <v>1962</v>
      </c>
    </row>
    <row r="312" spans="1:13" x14ac:dyDescent="0.25">
      <c r="A312" s="9">
        <v>102055396200</v>
      </c>
      <c r="B312" s="9" t="str">
        <f t="shared" si="4"/>
        <v>102055396200OVR</v>
      </c>
      <c r="C312" t="s">
        <v>1283</v>
      </c>
      <c r="D312" t="s">
        <v>55</v>
      </c>
      <c r="E312">
        <v>20411454</v>
      </c>
      <c r="F312" t="s">
        <v>1993</v>
      </c>
      <c r="G312" t="s">
        <v>956</v>
      </c>
      <c r="H312" s="1">
        <v>45566</v>
      </c>
      <c r="I312" s="2">
        <v>1</v>
      </c>
      <c r="K312" s="2">
        <v>2</v>
      </c>
      <c r="L312" t="s">
        <v>957</v>
      </c>
      <c r="M312" t="s">
        <v>1962</v>
      </c>
    </row>
    <row r="313" spans="1:13" x14ac:dyDescent="0.25">
      <c r="A313" s="9">
        <v>102055440700</v>
      </c>
      <c r="B313" s="9" t="str">
        <f t="shared" si="4"/>
        <v>102055440700OVR</v>
      </c>
      <c r="C313" t="s">
        <v>1284</v>
      </c>
      <c r="D313" t="s">
        <v>1263</v>
      </c>
      <c r="E313">
        <v>20411454</v>
      </c>
      <c r="F313" t="s">
        <v>1993</v>
      </c>
      <c r="G313" t="s">
        <v>956</v>
      </c>
      <c r="H313" s="1">
        <v>45597</v>
      </c>
      <c r="I313" s="2">
        <v>1</v>
      </c>
      <c r="K313" s="2">
        <v>2</v>
      </c>
      <c r="L313" t="s">
        <v>957</v>
      </c>
      <c r="M313" t="s">
        <v>1962</v>
      </c>
    </row>
    <row r="314" spans="1:13" x14ac:dyDescent="0.25">
      <c r="A314" s="9">
        <v>102056819400</v>
      </c>
      <c r="B314" s="9" t="str">
        <f t="shared" si="4"/>
        <v>102056819400OVR</v>
      </c>
      <c r="C314" t="s">
        <v>1285</v>
      </c>
      <c r="D314" t="s">
        <v>246</v>
      </c>
      <c r="E314">
        <v>20411454</v>
      </c>
      <c r="F314" t="s">
        <v>1993</v>
      </c>
      <c r="G314" t="s">
        <v>956</v>
      </c>
      <c r="H314" s="1">
        <v>45566</v>
      </c>
      <c r="I314" s="2">
        <v>1</v>
      </c>
      <c r="K314" s="2">
        <v>2</v>
      </c>
      <c r="L314" t="s">
        <v>957</v>
      </c>
      <c r="M314" t="s">
        <v>1962</v>
      </c>
    </row>
    <row r="315" spans="1:13" x14ac:dyDescent="0.25">
      <c r="A315" s="9">
        <v>102056835200</v>
      </c>
      <c r="B315" s="9" t="str">
        <f t="shared" si="4"/>
        <v>102056835200OVR</v>
      </c>
      <c r="C315" t="s">
        <v>1286</v>
      </c>
      <c r="D315" t="s">
        <v>203</v>
      </c>
      <c r="E315">
        <v>20411454</v>
      </c>
      <c r="F315" t="s">
        <v>1993</v>
      </c>
      <c r="G315" t="s">
        <v>956</v>
      </c>
      <c r="H315" s="1">
        <v>45566</v>
      </c>
      <c r="I315" s="2">
        <v>1</v>
      </c>
      <c r="K315" s="2">
        <v>2</v>
      </c>
      <c r="L315" t="s">
        <v>957</v>
      </c>
      <c r="M315" t="s">
        <v>1962</v>
      </c>
    </row>
    <row r="316" spans="1:13" x14ac:dyDescent="0.25">
      <c r="A316" s="9">
        <v>102058154400</v>
      </c>
      <c r="B316" s="9" t="str">
        <f t="shared" si="4"/>
        <v>102058154400OVR</v>
      </c>
      <c r="C316" t="s">
        <v>1287</v>
      </c>
      <c r="D316" t="s">
        <v>55</v>
      </c>
      <c r="E316">
        <v>20411454</v>
      </c>
      <c r="F316" t="s">
        <v>1993</v>
      </c>
      <c r="G316" t="s">
        <v>956</v>
      </c>
      <c r="H316" s="1">
        <v>45597</v>
      </c>
      <c r="I316" s="2">
        <v>1</v>
      </c>
      <c r="K316" s="2">
        <v>2</v>
      </c>
      <c r="L316" t="s">
        <v>957</v>
      </c>
      <c r="M316" t="s">
        <v>1962</v>
      </c>
    </row>
    <row r="317" spans="1:13" x14ac:dyDescent="0.25">
      <c r="A317" s="9">
        <v>102058162400</v>
      </c>
      <c r="B317" s="9" t="str">
        <f t="shared" si="4"/>
        <v>102058162400OVR</v>
      </c>
      <c r="C317" t="s">
        <v>1288</v>
      </c>
      <c r="D317" t="s">
        <v>203</v>
      </c>
      <c r="E317">
        <v>20411454</v>
      </c>
      <c r="F317" t="s">
        <v>1993</v>
      </c>
      <c r="G317" t="s">
        <v>956</v>
      </c>
      <c r="H317" s="1">
        <v>45566</v>
      </c>
      <c r="I317" s="2">
        <v>1</v>
      </c>
      <c r="K317" s="2">
        <v>2</v>
      </c>
      <c r="L317" t="s">
        <v>957</v>
      </c>
      <c r="M317" t="s">
        <v>1962</v>
      </c>
    </row>
    <row r="318" spans="1:13" x14ac:dyDescent="0.25">
      <c r="A318" s="9">
        <v>102058656500</v>
      </c>
      <c r="B318" s="9" t="str">
        <f t="shared" si="4"/>
        <v>102058656500OVR</v>
      </c>
      <c r="C318" t="s">
        <v>1289</v>
      </c>
      <c r="D318" t="s">
        <v>55</v>
      </c>
      <c r="E318">
        <v>20411454</v>
      </c>
      <c r="F318" t="s">
        <v>1993</v>
      </c>
      <c r="G318" t="s">
        <v>956</v>
      </c>
      <c r="H318" s="1">
        <v>45597</v>
      </c>
      <c r="I318" s="2">
        <v>1</v>
      </c>
      <c r="K318" s="2">
        <v>2</v>
      </c>
      <c r="L318" t="s">
        <v>957</v>
      </c>
      <c r="M318" t="s">
        <v>1962</v>
      </c>
    </row>
    <row r="319" spans="1:13" x14ac:dyDescent="0.25">
      <c r="A319" s="9">
        <v>102059200300</v>
      </c>
      <c r="B319" s="9" t="str">
        <f t="shared" si="4"/>
        <v>102059200300OVR</v>
      </c>
      <c r="C319" t="s">
        <v>1290</v>
      </c>
      <c r="D319" t="s">
        <v>55</v>
      </c>
      <c r="E319">
        <v>20411454</v>
      </c>
      <c r="F319" t="s">
        <v>1993</v>
      </c>
      <c r="G319" t="s">
        <v>956</v>
      </c>
      <c r="H319" s="1">
        <v>45566</v>
      </c>
      <c r="I319" s="2">
        <v>1</v>
      </c>
      <c r="K319" s="2">
        <v>2</v>
      </c>
      <c r="L319" t="s">
        <v>957</v>
      </c>
      <c r="M319" t="s">
        <v>1962</v>
      </c>
    </row>
    <row r="320" spans="1:13" x14ac:dyDescent="0.25">
      <c r="A320" s="9">
        <v>102059218000</v>
      </c>
      <c r="B320" s="9" t="str">
        <f t="shared" si="4"/>
        <v>102059218000OVR</v>
      </c>
      <c r="C320" t="s">
        <v>1291</v>
      </c>
      <c r="D320" t="s">
        <v>203</v>
      </c>
      <c r="E320">
        <v>20411454</v>
      </c>
      <c r="F320" t="s">
        <v>1993</v>
      </c>
      <c r="G320" t="s">
        <v>956</v>
      </c>
      <c r="H320" s="1">
        <v>45566</v>
      </c>
      <c r="I320" s="2">
        <v>1</v>
      </c>
      <c r="K320" s="2">
        <v>2</v>
      </c>
      <c r="L320" t="s">
        <v>957</v>
      </c>
      <c r="M320" t="s">
        <v>1962</v>
      </c>
    </row>
    <row r="321" spans="1:13" x14ac:dyDescent="0.25">
      <c r="A321" s="9">
        <v>102059559800</v>
      </c>
      <c r="B321" s="9" t="str">
        <f t="shared" si="4"/>
        <v>102059559800OVR</v>
      </c>
      <c r="C321" t="s">
        <v>1292</v>
      </c>
      <c r="D321" t="s">
        <v>203</v>
      </c>
      <c r="E321">
        <v>20411454</v>
      </c>
      <c r="F321" t="s">
        <v>1993</v>
      </c>
      <c r="G321" t="s">
        <v>956</v>
      </c>
      <c r="H321" s="1">
        <v>45566</v>
      </c>
      <c r="I321" s="2">
        <v>1</v>
      </c>
      <c r="K321" s="2">
        <v>2</v>
      </c>
      <c r="L321" t="s">
        <v>957</v>
      </c>
      <c r="M321" t="s">
        <v>1962</v>
      </c>
    </row>
    <row r="322" spans="1:13" x14ac:dyDescent="0.25">
      <c r="A322" s="9">
        <v>102059560100</v>
      </c>
      <c r="B322" s="9" t="str">
        <f t="shared" si="4"/>
        <v>102059560100OVR</v>
      </c>
      <c r="C322" t="s">
        <v>1293</v>
      </c>
      <c r="D322" t="s">
        <v>1294</v>
      </c>
      <c r="E322">
        <v>20411454</v>
      </c>
      <c r="F322" t="s">
        <v>1993</v>
      </c>
      <c r="G322" t="s">
        <v>956</v>
      </c>
      <c r="H322" s="1">
        <v>45566</v>
      </c>
      <c r="I322" s="2">
        <v>1</v>
      </c>
      <c r="K322" s="2">
        <v>2</v>
      </c>
      <c r="L322" t="s">
        <v>957</v>
      </c>
      <c r="M322" t="s">
        <v>1962</v>
      </c>
    </row>
    <row r="323" spans="1:13" x14ac:dyDescent="0.25">
      <c r="A323" s="9">
        <v>102061419300</v>
      </c>
      <c r="B323" s="9" t="str">
        <f t="shared" ref="B323:B386" si="5">CONCATENATE(A323,"OVR")</f>
        <v>102061419300OVR</v>
      </c>
      <c r="C323" t="s">
        <v>1297</v>
      </c>
      <c r="D323" t="s">
        <v>203</v>
      </c>
      <c r="E323">
        <v>20411454</v>
      </c>
      <c r="F323" t="s">
        <v>1993</v>
      </c>
      <c r="G323" t="s">
        <v>956</v>
      </c>
      <c r="H323" s="1">
        <v>45566</v>
      </c>
      <c r="I323" s="2">
        <v>1</v>
      </c>
      <c r="K323" s="2">
        <v>2</v>
      </c>
      <c r="L323" t="s">
        <v>957</v>
      </c>
      <c r="M323" t="s">
        <v>1962</v>
      </c>
    </row>
    <row r="324" spans="1:13" x14ac:dyDescent="0.25">
      <c r="A324" s="9">
        <v>102061556500</v>
      </c>
      <c r="B324" s="9" t="str">
        <f t="shared" si="5"/>
        <v>102061556500OVR</v>
      </c>
      <c r="C324" t="s">
        <v>1298</v>
      </c>
      <c r="D324" t="s">
        <v>55</v>
      </c>
      <c r="E324">
        <v>20411454</v>
      </c>
      <c r="F324" t="s">
        <v>1993</v>
      </c>
      <c r="G324" t="s">
        <v>956</v>
      </c>
      <c r="H324" s="1">
        <v>45566</v>
      </c>
      <c r="I324" s="2">
        <v>1</v>
      </c>
      <c r="K324" s="2">
        <v>2</v>
      </c>
      <c r="L324" t="s">
        <v>957</v>
      </c>
      <c r="M324" t="s">
        <v>1962</v>
      </c>
    </row>
    <row r="325" spans="1:13" x14ac:dyDescent="0.25">
      <c r="A325" s="9">
        <v>102061588300</v>
      </c>
      <c r="B325" s="9" t="str">
        <f t="shared" si="5"/>
        <v>102061588300OVR</v>
      </c>
      <c r="C325" t="s">
        <v>1299</v>
      </c>
      <c r="D325" t="s">
        <v>203</v>
      </c>
      <c r="E325">
        <v>20411454</v>
      </c>
      <c r="F325" t="s">
        <v>1993</v>
      </c>
      <c r="G325" t="s">
        <v>956</v>
      </c>
      <c r="H325" s="1">
        <v>45566</v>
      </c>
      <c r="I325" s="2">
        <v>1</v>
      </c>
      <c r="K325" s="2">
        <v>2</v>
      </c>
      <c r="L325" t="s">
        <v>957</v>
      </c>
      <c r="M325" t="s">
        <v>1962</v>
      </c>
    </row>
    <row r="326" spans="1:13" x14ac:dyDescent="0.25">
      <c r="A326" s="9">
        <v>102061850500</v>
      </c>
      <c r="B326" s="9" t="str">
        <f t="shared" si="5"/>
        <v>102061850500OVR</v>
      </c>
      <c r="C326" t="s">
        <v>1300</v>
      </c>
      <c r="D326" t="s">
        <v>55</v>
      </c>
      <c r="E326">
        <v>20411454</v>
      </c>
      <c r="F326" t="s">
        <v>1993</v>
      </c>
      <c r="G326" t="s">
        <v>956</v>
      </c>
      <c r="H326" s="1">
        <v>45566</v>
      </c>
      <c r="I326" s="2">
        <v>1</v>
      </c>
      <c r="K326" s="2">
        <v>2</v>
      </c>
      <c r="L326" t="s">
        <v>957</v>
      </c>
      <c r="M326" t="s">
        <v>1962</v>
      </c>
    </row>
    <row r="327" spans="1:13" x14ac:dyDescent="0.25">
      <c r="A327" s="9">
        <v>102062449500</v>
      </c>
      <c r="B327" s="9" t="str">
        <f t="shared" si="5"/>
        <v>102062449500OVR</v>
      </c>
      <c r="C327" t="s">
        <v>1301</v>
      </c>
      <c r="D327" t="s">
        <v>55</v>
      </c>
      <c r="E327">
        <v>20411454</v>
      </c>
      <c r="F327" t="s">
        <v>1993</v>
      </c>
      <c r="G327" t="s">
        <v>956</v>
      </c>
      <c r="H327" s="1">
        <v>45627</v>
      </c>
      <c r="I327" s="2">
        <v>1</v>
      </c>
      <c r="K327" s="2">
        <v>2</v>
      </c>
      <c r="L327" t="s">
        <v>957</v>
      </c>
      <c r="M327" t="s">
        <v>1962</v>
      </c>
    </row>
    <row r="328" spans="1:13" x14ac:dyDescent="0.25">
      <c r="A328" s="9">
        <v>102063468900</v>
      </c>
      <c r="B328" s="9" t="str">
        <f t="shared" si="5"/>
        <v>102063468900OVR</v>
      </c>
      <c r="C328" t="s">
        <v>1302</v>
      </c>
      <c r="D328" t="s">
        <v>55</v>
      </c>
      <c r="E328">
        <v>20411454</v>
      </c>
      <c r="F328" t="s">
        <v>1993</v>
      </c>
      <c r="G328" t="s">
        <v>956</v>
      </c>
      <c r="H328" s="1">
        <v>45566</v>
      </c>
      <c r="I328" s="2">
        <v>1</v>
      </c>
      <c r="K328" s="2">
        <v>2</v>
      </c>
      <c r="L328" t="s">
        <v>957</v>
      </c>
      <c r="M328" t="s">
        <v>1962</v>
      </c>
    </row>
    <row r="329" spans="1:13" x14ac:dyDescent="0.25">
      <c r="A329" s="9">
        <v>102064231900</v>
      </c>
      <c r="B329" s="9" t="str">
        <f t="shared" si="5"/>
        <v>102064231900OVR</v>
      </c>
      <c r="C329" t="s">
        <v>1305</v>
      </c>
      <c r="D329" t="s">
        <v>203</v>
      </c>
      <c r="E329">
        <v>20411454</v>
      </c>
      <c r="F329" t="s">
        <v>1993</v>
      </c>
      <c r="G329" t="s">
        <v>956</v>
      </c>
      <c r="H329" s="1">
        <v>45566</v>
      </c>
      <c r="I329" s="2">
        <v>1</v>
      </c>
      <c r="K329" s="2">
        <v>2</v>
      </c>
      <c r="L329" t="s">
        <v>957</v>
      </c>
      <c r="M329" t="s">
        <v>1962</v>
      </c>
    </row>
    <row r="330" spans="1:13" x14ac:dyDescent="0.25">
      <c r="A330" s="9">
        <v>102064758600</v>
      </c>
      <c r="B330" s="9" t="str">
        <f t="shared" si="5"/>
        <v>102064758600OVR</v>
      </c>
      <c r="C330" t="s">
        <v>1306</v>
      </c>
      <c r="D330" t="s">
        <v>203</v>
      </c>
      <c r="E330">
        <v>20411454</v>
      </c>
      <c r="F330" t="s">
        <v>1993</v>
      </c>
      <c r="G330" t="s">
        <v>956</v>
      </c>
      <c r="H330" s="1">
        <v>45566</v>
      </c>
      <c r="I330" s="2">
        <v>1</v>
      </c>
      <c r="K330" s="2">
        <v>2</v>
      </c>
      <c r="L330" t="s">
        <v>957</v>
      </c>
      <c r="M330" t="s">
        <v>1962</v>
      </c>
    </row>
    <row r="331" spans="1:13" x14ac:dyDescent="0.25">
      <c r="A331" s="9">
        <v>102064852300</v>
      </c>
      <c r="B331" s="9" t="str">
        <f t="shared" si="5"/>
        <v>102064852300OVR</v>
      </c>
      <c r="C331" t="s">
        <v>1308</v>
      </c>
      <c r="D331" t="s">
        <v>55</v>
      </c>
      <c r="E331">
        <v>20411454</v>
      </c>
      <c r="F331" t="s">
        <v>1993</v>
      </c>
      <c r="G331" t="s">
        <v>956</v>
      </c>
      <c r="H331" s="1">
        <v>45566</v>
      </c>
      <c r="I331" s="2">
        <v>1</v>
      </c>
      <c r="K331" s="2">
        <v>2</v>
      </c>
      <c r="L331" t="s">
        <v>957</v>
      </c>
      <c r="M331" t="s">
        <v>1962</v>
      </c>
    </row>
    <row r="332" spans="1:13" x14ac:dyDescent="0.25">
      <c r="A332" s="9">
        <v>102065623700</v>
      </c>
      <c r="B332" s="9" t="str">
        <f t="shared" si="5"/>
        <v>102065623700OVR</v>
      </c>
      <c r="C332" t="s">
        <v>1309</v>
      </c>
      <c r="D332" t="s">
        <v>203</v>
      </c>
      <c r="E332">
        <v>20411454</v>
      </c>
      <c r="F332" t="s">
        <v>1993</v>
      </c>
      <c r="G332" t="s">
        <v>956</v>
      </c>
      <c r="H332" s="1">
        <v>45597</v>
      </c>
      <c r="I332" s="2">
        <v>1</v>
      </c>
      <c r="K332" s="2">
        <v>2</v>
      </c>
      <c r="L332" t="s">
        <v>957</v>
      </c>
      <c r="M332" t="s">
        <v>1962</v>
      </c>
    </row>
    <row r="333" spans="1:13" x14ac:dyDescent="0.25">
      <c r="A333" s="9">
        <v>102065624200</v>
      </c>
      <c r="B333" s="9" t="str">
        <f t="shared" si="5"/>
        <v>102065624200OVR</v>
      </c>
      <c r="C333" t="s">
        <v>1310</v>
      </c>
      <c r="D333" t="s">
        <v>203</v>
      </c>
      <c r="E333">
        <v>20411454</v>
      </c>
      <c r="F333" t="s">
        <v>1993</v>
      </c>
      <c r="G333" t="s">
        <v>956</v>
      </c>
      <c r="H333" s="1">
        <v>45597</v>
      </c>
      <c r="I333" s="2">
        <v>1</v>
      </c>
      <c r="K333" s="2">
        <v>2</v>
      </c>
      <c r="L333" t="s">
        <v>957</v>
      </c>
      <c r="M333" t="s">
        <v>1962</v>
      </c>
    </row>
    <row r="334" spans="1:13" x14ac:dyDescent="0.25">
      <c r="A334" s="9">
        <v>102066402500</v>
      </c>
      <c r="B334" s="9" t="str">
        <f t="shared" si="5"/>
        <v>102066402500OVR</v>
      </c>
      <c r="C334" t="s">
        <v>1311</v>
      </c>
      <c r="D334" t="s">
        <v>55</v>
      </c>
      <c r="E334">
        <v>20411454</v>
      </c>
      <c r="F334" t="s">
        <v>1993</v>
      </c>
      <c r="G334" t="s">
        <v>956</v>
      </c>
      <c r="H334" s="1">
        <v>45597</v>
      </c>
      <c r="I334" s="2">
        <v>1</v>
      </c>
      <c r="K334" s="2">
        <v>2</v>
      </c>
      <c r="L334" t="s">
        <v>957</v>
      </c>
      <c r="M334" t="s">
        <v>1962</v>
      </c>
    </row>
    <row r="335" spans="1:13" x14ac:dyDescent="0.25">
      <c r="A335" s="9">
        <v>102066699300</v>
      </c>
      <c r="B335" s="9" t="str">
        <f t="shared" si="5"/>
        <v>102066699300OVR</v>
      </c>
      <c r="C335" t="s">
        <v>1312</v>
      </c>
      <c r="E335">
        <v>20411454</v>
      </c>
      <c r="F335" t="s">
        <v>1993</v>
      </c>
      <c r="G335" t="s">
        <v>956</v>
      </c>
      <c r="H335" s="1">
        <v>45597</v>
      </c>
      <c r="I335" s="2">
        <v>1</v>
      </c>
      <c r="K335" s="2">
        <v>2</v>
      </c>
      <c r="L335" t="s">
        <v>957</v>
      </c>
      <c r="M335" t="s">
        <v>1962</v>
      </c>
    </row>
    <row r="336" spans="1:13" x14ac:dyDescent="0.25">
      <c r="A336" s="9">
        <v>102068178600</v>
      </c>
      <c r="B336" s="9" t="str">
        <f t="shared" si="5"/>
        <v>102068178600OVR</v>
      </c>
      <c r="C336" t="s">
        <v>1313</v>
      </c>
      <c r="D336" t="s">
        <v>203</v>
      </c>
      <c r="E336">
        <v>20411454</v>
      </c>
      <c r="F336" t="s">
        <v>1993</v>
      </c>
      <c r="G336" t="s">
        <v>956</v>
      </c>
      <c r="H336" s="1">
        <v>45597</v>
      </c>
      <c r="I336" s="2">
        <v>1</v>
      </c>
      <c r="K336" s="2">
        <v>2</v>
      </c>
      <c r="L336" t="s">
        <v>957</v>
      </c>
      <c r="M336" t="s">
        <v>1962</v>
      </c>
    </row>
    <row r="337" spans="1:13" x14ac:dyDescent="0.25">
      <c r="A337" s="9">
        <v>102068196700</v>
      </c>
      <c r="B337" s="9" t="str">
        <f t="shared" si="5"/>
        <v>102068196700OVR</v>
      </c>
      <c r="C337" t="s">
        <v>1314</v>
      </c>
      <c r="D337" t="s">
        <v>55</v>
      </c>
      <c r="E337">
        <v>20411454</v>
      </c>
      <c r="F337" t="s">
        <v>1993</v>
      </c>
      <c r="G337" t="s">
        <v>956</v>
      </c>
      <c r="H337" s="1">
        <v>45597</v>
      </c>
      <c r="I337" s="2">
        <v>1</v>
      </c>
      <c r="K337" s="2">
        <v>2</v>
      </c>
      <c r="L337" t="s">
        <v>957</v>
      </c>
      <c r="M337" t="s">
        <v>1962</v>
      </c>
    </row>
    <row r="338" spans="1:13" x14ac:dyDescent="0.25">
      <c r="A338" s="9">
        <v>102069037500</v>
      </c>
      <c r="B338" s="9" t="str">
        <f t="shared" si="5"/>
        <v>102069037500OVR</v>
      </c>
      <c r="C338" t="s">
        <v>1315</v>
      </c>
      <c r="D338" t="s">
        <v>203</v>
      </c>
      <c r="E338">
        <v>20411454</v>
      </c>
      <c r="F338" t="s">
        <v>1993</v>
      </c>
      <c r="G338" t="s">
        <v>956</v>
      </c>
      <c r="H338" s="1">
        <v>45627</v>
      </c>
      <c r="I338" s="2">
        <v>1</v>
      </c>
      <c r="K338" s="2">
        <v>2</v>
      </c>
      <c r="L338" t="s">
        <v>957</v>
      </c>
      <c r="M338" t="s">
        <v>1962</v>
      </c>
    </row>
    <row r="339" spans="1:13" x14ac:dyDescent="0.25">
      <c r="A339" s="9">
        <v>102069330900</v>
      </c>
      <c r="B339" s="9" t="str">
        <f t="shared" si="5"/>
        <v>102069330900OVR</v>
      </c>
      <c r="C339" t="s">
        <v>1316</v>
      </c>
      <c r="D339" t="s">
        <v>188</v>
      </c>
      <c r="E339">
        <v>20411454</v>
      </c>
      <c r="F339" t="s">
        <v>1993</v>
      </c>
      <c r="G339" t="s">
        <v>956</v>
      </c>
      <c r="H339" s="1">
        <v>45597</v>
      </c>
      <c r="I339" s="2">
        <v>1</v>
      </c>
      <c r="K339" s="2">
        <v>2</v>
      </c>
      <c r="L339" t="s">
        <v>957</v>
      </c>
      <c r="M339" t="s">
        <v>1962</v>
      </c>
    </row>
    <row r="340" spans="1:13" x14ac:dyDescent="0.25">
      <c r="A340" s="9">
        <v>102069393600</v>
      </c>
      <c r="B340" s="9" t="str">
        <f t="shared" si="5"/>
        <v>102069393600OVR</v>
      </c>
      <c r="C340" t="s">
        <v>1317</v>
      </c>
      <c r="D340" t="s">
        <v>246</v>
      </c>
      <c r="E340">
        <v>20411454</v>
      </c>
      <c r="F340" t="s">
        <v>1993</v>
      </c>
      <c r="G340" t="s">
        <v>956</v>
      </c>
      <c r="H340" s="1">
        <v>45627</v>
      </c>
      <c r="I340" s="2">
        <v>1</v>
      </c>
      <c r="K340" s="2">
        <v>2</v>
      </c>
      <c r="L340" t="s">
        <v>957</v>
      </c>
      <c r="M340" t="s">
        <v>1962</v>
      </c>
    </row>
    <row r="341" spans="1:13" x14ac:dyDescent="0.25">
      <c r="A341" s="9">
        <v>102071177500</v>
      </c>
      <c r="B341" s="9" t="str">
        <f t="shared" si="5"/>
        <v>102071177500OVR</v>
      </c>
      <c r="C341" t="s">
        <v>1319</v>
      </c>
      <c r="D341" t="s">
        <v>203</v>
      </c>
      <c r="E341">
        <v>20411454</v>
      </c>
      <c r="F341" t="s">
        <v>1993</v>
      </c>
      <c r="G341" t="s">
        <v>956</v>
      </c>
      <c r="H341" s="1">
        <v>45597</v>
      </c>
      <c r="I341" s="2">
        <v>1</v>
      </c>
      <c r="K341" s="2">
        <v>2</v>
      </c>
      <c r="L341" t="s">
        <v>957</v>
      </c>
      <c r="M341" t="s">
        <v>1962</v>
      </c>
    </row>
    <row r="342" spans="1:13" x14ac:dyDescent="0.25">
      <c r="A342" s="9">
        <v>102072923100</v>
      </c>
      <c r="B342" s="9" t="str">
        <f t="shared" si="5"/>
        <v>102072923100OVR</v>
      </c>
      <c r="C342" t="s">
        <v>1320</v>
      </c>
      <c r="D342" t="s">
        <v>203</v>
      </c>
      <c r="E342">
        <v>20411454</v>
      </c>
      <c r="F342" t="s">
        <v>1993</v>
      </c>
      <c r="G342" t="s">
        <v>956</v>
      </c>
      <c r="H342" s="1">
        <v>45627</v>
      </c>
      <c r="I342" s="2">
        <v>1</v>
      </c>
      <c r="K342" s="2">
        <v>2</v>
      </c>
      <c r="L342" t="s">
        <v>957</v>
      </c>
      <c r="M342" t="s">
        <v>1962</v>
      </c>
    </row>
    <row r="343" spans="1:13" x14ac:dyDescent="0.25">
      <c r="A343" s="9">
        <v>102078192100</v>
      </c>
      <c r="B343" s="9" t="str">
        <f t="shared" si="5"/>
        <v>102078192100OVR</v>
      </c>
      <c r="C343" t="s">
        <v>1322</v>
      </c>
      <c r="D343" t="s">
        <v>398</v>
      </c>
      <c r="E343">
        <v>20411454</v>
      </c>
      <c r="F343" t="s">
        <v>1993</v>
      </c>
      <c r="G343" t="s">
        <v>956</v>
      </c>
      <c r="H343" s="1">
        <v>45597</v>
      </c>
      <c r="I343" s="2">
        <v>1</v>
      </c>
      <c r="K343" s="2">
        <v>2</v>
      </c>
      <c r="L343" t="s">
        <v>957</v>
      </c>
      <c r="M343" t="s">
        <v>1962</v>
      </c>
    </row>
    <row r="344" spans="1:13" x14ac:dyDescent="0.25">
      <c r="A344" s="9">
        <v>102078822400</v>
      </c>
      <c r="B344" s="9" t="str">
        <f t="shared" si="5"/>
        <v>102078822400OVR</v>
      </c>
      <c r="C344" t="s">
        <v>1323</v>
      </c>
      <c r="D344" t="s">
        <v>154</v>
      </c>
      <c r="E344">
        <v>20411454</v>
      </c>
      <c r="F344" t="s">
        <v>1993</v>
      </c>
      <c r="G344" t="s">
        <v>956</v>
      </c>
      <c r="H344" s="1">
        <v>45627</v>
      </c>
      <c r="I344" s="2">
        <v>1</v>
      </c>
      <c r="K344" s="2">
        <v>2</v>
      </c>
      <c r="L344" t="s">
        <v>957</v>
      </c>
      <c r="M344" t="s">
        <v>1962</v>
      </c>
    </row>
    <row r="345" spans="1:13" x14ac:dyDescent="0.25">
      <c r="A345" s="9">
        <v>102079442100</v>
      </c>
      <c r="B345" s="9" t="str">
        <f t="shared" si="5"/>
        <v>102079442100OVR</v>
      </c>
      <c r="C345" t="s">
        <v>1324</v>
      </c>
      <c r="D345" t="s">
        <v>1263</v>
      </c>
      <c r="E345">
        <v>20411454</v>
      </c>
      <c r="F345" t="s">
        <v>1993</v>
      </c>
      <c r="G345" t="s">
        <v>956</v>
      </c>
      <c r="H345" s="1">
        <v>45597</v>
      </c>
      <c r="I345" s="2">
        <v>1</v>
      </c>
      <c r="K345" s="2">
        <v>2</v>
      </c>
      <c r="L345" t="s">
        <v>957</v>
      </c>
      <c r="M345" t="s">
        <v>1962</v>
      </c>
    </row>
    <row r="346" spans="1:13" x14ac:dyDescent="0.25">
      <c r="A346" s="9">
        <v>102081559700</v>
      </c>
      <c r="B346" s="9" t="str">
        <f t="shared" si="5"/>
        <v>102081559700OVR</v>
      </c>
      <c r="C346" t="s">
        <v>1326</v>
      </c>
      <c r="D346" t="s">
        <v>203</v>
      </c>
      <c r="E346">
        <v>20411454</v>
      </c>
      <c r="F346" t="s">
        <v>1993</v>
      </c>
      <c r="G346" t="s">
        <v>956</v>
      </c>
      <c r="H346" s="1">
        <v>45627</v>
      </c>
      <c r="I346" s="2">
        <v>1</v>
      </c>
      <c r="K346" s="2">
        <v>2</v>
      </c>
      <c r="L346" t="s">
        <v>957</v>
      </c>
      <c r="M346" t="s">
        <v>1962</v>
      </c>
    </row>
    <row r="347" spans="1:13" x14ac:dyDescent="0.25">
      <c r="A347" s="9">
        <v>102082370200</v>
      </c>
      <c r="B347" s="9" t="str">
        <f t="shared" si="5"/>
        <v>102082370200OVR</v>
      </c>
      <c r="C347" t="s">
        <v>1327</v>
      </c>
      <c r="D347" t="s">
        <v>55</v>
      </c>
      <c r="E347">
        <v>20411454</v>
      </c>
      <c r="F347" t="s">
        <v>1993</v>
      </c>
      <c r="G347" t="s">
        <v>956</v>
      </c>
      <c r="H347" s="1">
        <v>45597</v>
      </c>
      <c r="I347" s="2">
        <v>1</v>
      </c>
      <c r="K347" s="2">
        <v>2</v>
      </c>
      <c r="L347" t="s">
        <v>957</v>
      </c>
      <c r="M347" t="s">
        <v>1962</v>
      </c>
    </row>
    <row r="348" spans="1:13" x14ac:dyDescent="0.25">
      <c r="A348" s="9">
        <v>102084927600</v>
      </c>
      <c r="B348" s="9" t="str">
        <f t="shared" si="5"/>
        <v>102084927600OVR</v>
      </c>
      <c r="C348" t="s">
        <v>1328</v>
      </c>
      <c r="D348" t="s">
        <v>55</v>
      </c>
      <c r="E348">
        <v>20411454</v>
      </c>
      <c r="F348" t="s">
        <v>1993</v>
      </c>
      <c r="G348" t="s">
        <v>956</v>
      </c>
      <c r="H348" s="1">
        <v>45627</v>
      </c>
      <c r="I348" s="2">
        <v>1</v>
      </c>
      <c r="K348" s="2">
        <v>2</v>
      </c>
      <c r="L348" t="s">
        <v>957</v>
      </c>
      <c r="M348" t="s">
        <v>1962</v>
      </c>
    </row>
    <row r="349" spans="1:13" x14ac:dyDescent="0.25">
      <c r="A349" s="9">
        <v>102085672600</v>
      </c>
      <c r="B349" s="9" t="str">
        <f t="shared" si="5"/>
        <v>102085672600OVR</v>
      </c>
      <c r="C349" t="s">
        <v>1329</v>
      </c>
      <c r="D349" t="s">
        <v>398</v>
      </c>
      <c r="E349">
        <v>20411454</v>
      </c>
      <c r="F349" t="s">
        <v>1993</v>
      </c>
      <c r="G349" t="s">
        <v>956</v>
      </c>
      <c r="H349" s="1">
        <v>45627</v>
      </c>
      <c r="I349" s="2">
        <v>1</v>
      </c>
      <c r="K349" s="2">
        <v>2</v>
      </c>
      <c r="L349" t="s">
        <v>957</v>
      </c>
      <c r="M349" t="s">
        <v>1962</v>
      </c>
    </row>
    <row r="350" spans="1:13" x14ac:dyDescent="0.25">
      <c r="A350" s="9">
        <v>102086309300</v>
      </c>
      <c r="B350" s="9" t="str">
        <f t="shared" si="5"/>
        <v>102086309300OVR</v>
      </c>
      <c r="C350" t="s">
        <v>1330</v>
      </c>
      <c r="D350" t="s">
        <v>55</v>
      </c>
      <c r="E350">
        <v>20411454</v>
      </c>
      <c r="F350" t="s">
        <v>1993</v>
      </c>
      <c r="G350" t="s">
        <v>956</v>
      </c>
      <c r="H350" s="1">
        <v>45627</v>
      </c>
      <c r="I350" s="2">
        <v>1</v>
      </c>
      <c r="K350" s="2">
        <v>2</v>
      </c>
      <c r="L350" t="s">
        <v>957</v>
      </c>
      <c r="M350" t="s">
        <v>1962</v>
      </c>
    </row>
    <row r="351" spans="1:13" x14ac:dyDescent="0.25">
      <c r="A351" s="9">
        <v>102088844600</v>
      </c>
      <c r="B351" s="9" t="str">
        <f t="shared" si="5"/>
        <v>102088844600OVR</v>
      </c>
      <c r="C351" t="s">
        <v>1331</v>
      </c>
      <c r="D351" t="s">
        <v>55</v>
      </c>
      <c r="E351">
        <v>20411454</v>
      </c>
      <c r="F351" t="s">
        <v>1993</v>
      </c>
      <c r="G351" t="s">
        <v>956</v>
      </c>
      <c r="H351" s="1">
        <v>45627</v>
      </c>
      <c r="I351" s="2">
        <v>1</v>
      </c>
      <c r="K351" s="2">
        <v>2</v>
      </c>
      <c r="L351" t="s">
        <v>957</v>
      </c>
      <c r="M351" t="s">
        <v>1962</v>
      </c>
    </row>
    <row r="352" spans="1:13" x14ac:dyDescent="0.25">
      <c r="A352" s="9">
        <v>102092114400</v>
      </c>
      <c r="B352" s="9" t="str">
        <f t="shared" si="5"/>
        <v>102092114400OVR</v>
      </c>
      <c r="C352" t="s">
        <v>1332</v>
      </c>
      <c r="D352" t="s">
        <v>55</v>
      </c>
      <c r="E352">
        <v>20411454</v>
      </c>
      <c r="F352" t="s">
        <v>1993</v>
      </c>
      <c r="G352" t="s">
        <v>956</v>
      </c>
      <c r="H352" s="1">
        <v>45627</v>
      </c>
      <c r="I352" s="2">
        <v>1</v>
      </c>
      <c r="K352" s="2">
        <v>2</v>
      </c>
      <c r="L352" t="s">
        <v>957</v>
      </c>
      <c r="M352" t="s">
        <v>1962</v>
      </c>
    </row>
    <row r="353" spans="1:13" x14ac:dyDescent="0.25">
      <c r="A353" s="9">
        <v>102095689100</v>
      </c>
      <c r="B353" s="9" t="str">
        <f t="shared" si="5"/>
        <v>102095689100OVR</v>
      </c>
      <c r="C353" t="s">
        <v>1333</v>
      </c>
      <c r="D353" t="s">
        <v>398</v>
      </c>
      <c r="E353">
        <v>20411454</v>
      </c>
      <c r="F353" t="s">
        <v>1993</v>
      </c>
      <c r="G353" t="s">
        <v>956</v>
      </c>
      <c r="H353" s="1">
        <v>45627</v>
      </c>
      <c r="I353" s="2">
        <v>1</v>
      </c>
      <c r="K353" s="2">
        <v>2</v>
      </c>
      <c r="L353" t="s">
        <v>957</v>
      </c>
      <c r="M353" t="s">
        <v>1962</v>
      </c>
    </row>
    <row r="354" spans="1:13" x14ac:dyDescent="0.25">
      <c r="A354" s="9">
        <v>102097467700</v>
      </c>
      <c r="B354" s="9" t="str">
        <f t="shared" si="5"/>
        <v>102097467700OVR</v>
      </c>
      <c r="C354" t="s">
        <v>1334</v>
      </c>
      <c r="D354" t="s">
        <v>66</v>
      </c>
      <c r="E354">
        <v>20411454</v>
      </c>
      <c r="F354" t="s">
        <v>1993</v>
      </c>
      <c r="G354" t="s">
        <v>956</v>
      </c>
      <c r="H354" s="1">
        <v>45627</v>
      </c>
      <c r="I354" s="2">
        <v>1</v>
      </c>
      <c r="K354" s="2">
        <v>2</v>
      </c>
      <c r="L354" t="s">
        <v>957</v>
      </c>
      <c r="M354" t="s">
        <v>1962</v>
      </c>
    </row>
    <row r="355" spans="1:13" x14ac:dyDescent="0.25">
      <c r="A355" s="9">
        <v>102098890500</v>
      </c>
      <c r="B355" s="9" t="str">
        <f t="shared" si="5"/>
        <v>102098890500OVR</v>
      </c>
      <c r="C355" t="s">
        <v>1335</v>
      </c>
      <c r="D355" t="s">
        <v>203</v>
      </c>
      <c r="E355">
        <v>20411454</v>
      </c>
      <c r="F355" t="s">
        <v>1993</v>
      </c>
      <c r="G355" t="s">
        <v>956</v>
      </c>
      <c r="H355" s="1">
        <v>45627</v>
      </c>
      <c r="I355" s="2">
        <v>1</v>
      </c>
      <c r="K355" s="2">
        <v>2</v>
      </c>
      <c r="L355" t="s">
        <v>957</v>
      </c>
      <c r="M355" t="s">
        <v>1962</v>
      </c>
    </row>
    <row r="356" spans="1:13" x14ac:dyDescent="0.25">
      <c r="A356" s="9">
        <v>102104604100</v>
      </c>
      <c r="B356" s="9" t="str">
        <f t="shared" si="5"/>
        <v>102104604100OVR</v>
      </c>
      <c r="C356" t="s">
        <v>1336</v>
      </c>
      <c r="D356" t="s">
        <v>154</v>
      </c>
      <c r="E356">
        <v>20411454</v>
      </c>
      <c r="F356" t="s">
        <v>1993</v>
      </c>
      <c r="G356" t="s">
        <v>956</v>
      </c>
      <c r="H356" s="1">
        <v>45627</v>
      </c>
      <c r="I356" s="2">
        <v>1</v>
      </c>
      <c r="K356" s="2">
        <v>2</v>
      </c>
      <c r="L356" t="s">
        <v>957</v>
      </c>
      <c r="M356" t="s">
        <v>1962</v>
      </c>
    </row>
    <row r="357" spans="1:13" x14ac:dyDescent="0.25">
      <c r="A357" s="9">
        <v>102105540600</v>
      </c>
      <c r="B357" s="9" t="str">
        <f t="shared" si="5"/>
        <v>102105540600OVR</v>
      </c>
      <c r="C357" t="s">
        <v>1337</v>
      </c>
      <c r="D357" t="s">
        <v>55</v>
      </c>
      <c r="E357">
        <v>20411454</v>
      </c>
      <c r="F357" t="s">
        <v>1993</v>
      </c>
      <c r="G357" t="s">
        <v>956</v>
      </c>
      <c r="H357" s="1">
        <v>45627</v>
      </c>
      <c r="I357" s="2">
        <v>1</v>
      </c>
      <c r="K357" s="2">
        <v>2</v>
      </c>
      <c r="L357" t="s">
        <v>957</v>
      </c>
      <c r="M357" t="s">
        <v>1962</v>
      </c>
    </row>
    <row r="358" spans="1:13" x14ac:dyDescent="0.25">
      <c r="A358" s="9">
        <v>102105930700</v>
      </c>
      <c r="B358" s="9" t="str">
        <f t="shared" si="5"/>
        <v>102105930700OVR</v>
      </c>
      <c r="C358" t="s">
        <v>1338</v>
      </c>
      <c r="D358" t="s">
        <v>55</v>
      </c>
      <c r="E358">
        <v>20411454</v>
      </c>
      <c r="F358" t="s">
        <v>1993</v>
      </c>
      <c r="G358" t="s">
        <v>956</v>
      </c>
      <c r="H358" s="1">
        <v>45627</v>
      </c>
      <c r="I358" s="2">
        <v>1</v>
      </c>
      <c r="K358" s="2">
        <v>2</v>
      </c>
      <c r="L358" t="s">
        <v>957</v>
      </c>
      <c r="M358" t="s">
        <v>1962</v>
      </c>
    </row>
    <row r="359" spans="1:13" x14ac:dyDescent="0.25">
      <c r="A359" s="9">
        <v>102109694200</v>
      </c>
      <c r="B359" s="9" t="str">
        <f t="shared" si="5"/>
        <v>102109694200OVR</v>
      </c>
      <c r="C359" t="s">
        <v>1339</v>
      </c>
      <c r="D359" t="s">
        <v>55</v>
      </c>
      <c r="E359">
        <v>20411454</v>
      </c>
      <c r="F359" t="s">
        <v>1993</v>
      </c>
      <c r="G359" t="s">
        <v>956</v>
      </c>
      <c r="H359" s="1">
        <v>45627</v>
      </c>
      <c r="I359" s="2">
        <v>1</v>
      </c>
      <c r="K359" s="2">
        <v>2</v>
      </c>
      <c r="L359" t="s">
        <v>957</v>
      </c>
      <c r="M359" t="s">
        <v>1962</v>
      </c>
    </row>
    <row r="360" spans="1:13" x14ac:dyDescent="0.25">
      <c r="A360" s="9">
        <v>102123717600</v>
      </c>
      <c r="B360" s="9" t="str">
        <f t="shared" si="5"/>
        <v>102123717600OVR</v>
      </c>
      <c r="C360" t="s">
        <v>1340</v>
      </c>
      <c r="D360" t="s">
        <v>55</v>
      </c>
      <c r="E360">
        <v>20411454</v>
      </c>
      <c r="F360" t="s">
        <v>1993</v>
      </c>
      <c r="G360" t="s">
        <v>956</v>
      </c>
      <c r="H360" s="1">
        <v>45627</v>
      </c>
      <c r="I360" s="2">
        <v>1</v>
      </c>
      <c r="K360" s="2">
        <v>2</v>
      </c>
      <c r="L360" t="s">
        <v>957</v>
      </c>
      <c r="M360" t="s">
        <v>1962</v>
      </c>
    </row>
    <row r="361" spans="1:13" x14ac:dyDescent="0.25">
      <c r="A361" s="9">
        <v>102131626700</v>
      </c>
      <c r="B361" s="9" t="str">
        <f t="shared" si="5"/>
        <v>102131626700OVR</v>
      </c>
      <c r="C361" t="s">
        <v>1341</v>
      </c>
      <c r="D361" t="s">
        <v>278</v>
      </c>
      <c r="E361">
        <v>20411454</v>
      </c>
      <c r="F361" t="s">
        <v>1993</v>
      </c>
      <c r="G361" t="s">
        <v>956</v>
      </c>
      <c r="H361" s="1">
        <v>45627</v>
      </c>
      <c r="I361" s="2">
        <v>1</v>
      </c>
      <c r="K361" s="2">
        <v>2</v>
      </c>
      <c r="L361" t="s">
        <v>957</v>
      </c>
      <c r="M361" t="s">
        <v>1962</v>
      </c>
    </row>
    <row r="362" spans="1:13" x14ac:dyDescent="0.25">
      <c r="A362" s="9">
        <v>102035997700</v>
      </c>
      <c r="B362" s="9" t="str">
        <f t="shared" si="5"/>
        <v>102035997700OVR</v>
      </c>
      <c r="C362" t="s">
        <v>1237</v>
      </c>
      <c r="D362" t="s">
        <v>203</v>
      </c>
      <c r="E362">
        <v>20411454</v>
      </c>
      <c r="F362" t="s">
        <v>1993</v>
      </c>
      <c r="G362" t="s">
        <v>1238</v>
      </c>
      <c r="H362" s="1">
        <v>45474</v>
      </c>
      <c r="I362" s="2">
        <v>1</v>
      </c>
      <c r="K362" s="2">
        <v>2</v>
      </c>
      <c r="L362" t="s">
        <v>957</v>
      </c>
      <c r="M362" t="s">
        <v>1962</v>
      </c>
    </row>
    <row r="363" spans="1:13" x14ac:dyDescent="0.25">
      <c r="A363" s="9">
        <v>102074570600</v>
      </c>
      <c r="B363" s="9" t="str">
        <f t="shared" si="5"/>
        <v>102074570600OVR</v>
      </c>
      <c r="C363" t="s">
        <v>1321</v>
      </c>
      <c r="D363" t="s">
        <v>278</v>
      </c>
      <c r="E363">
        <v>20411454</v>
      </c>
      <c r="F363" t="s">
        <v>1993</v>
      </c>
      <c r="G363" t="s">
        <v>1238</v>
      </c>
      <c r="H363" s="1">
        <v>45597</v>
      </c>
      <c r="I363" s="2">
        <v>1</v>
      </c>
      <c r="K363" s="2">
        <v>2</v>
      </c>
      <c r="L363" t="s">
        <v>957</v>
      </c>
      <c r="M363" t="s">
        <v>1962</v>
      </c>
    </row>
    <row r="364" spans="1:13" x14ac:dyDescent="0.25">
      <c r="A364" s="9">
        <v>101301145800</v>
      </c>
      <c r="B364" s="9" t="str">
        <f t="shared" si="5"/>
        <v>101301145800OVR</v>
      </c>
      <c r="C364" t="s">
        <v>1027</v>
      </c>
      <c r="D364" t="s">
        <v>203</v>
      </c>
      <c r="E364">
        <v>20411454</v>
      </c>
      <c r="F364" t="s">
        <v>1993</v>
      </c>
      <c r="G364" t="s">
        <v>1028</v>
      </c>
      <c r="H364" s="1">
        <v>45566</v>
      </c>
      <c r="I364" s="2">
        <v>1</v>
      </c>
      <c r="K364" s="2">
        <v>2</v>
      </c>
      <c r="L364" t="s">
        <v>957</v>
      </c>
      <c r="M364" t="s">
        <v>1962</v>
      </c>
    </row>
    <row r="365" spans="1:13" x14ac:dyDescent="0.25">
      <c r="A365" s="9">
        <v>101458074100</v>
      </c>
      <c r="B365" s="9" t="str">
        <f t="shared" si="5"/>
        <v>101458074100OVR</v>
      </c>
      <c r="C365" t="s">
        <v>1038</v>
      </c>
      <c r="D365" t="s">
        <v>246</v>
      </c>
      <c r="E365">
        <v>20411454</v>
      </c>
      <c r="F365" t="s">
        <v>1993</v>
      </c>
      <c r="G365" t="s">
        <v>1028</v>
      </c>
      <c r="H365" s="1">
        <v>45597</v>
      </c>
      <c r="I365" s="2">
        <v>1</v>
      </c>
      <c r="K365" s="2">
        <v>2</v>
      </c>
      <c r="L365" t="s">
        <v>957</v>
      </c>
      <c r="M365" t="s">
        <v>1962</v>
      </c>
    </row>
    <row r="366" spans="1:13" x14ac:dyDescent="0.25">
      <c r="A366" s="9">
        <v>101545020000</v>
      </c>
      <c r="B366" s="9" t="str">
        <f t="shared" si="5"/>
        <v>101545020000OVR</v>
      </c>
      <c r="C366" t="s">
        <v>1102</v>
      </c>
      <c r="D366" t="s">
        <v>46</v>
      </c>
      <c r="E366">
        <v>20411454</v>
      </c>
      <c r="F366" t="s">
        <v>1993</v>
      </c>
      <c r="G366" t="s">
        <v>1028</v>
      </c>
      <c r="H366" s="1">
        <v>45536</v>
      </c>
      <c r="I366" s="2">
        <v>1</v>
      </c>
      <c r="K366" s="2">
        <v>2</v>
      </c>
      <c r="L366" t="s">
        <v>957</v>
      </c>
      <c r="M366" t="s">
        <v>1962</v>
      </c>
    </row>
    <row r="367" spans="1:13" x14ac:dyDescent="0.25">
      <c r="A367" s="9">
        <v>101872588800</v>
      </c>
      <c r="B367" s="9" t="str">
        <f t="shared" si="5"/>
        <v>101872588800OVR</v>
      </c>
      <c r="C367" t="s">
        <v>1186</v>
      </c>
      <c r="D367" t="s">
        <v>203</v>
      </c>
      <c r="E367">
        <v>20411454</v>
      </c>
      <c r="F367" t="s">
        <v>1993</v>
      </c>
      <c r="G367" t="s">
        <v>1028</v>
      </c>
      <c r="H367" s="1">
        <v>45474</v>
      </c>
      <c r="I367" s="2">
        <v>1</v>
      </c>
      <c r="K367" s="2">
        <v>2</v>
      </c>
      <c r="L367" t="s">
        <v>957</v>
      </c>
      <c r="M367" t="s">
        <v>1962</v>
      </c>
    </row>
    <row r="368" spans="1:13" x14ac:dyDescent="0.25">
      <c r="A368" s="9">
        <v>101987999900</v>
      </c>
      <c r="B368" s="9" t="str">
        <f t="shared" si="5"/>
        <v>101987999900OVR</v>
      </c>
      <c r="C368" t="s">
        <v>1188</v>
      </c>
      <c r="D368" t="s">
        <v>1189</v>
      </c>
      <c r="E368">
        <v>20411454</v>
      </c>
      <c r="F368" t="s">
        <v>1993</v>
      </c>
      <c r="G368" t="s">
        <v>1028</v>
      </c>
      <c r="H368" s="1">
        <v>45536</v>
      </c>
      <c r="I368" s="2">
        <v>1</v>
      </c>
      <c r="K368" s="2">
        <v>2</v>
      </c>
      <c r="L368" t="s">
        <v>957</v>
      </c>
      <c r="M368" t="s">
        <v>1962</v>
      </c>
    </row>
    <row r="369" spans="1:13" x14ac:dyDescent="0.25">
      <c r="A369" s="9">
        <v>102022919300</v>
      </c>
      <c r="B369" s="9" t="str">
        <f t="shared" si="5"/>
        <v>102022919300OVR</v>
      </c>
      <c r="C369" t="s">
        <v>1215</v>
      </c>
      <c r="D369" t="s">
        <v>203</v>
      </c>
      <c r="E369">
        <v>20411454</v>
      </c>
      <c r="F369" t="s">
        <v>1993</v>
      </c>
      <c r="G369" t="s">
        <v>1028</v>
      </c>
      <c r="H369" s="1">
        <v>45474</v>
      </c>
      <c r="I369" s="2">
        <v>1</v>
      </c>
      <c r="K369" s="2">
        <v>2</v>
      </c>
      <c r="L369" t="s">
        <v>957</v>
      </c>
      <c r="M369" t="s">
        <v>1962</v>
      </c>
    </row>
    <row r="370" spans="1:13" x14ac:dyDescent="0.25">
      <c r="A370" s="9">
        <v>102033829400</v>
      </c>
      <c r="B370" s="9" t="str">
        <f t="shared" si="5"/>
        <v>102033829400OVR</v>
      </c>
      <c r="C370" t="s">
        <v>1228</v>
      </c>
      <c r="D370" t="s">
        <v>246</v>
      </c>
      <c r="E370">
        <v>20411454</v>
      </c>
      <c r="F370" t="s">
        <v>1993</v>
      </c>
      <c r="G370" t="s">
        <v>1028</v>
      </c>
      <c r="H370" s="1">
        <v>45505</v>
      </c>
      <c r="I370" s="2">
        <v>1</v>
      </c>
      <c r="K370" s="2">
        <v>2</v>
      </c>
      <c r="L370" t="s">
        <v>957</v>
      </c>
      <c r="M370" t="s">
        <v>1962</v>
      </c>
    </row>
    <row r="371" spans="1:13" x14ac:dyDescent="0.25">
      <c r="A371" s="9">
        <v>102042978300</v>
      </c>
      <c r="B371" s="9" t="str">
        <f t="shared" si="5"/>
        <v>102042978300OVR</v>
      </c>
      <c r="C371" t="s">
        <v>1251</v>
      </c>
      <c r="D371" t="s">
        <v>55</v>
      </c>
      <c r="E371">
        <v>20411454</v>
      </c>
      <c r="F371" t="s">
        <v>1993</v>
      </c>
      <c r="G371" t="s">
        <v>1028</v>
      </c>
      <c r="H371" s="1">
        <v>45536</v>
      </c>
      <c r="I371" s="2">
        <v>1</v>
      </c>
      <c r="K371" s="2">
        <v>2</v>
      </c>
      <c r="L371" t="s">
        <v>957</v>
      </c>
      <c r="M371" t="s">
        <v>1962</v>
      </c>
    </row>
    <row r="372" spans="1:13" x14ac:dyDescent="0.25">
      <c r="A372" s="9">
        <v>102049657500</v>
      </c>
      <c r="B372" s="9" t="str">
        <f t="shared" si="5"/>
        <v>102049657500OVR</v>
      </c>
      <c r="C372" t="s">
        <v>1266</v>
      </c>
      <c r="D372" t="s">
        <v>55</v>
      </c>
      <c r="E372">
        <v>20411454</v>
      </c>
      <c r="F372" t="s">
        <v>1993</v>
      </c>
      <c r="G372" t="s">
        <v>1028</v>
      </c>
      <c r="H372" s="1">
        <v>45536</v>
      </c>
      <c r="I372" s="2">
        <v>1</v>
      </c>
      <c r="K372" s="2">
        <v>2</v>
      </c>
      <c r="L372" t="s">
        <v>957</v>
      </c>
      <c r="M372" t="s">
        <v>1962</v>
      </c>
    </row>
    <row r="373" spans="1:13" x14ac:dyDescent="0.25">
      <c r="A373" s="9">
        <v>102050160600</v>
      </c>
      <c r="B373" s="9" t="str">
        <f t="shared" si="5"/>
        <v>102050160600OVR</v>
      </c>
      <c r="C373" t="s">
        <v>1271</v>
      </c>
      <c r="D373" t="s">
        <v>188</v>
      </c>
      <c r="E373">
        <v>20411454</v>
      </c>
      <c r="F373" t="s">
        <v>1993</v>
      </c>
      <c r="G373" t="s">
        <v>1028</v>
      </c>
      <c r="H373" s="1">
        <v>45536</v>
      </c>
      <c r="I373" s="2">
        <v>1</v>
      </c>
      <c r="K373" s="2">
        <v>2</v>
      </c>
      <c r="L373" t="s">
        <v>957</v>
      </c>
      <c r="M373" t="s">
        <v>1962</v>
      </c>
    </row>
    <row r="374" spans="1:13" x14ac:dyDescent="0.25">
      <c r="A374" s="9">
        <v>102053113700</v>
      </c>
      <c r="B374" s="9" t="str">
        <f t="shared" si="5"/>
        <v>102053113700OVR</v>
      </c>
      <c r="C374" t="s">
        <v>1278</v>
      </c>
      <c r="D374" t="s">
        <v>55</v>
      </c>
      <c r="E374">
        <v>20411454</v>
      </c>
      <c r="F374" t="s">
        <v>1993</v>
      </c>
      <c r="G374" t="s">
        <v>1028</v>
      </c>
      <c r="H374" s="1">
        <v>45536</v>
      </c>
      <c r="I374" s="2">
        <v>1</v>
      </c>
      <c r="K374" s="2">
        <v>2</v>
      </c>
      <c r="L374" t="s">
        <v>957</v>
      </c>
      <c r="M374" t="s">
        <v>1962</v>
      </c>
    </row>
    <row r="375" spans="1:13" x14ac:dyDescent="0.25">
      <c r="A375" s="9">
        <v>102059613800</v>
      </c>
      <c r="B375" s="9" t="str">
        <f t="shared" si="5"/>
        <v>102059613800OVR</v>
      </c>
      <c r="C375" t="s">
        <v>1295</v>
      </c>
      <c r="D375" t="s">
        <v>203</v>
      </c>
      <c r="E375">
        <v>20411454</v>
      </c>
      <c r="F375" t="s">
        <v>1993</v>
      </c>
      <c r="G375" t="s">
        <v>1028</v>
      </c>
      <c r="H375" s="1">
        <v>45566</v>
      </c>
      <c r="I375" s="2">
        <v>1</v>
      </c>
      <c r="K375" s="2">
        <v>2</v>
      </c>
      <c r="L375" t="s">
        <v>957</v>
      </c>
      <c r="M375" t="s">
        <v>1962</v>
      </c>
    </row>
    <row r="376" spans="1:13" x14ac:dyDescent="0.25">
      <c r="A376" s="9">
        <v>102059621800</v>
      </c>
      <c r="B376" s="9" t="str">
        <f t="shared" si="5"/>
        <v>102059621800OVR</v>
      </c>
      <c r="C376" t="s">
        <v>1296</v>
      </c>
      <c r="D376" t="s">
        <v>203</v>
      </c>
      <c r="E376">
        <v>20411454</v>
      </c>
      <c r="F376" t="s">
        <v>1993</v>
      </c>
      <c r="G376" t="s">
        <v>1028</v>
      </c>
      <c r="H376" s="1">
        <v>45566</v>
      </c>
      <c r="I376" s="2">
        <v>1</v>
      </c>
      <c r="K376" s="2">
        <v>2</v>
      </c>
      <c r="L376" t="s">
        <v>957</v>
      </c>
      <c r="M376" t="s">
        <v>1962</v>
      </c>
    </row>
    <row r="377" spans="1:13" x14ac:dyDescent="0.25">
      <c r="A377" s="9">
        <v>102063802200</v>
      </c>
      <c r="B377" s="9" t="str">
        <f t="shared" si="5"/>
        <v>102063802200OVR</v>
      </c>
      <c r="C377" t="s">
        <v>1303</v>
      </c>
      <c r="D377" t="s">
        <v>72</v>
      </c>
      <c r="E377">
        <v>20411454</v>
      </c>
      <c r="F377" t="s">
        <v>1993</v>
      </c>
      <c r="G377" t="s">
        <v>1028</v>
      </c>
      <c r="H377" s="1">
        <v>45566</v>
      </c>
      <c r="I377" s="2">
        <v>1</v>
      </c>
      <c r="K377" s="2">
        <v>2</v>
      </c>
      <c r="L377" t="s">
        <v>957</v>
      </c>
      <c r="M377" t="s">
        <v>1962</v>
      </c>
    </row>
    <row r="378" spans="1:13" x14ac:dyDescent="0.25">
      <c r="A378" s="9">
        <v>102063811100</v>
      </c>
      <c r="B378" s="9" t="str">
        <f t="shared" si="5"/>
        <v>102063811100OVR</v>
      </c>
      <c r="C378" t="s">
        <v>1304</v>
      </c>
      <c r="D378" t="s">
        <v>72</v>
      </c>
      <c r="E378">
        <v>20411454</v>
      </c>
      <c r="F378" t="s">
        <v>1993</v>
      </c>
      <c r="G378" t="s">
        <v>1028</v>
      </c>
      <c r="H378" s="1">
        <v>45566</v>
      </c>
      <c r="I378" s="2">
        <v>1</v>
      </c>
      <c r="K378" s="2">
        <v>2</v>
      </c>
      <c r="L378" t="s">
        <v>957</v>
      </c>
      <c r="M378" t="s">
        <v>1962</v>
      </c>
    </row>
    <row r="379" spans="1:13" x14ac:dyDescent="0.25">
      <c r="A379" s="9">
        <v>102064780500</v>
      </c>
      <c r="B379" s="9" t="str">
        <f t="shared" si="5"/>
        <v>102064780500OVR</v>
      </c>
      <c r="C379" t="s">
        <v>1307</v>
      </c>
      <c r="D379" t="s">
        <v>55</v>
      </c>
      <c r="E379">
        <v>20411454</v>
      </c>
      <c r="F379" t="s">
        <v>1993</v>
      </c>
      <c r="G379" t="s">
        <v>1028</v>
      </c>
      <c r="H379" s="1">
        <v>45566</v>
      </c>
      <c r="I379" s="2">
        <v>1</v>
      </c>
      <c r="K379" s="2">
        <v>2</v>
      </c>
      <c r="L379" t="s">
        <v>957</v>
      </c>
      <c r="M379" t="s">
        <v>1962</v>
      </c>
    </row>
    <row r="380" spans="1:13" x14ac:dyDescent="0.25">
      <c r="A380" s="9">
        <v>102070306300</v>
      </c>
      <c r="B380" s="9" t="str">
        <f t="shared" si="5"/>
        <v>102070306300OVR</v>
      </c>
      <c r="C380" t="s">
        <v>1318</v>
      </c>
      <c r="D380" t="s">
        <v>154</v>
      </c>
      <c r="E380">
        <v>20411454</v>
      </c>
      <c r="F380" t="s">
        <v>1993</v>
      </c>
      <c r="G380" t="s">
        <v>1028</v>
      </c>
      <c r="H380" s="1">
        <v>45597</v>
      </c>
      <c r="I380" s="2">
        <v>1</v>
      </c>
      <c r="K380" s="2">
        <v>2</v>
      </c>
      <c r="L380" t="s">
        <v>957</v>
      </c>
      <c r="M380" t="s">
        <v>1962</v>
      </c>
    </row>
    <row r="381" spans="1:13" x14ac:dyDescent="0.25">
      <c r="A381" s="9">
        <v>102079872100</v>
      </c>
      <c r="B381" s="9" t="str">
        <f t="shared" si="5"/>
        <v>102079872100OVR</v>
      </c>
      <c r="C381" t="s">
        <v>1325</v>
      </c>
      <c r="D381" t="s">
        <v>203</v>
      </c>
      <c r="E381">
        <v>20411454</v>
      </c>
      <c r="F381" t="s">
        <v>1993</v>
      </c>
      <c r="G381" t="s">
        <v>1028</v>
      </c>
      <c r="H381" s="1">
        <v>45597</v>
      </c>
      <c r="I381" s="2">
        <v>1</v>
      </c>
      <c r="K381" s="2">
        <v>2</v>
      </c>
      <c r="L381" t="s">
        <v>957</v>
      </c>
      <c r="M381" t="s">
        <v>1962</v>
      </c>
    </row>
    <row r="382" spans="1:13" x14ac:dyDescent="0.25">
      <c r="A382" s="9">
        <v>102205937300</v>
      </c>
      <c r="B382" s="9" t="str">
        <f t="shared" si="5"/>
        <v>102205937300OVR</v>
      </c>
      <c r="C382" t="s">
        <v>732</v>
      </c>
      <c r="D382" t="s">
        <v>203</v>
      </c>
      <c r="E382">
        <v>20411454</v>
      </c>
      <c r="F382" t="s">
        <v>1993</v>
      </c>
      <c r="G382" t="s">
        <v>735</v>
      </c>
      <c r="H382" s="1">
        <v>45962</v>
      </c>
      <c r="I382" s="2">
        <v>4.17</v>
      </c>
      <c r="J382">
        <v>1</v>
      </c>
      <c r="K382" s="2">
        <v>4.17</v>
      </c>
      <c r="L382" t="s">
        <v>736</v>
      </c>
      <c r="M382" t="s">
        <v>1962</v>
      </c>
    </row>
    <row r="383" spans="1:13" x14ac:dyDescent="0.25">
      <c r="A383" s="9">
        <v>102208192100</v>
      </c>
      <c r="B383" s="9" t="str">
        <f t="shared" si="5"/>
        <v>102208192100OVR</v>
      </c>
      <c r="C383" t="s">
        <v>740</v>
      </c>
      <c r="D383" t="s">
        <v>203</v>
      </c>
      <c r="E383">
        <v>20411454</v>
      </c>
      <c r="F383" t="s">
        <v>1993</v>
      </c>
      <c r="G383" t="s">
        <v>735</v>
      </c>
      <c r="H383" s="1">
        <v>45992</v>
      </c>
      <c r="I383" s="2">
        <v>2.08</v>
      </c>
      <c r="J383">
        <v>1</v>
      </c>
      <c r="K383" s="2">
        <v>2.08</v>
      </c>
      <c r="L383" t="s">
        <v>730</v>
      </c>
      <c r="M383" t="s">
        <v>1962</v>
      </c>
    </row>
    <row r="384" spans="1:13" x14ac:dyDescent="0.25">
      <c r="A384" s="9">
        <v>102208897800</v>
      </c>
      <c r="B384" s="9" t="str">
        <f t="shared" si="5"/>
        <v>102208897800OVR</v>
      </c>
      <c r="C384" t="s">
        <v>742</v>
      </c>
      <c r="D384" t="s">
        <v>55</v>
      </c>
      <c r="E384">
        <v>20411454</v>
      </c>
      <c r="F384" t="s">
        <v>1993</v>
      </c>
      <c r="G384" t="s">
        <v>735</v>
      </c>
      <c r="H384" s="1">
        <v>45962</v>
      </c>
      <c r="I384" s="2">
        <v>4.17</v>
      </c>
      <c r="J384">
        <v>1</v>
      </c>
      <c r="K384" s="2">
        <v>4.17</v>
      </c>
      <c r="L384" t="s">
        <v>736</v>
      </c>
      <c r="M384" t="s">
        <v>1962</v>
      </c>
    </row>
    <row r="385" spans="1:15" x14ac:dyDescent="0.25">
      <c r="A385" s="9">
        <v>102205281200</v>
      </c>
      <c r="B385" s="9" t="str">
        <f t="shared" si="5"/>
        <v>102205281200OVR</v>
      </c>
      <c r="C385" t="s">
        <v>728</v>
      </c>
      <c r="D385" t="s">
        <v>203</v>
      </c>
      <c r="E385">
        <v>20411454</v>
      </c>
      <c r="F385" t="s">
        <v>1993</v>
      </c>
      <c r="G385" t="s">
        <v>729</v>
      </c>
      <c r="H385" s="1">
        <v>45992</v>
      </c>
      <c r="I385" s="2">
        <v>1.25</v>
      </c>
      <c r="J385">
        <v>1</v>
      </c>
      <c r="K385" s="2">
        <v>1.25</v>
      </c>
      <c r="L385" t="s">
        <v>730</v>
      </c>
      <c r="M385" t="s">
        <v>1962</v>
      </c>
    </row>
    <row r="386" spans="1:15" x14ac:dyDescent="0.25">
      <c r="A386" s="9">
        <v>102207711900</v>
      </c>
      <c r="B386" s="9" t="str">
        <f t="shared" si="5"/>
        <v>102207711900OVR</v>
      </c>
      <c r="C386" t="s">
        <v>738</v>
      </c>
      <c r="D386" t="s">
        <v>203</v>
      </c>
      <c r="E386">
        <v>20411454</v>
      </c>
      <c r="F386" t="s">
        <v>1993</v>
      </c>
      <c r="G386" t="s">
        <v>729</v>
      </c>
      <c r="H386" s="1">
        <v>45992</v>
      </c>
      <c r="I386" s="2">
        <v>1.25</v>
      </c>
      <c r="J386">
        <v>1</v>
      </c>
      <c r="K386" s="2">
        <v>1.25</v>
      </c>
      <c r="L386" t="s">
        <v>730</v>
      </c>
      <c r="M386" t="s">
        <v>1962</v>
      </c>
    </row>
    <row r="387" spans="1:15" x14ac:dyDescent="0.25">
      <c r="A387" s="9">
        <v>102208955700</v>
      </c>
      <c r="B387" s="9" t="str">
        <f t="shared" ref="B387:B395" si="6">CONCATENATE(A387,"OVR")</f>
        <v>102208955700OVR</v>
      </c>
      <c r="C387" t="s">
        <v>744</v>
      </c>
      <c r="D387" t="s">
        <v>55</v>
      </c>
      <c r="E387">
        <v>20411454</v>
      </c>
      <c r="F387" t="s">
        <v>1993</v>
      </c>
      <c r="G387" t="s">
        <v>729</v>
      </c>
      <c r="H387" s="1">
        <v>45962</v>
      </c>
      <c r="I387" s="2">
        <v>2.5</v>
      </c>
      <c r="J387">
        <v>1</v>
      </c>
      <c r="K387" s="2">
        <v>2.5</v>
      </c>
      <c r="L387" t="s">
        <v>736</v>
      </c>
      <c r="M387" t="s">
        <v>1962</v>
      </c>
    </row>
    <row r="388" spans="1:15" x14ac:dyDescent="0.25">
      <c r="A388" s="9" t="s">
        <v>1887</v>
      </c>
      <c r="B388" s="9" t="str">
        <f t="shared" si="6"/>
        <v>614W13756OVR</v>
      </c>
      <c r="C388" t="s">
        <v>1361</v>
      </c>
      <c r="E388">
        <v>20411454</v>
      </c>
      <c r="F388" t="s">
        <v>1993</v>
      </c>
      <c r="G388" t="s">
        <v>1362</v>
      </c>
      <c r="H388" s="1">
        <v>45566</v>
      </c>
      <c r="I388" s="2">
        <v>1</v>
      </c>
      <c r="K388" s="2">
        <v>7</v>
      </c>
      <c r="L388" t="s">
        <v>1353</v>
      </c>
      <c r="M388" t="s">
        <v>1963</v>
      </c>
    </row>
    <row r="389" spans="1:15" x14ac:dyDescent="0.25">
      <c r="A389" s="9" t="s">
        <v>1888</v>
      </c>
      <c r="B389" s="9" t="str">
        <f t="shared" si="6"/>
        <v>829W21544OVR</v>
      </c>
      <c r="C389" t="s">
        <v>1363</v>
      </c>
      <c r="E389">
        <v>20411454</v>
      </c>
      <c r="F389" t="s">
        <v>1993</v>
      </c>
      <c r="G389" t="s">
        <v>1362</v>
      </c>
      <c r="H389" s="1">
        <v>45597</v>
      </c>
      <c r="I389" s="2">
        <v>2</v>
      </c>
      <c r="K389" s="2">
        <v>25</v>
      </c>
      <c r="L389" t="s">
        <v>1353</v>
      </c>
      <c r="M389" t="s">
        <v>1963</v>
      </c>
    </row>
    <row r="390" spans="1:15" x14ac:dyDescent="0.25">
      <c r="A390" s="9" t="s">
        <v>1889</v>
      </c>
      <c r="B390" s="9" t="str">
        <f t="shared" si="6"/>
        <v>948W21216OVR</v>
      </c>
      <c r="C390" t="s">
        <v>1369</v>
      </c>
      <c r="E390">
        <v>20411454</v>
      </c>
      <c r="F390" t="s">
        <v>1993</v>
      </c>
      <c r="G390" t="s">
        <v>1362</v>
      </c>
      <c r="H390" s="1">
        <v>45536</v>
      </c>
      <c r="I390" s="2">
        <v>1</v>
      </c>
      <c r="K390" s="2">
        <v>7</v>
      </c>
      <c r="L390" t="s">
        <v>1353</v>
      </c>
      <c r="M390" t="s">
        <v>1963</v>
      </c>
    </row>
    <row r="391" spans="1:15" x14ac:dyDescent="0.25">
      <c r="A391" s="9" t="s">
        <v>1884</v>
      </c>
      <c r="B391" s="9" t="str">
        <f t="shared" si="6"/>
        <v>140W10931OVR</v>
      </c>
      <c r="C391" t="s">
        <v>1351</v>
      </c>
      <c r="D391" t="s">
        <v>784</v>
      </c>
      <c r="E391">
        <v>20411454</v>
      </c>
      <c r="F391" t="s">
        <v>1993</v>
      </c>
      <c r="G391" t="s">
        <v>1352</v>
      </c>
      <c r="H391" s="1">
        <v>45717</v>
      </c>
      <c r="I391" s="2">
        <v>1</v>
      </c>
      <c r="K391" s="2">
        <v>7</v>
      </c>
      <c r="L391" t="s">
        <v>1353</v>
      </c>
      <c r="M391" t="s">
        <v>1963</v>
      </c>
    </row>
    <row r="392" spans="1:15" x14ac:dyDescent="0.25">
      <c r="A392" s="9" t="s">
        <v>1885</v>
      </c>
      <c r="B392" s="9" t="str">
        <f t="shared" si="6"/>
        <v>283W17578OVR</v>
      </c>
      <c r="C392" t="s">
        <v>1354</v>
      </c>
      <c r="D392" t="s">
        <v>784</v>
      </c>
      <c r="E392">
        <v>20411454</v>
      </c>
      <c r="F392" t="s">
        <v>1993</v>
      </c>
      <c r="G392" t="s">
        <v>1352</v>
      </c>
      <c r="H392" s="1">
        <v>45658</v>
      </c>
      <c r="I392" s="2">
        <v>1</v>
      </c>
      <c r="K392" s="2">
        <v>7</v>
      </c>
      <c r="L392" t="s">
        <v>1353</v>
      </c>
      <c r="M392" t="s">
        <v>1963</v>
      </c>
    </row>
    <row r="393" spans="1:15" x14ac:dyDescent="0.25">
      <c r="A393" s="9" t="s">
        <v>1886</v>
      </c>
      <c r="B393" s="9" t="str">
        <f t="shared" si="6"/>
        <v>352W10665OVR</v>
      </c>
      <c r="C393" t="s">
        <v>1355</v>
      </c>
      <c r="D393" t="s">
        <v>784</v>
      </c>
      <c r="E393">
        <v>20411454</v>
      </c>
      <c r="F393" t="s">
        <v>1993</v>
      </c>
      <c r="G393" t="s">
        <v>1352</v>
      </c>
      <c r="H393" s="1">
        <v>45809</v>
      </c>
      <c r="I393" s="2">
        <v>4</v>
      </c>
      <c r="K393" s="2">
        <v>28</v>
      </c>
      <c r="L393" t="s">
        <v>1353</v>
      </c>
      <c r="M393" t="s">
        <v>1963</v>
      </c>
    </row>
    <row r="394" spans="1:15" x14ac:dyDescent="0.25">
      <c r="A394" s="9">
        <v>37119416</v>
      </c>
      <c r="B394" s="9" t="str">
        <f t="shared" si="6"/>
        <v>37119416OVR</v>
      </c>
      <c r="C394" t="s">
        <v>1359</v>
      </c>
      <c r="D394" t="s">
        <v>203</v>
      </c>
      <c r="E394">
        <v>20411454</v>
      </c>
      <c r="F394" t="s">
        <v>1993</v>
      </c>
      <c r="G394" t="s">
        <v>1360</v>
      </c>
      <c r="H394" s="1">
        <v>45597</v>
      </c>
      <c r="I394" s="2">
        <v>1</v>
      </c>
      <c r="K394" s="2">
        <v>0</v>
      </c>
      <c r="L394" t="s">
        <v>1358</v>
      </c>
      <c r="M394" t="s">
        <v>1964</v>
      </c>
    </row>
    <row r="395" spans="1:15" x14ac:dyDescent="0.25">
      <c r="A395" s="9">
        <v>35795594</v>
      </c>
      <c r="B395" s="9" t="str">
        <f t="shared" si="6"/>
        <v>35795594OVR</v>
      </c>
      <c r="C395" t="s">
        <v>1356</v>
      </c>
      <c r="D395" t="s">
        <v>66</v>
      </c>
      <c r="E395">
        <v>20411454</v>
      </c>
      <c r="F395" t="s">
        <v>1993</v>
      </c>
      <c r="G395" t="s">
        <v>1357</v>
      </c>
      <c r="H395" s="1">
        <v>45566</v>
      </c>
      <c r="I395" s="2">
        <v>1</v>
      </c>
      <c r="K395" s="2">
        <v>0</v>
      </c>
      <c r="L395" t="s">
        <v>1358</v>
      </c>
      <c r="M395" t="s">
        <v>1964</v>
      </c>
    </row>
    <row r="396" spans="1:15" x14ac:dyDescent="0.25">
      <c r="A396" s="10" t="s">
        <v>1775</v>
      </c>
      <c r="B396" s="10" t="str">
        <f>CONCATENATE(A396,1)</f>
        <v>00021836561K1</v>
      </c>
      <c r="C396" s="4" t="s">
        <v>841</v>
      </c>
      <c r="D396" s="4" t="s">
        <v>784</v>
      </c>
      <c r="E396" s="4">
        <v>7470776</v>
      </c>
      <c r="F396" s="4" t="s">
        <v>151</v>
      </c>
      <c r="G396" s="4" t="s">
        <v>839</v>
      </c>
      <c r="H396" s="5">
        <v>45474</v>
      </c>
      <c r="I396" s="6">
        <v>1</v>
      </c>
      <c r="J396" s="4"/>
      <c r="K396" s="6">
        <v>25.5</v>
      </c>
      <c r="L396" s="4" t="s">
        <v>825</v>
      </c>
      <c r="M396" s="4" t="s">
        <v>1966</v>
      </c>
      <c r="N396" s="4" t="s">
        <v>1990</v>
      </c>
      <c r="O396" s="4"/>
    </row>
    <row r="397" spans="1:15" x14ac:dyDescent="0.25">
      <c r="A397" s="10" t="s">
        <v>1776</v>
      </c>
      <c r="B397" s="10" t="str">
        <f t="shared" ref="B397:B422" si="7">CONCATENATE(A397,1)</f>
        <v>00021836597K1</v>
      </c>
      <c r="C397" s="4" t="s">
        <v>842</v>
      </c>
      <c r="D397" s="4" t="s">
        <v>784</v>
      </c>
      <c r="E397" s="4">
        <v>7470776</v>
      </c>
      <c r="F397" s="4" t="s">
        <v>151</v>
      </c>
      <c r="G397" s="4" t="s">
        <v>839</v>
      </c>
      <c r="H397" s="5">
        <v>45474</v>
      </c>
      <c r="I397" s="6">
        <v>1</v>
      </c>
      <c r="J397" s="4"/>
      <c r="K397" s="6">
        <v>25.5</v>
      </c>
      <c r="L397" s="4" t="s">
        <v>825</v>
      </c>
      <c r="M397" s="4" t="s">
        <v>1966</v>
      </c>
      <c r="N397" s="4" t="s">
        <v>1990</v>
      </c>
      <c r="O397" s="4"/>
    </row>
    <row r="398" spans="1:15" x14ac:dyDescent="0.25">
      <c r="A398" s="10" t="s">
        <v>1781</v>
      </c>
      <c r="B398" s="10" t="str">
        <f t="shared" si="7"/>
        <v>00021865984K1</v>
      </c>
      <c r="C398" s="4" t="s">
        <v>848</v>
      </c>
      <c r="D398" s="4"/>
      <c r="E398" s="4">
        <v>7470776</v>
      </c>
      <c r="F398" s="4" t="s">
        <v>151</v>
      </c>
      <c r="G398" s="4" t="s">
        <v>839</v>
      </c>
      <c r="H398" s="5">
        <v>45474</v>
      </c>
      <c r="I398" s="6">
        <v>1</v>
      </c>
      <c r="J398" s="4"/>
      <c r="K398" s="6">
        <v>25.5</v>
      </c>
      <c r="L398" s="4" t="s">
        <v>825</v>
      </c>
      <c r="M398" s="4" t="s">
        <v>1966</v>
      </c>
      <c r="N398" s="4" t="s">
        <v>1990</v>
      </c>
      <c r="O398" s="4"/>
    </row>
    <row r="399" spans="1:15" x14ac:dyDescent="0.25">
      <c r="A399" s="10" t="s">
        <v>1786</v>
      </c>
      <c r="B399" s="10" t="str">
        <f t="shared" si="7"/>
        <v>00021882434K1</v>
      </c>
      <c r="C399" s="4" t="s">
        <v>853</v>
      </c>
      <c r="D399" s="4" t="s">
        <v>784</v>
      </c>
      <c r="E399" s="4">
        <v>7470776</v>
      </c>
      <c r="F399" s="4" t="s">
        <v>151</v>
      </c>
      <c r="G399" s="4" t="s">
        <v>839</v>
      </c>
      <c r="H399" s="5">
        <v>45474</v>
      </c>
      <c r="I399" s="6">
        <v>1</v>
      </c>
      <c r="J399" s="4"/>
      <c r="K399" s="6">
        <v>25.5</v>
      </c>
      <c r="L399" s="4" t="s">
        <v>825</v>
      </c>
      <c r="M399" s="4" t="s">
        <v>1966</v>
      </c>
      <c r="N399" s="4" t="s">
        <v>1990</v>
      </c>
      <c r="O399" s="4"/>
    </row>
    <row r="400" spans="1:15" x14ac:dyDescent="0.25">
      <c r="A400" s="10" t="s">
        <v>1791</v>
      </c>
      <c r="B400" s="10" t="str">
        <f t="shared" si="7"/>
        <v>00021895977K1</v>
      </c>
      <c r="C400" s="4" t="s">
        <v>859</v>
      </c>
      <c r="D400" s="4" t="s">
        <v>784</v>
      </c>
      <c r="E400" s="4">
        <v>7470776</v>
      </c>
      <c r="F400" s="4" t="s">
        <v>151</v>
      </c>
      <c r="G400" s="4" t="s">
        <v>839</v>
      </c>
      <c r="H400" s="5">
        <v>45505</v>
      </c>
      <c r="I400" s="6">
        <v>1</v>
      </c>
      <c r="J400" s="4"/>
      <c r="K400" s="6">
        <v>25.5</v>
      </c>
      <c r="L400" s="4" t="s">
        <v>825</v>
      </c>
      <c r="M400" s="4" t="s">
        <v>1966</v>
      </c>
      <c r="N400" s="4" t="s">
        <v>1990</v>
      </c>
      <c r="O400" s="4"/>
    </row>
    <row r="401" spans="1:15" x14ac:dyDescent="0.25">
      <c r="A401" s="10" t="s">
        <v>1795</v>
      </c>
      <c r="B401" s="10" t="str">
        <f t="shared" si="7"/>
        <v>00021917176K1</v>
      </c>
      <c r="C401" s="4" t="s">
        <v>863</v>
      </c>
      <c r="D401" s="4" t="s">
        <v>784</v>
      </c>
      <c r="E401" s="4">
        <v>7470776</v>
      </c>
      <c r="F401" s="4" t="s">
        <v>151</v>
      </c>
      <c r="G401" s="4" t="s">
        <v>839</v>
      </c>
      <c r="H401" s="5">
        <v>45505</v>
      </c>
      <c r="I401" s="6">
        <v>1</v>
      </c>
      <c r="J401" s="4"/>
      <c r="K401" s="6">
        <v>25.5</v>
      </c>
      <c r="L401" s="4" t="s">
        <v>825</v>
      </c>
      <c r="M401" s="4" t="s">
        <v>1966</v>
      </c>
      <c r="N401" s="4" t="s">
        <v>1990</v>
      </c>
      <c r="O401" s="4"/>
    </row>
    <row r="402" spans="1:15" x14ac:dyDescent="0.25">
      <c r="A402" s="10" t="s">
        <v>1811</v>
      </c>
      <c r="B402" s="10" t="str">
        <f t="shared" si="7"/>
        <v>00021973839K1</v>
      </c>
      <c r="C402" s="4" t="s">
        <v>879</v>
      </c>
      <c r="D402" s="4" t="s">
        <v>784</v>
      </c>
      <c r="E402" s="4">
        <v>7470776</v>
      </c>
      <c r="F402" s="4" t="s">
        <v>151</v>
      </c>
      <c r="G402" s="4" t="s">
        <v>839</v>
      </c>
      <c r="H402" s="5">
        <v>45536</v>
      </c>
      <c r="I402" s="6">
        <v>1</v>
      </c>
      <c r="J402" s="4"/>
      <c r="K402" s="6">
        <v>25.5</v>
      </c>
      <c r="L402" s="4" t="s">
        <v>825</v>
      </c>
      <c r="M402" s="4" t="s">
        <v>1966</v>
      </c>
      <c r="N402" s="4" t="s">
        <v>1990</v>
      </c>
      <c r="O402" s="4"/>
    </row>
    <row r="403" spans="1:15" x14ac:dyDescent="0.25">
      <c r="A403" s="10" t="s">
        <v>1815</v>
      </c>
      <c r="B403" s="10" t="str">
        <f t="shared" si="7"/>
        <v>00022004915K1</v>
      </c>
      <c r="C403" s="4" t="s">
        <v>883</v>
      </c>
      <c r="D403" s="4" t="s">
        <v>784</v>
      </c>
      <c r="E403" s="4">
        <v>7470776</v>
      </c>
      <c r="F403" s="4" t="s">
        <v>151</v>
      </c>
      <c r="G403" s="4" t="s">
        <v>839</v>
      </c>
      <c r="H403" s="5">
        <v>45536</v>
      </c>
      <c r="I403" s="6">
        <v>1</v>
      </c>
      <c r="J403" s="4"/>
      <c r="K403" s="6">
        <v>25.5</v>
      </c>
      <c r="L403" s="4" t="s">
        <v>825</v>
      </c>
      <c r="M403" s="4" t="s">
        <v>1966</v>
      </c>
      <c r="N403" s="4" t="s">
        <v>1990</v>
      </c>
      <c r="O403" s="4"/>
    </row>
    <row r="404" spans="1:15" x14ac:dyDescent="0.25">
      <c r="A404" s="10" t="s">
        <v>1820</v>
      </c>
      <c r="B404" s="10" t="str">
        <f t="shared" si="7"/>
        <v>00022025150K1</v>
      </c>
      <c r="C404" s="4" t="s">
        <v>888</v>
      </c>
      <c r="D404" s="4" t="s">
        <v>784</v>
      </c>
      <c r="E404" s="4">
        <v>7470776</v>
      </c>
      <c r="F404" s="4" t="s">
        <v>151</v>
      </c>
      <c r="G404" s="4" t="s">
        <v>839</v>
      </c>
      <c r="H404" s="5">
        <v>45566</v>
      </c>
      <c r="I404" s="6">
        <v>1</v>
      </c>
      <c r="J404" s="4"/>
      <c r="K404" s="6">
        <v>25.5</v>
      </c>
      <c r="L404" s="4" t="s">
        <v>825</v>
      </c>
      <c r="M404" s="4" t="s">
        <v>1966</v>
      </c>
      <c r="N404" s="4" t="s">
        <v>1990</v>
      </c>
      <c r="O404" s="4"/>
    </row>
    <row r="405" spans="1:15" x14ac:dyDescent="0.25">
      <c r="A405" s="10" t="s">
        <v>1822</v>
      </c>
      <c r="B405" s="10" t="str">
        <f t="shared" si="7"/>
        <v>00022031158K1</v>
      </c>
      <c r="C405" s="4" t="s">
        <v>890</v>
      </c>
      <c r="D405" s="4" t="s">
        <v>784</v>
      </c>
      <c r="E405" s="4">
        <v>7470776</v>
      </c>
      <c r="F405" s="4" t="s">
        <v>151</v>
      </c>
      <c r="G405" s="4" t="s">
        <v>839</v>
      </c>
      <c r="H405" s="5">
        <v>45566</v>
      </c>
      <c r="I405" s="6">
        <v>1</v>
      </c>
      <c r="J405" s="4"/>
      <c r="K405" s="6">
        <v>25.5</v>
      </c>
      <c r="L405" s="4" t="s">
        <v>825</v>
      </c>
      <c r="M405" s="4" t="s">
        <v>1966</v>
      </c>
      <c r="N405" s="4" t="s">
        <v>1990</v>
      </c>
      <c r="O405" s="4"/>
    </row>
    <row r="406" spans="1:15" x14ac:dyDescent="0.25">
      <c r="A406" s="10" t="s">
        <v>1823</v>
      </c>
      <c r="B406" s="10" t="str">
        <f t="shared" si="7"/>
        <v>00022032935K1</v>
      </c>
      <c r="C406" s="4" t="s">
        <v>891</v>
      </c>
      <c r="D406" s="4" t="s">
        <v>784</v>
      </c>
      <c r="E406" s="4">
        <v>7470776</v>
      </c>
      <c r="F406" s="4" t="s">
        <v>151</v>
      </c>
      <c r="G406" s="4" t="s">
        <v>839</v>
      </c>
      <c r="H406" s="5">
        <v>45566</v>
      </c>
      <c r="I406" s="6">
        <v>1</v>
      </c>
      <c r="J406" s="4"/>
      <c r="K406" s="6">
        <v>25.5</v>
      </c>
      <c r="L406" s="4" t="s">
        <v>825</v>
      </c>
      <c r="M406" s="4" t="s">
        <v>1966</v>
      </c>
      <c r="N406" s="4" t="s">
        <v>1990</v>
      </c>
      <c r="O406" s="4"/>
    </row>
    <row r="407" spans="1:15" x14ac:dyDescent="0.25">
      <c r="A407" s="10" t="s">
        <v>1826</v>
      </c>
      <c r="B407" s="10" t="str">
        <f t="shared" si="7"/>
        <v>00022035242K1</v>
      </c>
      <c r="C407" s="4" t="s">
        <v>894</v>
      </c>
      <c r="D407" s="4" t="s">
        <v>784</v>
      </c>
      <c r="E407" s="4">
        <v>7470776</v>
      </c>
      <c r="F407" s="4" t="s">
        <v>151</v>
      </c>
      <c r="G407" s="4" t="s">
        <v>839</v>
      </c>
      <c r="H407" s="5">
        <v>45566</v>
      </c>
      <c r="I407" s="6">
        <v>1</v>
      </c>
      <c r="J407" s="4"/>
      <c r="K407" s="6">
        <v>25.5</v>
      </c>
      <c r="L407" s="4" t="s">
        <v>825</v>
      </c>
      <c r="M407" s="4" t="s">
        <v>1966</v>
      </c>
      <c r="N407" s="4" t="s">
        <v>1990</v>
      </c>
      <c r="O407" s="4"/>
    </row>
    <row r="408" spans="1:15" x14ac:dyDescent="0.25">
      <c r="A408" s="10" t="s">
        <v>1827</v>
      </c>
      <c r="B408" s="10" t="str">
        <f t="shared" si="7"/>
        <v>00022040894K1</v>
      </c>
      <c r="C408" s="4" t="s">
        <v>895</v>
      </c>
      <c r="D408" s="4" t="s">
        <v>784</v>
      </c>
      <c r="E408" s="4">
        <v>7470776</v>
      </c>
      <c r="F408" s="4" t="s">
        <v>151</v>
      </c>
      <c r="G408" s="4" t="s">
        <v>839</v>
      </c>
      <c r="H408" s="5">
        <v>45566</v>
      </c>
      <c r="I408" s="6">
        <v>1</v>
      </c>
      <c r="J408" s="4"/>
      <c r="K408" s="6">
        <v>25.5</v>
      </c>
      <c r="L408" s="4" t="s">
        <v>825</v>
      </c>
      <c r="M408" s="4" t="s">
        <v>1966</v>
      </c>
      <c r="N408" s="4" t="s">
        <v>1990</v>
      </c>
      <c r="O408" s="4"/>
    </row>
    <row r="409" spans="1:15" x14ac:dyDescent="0.25">
      <c r="A409" s="10" t="s">
        <v>1829</v>
      </c>
      <c r="B409" s="10" t="str">
        <f t="shared" si="7"/>
        <v>00022052067K1</v>
      </c>
      <c r="C409" s="4" t="s">
        <v>897</v>
      </c>
      <c r="D409" s="4" t="s">
        <v>784</v>
      </c>
      <c r="E409" s="4">
        <v>7470776</v>
      </c>
      <c r="F409" s="4" t="s">
        <v>151</v>
      </c>
      <c r="G409" s="4" t="s">
        <v>839</v>
      </c>
      <c r="H409" s="5">
        <v>45566</v>
      </c>
      <c r="I409" s="6">
        <v>1</v>
      </c>
      <c r="J409" s="4"/>
      <c r="K409" s="6">
        <v>25.5</v>
      </c>
      <c r="L409" s="4" t="s">
        <v>825</v>
      </c>
      <c r="M409" s="4" t="s">
        <v>1966</v>
      </c>
      <c r="N409" s="4" t="s">
        <v>1990</v>
      </c>
      <c r="O409" s="4"/>
    </row>
    <row r="410" spans="1:15" x14ac:dyDescent="0.25">
      <c r="A410" s="10" t="s">
        <v>1845</v>
      </c>
      <c r="B410" s="10" t="str">
        <f t="shared" si="7"/>
        <v>00022094729K1</v>
      </c>
      <c r="C410" s="4" t="s">
        <v>913</v>
      </c>
      <c r="D410" s="4" t="s">
        <v>784</v>
      </c>
      <c r="E410" s="4">
        <v>7470776</v>
      </c>
      <c r="F410" s="4" t="s">
        <v>151</v>
      </c>
      <c r="G410" s="4" t="s">
        <v>839</v>
      </c>
      <c r="H410" s="5">
        <v>45597</v>
      </c>
      <c r="I410" s="6">
        <v>1</v>
      </c>
      <c r="J410" s="4"/>
      <c r="K410" s="6">
        <v>25.5</v>
      </c>
      <c r="L410" s="4" t="s">
        <v>825</v>
      </c>
      <c r="M410" s="4" t="s">
        <v>1966</v>
      </c>
      <c r="N410" s="4" t="s">
        <v>1990</v>
      </c>
      <c r="O410" s="4"/>
    </row>
    <row r="411" spans="1:15" x14ac:dyDescent="0.25">
      <c r="A411" s="10" t="s">
        <v>1846</v>
      </c>
      <c r="B411" s="10" t="str">
        <f t="shared" si="7"/>
        <v>00022094985K1</v>
      </c>
      <c r="C411" s="4" t="s">
        <v>914</v>
      </c>
      <c r="D411" s="4" t="s">
        <v>784</v>
      </c>
      <c r="E411" s="4">
        <v>7470776</v>
      </c>
      <c r="F411" s="4" t="s">
        <v>151</v>
      </c>
      <c r="G411" s="4" t="s">
        <v>839</v>
      </c>
      <c r="H411" s="5">
        <v>45597</v>
      </c>
      <c r="I411" s="6">
        <v>1</v>
      </c>
      <c r="J411" s="4"/>
      <c r="K411" s="6">
        <v>25.5</v>
      </c>
      <c r="L411" s="4" t="s">
        <v>825</v>
      </c>
      <c r="M411" s="4" t="s">
        <v>1966</v>
      </c>
      <c r="N411" s="4" t="s">
        <v>1990</v>
      </c>
      <c r="O411" s="4"/>
    </row>
    <row r="412" spans="1:15" x14ac:dyDescent="0.25">
      <c r="A412" s="10" t="s">
        <v>1848</v>
      </c>
      <c r="B412" s="10" t="str">
        <f t="shared" si="7"/>
        <v>00022095955K1</v>
      </c>
      <c r="C412" s="4" t="s">
        <v>916</v>
      </c>
      <c r="D412" s="4" t="s">
        <v>784</v>
      </c>
      <c r="E412" s="4">
        <v>7470776</v>
      </c>
      <c r="F412" s="4" t="s">
        <v>151</v>
      </c>
      <c r="G412" s="4" t="s">
        <v>839</v>
      </c>
      <c r="H412" s="5">
        <v>45597</v>
      </c>
      <c r="I412" s="6">
        <v>1</v>
      </c>
      <c r="J412" s="4"/>
      <c r="K412" s="6">
        <v>25.5</v>
      </c>
      <c r="L412" s="4" t="s">
        <v>825</v>
      </c>
      <c r="M412" s="4" t="s">
        <v>1966</v>
      </c>
      <c r="N412" s="4" t="s">
        <v>1990</v>
      </c>
      <c r="O412" s="4"/>
    </row>
    <row r="413" spans="1:15" x14ac:dyDescent="0.25">
      <c r="A413" s="10" t="s">
        <v>1849</v>
      </c>
      <c r="B413" s="10" t="str">
        <f t="shared" si="7"/>
        <v>00022096948K1</v>
      </c>
      <c r="C413" s="4" t="s">
        <v>917</v>
      </c>
      <c r="D413" s="4" t="s">
        <v>784</v>
      </c>
      <c r="E413" s="4">
        <v>7470776</v>
      </c>
      <c r="F413" s="4" t="s">
        <v>151</v>
      </c>
      <c r="G413" s="4" t="s">
        <v>839</v>
      </c>
      <c r="H413" s="5">
        <v>45597</v>
      </c>
      <c r="I413" s="6">
        <v>1</v>
      </c>
      <c r="J413" s="4"/>
      <c r="K413" s="6">
        <v>25.5</v>
      </c>
      <c r="L413" s="4" t="s">
        <v>825</v>
      </c>
      <c r="M413" s="4" t="s">
        <v>1966</v>
      </c>
      <c r="N413" s="4" t="s">
        <v>1990</v>
      </c>
      <c r="O413" s="4"/>
    </row>
    <row r="414" spans="1:15" x14ac:dyDescent="0.25">
      <c r="A414" s="10" t="s">
        <v>1850</v>
      </c>
      <c r="B414" s="10" t="str">
        <f t="shared" si="7"/>
        <v>00022097947K1</v>
      </c>
      <c r="C414" s="4" t="s">
        <v>918</v>
      </c>
      <c r="D414" s="4" t="s">
        <v>784</v>
      </c>
      <c r="E414" s="4">
        <v>7470776</v>
      </c>
      <c r="F414" s="4" t="s">
        <v>151</v>
      </c>
      <c r="G414" s="4" t="s">
        <v>839</v>
      </c>
      <c r="H414" s="5">
        <v>45597</v>
      </c>
      <c r="I414" s="6">
        <v>1</v>
      </c>
      <c r="J414" s="4"/>
      <c r="K414" s="6">
        <v>25.5</v>
      </c>
      <c r="L414" s="4" t="s">
        <v>825</v>
      </c>
      <c r="M414" s="4" t="s">
        <v>1966</v>
      </c>
      <c r="N414" s="4" t="s">
        <v>1990</v>
      </c>
      <c r="O414" s="4"/>
    </row>
    <row r="415" spans="1:15" x14ac:dyDescent="0.25">
      <c r="A415" s="10" t="s">
        <v>1761</v>
      </c>
      <c r="B415" s="10" t="str">
        <f t="shared" si="7"/>
        <v>00020054580K1</v>
      </c>
      <c r="C415" s="4" t="s">
        <v>823</v>
      </c>
      <c r="D415" s="4" t="s">
        <v>784</v>
      </c>
      <c r="E415" s="4">
        <v>7470776</v>
      </c>
      <c r="F415" s="4" t="s">
        <v>151</v>
      </c>
      <c r="G415" s="4" t="s">
        <v>824</v>
      </c>
      <c r="H415" s="5">
        <v>45505</v>
      </c>
      <c r="I415" s="6">
        <v>1</v>
      </c>
      <c r="J415" s="4"/>
      <c r="K415" s="6">
        <v>25.5</v>
      </c>
      <c r="L415" s="4" t="s">
        <v>825</v>
      </c>
      <c r="M415" s="4" t="s">
        <v>1966</v>
      </c>
      <c r="N415" s="4" t="s">
        <v>1990</v>
      </c>
      <c r="O415" s="4"/>
    </row>
    <row r="416" spans="1:15" x14ac:dyDescent="0.25">
      <c r="A416" s="10" t="s">
        <v>1788</v>
      </c>
      <c r="B416" s="10" t="str">
        <f t="shared" si="7"/>
        <v>00021884516K1</v>
      </c>
      <c r="C416" s="4" t="s">
        <v>855</v>
      </c>
      <c r="D416" s="4" t="s">
        <v>784</v>
      </c>
      <c r="E416" s="4">
        <v>7470776</v>
      </c>
      <c r="F416" s="4" t="s">
        <v>151</v>
      </c>
      <c r="G416" s="4" t="s">
        <v>824</v>
      </c>
      <c r="H416" s="5">
        <v>45474</v>
      </c>
      <c r="I416" s="6">
        <v>1</v>
      </c>
      <c r="J416" s="4"/>
      <c r="K416" s="6">
        <v>25.5</v>
      </c>
      <c r="L416" s="4" t="s">
        <v>825</v>
      </c>
      <c r="M416" s="4" t="s">
        <v>1966</v>
      </c>
      <c r="N416" s="4" t="s">
        <v>1990</v>
      </c>
      <c r="O416" s="4"/>
    </row>
    <row r="417" spans="1:15" x14ac:dyDescent="0.25">
      <c r="A417" s="10" t="s">
        <v>1779</v>
      </c>
      <c r="B417" s="10" t="str">
        <f t="shared" si="7"/>
        <v>00021853815K1</v>
      </c>
      <c r="C417" s="4" t="s">
        <v>846</v>
      </c>
      <c r="D417" s="4" t="s">
        <v>784</v>
      </c>
      <c r="E417" s="4">
        <v>7146581</v>
      </c>
      <c r="F417" s="4" t="s">
        <v>86</v>
      </c>
      <c r="G417" s="4" t="s">
        <v>839</v>
      </c>
      <c r="H417" s="5">
        <v>45474</v>
      </c>
      <c r="I417" s="6">
        <v>1</v>
      </c>
      <c r="J417" s="4"/>
      <c r="K417" s="6">
        <v>25.5</v>
      </c>
      <c r="L417" s="4" t="s">
        <v>825</v>
      </c>
      <c r="M417" s="4" t="s">
        <v>1966</v>
      </c>
      <c r="N417" s="4" t="s">
        <v>1990</v>
      </c>
      <c r="O417" s="4"/>
    </row>
    <row r="418" spans="1:15" x14ac:dyDescent="0.25">
      <c r="A418" s="10" t="s">
        <v>1777</v>
      </c>
      <c r="B418" s="10" t="str">
        <f t="shared" si="7"/>
        <v>00021852153K1</v>
      </c>
      <c r="C418" s="4" t="s">
        <v>843</v>
      </c>
      <c r="D418" s="4" t="s">
        <v>784</v>
      </c>
      <c r="E418" s="4">
        <v>7146581</v>
      </c>
      <c r="F418" s="4" t="s">
        <v>86</v>
      </c>
      <c r="G418" s="4" t="s">
        <v>844</v>
      </c>
      <c r="H418" s="5">
        <v>45474</v>
      </c>
      <c r="I418" s="6">
        <v>1</v>
      </c>
      <c r="J418" s="4"/>
      <c r="K418" s="6">
        <v>25.5</v>
      </c>
      <c r="L418" s="4" t="s">
        <v>825</v>
      </c>
      <c r="M418" s="4" t="s">
        <v>1966</v>
      </c>
      <c r="N418" s="4" t="s">
        <v>1990</v>
      </c>
      <c r="O418" s="4"/>
    </row>
    <row r="419" spans="1:15" x14ac:dyDescent="0.25">
      <c r="A419" s="10" t="s">
        <v>1778</v>
      </c>
      <c r="B419" s="10" t="str">
        <f t="shared" si="7"/>
        <v>00021853327K1</v>
      </c>
      <c r="C419" s="4" t="s">
        <v>845</v>
      </c>
      <c r="D419" s="4" t="s">
        <v>784</v>
      </c>
      <c r="E419" s="4">
        <v>8814784</v>
      </c>
      <c r="F419" s="4" t="s">
        <v>114</v>
      </c>
      <c r="G419" s="4" t="s">
        <v>839</v>
      </c>
      <c r="H419" s="5">
        <v>45474</v>
      </c>
      <c r="I419" s="6">
        <v>1</v>
      </c>
      <c r="J419" s="4"/>
      <c r="K419" s="6">
        <v>25.5</v>
      </c>
      <c r="L419" s="4" t="s">
        <v>825</v>
      </c>
      <c r="M419" s="4" t="s">
        <v>1966</v>
      </c>
      <c r="N419" s="4" t="s">
        <v>1990</v>
      </c>
      <c r="O419" s="4"/>
    </row>
    <row r="420" spans="1:15" x14ac:dyDescent="0.25">
      <c r="A420" s="10" t="s">
        <v>1773</v>
      </c>
      <c r="B420" s="10" t="str">
        <f t="shared" si="7"/>
        <v>00021812164K1</v>
      </c>
      <c r="C420" s="4" t="s">
        <v>838</v>
      </c>
      <c r="D420" s="4" t="s">
        <v>784</v>
      </c>
      <c r="E420" s="4">
        <v>9213293</v>
      </c>
      <c r="F420" s="4" t="s">
        <v>57</v>
      </c>
      <c r="G420" s="4" t="s">
        <v>839</v>
      </c>
      <c r="H420" s="5">
        <v>45444</v>
      </c>
      <c r="I420" s="6">
        <v>1</v>
      </c>
      <c r="J420" s="4"/>
      <c r="K420" s="6">
        <v>25.5</v>
      </c>
      <c r="L420" s="4" t="s">
        <v>825</v>
      </c>
      <c r="M420" s="4" t="s">
        <v>1966</v>
      </c>
      <c r="N420" s="4" t="s">
        <v>1990</v>
      </c>
      <c r="O420" s="4"/>
    </row>
    <row r="421" spans="1:15" x14ac:dyDescent="0.25">
      <c r="A421" s="10" t="s">
        <v>1774</v>
      </c>
      <c r="B421" s="10" t="str">
        <f t="shared" si="7"/>
        <v>00021819613K1</v>
      </c>
      <c r="C421" s="4" t="s">
        <v>840</v>
      </c>
      <c r="D421" s="4" t="s">
        <v>784</v>
      </c>
      <c r="E421" s="4">
        <v>8244481</v>
      </c>
      <c r="F421" s="4" t="s">
        <v>178</v>
      </c>
      <c r="G421" s="4" t="s">
        <v>839</v>
      </c>
      <c r="H421" s="5">
        <v>45444</v>
      </c>
      <c r="I421" s="6">
        <v>1</v>
      </c>
      <c r="J421" s="4"/>
      <c r="K421" s="6">
        <v>25.5</v>
      </c>
      <c r="L421" s="4" t="s">
        <v>825</v>
      </c>
      <c r="M421" s="4" t="s">
        <v>1966</v>
      </c>
      <c r="N421" s="4" t="s">
        <v>1990</v>
      </c>
      <c r="O421" s="4"/>
    </row>
    <row r="422" spans="1:15" x14ac:dyDescent="0.25">
      <c r="A422" s="10" t="s">
        <v>1780</v>
      </c>
      <c r="B422" s="10" t="str">
        <f t="shared" si="7"/>
        <v>00021859258K1</v>
      </c>
      <c r="C422" s="4" t="s">
        <v>847</v>
      </c>
      <c r="D422" s="4" t="s">
        <v>784</v>
      </c>
      <c r="E422" s="4">
        <v>19200754</v>
      </c>
      <c r="F422" s="4" t="s">
        <v>166</v>
      </c>
      <c r="G422" s="4" t="s">
        <v>839</v>
      </c>
      <c r="H422" s="5">
        <v>45474</v>
      </c>
      <c r="I422" s="6">
        <v>1</v>
      </c>
      <c r="J422" s="4"/>
      <c r="K422" s="6">
        <v>25.5</v>
      </c>
      <c r="L422" s="4" t="s">
        <v>825</v>
      </c>
      <c r="M422" s="4" t="s">
        <v>1966</v>
      </c>
      <c r="N422" s="4" t="s">
        <v>1990</v>
      </c>
      <c r="O422" s="4"/>
    </row>
    <row r="423" spans="1:15" x14ac:dyDescent="0.25">
      <c r="A423" s="9" t="s">
        <v>1789</v>
      </c>
      <c r="B423" s="9" t="str">
        <f t="shared" ref="B423:B486" si="8">CONCATENATE(A423,"OVR")</f>
        <v>00021892187KOVR</v>
      </c>
      <c r="C423" t="s">
        <v>856</v>
      </c>
      <c r="D423" t="s">
        <v>784</v>
      </c>
      <c r="E423">
        <v>20411454</v>
      </c>
      <c r="F423" t="s">
        <v>1993</v>
      </c>
      <c r="G423" t="s">
        <v>857</v>
      </c>
      <c r="H423" s="1">
        <v>45474</v>
      </c>
      <c r="I423" s="2">
        <v>1</v>
      </c>
      <c r="K423" s="2">
        <v>7</v>
      </c>
      <c r="L423" t="s">
        <v>815</v>
      </c>
      <c r="M423" t="s">
        <v>1965</v>
      </c>
    </row>
    <row r="424" spans="1:15" x14ac:dyDescent="0.25">
      <c r="A424" s="9" t="s">
        <v>1793</v>
      </c>
      <c r="B424" s="9" t="str">
        <f t="shared" si="8"/>
        <v>00021908647KOVR</v>
      </c>
      <c r="C424" t="s">
        <v>861</v>
      </c>
      <c r="D424" t="s">
        <v>784</v>
      </c>
      <c r="E424">
        <v>20411454</v>
      </c>
      <c r="F424" t="s">
        <v>1993</v>
      </c>
      <c r="G424" t="s">
        <v>857</v>
      </c>
      <c r="H424" s="1">
        <v>45505</v>
      </c>
      <c r="I424" s="2">
        <v>1</v>
      </c>
      <c r="K424" s="2">
        <v>7</v>
      </c>
      <c r="L424" t="s">
        <v>815</v>
      </c>
      <c r="M424" t="s">
        <v>1965</v>
      </c>
    </row>
    <row r="425" spans="1:15" x14ac:dyDescent="0.25">
      <c r="A425" s="9" t="s">
        <v>1474</v>
      </c>
      <c r="B425" s="9" t="str">
        <f t="shared" si="8"/>
        <v>00000437692KOVR</v>
      </c>
      <c r="C425" t="s">
        <v>45</v>
      </c>
      <c r="D425" t="s">
        <v>46</v>
      </c>
      <c r="E425">
        <v>20411454</v>
      </c>
      <c r="F425" t="s">
        <v>1993</v>
      </c>
      <c r="G425" t="s">
        <v>50</v>
      </c>
      <c r="H425" s="1">
        <v>46023</v>
      </c>
      <c r="I425" s="2">
        <v>175</v>
      </c>
      <c r="J425">
        <v>1</v>
      </c>
      <c r="K425" s="2">
        <v>175</v>
      </c>
      <c r="M425" t="s">
        <v>1965</v>
      </c>
    </row>
    <row r="426" spans="1:15" x14ac:dyDescent="0.25">
      <c r="A426" s="9" t="s">
        <v>1475</v>
      </c>
      <c r="B426" s="9" t="str">
        <f t="shared" si="8"/>
        <v>00000573317IOVR</v>
      </c>
      <c r="C426" t="s">
        <v>54</v>
      </c>
      <c r="D426" t="s">
        <v>55</v>
      </c>
      <c r="E426">
        <v>20411454</v>
      </c>
      <c r="F426" t="s">
        <v>1993</v>
      </c>
      <c r="G426" t="s">
        <v>50</v>
      </c>
      <c r="H426" s="1">
        <v>46023</v>
      </c>
      <c r="I426" s="2">
        <v>175</v>
      </c>
      <c r="J426">
        <v>1</v>
      </c>
      <c r="K426" s="2">
        <v>175</v>
      </c>
      <c r="M426" t="s">
        <v>1965</v>
      </c>
    </row>
    <row r="427" spans="1:15" x14ac:dyDescent="0.25">
      <c r="A427" s="9" t="s">
        <v>1476</v>
      </c>
      <c r="B427" s="9" t="str">
        <f t="shared" si="8"/>
        <v>00000736095GOVR</v>
      </c>
      <c r="C427" t="s">
        <v>59</v>
      </c>
      <c r="D427" t="s">
        <v>55</v>
      </c>
      <c r="E427">
        <v>20411454</v>
      </c>
      <c r="F427" t="s">
        <v>1993</v>
      </c>
      <c r="G427" t="s">
        <v>50</v>
      </c>
      <c r="H427" s="1">
        <v>46023</v>
      </c>
      <c r="I427" s="2">
        <v>175</v>
      </c>
      <c r="J427">
        <v>1</v>
      </c>
      <c r="K427" s="2">
        <v>175</v>
      </c>
      <c r="M427" t="s">
        <v>1965</v>
      </c>
    </row>
    <row r="428" spans="1:15" x14ac:dyDescent="0.25">
      <c r="A428" s="9" t="s">
        <v>1477</v>
      </c>
      <c r="B428" s="9" t="str">
        <f t="shared" si="8"/>
        <v>00000765622IOVR</v>
      </c>
      <c r="C428" t="s">
        <v>63</v>
      </c>
      <c r="D428" t="s">
        <v>55</v>
      </c>
      <c r="E428">
        <v>20411454</v>
      </c>
      <c r="F428" t="s">
        <v>1993</v>
      </c>
      <c r="G428" t="s">
        <v>50</v>
      </c>
      <c r="H428" s="1">
        <v>46023</v>
      </c>
      <c r="I428" s="2">
        <v>175</v>
      </c>
      <c r="J428">
        <v>1</v>
      </c>
      <c r="K428" s="2">
        <v>175</v>
      </c>
      <c r="M428" t="s">
        <v>1965</v>
      </c>
    </row>
    <row r="429" spans="1:15" x14ac:dyDescent="0.25">
      <c r="A429" s="9" t="s">
        <v>1479</v>
      </c>
      <c r="B429" s="9" t="str">
        <f t="shared" si="8"/>
        <v>00000845139KOVR</v>
      </c>
      <c r="C429" t="s">
        <v>71</v>
      </c>
      <c r="D429" t="s">
        <v>72</v>
      </c>
      <c r="E429">
        <v>20411454</v>
      </c>
      <c r="F429" t="s">
        <v>1993</v>
      </c>
      <c r="G429" t="s">
        <v>50</v>
      </c>
      <c r="H429" s="1">
        <v>46023</v>
      </c>
      <c r="I429" s="2">
        <v>175</v>
      </c>
      <c r="J429">
        <v>1</v>
      </c>
      <c r="K429" s="2">
        <v>175</v>
      </c>
      <c r="M429" t="s">
        <v>1965</v>
      </c>
    </row>
    <row r="430" spans="1:15" x14ac:dyDescent="0.25">
      <c r="A430" s="9" t="s">
        <v>1480</v>
      </c>
      <c r="B430" s="9" t="str">
        <f t="shared" si="8"/>
        <v>00000989823DOVR</v>
      </c>
      <c r="C430" t="s">
        <v>76</v>
      </c>
      <c r="D430" t="s">
        <v>66</v>
      </c>
      <c r="E430">
        <v>20411454</v>
      </c>
      <c r="F430" t="s">
        <v>1993</v>
      </c>
      <c r="G430" t="s">
        <v>50</v>
      </c>
      <c r="H430" s="1">
        <v>46023</v>
      </c>
      <c r="I430" s="2">
        <v>175</v>
      </c>
      <c r="J430">
        <v>1</v>
      </c>
      <c r="K430" s="2">
        <v>175</v>
      </c>
      <c r="M430" t="s">
        <v>1965</v>
      </c>
    </row>
    <row r="431" spans="1:15" x14ac:dyDescent="0.25">
      <c r="A431" s="9" t="s">
        <v>1481</v>
      </c>
      <c r="B431" s="9" t="str">
        <f t="shared" si="8"/>
        <v>00001754427KOVR</v>
      </c>
      <c r="C431" t="s">
        <v>80</v>
      </c>
      <c r="D431" t="s">
        <v>55</v>
      </c>
      <c r="E431">
        <v>20411454</v>
      </c>
      <c r="F431" t="s">
        <v>1993</v>
      </c>
      <c r="G431" t="s">
        <v>50</v>
      </c>
      <c r="H431" s="1">
        <v>46023</v>
      </c>
      <c r="I431" s="2">
        <v>175</v>
      </c>
      <c r="J431">
        <v>1</v>
      </c>
      <c r="K431" s="2">
        <v>175</v>
      </c>
      <c r="M431" t="s">
        <v>1965</v>
      </c>
    </row>
    <row r="432" spans="1:15" x14ac:dyDescent="0.25">
      <c r="A432" s="9" t="s">
        <v>1482</v>
      </c>
      <c r="B432" s="9" t="str">
        <f t="shared" si="8"/>
        <v>00003971474KOVR</v>
      </c>
      <c r="C432" t="s">
        <v>84</v>
      </c>
      <c r="D432" t="s">
        <v>55</v>
      </c>
      <c r="E432">
        <v>20411454</v>
      </c>
      <c r="F432" t="s">
        <v>1993</v>
      </c>
      <c r="G432" t="s">
        <v>50</v>
      </c>
      <c r="H432" s="1">
        <v>46023</v>
      </c>
      <c r="I432" s="2">
        <v>175</v>
      </c>
      <c r="J432">
        <v>1</v>
      </c>
      <c r="K432" s="2">
        <v>175</v>
      </c>
      <c r="M432" t="s">
        <v>1965</v>
      </c>
    </row>
    <row r="433" spans="1:13" x14ac:dyDescent="0.25">
      <c r="A433" s="9" t="s">
        <v>1483</v>
      </c>
      <c r="B433" s="9" t="str">
        <f t="shared" si="8"/>
        <v>00004503213KOVR</v>
      </c>
      <c r="C433" t="s">
        <v>88</v>
      </c>
      <c r="D433" t="s">
        <v>89</v>
      </c>
      <c r="E433">
        <v>20411454</v>
      </c>
      <c r="F433" t="s">
        <v>1993</v>
      </c>
      <c r="G433" t="s">
        <v>50</v>
      </c>
      <c r="H433" s="1">
        <v>46023</v>
      </c>
      <c r="I433" s="2">
        <v>175</v>
      </c>
      <c r="J433">
        <v>1</v>
      </c>
      <c r="K433" s="2">
        <v>175</v>
      </c>
      <c r="M433" t="s">
        <v>1965</v>
      </c>
    </row>
    <row r="434" spans="1:13" x14ac:dyDescent="0.25">
      <c r="A434" s="9" t="s">
        <v>1484</v>
      </c>
      <c r="B434" s="9" t="str">
        <f t="shared" si="8"/>
        <v>00004978038KOVR</v>
      </c>
      <c r="C434" t="s">
        <v>93</v>
      </c>
      <c r="D434" t="s">
        <v>46</v>
      </c>
      <c r="E434">
        <v>20411454</v>
      </c>
      <c r="F434" t="s">
        <v>1993</v>
      </c>
      <c r="G434" t="s">
        <v>50</v>
      </c>
      <c r="H434" s="1">
        <v>46023</v>
      </c>
      <c r="I434" s="2">
        <v>175</v>
      </c>
      <c r="J434">
        <v>1</v>
      </c>
      <c r="K434" s="2">
        <v>175</v>
      </c>
      <c r="M434" t="s">
        <v>1965</v>
      </c>
    </row>
    <row r="435" spans="1:13" x14ac:dyDescent="0.25">
      <c r="A435" s="9" t="s">
        <v>1486</v>
      </c>
      <c r="B435" s="9" t="str">
        <f t="shared" si="8"/>
        <v>00006984078KOVR</v>
      </c>
      <c r="C435" t="s">
        <v>100</v>
      </c>
      <c r="D435" t="s">
        <v>55</v>
      </c>
      <c r="E435">
        <v>20411454</v>
      </c>
      <c r="F435" t="s">
        <v>1993</v>
      </c>
      <c r="G435" t="s">
        <v>50</v>
      </c>
      <c r="H435" s="1">
        <v>46023</v>
      </c>
      <c r="I435" s="2">
        <v>175</v>
      </c>
      <c r="J435">
        <v>1</v>
      </c>
      <c r="K435" s="2">
        <v>175</v>
      </c>
      <c r="M435" t="s">
        <v>1965</v>
      </c>
    </row>
    <row r="436" spans="1:13" x14ac:dyDescent="0.25">
      <c r="A436" s="9" t="s">
        <v>1487</v>
      </c>
      <c r="B436" s="9" t="str">
        <f t="shared" si="8"/>
        <v>00007196666KOVR</v>
      </c>
      <c r="C436" t="s">
        <v>104</v>
      </c>
      <c r="D436" t="s">
        <v>55</v>
      </c>
      <c r="E436">
        <v>20411454</v>
      </c>
      <c r="F436" t="s">
        <v>1993</v>
      </c>
      <c r="G436" t="s">
        <v>50</v>
      </c>
      <c r="H436" s="1">
        <v>46023</v>
      </c>
      <c r="I436" s="2">
        <v>175</v>
      </c>
      <c r="J436">
        <v>1</v>
      </c>
      <c r="K436" s="2">
        <v>175</v>
      </c>
      <c r="M436" t="s">
        <v>1965</v>
      </c>
    </row>
    <row r="437" spans="1:13" x14ac:dyDescent="0.25">
      <c r="A437" s="9" t="s">
        <v>1489</v>
      </c>
      <c r="B437" s="9" t="str">
        <f t="shared" si="8"/>
        <v>00008142916KOVR</v>
      </c>
      <c r="C437" t="s">
        <v>108</v>
      </c>
      <c r="D437" t="s">
        <v>46</v>
      </c>
      <c r="E437">
        <v>20411454</v>
      </c>
      <c r="F437" t="s">
        <v>1993</v>
      </c>
      <c r="G437" t="s">
        <v>50</v>
      </c>
      <c r="H437" s="1">
        <v>46023</v>
      </c>
      <c r="I437" s="2">
        <v>175</v>
      </c>
      <c r="J437">
        <v>1</v>
      </c>
      <c r="K437" s="2">
        <v>175</v>
      </c>
      <c r="M437" t="s">
        <v>1965</v>
      </c>
    </row>
    <row r="438" spans="1:13" x14ac:dyDescent="0.25">
      <c r="A438" s="9" t="s">
        <v>1490</v>
      </c>
      <c r="B438" s="9" t="str">
        <f t="shared" si="8"/>
        <v>00008165956KOVR</v>
      </c>
      <c r="C438" t="s">
        <v>110</v>
      </c>
      <c r="D438" t="s">
        <v>55</v>
      </c>
      <c r="E438">
        <v>20411454</v>
      </c>
      <c r="F438" t="s">
        <v>1993</v>
      </c>
      <c r="G438" t="s">
        <v>50</v>
      </c>
      <c r="H438" s="1">
        <v>46023</v>
      </c>
      <c r="I438" s="2">
        <v>175</v>
      </c>
      <c r="J438">
        <v>1</v>
      </c>
      <c r="K438" s="2">
        <v>175</v>
      </c>
      <c r="M438" t="s">
        <v>1965</v>
      </c>
    </row>
    <row r="439" spans="1:13" x14ac:dyDescent="0.25">
      <c r="A439" s="9" t="s">
        <v>1491</v>
      </c>
      <c r="B439" s="9" t="str">
        <f t="shared" si="8"/>
        <v>00010420692KOVR</v>
      </c>
      <c r="C439" t="s">
        <v>112</v>
      </c>
      <c r="D439" t="s">
        <v>55</v>
      </c>
      <c r="E439">
        <v>20411454</v>
      </c>
      <c r="F439" t="s">
        <v>1993</v>
      </c>
      <c r="G439" t="s">
        <v>50</v>
      </c>
      <c r="H439" s="1">
        <v>46023</v>
      </c>
      <c r="I439" s="2">
        <v>175</v>
      </c>
      <c r="J439">
        <v>1</v>
      </c>
      <c r="K439" s="2">
        <v>175</v>
      </c>
      <c r="M439" t="s">
        <v>1965</v>
      </c>
    </row>
    <row r="440" spans="1:13" x14ac:dyDescent="0.25">
      <c r="A440" s="9" t="s">
        <v>1494</v>
      </c>
      <c r="B440" s="9" t="str">
        <f t="shared" si="8"/>
        <v>00010948446KOVR</v>
      </c>
      <c r="C440" t="s">
        <v>122</v>
      </c>
      <c r="D440" t="s">
        <v>55</v>
      </c>
      <c r="E440">
        <v>20411454</v>
      </c>
      <c r="F440" t="s">
        <v>1993</v>
      </c>
      <c r="G440" t="s">
        <v>50</v>
      </c>
      <c r="H440" s="1">
        <v>46023</v>
      </c>
      <c r="I440" s="2">
        <v>175</v>
      </c>
      <c r="J440">
        <v>1</v>
      </c>
      <c r="K440" s="2">
        <v>175</v>
      </c>
      <c r="M440" t="s">
        <v>1965</v>
      </c>
    </row>
    <row r="441" spans="1:13" x14ac:dyDescent="0.25">
      <c r="A441" s="9" t="s">
        <v>1496</v>
      </c>
      <c r="B441" s="9" t="str">
        <f t="shared" si="8"/>
        <v>00011296136KOVR</v>
      </c>
      <c r="C441" t="s">
        <v>126</v>
      </c>
      <c r="D441" t="s">
        <v>55</v>
      </c>
      <c r="E441">
        <v>20411454</v>
      </c>
      <c r="F441" t="s">
        <v>1993</v>
      </c>
      <c r="G441" t="s">
        <v>50</v>
      </c>
      <c r="H441" s="1">
        <v>46023</v>
      </c>
      <c r="I441" s="2">
        <v>175</v>
      </c>
      <c r="J441">
        <v>1</v>
      </c>
      <c r="K441" s="2">
        <v>175</v>
      </c>
      <c r="M441" t="s">
        <v>1965</v>
      </c>
    </row>
    <row r="442" spans="1:13" x14ac:dyDescent="0.25">
      <c r="A442" s="9" t="s">
        <v>1497</v>
      </c>
      <c r="B442" s="9" t="str">
        <f t="shared" si="8"/>
        <v>00012003169KOVR</v>
      </c>
      <c r="C442" t="s">
        <v>128</v>
      </c>
      <c r="D442" t="s">
        <v>55</v>
      </c>
      <c r="E442">
        <v>20411454</v>
      </c>
      <c r="F442" t="s">
        <v>1993</v>
      </c>
      <c r="G442" t="s">
        <v>50</v>
      </c>
      <c r="H442" s="1">
        <v>46023</v>
      </c>
      <c r="I442" s="2">
        <v>175</v>
      </c>
      <c r="J442">
        <v>1</v>
      </c>
      <c r="K442" s="2">
        <v>175</v>
      </c>
      <c r="M442" t="s">
        <v>1965</v>
      </c>
    </row>
    <row r="443" spans="1:13" x14ac:dyDescent="0.25">
      <c r="A443" s="9" t="s">
        <v>1498</v>
      </c>
      <c r="B443" s="9" t="str">
        <f t="shared" si="8"/>
        <v>00012194653KOVR</v>
      </c>
      <c r="C443" t="s">
        <v>130</v>
      </c>
      <c r="D443" t="s">
        <v>72</v>
      </c>
      <c r="E443">
        <v>20411454</v>
      </c>
      <c r="F443" t="s">
        <v>1993</v>
      </c>
      <c r="G443" t="s">
        <v>50</v>
      </c>
      <c r="H443" s="1">
        <v>46023</v>
      </c>
      <c r="I443" s="2">
        <v>175</v>
      </c>
      <c r="J443">
        <v>1</v>
      </c>
      <c r="K443" s="2">
        <v>175</v>
      </c>
      <c r="M443" t="s">
        <v>1965</v>
      </c>
    </row>
    <row r="444" spans="1:13" x14ac:dyDescent="0.25">
      <c r="A444" s="9" t="s">
        <v>1501</v>
      </c>
      <c r="B444" s="9" t="str">
        <f t="shared" si="8"/>
        <v>00012346272KOVR</v>
      </c>
      <c r="C444" t="s">
        <v>136</v>
      </c>
      <c r="D444" t="s">
        <v>55</v>
      </c>
      <c r="E444">
        <v>20411454</v>
      </c>
      <c r="F444" t="s">
        <v>1993</v>
      </c>
      <c r="G444" t="s">
        <v>50</v>
      </c>
      <c r="H444" s="1">
        <v>46023</v>
      </c>
      <c r="I444" s="2">
        <v>175</v>
      </c>
      <c r="J444">
        <v>1</v>
      </c>
      <c r="K444" s="2">
        <v>175</v>
      </c>
      <c r="M444" t="s">
        <v>1965</v>
      </c>
    </row>
    <row r="445" spans="1:13" x14ac:dyDescent="0.25">
      <c r="A445" s="9" t="s">
        <v>1503</v>
      </c>
      <c r="B445" s="9" t="str">
        <f t="shared" si="8"/>
        <v>00012874058KOVR</v>
      </c>
      <c r="C445" t="s">
        <v>142</v>
      </c>
      <c r="D445" t="s">
        <v>55</v>
      </c>
      <c r="E445">
        <v>20411454</v>
      </c>
      <c r="F445" t="s">
        <v>1993</v>
      </c>
      <c r="G445" t="s">
        <v>50</v>
      </c>
      <c r="H445" s="1">
        <v>46023</v>
      </c>
      <c r="I445" s="2">
        <v>175</v>
      </c>
      <c r="J445">
        <v>1</v>
      </c>
      <c r="K445" s="2">
        <v>175</v>
      </c>
      <c r="M445" t="s">
        <v>1965</v>
      </c>
    </row>
    <row r="446" spans="1:13" x14ac:dyDescent="0.25">
      <c r="A446" s="9" t="s">
        <v>1505</v>
      </c>
      <c r="B446" s="9" t="str">
        <f t="shared" si="8"/>
        <v>00014020218KOVR</v>
      </c>
      <c r="C446" t="s">
        <v>149</v>
      </c>
      <c r="D446" t="s">
        <v>55</v>
      </c>
      <c r="E446">
        <v>20411454</v>
      </c>
      <c r="F446" t="s">
        <v>1993</v>
      </c>
      <c r="G446" t="s">
        <v>50</v>
      </c>
      <c r="H446" s="1">
        <v>46023</v>
      </c>
      <c r="I446" s="2">
        <v>175</v>
      </c>
      <c r="J446">
        <v>1</v>
      </c>
      <c r="K446" s="2">
        <v>175</v>
      </c>
      <c r="M446" t="s">
        <v>1965</v>
      </c>
    </row>
    <row r="447" spans="1:13" x14ac:dyDescent="0.25">
      <c r="A447" s="9" t="s">
        <v>1506</v>
      </c>
      <c r="B447" s="9" t="str">
        <f t="shared" si="8"/>
        <v>00014109999KOVR</v>
      </c>
      <c r="C447" t="s">
        <v>153</v>
      </c>
      <c r="D447" t="s">
        <v>154</v>
      </c>
      <c r="E447">
        <v>20411454</v>
      </c>
      <c r="F447" t="s">
        <v>1993</v>
      </c>
      <c r="G447" t="s">
        <v>50</v>
      </c>
      <c r="H447" s="1">
        <v>46023</v>
      </c>
      <c r="I447" s="2">
        <v>175</v>
      </c>
      <c r="J447">
        <v>1</v>
      </c>
      <c r="K447" s="2">
        <v>175</v>
      </c>
      <c r="M447" t="s">
        <v>1965</v>
      </c>
    </row>
    <row r="448" spans="1:13" x14ac:dyDescent="0.25">
      <c r="A448" s="9" t="s">
        <v>1507</v>
      </c>
      <c r="B448" s="9" t="str">
        <f t="shared" si="8"/>
        <v>00014110972KOVR</v>
      </c>
      <c r="C448" t="s">
        <v>158</v>
      </c>
      <c r="D448" t="s">
        <v>154</v>
      </c>
      <c r="E448">
        <v>20411454</v>
      </c>
      <c r="F448" t="s">
        <v>1993</v>
      </c>
      <c r="G448" t="s">
        <v>50</v>
      </c>
      <c r="H448" s="1">
        <v>46023</v>
      </c>
      <c r="I448" s="2">
        <v>175</v>
      </c>
      <c r="J448">
        <v>1</v>
      </c>
      <c r="K448" s="2">
        <v>175</v>
      </c>
      <c r="M448" t="s">
        <v>1965</v>
      </c>
    </row>
    <row r="449" spans="1:13" x14ac:dyDescent="0.25">
      <c r="A449" s="9" t="s">
        <v>1508</v>
      </c>
      <c r="B449" s="9" t="str">
        <f t="shared" si="8"/>
        <v>00014180827KOVR</v>
      </c>
      <c r="C449" t="s">
        <v>160</v>
      </c>
      <c r="D449" t="s">
        <v>89</v>
      </c>
      <c r="E449">
        <v>20411454</v>
      </c>
      <c r="F449" t="s">
        <v>1993</v>
      </c>
      <c r="G449" t="s">
        <v>50</v>
      </c>
      <c r="H449" s="1">
        <v>46023</v>
      </c>
      <c r="I449" s="2">
        <v>175</v>
      </c>
      <c r="J449">
        <v>1</v>
      </c>
      <c r="K449" s="2">
        <v>175</v>
      </c>
      <c r="M449" t="s">
        <v>1965</v>
      </c>
    </row>
    <row r="450" spans="1:13" x14ac:dyDescent="0.25">
      <c r="A450" s="9" t="s">
        <v>1509</v>
      </c>
      <c r="B450" s="9" t="str">
        <f t="shared" si="8"/>
        <v>00014298168KOVR</v>
      </c>
      <c r="C450" t="s">
        <v>162</v>
      </c>
      <c r="D450" t="s">
        <v>55</v>
      </c>
      <c r="E450">
        <v>20411454</v>
      </c>
      <c r="F450" t="s">
        <v>1993</v>
      </c>
      <c r="G450" t="s">
        <v>50</v>
      </c>
      <c r="H450" s="1">
        <v>46023</v>
      </c>
      <c r="I450" s="2">
        <v>175</v>
      </c>
      <c r="J450">
        <v>1</v>
      </c>
      <c r="K450" s="2">
        <v>175</v>
      </c>
      <c r="M450" t="s">
        <v>1965</v>
      </c>
    </row>
    <row r="451" spans="1:13" x14ac:dyDescent="0.25">
      <c r="A451" s="9" t="s">
        <v>1511</v>
      </c>
      <c r="B451" s="9" t="str">
        <f t="shared" si="8"/>
        <v>00014741522KOVR</v>
      </c>
      <c r="C451" t="s">
        <v>168</v>
      </c>
      <c r="D451" t="s">
        <v>55</v>
      </c>
      <c r="E451">
        <v>20411454</v>
      </c>
      <c r="F451" t="s">
        <v>1993</v>
      </c>
      <c r="G451" t="s">
        <v>50</v>
      </c>
      <c r="H451" s="1">
        <v>46023</v>
      </c>
      <c r="I451" s="2">
        <v>175</v>
      </c>
      <c r="J451">
        <v>1</v>
      </c>
      <c r="K451" s="2">
        <v>175</v>
      </c>
      <c r="M451" t="s">
        <v>1965</v>
      </c>
    </row>
    <row r="452" spans="1:13" x14ac:dyDescent="0.25">
      <c r="A452" s="9" t="s">
        <v>1512</v>
      </c>
      <c r="B452" s="9" t="str">
        <f t="shared" si="8"/>
        <v>00015083911KOVR</v>
      </c>
      <c r="C452" t="s">
        <v>170</v>
      </c>
      <c r="D452" t="s">
        <v>55</v>
      </c>
      <c r="E452">
        <v>20411454</v>
      </c>
      <c r="F452" t="s">
        <v>1993</v>
      </c>
      <c r="G452" t="s">
        <v>50</v>
      </c>
      <c r="H452" s="1">
        <v>46023</v>
      </c>
      <c r="I452" s="2">
        <v>175</v>
      </c>
      <c r="J452">
        <v>1</v>
      </c>
      <c r="K452" s="2">
        <v>175</v>
      </c>
      <c r="M452" t="s">
        <v>1965</v>
      </c>
    </row>
    <row r="453" spans="1:13" x14ac:dyDescent="0.25">
      <c r="A453" s="9" t="s">
        <v>1513</v>
      </c>
      <c r="B453" s="9" t="str">
        <f t="shared" si="8"/>
        <v>00015428762KOVR</v>
      </c>
      <c r="C453" t="s">
        <v>174</v>
      </c>
      <c r="D453" t="s">
        <v>55</v>
      </c>
      <c r="E453">
        <v>20411454</v>
      </c>
      <c r="F453" t="s">
        <v>1993</v>
      </c>
      <c r="G453" t="s">
        <v>50</v>
      </c>
      <c r="H453" s="1">
        <v>46023</v>
      </c>
      <c r="I453" s="2">
        <v>175</v>
      </c>
      <c r="J453">
        <v>1</v>
      </c>
      <c r="K453" s="2">
        <v>175</v>
      </c>
      <c r="M453" t="s">
        <v>1965</v>
      </c>
    </row>
    <row r="454" spans="1:13" x14ac:dyDescent="0.25">
      <c r="A454" s="9" t="s">
        <v>1518</v>
      </c>
      <c r="B454" s="9" t="str">
        <f t="shared" si="8"/>
        <v>00017560669KOVR</v>
      </c>
      <c r="C454" t="s">
        <v>192</v>
      </c>
      <c r="D454" t="s">
        <v>55</v>
      </c>
      <c r="E454">
        <v>20411454</v>
      </c>
      <c r="F454" t="s">
        <v>1993</v>
      </c>
      <c r="G454" t="s">
        <v>50</v>
      </c>
      <c r="H454" s="1">
        <v>46023</v>
      </c>
      <c r="I454" s="2">
        <v>175</v>
      </c>
      <c r="J454">
        <v>1</v>
      </c>
      <c r="K454" s="2">
        <v>175</v>
      </c>
      <c r="M454" t="s">
        <v>1965</v>
      </c>
    </row>
    <row r="455" spans="1:13" x14ac:dyDescent="0.25">
      <c r="A455" s="9" t="s">
        <v>1519</v>
      </c>
      <c r="B455" s="9" t="str">
        <f t="shared" si="8"/>
        <v>00017961123KOVR</v>
      </c>
      <c r="C455" t="s">
        <v>194</v>
      </c>
      <c r="D455" t="s">
        <v>55</v>
      </c>
      <c r="E455">
        <v>20411454</v>
      </c>
      <c r="F455" t="s">
        <v>1993</v>
      </c>
      <c r="G455" t="s">
        <v>50</v>
      </c>
      <c r="H455" s="1">
        <v>46023</v>
      </c>
      <c r="I455" s="2">
        <v>175</v>
      </c>
      <c r="J455">
        <v>1</v>
      </c>
      <c r="K455" s="2">
        <v>175</v>
      </c>
      <c r="M455" t="s">
        <v>1965</v>
      </c>
    </row>
    <row r="456" spans="1:13" x14ac:dyDescent="0.25">
      <c r="A456" s="9" t="s">
        <v>1520</v>
      </c>
      <c r="B456" s="9" t="str">
        <f t="shared" si="8"/>
        <v>00018172161KOVR</v>
      </c>
      <c r="C456" t="s">
        <v>196</v>
      </c>
      <c r="D456" t="s">
        <v>55</v>
      </c>
      <c r="E456">
        <v>20411454</v>
      </c>
      <c r="F456" t="s">
        <v>1993</v>
      </c>
      <c r="G456" t="s">
        <v>50</v>
      </c>
      <c r="H456" s="1">
        <v>46023</v>
      </c>
      <c r="I456" s="2">
        <v>175</v>
      </c>
      <c r="J456">
        <v>1</v>
      </c>
      <c r="K456" s="2">
        <v>175</v>
      </c>
      <c r="M456" t="s">
        <v>1965</v>
      </c>
    </row>
    <row r="457" spans="1:13" x14ac:dyDescent="0.25">
      <c r="A457" s="9" t="s">
        <v>1521</v>
      </c>
      <c r="B457" s="9" t="str">
        <f t="shared" si="8"/>
        <v>00018253743KOVR</v>
      </c>
      <c r="C457" t="s">
        <v>198</v>
      </c>
      <c r="D457" t="s">
        <v>55</v>
      </c>
      <c r="E457">
        <v>20411454</v>
      </c>
      <c r="F457" t="s">
        <v>1993</v>
      </c>
      <c r="G457" t="s">
        <v>50</v>
      </c>
      <c r="H457" s="1">
        <v>46023</v>
      </c>
      <c r="I457" s="2">
        <v>175</v>
      </c>
      <c r="J457">
        <v>1</v>
      </c>
      <c r="K457" s="2">
        <v>175</v>
      </c>
      <c r="M457" t="s">
        <v>1965</v>
      </c>
    </row>
    <row r="458" spans="1:13" x14ac:dyDescent="0.25">
      <c r="A458" s="9" t="s">
        <v>1522</v>
      </c>
      <c r="B458" s="9" t="str">
        <f t="shared" si="8"/>
        <v>00018479446KOVR</v>
      </c>
      <c r="C458" t="s">
        <v>200</v>
      </c>
      <c r="D458" t="s">
        <v>55</v>
      </c>
      <c r="E458">
        <v>20411454</v>
      </c>
      <c r="F458" t="s">
        <v>1993</v>
      </c>
      <c r="G458" t="s">
        <v>50</v>
      </c>
      <c r="H458" s="1">
        <v>46023</v>
      </c>
      <c r="I458" s="2">
        <v>175</v>
      </c>
      <c r="J458">
        <v>1</v>
      </c>
      <c r="K458" s="2">
        <v>175</v>
      </c>
      <c r="M458" t="s">
        <v>1965</v>
      </c>
    </row>
    <row r="459" spans="1:13" x14ac:dyDescent="0.25">
      <c r="A459" s="9" t="s">
        <v>1524</v>
      </c>
      <c r="B459" s="9" t="str">
        <f t="shared" si="8"/>
        <v>00019033581KOVR</v>
      </c>
      <c r="C459" t="s">
        <v>207</v>
      </c>
      <c r="D459" t="s">
        <v>55</v>
      </c>
      <c r="E459">
        <v>20411454</v>
      </c>
      <c r="F459" t="s">
        <v>1993</v>
      </c>
      <c r="G459" t="s">
        <v>50</v>
      </c>
      <c r="H459" s="1">
        <v>46023</v>
      </c>
      <c r="I459" s="2">
        <v>175</v>
      </c>
      <c r="J459">
        <v>1</v>
      </c>
      <c r="K459" s="2">
        <v>175</v>
      </c>
      <c r="M459" t="s">
        <v>1965</v>
      </c>
    </row>
    <row r="460" spans="1:13" x14ac:dyDescent="0.25">
      <c r="A460" s="9" t="s">
        <v>1525</v>
      </c>
      <c r="B460" s="9" t="str">
        <f t="shared" si="8"/>
        <v>00019119410KOVR</v>
      </c>
      <c r="C460" t="s">
        <v>209</v>
      </c>
      <c r="D460" t="s">
        <v>66</v>
      </c>
      <c r="E460">
        <v>20411454</v>
      </c>
      <c r="F460" t="s">
        <v>1993</v>
      </c>
      <c r="G460" t="s">
        <v>50</v>
      </c>
      <c r="H460" s="1">
        <v>46023</v>
      </c>
      <c r="I460" s="2">
        <v>175</v>
      </c>
      <c r="J460">
        <v>1</v>
      </c>
      <c r="K460" s="2">
        <v>175</v>
      </c>
      <c r="M460" t="s">
        <v>1965</v>
      </c>
    </row>
    <row r="461" spans="1:13" x14ac:dyDescent="0.25">
      <c r="A461" s="9" t="s">
        <v>1526</v>
      </c>
      <c r="B461" s="9" t="str">
        <f t="shared" si="8"/>
        <v>00019277366KOVR</v>
      </c>
      <c r="C461" t="s">
        <v>213</v>
      </c>
      <c r="D461" t="s">
        <v>55</v>
      </c>
      <c r="E461">
        <v>20411454</v>
      </c>
      <c r="F461" t="s">
        <v>1993</v>
      </c>
      <c r="G461" t="s">
        <v>50</v>
      </c>
      <c r="H461" s="1">
        <v>46023</v>
      </c>
      <c r="I461" s="2">
        <v>175</v>
      </c>
      <c r="J461">
        <v>1</v>
      </c>
      <c r="K461" s="2">
        <v>175</v>
      </c>
      <c r="M461" t="s">
        <v>1965</v>
      </c>
    </row>
    <row r="462" spans="1:13" x14ac:dyDescent="0.25">
      <c r="A462" s="9" t="s">
        <v>1527</v>
      </c>
      <c r="B462" s="9" t="str">
        <f t="shared" si="8"/>
        <v>00019277814KOVR</v>
      </c>
      <c r="C462" t="s">
        <v>215</v>
      </c>
      <c r="D462" t="s">
        <v>55</v>
      </c>
      <c r="E462">
        <v>20411454</v>
      </c>
      <c r="F462" t="s">
        <v>1993</v>
      </c>
      <c r="G462" t="s">
        <v>50</v>
      </c>
      <c r="H462" s="1">
        <v>46023</v>
      </c>
      <c r="I462" s="2">
        <v>175</v>
      </c>
      <c r="J462">
        <v>1</v>
      </c>
      <c r="K462" s="2">
        <v>175</v>
      </c>
      <c r="M462" t="s">
        <v>1965</v>
      </c>
    </row>
    <row r="463" spans="1:13" x14ac:dyDescent="0.25">
      <c r="A463" s="9" t="s">
        <v>1528</v>
      </c>
      <c r="B463" s="9" t="str">
        <f t="shared" si="8"/>
        <v>00019339311KOVR</v>
      </c>
      <c r="C463" t="s">
        <v>217</v>
      </c>
      <c r="D463" t="s">
        <v>46</v>
      </c>
      <c r="E463">
        <v>20411454</v>
      </c>
      <c r="F463" t="s">
        <v>1993</v>
      </c>
      <c r="G463" t="s">
        <v>50</v>
      </c>
      <c r="H463" s="1">
        <v>46023</v>
      </c>
      <c r="I463" s="2">
        <v>175</v>
      </c>
      <c r="J463">
        <v>1</v>
      </c>
      <c r="K463" s="2">
        <v>175</v>
      </c>
      <c r="M463" t="s">
        <v>1965</v>
      </c>
    </row>
    <row r="464" spans="1:13" x14ac:dyDescent="0.25">
      <c r="A464" s="9" t="s">
        <v>1529</v>
      </c>
      <c r="B464" s="9" t="str">
        <f t="shared" si="8"/>
        <v>00019913974KOVR</v>
      </c>
      <c r="C464" t="s">
        <v>221</v>
      </c>
      <c r="D464" t="s">
        <v>55</v>
      </c>
      <c r="E464">
        <v>20411454</v>
      </c>
      <c r="F464" t="s">
        <v>1993</v>
      </c>
      <c r="G464" t="s">
        <v>50</v>
      </c>
      <c r="H464" s="1">
        <v>46023</v>
      </c>
      <c r="I464" s="2">
        <v>175</v>
      </c>
      <c r="J464">
        <v>1</v>
      </c>
      <c r="K464" s="2">
        <v>175</v>
      </c>
      <c r="M464" t="s">
        <v>1965</v>
      </c>
    </row>
    <row r="465" spans="1:13" x14ac:dyDescent="0.25">
      <c r="A465" s="9" t="s">
        <v>1530</v>
      </c>
      <c r="B465" s="9" t="str">
        <f t="shared" si="8"/>
        <v>00020182706KOVR</v>
      </c>
      <c r="C465" t="s">
        <v>223</v>
      </c>
      <c r="D465" t="s">
        <v>224</v>
      </c>
      <c r="E465">
        <v>20411454</v>
      </c>
      <c r="F465" t="s">
        <v>1993</v>
      </c>
      <c r="G465" t="s">
        <v>50</v>
      </c>
      <c r="H465" s="1">
        <v>46023</v>
      </c>
      <c r="I465" s="2">
        <v>175</v>
      </c>
      <c r="J465">
        <v>1</v>
      </c>
      <c r="K465" s="2">
        <v>175</v>
      </c>
      <c r="M465" t="s">
        <v>1965</v>
      </c>
    </row>
    <row r="466" spans="1:13" x14ac:dyDescent="0.25">
      <c r="A466" s="9" t="s">
        <v>1531</v>
      </c>
      <c r="B466" s="9" t="str">
        <f t="shared" si="8"/>
        <v>00020196522KOVR</v>
      </c>
      <c r="C466" t="s">
        <v>226</v>
      </c>
      <c r="D466" t="s">
        <v>227</v>
      </c>
      <c r="E466">
        <v>20411454</v>
      </c>
      <c r="F466" t="s">
        <v>1993</v>
      </c>
      <c r="G466" t="s">
        <v>50</v>
      </c>
      <c r="H466" s="1">
        <v>46023</v>
      </c>
      <c r="I466" s="2">
        <v>175</v>
      </c>
      <c r="J466">
        <v>1</v>
      </c>
      <c r="K466" s="2">
        <v>175</v>
      </c>
      <c r="M466" t="s">
        <v>1965</v>
      </c>
    </row>
    <row r="467" spans="1:13" x14ac:dyDescent="0.25">
      <c r="A467" s="9" t="s">
        <v>1532</v>
      </c>
      <c r="B467" s="9" t="str">
        <f t="shared" si="8"/>
        <v>00020232195KOVR</v>
      </c>
      <c r="C467" t="s">
        <v>231</v>
      </c>
      <c r="D467" t="s">
        <v>46</v>
      </c>
      <c r="E467">
        <v>20411454</v>
      </c>
      <c r="F467" t="s">
        <v>1993</v>
      </c>
      <c r="G467" t="s">
        <v>50</v>
      </c>
      <c r="H467" s="1">
        <v>46023</v>
      </c>
      <c r="I467" s="2">
        <v>175</v>
      </c>
      <c r="J467">
        <v>1</v>
      </c>
      <c r="K467" s="2">
        <v>175</v>
      </c>
      <c r="M467" t="s">
        <v>1965</v>
      </c>
    </row>
    <row r="468" spans="1:13" x14ac:dyDescent="0.25">
      <c r="A468" s="9" t="s">
        <v>1534</v>
      </c>
      <c r="B468" s="9" t="str">
        <f t="shared" si="8"/>
        <v>00020408476KOVR</v>
      </c>
      <c r="C468" t="s">
        <v>235</v>
      </c>
      <c r="D468" t="s">
        <v>55</v>
      </c>
      <c r="E468">
        <v>20411454</v>
      </c>
      <c r="F468" t="s">
        <v>1993</v>
      </c>
      <c r="G468" t="s">
        <v>50</v>
      </c>
      <c r="H468" s="1">
        <v>46023</v>
      </c>
      <c r="I468" s="2">
        <v>175</v>
      </c>
      <c r="J468">
        <v>1</v>
      </c>
      <c r="K468" s="2">
        <v>175</v>
      </c>
      <c r="M468" t="s">
        <v>1965</v>
      </c>
    </row>
    <row r="469" spans="1:13" x14ac:dyDescent="0.25">
      <c r="A469" s="9" t="s">
        <v>1535</v>
      </c>
      <c r="B469" s="9" t="str">
        <f t="shared" si="8"/>
        <v>00020571277KOVR</v>
      </c>
      <c r="C469" t="s">
        <v>237</v>
      </c>
      <c r="D469" t="s">
        <v>55</v>
      </c>
      <c r="E469">
        <v>20411454</v>
      </c>
      <c r="F469" t="s">
        <v>1993</v>
      </c>
      <c r="G469" t="s">
        <v>50</v>
      </c>
      <c r="H469" s="1">
        <v>46023</v>
      </c>
      <c r="I469" s="2">
        <v>175</v>
      </c>
      <c r="J469">
        <v>1</v>
      </c>
      <c r="K469" s="2">
        <v>175</v>
      </c>
      <c r="M469" t="s">
        <v>1965</v>
      </c>
    </row>
    <row r="470" spans="1:13" x14ac:dyDescent="0.25">
      <c r="A470" s="9" t="s">
        <v>1538</v>
      </c>
      <c r="B470" s="9" t="str">
        <f t="shared" si="8"/>
        <v>00021008921KOVR</v>
      </c>
      <c r="C470" t="s">
        <v>243</v>
      </c>
      <c r="D470" t="s">
        <v>55</v>
      </c>
      <c r="E470">
        <v>20411454</v>
      </c>
      <c r="F470" t="s">
        <v>1993</v>
      </c>
      <c r="G470" t="s">
        <v>50</v>
      </c>
      <c r="H470" s="1">
        <v>46023</v>
      </c>
      <c r="I470" s="2">
        <v>175</v>
      </c>
      <c r="J470">
        <v>1</v>
      </c>
      <c r="K470" s="2">
        <v>175</v>
      </c>
      <c r="M470" t="s">
        <v>1965</v>
      </c>
    </row>
    <row r="471" spans="1:13" x14ac:dyDescent="0.25">
      <c r="A471" s="9" t="s">
        <v>1542</v>
      </c>
      <c r="B471" s="9" t="str">
        <f t="shared" si="8"/>
        <v>00023998143KOVR</v>
      </c>
      <c r="C471" t="s">
        <v>254</v>
      </c>
      <c r="D471" t="s">
        <v>66</v>
      </c>
      <c r="E471">
        <v>20411454</v>
      </c>
      <c r="F471" t="s">
        <v>1993</v>
      </c>
      <c r="G471" t="s">
        <v>50</v>
      </c>
      <c r="H471" s="1">
        <v>45962</v>
      </c>
      <c r="I471" s="2">
        <v>175</v>
      </c>
      <c r="J471">
        <v>1</v>
      </c>
      <c r="K471" s="2">
        <v>175</v>
      </c>
      <c r="M471" t="s">
        <v>1965</v>
      </c>
    </row>
    <row r="472" spans="1:13" x14ac:dyDescent="0.25">
      <c r="A472" s="9" t="s">
        <v>1543</v>
      </c>
      <c r="B472" s="9" t="str">
        <f t="shared" si="8"/>
        <v>00024021738KOVR</v>
      </c>
      <c r="C472" t="s">
        <v>258</v>
      </c>
      <c r="D472" t="s">
        <v>66</v>
      </c>
      <c r="E472">
        <v>20411454</v>
      </c>
      <c r="F472" t="s">
        <v>1993</v>
      </c>
      <c r="G472" t="s">
        <v>50</v>
      </c>
      <c r="H472" s="1">
        <v>46023</v>
      </c>
      <c r="I472" s="2">
        <v>175</v>
      </c>
      <c r="J472">
        <v>1</v>
      </c>
      <c r="K472" s="2">
        <v>175</v>
      </c>
      <c r="M472" t="s">
        <v>1965</v>
      </c>
    </row>
    <row r="473" spans="1:13" x14ac:dyDescent="0.25">
      <c r="A473" s="9" t="s">
        <v>1544</v>
      </c>
      <c r="B473" s="9" t="str">
        <f t="shared" si="8"/>
        <v>00024453204KOVR</v>
      </c>
      <c r="C473" t="s">
        <v>260</v>
      </c>
      <c r="D473" t="s">
        <v>55</v>
      </c>
      <c r="E473">
        <v>20411454</v>
      </c>
      <c r="F473" t="s">
        <v>1993</v>
      </c>
      <c r="G473" t="s">
        <v>50</v>
      </c>
      <c r="H473" s="1">
        <v>46023</v>
      </c>
      <c r="I473" s="2">
        <v>175</v>
      </c>
      <c r="J473">
        <v>1</v>
      </c>
      <c r="K473" s="2">
        <v>175</v>
      </c>
      <c r="M473" t="s">
        <v>1965</v>
      </c>
    </row>
    <row r="474" spans="1:13" x14ac:dyDescent="0.25">
      <c r="A474" s="9" t="s">
        <v>1545</v>
      </c>
      <c r="B474" s="9" t="str">
        <f t="shared" si="8"/>
        <v>00024458009KOVR</v>
      </c>
      <c r="C474" t="s">
        <v>262</v>
      </c>
      <c r="D474" t="s">
        <v>263</v>
      </c>
      <c r="E474">
        <v>20411454</v>
      </c>
      <c r="F474" t="s">
        <v>1993</v>
      </c>
      <c r="G474" t="s">
        <v>50</v>
      </c>
      <c r="H474" s="1">
        <v>46023</v>
      </c>
      <c r="I474" s="2">
        <v>175</v>
      </c>
      <c r="J474">
        <v>1</v>
      </c>
      <c r="K474" s="2">
        <v>175</v>
      </c>
      <c r="M474" t="s">
        <v>1965</v>
      </c>
    </row>
    <row r="475" spans="1:13" x14ac:dyDescent="0.25">
      <c r="A475" s="9" t="s">
        <v>1546</v>
      </c>
      <c r="B475" s="9" t="str">
        <f t="shared" si="8"/>
        <v>00024458012KOVR</v>
      </c>
      <c r="C475" t="s">
        <v>265</v>
      </c>
      <c r="D475" t="s">
        <v>55</v>
      </c>
      <c r="E475">
        <v>20411454</v>
      </c>
      <c r="F475" t="s">
        <v>1993</v>
      </c>
      <c r="G475" t="s">
        <v>50</v>
      </c>
      <c r="H475" s="1">
        <v>46023</v>
      </c>
      <c r="I475" s="2">
        <v>175</v>
      </c>
      <c r="J475">
        <v>1</v>
      </c>
      <c r="K475" s="2">
        <v>175</v>
      </c>
      <c r="M475" t="s">
        <v>1965</v>
      </c>
    </row>
    <row r="476" spans="1:13" x14ac:dyDescent="0.25">
      <c r="A476" s="9" t="s">
        <v>1547</v>
      </c>
      <c r="B476" s="9" t="str">
        <f t="shared" si="8"/>
        <v>00024458510KOVR</v>
      </c>
      <c r="C476" t="s">
        <v>267</v>
      </c>
      <c r="D476" t="s">
        <v>46</v>
      </c>
      <c r="E476">
        <v>20411454</v>
      </c>
      <c r="F476" t="s">
        <v>1993</v>
      </c>
      <c r="G476" t="s">
        <v>50</v>
      </c>
      <c r="H476" s="1">
        <v>46023</v>
      </c>
      <c r="I476" s="2">
        <v>175</v>
      </c>
      <c r="J476">
        <v>1</v>
      </c>
      <c r="K476" s="2">
        <v>175</v>
      </c>
      <c r="M476" t="s">
        <v>1965</v>
      </c>
    </row>
    <row r="477" spans="1:13" x14ac:dyDescent="0.25">
      <c r="A477" s="9" t="s">
        <v>1548</v>
      </c>
      <c r="B477" s="9" t="str">
        <f t="shared" si="8"/>
        <v>00024459001KOVR</v>
      </c>
      <c r="C477" t="s">
        <v>269</v>
      </c>
      <c r="D477" t="s">
        <v>55</v>
      </c>
      <c r="E477">
        <v>20411454</v>
      </c>
      <c r="F477" t="s">
        <v>1993</v>
      </c>
      <c r="G477" t="s">
        <v>50</v>
      </c>
      <c r="H477" s="1">
        <v>46023</v>
      </c>
      <c r="I477" s="2">
        <v>175</v>
      </c>
      <c r="J477">
        <v>1</v>
      </c>
      <c r="K477" s="2">
        <v>175</v>
      </c>
      <c r="M477" t="s">
        <v>1965</v>
      </c>
    </row>
    <row r="478" spans="1:13" x14ac:dyDescent="0.25">
      <c r="A478" s="9" t="s">
        <v>1549</v>
      </c>
      <c r="B478" s="9" t="str">
        <f t="shared" si="8"/>
        <v>00024459524KOVR</v>
      </c>
      <c r="C478" t="s">
        <v>271</v>
      </c>
      <c r="D478" t="s">
        <v>55</v>
      </c>
      <c r="E478">
        <v>20411454</v>
      </c>
      <c r="F478" t="s">
        <v>1993</v>
      </c>
      <c r="G478" t="s">
        <v>50</v>
      </c>
      <c r="H478" s="1">
        <v>46023</v>
      </c>
      <c r="I478" s="2">
        <v>175</v>
      </c>
      <c r="J478">
        <v>1</v>
      </c>
      <c r="K478" s="2">
        <v>175</v>
      </c>
      <c r="M478" t="s">
        <v>1965</v>
      </c>
    </row>
    <row r="479" spans="1:13" x14ac:dyDescent="0.25">
      <c r="A479" s="9" t="s">
        <v>1550</v>
      </c>
      <c r="B479" s="9" t="str">
        <f t="shared" si="8"/>
        <v>00024460867KOVR</v>
      </c>
      <c r="C479" t="s">
        <v>273</v>
      </c>
      <c r="D479" t="s">
        <v>89</v>
      </c>
      <c r="E479">
        <v>20411454</v>
      </c>
      <c r="F479" t="s">
        <v>1993</v>
      </c>
      <c r="G479" t="s">
        <v>50</v>
      </c>
      <c r="H479" s="1">
        <v>46023</v>
      </c>
      <c r="I479" s="2">
        <v>175</v>
      </c>
      <c r="J479">
        <v>1</v>
      </c>
      <c r="K479" s="2">
        <v>175</v>
      </c>
      <c r="M479" t="s">
        <v>1965</v>
      </c>
    </row>
    <row r="480" spans="1:13" x14ac:dyDescent="0.25">
      <c r="A480" s="9" t="s">
        <v>1551</v>
      </c>
      <c r="B480" s="9" t="str">
        <f t="shared" si="8"/>
        <v>00024461443KOVR</v>
      </c>
      <c r="C480" t="s">
        <v>275</v>
      </c>
      <c r="D480" t="s">
        <v>55</v>
      </c>
      <c r="E480">
        <v>20411454</v>
      </c>
      <c r="F480" t="s">
        <v>1993</v>
      </c>
      <c r="G480" t="s">
        <v>50</v>
      </c>
      <c r="H480" s="1">
        <v>46023</v>
      </c>
      <c r="I480" s="2">
        <v>175</v>
      </c>
      <c r="J480">
        <v>1</v>
      </c>
      <c r="K480" s="2">
        <v>175</v>
      </c>
      <c r="M480" t="s">
        <v>1965</v>
      </c>
    </row>
    <row r="481" spans="1:13" x14ac:dyDescent="0.25">
      <c r="A481" s="9" t="s">
        <v>1553</v>
      </c>
      <c r="B481" s="9" t="str">
        <f t="shared" si="8"/>
        <v>00024464215KOVR</v>
      </c>
      <c r="C481" t="s">
        <v>282</v>
      </c>
      <c r="D481" t="s">
        <v>55</v>
      </c>
      <c r="E481">
        <v>20411454</v>
      </c>
      <c r="F481" t="s">
        <v>1993</v>
      </c>
      <c r="G481" t="s">
        <v>50</v>
      </c>
      <c r="H481" s="1">
        <v>46023</v>
      </c>
      <c r="I481" s="2">
        <v>175</v>
      </c>
      <c r="J481">
        <v>1</v>
      </c>
      <c r="K481" s="2">
        <v>175</v>
      </c>
      <c r="M481" t="s">
        <v>1965</v>
      </c>
    </row>
    <row r="482" spans="1:13" x14ac:dyDescent="0.25">
      <c r="A482" s="9" t="s">
        <v>1556</v>
      </c>
      <c r="B482" s="9" t="str">
        <f t="shared" si="8"/>
        <v>00024468306KOVR</v>
      </c>
      <c r="C482" t="s">
        <v>292</v>
      </c>
      <c r="D482" t="s">
        <v>55</v>
      </c>
      <c r="E482">
        <v>20411454</v>
      </c>
      <c r="F482" t="s">
        <v>1993</v>
      </c>
      <c r="G482" t="s">
        <v>50</v>
      </c>
      <c r="H482" s="1">
        <v>46023</v>
      </c>
      <c r="I482" s="2">
        <v>175</v>
      </c>
      <c r="J482">
        <v>1</v>
      </c>
      <c r="K482" s="2">
        <v>175</v>
      </c>
      <c r="M482" t="s">
        <v>1965</v>
      </c>
    </row>
    <row r="483" spans="1:13" x14ac:dyDescent="0.25">
      <c r="A483" s="9" t="s">
        <v>1557</v>
      </c>
      <c r="B483" s="9" t="str">
        <f t="shared" si="8"/>
        <v>00024469640KOVR</v>
      </c>
      <c r="C483" t="s">
        <v>294</v>
      </c>
      <c r="D483" t="s">
        <v>295</v>
      </c>
      <c r="E483">
        <v>20411454</v>
      </c>
      <c r="F483" t="s">
        <v>1993</v>
      </c>
      <c r="G483" t="s">
        <v>50</v>
      </c>
      <c r="H483" s="1">
        <v>45992</v>
      </c>
      <c r="I483" s="2">
        <v>175</v>
      </c>
      <c r="J483">
        <v>1</v>
      </c>
      <c r="K483" s="2">
        <v>175</v>
      </c>
      <c r="M483" t="s">
        <v>1965</v>
      </c>
    </row>
    <row r="484" spans="1:13" x14ac:dyDescent="0.25">
      <c r="A484" s="9" t="s">
        <v>1559</v>
      </c>
      <c r="B484" s="9" t="str">
        <f t="shared" si="8"/>
        <v>00024473820KOVR</v>
      </c>
      <c r="C484" t="s">
        <v>299</v>
      </c>
      <c r="D484" t="s">
        <v>55</v>
      </c>
      <c r="E484">
        <v>20411454</v>
      </c>
      <c r="F484" t="s">
        <v>1993</v>
      </c>
      <c r="G484" t="s">
        <v>50</v>
      </c>
      <c r="H484" s="1">
        <v>46023</v>
      </c>
      <c r="I484" s="2">
        <v>175</v>
      </c>
      <c r="J484">
        <v>1</v>
      </c>
      <c r="K484" s="2">
        <v>175</v>
      </c>
      <c r="M484" t="s">
        <v>1965</v>
      </c>
    </row>
    <row r="485" spans="1:13" x14ac:dyDescent="0.25">
      <c r="A485" s="9" t="s">
        <v>1560</v>
      </c>
      <c r="B485" s="9" t="str">
        <f t="shared" si="8"/>
        <v>00024473966KOVR</v>
      </c>
      <c r="C485" t="s">
        <v>301</v>
      </c>
      <c r="D485" t="s">
        <v>55</v>
      </c>
      <c r="E485">
        <v>20411454</v>
      </c>
      <c r="F485" t="s">
        <v>1993</v>
      </c>
      <c r="G485" t="s">
        <v>50</v>
      </c>
      <c r="H485" s="1">
        <v>46054</v>
      </c>
      <c r="I485" s="2">
        <v>175</v>
      </c>
      <c r="J485">
        <v>1</v>
      </c>
      <c r="K485" s="2">
        <v>175</v>
      </c>
      <c r="M485" t="s">
        <v>1965</v>
      </c>
    </row>
    <row r="486" spans="1:13" x14ac:dyDescent="0.25">
      <c r="A486" s="9" t="s">
        <v>1561</v>
      </c>
      <c r="B486" s="9" t="str">
        <f t="shared" si="8"/>
        <v>00024474555KOVR</v>
      </c>
      <c r="C486" t="s">
        <v>303</v>
      </c>
      <c r="D486" t="s">
        <v>55</v>
      </c>
      <c r="E486">
        <v>20411454</v>
      </c>
      <c r="F486" t="s">
        <v>1993</v>
      </c>
      <c r="G486" t="s">
        <v>50</v>
      </c>
      <c r="H486" s="1">
        <v>46023</v>
      </c>
      <c r="I486" s="2">
        <v>175</v>
      </c>
      <c r="J486">
        <v>1</v>
      </c>
      <c r="K486" s="2">
        <v>175</v>
      </c>
      <c r="M486" t="s">
        <v>1965</v>
      </c>
    </row>
    <row r="487" spans="1:13" x14ac:dyDescent="0.25">
      <c r="A487" s="9" t="s">
        <v>1562</v>
      </c>
      <c r="B487" s="9" t="str">
        <f t="shared" ref="B487:B550" si="9">CONCATENATE(A487,"OVR")</f>
        <v>00024475209KOVR</v>
      </c>
      <c r="C487" t="s">
        <v>305</v>
      </c>
      <c r="D487" t="s">
        <v>55</v>
      </c>
      <c r="E487">
        <v>20411454</v>
      </c>
      <c r="F487" t="s">
        <v>1993</v>
      </c>
      <c r="G487" t="s">
        <v>50</v>
      </c>
      <c r="H487" s="1">
        <v>46023</v>
      </c>
      <c r="I487" s="2">
        <v>175</v>
      </c>
      <c r="J487">
        <v>1</v>
      </c>
      <c r="K487" s="2">
        <v>175</v>
      </c>
      <c r="M487" t="s">
        <v>1965</v>
      </c>
    </row>
    <row r="488" spans="1:13" x14ac:dyDescent="0.25">
      <c r="A488" s="9" t="s">
        <v>1564</v>
      </c>
      <c r="B488" s="9" t="str">
        <f t="shared" si="9"/>
        <v>00024478150KOVR</v>
      </c>
      <c r="C488" t="s">
        <v>309</v>
      </c>
      <c r="D488" t="s">
        <v>55</v>
      </c>
      <c r="E488">
        <v>20411454</v>
      </c>
      <c r="F488" t="s">
        <v>1993</v>
      </c>
      <c r="G488" t="s">
        <v>50</v>
      </c>
      <c r="H488" s="1">
        <v>45962</v>
      </c>
      <c r="I488" s="2">
        <v>175</v>
      </c>
      <c r="J488">
        <v>1</v>
      </c>
      <c r="K488" s="2">
        <v>175</v>
      </c>
      <c r="M488" t="s">
        <v>1965</v>
      </c>
    </row>
    <row r="489" spans="1:13" x14ac:dyDescent="0.25">
      <c r="A489" s="9" t="s">
        <v>1565</v>
      </c>
      <c r="B489" s="9" t="str">
        <f t="shared" si="9"/>
        <v>00024478578KOVR</v>
      </c>
      <c r="C489" t="s">
        <v>311</v>
      </c>
      <c r="D489" t="s">
        <v>55</v>
      </c>
      <c r="E489">
        <v>20411454</v>
      </c>
      <c r="F489" t="s">
        <v>1993</v>
      </c>
      <c r="G489" t="s">
        <v>50</v>
      </c>
      <c r="H489" s="1">
        <v>46023</v>
      </c>
      <c r="I489" s="2">
        <v>175</v>
      </c>
      <c r="J489">
        <v>1</v>
      </c>
      <c r="K489" s="2">
        <v>175</v>
      </c>
      <c r="M489" t="s">
        <v>1965</v>
      </c>
    </row>
    <row r="490" spans="1:13" x14ac:dyDescent="0.25">
      <c r="A490" s="9" t="s">
        <v>1566</v>
      </c>
      <c r="B490" s="9" t="str">
        <f t="shared" si="9"/>
        <v>00024479345KOVR</v>
      </c>
      <c r="C490" t="s">
        <v>313</v>
      </c>
      <c r="D490" t="s">
        <v>55</v>
      </c>
      <c r="E490">
        <v>20411454</v>
      </c>
      <c r="F490" t="s">
        <v>1993</v>
      </c>
      <c r="G490" t="s">
        <v>50</v>
      </c>
      <c r="H490" s="1">
        <v>46023</v>
      </c>
      <c r="I490" s="2">
        <v>175</v>
      </c>
      <c r="J490">
        <v>1</v>
      </c>
      <c r="K490" s="2">
        <v>175</v>
      </c>
      <c r="M490" t="s">
        <v>1965</v>
      </c>
    </row>
    <row r="491" spans="1:13" x14ac:dyDescent="0.25">
      <c r="A491" s="9" t="s">
        <v>1568</v>
      </c>
      <c r="B491" s="9" t="str">
        <f t="shared" si="9"/>
        <v>00024480076KOVR</v>
      </c>
      <c r="C491" t="s">
        <v>317</v>
      </c>
      <c r="D491" t="s">
        <v>55</v>
      </c>
      <c r="E491">
        <v>20411454</v>
      </c>
      <c r="F491" t="s">
        <v>1993</v>
      </c>
      <c r="G491" t="s">
        <v>50</v>
      </c>
      <c r="H491" s="1">
        <v>46023</v>
      </c>
      <c r="I491" s="2">
        <v>175</v>
      </c>
      <c r="J491">
        <v>1</v>
      </c>
      <c r="K491" s="2">
        <v>175</v>
      </c>
      <c r="M491" t="s">
        <v>1965</v>
      </c>
    </row>
    <row r="492" spans="1:13" x14ac:dyDescent="0.25">
      <c r="A492" s="9" t="s">
        <v>1569</v>
      </c>
      <c r="B492" s="9" t="str">
        <f t="shared" si="9"/>
        <v>00024480575KOVR</v>
      </c>
      <c r="C492" t="s">
        <v>319</v>
      </c>
      <c r="D492" t="s">
        <v>55</v>
      </c>
      <c r="E492">
        <v>20411454</v>
      </c>
      <c r="F492" t="s">
        <v>1993</v>
      </c>
      <c r="G492" t="s">
        <v>50</v>
      </c>
      <c r="H492" s="1">
        <v>46023</v>
      </c>
      <c r="I492" s="2">
        <v>175</v>
      </c>
      <c r="J492">
        <v>1</v>
      </c>
      <c r="K492" s="2">
        <v>175</v>
      </c>
      <c r="M492" t="s">
        <v>1965</v>
      </c>
    </row>
    <row r="493" spans="1:13" x14ac:dyDescent="0.25">
      <c r="A493" s="9" t="s">
        <v>1572</v>
      </c>
      <c r="B493" s="9" t="str">
        <f t="shared" si="9"/>
        <v>00024481800KOVR</v>
      </c>
      <c r="C493" t="s">
        <v>327</v>
      </c>
      <c r="D493" t="s">
        <v>55</v>
      </c>
      <c r="E493">
        <v>20411454</v>
      </c>
      <c r="F493" t="s">
        <v>1993</v>
      </c>
      <c r="G493" t="s">
        <v>50</v>
      </c>
      <c r="H493" s="1">
        <v>46023</v>
      </c>
      <c r="I493" s="2">
        <v>175</v>
      </c>
      <c r="J493">
        <v>1</v>
      </c>
      <c r="K493" s="2">
        <v>175</v>
      </c>
      <c r="M493" t="s">
        <v>1965</v>
      </c>
    </row>
    <row r="494" spans="1:13" x14ac:dyDescent="0.25">
      <c r="A494" s="9" t="s">
        <v>1573</v>
      </c>
      <c r="B494" s="9" t="str">
        <f t="shared" si="9"/>
        <v>00024482604KOVR</v>
      </c>
      <c r="C494" t="s">
        <v>329</v>
      </c>
      <c r="D494" t="s">
        <v>246</v>
      </c>
      <c r="E494">
        <v>20411454</v>
      </c>
      <c r="F494" t="s">
        <v>1993</v>
      </c>
      <c r="G494" t="s">
        <v>50</v>
      </c>
      <c r="H494" s="1">
        <v>46023</v>
      </c>
      <c r="I494" s="2">
        <v>175</v>
      </c>
      <c r="J494">
        <v>1</v>
      </c>
      <c r="K494" s="2">
        <v>175</v>
      </c>
      <c r="M494" t="s">
        <v>1965</v>
      </c>
    </row>
    <row r="495" spans="1:13" x14ac:dyDescent="0.25">
      <c r="A495" s="9" t="s">
        <v>1577</v>
      </c>
      <c r="B495" s="9" t="str">
        <f t="shared" si="9"/>
        <v>00024485945KOVR</v>
      </c>
      <c r="C495" t="s">
        <v>337</v>
      </c>
      <c r="D495" t="s">
        <v>55</v>
      </c>
      <c r="E495">
        <v>20411454</v>
      </c>
      <c r="F495" t="s">
        <v>1993</v>
      </c>
      <c r="G495" t="s">
        <v>50</v>
      </c>
      <c r="H495" s="1">
        <v>46023</v>
      </c>
      <c r="I495" s="2">
        <v>175</v>
      </c>
      <c r="J495">
        <v>1</v>
      </c>
      <c r="K495" s="2">
        <v>175</v>
      </c>
      <c r="M495" t="s">
        <v>1965</v>
      </c>
    </row>
    <row r="496" spans="1:13" x14ac:dyDescent="0.25">
      <c r="A496" s="9" t="s">
        <v>1578</v>
      </c>
      <c r="B496" s="9" t="str">
        <f t="shared" si="9"/>
        <v>00024486801KOVR</v>
      </c>
      <c r="C496" t="s">
        <v>339</v>
      </c>
      <c r="D496" t="s">
        <v>89</v>
      </c>
      <c r="E496">
        <v>20411454</v>
      </c>
      <c r="F496" t="s">
        <v>1993</v>
      </c>
      <c r="G496" t="s">
        <v>50</v>
      </c>
      <c r="H496" s="1">
        <v>46023</v>
      </c>
      <c r="I496" s="2">
        <v>175</v>
      </c>
      <c r="J496">
        <v>1</v>
      </c>
      <c r="K496" s="2">
        <v>175</v>
      </c>
      <c r="M496" t="s">
        <v>1965</v>
      </c>
    </row>
    <row r="497" spans="1:13" x14ac:dyDescent="0.25">
      <c r="A497" s="9" t="s">
        <v>1580</v>
      </c>
      <c r="B497" s="9" t="str">
        <f t="shared" si="9"/>
        <v>00024487454KOVR</v>
      </c>
      <c r="C497" t="s">
        <v>343</v>
      </c>
      <c r="D497" t="s">
        <v>55</v>
      </c>
      <c r="E497">
        <v>20411454</v>
      </c>
      <c r="F497" t="s">
        <v>1993</v>
      </c>
      <c r="G497" t="s">
        <v>50</v>
      </c>
      <c r="H497" s="1">
        <v>46023</v>
      </c>
      <c r="I497" s="2">
        <v>175</v>
      </c>
      <c r="J497">
        <v>1</v>
      </c>
      <c r="K497" s="2">
        <v>175</v>
      </c>
      <c r="M497" t="s">
        <v>1965</v>
      </c>
    </row>
    <row r="498" spans="1:13" x14ac:dyDescent="0.25">
      <c r="A498" s="9" t="s">
        <v>1581</v>
      </c>
      <c r="B498" s="9" t="str">
        <f t="shared" si="9"/>
        <v>00024488116KOVR</v>
      </c>
      <c r="C498" t="s">
        <v>345</v>
      </c>
      <c r="D498" t="s">
        <v>55</v>
      </c>
      <c r="E498">
        <v>20411454</v>
      </c>
      <c r="F498" t="s">
        <v>1993</v>
      </c>
      <c r="G498" t="s">
        <v>50</v>
      </c>
      <c r="H498" s="1">
        <v>46023</v>
      </c>
      <c r="I498" s="2">
        <v>175</v>
      </c>
      <c r="J498">
        <v>1</v>
      </c>
      <c r="K498" s="2">
        <v>175</v>
      </c>
      <c r="M498" t="s">
        <v>1965</v>
      </c>
    </row>
    <row r="499" spans="1:13" x14ac:dyDescent="0.25">
      <c r="A499" s="9" t="s">
        <v>1582</v>
      </c>
      <c r="B499" s="9" t="str">
        <f t="shared" si="9"/>
        <v>00024490231KOVR</v>
      </c>
      <c r="C499" t="s">
        <v>347</v>
      </c>
      <c r="D499" t="s">
        <v>55</v>
      </c>
      <c r="E499">
        <v>20411454</v>
      </c>
      <c r="F499" t="s">
        <v>1993</v>
      </c>
      <c r="G499" t="s">
        <v>50</v>
      </c>
      <c r="H499" s="1">
        <v>45962</v>
      </c>
      <c r="I499" s="2">
        <v>175</v>
      </c>
      <c r="J499">
        <v>1</v>
      </c>
      <c r="K499" s="2">
        <v>175</v>
      </c>
      <c r="M499" t="s">
        <v>1965</v>
      </c>
    </row>
    <row r="500" spans="1:13" x14ac:dyDescent="0.25">
      <c r="A500" s="9" t="s">
        <v>1583</v>
      </c>
      <c r="B500" s="9" t="str">
        <f t="shared" si="9"/>
        <v>00024490298KOVR</v>
      </c>
      <c r="C500" t="s">
        <v>349</v>
      </c>
      <c r="D500" t="s">
        <v>246</v>
      </c>
      <c r="E500">
        <v>20411454</v>
      </c>
      <c r="F500" t="s">
        <v>1993</v>
      </c>
      <c r="G500" t="s">
        <v>50</v>
      </c>
      <c r="H500" s="1">
        <v>46023</v>
      </c>
      <c r="I500" s="2">
        <v>175</v>
      </c>
      <c r="J500">
        <v>1</v>
      </c>
      <c r="K500" s="2">
        <v>175</v>
      </c>
      <c r="M500" t="s">
        <v>1965</v>
      </c>
    </row>
    <row r="501" spans="1:13" x14ac:dyDescent="0.25">
      <c r="A501" s="9" t="s">
        <v>1584</v>
      </c>
      <c r="B501" s="9" t="str">
        <f t="shared" si="9"/>
        <v>00024491622KOVR</v>
      </c>
      <c r="C501" t="s">
        <v>351</v>
      </c>
      <c r="D501" t="s">
        <v>55</v>
      </c>
      <c r="E501">
        <v>20411454</v>
      </c>
      <c r="F501" t="s">
        <v>1993</v>
      </c>
      <c r="G501" t="s">
        <v>50</v>
      </c>
      <c r="H501" s="1">
        <v>45992</v>
      </c>
      <c r="I501" s="2">
        <v>175</v>
      </c>
      <c r="J501">
        <v>1</v>
      </c>
      <c r="K501" s="2">
        <v>175</v>
      </c>
      <c r="M501" t="s">
        <v>1965</v>
      </c>
    </row>
    <row r="502" spans="1:13" x14ac:dyDescent="0.25">
      <c r="A502" s="9" t="s">
        <v>1585</v>
      </c>
      <c r="B502" s="9" t="str">
        <f t="shared" si="9"/>
        <v>00024495315KOVR</v>
      </c>
      <c r="C502" t="s">
        <v>353</v>
      </c>
      <c r="D502" t="s">
        <v>154</v>
      </c>
      <c r="E502">
        <v>20411454</v>
      </c>
      <c r="F502" t="s">
        <v>1993</v>
      </c>
      <c r="G502" t="s">
        <v>50</v>
      </c>
      <c r="H502" s="1">
        <v>46023</v>
      </c>
      <c r="I502" s="2">
        <v>175</v>
      </c>
      <c r="J502">
        <v>1</v>
      </c>
      <c r="K502" s="2">
        <v>175</v>
      </c>
      <c r="M502" t="s">
        <v>1965</v>
      </c>
    </row>
    <row r="503" spans="1:13" x14ac:dyDescent="0.25">
      <c r="A503" s="9" t="s">
        <v>1586</v>
      </c>
      <c r="B503" s="9" t="str">
        <f t="shared" si="9"/>
        <v>00024495700KOVR</v>
      </c>
      <c r="C503" t="s">
        <v>357</v>
      </c>
      <c r="D503" t="s">
        <v>72</v>
      </c>
      <c r="E503">
        <v>20411454</v>
      </c>
      <c r="F503" t="s">
        <v>1993</v>
      </c>
      <c r="G503" t="s">
        <v>50</v>
      </c>
      <c r="H503" s="1">
        <v>46023</v>
      </c>
      <c r="I503" s="2">
        <v>175</v>
      </c>
      <c r="J503">
        <v>1</v>
      </c>
      <c r="K503" s="2">
        <v>175</v>
      </c>
      <c r="M503" t="s">
        <v>1965</v>
      </c>
    </row>
    <row r="504" spans="1:13" x14ac:dyDescent="0.25">
      <c r="A504" s="9" t="s">
        <v>1587</v>
      </c>
      <c r="B504" s="9" t="str">
        <f t="shared" si="9"/>
        <v>00024498116KOVR</v>
      </c>
      <c r="C504" t="s">
        <v>359</v>
      </c>
      <c r="D504" t="s">
        <v>154</v>
      </c>
      <c r="E504">
        <v>20411454</v>
      </c>
      <c r="F504" t="s">
        <v>1993</v>
      </c>
      <c r="G504" t="s">
        <v>50</v>
      </c>
      <c r="H504" s="1">
        <v>46023</v>
      </c>
      <c r="I504" s="2">
        <v>175</v>
      </c>
      <c r="J504">
        <v>1</v>
      </c>
      <c r="K504" s="2">
        <v>175</v>
      </c>
      <c r="M504" t="s">
        <v>1965</v>
      </c>
    </row>
    <row r="505" spans="1:13" x14ac:dyDescent="0.25">
      <c r="A505" s="9" t="s">
        <v>1588</v>
      </c>
      <c r="B505" s="9" t="str">
        <f t="shared" si="9"/>
        <v>00024500744KOVR</v>
      </c>
      <c r="C505" t="s">
        <v>361</v>
      </c>
      <c r="D505" t="s">
        <v>55</v>
      </c>
      <c r="E505">
        <v>20411454</v>
      </c>
      <c r="F505" t="s">
        <v>1993</v>
      </c>
      <c r="G505" t="s">
        <v>50</v>
      </c>
      <c r="H505" s="1">
        <v>46023</v>
      </c>
      <c r="I505" s="2">
        <v>175</v>
      </c>
      <c r="J505">
        <v>1</v>
      </c>
      <c r="K505" s="2">
        <v>175</v>
      </c>
      <c r="M505" t="s">
        <v>1965</v>
      </c>
    </row>
    <row r="506" spans="1:13" x14ac:dyDescent="0.25">
      <c r="A506" s="9" t="s">
        <v>1589</v>
      </c>
      <c r="B506" s="9" t="str">
        <f t="shared" si="9"/>
        <v>00024504896KOVR</v>
      </c>
      <c r="C506" t="s">
        <v>363</v>
      </c>
      <c r="D506" t="s">
        <v>55</v>
      </c>
      <c r="E506">
        <v>20411454</v>
      </c>
      <c r="F506" t="s">
        <v>1993</v>
      </c>
      <c r="G506" t="s">
        <v>50</v>
      </c>
      <c r="H506" s="1">
        <v>46023</v>
      </c>
      <c r="I506" s="2">
        <v>175</v>
      </c>
      <c r="J506">
        <v>1</v>
      </c>
      <c r="K506" s="2">
        <v>175</v>
      </c>
      <c r="M506" t="s">
        <v>1965</v>
      </c>
    </row>
    <row r="507" spans="1:13" x14ac:dyDescent="0.25">
      <c r="A507" s="9" t="s">
        <v>1590</v>
      </c>
      <c r="B507" s="9" t="str">
        <f t="shared" si="9"/>
        <v>00024505056KOVR</v>
      </c>
      <c r="C507" t="s">
        <v>365</v>
      </c>
      <c r="D507" t="s">
        <v>55</v>
      </c>
      <c r="E507">
        <v>20411454</v>
      </c>
      <c r="F507" t="s">
        <v>1993</v>
      </c>
      <c r="G507" t="s">
        <v>50</v>
      </c>
      <c r="H507" s="1">
        <v>46023</v>
      </c>
      <c r="I507" s="2">
        <v>175</v>
      </c>
      <c r="J507">
        <v>1</v>
      </c>
      <c r="K507" s="2">
        <v>175</v>
      </c>
      <c r="M507" t="s">
        <v>1965</v>
      </c>
    </row>
    <row r="508" spans="1:13" x14ac:dyDescent="0.25">
      <c r="A508" s="9" t="s">
        <v>1591</v>
      </c>
      <c r="B508" s="9" t="str">
        <f t="shared" si="9"/>
        <v>00024505232KOVR</v>
      </c>
      <c r="C508" t="s">
        <v>367</v>
      </c>
      <c r="D508" t="s">
        <v>55</v>
      </c>
      <c r="E508">
        <v>20411454</v>
      </c>
      <c r="F508" t="s">
        <v>1993</v>
      </c>
      <c r="G508" t="s">
        <v>50</v>
      </c>
      <c r="H508" s="1">
        <v>46023</v>
      </c>
      <c r="I508" s="2">
        <v>175</v>
      </c>
      <c r="J508">
        <v>1</v>
      </c>
      <c r="K508" s="2">
        <v>175</v>
      </c>
      <c r="M508" t="s">
        <v>1965</v>
      </c>
    </row>
    <row r="509" spans="1:13" x14ac:dyDescent="0.25">
      <c r="A509" s="9" t="s">
        <v>1592</v>
      </c>
      <c r="B509" s="9" t="str">
        <f t="shared" si="9"/>
        <v>00024506252KOVR</v>
      </c>
      <c r="C509" t="s">
        <v>371</v>
      </c>
      <c r="D509" t="s">
        <v>55</v>
      </c>
      <c r="E509">
        <v>20411454</v>
      </c>
      <c r="F509" t="s">
        <v>1993</v>
      </c>
      <c r="G509" t="s">
        <v>50</v>
      </c>
      <c r="H509" s="1">
        <v>46023</v>
      </c>
      <c r="I509" s="2">
        <v>175</v>
      </c>
      <c r="J509">
        <v>1</v>
      </c>
      <c r="K509" s="2">
        <v>175</v>
      </c>
      <c r="M509" t="s">
        <v>1965</v>
      </c>
    </row>
    <row r="510" spans="1:13" x14ac:dyDescent="0.25">
      <c r="A510" s="9" t="s">
        <v>1593</v>
      </c>
      <c r="B510" s="9" t="str">
        <f t="shared" si="9"/>
        <v>00024506657KOVR</v>
      </c>
      <c r="C510" t="s">
        <v>373</v>
      </c>
      <c r="D510" t="s">
        <v>55</v>
      </c>
      <c r="E510">
        <v>20411454</v>
      </c>
      <c r="F510" t="s">
        <v>1993</v>
      </c>
      <c r="G510" t="s">
        <v>50</v>
      </c>
      <c r="H510" s="1">
        <v>46023</v>
      </c>
      <c r="I510" s="2">
        <v>175</v>
      </c>
      <c r="J510">
        <v>1</v>
      </c>
      <c r="K510" s="2">
        <v>175</v>
      </c>
      <c r="M510" t="s">
        <v>1965</v>
      </c>
    </row>
    <row r="511" spans="1:13" x14ac:dyDescent="0.25">
      <c r="A511" s="9" t="s">
        <v>1594</v>
      </c>
      <c r="B511" s="9" t="str">
        <f t="shared" si="9"/>
        <v>00024508788KOVR</v>
      </c>
      <c r="C511" t="s">
        <v>375</v>
      </c>
      <c r="D511" t="s">
        <v>55</v>
      </c>
      <c r="E511">
        <v>20411454</v>
      </c>
      <c r="F511" t="s">
        <v>1993</v>
      </c>
      <c r="G511" t="s">
        <v>50</v>
      </c>
      <c r="H511" s="1">
        <v>46023</v>
      </c>
      <c r="I511" s="2">
        <v>175</v>
      </c>
      <c r="J511">
        <v>1</v>
      </c>
      <c r="K511" s="2">
        <v>175</v>
      </c>
      <c r="M511" t="s">
        <v>1965</v>
      </c>
    </row>
    <row r="512" spans="1:13" x14ac:dyDescent="0.25">
      <c r="A512" s="9" t="s">
        <v>1595</v>
      </c>
      <c r="B512" s="9" t="str">
        <f t="shared" si="9"/>
        <v>00024509076KOVR</v>
      </c>
      <c r="C512" t="s">
        <v>377</v>
      </c>
      <c r="D512" t="s">
        <v>55</v>
      </c>
      <c r="E512">
        <v>20411454</v>
      </c>
      <c r="F512" t="s">
        <v>1993</v>
      </c>
      <c r="G512" t="s">
        <v>50</v>
      </c>
      <c r="H512" s="1">
        <v>46023</v>
      </c>
      <c r="I512" s="2">
        <v>175</v>
      </c>
      <c r="J512">
        <v>1</v>
      </c>
      <c r="K512" s="2">
        <v>175</v>
      </c>
      <c r="M512" t="s">
        <v>1965</v>
      </c>
    </row>
    <row r="513" spans="1:13" x14ac:dyDescent="0.25">
      <c r="A513" s="9" t="s">
        <v>1596</v>
      </c>
      <c r="B513" s="9" t="str">
        <f t="shared" si="9"/>
        <v>00024512228KOVR</v>
      </c>
      <c r="C513" t="s">
        <v>381</v>
      </c>
      <c r="D513" t="s">
        <v>46</v>
      </c>
      <c r="E513">
        <v>20411454</v>
      </c>
      <c r="F513" t="s">
        <v>1993</v>
      </c>
      <c r="G513" t="s">
        <v>50</v>
      </c>
      <c r="H513" s="1">
        <v>46023</v>
      </c>
      <c r="I513" s="2">
        <v>175</v>
      </c>
      <c r="J513">
        <v>1</v>
      </c>
      <c r="K513" s="2">
        <v>175</v>
      </c>
      <c r="M513" t="s">
        <v>1965</v>
      </c>
    </row>
    <row r="514" spans="1:13" x14ac:dyDescent="0.25">
      <c r="A514" s="9" t="s">
        <v>1597</v>
      </c>
      <c r="B514" s="9" t="str">
        <f t="shared" si="9"/>
        <v>00024514186KOVR</v>
      </c>
      <c r="C514" t="s">
        <v>383</v>
      </c>
      <c r="D514" t="s">
        <v>55</v>
      </c>
      <c r="E514">
        <v>20411454</v>
      </c>
      <c r="F514" t="s">
        <v>1993</v>
      </c>
      <c r="G514" t="s">
        <v>50</v>
      </c>
      <c r="H514" s="1">
        <v>46023</v>
      </c>
      <c r="I514" s="2">
        <v>175</v>
      </c>
      <c r="J514">
        <v>1</v>
      </c>
      <c r="K514" s="2">
        <v>175</v>
      </c>
      <c r="M514" t="s">
        <v>1965</v>
      </c>
    </row>
    <row r="515" spans="1:13" x14ac:dyDescent="0.25">
      <c r="A515" s="9" t="s">
        <v>1599</v>
      </c>
      <c r="B515" s="9" t="str">
        <f t="shared" si="9"/>
        <v>00024516066KOVR</v>
      </c>
      <c r="C515" t="s">
        <v>391</v>
      </c>
      <c r="D515" t="s">
        <v>55</v>
      </c>
      <c r="E515">
        <v>20411454</v>
      </c>
      <c r="F515" t="s">
        <v>1993</v>
      </c>
      <c r="G515" t="s">
        <v>50</v>
      </c>
      <c r="H515" s="1">
        <v>46023</v>
      </c>
      <c r="I515" s="2">
        <v>175</v>
      </c>
      <c r="J515">
        <v>1</v>
      </c>
      <c r="K515" s="2">
        <v>175</v>
      </c>
      <c r="M515" t="s">
        <v>1965</v>
      </c>
    </row>
    <row r="516" spans="1:13" x14ac:dyDescent="0.25">
      <c r="A516" s="9" t="s">
        <v>1600</v>
      </c>
      <c r="B516" s="9" t="str">
        <f t="shared" si="9"/>
        <v>00024517338KOVR</v>
      </c>
      <c r="C516" t="s">
        <v>395</v>
      </c>
      <c r="D516" t="s">
        <v>55</v>
      </c>
      <c r="E516">
        <v>20411454</v>
      </c>
      <c r="F516" t="s">
        <v>1993</v>
      </c>
      <c r="G516" t="s">
        <v>50</v>
      </c>
      <c r="H516" s="1">
        <v>46023</v>
      </c>
      <c r="I516" s="2">
        <v>175</v>
      </c>
      <c r="J516">
        <v>1</v>
      </c>
      <c r="K516" s="2">
        <v>175</v>
      </c>
      <c r="M516" t="s">
        <v>1965</v>
      </c>
    </row>
    <row r="517" spans="1:13" x14ac:dyDescent="0.25">
      <c r="A517" s="9" t="s">
        <v>1601</v>
      </c>
      <c r="B517" s="9" t="str">
        <f t="shared" si="9"/>
        <v>00024519522KOVR</v>
      </c>
      <c r="C517" t="s">
        <v>397</v>
      </c>
      <c r="D517" t="s">
        <v>398</v>
      </c>
      <c r="E517">
        <v>20411454</v>
      </c>
      <c r="F517" t="s">
        <v>1993</v>
      </c>
      <c r="G517" t="s">
        <v>50</v>
      </c>
      <c r="H517" s="1">
        <v>46023</v>
      </c>
      <c r="I517" s="2">
        <v>175</v>
      </c>
      <c r="J517">
        <v>1</v>
      </c>
      <c r="K517" s="2">
        <v>175</v>
      </c>
      <c r="M517" t="s">
        <v>1965</v>
      </c>
    </row>
    <row r="518" spans="1:13" x14ac:dyDescent="0.25">
      <c r="A518" s="9" t="s">
        <v>1603</v>
      </c>
      <c r="B518" s="9" t="str">
        <f t="shared" si="9"/>
        <v>00024520544KOVR</v>
      </c>
      <c r="C518" t="s">
        <v>404</v>
      </c>
      <c r="D518" t="s">
        <v>55</v>
      </c>
      <c r="E518">
        <v>20411454</v>
      </c>
      <c r="F518" t="s">
        <v>1993</v>
      </c>
      <c r="G518" t="s">
        <v>50</v>
      </c>
      <c r="H518" s="1">
        <v>46023</v>
      </c>
      <c r="I518" s="2">
        <v>175</v>
      </c>
      <c r="J518">
        <v>1</v>
      </c>
      <c r="K518" s="2">
        <v>175</v>
      </c>
      <c r="M518" t="s">
        <v>1965</v>
      </c>
    </row>
    <row r="519" spans="1:13" x14ac:dyDescent="0.25">
      <c r="A519" s="9" t="s">
        <v>1606</v>
      </c>
      <c r="B519" s="9" t="str">
        <f t="shared" si="9"/>
        <v>00024522540KOVR</v>
      </c>
      <c r="C519" t="s">
        <v>412</v>
      </c>
      <c r="D519" t="s">
        <v>55</v>
      </c>
      <c r="E519">
        <v>20411454</v>
      </c>
      <c r="F519" t="s">
        <v>1993</v>
      </c>
      <c r="G519" t="s">
        <v>50</v>
      </c>
      <c r="H519" s="1">
        <v>46023</v>
      </c>
      <c r="I519" s="2">
        <v>175</v>
      </c>
      <c r="J519">
        <v>1</v>
      </c>
      <c r="K519" s="2">
        <v>175</v>
      </c>
      <c r="M519" t="s">
        <v>1965</v>
      </c>
    </row>
    <row r="520" spans="1:13" x14ac:dyDescent="0.25">
      <c r="A520" s="9" t="s">
        <v>1607</v>
      </c>
      <c r="B520" s="9" t="str">
        <f t="shared" si="9"/>
        <v>00024522680KOVR</v>
      </c>
      <c r="C520" t="s">
        <v>414</v>
      </c>
      <c r="D520" t="s">
        <v>55</v>
      </c>
      <c r="E520">
        <v>20411454</v>
      </c>
      <c r="F520" t="s">
        <v>1993</v>
      </c>
      <c r="G520" t="s">
        <v>50</v>
      </c>
      <c r="H520" s="1">
        <v>46023</v>
      </c>
      <c r="I520" s="2">
        <v>175</v>
      </c>
      <c r="J520">
        <v>1</v>
      </c>
      <c r="K520" s="2">
        <v>175</v>
      </c>
      <c r="M520" t="s">
        <v>1965</v>
      </c>
    </row>
    <row r="521" spans="1:13" x14ac:dyDescent="0.25">
      <c r="A521" s="9" t="s">
        <v>1608</v>
      </c>
      <c r="B521" s="9" t="str">
        <f t="shared" si="9"/>
        <v>00024523447KOVR</v>
      </c>
      <c r="C521" t="s">
        <v>416</v>
      </c>
      <c r="D521" t="s">
        <v>55</v>
      </c>
      <c r="E521">
        <v>20411454</v>
      </c>
      <c r="F521" t="s">
        <v>1993</v>
      </c>
      <c r="G521" t="s">
        <v>50</v>
      </c>
      <c r="H521" s="1">
        <v>46023</v>
      </c>
      <c r="I521" s="2">
        <v>175</v>
      </c>
      <c r="J521">
        <v>1</v>
      </c>
      <c r="K521" s="2">
        <v>175</v>
      </c>
      <c r="M521" t="s">
        <v>1965</v>
      </c>
    </row>
    <row r="522" spans="1:13" x14ac:dyDescent="0.25">
      <c r="A522" s="9" t="s">
        <v>1609</v>
      </c>
      <c r="B522" s="9" t="str">
        <f t="shared" si="9"/>
        <v>00024524991KOVR</v>
      </c>
      <c r="C522" t="s">
        <v>418</v>
      </c>
      <c r="D522" t="s">
        <v>55</v>
      </c>
      <c r="E522">
        <v>20411454</v>
      </c>
      <c r="F522" t="s">
        <v>1993</v>
      </c>
      <c r="G522" t="s">
        <v>50</v>
      </c>
      <c r="H522" s="1">
        <v>45992</v>
      </c>
      <c r="I522" s="2">
        <v>175</v>
      </c>
      <c r="J522">
        <v>1</v>
      </c>
      <c r="K522" s="2">
        <v>175</v>
      </c>
      <c r="M522" t="s">
        <v>1965</v>
      </c>
    </row>
    <row r="523" spans="1:13" x14ac:dyDescent="0.25">
      <c r="A523" s="9" t="s">
        <v>1610</v>
      </c>
      <c r="B523" s="9" t="str">
        <f t="shared" si="9"/>
        <v>00024526312KOVR</v>
      </c>
      <c r="C523" t="s">
        <v>420</v>
      </c>
      <c r="D523" t="s">
        <v>55</v>
      </c>
      <c r="E523">
        <v>20411454</v>
      </c>
      <c r="F523" t="s">
        <v>1993</v>
      </c>
      <c r="G523" t="s">
        <v>50</v>
      </c>
      <c r="H523" s="1">
        <v>46023</v>
      </c>
      <c r="I523" s="2">
        <v>175</v>
      </c>
      <c r="J523">
        <v>1</v>
      </c>
      <c r="K523" s="2">
        <v>175</v>
      </c>
      <c r="M523" t="s">
        <v>1965</v>
      </c>
    </row>
    <row r="524" spans="1:13" x14ac:dyDescent="0.25">
      <c r="A524" s="9" t="s">
        <v>1611</v>
      </c>
      <c r="B524" s="9" t="str">
        <f t="shared" si="9"/>
        <v>00024526749KOVR</v>
      </c>
      <c r="C524" t="s">
        <v>424</v>
      </c>
      <c r="D524" t="s">
        <v>55</v>
      </c>
      <c r="E524">
        <v>20411454</v>
      </c>
      <c r="F524" t="s">
        <v>1993</v>
      </c>
      <c r="G524" t="s">
        <v>50</v>
      </c>
      <c r="H524" s="1">
        <v>46023</v>
      </c>
      <c r="I524" s="2">
        <v>175</v>
      </c>
      <c r="J524">
        <v>1</v>
      </c>
      <c r="K524" s="2">
        <v>175</v>
      </c>
      <c r="M524" t="s">
        <v>1965</v>
      </c>
    </row>
    <row r="525" spans="1:13" x14ac:dyDescent="0.25">
      <c r="A525" s="9" t="s">
        <v>1612</v>
      </c>
      <c r="B525" s="9" t="str">
        <f t="shared" si="9"/>
        <v>00024531889KOVR</v>
      </c>
      <c r="C525" t="s">
        <v>426</v>
      </c>
      <c r="D525" t="s">
        <v>55</v>
      </c>
      <c r="E525">
        <v>20411454</v>
      </c>
      <c r="F525" t="s">
        <v>1993</v>
      </c>
      <c r="G525" t="s">
        <v>50</v>
      </c>
      <c r="H525" s="1">
        <v>46023</v>
      </c>
      <c r="I525" s="2">
        <v>175</v>
      </c>
      <c r="J525">
        <v>1</v>
      </c>
      <c r="K525" s="2">
        <v>175</v>
      </c>
      <c r="M525" t="s">
        <v>1965</v>
      </c>
    </row>
    <row r="526" spans="1:13" x14ac:dyDescent="0.25">
      <c r="A526" s="9" t="s">
        <v>1614</v>
      </c>
      <c r="B526" s="9" t="str">
        <f t="shared" si="9"/>
        <v>00024534853KOVR</v>
      </c>
      <c r="C526" t="s">
        <v>430</v>
      </c>
      <c r="D526" t="s">
        <v>55</v>
      </c>
      <c r="E526">
        <v>20411454</v>
      </c>
      <c r="F526" t="s">
        <v>1993</v>
      </c>
      <c r="G526" t="s">
        <v>50</v>
      </c>
      <c r="H526" s="1">
        <v>46023</v>
      </c>
      <c r="I526" s="2">
        <v>175</v>
      </c>
      <c r="J526">
        <v>1</v>
      </c>
      <c r="K526" s="2">
        <v>175</v>
      </c>
      <c r="M526" t="s">
        <v>1965</v>
      </c>
    </row>
    <row r="527" spans="1:13" x14ac:dyDescent="0.25">
      <c r="A527" s="9" t="s">
        <v>1615</v>
      </c>
      <c r="B527" s="9" t="str">
        <f t="shared" si="9"/>
        <v>00024536758KOVR</v>
      </c>
      <c r="C527" t="s">
        <v>432</v>
      </c>
      <c r="D527" t="s">
        <v>55</v>
      </c>
      <c r="E527">
        <v>20411454</v>
      </c>
      <c r="F527" t="s">
        <v>1993</v>
      </c>
      <c r="G527" t="s">
        <v>50</v>
      </c>
      <c r="H527" s="1">
        <v>46023</v>
      </c>
      <c r="I527" s="2">
        <v>175</v>
      </c>
      <c r="J527">
        <v>1</v>
      </c>
      <c r="K527" s="2">
        <v>175</v>
      </c>
      <c r="M527" t="s">
        <v>1965</v>
      </c>
    </row>
    <row r="528" spans="1:13" x14ac:dyDescent="0.25">
      <c r="A528" s="9" t="s">
        <v>1616</v>
      </c>
      <c r="B528" s="9" t="str">
        <f t="shared" si="9"/>
        <v>00024536967KOVR</v>
      </c>
      <c r="C528" t="s">
        <v>434</v>
      </c>
      <c r="D528" t="s">
        <v>55</v>
      </c>
      <c r="E528">
        <v>20411454</v>
      </c>
      <c r="F528" t="s">
        <v>1993</v>
      </c>
      <c r="G528" t="s">
        <v>50</v>
      </c>
      <c r="H528" s="1">
        <v>46023</v>
      </c>
      <c r="I528" s="2">
        <v>175</v>
      </c>
      <c r="J528">
        <v>1</v>
      </c>
      <c r="K528" s="2">
        <v>175</v>
      </c>
      <c r="M528" t="s">
        <v>1965</v>
      </c>
    </row>
    <row r="529" spans="1:13" x14ac:dyDescent="0.25">
      <c r="A529" s="9" t="s">
        <v>1617</v>
      </c>
      <c r="B529" s="9" t="str">
        <f t="shared" si="9"/>
        <v>00024537088KOVR</v>
      </c>
      <c r="C529" t="s">
        <v>436</v>
      </c>
      <c r="D529" t="s">
        <v>398</v>
      </c>
      <c r="E529">
        <v>20411454</v>
      </c>
      <c r="F529" t="s">
        <v>1993</v>
      </c>
      <c r="G529" t="s">
        <v>50</v>
      </c>
      <c r="H529" s="1">
        <v>46023</v>
      </c>
      <c r="I529" s="2">
        <v>175</v>
      </c>
      <c r="J529">
        <v>1</v>
      </c>
      <c r="K529" s="2">
        <v>175</v>
      </c>
      <c r="M529" t="s">
        <v>1965</v>
      </c>
    </row>
    <row r="530" spans="1:13" x14ac:dyDescent="0.25">
      <c r="A530" s="9" t="s">
        <v>1618</v>
      </c>
      <c r="B530" s="9" t="str">
        <f t="shared" si="9"/>
        <v>00024537780KOVR</v>
      </c>
      <c r="C530" t="s">
        <v>438</v>
      </c>
      <c r="D530" t="s">
        <v>55</v>
      </c>
      <c r="E530">
        <v>20411454</v>
      </c>
      <c r="F530" t="s">
        <v>1993</v>
      </c>
      <c r="G530" t="s">
        <v>50</v>
      </c>
      <c r="H530" s="1">
        <v>46023</v>
      </c>
      <c r="I530" s="2">
        <v>175</v>
      </c>
      <c r="J530">
        <v>1</v>
      </c>
      <c r="K530" s="2">
        <v>175</v>
      </c>
      <c r="M530" t="s">
        <v>1965</v>
      </c>
    </row>
    <row r="531" spans="1:13" x14ac:dyDescent="0.25">
      <c r="A531" s="9" t="s">
        <v>1619</v>
      </c>
      <c r="B531" s="9" t="str">
        <f t="shared" si="9"/>
        <v>00024537803KOVR</v>
      </c>
      <c r="C531" t="s">
        <v>440</v>
      </c>
      <c r="D531" t="s">
        <v>72</v>
      </c>
      <c r="E531">
        <v>20411454</v>
      </c>
      <c r="F531" t="s">
        <v>1993</v>
      </c>
      <c r="G531" t="s">
        <v>50</v>
      </c>
      <c r="H531" s="1">
        <v>46023</v>
      </c>
      <c r="I531" s="2">
        <v>175</v>
      </c>
      <c r="J531">
        <v>1</v>
      </c>
      <c r="K531" s="2">
        <v>175</v>
      </c>
      <c r="M531" t="s">
        <v>1965</v>
      </c>
    </row>
    <row r="532" spans="1:13" x14ac:dyDescent="0.25">
      <c r="A532" s="9" t="s">
        <v>1620</v>
      </c>
      <c r="B532" s="9" t="str">
        <f t="shared" si="9"/>
        <v>00024538183KOVR</v>
      </c>
      <c r="C532" t="s">
        <v>442</v>
      </c>
      <c r="D532" t="s">
        <v>55</v>
      </c>
      <c r="E532">
        <v>20411454</v>
      </c>
      <c r="F532" t="s">
        <v>1993</v>
      </c>
      <c r="G532" t="s">
        <v>50</v>
      </c>
      <c r="H532" s="1">
        <v>46023</v>
      </c>
      <c r="I532" s="2">
        <v>175</v>
      </c>
      <c r="J532">
        <v>1</v>
      </c>
      <c r="K532" s="2">
        <v>175</v>
      </c>
      <c r="M532" t="s">
        <v>1965</v>
      </c>
    </row>
    <row r="533" spans="1:13" x14ac:dyDescent="0.25">
      <c r="A533" s="9" t="s">
        <v>1624</v>
      </c>
      <c r="B533" s="9" t="str">
        <f t="shared" si="9"/>
        <v>00024540870KOVR</v>
      </c>
      <c r="C533" t="s">
        <v>452</v>
      </c>
      <c r="D533" t="s">
        <v>55</v>
      </c>
      <c r="E533">
        <v>20411454</v>
      </c>
      <c r="F533" t="s">
        <v>1993</v>
      </c>
      <c r="G533" t="s">
        <v>50</v>
      </c>
      <c r="H533" s="1">
        <v>46023</v>
      </c>
      <c r="I533" s="2">
        <v>175</v>
      </c>
      <c r="J533">
        <v>1</v>
      </c>
      <c r="K533" s="2">
        <v>175</v>
      </c>
      <c r="M533" t="s">
        <v>1965</v>
      </c>
    </row>
    <row r="534" spans="1:13" x14ac:dyDescent="0.25">
      <c r="A534" s="9" t="s">
        <v>1625</v>
      </c>
      <c r="B534" s="9" t="str">
        <f t="shared" si="9"/>
        <v>00024541534KOVR</v>
      </c>
      <c r="C534" t="s">
        <v>454</v>
      </c>
      <c r="D534" t="s">
        <v>55</v>
      </c>
      <c r="E534">
        <v>20411454</v>
      </c>
      <c r="F534" t="s">
        <v>1993</v>
      </c>
      <c r="G534" t="s">
        <v>50</v>
      </c>
      <c r="H534" s="1">
        <v>46023</v>
      </c>
      <c r="I534" s="2">
        <v>175</v>
      </c>
      <c r="J534">
        <v>1</v>
      </c>
      <c r="K534" s="2">
        <v>175</v>
      </c>
      <c r="M534" t="s">
        <v>1965</v>
      </c>
    </row>
    <row r="535" spans="1:13" x14ac:dyDescent="0.25">
      <c r="A535" s="9" t="s">
        <v>1626</v>
      </c>
      <c r="B535" s="9" t="str">
        <f t="shared" si="9"/>
        <v>00024542384KOVR</v>
      </c>
      <c r="C535" t="s">
        <v>456</v>
      </c>
      <c r="D535" t="s">
        <v>55</v>
      </c>
      <c r="E535">
        <v>20411454</v>
      </c>
      <c r="F535" t="s">
        <v>1993</v>
      </c>
      <c r="G535" t="s">
        <v>50</v>
      </c>
      <c r="H535" s="1">
        <v>46023</v>
      </c>
      <c r="I535" s="2">
        <v>175</v>
      </c>
      <c r="J535">
        <v>1</v>
      </c>
      <c r="K535" s="2">
        <v>175</v>
      </c>
      <c r="M535" t="s">
        <v>1965</v>
      </c>
    </row>
    <row r="536" spans="1:13" x14ac:dyDescent="0.25">
      <c r="A536" s="9" t="s">
        <v>1627</v>
      </c>
      <c r="B536" s="9" t="str">
        <f t="shared" si="9"/>
        <v>00024544057KOVR</v>
      </c>
      <c r="C536" t="s">
        <v>458</v>
      </c>
      <c r="D536" t="s">
        <v>55</v>
      </c>
      <c r="E536">
        <v>20411454</v>
      </c>
      <c r="F536" t="s">
        <v>1993</v>
      </c>
      <c r="G536" t="s">
        <v>50</v>
      </c>
      <c r="H536" s="1">
        <v>46023</v>
      </c>
      <c r="I536" s="2">
        <v>175</v>
      </c>
      <c r="J536">
        <v>1</v>
      </c>
      <c r="K536" s="2">
        <v>175</v>
      </c>
      <c r="M536" t="s">
        <v>1965</v>
      </c>
    </row>
    <row r="537" spans="1:13" x14ac:dyDescent="0.25">
      <c r="A537" s="9" t="s">
        <v>1628</v>
      </c>
      <c r="B537" s="9" t="str">
        <f t="shared" si="9"/>
        <v>00024546040KOVR</v>
      </c>
      <c r="C537" t="s">
        <v>460</v>
      </c>
      <c r="D537" t="s">
        <v>55</v>
      </c>
      <c r="E537">
        <v>20411454</v>
      </c>
      <c r="F537" t="s">
        <v>1993</v>
      </c>
      <c r="G537" t="s">
        <v>50</v>
      </c>
      <c r="H537" s="1">
        <v>46023</v>
      </c>
      <c r="I537" s="2">
        <v>175</v>
      </c>
      <c r="J537">
        <v>1</v>
      </c>
      <c r="K537" s="2">
        <v>175</v>
      </c>
      <c r="M537" t="s">
        <v>1965</v>
      </c>
    </row>
    <row r="538" spans="1:13" x14ac:dyDescent="0.25">
      <c r="A538" s="9" t="s">
        <v>1629</v>
      </c>
      <c r="B538" s="9" t="str">
        <f t="shared" si="9"/>
        <v>00024548971KOVR</v>
      </c>
      <c r="C538" t="s">
        <v>462</v>
      </c>
      <c r="D538" t="s">
        <v>463</v>
      </c>
      <c r="E538">
        <v>20411454</v>
      </c>
      <c r="F538" t="s">
        <v>1993</v>
      </c>
      <c r="G538" t="s">
        <v>50</v>
      </c>
      <c r="H538" s="1">
        <v>46023</v>
      </c>
      <c r="I538" s="2">
        <v>175</v>
      </c>
      <c r="J538">
        <v>1</v>
      </c>
      <c r="K538" s="2">
        <v>175</v>
      </c>
      <c r="M538" t="s">
        <v>1965</v>
      </c>
    </row>
    <row r="539" spans="1:13" x14ac:dyDescent="0.25">
      <c r="A539" s="9" t="s">
        <v>1632</v>
      </c>
      <c r="B539" s="9" t="str">
        <f t="shared" si="9"/>
        <v>00024551626KOVR</v>
      </c>
      <c r="C539" t="s">
        <v>469</v>
      </c>
      <c r="D539" t="s">
        <v>55</v>
      </c>
      <c r="E539">
        <v>20411454</v>
      </c>
      <c r="F539" t="s">
        <v>1993</v>
      </c>
      <c r="G539" t="s">
        <v>50</v>
      </c>
      <c r="H539" s="1">
        <v>46023</v>
      </c>
      <c r="I539" s="2">
        <v>175</v>
      </c>
      <c r="J539">
        <v>1</v>
      </c>
      <c r="K539" s="2">
        <v>175</v>
      </c>
      <c r="M539" t="s">
        <v>1965</v>
      </c>
    </row>
    <row r="540" spans="1:13" x14ac:dyDescent="0.25">
      <c r="A540" s="9" t="s">
        <v>1633</v>
      </c>
      <c r="B540" s="9" t="str">
        <f t="shared" si="9"/>
        <v>00024555785KOVR</v>
      </c>
      <c r="C540" t="s">
        <v>471</v>
      </c>
      <c r="D540" t="s">
        <v>55</v>
      </c>
      <c r="E540">
        <v>20411454</v>
      </c>
      <c r="F540" t="s">
        <v>1993</v>
      </c>
      <c r="G540" t="s">
        <v>50</v>
      </c>
      <c r="H540" s="1">
        <v>46023</v>
      </c>
      <c r="I540" s="2">
        <v>175</v>
      </c>
      <c r="J540">
        <v>1</v>
      </c>
      <c r="K540" s="2">
        <v>175</v>
      </c>
      <c r="M540" t="s">
        <v>1965</v>
      </c>
    </row>
    <row r="541" spans="1:13" x14ac:dyDescent="0.25">
      <c r="A541" s="9" t="s">
        <v>1635</v>
      </c>
      <c r="B541" s="9" t="str">
        <f t="shared" si="9"/>
        <v>00024560771KOVR</v>
      </c>
      <c r="C541" t="s">
        <v>475</v>
      </c>
      <c r="D541" t="s">
        <v>55</v>
      </c>
      <c r="E541">
        <v>20411454</v>
      </c>
      <c r="F541" t="s">
        <v>1993</v>
      </c>
      <c r="G541" t="s">
        <v>50</v>
      </c>
      <c r="H541" s="1">
        <v>46023</v>
      </c>
      <c r="I541" s="2">
        <v>175</v>
      </c>
      <c r="J541">
        <v>1</v>
      </c>
      <c r="K541" s="2">
        <v>175</v>
      </c>
      <c r="M541" t="s">
        <v>1965</v>
      </c>
    </row>
    <row r="542" spans="1:13" x14ac:dyDescent="0.25">
      <c r="A542" s="9" t="s">
        <v>1636</v>
      </c>
      <c r="B542" s="9" t="str">
        <f t="shared" si="9"/>
        <v>00024561007KOVR</v>
      </c>
      <c r="C542" t="s">
        <v>477</v>
      </c>
      <c r="D542" t="s">
        <v>55</v>
      </c>
      <c r="E542">
        <v>20411454</v>
      </c>
      <c r="F542" t="s">
        <v>1993</v>
      </c>
      <c r="G542" t="s">
        <v>50</v>
      </c>
      <c r="H542" s="1">
        <v>46023</v>
      </c>
      <c r="I542" s="2">
        <v>175</v>
      </c>
      <c r="J542">
        <v>1</v>
      </c>
      <c r="K542" s="2">
        <v>175</v>
      </c>
      <c r="M542" t="s">
        <v>1965</v>
      </c>
    </row>
    <row r="543" spans="1:13" x14ac:dyDescent="0.25">
      <c r="A543" s="9" t="s">
        <v>1638</v>
      </c>
      <c r="B543" s="9" t="str">
        <f t="shared" si="9"/>
        <v>00024562634KOVR</v>
      </c>
      <c r="C543" t="s">
        <v>481</v>
      </c>
      <c r="D543" t="s">
        <v>55</v>
      </c>
      <c r="E543">
        <v>20411454</v>
      </c>
      <c r="F543" t="s">
        <v>1993</v>
      </c>
      <c r="G543" t="s">
        <v>50</v>
      </c>
      <c r="H543" s="1">
        <v>46023</v>
      </c>
      <c r="I543" s="2">
        <v>175</v>
      </c>
      <c r="J543">
        <v>1</v>
      </c>
      <c r="K543" s="2">
        <v>175</v>
      </c>
      <c r="M543" t="s">
        <v>1965</v>
      </c>
    </row>
    <row r="544" spans="1:13" x14ac:dyDescent="0.25">
      <c r="A544" s="9" t="s">
        <v>1639</v>
      </c>
      <c r="B544" s="9" t="str">
        <f t="shared" si="9"/>
        <v>00024562876KOVR</v>
      </c>
      <c r="C544" t="s">
        <v>483</v>
      </c>
      <c r="D544" t="s">
        <v>55</v>
      </c>
      <c r="E544">
        <v>20411454</v>
      </c>
      <c r="F544" t="s">
        <v>1993</v>
      </c>
      <c r="G544" t="s">
        <v>50</v>
      </c>
      <c r="H544" s="1">
        <v>46023</v>
      </c>
      <c r="I544" s="2">
        <v>175</v>
      </c>
      <c r="J544">
        <v>1</v>
      </c>
      <c r="K544" s="2">
        <v>175</v>
      </c>
      <c r="M544" t="s">
        <v>1965</v>
      </c>
    </row>
    <row r="545" spans="1:13" x14ac:dyDescent="0.25">
      <c r="A545" s="9" t="s">
        <v>1643</v>
      </c>
      <c r="B545" s="9" t="str">
        <f t="shared" si="9"/>
        <v>00024566456KOVR</v>
      </c>
      <c r="C545" t="s">
        <v>491</v>
      </c>
      <c r="D545" t="s">
        <v>55</v>
      </c>
      <c r="E545">
        <v>20411454</v>
      </c>
      <c r="F545" t="s">
        <v>1993</v>
      </c>
      <c r="G545" t="s">
        <v>50</v>
      </c>
      <c r="H545" s="1">
        <v>46023</v>
      </c>
      <c r="I545" s="2">
        <v>175</v>
      </c>
      <c r="J545">
        <v>1</v>
      </c>
      <c r="K545" s="2">
        <v>175</v>
      </c>
      <c r="M545" t="s">
        <v>1965</v>
      </c>
    </row>
    <row r="546" spans="1:13" x14ac:dyDescent="0.25">
      <c r="A546" s="9" t="s">
        <v>1646</v>
      </c>
      <c r="B546" s="9" t="str">
        <f t="shared" si="9"/>
        <v>00024567609KOVR</v>
      </c>
      <c r="C546" t="s">
        <v>499</v>
      </c>
      <c r="D546" t="s">
        <v>55</v>
      </c>
      <c r="E546">
        <v>20411454</v>
      </c>
      <c r="F546" t="s">
        <v>1993</v>
      </c>
      <c r="G546" t="s">
        <v>50</v>
      </c>
      <c r="H546" s="1">
        <v>46023</v>
      </c>
      <c r="I546" s="2">
        <v>175</v>
      </c>
      <c r="J546">
        <v>1</v>
      </c>
      <c r="K546" s="2">
        <v>175</v>
      </c>
      <c r="M546" t="s">
        <v>1965</v>
      </c>
    </row>
    <row r="547" spans="1:13" x14ac:dyDescent="0.25">
      <c r="A547" s="9" t="s">
        <v>1649</v>
      </c>
      <c r="B547" s="9" t="str">
        <f t="shared" si="9"/>
        <v>00024569985KOVR</v>
      </c>
      <c r="C547" t="s">
        <v>505</v>
      </c>
      <c r="D547" t="s">
        <v>55</v>
      </c>
      <c r="E547">
        <v>20411454</v>
      </c>
      <c r="F547" t="s">
        <v>1993</v>
      </c>
      <c r="G547" t="s">
        <v>50</v>
      </c>
      <c r="H547" s="1">
        <v>46023</v>
      </c>
      <c r="I547" s="2">
        <v>175</v>
      </c>
      <c r="J547">
        <v>1</v>
      </c>
      <c r="K547" s="2">
        <v>175</v>
      </c>
      <c r="M547" t="s">
        <v>1965</v>
      </c>
    </row>
    <row r="548" spans="1:13" x14ac:dyDescent="0.25">
      <c r="A548" s="9" t="s">
        <v>1652</v>
      </c>
      <c r="B548" s="9" t="str">
        <f t="shared" si="9"/>
        <v>00024572207KOVR</v>
      </c>
      <c r="C548" t="s">
        <v>513</v>
      </c>
      <c r="D548" t="s">
        <v>55</v>
      </c>
      <c r="E548">
        <v>20411454</v>
      </c>
      <c r="F548" t="s">
        <v>1993</v>
      </c>
      <c r="G548" t="s">
        <v>50</v>
      </c>
      <c r="H548" s="1">
        <v>46023</v>
      </c>
      <c r="I548" s="2">
        <v>175</v>
      </c>
      <c r="J548">
        <v>1</v>
      </c>
      <c r="K548" s="2">
        <v>175</v>
      </c>
      <c r="M548" t="s">
        <v>1965</v>
      </c>
    </row>
    <row r="549" spans="1:13" x14ac:dyDescent="0.25">
      <c r="A549" s="9" t="s">
        <v>1653</v>
      </c>
      <c r="B549" s="9" t="str">
        <f t="shared" si="9"/>
        <v>00024572327KOVR</v>
      </c>
      <c r="C549" t="s">
        <v>515</v>
      </c>
      <c r="D549" t="s">
        <v>66</v>
      </c>
      <c r="E549">
        <v>20411454</v>
      </c>
      <c r="F549" t="s">
        <v>1993</v>
      </c>
      <c r="G549" t="s">
        <v>50</v>
      </c>
      <c r="H549" s="1">
        <v>46023</v>
      </c>
      <c r="I549" s="2">
        <v>175</v>
      </c>
      <c r="J549">
        <v>1</v>
      </c>
      <c r="K549" s="2">
        <v>175</v>
      </c>
      <c r="M549" t="s">
        <v>1965</v>
      </c>
    </row>
    <row r="550" spans="1:13" x14ac:dyDescent="0.25">
      <c r="A550" s="9" t="s">
        <v>1654</v>
      </c>
      <c r="B550" s="9" t="str">
        <f t="shared" si="9"/>
        <v>00024573433KOVR</v>
      </c>
      <c r="C550" t="s">
        <v>517</v>
      </c>
      <c r="D550" t="s">
        <v>55</v>
      </c>
      <c r="E550">
        <v>20411454</v>
      </c>
      <c r="F550" t="s">
        <v>1993</v>
      </c>
      <c r="G550" t="s">
        <v>50</v>
      </c>
      <c r="H550" s="1">
        <v>46023</v>
      </c>
      <c r="I550" s="2">
        <v>175</v>
      </c>
      <c r="J550">
        <v>1</v>
      </c>
      <c r="K550" s="2">
        <v>175</v>
      </c>
      <c r="M550" t="s">
        <v>1965</v>
      </c>
    </row>
    <row r="551" spans="1:13" x14ac:dyDescent="0.25">
      <c r="A551" s="9" t="s">
        <v>1655</v>
      </c>
      <c r="B551" s="9" t="str">
        <f t="shared" ref="B551:B614" si="10">CONCATENATE(A551,"OVR")</f>
        <v>00024575945KOVR</v>
      </c>
      <c r="C551" t="s">
        <v>519</v>
      </c>
      <c r="D551" t="s">
        <v>55</v>
      </c>
      <c r="E551">
        <v>20411454</v>
      </c>
      <c r="F551" t="s">
        <v>1993</v>
      </c>
      <c r="G551" t="s">
        <v>50</v>
      </c>
      <c r="H551" s="1">
        <v>46023</v>
      </c>
      <c r="I551" s="2">
        <v>175</v>
      </c>
      <c r="J551">
        <v>1</v>
      </c>
      <c r="K551" s="2">
        <v>175</v>
      </c>
      <c r="M551" t="s">
        <v>1965</v>
      </c>
    </row>
    <row r="552" spans="1:13" x14ac:dyDescent="0.25">
      <c r="A552" s="9" t="s">
        <v>1656</v>
      </c>
      <c r="B552" s="9" t="str">
        <f t="shared" si="10"/>
        <v>00024576468KOVR</v>
      </c>
      <c r="C552" t="s">
        <v>521</v>
      </c>
      <c r="D552" t="s">
        <v>55</v>
      </c>
      <c r="E552">
        <v>20411454</v>
      </c>
      <c r="F552" t="s">
        <v>1993</v>
      </c>
      <c r="G552" t="s">
        <v>50</v>
      </c>
      <c r="H552" s="1">
        <v>45992</v>
      </c>
      <c r="I552" s="2">
        <v>175</v>
      </c>
      <c r="J552">
        <v>1</v>
      </c>
      <c r="K552" s="2">
        <v>175</v>
      </c>
      <c r="M552" t="s">
        <v>1965</v>
      </c>
    </row>
    <row r="553" spans="1:13" x14ac:dyDescent="0.25">
      <c r="A553" s="9" t="s">
        <v>1657</v>
      </c>
      <c r="B553" s="9" t="str">
        <f t="shared" si="10"/>
        <v>00024576659KOVR</v>
      </c>
      <c r="C553" t="s">
        <v>523</v>
      </c>
      <c r="D553" t="s">
        <v>66</v>
      </c>
      <c r="E553">
        <v>20411454</v>
      </c>
      <c r="F553" t="s">
        <v>1993</v>
      </c>
      <c r="G553" t="s">
        <v>50</v>
      </c>
      <c r="H553" s="1">
        <v>46023</v>
      </c>
      <c r="I553" s="2">
        <v>175</v>
      </c>
      <c r="J553">
        <v>1</v>
      </c>
      <c r="K553" s="2">
        <v>175</v>
      </c>
      <c r="M553" t="s">
        <v>1965</v>
      </c>
    </row>
    <row r="554" spans="1:13" x14ac:dyDescent="0.25">
      <c r="A554" s="9" t="s">
        <v>1658</v>
      </c>
      <c r="B554" s="9" t="str">
        <f t="shared" si="10"/>
        <v>00024577313KOVR</v>
      </c>
      <c r="C554" t="s">
        <v>525</v>
      </c>
      <c r="D554" t="s">
        <v>55</v>
      </c>
      <c r="E554">
        <v>20411454</v>
      </c>
      <c r="F554" t="s">
        <v>1993</v>
      </c>
      <c r="G554" t="s">
        <v>50</v>
      </c>
      <c r="H554" s="1">
        <v>46023</v>
      </c>
      <c r="I554" s="2">
        <v>175</v>
      </c>
      <c r="J554">
        <v>1</v>
      </c>
      <c r="K554" s="2">
        <v>175</v>
      </c>
      <c r="M554" t="s">
        <v>1965</v>
      </c>
    </row>
    <row r="555" spans="1:13" x14ac:dyDescent="0.25">
      <c r="A555" s="9" t="s">
        <v>1659</v>
      </c>
      <c r="B555" s="9" t="str">
        <f t="shared" si="10"/>
        <v>00024577465KOVR</v>
      </c>
      <c r="C555" t="s">
        <v>529</v>
      </c>
      <c r="D555" t="s">
        <v>55</v>
      </c>
      <c r="E555">
        <v>20411454</v>
      </c>
      <c r="F555" t="s">
        <v>1993</v>
      </c>
      <c r="G555" t="s">
        <v>50</v>
      </c>
      <c r="H555" s="1">
        <v>46023</v>
      </c>
      <c r="I555" s="2">
        <v>175</v>
      </c>
      <c r="J555">
        <v>1</v>
      </c>
      <c r="K555" s="2">
        <v>175</v>
      </c>
      <c r="M555" t="s">
        <v>1965</v>
      </c>
    </row>
    <row r="556" spans="1:13" x14ac:dyDescent="0.25">
      <c r="A556" s="9" t="s">
        <v>1661</v>
      </c>
      <c r="B556" s="9" t="str">
        <f t="shared" si="10"/>
        <v>00024578509KOVR</v>
      </c>
      <c r="C556" t="s">
        <v>535</v>
      </c>
      <c r="D556" t="s">
        <v>55</v>
      </c>
      <c r="E556">
        <v>20411454</v>
      </c>
      <c r="F556" t="s">
        <v>1993</v>
      </c>
      <c r="G556" t="s">
        <v>50</v>
      </c>
      <c r="H556" s="1">
        <v>46023</v>
      </c>
      <c r="I556" s="2">
        <v>175</v>
      </c>
      <c r="J556">
        <v>1</v>
      </c>
      <c r="K556" s="2">
        <v>175</v>
      </c>
      <c r="M556" t="s">
        <v>1965</v>
      </c>
    </row>
    <row r="557" spans="1:13" x14ac:dyDescent="0.25">
      <c r="A557" s="9" t="s">
        <v>1662</v>
      </c>
      <c r="B557" s="9" t="str">
        <f t="shared" si="10"/>
        <v>00024580056KOVR</v>
      </c>
      <c r="C557" t="s">
        <v>537</v>
      </c>
      <c r="D557" t="s">
        <v>55</v>
      </c>
      <c r="E557">
        <v>20411454</v>
      </c>
      <c r="F557" t="s">
        <v>1993</v>
      </c>
      <c r="G557" t="s">
        <v>50</v>
      </c>
      <c r="H557" s="1">
        <v>46023</v>
      </c>
      <c r="I557" s="2">
        <v>175</v>
      </c>
      <c r="J557">
        <v>1</v>
      </c>
      <c r="K557" s="2">
        <v>175</v>
      </c>
      <c r="M557" t="s">
        <v>1965</v>
      </c>
    </row>
    <row r="558" spans="1:13" x14ac:dyDescent="0.25">
      <c r="A558" s="9" t="s">
        <v>1664</v>
      </c>
      <c r="B558" s="9" t="str">
        <f t="shared" si="10"/>
        <v>00024581426KOVR</v>
      </c>
      <c r="C558" t="s">
        <v>541</v>
      </c>
      <c r="D558" t="s">
        <v>246</v>
      </c>
      <c r="E558">
        <v>20411454</v>
      </c>
      <c r="F558" t="s">
        <v>1993</v>
      </c>
      <c r="G558" t="s">
        <v>50</v>
      </c>
      <c r="H558" s="1">
        <v>46023</v>
      </c>
      <c r="I558" s="2">
        <v>175</v>
      </c>
      <c r="J558">
        <v>1</v>
      </c>
      <c r="K558" s="2">
        <v>175</v>
      </c>
      <c r="M558" t="s">
        <v>1965</v>
      </c>
    </row>
    <row r="559" spans="1:13" x14ac:dyDescent="0.25">
      <c r="A559" s="9" t="s">
        <v>1665</v>
      </c>
      <c r="B559" s="9" t="str">
        <f t="shared" si="10"/>
        <v>00024582212KOVR</v>
      </c>
      <c r="C559" t="s">
        <v>543</v>
      </c>
      <c r="D559" t="s">
        <v>55</v>
      </c>
      <c r="E559">
        <v>20411454</v>
      </c>
      <c r="F559" t="s">
        <v>1993</v>
      </c>
      <c r="G559" t="s">
        <v>50</v>
      </c>
      <c r="H559" s="1">
        <v>46023</v>
      </c>
      <c r="I559" s="2">
        <v>175</v>
      </c>
      <c r="J559">
        <v>1</v>
      </c>
      <c r="K559" s="2">
        <v>175</v>
      </c>
      <c r="M559" t="s">
        <v>1965</v>
      </c>
    </row>
    <row r="560" spans="1:13" x14ac:dyDescent="0.25">
      <c r="A560" s="9" t="s">
        <v>1666</v>
      </c>
      <c r="B560" s="9" t="str">
        <f t="shared" si="10"/>
        <v>00024582757KOVR</v>
      </c>
      <c r="C560" t="s">
        <v>545</v>
      </c>
      <c r="D560" t="s">
        <v>246</v>
      </c>
      <c r="E560">
        <v>20411454</v>
      </c>
      <c r="F560" t="s">
        <v>1993</v>
      </c>
      <c r="G560" t="s">
        <v>50</v>
      </c>
      <c r="H560" s="1">
        <v>46023</v>
      </c>
      <c r="I560" s="2">
        <v>175</v>
      </c>
      <c r="J560">
        <v>1</v>
      </c>
      <c r="K560" s="2">
        <v>175</v>
      </c>
      <c r="M560" t="s">
        <v>1965</v>
      </c>
    </row>
    <row r="561" spans="1:13" x14ac:dyDescent="0.25">
      <c r="A561" s="9" t="s">
        <v>1669</v>
      </c>
      <c r="B561" s="9" t="str">
        <f t="shared" si="10"/>
        <v>00024586467KOVR</v>
      </c>
      <c r="C561" t="s">
        <v>551</v>
      </c>
      <c r="D561" t="s">
        <v>66</v>
      </c>
      <c r="E561">
        <v>20411454</v>
      </c>
      <c r="F561" t="s">
        <v>1993</v>
      </c>
      <c r="G561" t="s">
        <v>50</v>
      </c>
      <c r="H561" s="1">
        <v>46023</v>
      </c>
      <c r="I561" s="2">
        <v>175</v>
      </c>
      <c r="J561">
        <v>1</v>
      </c>
      <c r="K561" s="2">
        <v>175</v>
      </c>
      <c r="M561" t="s">
        <v>1965</v>
      </c>
    </row>
    <row r="562" spans="1:13" x14ac:dyDescent="0.25">
      <c r="A562" s="9" t="s">
        <v>1671</v>
      </c>
      <c r="B562" s="9" t="str">
        <f t="shared" si="10"/>
        <v>00024588766KOVR</v>
      </c>
      <c r="C562" t="s">
        <v>555</v>
      </c>
      <c r="D562" t="s">
        <v>55</v>
      </c>
      <c r="E562">
        <v>20411454</v>
      </c>
      <c r="F562" t="s">
        <v>1993</v>
      </c>
      <c r="G562" t="s">
        <v>50</v>
      </c>
      <c r="H562" s="1">
        <v>46023</v>
      </c>
      <c r="I562" s="2">
        <v>175</v>
      </c>
      <c r="J562">
        <v>1</v>
      </c>
      <c r="K562" s="2">
        <v>175</v>
      </c>
      <c r="M562" t="s">
        <v>1965</v>
      </c>
    </row>
    <row r="563" spans="1:13" x14ac:dyDescent="0.25">
      <c r="A563" s="9" t="s">
        <v>1674</v>
      </c>
      <c r="B563" s="9" t="str">
        <f t="shared" si="10"/>
        <v>00024590403KOVR</v>
      </c>
      <c r="C563" t="s">
        <v>561</v>
      </c>
      <c r="D563" t="s">
        <v>246</v>
      </c>
      <c r="E563">
        <v>20411454</v>
      </c>
      <c r="F563" t="s">
        <v>1993</v>
      </c>
      <c r="G563" t="s">
        <v>50</v>
      </c>
      <c r="H563" s="1">
        <v>46023</v>
      </c>
      <c r="I563" s="2">
        <v>175</v>
      </c>
      <c r="J563">
        <v>1</v>
      </c>
      <c r="K563" s="2">
        <v>175</v>
      </c>
      <c r="M563" t="s">
        <v>1965</v>
      </c>
    </row>
    <row r="564" spans="1:13" x14ac:dyDescent="0.25">
      <c r="A564" s="9" t="s">
        <v>1675</v>
      </c>
      <c r="B564" s="9" t="str">
        <f t="shared" si="10"/>
        <v>00024590409KOVR</v>
      </c>
      <c r="C564" t="s">
        <v>564</v>
      </c>
      <c r="D564" t="s">
        <v>55</v>
      </c>
      <c r="E564">
        <v>20411454</v>
      </c>
      <c r="F564" t="s">
        <v>1993</v>
      </c>
      <c r="G564" t="s">
        <v>50</v>
      </c>
      <c r="H564" s="1">
        <v>46023</v>
      </c>
      <c r="I564" s="2">
        <v>175</v>
      </c>
      <c r="J564">
        <v>1</v>
      </c>
      <c r="K564" s="2">
        <v>175</v>
      </c>
      <c r="M564" t="s">
        <v>1965</v>
      </c>
    </row>
    <row r="565" spans="1:13" x14ac:dyDescent="0.25">
      <c r="A565" s="9" t="s">
        <v>1677</v>
      </c>
      <c r="B565" s="9" t="str">
        <f t="shared" si="10"/>
        <v>00024594729KOVR</v>
      </c>
      <c r="C565" t="s">
        <v>570</v>
      </c>
      <c r="D565" t="s">
        <v>55</v>
      </c>
      <c r="E565">
        <v>20411454</v>
      </c>
      <c r="F565" t="s">
        <v>1993</v>
      </c>
      <c r="G565" t="s">
        <v>50</v>
      </c>
      <c r="H565" s="1">
        <v>46023</v>
      </c>
      <c r="I565" s="2">
        <v>175</v>
      </c>
      <c r="J565">
        <v>1</v>
      </c>
      <c r="K565" s="2">
        <v>175</v>
      </c>
      <c r="M565" t="s">
        <v>1965</v>
      </c>
    </row>
    <row r="566" spans="1:13" x14ac:dyDescent="0.25">
      <c r="A566" s="9" t="s">
        <v>1679</v>
      </c>
      <c r="B566" s="9" t="str">
        <f t="shared" si="10"/>
        <v>00024596787KOVR</v>
      </c>
      <c r="C566" t="s">
        <v>576</v>
      </c>
      <c r="D566" t="s">
        <v>89</v>
      </c>
      <c r="E566">
        <v>20411454</v>
      </c>
      <c r="F566" t="s">
        <v>1993</v>
      </c>
      <c r="G566" t="s">
        <v>50</v>
      </c>
      <c r="H566" s="1">
        <v>46023</v>
      </c>
      <c r="I566" s="2">
        <v>175</v>
      </c>
      <c r="J566">
        <v>1</v>
      </c>
      <c r="K566" s="2">
        <v>175</v>
      </c>
      <c r="M566" t="s">
        <v>1965</v>
      </c>
    </row>
    <row r="567" spans="1:13" x14ac:dyDescent="0.25">
      <c r="A567" s="9" t="s">
        <v>1680</v>
      </c>
      <c r="B567" s="9" t="str">
        <f t="shared" si="10"/>
        <v>00024598277KOVR</v>
      </c>
      <c r="C567" t="s">
        <v>578</v>
      </c>
      <c r="D567" t="s">
        <v>55</v>
      </c>
      <c r="E567">
        <v>20411454</v>
      </c>
      <c r="F567" t="s">
        <v>1993</v>
      </c>
      <c r="G567" t="s">
        <v>50</v>
      </c>
      <c r="H567" s="1">
        <v>45992</v>
      </c>
      <c r="I567" s="2">
        <v>175</v>
      </c>
      <c r="J567">
        <v>1</v>
      </c>
      <c r="K567" s="2">
        <v>175</v>
      </c>
      <c r="M567" t="s">
        <v>1965</v>
      </c>
    </row>
    <row r="568" spans="1:13" x14ac:dyDescent="0.25">
      <c r="A568" s="9" t="s">
        <v>1684</v>
      </c>
      <c r="B568" s="9" t="str">
        <f t="shared" si="10"/>
        <v>00024604842KOVR</v>
      </c>
      <c r="C568" t="s">
        <v>586</v>
      </c>
      <c r="D568" t="s">
        <v>55</v>
      </c>
      <c r="E568">
        <v>20411454</v>
      </c>
      <c r="F568" t="s">
        <v>1993</v>
      </c>
      <c r="G568" t="s">
        <v>50</v>
      </c>
      <c r="H568" s="1">
        <v>46023</v>
      </c>
      <c r="I568" s="2">
        <v>175</v>
      </c>
      <c r="J568">
        <v>1</v>
      </c>
      <c r="K568" s="2">
        <v>175</v>
      </c>
      <c r="M568" t="s">
        <v>1965</v>
      </c>
    </row>
    <row r="569" spans="1:13" x14ac:dyDescent="0.25">
      <c r="A569" s="9" t="s">
        <v>1685</v>
      </c>
      <c r="B569" s="9" t="str">
        <f t="shared" si="10"/>
        <v>00024605281KOVR</v>
      </c>
      <c r="C569" t="s">
        <v>588</v>
      </c>
      <c r="D569" t="s">
        <v>55</v>
      </c>
      <c r="E569">
        <v>20411454</v>
      </c>
      <c r="F569" t="s">
        <v>1993</v>
      </c>
      <c r="G569" t="s">
        <v>50</v>
      </c>
      <c r="H569" s="1">
        <v>46023</v>
      </c>
      <c r="I569" s="2">
        <v>175</v>
      </c>
      <c r="J569">
        <v>1</v>
      </c>
      <c r="K569" s="2">
        <v>175</v>
      </c>
      <c r="M569" t="s">
        <v>1965</v>
      </c>
    </row>
    <row r="570" spans="1:13" x14ac:dyDescent="0.25">
      <c r="A570" s="9" t="s">
        <v>1687</v>
      </c>
      <c r="B570" s="9" t="str">
        <f t="shared" si="10"/>
        <v>00024610987KOVR</v>
      </c>
      <c r="C570" t="s">
        <v>592</v>
      </c>
      <c r="D570" t="s">
        <v>55</v>
      </c>
      <c r="E570">
        <v>20411454</v>
      </c>
      <c r="F570" t="s">
        <v>1993</v>
      </c>
      <c r="G570" t="s">
        <v>50</v>
      </c>
      <c r="H570" s="1">
        <v>46023</v>
      </c>
      <c r="I570" s="2">
        <v>175</v>
      </c>
      <c r="J570">
        <v>1</v>
      </c>
      <c r="K570" s="2">
        <v>175</v>
      </c>
      <c r="M570" t="s">
        <v>1965</v>
      </c>
    </row>
    <row r="571" spans="1:13" x14ac:dyDescent="0.25">
      <c r="A571" s="9" t="s">
        <v>1690</v>
      </c>
      <c r="B571" s="9" t="str">
        <f t="shared" si="10"/>
        <v>00024616017KOVR</v>
      </c>
      <c r="C571" t="s">
        <v>598</v>
      </c>
      <c r="D571" t="s">
        <v>55</v>
      </c>
      <c r="E571">
        <v>20411454</v>
      </c>
      <c r="F571" t="s">
        <v>1993</v>
      </c>
      <c r="G571" t="s">
        <v>50</v>
      </c>
      <c r="H571" s="1">
        <v>46023</v>
      </c>
      <c r="I571" s="2">
        <v>175</v>
      </c>
      <c r="J571">
        <v>1</v>
      </c>
      <c r="K571" s="2">
        <v>175</v>
      </c>
      <c r="M571" t="s">
        <v>1965</v>
      </c>
    </row>
    <row r="572" spans="1:13" x14ac:dyDescent="0.25">
      <c r="A572" s="9" t="s">
        <v>1691</v>
      </c>
      <c r="B572" s="9" t="str">
        <f t="shared" si="10"/>
        <v>00024616581KOVR</v>
      </c>
      <c r="C572" t="s">
        <v>602</v>
      </c>
      <c r="D572" t="s">
        <v>55</v>
      </c>
      <c r="E572">
        <v>20411454</v>
      </c>
      <c r="F572" t="s">
        <v>1993</v>
      </c>
      <c r="G572" t="s">
        <v>50</v>
      </c>
      <c r="H572" s="1">
        <v>46023</v>
      </c>
      <c r="I572" s="2">
        <v>175</v>
      </c>
      <c r="J572">
        <v>1</v>
      </c>
      <c r="K572" s="2">
        <v>175</v>
      </c>
      <c r="M572" t="s">
        <v>1965</v>
      </c>
    </row>
    <row r="573" spans="1:13" x14ac:dyDescent="0.25">
      <c r="A573" s="9" t="s">
        <v>1692</v>
      </c>
      <c r="B573" s="9" t="str">
        <f t="shared" si="10"/>
        <v>00024616734KOVR</v>
      </c>
      <c r="C573" t="s">
        <v>604</v>
      </c>
      <c r="D573" t="s">
        <v>55</v>
      </c>
      <c r="E573">
        <v>20411454</v>
      </c>
      <c r="F573" t="s">
        <v>1993</v>
      </c>
      <c r="G573" t="s">
        <v>50</v>
      </c>
      <c r="H573" s="1">
        <v>46023</v>
      </c>
      <c r="I573" s="2">
        <v>175</v>
      </c>
      <c r="J573">
        <v>1</v>
      </c>
      <c r="K573" s="2">
        <v>175</v>
      </c>
      <c r="M573" t="s">
        <v>1965</v>
      </c>
    </row>
    <row r="574" spans="1:13" x14ac:dyDescent="0.25">
      <c r="A574" s="9" t="s">
        <v>1694</v>
      </c>
      <c r="B574" s="9" t="str">
        <f t="shared" si="10"/>
        <v>00024621362KOVR</v>
      </c>
      <c r="C574" t="s">
        <v>608</v>
      </c>
      <c r="D574" t="s">
        <v>55</v>
      </c>
      <c r="E574">
        <v>20411454</v>
      </c>
      <c r="F574" t="s">
        <v>1993</v>
      </c>
      <c r="G574" t="s">
        <v>50</v>
      </c>
      <c r="H574" s="1">
        <v>46023</v>
      </c>
      <c r="I574" s="2">
        <v>175</v>
      </c>
      <c r="J574">
        <v>1</v>
      </c>
      <c r="K574" s="2">
        <v>175</v>
      </c>
      <c r="M574" t="s">
        <v>1965</v>
      </c>
    </row>
    <row r="575" spans="1:13" x14ac:dyDescent="0.25">
      <c r="A575" s="9" t="s">
        <v>1696</v>
      </c>
      <c r="B575" s="9" t="str">
        <f t="shared" si="10"/>
        <v>00024621917KOVR</v>
      </c>
      <c r="C575" t="s">
        <v>612</v>
      </c>
      <c r="D575" t="s">
        <v>55</v>
      </c>
      <c r="E575">
        <v>20411454</v>
      </c>
      <c r="F575" t="s">
        <v>1993</v>
      </c>
      <c r="G575" t="s">
        <v>50</v>
      </c>
      <c r="H575" s="1">
        <v>46023</v>
      </c>
      <c r="I575" s="2">
        <v>175</v>
      </c>
      <c r="J575">
        <v>1</v>
      </c>
      <c r="K575" s="2">
        <v>175</v>
      </c>
      <c r="M575" t="s">
        <v>1965</v>
      </c>
    </row>
    <row r="576" spans="1:13" x14ac:dyDescent="0.25">
      <c r="A576" s="9" t="s">
        <v>1700</v>
      </c>
      <c r="B576" s="9" t="str">
        <f t="shared" si="10"/>
        <v>00024627156KOVR</v>
      </c>
      <c r="C576" t="s">
        <v>620</v>
      </c>
      <c r="D576" t="s">
        <v>72</v>
      </c>
      <c r="E576">
        <v>20411454</v>
      </c>
      <c r="F576" t="s">
        <v>1993</v>
      </c>
      <c r="G576" t="s">
        <v>50</v>
      </c>
      <c r="H576" s="1">
        <v>46023</v>
      </c>
      <c r="I576" s="2">
        <v>175</v>
      </c>
      <c r="J576">
        <v>1</v>
      </c>
      <c r="K576" s="2">
        <v>175</v>
      </c>
      <c r="M576" t="s">
        <v>1965</v>
      </c>
    </row>
    <row r="577" spans="1:13" x14ac:dyDescent="0.25">
      <c r="A577" s="9" t="s">
        <v>1704</v>
      </c>
      <c r="B577" s="9" t="str">
        <f t="shared" si="10"/>
        <v>00024629029KOVR</v>
      </c>
      <c r="C577" t="s">
        <v>630</v>
      </c>
      <c r="D577" t="s">
        <v>295</v>
      </c>
      <c r="E577">
        <v>20411454</v>
      </c>
      <c r="F577" t="s">
        <v>1993</v>
      </c>
      <c r="G577" t="s">
        <v>50</v>
      </c>
      <c r="H577" s="1">
        <v>46023</v>
      </c>
      <c r="I577" s="2">
        <v>175</v>
      </c>
      <c r="J577">
        <v>1</v>
      </c>
      <c r="K577" s="2">
        <v>175</v>
      </c>
      <c r="M577" t="s">
        <v>1965</v>
      </c>
    </row>
    <row r="578" spans="1:13" x14ac:dyDescent="0.25">
      <c r="A578" s="9" t="s">
        <v>1705</v>
      </c>
      <c r="B578" s="9" t="str">
        <f t="shared" si="10"/>
        <v>00024630110KOVR</v>
      </c>
      <c r="C578" t="s">
        <v>632</v>
      </c>
      <c r="D578" t="s">
        <v>55</v>
      </c>
      <c r="E578">
        <v>20411454</v>
      </c>
      <c r="F578" t="s">
        <v>1993</v>
      </c>
      <c r="G578" t="s">
        <v>50</v>
      </c>
      <c r="H578" s="1">
        <v>45992</v>
      </c>
      <c r="I578" s="2">
        <v>175</v>
      </c>
      <c r="J578">
        <v>1</v>
      </c>
      <c r="K578" s="2">
        <v>175</v>
      </c>
      <c r="M578" t="s">
        <v>1965</v>
      </c>
    </row>
    <row r="579" spans="1:13" x14ac:dyDescent="0.25">
      <c r="A579" s="9" t="s">
        <v>1708</v>
      </c>
      <c r="B579" s="9" t="str">
        <f t="shared" si="10"/>
        <v>00024631636KOVR</v>
      </c>
      <c r="C579" t="s">
        <v>638</v>
      </c>
      <c r="D579" t="s">
        <v>246</v>
      </c>
      <c r="E579">
        <v>20411454</v>
      </c>
      <c r="F579" t="s">
        <v>1993</v>
      </c>
      <c r="G579" t="s">
        <v>50</v>
      </c>
      <c r="H579" s="1">
        <v>46023</v>
      </c>
      <c r="I579" s="2">
        <v>175</v>
      </c>
      <c r="J579">
        <v>1</v>
      </c>
      <c r="K579" s="2">
        <v>175</v>
      </c>
      <c r="M579" t="s">
        <v>1965</v>
      </c>
    </row>
    <row r="580" spans="1:13" x14ac:dyDescent="0.25">
      <c r="A580" s="9" t="s">
        <v>1709</v>
      </c>
      <c r="B580" s="9" t="str">
        <f t="shared" si="10"/>
        <v>00024633522KOVR</v>
      </c>
      <c r="C580" t="s">
        <v>640</v>
      </c>
      <c r="D580" t="s">
        <v>55</v>
      </c>
      <c r="E580">
        <v>20411454</v>
      </c>
      <c r="F580" t="s">
        <v>1993</v>
      </c>
      <c r="G580" t="s">
        <v>50</v>
      </c>
      <c r="H580" s="1">
        <v>46023</v>
      </c>
      <c r="I580" s="2">
        <v>175</v>
      </c>
      <c r="J580">
        <v>1</v>
      </c>
      <c r="K580" s="2">
        <v>175</v>
      </c>
      <c r="M580" t="s">
        <v>1965</v>
      </c>
    </row>
    <row r="581" spans="1:13" x14ac:dyDescent="0.25">
      <c r="A581" s="9" t="s">
        <v>1711</v>
      </c>
      <c r="B581" s="9" t="str">
        <f t="shared" si="10"/>
        <v>00024637755KOVR</v>
      </c>
      <c r="C581" t="s">
        <v>644</v>
      </c>
      <c r="D581" t="s">
        <v>55</v>
      </c>
      <c r="E581">
        <v>20411454</v>
      </c>
      <c r="F581" t="s">
        <v>1993</v>
      </c>
      <c r="G581" t="s">
        <v>50</v>
      </c>
      <c r="H581" s="1">
        <v>46023</v>
      </c>
      <c r="I581" s="2">
        <v>175</v>
      </c>
      <c r="J581">
        <v>1</v>
      </c>
      <c r="K581" s="2">
        <v>175</v>
      </c>
      <c r="M581" t="s">
        <v>1965</v>
      </c>
    </row>
    <row r="582" spans="1:13" x14ac:dyDescent="0.25">
      <c r="A582" s="9" t="s">
        <v>1713</v>
      </c>
      <c r="B582" s="9" t="str">
        <f t="shared" si="10"/>
        <v>00024639182KOVR</v>
      </c>
      <c r="C582" t="s">
        <v>647</v>
      </c>
      <c r="D582" t="s">
        <v>147</v>
      </c>
      <c r="E582">
        <v>20411454</v>
      </c>
      <c r="F582" t="s">
        <v>1993</v>
      </c>
      <c r="G582" t="s">
        <v>50</v>
      </c>
      <c r="H582" s="1">
        <v>46023</v>
      </c>
      <c r="I582" s="2">
        <v>175</v>
      </c>
      <c r="J582">
        <v>1</v>
      </c>
      <c r="K582" s="2">
        <v>175</v>
      </c>
      <c r="M582" t="s">
        <v>1965</v>
      </c>
    </row>
    <row r="583" spans="1:13" x14ac:dyDescent="0.25">
      <c r="A583" s="9" t="s">
        <v>1714</v>
      </c>
      <c r="B583" s="9" t="str">
        <f t="shared" si="10"/>
        <v>00024639536KOVR</v>
      </c>
      <c r="C583" t="s">
        <v>649</v>
      </c>
      <c r="D583" t="s">
        <v>55</v>
      </c>
      <c r="E583">
        <v>20411454</v>
      </c>
      <c r="F583" t="s">
        <v>1993</v>
      </c>
      <c r="G583" t="s">
        <v>50</v>
      </c>
      <c r="H583" s="1">
        <v>46023</v>
      </c>
      <c r="I583" s="2">
        <v>175</v>
      </c>
      <c r="J583">
        <v>1</v>
      </c>
      <c r="K583" s="2">
        <v>175</v>
      </c>
      <c r="M583" t="s">
        <v>1965</v>
      </c>
    </row>
    <row r="584" spans="1:13" x14ac:dyDescent="0.25">
      <c r="A584" s="9" t="s">
        <v>1715</v>
      </c>
      <c r="B584" s="9" t="str">
        <f t="shared" si="10"/>
        <v>00024641788KOVR</v>
      </c>
      <c r="C584" t="s">
        <v>651</v>
      </c>
      <c r="D584" t="s">
        <v>55</v>
      </c>
      <c r="E584">
        <v>20411454</v>
      </c>
      <c r="F584" t="s">
        <v>1993</v>
      </c>
      <c r="G584" t="s">
        <v>50</v>
      </c>
      <c r="H584" s="1">
        <v>46023</v>
      </c>
      <c r="I584" s="2">
        <v>175</v>
      </c>
      <c r="J584">
        <v>1</v>
      </c>
      <c r="K584" s="2">
        <v>175</v>
      </c>
      <c r="M584" t="s">
        <v>1965</v>
      </c>
    </row>
    <row r="585" spans="1:13" x14ac:dyDescent="0.25">
      <c r="A585" s="9" t="s">
        <v>1721</v>
      </c>
      <c r="B585" s="9" t="str">
        <f t="shared" si="10"/>
        <v>00024645637KOVR</v>
      </c>
      <c r="C585" t="s">
        <v>665</v>
      </c>
      <c r="D585" t="s">
        <v>55</v>
      </c>
      <c r="E585">
        <v>20411454</v>
      </c>
      <c r="F585" t="s">
        <v>1993</v>
      </c>
      <c r="G585" t="s">
        <v>50</v>
      </c>
      <c r="H585" s="1">
        <v>46023</v>
      </c>
      <c r="I585" s="2">
        <v>175</v>
      </c>
      <c r="J585">
        <v>1</v>
      </c>
      <c r="K585" s="2">
        <v>175</v>
      </c>
      <c r="M585" t="s">
        <v>1965</v>
      </c>
    </row>
    <row r="586" spans="1:13" x14ac:dyDescent="0.25">
      <c r="A586" s="9" t="s">
        <v>1723</v>
      </c>
      <c r="B586" s="9" t="str">
        <f t="shared" si="10"/>
        <v>00024646124KOVR</v>
      </c>
      <c r="C586" t="s">
        <v>671</v>
      </c>
      <c r="D586" t="s">
        <v>72</v>
      </c>
      <c r="E586">
        <v>20411454</v>
      </c>
      <c r="F586" t="s">
        <v>1993</v>
      </c>
      <c r="G586" t="s">
        <v>50</v>
      </c>
      <c r="H586" s="1">
        <v>46023</v>
      </c>
      <c r="I586" s="2">
        <v>175</v>
      </c>
      <c r="J586">
        <v>1</v>
      </c>
      <c r="K586" s="2">
        <v>175</v>
      </c>
      <c r="M586" t="s">
        <v>1965</v>
      </c>
    </row>
    <row r="587" spans="1:13" x14ac:dyDescent="0.25">
      <c r="A587" s="9" t="s">
        <v>1725</v>
      </c>
      <c r="B587" s="9" t="str">
        <f t="shared" si="10"/>
        <v>00024649182KOVR</v>
      </c>
      <c r="C587" t="s">
        <v>675</v>
      </c>
      <c r="D587" t="s">
        <v>55</v>
      </c>
      <c r="E587">
        <v>20411454</v>
      </c>
      <c r="F587" t="s">
        <v>1993</v>
      </c>
      <c r="G587" t="s">
        <v>50</v>
      </c>
      <c r="H587" s="1">
        <v>46023</v>
      </c>
      <c r="I587" s="2">
        <v>175</v>
      </c>
      <c r="J587">
        <v>1</v>
      </c>
      <c r="K587" s="2">
        <v>175</v>
      </c>
      <c r="M587" t="s">
        <v>1965</v>
      </c>
    </row>
    <row r="588" spans="1:13" x14ac:dyDescent="0.25">
      <c r="A588" s="9" t="s">
        <v>1726</v>
      </c>
      <c r="B588" s="9" t="str">
        <f t="shared" si="10"/>
        <v>00024652735KOVR</v>
      </c>
      <c r="C588" t="s">
        <v>677</v>
      </c>
      <c r="D588" t="s">
        <v>55</v>
      </c>
      <c r="E588">
        <v>20411454</v>
      </c>
      <c r="F588" t="s">
        <v>1993</v>
      </c>
      <c r="G588" t="s">
        <v>50</v>
      </c>
      <c r="H588" s="1">
        <v>46023</v>
      </c>
      <c r="I588" s="2">
        <v>175</v>
      </c>
      <c r="J588">
        <v>1</v>
      </c>
      <c r="K588" s="2">
        <v>175</v>
      </c>
      <c r="M588" t="s">
        <v>1965</v>
      </c>
    </row>
    <row r="589" spans="1:13" x14ac:dyDescent="0.25">
      <c r="A589" s="9" t="s">
        <v>1727</v>
      </c>
      <c r="B589" s="9" t="str">
        <f t="shared" si="10"/>
        <v>00024654020KOVR</v>
      </c>
      <c r="C589" t="s">
        <v>679</v>
      </c>
      <c r="D589" t="s">
        <v>55</v>
      </c>
      <c r="E589">
        <v>20411454</v>
      </c>
      <c r="F589" t="s">
        <v>1993</v>
      </c>
      <c r="G589" t="s">
        <v>50</v>
      </c>
      <c r="H589" s="1">
        <v>46023</v>
      </c>
      <c r="I589" s="2">
        <v>175</v>
      </c>
      <c r="J589">
        <v>1</v>
      </c>
      <c r="K589" s="2">
        <v>175</v>
      </c>
      <c r="M589" t="s">
        <v>1965</v>
      </c>
    </row>
    <row r="590" spans="1:13" x14ac:dyDescent="0.25">
      <c r="A590" s="9" t="s">
        <v>1728</v>
      </c>
      <c r="B590" s="9" t="str">
        <f t="shared" si="10"/>
        <v>00024654109KOVR</v>
      </c>
      <c r="C590" t="s">
        <v>681</v>
      </c>
      <c r="D590" t="s">
        <v>55</v>
      </c>
      <c r="E590">
        <v>20411454</v>
      </c>
      <c r="F590" t="s">
        <v>1993</v>
      </c>
      <c r="G590" t="s">
        <v>50</v>
      </c>
      <c r="H590" s="1">
        <v>46023</v>
      </c>
      <c r="I590" s="2">
        <v>175</v>
      </c>
      <c r="J590">
        <v>1</v>
      </c>
      <c r="K590" s="2">
        <v>175</v>
      </c>
      <c r="M590" t="s">
        <v>1965</v>
      </c>
    </row>
    <row r="591" spans="1:13" x14ac:dyDescent="0.25">
      <c r="A591" s="9" t="s">
        <v>1729</v>
      </c>
      <c r="B591" s="9" t="str">
        <f t="shared" si="10"/>
        <v>00024654424KOVR</v>
      </c>
      <c r="C591" t="s">
        <v>683</v>
      </c>
      <c r="D591" t="s">
        <v>55</v>
      </c>
      <c r="E591">
        <v>20411454</v>
      </c>
      <c r="F591" t="s">
        <v>1993</v>
      </c>
      <c r="G591" t="s">
        <v>50</v>
      </c>
      <c r="H591" s="1">
        <v>46023</v>
      </c>
      <c r="I591" s="2">
        <v>175</v>
      </c>
      <c r="J591">
        <v>1</v>
      </c>
      <c r="K591" s="2">
        <v>175</v>
      </c>
      <c r="M591" t="s">
        <v>1965</v>
      </c>
    </row>
    <row r="592" spans="1:13" x14ac:dyDescent="0.25">
      <c r="A592" s="9" t="s">
        <v>1730</v>
      </c>
      <c r="B592" s="9" t="str">
        <f t="shared" si="10"/>
        <v>00024654868KOVR</v>
      </c>
      <c r="C592" t="s">
        <v>685</v>
      </c>
      <c r="D592" t="s">
        <v>55</v>
      </c>
      <c r="E592">
        <v>20411454</v>
      </c>
      <c r="F592" t="s">
        <v>1993</v>
      </c>
      <c r="G592" t="s">
        <v>50</v>
      </c>
      <c r="H592" s="1">
        <v>46023</v>
      </c>
      <c r="I592" s="2">
        <v>175</v>
      </c>
      <c r="J592">
        <v>1</v>
      </c>
      <c r="K592" s="2">
        <v>175</v>
      </c>
      <c r="M592" t="s">
        <v>1965</v>
      </c>
    </row>
    <row r="593" spans="1:13" x14ac:dyDescent="0.25">
      <c r="A593" s="9" t="s">
        <v>1733</v>
      </c>
      <c r="B593" s="9" t="str">
        <f t="shared" si="10"/>
        <v>00024659109KOVR</v>
      </c>
      <c r="C593" t="s">
        <v>691</v>
      </c>
      <c r="D593" t="s">
        <v>55</v>
      </c>
      <c r="E593">
        <v>20411454</v>
      </c>
      <c r="F593" t="s">
        <v>1993</v>
      </c>
      <c r="G593" t="s">
        <v>50</v>
      </c>
      <c r="H593" s="1">
        <v>46023</v>
      </c>
      <c r="I593" s="2">
        <v>175</v>
      </c>
      <c r="J593">
        <v>1</v>
      </c>
      <c r="K593" s="2">
        <v>175</v>
      </c>
      <c r="M593" t="s">
        <v>1965</v>
      </c>
    </row>
    <row r="594" spans="1:13" x14ac:dyDescent="0.25">
      <c r="A594" s="9" t="s">
        <v>1734</v>
      </c>
      <c r="B594" s="9" t="str">
        <f t="shared" si="10"/>
        <v>00024661899KOVR</v>
      </c>
      <c r="C594" t="s">
        <v>693</v>
      </c>
      <c r="D594" t="s">
        <v>55</v>
      </c>
      <c r="E594">
        <v>20411454</v>
      </c>
      <c r="F594" t="s">
        <v>1993</v>
      </c>
      <c r="G594" t="s">
        <v>50</v>
      </c>
      <c r="H594" s="1">
        <v>46023</v>
      </c>
      <c r="I594" s="2">
        <v>175</v>
      </c>
      <c r="J594">
        <v>1</v>
      </c>
      <c r="K594" s="2">
        <v>175</v>
      </c>
      <c r="M594" t="s">
        <v>1965</v>
      </c>
    </row>
    <row r="595" spans="1:13" x14ac:dyDescent="0.25">
      <c r="A595" s="9" t="s">
        <v>1735</v>
      </c>
      <c r="B595" s="9" t="str">
        <f t="shared" si="10"/>
        <v>00024662630KOVR</v>
      </c>
      <c r="C595" t="s">
        <v>695</v>
      </c>
      <c r="D595" t="s">
        <v>696</v>
      </c>
      <c r="E595">
        <v>20411454</v>
      </c>
      <c r="F595" t="s">
        <v>1993</v>
      </c>
      <c r="G595" t="s">
        <v>50</v>
      </c>
      <c r="H595" s="1">
        <v>46023</v>
      </c>
      <c r="I595" s="2">
        <v>175</v>
      </c>
      <c r="J595">
        <v>1</v>
      </c>
      <c r="K595" s="2">
        <v>175</v>
      </c>
      <c r="M595" t="s">
        <v>1965</v>
      </c>
    </row>
    <row r="596" spans="1:13" x14ac:dyDescent="0.25">
      <c r="A596" s="9" t="s">
        <v>1736</v>
      </c>
      <c r="B596" s="9" t="str">
        <f t="shared" si="10"/>
        <v>00024662650KOVR</v>
      </c>
      <c r="C596" t="s">
        <v>698</v>
      </c>
      <c r="D596" t="s">
        <v>46</v>
      </c>
      <c r="E596">
        <v>20411454</v>
      </c>
      <c r="F596" t="s">
        <v>1993</v>
      </c>
      <c r="G596" t="s">
        <v>50</v>
      </c>
      <c r="H596" s="1">
        <v>46023</v>
      </c>
      <c r="I596" s="2">
        <v>175</v>
      </c>
      <c r="J596">
        <v>1</v>
      </c>
      <c r="K596" s="2">
        <v>175</v>
      </c>
      <c r="M596" t="s">
        <v>1965</v>
      </c>
    </row>
    <row r="597" spans="1:13" x14ac:dyDescent="0.25">
      <c r="A597" s="9" t="s">
        <v>1737</v>
      </c>
      <c r="B597" s="9" t="str">
        <f t="shared" si="10"/>
        <v>00024663652KOVR</v>
      </c>
      <c r="C597" t="s">
        <v>700</v>
      </c>
      <c r="D597" t="s">
        <v>55</v>
      </c>
      <c r="E597">
        <v>20411454</v>
      </c>
      <c r="F597" t="s">
        <v>1993</v>
      </c>
      <c r="G597" t="s">
        <v>50</v>
      </c>
      <c r="H597" s="1">
        <v>46023</v>
      </c>
      <c r="I597" s="2">
        <v>175</v>
      </c>
      <c r="J597">
        <v>1</v>
      </c>
      <c r="K597" s="2">
        <v>175</v>
      </c>
      <c r="M597" t="s">
        <v>1965</v>
      </c>
    </row>
    <row r="598" spans="1:13" x14ac:dyDescent="0.25">
      <c r="A598" s="9" t="s">
        <v>1738</v>
      </c>
      <c r="B598" s="9" t="str">
        <f t="shared" si="10"/>
        <v>00024664095KOVR</v>
      </c>
      <c r="C598" t="s">
        <v>702</v>
      </c>
      <c r="D598" t="s">
        <v>55</v>
      </c>
      <c r="E598">
        <v>20411454</v>
      </c>
      <c r="F598" t="s">
        <v>1993</v>
      </c>
      <c r="G598" t="s">
        <v>50</v>
      </c>
      <c r="H598" s="1">
        <v>46023</v>
      </c>
      <c r="I598" s="2">
        <v>175</v>
      </c>
      <c r="J598">
        <v>1</v>
      </c>
      <c r="K598" s="2">
        <v>175</v>
      </c>
      <c r="M598" t="s">
        <v>1965</v>
      </c>
    </row>
    <row r="599" spans="1:13" x14ac:dyDescent="0.25">
      <c r="A599" s="9" t="s">
        <v>1739</v>
      </c>
      <c r="B599" s="9" t="str">
        <f t="shared" si="10"/>
        <v>00024669704KOVR</v>
      </c>
      <c r="C599" t="s">
        <v>704</v>
      </c>
      <c r="D599" t="s">
        <v>183</v>
      </c>
      <c r="E599">
        <v>20411454</v>
      </c>
      <c r="F599" t="s">
        <v>1993</v>
      </c>
      <c r="G599" t="s">
        <v>50</v>
      </c>
      <c r="H599" s="1">
        <v>46023</v>
      </c>
      <c r="I599" s="2">
        <v>175</v>
      </c>
      <c r="J599">
        <v>1</v>
      </c>
      <c r="K599" s="2">
        <v>175</v>
      </c>
      <c r="M599" t="s">
        <v>1965</v>
      </c>
    </row>
    <row r="600" spans="1:13" x14ac:dyDescent="0.25">
      <c r="A600" s="9" t="s">
        <v>1740</v>
      </c>
      <c r="B600" s="9" t="str">
        <f t="shared" si="10"/>
        <v>00024670822KOVR</v>
      </c>
      <c r="C600" t="s">
        <v>706</v>
      </c>
      <c r="D600" t="s">
        <v>55</v>
      </c>
      <c r="E600">
        <v>20411454</v>
      </c>
      <c r="F600" t="s">
        <v>1993</v>
      </c>
      <c r="G600" t="s">
        <v>50</v>
      </c>
      <c r="H600" s="1">
        <v>46023</v>
      </c>
      <c r="I600" s="2">
        <v>175</v>
      </c>
      <c r="J600">
        <v>1</v>
      </c>
      <c r="K600" s="2">
        <v>175</v>
      </c>
      <c r="M600" t="s">
        <v>1965</v>
      </c>
    </row>
    <row r="601" spans="1:13" x14ac:dyDescent="0.25">
      <c r="A601" s="9" t="s">
        <v>1741</v>
      </c>
      <c r="B601" s="9" t="str">
        <f t="shared" si="10"/>
        <v>00024670968KOVR</v>
      </c>
      <c r="C601" t="s">
        <v>708</v>
      </c>
      <c r="D601" t="s">
        <v>55</v>
      </c>
      <c r="E601">
        <v>20411454</v>
      </c>
      <c r="F601" t="s">
        <v>1993</v>
      </c>
      <c r="G601" t="s">
        <v>50</v>
      </c>
      <c r="H601" s="1">
        <v>46023</v>
      </c>
      <c r="I601" s="2">
        <v>175</v>
      </c>
      <c r="J601">
        <v>1</v>
      </c>
      <c r="K601" s="2">
        <v>175</v>
      </c>
      <c r="M601" t="s">
        <v>1965</v>
      </c>
    </row>
    <row r="602" spans="1:13" x14ac:dyDescent="0.25">
      <c r="A602" s="9" t="s">
        <v>1742</v>
      </c>
      <c r="B602" s="9" t="str">
        <f t="shared" si="10"/>
        <v>00024671269KOVR</v>
      </c>
      <c r="C602" t="s">
        <v>710</v>
      </c>
      <c r="D602" t="s">
        <v>246</v>
      </c>
      <c r="E602">
        <v>20411454</v>
      </c>
      <c r="F602" t="s">
        <v>1993</v>
      </c>
      <c r="G602" t="s">
        <v>50</v>
      </c>
      <c r="H602" s="1">
        <v>46023</v>
      </c>
      <c r="I602" s="2">
        <v>175</v>
      </c>
      <c r="J602">
        <v>1</v>
      </c>
      <c r="K602" s="2">
        <v>175</v>
      </c>
      <c r="M602" t="s">
        <v>1965</v>
      </c>
    </row>
    <row r="603" spans="1:13" x14ac:dyDescent="0.25">
      <c r="A603" s="9" t="s">
        <v>1743</v>
      </c>
      <c r="B603" s="9" t="str">
        <f t="shared" si="10"/>
        <v>00024672069KOVR</v>
      </c>
      <c r="C603" t="s">
        <v>712</v>
      </c>
      <c r="D603" t="s">
        <v>55</v>
      </c>
      <c r="E603">
        <v>20411454</v>
      </c>
      <c r="F603" t="s">
        <v>1993</v>
      </c>
      <c r="G603" t="s">
        <v>50</v>
      </c>
      <c r="H603" s="1">
        <v>45992</v>
      </c>
      <c r="I603" s="2">
        <v>175</v>
      </c>
      <c r="J603">
        <v>1</v>
      </c>
      <c r="K603" s="2">
        <v>175</v>
      </c>
      <c r="M603" t="s">
        <v>1965</v>
      </c>
    </row>
    <row r="604" spans="1:13" x14ac:dyDescent="0.25">
      <c r="A604" s="9" t="s">
        <v>1744</v>
      </c>
      <c r="B604" s="9" t="str">
        <f t="shared" si="10"/>
        <v>00024672561KOVR</v>
      </c>
      <c r="C604" t="s">
        <v>714</v>
      </c>
      <c r="D604" t="s">
        <v>246</v>
      </c>
      <c r="E604">
        <v>20411454</v>
      </c>
      <c r="F604" t="s">
        <v>1993</v>
      </c>
      <c r="G604" t="s">
        <v>50</v>
      </c>
      <c r="H604" s="1">
        <v>46023</v>
      </c>
      <c r="I604" s="2">
        <v>175</v>
      </c>
      <c r="J604">
        <v>1</v>
      </c>
      <c r="K604" s="2">
        <v>175</v>
      </c>
      <c r="M604" t="s">
        <v>1965</v>
      </c>
    </row>
    <row r="605" spans="1:13" x14ac:dyDescent="0.25">
      <c r="A605" s="9" t="s">
        <v>1745</v>
      </c>
      <c r="B605" s="9" t="str">
        <f t="shared" si="10"/>
        <v>00024674419KOVR</v>
      </c>
      <c r="C605" t="s">
        <v>716</v>
      </c>
      <c r="D605" t="s">
        <v>55</v>
      </c>
      <c r="E605">
        <v>20411454</v>
      </c>
      <c r="F605" t="s">
        <v>1993</v>
      </c>
      <c r="G605" t="s">
        <v>50</v>
      </c>
      <c r="H605" s="1">
        <v>46023</v>
      </c>
      <c r="I605" s="2">
        <v>175</v>
      </c>
      <c r="J605">
        <v>1</v>
      </c>
      <c r="K605" s="2">
        <v>175</v>
      </c>
      <c r="M605" t="s">
        <v>1965</v>
      </c>
    </row>
    <row r="606" spans="1:13" x14ac:dyDescent="0.25">
      <c r="A606" s="9" t="s">
        <v>1746</v>
      </c>
      <c r="B606" s="9" t="str">
        <f t="shared" si="10"/>
        <v>00024675187KOVR</v>
      </c>
      <c r="C606" t="s">
        <v>718</v>
      </c>
      <c r="D606" t="s">
        <v>278</v>
      </c>
      <c r="E606">
        <v>20411454</v>
      </c>
      <c r="F606" t="s">
        <v>1993</v>
      </c>
      <c r="G606" t="s">
        <v>50</v>
      </c>
      <c r="H606" s="1">
        <v>46023</v>
      </c>
      <c r="I606" s="2">
        <v>175</v>
      </c>
      <c r="J606">
        <v>1</v>
      </c>
      <c r="K606" s="2">
        <v>175</v>
      </c>
      <c r="M606" t="s">
        <v>1965</v>
      </c>
    </row>
    <row r="607" spans="1:13" x14ac:dyDescent="0.25">
      <c r="A607" s="9" t="s">
        <v>1747</v>
      </c>
      <c r="B607" s="9" t="str">
        <f t="shared" si="10"/>
        <v>00024676294KOVR</v>
      </c>
      <c r="C607" t="s">
        <v>720</v>
      </c>
      <c r="D607" t="s">
        <v>55</v>
      </c>
      <c r="E607">
        <v>20411454</v>
      </c>
      <c r="F607" t="s">
        <v>1993</v>
      </c>
      <c r="G607" t="s">
        <v>50</v>
      </c>
      <c r="H607" s="1">
        <v>46023</v>
      </c>
      <c r="I607" s="2">
        <v>175</v>
      </c>
      <c r="J607">
        <v>1</v>
      </c>
      <c r="K607" s="2">
        <v>175</v>
      </c>
      <c r="M607" t="s">
        <v>1965</v>
      </c>
    </row>
    <row r="608" spans="1:13" x14ac:dyDescent="0.25">
      <c r="A608" s="9" t="s">
        <v>1748</v>
      </c>
      <c r="B608" s="9" t="str">
        <f t="shared" si="10"/>
        <v>00024680423KOVR</v>
      </c>
      <c r="C608" t="s">
        <v>722</v>
      </c>
      <c r="D608" t="s">
        <v>55</v>
      </c>
      <c r="E608">
        <v>20411454</v>
      </c>
      <c r="F608" t="s">
        <v>1993</v>
      </c>
      <c r="G608" t="s">
        <v>50</v>
      </c>
      <c r="H608" s="1">
        <v>46054</v>
      </c>
      <c r="I608" s="2">
        <v>175</v>
      </c>
      <c r="J608">
        <v>1</v>
      </c>
      <c r="K608" s="2">
        <v>175</v>
      </c>
      <c r="M608" t="s">
        <v>1965</v>
      </c>
    </row>
    <row r="609" spans="1:13" x14ac:dyDescent="0.25">
      <c r="A609" s="9" t="s">
        <v>1749</v>
      </c>
      <c r="B609" s="9" t="str">
        <f t="shared" si="10"/>
        <v>00024681663KOVR</v>
      </c>
      <c r="C609" t="s">
        <v>726</v>
      </c>
      <c r="D609" t="s">
        <v>55</v>
      </c>
      <c r="E609">
        <v>20411454</v>
      </c>
      <c r="F609" t="s">
        <v>1993</v>
      </c>
      <c r="G609" t="s">
        <v>50</v>
      </c>
      <c r="H609" s="1">
        <v>46023</v>
      </c>
      <c r="I609" s="2">
        <v>175</v>
      </c>
      <c r="J609">
        <v>1</v>
      </c>
      <c r="K609" s="2">
        <v>175</v>
      </c>
      <c r="M609" t="s">
        <v>1965</v>
      </c>
    </row>
    <row r="610" spans="1:13" x14ac:dyDescent="0.25">
      <c r="A610" s="9" t="s">
        <v>1996</v>
      </c>
      <c r="B610" s="9" t="str">
        <f t="shared" si="10"/>
        <v>00014898474KOVR</v>
      </c>
      <c r="C610" t="s">
        <v>787</v>
      </c>
      <c r="D610" t="s">
        <v>55</v>
      </c>
      <c r="E610">
        <v>20411454</v>
      </c>
      <c r="F610" t="s">
        <v>1993</v>
      </c>
      <c r="G610" t="s">
        <v>50</v>
      </c>
      <c r="H610" s="1">
        <v>46023</v>
      </c>
      <c r="K610">
        <v>-175</v>
      </c>
      <c r="M610" t="s">
        <v>1965</v>
      </c>
    </row>
    <row r="611" spans="1:13" x14ac:dyDescent="0.25">
      <c r="A611" s="9" t="s">
        <v>1997</v>
      </c>
      <c r="B611" s="9" t="str">
        <f t="shared" si="10"/>
        <v>00017904229KOVR</v>
      </c>
      <c r="C611" t="s">
        <v>790</v>
      </c>
      <c r="D611" t="s">
        <v>66</v>
      </c>
      <c r="E611">
        <v>20411454</v>
      </c>
      <c r="F611" t="s">
        <v>1993</v>
      </c>
      <c r="G611" t="s">
        <v>50</v>
      </c>
      <c r="H611" s="1">
        <v>46023</v>
      </c>
      <c r="K611">
        <v>-175</v>
      </c>
      <c r="M611" t="s">
        <v>1965</v>
      </c>
    </row>
    <row r="612" spans="1:13" x14ac:dyDescent="0.25">
      <c r="A612" s="9" t="s">
        <v>1998</v>
      </c>
      <c r="B612" s="9" t="str">
        <f t="shared" si="10"/>
        <v>00019933734KOVR</v>
      </c>
      <c r="C612" t="s">
        <v>792</v>
      </c>
      <c r="D612" t="s">
        <v>89</v>
      </c>
      <c r="E612">
        <v>20411454</v>
      </c>
      <c r="F612" t="s">
        <v>1993</v>
      </c>
      <c r="G612" t="s">
        <v>50</v>
      </c>
      <c r="H612" s="1">
        <v>46023</v>
      </c>
      <c r="K612">
        <v>-175</v>
      </c>
      <c r="M612" t="s">
        <v>1965</v>
      </c>
    </row>
    <row r="613" spans="1:13" x14ac:dyDescent="0.25">
      <c r="A613" s="9" t="s">
        <v>2006</v>
      </c>
      <c r="B613" s="9" t="str">
        <f t="shared" si="10"/>
        <v>00022389298KOVR</v>
      </c>
      <c r="C613" t="s">
        <v>794</v>
      </c>
      <c r="D613" t="s">
        <v>246</v>
      </c>
      <c r="E613">
        <v>20411454</v>
      </c>
      <c r="F613" t="s">
        <v>1993</v>
      </c>
      <c r="G613" t="s">
        <v>50</v>
      </c>
      <c r="H613" s="1">
        <v>45658</v>
      </c>
      <c r="K613">
        <v>-82.04</v>
      </c>
      <c r="M613" t="s">
        <v>1965</v>
      </c>
    </row>
    <row r="614" spans="1:13" x14ac:dyDescent="0.25">
      <c r="A614" s="9" t="s">
        <v>1999</v>
      </c>
      <c r="B614" s="9" t="str">
        <f t="shared" si="10"/>
        <v>00024118388KOVR</v>
      </c>
      <c r="C614" t="s">
        <v>796</v>
      </c>
      <c r="D614" t="s">
        <v>295</v>
      </c>
      <c r="E614">
        <v>20411454</v>
      </c>
      <c r="F614" t="s">
        <v>1993</v>
      </c>
      <c r="G614" t="s">
        <v>50</v>
      </c>
      <c r="H614" s="1">
        <v>46023</v>
      </c>
      <c r="K614">
        <v>-175</v>
      </c>
      <c r="M614" t="s">
        <v>1965</v>
      </c>
    </row>
    <row r="615" spans="1:13" x14ac:dyDescent="0.25">
      <c r="A615" s="9" t="s">
        <v>2000</v>
      </c>
      <c r="B615" s="9" t="str">
        <f t="shared" ref="B615:B678" si="11">CONCATENATE(A615,"OVR")</f>
        <v>00024166424KOVR</v>
      </c>
      <c r="C615" t="s">
        <v>798</v>
      </c>
      <c r="D615" t="s">
        <v>246</v>
      </c>
      <c r="E615">
        <v>20411454</v>
      </c>
      <c r="F615" t="s">
        <v>1993</v>
      </c>
      <c r="G615" t="s">
        <v>50</v>
      </c>
      <c r="H615" s="1">
        <v>46023</v>
      </c>
      <c r="K615">
        <v>-175</v>
      </c>
      <c r="M615" t="s">
        <v>1965</v>
      </c>
    </row>
    <row r="616" spans="1:13" x14ac:dyDescent="0.25">
      <c r="A616" s="9" t="s">
        <v>2001</v>
      </c>
      <c r="B616" s="9" t="str">
        <f t="shared" si="11"/>
        <v>00024251541KOVR</v>
      </c>
      <c r="C616" t="s">
        <v>802</v>
      </c>
      <c r="D616" t="s">
        <v>398</v>
      </c>
      <c r="E616">
        <v>20411454</v>
      </c>
      <c r="F616" t="s">
        <v>1993</v>
      </c>
      <c r="G616" t="s">
        <v>50</v>
      </c>
      <c r="H616" s="1">
        <v>46023</v>
      </c>
      <c r="K616">
        <v>-175</v>
      </c>
      <c r="M616" t="s">
        <v>1965</v>
      </c>
    </row>
    <row r="617" spans="1:13" x14ac:dyDescent="0.25">
      <c r="A617" s="9" t="s">
        <v>2002</v>
      </c>
      <c r="B617" s="9" t="str">
        <f t="shared" si="11"/>
        <v>00024263981KOVR</v>
      </c>
      <c r="C617" t="s">
        <v>804</v>
      </c>
      <c r="D617" t="s">
        <v>398</v>
      </c>
      <c r="E617">
        <v>20411454</v>
      </c>
      <c r="F617" t="s">
        <v>1993</v>
      </c>
      <c r="G617" t="s">
        <v>50</v>
      </c>
      <c r="H617" s="1">
        <v>46023</v>
      </c>
      <c r="K617">
        <v>-175</v>
      </c>
      <c r="M617" t="s">
        <v>1965</v>
      </c>
    </row>
    <row r="618" spans="1:13" x14ac:dyDescent="0.25">
      <c r="A618" s="9" t="s">
        <v>2003</v>
      </c>
      <c r="B618" s="9" t="str">
        <f t="shared" si="11"/>
        <v>00024267849KOVR</v>
      </c>
      <c r="C618" t="s">
        <v>806</v>
      </c>
      <c r="D618" t="s">
        <v>147</v>
      </c>
      <c r="E618">
        <v>20411454</v>
      </c>
      <c r="F618" t="s">
        <v>1993</v>
      </c>
      <c r="G618" t="s">
        <v>50</v>
      </c>
      <c r="H618" s="1">
        <v>46023</v>
      </c>
      <c r="K618">
        <v>-175</v>
      </c>
      <c r="M618" t="s">
        <v>1965</v>
      </c>
    </row>
    <row r="619" spans="1:13" x14ac:dyDescent="0.25">
      <c r="A619" s="9" t="s">
        <v>2004</v>
      </c>
      <c r="B619" s="9" t="str">
        <f t="shared" si="11"/>
        <v>00024308702KOVR</v>
      </c>
      <c r="C619" t="s">
        <v>808</v>
      </c>
      <c r="D619" t="s">
        <v>55</v>
      </c>
      <c r="E619">
        <v>20411454</v>
      </c>
      <c r="F619" t="s">
        <v>1993</v>
      </c>
      <c r="G619" t="s">
        <v>50</v>
      </c>
      <c r="H619" s="1">
        <v>45992</v>
      </c>
      <c r="K619">
        <v>-175</v>
      </c>
      <c r="M619" t="s">
        <v>1965</v>
      </c>
    </row>
    <row r="620" spans="1:13" x14ac:dyDescent="0.25">
      <c r="A620" s="9" t="s">
        <v>1753</v>
      </c>
      <c r="B620" s="9" t="str">
        <f t="shared" si="11"/>
        <v>00000076874FOVR</v>
      </c>
      <c r="C620" t="s">
        <v>813</v>
      </c>
      <c r="D620" t="s">
        <v>784</v>
      </c>
      <c r="E620">
        <v>20411454</v>
      </c>
      <c r="F620" t="s">
        <v>1993</v>
      </c>
      <c r="G620" t="s">
        <v>50</v>
      </c>
      <c r="H620" s="1">
        <v>45597</v>
      </c>
      <c r="I620" s="2">
        <v>1</v>
      </c>
      <c r="K620" s="2">
        <v>9</v>
      </c>
      <c r="L620" t="s">
        <v>815</v>
      </c>
      <c r="M620" t="s">
        <v>1965</v>
      </c>
    </row>
    <row r="621" spans="1:13" x14ac:dyDescent="0.25">
      <c r="A621" s="9" t="s">
        <v>1755</v>
      </c>
      <c r="B621" s="9" t="str">
        <f t="shared" si="11"/>
        <v>00010066661KOVR</v>
      </c>
      <c r="C621" t="s">
        <v>817</v>
      </c>
      <c r="D621" t="s">
        <v>784</v>
      </c>
      <c r="E621">
        <v>20411454</v>
      </c>
      <c r="F621" t="s">
        <v>1993</v>
      </c>
      <c r="G621" t="s">
        <v>50</v>
      </c>
      <c r="H621" s="1">
        <v>45505</v>
      </c>
      <c r="I621" s="2">
        <v>1</v>
      </c>
      <c r="K621" s="2">
        <v>9</v>
      </c>
      <c r="L621" t="s">
        <v>815</v>
      </c>
      <c r="M621" t="s">
        <v>1965</v>
      </c>
    </row>
    <row r="622" spans="1:13" x14ac:dyDescent="0.25">
      <c r="A622" s="9" t="s">
        <v>1495</v>
      </c>
      <c r="B622" s="9" t="str">
        <f t="shared" si="11"/>
        <v>00011182221KOVR</v>
      </c>
      <c r="C622" t="s">
        <v>124</v>
      </c>
      <c r="D622" t="s">
        <v>784</v>
      </c>
      <c r="E622">
        <v>20411454</v>
      </c>
      <c r="F622" t="s">
        <v>1993</v>
      </c>
      <c r="G622" t="s">
        <v>50</v>
      </c>
      <c r="H622" s="1">
        <v>45566</v>
      </c>
      <c r="I622" s="2">
        <v>1</v>
      </c>
      <c r="K622" s="2">
        <v>9</v>
      </c>
      <c r="L622" t="s">
        <v>815</v>
      </c>
      <c r="M622" t="s">
        <v>1965</v>
      </c>
    </row>
    <row r="623" spans="1:13" x14ac:dyDescent="0.25">
      <c r="A623" s="9" t="s">
        <v>1756</v>
      </c>
      <c r="B623" s="9" t="str">
        <f t="shared" si="11"/>
        <v>00011519472KOVR</v>
      </c>
      <c r="C623" t="s">
        <v>818</v>
      </c>
      <c r="D623" t="s">
        <v>784</v>
      </c>
      <c r="E623">
        <v>20411454</v>
      </c>
      <c r="F623" t="s">
        <v>1993</v>
      </c>
      <c r="G623" t="s">
        <v>50</v>
      </c>
      <c r="H623" s="1">
        <v>45597</v>
      </c>
      <c r="I623" s="2">
        <v>1</v>
      </c>
      <c r="K623" s="2">
        <v>9</v>
      </c>
      <c r="L623" t="s">
        <v>815</v>
      </c>
      <c r="M623" t="s">
        <v>1965</v>
      </c>
    </row>
    <row r="624" spans="1:13" x14ac:dyDescent="0.25">
      <c r="A624" s="9" t="s">
        <v>1757</v>
      </c>
      <c r="B624" s="9" t="str">
        <f t="shared" si="11"/>
        <v>00013131759KOVR</v>
      </c>
      <c r="C624" t="s">
        <v>819</v>
      </c>
      <c r="D624" t="s">
        <v>784</v>
      </c>
      <c r="E624">
        <v>20411454</v>
      </c>
      <c r="F624" t="s">
        <v>1993</v>
      </c>
      <c r="G624" t="s">
        <v>50</v>
      </c>
      <c r="H624" s="1">
        <v>45505</v>
      </c>
      <c r="I624" s="2">
        <v>1</v>
      </c>
      <c r="K624" s="2">
        <v>9</v>
      </c>
      <c r="L624" t="s">
        <v>815</v>
      </c>
      <c r="M624" t="s">
        <v>1965</v>
      </c>
    </row>
    <row r="625" spans="1:22" x14ac:dyDescent="0.25">
      <c r="A625" s="9" t="s">
        <v>1758</v>
      </c>
      <c r="B625" s="9" t="str">
        <f t="shared" si="11"/>
        <v>00016845150KOVR</v>
      </c>
      <c r="C625" t="s">
        <v>820</v>
      </c>
      <c r="D625" t="s">
        <v>784</v>
      </c>
      <c r="E625">
        <v>20411454</v>
      </c>
      <c r="F625" t="s">
        <v>1993</v>
      </c>
      <c r="G625" t="s">
        <v>50</v>
      </c>
      <c r="H625" s="1">
        <v>45536</v>
      </c>
      <c r="I625" s="2">
        <v>1</v>
      </c>
      <c r="K625" s="2">
        <v>9</v>
      </c>
      <c r="L625" t="s">
        <v>815</v>
      </c>
      <c r="M625" t="s">
        <v>1965</v>
      </c>
    </row>
    <row r="626" spans="1:22" x14ac:dyDescent="0.25">
      <c r="A626" s="9" t="s">
        <v>1760</v>
      </c>
      <c r="B626" s="9" t="str">
        <f t="shared" si="11"/>
        <v>00018671925KOVR</v>
      </c>
      <c r="C626" t="s">
        <v>822</v>
      </c>
      <c r="D626" t="s">
        <v>784</v>
      </c>
      <c r="E626">
        <v>20411454</v>
      </c>
      <c r="F626" t="s">
        <v>1993</v>
      </c>
      <c r="G626" t="s">
        <v>50</v>
      </c>
      <c r="H626" s="1">
        <v>45597</v>
      </c>
      <c r="I626" s="2">
        <v>1</v>
      </c>
      <c r="K626" s="2">
        <v>9</v>
      </c>
      <c r="L626" t="s">
        <v>815</v>
      </c>
      <c r="M626" t="s">
        <v>1965</v>
      </c>
    </row>
    <row r="627" spans="1:22" x14ac:dyDescent="0.25">
      <c r="A627" s="9" t="s">
        <v>1762</v>
      </c>
      <c r="B627" s="9" t="str">
        <f t="shared" si="11"/>
        <v>00020195670KOVR</v>
      </c>
      <c r="C627" t="s">
        <v>826</v>
      </c>
      <c r="D627" t="s">
        <v>784</v>
      </c>
      <c r="E627">
        <v>20411454</v>
      </c>
      <c r="F627" t="s">
        <v>1993</v>
      </c>
      <c r="G627" t="s">
        <v>50</v>
      </c>
      <c r="H627" s="1">
        <v>45566</v>
      </c>
      <c r="I627" s="2">
        <v>1</v>
      </c>
      <c r="K627" s="2">
        <v>9</v>
      </c>
      <c r="L627" t="s">
        <v>815</v>
      </c>
      <c r="M627" t="s">
        <v>1965</v>
      </c>
    </row>
    <row r="628" spans="1:22" x14ac:dyDescent="0.25">
      <c r="A628" s="9" t="s">
        <v>1764</v>
      </c>
      <c r="B628" s="9" t="str">
        <f t="shared" si="11"/>
        <v>00021641743KOVR</v>
      </c>
      <c r="C628" t="s">
        <v>828</v>
      </c>
      <c r="D628" t="s">
        <v>784</v>
      </c>
      <c r="E628">
        <v>20411454</v>
      </c>
      <c r="F628" t="s">
        <v>1993</v>
      </c>
      <c r="G628" t="s">
        <v>50</v>
      </c>
      <c r="H628" s="1">
        <v>45444</v>
      </c>
      <c r="I628" s="2">
        <v>1</v>
      </c>
      <c r="K628" s="2">
        <v>9</v>
      </c>
      <c r="L628" t="s">
        <v>815</v>
      </c>
      <c r="M628" t="s">
        <v>1965</v>
      </c>
      <c r="P628" s="4"/>
      <c r="Q628" s="4"/>
      <c r="R628" s="4"/>
      <c r="S628" s="4"/>
      <c r="T628" s="4"/>
      <c r="U628" s="4"/>
      <c r="V628" s="4"/>
    </row>
    <row r="629" spans="1:22" x14ac:dyDescent="0.25">
      <c r="A629" s="9" t="s">
        <v>1765</v>
      </c>
      <c r="B629" s="9" t="str">
        <f t="shared" si="11"/>
        <v>00021686716KOVR</v>
      </c>
      <c r="C629" t="s">
        <v>829</v>
      </c>
      <c r="D629" t="s">
        <v>784</v>
      </c>
      <c r="E629">
        <v>20411454</v>
      </c>
      <c r="F629" t="s">
        <v>1993</v>
      </c>
      <c r="G629" t="s">
        <v>50</v>
      </c>
      <c r="H629" s="1">
        <v>45444</v>
      </c>
      <c r="I629" s="2">
        <v>1</v>
      </c>
      <c r="K629" s="2">
        <v>9</v>
      </c>
      <c r="L629" t="s">
        <v>815</v>
      </c>
      <c r="M629" t="s">
        <v>1965</v>
      </c>
      <c r="P629" s="4"/>
      <c r="Q629" s="4"/>
      <c r="R629" s="4"/>
      <c r="S629" s="4"/>
      <c r="T629" s="4"/>
      <c r="U629" s="4"/>
      <c r="V629" s="4"/>
    </row>
    <row r="630" spans="1:22" x14ac:dyDescent="0.25">
      <c r="A630" s="9" t="s">
        <v>1766</v>
      </c>
      <c r="B630" s="9" t="str">
        <f t="shared" si="11"/>
        <v>00021754102KOVR</v>
      </c>
      <c r="C630" t="s">
        <v>830</v>
      </c>
      <c r="D630" t="s">
        <v>784</v>
      </c>
      <c r="E630">
        <v>20411454</v>
      </c>
      <c r="F630" t="s">
        <v>1993</v>
      </c>
      <c r="G630" t="s">
        <v>50</v>
      </c>
      <c r="H630" s="1">
        <v>45474</v>
      </c>
      <c r="I630" s="2">
        <v>1</v>
      </c>
      <c r="K630" s="2">
        <v>9</v>
      </c>
      <c r="L630" t="s">
        <v>815</v>
      </c>
      <c r="M630" t="s">
        <v>1965</v>
      </c>
      <c r="P630" s="4"/>
      <c r="Q630" s="4"/>
      <c r="R630" s="4"/>
      <c r="S630" s="4"/>
      <c r="T630" s="4"/>
      <c r="U630" s="4"/>
      <c r="V630" s="4"/>
    </row>
    <row r="631" spans="1:22" x14ac:dyDescent="0.25">
      <c r="A631" s="9" t="s">
        <v>1767</v>
      </c>
      <c r="B631" s="9" t="str">
        <f t="shared" si="11"/>
        <v>00021776882KOVR</v>
      </c>
      <c r="C631" t="s">
        <v>831</v>
      </c>
      <c r="D631" t="s">
        <v>784</v>
      </c>
      <c r="E631">
        <v>20411454</v>
      </c>
      <c r="F631" t="s">
        <v>1993</v>
      </c>
      <c r="G631" t="s">
        <v>50</v>
      </c>
      <c r="H631" s="1">
        <v>45505</v>
      </c>
      <c r="I631" s="2">
        <v>1</v>
      </c>
      <c r="K631" s="2">
        <v>9</v>
      </c>
      <c r="L631" t="s">
        <v>815</v>
      </c>
      <c r="M631" t="s">
        <v>1965</v>
      </c>
      <c r="P631" s="4"/>
      <c r="Q631" s="4"/>
      <c r="R631" s="4"/>
      <c r="S631" s="4"/>
      <c r="T631" s="4"/>
      <c r="U631" s="4"/>
      <c r="V631" s="4"/>
    </row>
    <row r="632" spans="1:22" x14ac:dyDescent="0.25">
      <c r="A632" s="9" t="s">
        <v>1768</v>
      </c>
      <c r="B632" s="9" t="str">
        <f t="shared" si="11"/>
        <v>00021778915KOVR</v>
      </c>
      <c r="C632" t="s">
        <v>832</v>
      </c>
      <c r="D632" t="s">
        <v>784</v>
      </c>
      <c r="E632">
        <v>20411454</v>
      </c>
      <c r="F632" t="s">
        <v>1993</v>
      </c>
      <c r="G632" t="s">
        <v>50</v>
      </c>
      <c r="H632" s="1">
        <v>45444</v>
      </c>
      <c r="I632" s="2">
        <v>1</v>
      </c>
      <c r="K632" s="2">
        <v>9</v>
      </c>
      <c r="L632" t="s">
        <v>815</v>
      </c>
      <c r="M632" t="s">
        <v>1965</v>
      </c>
      <c r="P632" s="4"/>
      <c r="Q632" s="4"/>
      <c r="R632" s="4"/>
      <c r="S632" s="4"/>
      <c r="T632" s="4"/>
      <c r="U632" s="4"/>
      <c r="V632" s="4"/>
    </row>
    <row r="633" spans="1:22" x14ac:dyDescent="0.25">
      <c r="A633" s="9" t="s">
        <v>1769</v>
      </c>
      <c r="B633" s="9" t="str">
        <f t="shared" si="11"/>
        <v>00021783471KOVR</v>
      </c>
      <c r="C633" t="s">
        <v>833</v>
      </c>
      <c r="D633" t="s">
        <v>784</v>
      </c>
      <c r="E633">
        <v>20411454</v>
      </c>
      <c r="F633" t="s">
        <v>1993</v>
      </c>
      <c r="G633" t="s">
        <v>50</v>
      </c>
      <c r="H633" s="1">
        <v>45474</v>
      </c>
      <c r="I633" s="2">
        <v>1</v>
      </c>
      <c r="K633" s="2">
        <v>9</v>
      </c>
      <c r="L633" t="s">
        <v>815</v>
      </c>
      <c r="M633" t="s">
        <v>1965</v>
      </c>
      <c r="P633" s="4"/>
      <c r="Q633" s="4"/>
      <c r="R633" s="4"/>
      <c r="S633" s="4"/>
      <c r="T633" s="4"/>
      <c r="U633" s="4"/>
      <c r="V633" s="4"/>
    </row>
    <row r="634" spans="1:22" x14ac:dyDescent="0.25">
      <c r="A634" s="9" t="s">
        <v>1770</v>
      </c>
      <c r="B634" s="9" t="str">
        <f t="shared" si="11"/>
        <v>00021784141KOVR</v>
      </c>
      <c r="C634" t="s">
        <v>835</v>
      </c>
      <c r="D634" t="s">
        <v>784</v>
      </c>
      <c r="E634">
        <v>20411454</v>
      </c>
      <c r="F634" t="s">
        <v>1993</v>
      </c>
      <c r="G634" t="s">
        <v>50</v>
      </c>
      <c r="H634" s="1">
        <v>45444</v>
      </c>
      <c r="I634" s="2">
        <v>1</v>
      </c>
      <c r="K634" s="2">
        <v>9</v>
      </c>
      <c r="L634" t="s">
        <v>815</v>
      </c>
      <c r="M634" t="s">
        <v>1965</v>
      </c>
      <c r="P634" s="4"/>
      <c r="Q634" s="4"/>
      <c r="R634" s="4"/>
      <c r="S634" s="4"/>
      <c r="T634" s="4"/>
      <c r="U634" s="4"/>
      <c r="V634" s="4"/>
    </row>
    <row r="635" spans="1:22" x14ac:dyDescent="0.25">
      <c r="A635" s="9" t="s">
        <v>1771</v>
      </c>
      <c r="B635" s="9" t="str">
        <f t="shared" si="11"/>
        <v>00021792778KOVR</v>
      </c>
      <c r="C635" t="s">
        <v>836</v>
      </c>
      <c r="D635" t="s">
        <v>784</v>
      </c>
      <c r="E635">
        <v>20411454</v>
      </c>
      <c r="F635" t="s">
        <v>1993</v>
      </c>
      <c r="G635" t="s">
        <v>50</v>
      </c>
      <c r="H635" s="1">
        <v>45505</v>
      </c>
      <c r="I635" s="2">
        <v>1</v>
      </c>
      <c r="K635" s="2">
        <v>9</v>
      </c>
      <c r="L635" t="s">
        <v>815</v>
      </c>
      <c r="M635" t="s">
        <v>1965</v>
      </c>
      <c r="P635" s="4"/>
      <c r="Q635" s="4"/>
      <c r="R635" s="4"/>
      <c r="S635" s="4"/>
      <c r="T635" s="4"/>
      <c r="U635" s="4"/>
      <c r="V635" s="4"/>
    </row>
    <row r="636" spans="1:22" x14ac:dyDescent="0.25">
      <c r="A636" s="9" t="s">
        <v>1772</v>
      </c>
      <c r="B636" s="9" t="str">
        <f t="shared" si="11"/>
        <v>00021801538KOVR</v>
      </c>
      <c r="C636" t="s">
        <v>837</v>
      </c>
      <c r="D636" t="s">
        <v>784</v>
      </c>
      <c r="E636">
        <v>20411454</v>
      </c>
      <c r="F636" t="s">
        <v>1993</v>
      </c>
      <c r="G636" t="s">
        <v>50</v>
      </c>
      <c r="H636" s="1">
        <v>45444</v>
      </c>
      <c r="I636" s="2">
        <v>1</v>
      </c>
      <c r="K636" s="2">
        <v>9</v>
      </c>
      <c r="L636" t="s">
        <v>815</v>
      </c>
      <c r="M636" t="s">
        <v>1965</v>
      </c>
      <c r="P636" s="4"/>
      <c r="Q636" s="4"/>
      <c r="R636" s="4"/>
      <c r="S636" s="4"/>
      <c r="T636" s="4"/>
      <c r="U636" s="4"/>
      <c r="V636" s="4"/>
    </row>
    <row r="637" spans="1:22" x14ac:dyDescent="0.25">
      <c r="A637" s="9" t="s">
        <v>1773</v>
      </c>
      <c r="B637" s="9" t="str">
        <f t="shared" si="11"/>
        <v>00021812164KOVR</v>
      </c>
      <c r="C637" t="s">
        <v>838</v>
      </c>
      <c r="D637" t="s">
        <v>784</v>
      </c>
      <c r="E637">
        <v>20411454</v>
      </c>
      <c r="F637" t="s">
        <v>1993</v>
      </c>
      <c r="G637" t="s">
        <v>50</v>
      </c>
      <c r="H637" s="1">
        <v>45444</v>
      </c>
      <c r="I637" s="2">
        <v>1</v>
      </c>
      <c r="K637" s="2">
        <v>9</v>
      </c>
      <c r="L637" t="s">
        <v>825</v>
      </c>
      <c r="M637" t="s">
        <v>1965</v>
      </c>
      <c r="P637" s="4"/>
      <c r="Q637" s="4"/>
      <c r="R637" s="4"/>
      <c r="S637" s="4"/>
      <c r="T637" s="4"/>
      <c r="U637" s="4"/>
      <c r="V637" s="4"/>
    </row>
    <row r="638" spans="1:22" x14ac:dyDescent="0.25">
      <c r="A638" s="9" t="s">
        <v>1774</v>
      </c>
      <c r="B638" s="9" t="str">
        <f t="shared" si="11"/>
        <v>00021819613KOVR</v>
      </c>
      <c r="C638" t="s">
        <v>840</v>
      </c>
      <c r="D638" t="s">
        <v>784</v>
      </c>
      <c r="E638">
        <v>20411454</v>
      </c>
      <c r="F638" t="s">
        <v>1993</v>
      </c>
      <c r="G638" t="s">
        <v>50</v>
      </c>
      <c r="H638" s="1">
        <v>45444</v>
      </c>
      <c r="I638" s="2">
        <v>1</v>
      </c>
      <c r="K638" s="2">
        <v>9</v>
      </c>
      <c r="L638" t="s">
        <v>825</v>
      </c>
      <c r="M638" t="s">
        <v>1965</v>
      </c>
      <c r="P638" s="4"/>
      <c r="Q638" s="4"/>
      <c r="R638" s="4"/>
      <c r="S638" s="4"/>
      <c r="T638" s="4"/>
      <c r="U638" s="4"/>
      <c r="V638" s="4"/>
    </row>
    <row r="639" spans="1:22" x14ac:dyDescent="0.25">
      <c r="A639" s="9" t="s">
        <v>1775</v>
      </c>
      <c r="B639" s="9" t="str">
        <f t="shared" si="11"/>
        <v>00021836561KOVR</v>
      </c>
      <c r="C639" t="s">
        <v>841</v>
      </c>
      <c r="D639" t="s">
        <v>784</v>
      </c>
      <c r="E639">
        <v>20411454</v>
      </c>
      <c r="F639" t="s">
        <v>1993</v>
      </c>
      <c r="G639" t="s">
        <v>50</v>
      </c>
      <c r="H639" s="1">
        <v>45474</v>
      </c>
      <c r="I639" s="2">
        <v>1</v>
      </c>
      <c r="K639" s="2">
        <v>9</v>
      </c>
      <c r="L639" t="s">
        <v>825</v>
      </c>
      <c r="M639" t="s">
        <v>1965</v>
      </c>
      <c r="P639" s="4"/>
      <c r="Q639" s="4"/>
      <c r="R639" s="4"/>
      <c r="S639" s="4"/>
      <c r="T639" s="4"/>
      <c r="U639" s="4"/>
      <c r="V639" s="4"/>
    </row>
    <row r="640" spans="1:22" x14ac:dyDescent="0.25">
      <c r="A640" s="9" t="s">
        <v>1776</v>
      </c>
      <c r="B640" s="9" t="str">
        <f t="shared" si="11"/>
        <v>00021836597KOVR</v>
      </c>
      <c r="C640" t="s">
        <v>842</v>
      </c>
      <c r="D640" t="s">
        <v>784</v>
      </c>
      <c r="E640">
        <v>20411454</v>
      </c>
      <c r="F640" t="s">
        <v>1993</v>
      </c>
      <c r="G640" t="s">
        <v>50</v>
      </c>
      <c r="H640" s="1">
        <v>45474</v>
      </c>
      <c r="I640" s="2">
        <v>1</v>
      </c>
      <c r="K640" s="2">
        <v>9</v>
      </c>
      <c r="L640" t="s">
        <v>825</v>
      </c>
      <c r="M640" t="s">
        <v>1965</v>
      </c>
      <c r="P640" s="4"/>
      <c r="Q640" s="4"/>
      <c r="R640" s="4"/>
      <c r="S640" s="4"/>
      <c r="T640" s="4"/>
      <c r="U640" s="4"/>
      <c r="V640" s="4"/>
    </row>
    <row r="641" spans="1:22" x14ac:dyDescent="0.25">
      <c r="A641" s="9" t="s">
        <v>1777</v>
      </c>
      <c r="B641" s="9" t="str">
        <f t="shared" si="11"/>
        <v>00021852153KOVR</v>
      </c>
      <c r="C641" t="s">
        <v>843</v>
      </c>
      <c r="D641" t="s">
        <v>784</v>
      </c>
      <c r="E641">
        <v>20411454</v>
      </c>
      <c r="F641" t="s">
        <v>1993</v>
      </c>
      <c r="G641" t="s">
        <v>50</v>
      </c>
      <c r="H641" s="1">
        <v>45474</v>
      </c>
      <c r="I641" s="2">
        <v>1</v>
      </c>
      <c r="K641" s="2">
        <v>9</v>
      </c>
      <c r="L641" t="s">
        <v>825</v>
      </c>
      <c r="M641" t="s">
        <v>1965</v>
      </c>
      <c r="P641" s="4"/>
      <c r="Q641" s="4"/>
      <c r="R641" s="4"/>
      <c r="S641" s="4"/>
      <c r="T641" s="4"/>
      <c r="U641" s="4"/>
      <c r="V641" s="4"/>
    </row>
    <row r="642" spans="1:22" x14ac:dyDescent="0.25">
      <c r="A642" s="9" t="s">
        <v>1778</v>
      </c>
      <c r="B642" s="9" t="str">
        <f t="shared" si="11"/>
        <v>00021853327KOVR</v>
      </c>
      <c r="C642" t="s">
        <v>845</v>
      </c>
      <c r="D642" t="s">
        <v>784</v>
      </c>
      <c r="E642">
        <v>20411454</v>
      </c>
      <c r="F642" t="s">
        <v>1993</v>
      </c>
      <c r="G642" t="s">
        <v>50</v>
      </c>
      <c r="H642" s="1">
        <v>45474</v>
      </c>
      <c r="I642" s="2">
        <v>1</v>
      </c>
      <c r="K642" s="2">
        <v>9</v>
      </c>
      <c r="L642" t="s">
        <v>825</v>
      </c>
      <c r="M642" t="s">
        <v>1965</v>
      </c>
      <c r="P642" s="4"/>
      <c r="Q642" s="4"/>
      <c r="R642" s="4"/>
      <c r="S642" s="4"/>
      <c r="T642" s="4"/>
      <c r="U642" s="4"/>
      <c r="V642" s="4"/>
    </row>
    <row r="643" spans="1:22" x14ac:dyDescent="0.25">
      <c r="A643" s="9" t="s">
        <v>1779</v>
      </c>
      <c r="B643" s="9" t="str">
        <f t="shared" si="11"/>
        <v>00021853815KOVR</v>
      </c>
      <c r="C643" t="s">
        <v>846</v>
      </c>
      <c r="D643" t="s">
        <v>784</v>
      </c>
      <c r="E643">
        <v>20411454</v>
      </c>
      <c r="F643" t="s">
        <v>1993</v>
      </c>
      <c r="G643" t="s">
        <v>50</v>
      </c>
      <c r="H643" s="1">
        <v>45474</v>
      </c>
      <c r="I643" s="2">
        <v>1</v>
      </c>
      <c r="K643" s="2">
        <v>9</v>
      </c>
      <c r="L643" t="s">
        <v>825</v>
      </c>
      <c r="M643" t="s">
        <v>1965</v>
      </c>
      <c r="P643" s="4"/>
      <c r="Q643" s="4"/>
      <c r="R643" s="4"/>
      <c r="S643" s="4"/>
      <c r="T643" s="4"/>
      <c r="U643" s="4"/>
      <c r="V643" s="4"/>
    </row>
    <row r="644" spans="1:22" x14ac:dyDescent="0.25">
      <c r="A644" s="9" t="s">
        <v>1780</v>
      </c>
      <c r="B644" s="9" t="str">
        <f t="shared" si="11"/>
        <v>00021859258KOVR</v>
      </c>
      <c r="C644" t="s">
        <v>847</v>
      </c>
      <c r="D644" t="s">
        <v>784</v>
      </c>
      <c r="E644">
        <v>20411454</v>
      </c>
      <c r="F644" t="s">
        <v>1993</v>
      </c>
      <c r="G644" t="s">
        <v>50</v>
      </c>
      <c r="H644" s="1">
        <v>45474</v>
      </c>
      <c r="I644" s="2">
        <v>1</v>
      </c>
      <c r="K644" s="2">
        <v>9</v>
      </c>
      <c r="L644" t="s">
        <v>825</v>
      </c>
      <c r="M644" t="s">
        <v>1965</v>
      </c>
      <c r="P644" s="4"/>
      <c r="Q644" s="4"/>
      <c r="R644" s="4"/>
      <c r="S644" s="4"/>
      <c r="T644" s="4"/>
      <c r="U644" s="4"/>
      <c r="V644" s="4"/>
    </row>
    <row r="645" spans="1:22" x14ac:dyDescent="0.25">
      <c r="A645" s="9" t="s">
        <v>1781</v>
      </c>
      <c r="B645" s="9" t="str">
        <f t="shared" si="11"/>
        <v>00021865984KOVR</v>
      </c>
      <c r="C645" t="s">
        <v>848</v>
      </c>
      <c r="E645">
        <v>20411454</v>
      </c>
      <c r="F645" t="s">
        <v>1993</v>
      </c>
      <c r="G645" t="s">
        <v>50</v>
      </c>
      <c r="H645" s="1">
        <v>45474</v>
      </c>
      <c r="I645" s="2">
        <v>1</v>
      </c>
      <c r="K645" s="2">
        <v>9</v>
      </c>
      <c r="L645" t="s">
        <v>825</v>
      </c>
      <c r="M645" t="s">
        <v>1965</v>
      </c>
      <c r="P645" s="4"/>
      <c r="Q645" s="4"/>
      <c r="R645" s="4"/>
      <c r="S645" s="4"/>
      <c r="T645" s="4"/>
      <c r="U645" s="4"/>
      <c r="V645" s="4"/>
    </row>
    <row r="646" spans="1:22" x14ac:dyDescent="0.25">
      <c r="A646" s="9" t="s">
        <v>1782</v>
      </c>
      <c r="B646" s="9" t="str">
        <f t="shared" si="11"/>
        <v>00021876313KOVR</v>
      </c>
      <c r="C646" t="s">
        <v>849</v>
      </c>
      <c r="D646" t="s">
        <v>784</v>
      </c>
      <c r="E646">
        <v>20411454</v>
      </c>
      <c r="F646" t="s">
        <v>1993</v>
      </c>
      <c r="G646" t="s">
        <v>50</v>
      </c>
      <c r="H646" s="1">
        <v>45474</v>
      </c>
      <c r="I646" s="2">
        <v>1</v>
      </c>
      <c r="K646" s="2">
        <v>9</v>
      </c>
      <c r="L646" t="s">
        <v>815</v>
      </c>
      <c r="M646" t="s">
        <v>1965</v>
      </c>
      <c r="P646" s="4"/>
      <c r="Q646" s="4"/>
      <c r="R646" s="4"/>
      <c r="S646" s="4"/>
      <c r="T646" s="4"/>
      <c r="U646" s="4"/>
      <c r="V646" s="4"/>
    </row>
    <row r="647" spans="1:22" x14ac:dyDescent="0.25">
      <c r="A647" s="9" t="s">
        <v>1783</v>
      </c>
      <c r="B647" s="9" t="str">
        <f t="shared" si="11"/>
        <v>00021876763KOVR</v>
      </c>
      <c r="C647" t="s">
        <v>850</v>
      </c>
      <c r="D647" t="s">
        <v>784</v>
      </c>
      <c r="E647">
        <v>20411454</v>
      </c>
      <c r="F647" t="s">
        <v>1993</v>
      </c>
      <c r="G647" t="s">
        <v>50</v>
      </c>
      <c r="H647" s="1">
        <v>45505</v>
      </c>
      <c r="I647" s="2">
        <v>1</v>
      </c>
      <c r="K647" s="2">
        <v>9</v>
      </c>
      <c r="L647" t="s">
        <v>815</v>
      </c>
      <c r="M647" t="s">
        <v>1965</v>
      </c>
      <c r="P647" s="4"/>
      <c r="Q647" s="4"/>
      <c r="R647" s="4"/>
      <c r="S647" s="4"/>
      <c r="T647" s="4"/>
      <c r="U647" s="4"/>
      <c r="V647" s="4"/>
    </row>
    <row r="648" spans="1:22" x14ac:dyDescent="0.25">
      <c r="A648" s="9" t="s">
        <v>1784</v>
      </c>
      <c r="B648" s="9" t="str">
        <f t="shared" si="11"/>
        <v>00021878864KOVR</v>
      </c>
      <c r="C648" t="s">
        <v>851</v>
      </c>
      <c r="D648" t="s">
        <v>784</v>
      </c>
      <c r="E648">
        <v>20411454</v>
      </c>
      <c r="F648" t="s">
        <v>1993</v>
      </c>
      <c r="G648" t="s">
        <v>50</v>
      </c>
      <c r="H648" s="1">
        <v>45474</v>
      </c>
      <c r="I648" s="2">
        <v>1</v>
      </c>
      <c r="K648" s="2">
        <v>9</v>
      </c>
      <c r="L648" t="s">
        <v>815</v>
      </c>
      <c r="M648" t="s">
        <v>1965</v>
      </c>
      <c r="P648" s="4"/>
      <c r="Q648" s="4"/>
      <c r="R648" s="4"/>
      <c r="S648" s="4"/>
      <c r="T648" s="4"/>
      <c r="U648" s="4"/>
      <c r="V648" s="4"/>
    </row>
    <row r="649" spans="1:22" x14ac:dyDescent="0.25">
      <c r="A649" s="9" t="s">
        <v>1785</v>
      </c>
      <c r="B649" s="9" t="str">
        <f t="shared" si="11"/>
        <v>00021881964KOVR</v>
      </c>
      <c r="C649" t="s">
        <v>852</v>
      </c>
      <c r="D649" t="s">
        <v>784</v>
      </c>
      <c r="E649">
        <v>20411454</v>
      </c>
      <c r="F649" t="s">
        <v>1993</v>
      </c>
      <c r="G649" t="s">
        <v>50</v>
      </c>
      <c r="H649" s="1">
        <v>45505</v>
      </c>
      <c r="I649" s="2">
        <v>1</v>
      </c>
      <c r="K649" s="2">
        <v>9</v>
      </c>
      <c r="L649" t="s">
        <v>815</v>
      </c>
      <c r="M649" t="s">
        <v>1965</v>
      </c>
      <c r="P649" s="4"/>
      <c r="Q649" s="4"/>
      <c r="R649" s="4"/>
      <c r="S649" s="4"/>
      <c r="T649" s="4"/>
      <c r="U649" s="4"/>
      <c r="V649" s="4"/>
    </row>
    <row r="650" spans="1:22" x14ac:dyDescent="0.25">
      <c r="A650" s="9" t="s">
        <v>1786</v>
      </c>
      <c r="B650" s="9" t="str">
        <f t="shared" si="11"/>
        <v>00021882434KOVR</v>
      </c>
      <c r="C650" t="s">
        <v>853</v>
      </c>
      <c r="D650" t="s">
        <v>784</v>
      </c>
      <c r="E650">
        <v>20411454</v>
      </c>
      <c r="F650" t="s">
        <v>1993</v>
      </c>
      <c r="G650" t="s">
        <v>50</v>
      </c>
      <c r="H650" s="1">
        <v>45474</v>
      </c>
      <c r="I650" s="2">
        <v>1</v>
      </c>
      <c r="K650" s="2">
        <v>9</v>
      </c>
      <c r="L650" t="s">
        <v>825</v>
      </c>
      <c r="M650" t="s">
        <v>1965</v>
      </c>
      <c r="P650" s="4"/>
      <c r="Q650" s="4"/>
      <c r="R650" s="4"/>
      <c r="S650" s="4"/>
      <c r="T650" s="4"/>
      <c r="U650" s="4"/>
      <c r="V650" s="4"/>
    </row>
    <row r="651" spans="1:22" x14ac:dyDescent="0.25">
      <c r="A651" s="9" t="s">
        <v>1787</v>
      </c>
      <c r="B651" s="9" t="str">
        <f t="shared" si="11"/>
        <v>00021883797KOVR</v>
      </c>
      <c r="C651" t="s">
        <v>854</v>
      </c>
      <c r="D651" t="s">
        <v>784</v>
      </c>
      <c r="E651">
        <v>20411454</v>
      </c>
      <c r="F651" t="s">
        <v>1993</v>
      </c>
      <c r="G651" t="s">
        <v>50</v>
      </c>
      <c r="H651" s="1">
        <v>45474</v>
      </c>
      <c r="I651" s="2">
        <v>1</v>
      </c>
      <c r="K651" s="2">
        <v>9</v>
      </c>
      <c r="L651" t="s">
        <v>815</v>
      </c>
      <c r="M651" t="s">
        <v>1965</v>
      </c>
      <c r="P651" s="4"/>
      <c r="Q651" s="4"/>
      <c r="R651" s="4"/>
      <c r="S651" s="4"/>
      <c r="T651" s="4"/>
      <c r="U651" s="4"/>
      <c r="V651" s="4"/>
    </row>
    <row r="652" spans="1:22" x14ac:dyDescent="0.25">
      <c r="A652" s="9" t="s">
        <v>1788</v>
      </c>
      <c r="B652" s="9" t="str">
        <f t="shared" si="11"/>
        <v>00021884516KOVR</v>
      </c>
      <c r="C652" t="s">
        <v>855</v>
      </c>
      <c r="D652" t="s">
        <v>784</v>
      </c>
      <c r="E652">
        <v>20411454</v>
      </c>
      <c r="F652" t="s">
        <v>1993</v>
      </c>
      <c r="G652" t="s">
        <v>50</v>
      </c>
      <c r="H652" s="1">
        <v>45474</v>
      </c>
      <c r="I652" s="2">
        <v>1</v>
      </c>
      <c r="K652" s="2">
        <v>9</v>
      </c>
      <c r="L652" t="s">
        <v>825</v>
      </c>
      <c r="M652" t="s">
        <v>1965</v>
      </c>
      <c r="P652" s="4"/>
      <c r="Q652" s="4"/>
      <c r="R652" s="4"/>
      <c r="S652" s="4"/>
      <c r="T652" s="4"/>
      <c r="U652" s="4"/>
      <c r="V652" s="4"/>
    </row>
    <row r="653" spans="1:22" x14ac:dyDescent="0.25">
      <c r="A653" s="9" t="s">
        <v>1790</v>
      </c>
      <c r="B653" s="9" t="str">
        <f t="shared" si="11"/>
        <v>00021895596KOVR</v>
      </c>
      <c r="C653" t="s">
        <v>858</v>
      </c>
      <c r="D653" t="s">
        <v>784</v>
      </c>
      <c r="E653">
        <v>20411454</v>
      </c>
      <c r="F653" t="s">
        <v>1993</v>
      </c>
      <c r="G653" t="s">
        <v>50</v>
      </c>
      <c r="H653" s="1">
        <v>45474</v>
      </c>
      <c r="I653" s="2">
        <v>1</v>
      </c>
      <c r="K653" s="2">
        <v>9</v>
      </c>
      <c r="L653" t="s">
        <v>815</v>
      </c>
      <c r="M653" t="s">
        <v>1965</v>
      </c>
      <c r="P653" s="4"/>
      <c r="Q653" s="4"/>
      <c r="R653" s="4"/>
      <c r="S653" s="4"/>
      <c r="T653" s="4"/>
      <c r="U653" s="4"/>
      <c r="V653" s="4"/>
    </row>
    <row r="654" spans="1:22" x14ac:dyDescent="0.25">
      <c r="A654" s="9" t="s">
        <v>1791</v>
      </c>
      <c r="B654" s="9" t="str">
        <f t="shared" si="11"/>
        <v>00021895977KOVR</v>
      </c>
      <c r="C654" t="s">
        <v>859</v>
      </c>
      <c r="D654" t="s">
        <v>784</v>
      </c>
      <c r="E654">
        <v>20411454</v>
      </c>
      <c r="F654" t="s">
        <v>1993</v>
      </c>
      <c r="G654" t="s">
        <v>50</v>
      </c>
      <c r="H654" s="1">
        <v>45505</v>
      </c>
      <c r="I654" s="2">
        <v>1</v>
      </c>
      <c r="K654" s="2">
        <v>9</v>
      </c>
      <c r="L654" t="s">
        <v>825</v>
      </c>
      <c r="M654" t="s">
        <v>1965</v>
      </c>
      <c r="P654" s="4"/>
      <c r="Q654" s="4"/>
      <c r="R654" s="4"/>
      <c r="S654" s="4"/>
      <c r="T654" s="4"/>
      <c r="U654" s="4"/>
      <c r="V654" s="4"/>
    </row>
    <row r="655" spans="1:22" x14ac:dyDescent="0.25">
      <c r="A655" s="9" t="s">
        <v>1792</v>
      </c>
      <c r="B655" s="9" t="str">
        <f t="shared" si="11"/>
        <v>00021906634KOVR</v>
      </c>
      <c r="C655" t="s">
        <v>860</v>
      </c>
      <c r="D655" t="s">
        <v>784</v>
      </c>
      <c r="E655">
        <v>20411454</v>
      </c>
      <c r="F655" t="s">
        <v>1993</v>
      </c>
      <c r="G655" t="s">
        <v>50</v>
      </c>
      <c r="H655" s="1">
        <v>45536</v>
      </c>
      <c r="I655" s="2">
        <v>1</v>
      </c>
      <c r="K655" s="2">
        <v>9</v>
      </c>
      <c r="L655" t="s">
        <v>815</v>
      </c>
      <c r="M655" t="s">
        <v>1965</v>
      </c>
      <c r="P655" s="4"/>
      <c r="Q655" s="4"/>
      <c r="R655" s="4"/>
      <c r="S655" s="4"/>
      <c r="T655" s="4"/>
      <c r="U655" s="4"/>
      <c r="V655" s="4"/>
    </row>
    <row r="656" spans="1:22" x14ac:dyDescent="0.25">
      <c r="A656" s="9" t="s">
        <v>1794</v>
      </c>
      <c r="B656" s="9" t="str">
        <f t="shared" si="11"/>
        <v>00021915889KOVR</v>
      </c>
      <c r="C656" t="s">
        <v>862</v>
      </c>
      <c r="D656" t="s">
        <v>784</v>
      </c>
      <c r="E656">
        <v>20411454</v>
      </c>
      <c r="F656" t="s">
        <v>1993</v>
      </c>
      <c r="G656" t="s">
        <v>50</v>
      </c>
      <c r="H656" s="1">
        <v>45536</v>
      </c>
      <c r="I656" s="2">
        <v>1</v>
      </c>
      <c r="K656" s="2">
        <v>9</v>
      </c>
      <c r="L656" t="s">
        <v>815</v>
      </c>
      <c r="M656" t="s">
        <v>1965</v>
      </c>
      <c r="P656" s="4"/>
      <c r="Q656" s="4"/>
      <c r="R656" s="4"/>
      <c r="S656" s="4"/>
      <c r="T656" s="4"/>
      <c r="U656" s="4"/>
      <c r="V656" s="4"/>
    </row>
    <row r="657" spans="1:22" x14ac:dyDescent="0.25">
      <c r="A657" s="9" t="s">
        <v>1795</v>
      </c>
      <c r="B657" s="9" t="str">
        <f t="shared" si="11"/>
        <v>00021917176KOVR</v>
      </c>
      <c r="C657" t="s">
        <v>863</v>
      </c>
      <c r="D657" t="s">
        <v>784</v>
      </c>
      <c r="E657">
        <v>20411454</v>
      </c>
      <c r="F657" t="s">
        <v>1993</v>
      </c>
      <c r="G657" t="s">
        <v>50</v>
      </c>
      <c r="H657" s="1">
        <v>45505</v>
      </c>
      <c r="I657" s="2">
        <v>1</v>
      </c>
      <c r="K657" s="2">
        <v>9</v>
      </c>
      <c r="L657" t="s">
        <v>825</v>
      </c>
      <c r="M657" t="s">
        <v>1965</v>
      </c>
      <c r="P657" s="4"/>
      <c r="Q657" s="4"/>
      <c r="R657" s="4"/>
      <c r="S657" s="4"/>
      <c r="T657" s="4"/>
      <c r="U657" s="4"/>
      <c r="V657" s="4"/>
    </row>
    <row r="658" spans="1:22" x14ac:dyDescent="0.25">
      <c r="A658" s="9" t="s">
        <v>1796</v>
      </c>
      <c r="B658" s="9" t="str">
        <f t="shared" si="11"/>
        <v>00021918216KOVR</v>
      </c>
      <c r="C658" t="s">
        <v>864</v>
      </c>
      <c r="D658" t="s">
        <v>784</v>
      </c>
      <c r="E658">
        <v>20411454</v>
      </c>
      <c r="F658" t="s">
        <v>1993</v>
      </c>
      <c r="G658" t="s">
        <v>50</v>
      </c>
      <c r="H658" s="1">
        <v>45505</v>
      </c>
      <c r="I658" s="2">
        <v>1</v>
      </c>
      <c r="K658" s="2">
        <v>9</v>
      </c>
      <c r="L658" t="s">
        <v>815</v>
      </c>
      <c r="M658" t="s">
        <v>1965</v>
      </c>
      <c r="P658" s="4"/>
      <c r="Q658" s="4"/>
      <c r="R658" s="4"/>
      <c r="S658" s="4"/>
      <c r="T658" s="4"/>
      <c r="U658" s="4"/>
      <c r="V658" s="4"/>
    </row>
    <row r="659" spans="1:22" x14ac:dyDescent="0.25">
      <c r="A659" s="9" t="s">
        <v>1797</v>
      </c>
      <c r="B659" s="9" t="str">
        <f t="shared" si="11"/>
        <v>00021920479KOVR</v>
      </c>
      <c r="C659" t="s">
        <v>865</v>
      </c>
      <c r="D659" t="s">
        <v>784</v>
      </c>
      <c r="E659">
        <v>20411454</v>
      </c>
      <c r="F659" t="s">
        <v>1993</v>
      </c>
      <c r="G659" t="s">
        <v>50</v>
      </c>
      <c r="H659" s="1">
        <v>45505</v>
      </c>
      <c r="I659" s="2">
        <v>1</v>
      </c>
      <c r="K659" s="2">
        <v>9</v>
      </c>
      <c r="L659" t="s">
        <v>815</v>
      </c>
      <c r="M659" t="s">
        <v>1965</v>
      </c>
      <c r="P659" s="4"/>
      <c r="Q659" s="4"/>
      <c r="R659" s="4"/>
      <c r="S659" s="4"/>
      <c r="T659" s="4"/>
      <c r="U659" s="4"/>
      <c r="V659" s="4"/>
    </row>
    <row r="660" spans="1:22" x14ac:dyDescent="0.25">
      <c r="A660" s="9" t="s">
        <v>1798</v>
      </c>
      <c r="B660" s="9" t="str">
        <f t="shared" si="11"/>
        <v>00021920643KOVR</v>
      </c>
      <c r="C660" t="s">
        <v>866</v>
      </c>
      <c r="D660" t="s">
        <v>784</v>
      </c>
      <c r="E660">
        <v>20411454</v>
      </c>
      <c r="F660" t="s">
        <v>1993</v>
      </c>
      <c r="G660" t="s">
        <v>50</v>
      </c>
      <c r="H660" s="1">
        <v>45505</v>
      </c>
      <c r="I660" s="2">
        <v>1</v>
      </c>
      <c r="K660" s="2">
        <v>9</v>
      </c>
      <c r="L660" t="s">
        <v>815</v>
      </c>
      <c r="M660" t="s">
        <v>1965</v>
      </c>
      <c r="P660" s="4"/>
      <c r="Q660" s="4"/>
      <c r="R660" s="4"/>
      <c r="S660" s="4"/>
      <c r="T660" s="4"/>
      <c r="U660" s="4"/>
      <c r="V660" s="4"/>
    </row>
    <row r="661" spans="1:22" x14ac:dyDescent="0.25">
      <c r="A661" s="9" t="s">
        <v>1799</v>
      </c>
      <c r="B661" s="9" t="str">
        <f t="shared" si="11"/>
        <v>00021921861KOVR</v>
      </c>
      <c r="C661" t="s">
        <v>867</v>
      </c>
      <c r="D661" t="s">
        <v>784</v>
      </c>
      <c r="E661">
        <v>20411454</v>
      </c>
      <c r="F661" t="s">
        <v>1993</v>
      </c>
      <c r="G661" t="s">
        <v>50</v>
      </c>
      <c r="H661" s="1">
        <v>45505</v>
      </c>
      <c r="I661" s="2">
        <v>1</v>
      </c>
      <c r="K661" s="2">
        <v>9</v>
      </c>
      <c r="L661" t="s">
        <v>815</v>
      </c>
      <c r="M661" t="s">
        <v>1965</v>
      </c>
      <c r="P661" s="4"/>
      <c r="Q661" s="4"/>
      <c r="R661" s="4"/>
      <c r="S661" s="4"/>
      <c r="T661" s="4"/>
      <c r="U661" s="4"/>
      <c r="V661" s="4"/>
    </row>
    <row r="662" spans="1:22" x14ac:dyDescent="0.25">
      <c r="A662" s="9" t="s">
        <v>1800</v>
      </c>
      <c r="B662" s="9" t="str">
        <f t="shared" si="11"/>
        <v>00021926659KOVR</v>
      </c>
      <c r="C662" t="s">
        <v>868</v>
      </c>
      <c r="D662" t="s">
        <v>784</v>
      </c>
      <c r="E662">
        <v>20411454</v>
      </c>
      <c r="F662" t="s">
        <v>1993</v>
      </c>
      <c r="G662" t="s">
        <v>50</v>
      </c>
      <c r="H662" s="1">
        <v>45505</v>
      </c>
      <c r="I662" s="2">
        <v>1</v>
      </c>
      <c r="K662" s="2">
        <v>9</v>
      </c>
      <c r="L662" t="s">
        <v>815</v>
      </c>
      <c r="M662" t="s">
        <v>1965</v>
      </c>
      <c r="P662" s="4"/>
      <c r="Q662" s="4"/>
      <c r="R662" s="4"/>
      <c r="S662" s="4"/>
      <c r="T662" s="4"/>
      <c r="U662" s="4"/>
      <c r="V662" s="4"/>
    </row>
    <row r="663" spans="1:22" x14ac:dyDescent="0.25">
      <c r="A663" s="9" t="s">
        <v>1801</v>
      </c>
      <c r="B663" s="9" t="str">
        <f t="shared" si="11"/>
        <v>00021937596KOVR</v>
      </c>
      <c r="C663" t="s">
        <v>869</v>
      </c>
      <c r="D663" t="s">
        <v>784</v>
      </c>
      <c r="E663">
        <v>20411454</v>
      </c>
      <c r="F663" t="s">
        <v>1993</v>
      </c>
      <c r="G663" t="s">
        <v>50</v>
      </c>
      <c r="H663" s="1">
        <v>45505</v>
      </c>
      <c r="I663" s="2">
        <v>1</v>
      </c>
      <c r="K663" s="2">
        <v>9</v>
      </c>
      <c r="L663" t="s">
        <v>815</v>
      </c>
      <c r="M663" t="s">
        <v>1965</v>
      </c>
      <c r="P663" s="4"/>
      <c r="Q663" s="4"/>
      <c r="R663" s="4"/>
      <c r="S663" s="4"/>
      <c r="T663" s="4"/>
      <c r="U663" s="4"/>
      <c r="V663" s="4"/>
    </row>
    <row r="664" spans="1:22" x14ac:dyDescent="0.25">
      <c r="A664" s="9" t="s">
        <v>1802</v>
      </c>
      <c r="B664" s="9" t="str">
        <f t="shared" si="11"/>
        <v>00021938736KOVR</v>
      </c>
      <c r="C664" t="s">
        <v>870</v>
      </c>
      <c r="D664" t="s">
        <v>784</v>
      </c>
      <c r="E664">
        <v>20411454</v>
      </c>
      <c r="F664" t="s">
        <v>1993</v>
      </c>
      <c r="G664" t="s">
        <v>50</v>
      </c>
      <c r="H664" s="1">
        <v>45505</v>
      </c>
      <c r="I664" s="2">
        <v>1</v>
      </c>
      <c r="K664" s="2">
        <v>9</v>
      </c>
      <c r="L664" t="s">
        <v>815</v>
      </c>
      <c r="M664" t="s">
        <v>1965</v>
      </c>
      <c r="P664" s="4"/>
      <c r="Q664" s="4"/>
      <c r="R664" s="4"/>
      <c r="S664" s="4"/>
      <c r="T664" s="4"/>
      <c r="U664" s="4"/>
      <c r="V664" s="4"/>
    </row>
    <row r="665" spans="1:22" x14ac:dyDescent="0.25">
      <c r="A665" s="9" t="s">
        <v>1803</v>
      </c>
      <c r="B665" s="9" t="str">
        <f t="shared" si="11"/>
        <v>00021938762KOVR</v>
      </c>
      <c r="C665" t="s">
        <v>871</v>
      </c>
      <c r="D665" t="s">
        <v>784</v>
      </c>
      <c r="E665">
        <v>20411454</v>
      </c>
      <c r="F665" t="s">
        <v>1993</v>
      </c>
      <c r="G665" t="s">
        <v>50</v>
      </c>
      <c r="H665" s="1">
        <v>45536</v>
      </c>
      <c r="I665" s="2">
        <v>1</v>
      </c>
      <c r="K665" s="2">
        <v>9</v>
      </c>
      <c r="L665" t="s">
        <v>815</v>
      </c>
      <c r="M665" t="s">
        <v>1965</v>
      </c>
      <c r="P665" s="4"/>
      <c r="Q665" s="4"/>
      <c r="R665" s="4"/>
      <c r="S665" s="4"/>
      <c r="T665" s="4"/>
      <c r="U665" s="4"/>
      <c r="V665" s="4"/>
    </row>
    <row r="666" spans="1:22" x14ac:dyDescent="0.25">
      <c r="A666" s="9" t="s">
        <v>1804</v>
      </c>
      <c r="B666" s="9" t="str">
        <f t="shared" si="11"/>
        <v>00021942365KOVR</v>
      </c>
      <c r="C666" t="s">
        <v>872</v>
      </c>
      <c r="D666" t="s">
        <v>784</v>
      </c>
      <c r="E666">
        <v>20411454</v>
      </c>
      <c r="F666" t="s">
        <v>1993</v>
      </c>
      <c r="G666" t="s">
        <v>50</v>
      </c>
      <c r="H666" s="1">
        <v>45505</v>
      </c>
      <c r="I666" s="2">
        <v>1</v>
      </c>
      <c r="K666" s="2">
        <v>9</v>
      </c>
      <c r="L666" t="s">
        <v>815</v>
      </c>
      <c r="M666" t="s">
        <v>1965</v>
      </c>
      <c r="P666" s="4"/>
      <c r="Q666" s="4"/>
      <c r="R666" s="4"/>
      <c r="S666" s="4"/>
      <c r="T666" s="4"/>
      <c r="U666" s="4"/>
      <c r="V666" s="4"/>
    </row>
    <row r="667" spans="1:22" x14ac:dyDescent="0.25">
      <c r="A667" s="9" t="s">
        <v>1805</v>
      </c>
      <c r="B667" s="9" t="str">
        <f t="shared" si="11"/>
        <v>00021948322KOVR</v>
      </c>
      <c r="C667" t="s">
        <v>873</v>
      </c>
      <c r="D667" t="s">
        <v>784</v>
      </c>
      <c r="E667">
        <v>20411454</v>
      </c>
      <c r="F667" t="s">
        <v>1993</v>
      </c>
      <c r="G667" t="s">
        <v>50</v>
      </c>
      <c r="H667" s="1">
        <v>45566</v>
      </c>
      <c r="I667" s="2">
        <v>1</v>
      </c>
      <c r="K667" s="2">
        <v>9</v>
      </c>
      <c r="L667" t="s">
        <v>815</v>
      </c>
      <c r="M667" t="s">
        <v>1965</v>
      </c>
      <c r="P667" s="4"/>
      <c r="Q667" s="4"/>
      <c r="R667" s="4"/>
      <c r="S667" s="4"/>
      <c r="T667" s="4"/>
      <c r="U667" s="4"/>
      <c r="V667" s="4"/>
    </row>
    <row r="668" spans="1:22" x14ac:dyDescent="0.25">
      <c r="A668" s="9" t="s">
        <v>1806</v>
      </c>
      <c r="B668" s="9" t="str">
        <f t="shared" si="11"/>
        <v>00021951591KOVR</v>
      </c>
      <c r="C668" t="s">
        <v>874</v>
      </c>
      <c r="D668" t="s">
        <v>784</v>
      </c>
      <c r="E668">
        <v>20411454</v>
      </c>
      <c r="F668" t="s">
        <v>1993</v>
      </c>
      <c r="G668" t="s">
        <v>50</v>
      </c>
      <c r="H668" s="1">
        <v>45536</v>
      </c>
      <c r="I668" s="2">
        <v>1</v>
      </c>
      <c r="K668" s="2">
        <v>9</v>
      </c>
      <c r="L668" t="s">
        <v>815</v>
      </c>
      <c r="M668" t="s">
        <v>1965</v>
      </c>
      <c r="P668" s="4"/>
      <c r="Q668" s="4"/>
      <c r="R668" s="4"/>
      <c r="S668" s="4"/>
      <c r="T668" s="4"/>
      <c r="U668" s="4"/>
      <c r="V668" s="4"/>
    </row>
    <row r="669" spans="1:22" x14ac:dyDescent="0.25">
      <c r="A669" s="9" t="s">
        <v>1807</v>
      </c>
      <c r="B669" s="9" t="str">
        <f t="shared" si="11"/>
        <v>00021961080KOVR</v>
      </c>
      <c r="C669" t="s">
        <v>875</v>
      </c>
      <c r="D669" t="s">
        <v>784</v>
      </c>
      <c r="E669">
        <v>20411454</v>
      </c>
      <c r="F669" t="s">
        <v>1993</v>
      </c>
      <c r="G669" t="s">
        <v>50</v>
      </c>
      <c r="H669" s="1">
        <v>45505</v>
      </c>
      <c r="I669" s="2">
        <v>1</v>
      </c>
      <c r="K669" s="2">
        <v>9</v>
      </c>
      <c r="L669" t="s">
        <v>815</v>
      </c>
      <c r="M669" t="s">
        <v>1965</v>
      </c>
      <c r="P669" s="4"/>
      <c r="Q669" s="4"/>
      <c r="R669" s="4"/>
      <c r="S669" s="4"/>
      <c r="T669" s="4"/>
      <c r="U669" s="4"/>
      <c r="V669" s="4"/>
    </row>
    <row r="670" spans="1:22" x14ac:dyDescent="0.25">
      <c r="A670" s="9" t="s">
        <v>1808</v>
      </c>
      <c r="B670" s="9" t="str">
        <f t="shared" si="11"/>
        <v>00021969632KOVR</v>
      </c>
      <c r="C670" t="s">
        <v>876</v>
      </c>
      <c r="D670" t="s">
        <v>784</v>
      </c>
      <c r="E670">
        <v>20411454</v>
      </c>
      <c r="F670" t="s">
        <v>1993</v>
      </c>
      <c r="G670" t="s">
        <v>50</v>
      </c>
      <c r="H670" s="1">
        <v>45566</v>
      </c>
      <c r="I670" s="2">
        <v>1</v>
      </c>
      <c r="K670" s="2">
        <v>9</v>
      </c>
      <c r="L670" t="s">
        <v>815</v>
      </c>
      <c r="M670" t="s">
        <v>1965</v>
      </c>
      <c r="P670" s="4"/>
      <c r="Q670" s="4"/>
      <c r="R670" s="4"/>
      <c r="S670" s="4"/>
      <c r="T670" s="4"/>
      <c r="U670" s="4"/>
      <c r="V670" s="4"/>
    </row>
    <row r="671" spans="1:22" x14ac:dyDescent="0.25">
      <c r="A671" s="9" t="s">
        <v>1809</v>
      </c>
      <c r="B671" s="9" t="str">
        <f t="shared" si="11"/>
        <v>00021970944KOVR</v>
      </c>
      <c r="C671" t="s">
        <v>877</v>
      </c>
      <c r="D671" t="s">
        <v>784</v>
      </c>
      <c r="E671">
        <v>20411454</v>
      </c>
      <c r="F671" t="s">
        <v>1993</v>
      </c>
      <c r="G671" t="s">
        <v>50</v>
      </c>
      <c r="H671" s="1">
        <v>45566</v>
      </c>
      <c r="I671" s="2">
        <v>1</v>
      </c>
      <c r="K671" s="2">
        <v>9</v>
      </c>
      <c r="L671" t="s">
        <v>815</v>
      </c>
      <c r="M671" t="s">
        <v>1965</v>
      </c>
      <c r="P671" s="4"/>
      <c r="Q671" s="4"/>
      <c r="R671" s="4"/>
      <c r="S671" s="4"/>
      <c r="T671" s="4"/>
      <c r="U671" s="4"/>
      <c r="V671" s="4"/>
    </row>
    <row r="672" spans="1:22" x14ac:dyDescent="0.25">
      <c r="A672" s="9" t="s">
        <v>1810</v>
      </c>
      <c r="B672" s="9" t="str">
        <f t="shared" si="11"/>
        <v>00021973818KOVR</v>
      </c>
      <c r="C672" t="s">
        <v>878</v>
      </c>
      <c r="D672" t="s">
        <v>784</v>
      </c>
      <c r="E672">
        <v>20411454</v>
      </c>
      <c r="F672" t="s">
        <v>1993</v>
      </c>
      <c r="G672" t="s">
        <v>50</v>
      </c>
      <c r="H672" s="1">
        <v>45566</v>
      </c>
      <c r="I672" s="2">
        <v>1</v>
      </c>
      <c r="K672" s="2">
        <v>9</v>
      </c>
      <c r="L672" t="s">
        <v>815</v>
      </c>
      <c r="M672" t="s">
        <v>1965</v>
      </c>
      <c r="P672" s="4"/>
      <c r="Q672" s="4"/>
      <c r="R672" s="4"/>
      <c r="S672" s="4"/>
      <c r="T672" s="4"/>
      <c r="U672" s="4"/>
      <c r="V672" s="4"/>
    </row>
    <row r="673" spans="1:22" x14ac:dyDescent="0.25">
      <c r="A673" s="9" t="s">
        <v>1811</v>
      </c>
      <c r="B673" s="9" t="str">
        <f t="shared" si="11"/>
        <v>00021973839KOVR</v>
      </c>
      <c r="C673" t="s">
        <v>879</v>
      </c>
      <c r="D673" t="s">
        <v>784</v>
      </c>
      <c r="E673">
        <v>20411454</v>
      </c>
      <c r="F673" t="s">
        <v>1993</v>
      </c>
      <c r="G673" t="s">
        <v>50</v>
      </c>
      <c r="H673" s="1">
        <v>45536</v>
      </c>
      <c r="I673" s="2">
        <v>1</v>
      </c>
      <c r="K673" s="2">
        <v>9</v>
      </c>
      <c r="L673" t="s">
        <v>825</v>
      </c>
      <c r="M673" t="s">
        <v>1965</v>
      </c>
      <c r="P673" s="4"/>
      <c r="Q673" s="4"/>
      <c r="R673" s="4"/>
      <c r="S673" s="4"/>
      <c r="T673" s="4"/>
      <c r="U673" s="4"/>
      <c r="V673" s="4"/>
    </row>
    <row r="674" spans="1:22" x14ac:dyDescent="0.25">
      <c r="A674" s="9" t="s">
        <v>1812</v>
      </c>
      <c r="B674" s="9" t="str">
        <f t="shared" si="11"/>
        <v>00021976197KOVR</v>
      </c>
      <c r="C674" t="s">
        <v>880</v>
      </c>
      <c r="D674" t="s">
        <v>784</v>
      </c>
      <c r="E674">
        <v>20411454</v>
      </c>
      <c r="F674" t="s">
        <v>1993</v>
      </c>
      <c r="G674" t="s">
        <v>50</v>
      </c>
      <c r="H674" s="1">
        <v>45536</v>
      </c>
      <c r="I674" s="2">
        <v>1</v>
      </c>
      <c r="K674" s="2">
        <v>9</v>
      </c>
      <c r="L674" t="s">
        <v>815</v>
      </c>
      <c r="M674" t="s">
        <v>1965</v>
      </c>
      <c r="P674" s="4"/>
      <c r="Q674" s="4"/>
      <c r="R674" s="4"/>
      <c r="S674" s="4"/>
      <c r="T674" s="4"/>
      <c r="U674" s="4"/>
      <c r="V674" s="4"/>
    </row>
    <row r="675" spans="1:22" x14ac:dyDescent="0.25">
      <c r="A675" s="9" t="s">
        <v>1813</v>
      </c>
      <c r="B675" s="9" t="str">
        <f t="shared" si="11"/>
        <v>00021996169KOVR</v>
      </c>
      <c r="C675" t="s">
        <v>881</v>
      </c>
      <c r="D675" t="s">
        <v>784</v>
      </c>
      <c r="E675">
        <v>20411454</v>
      </c>
      <c r="F675" t="s">
        <v>1993</v>
      </c>
      <c r="G675" t="s">
        <v>50</v>
      </c>
      <c r="H675" s="1">
        <v>45536</v>
      </c>
      <c r="I675" s="2">
        <v>1</v>
      </c>
      <c r="K675" s="2">
        <v>9</v>
      </c>
      <c r="L675" t="s">
        <v>815</v>
      </c>
      <c r="M675" t="s">
        <v>1965</v>
      </c>
      <c r="P675" s="4"/>
      <c r="Q675" s="4"/>
      <c r="R675" s="4"/>
      <c r="S675" s="4"/>
      <c r="T675" s="4"/>
      <c r="U675" s="4"/>
      <c r="V675" s="4"/>
    </row>
    <row r="676" spans="1:22" x14ac:dyDescent="0.25">
      <c r="A676" s="9" t="s">
        <v>1814</v>
      </c>
      <c r="B676" s="9" t="str">
        <f t="shared" si="11"/>
        <v>00021999707KOVR</v>
      </c>
      <c r="C676" t="s">
        <v>882</v>
      </c>
      <c r="D676" t="s">
        <v>784</v>
      </c>
      <c r="E676">
        <v>20411454</v>
      </c>
      <c r="F676" t="s">
        <v>1993</v>
      </c>
      <c r="G676" t="s">
        <v>50</v>
      </c>
      <c r="H676" s="1">
        <v>45597</v>
      </c>
      <c r="I676" s="2">
        <v>1</v>
      </c>
      <c r="K676" s="2">
        <v>9</v>
      </c>
      <c r="L676" t="s">
        <v>815</v>
      </c>
      <c r="M676" t="s">
        <v>1965</v>
      </c>
      <c r="P676" s="4"/>
      <c r="Q676" s="4"/>
      <c r="R676" s="4"/>
      <c r="S676" s="4"/>
      <c r="T676" s="4"/>
      <c r="U676" s="4"/>
      <c r="V676" s="4"/>
    </row>
    <row r="677" spans="1:22" x14ac:dyDescent="0.25">
      <c r="A677" s="9" t="s">
        <v>1815</v>
      </c>
      <c r="B677" s="9" t="str">
        <f t="shared" si="11"/>
        <v>00022004915KOVR</v>
      </c>
      <c r="C677" t="s">
        <v>883</v>
      </c>
      <c r="D677" t="s">
        <v>784</v>
      </c>
      <c r="E677">
        <v>20411454</v>
      </c>
      <c r="F677" t="s">
        <v>1993</v>
      </c>
      <c r="G677" t="s">
        <v>50</v>
      </c>
      <c r="H677" s="1">
        <v>45536</v>
      </c>
      <c r="I677" s="2">
        <v>1</v>
      </c>
      <c r="K677" s="2">
        <v>9</v>
      </c>
      <c r="L677" t="s">
        <v>825</v>
      </c>
      <c r="M677" t="s">
        <v>1965</v>
      </c>
      <c r="P677" s="4"/>
      <c r="Q677" s="4"/>
      <c r="R677" s="4"/>
      <c r="S677" s="4"/>
      <c r="T677" s="4"/>
      <c r="U677" s="4"/>
      <c r="V677" s="4"/>
    </row>
    <row r="678" spans="1:22" x14ac:dyDescent="0.25">
      <c r="A678" s="9" t="s">
        <v>1816</v>
      </c>
      <c r="B678" s="9" t="str">
        <f t="shared" si="11"/>
        <v>00022011876KOVR</v>
      </c>
      <c r="C678" t="s">
        <v>884</v>
      </c>
      <c r="D678" t="s">
        <v>784</v>
      </c>
      <c r="E678">
        <v>20411454</v>
      </c>
      <c r="F678" t="s">
        <v>1993</v>
      </c>
      <c r="G678" t="s">
        <v>50</v>
      </c>
      <c r="H678" s="1">
        <v>45536</v>
      </c>
      <c r="I678" s="2">
        <v>1</v>
      </c>
      <c r="K678" s="2">
        <v>9</v>
      </c>
      <c r="L678" t="s">
        <v>815</v>
      </c>
      <c r="M678" t="s">
        <v>1965</v>
      </c>
      <c r="P678" s="4"/>
      <c r="Q678" s="4"/>
      <c r="R678" s="4"/>
      <c r="S678" s="4"/>
      <c r="T678" s="4"/>
      <c r="U678" s="4"/>
      <c r="V678" s="4"/>
    </row>
    <row r="679" spans="1:22" x14ac:dyDescent="0.25">
      <c r="A679" s="9" t="s">
        <v>1817</v>
      </c>
      <c r="B679" s="9" t="str">
        <f t="shared" ref="B679:B742" si="12">CONCATENATE(A679,"OVR")</f>
        <v>00022014220KOVR</v>
      </c>
      <c r="C679" t="s">
        <v>885</v>
      </c>
      <c r="D679" t="s">
        <v>784</v>
      </c>
      <c r="E679">
        <v>20411454</v>
      </c>
      <c r="F679" t="s">
        <v>1993</v>
      </c>
      <c r="G679" t="s">
        <v>50</v>
      </c>
      <c r="H679" s="1">
        <v>45536</v>
      </c>
      <c r="I679" s="2">
        <v>1</v>
      </c>
      <c r="K679" s="2">
        <v>9</v>
      </c>
      <c r="L679" t="s">
        <v>815</v>
      </c>
      <c r="M679" t="s">
        <v>1965</v>
      </c>
      <c r="P679" s="4"/>
      <c r="Q679" s="4"/>
      <c r="R679" s="4"/>
      <c r="S679" s="4"/>
      <c r="T679" s="4"/>
      <c r="U679" s="4"/>
      <c r="V679" s="4"/>
    </row>
    <row r="680" spans="1:22" x14ac:dyDescent="0.25">
      <c r="A680" s="9" t="s">
        <v>1818</v>
      </c>
      <c r="B680" s="9" t="str">
        <f t="shared" si="12"/>
        <v>00022021737KOVR</v>
      </c>
      <c r="C680" t="s">
        <v>886</v>
      </c>
      <c r="D680" t="s">
        <v>784</v>
      </c>
      <c r="E680">
        <v>20411454</v>
      </c>
      <c r="F680" t="s">
        <v>1993</v>
      </c>
      <c r="G680" t="s">
        <v>50</v>
      </c>
      <c r="H680" s="1">
        <v>45566</v>
      </c>
      <c r="I680" s="2">
        <v>1</v>
      </c>
      <c r="K680" s="2">
        <v>9</v>
      </c>
      <c r="L680" t="s">
        <v>815</v>
      </c>
      <c r="M680" t="s">
        <v>1965</v>
      </c>
      <c r="P680" s="4"/>
      <c r="Q680" s="4"/>
      <c r="R680" s="4"/>
      <c r="S680" s="4"/>
      <c r="T680" s="4"/>
      <c r="U680" s="4"/>
      <c r="V680" s="4"/>
    </row>
    <row r="681" spans="1:22" x14ac:dyDescent="0.25">
      <c r="A681" s="9" t="s">
        <v>1819</v>
      </c>
      <c r="B681" s="9" t="str">
        <f t="shared" si="12"/>
        <v>00022023339KOVR</v>
      </c>
      <c r="C681" t="s">
        <v>887</v>
      </c>
      <c r="D681" t="s">
        <v>784</v>
      </c>
      <c r="E681">
        <v>20411454</v>
      </c>
      <c r="F681" t="s">
        <v>1993</v>
      </c>
      <c r="G681" t="s">
        <v>50</v>
      </c>
      <c r="H681" s="1">
        <v>45536</v>
      </c>
      <c r="I681" s="2">
        <v>1</v>
      </c>
      <c r="K681" s="2">
        <v>9</v>
      </c>
      <c r="L681" t="s">
        <v>815</v>
      </c>
      <c r="M681" t="s">
        <v>1965</v>
      </c>
      <c r="P681" s="4"/>
      <c r="Q681" s="4"/>
      <c r="R681" s="4"/>
      <c r="S681" s="4"/>
      <c r="T681" s="4"/>
      <c r="U681" s="4"/>
      <c r="V681" s="4"/>
    </row>
    <row r="682" spans="1:22" x14ac:dyDescent="0.25">
      <c r="A682" s="9" t="s">
        <v>1820</v>
      </c>
      <c r="B682" s="9" t="str">
        <f t="shared" si="12"/>
        <v>00022025150KOVR</v>
      </c>
      <c r="C682" t="s">
        <v>888</v>
      </c>
      <c r="D682" t="s">
        <v>784</v>
      </c>
      <c r="E682">
        <v>20411454</v>
      </c>
      <c r="F682" t="s">
        <v>1993</v>
      </c>
      <c r="G682" t="s">
        <v>50</v>
      </c>
      <c r="H682" s="1">
        <v>45566</v>
      </c>
      <c r="I682" s="2">
        <v>1</v>
      </c>
      <c r="K682" s="2">
        <v>9</v>
      </c>
      <c r="L682" t="s">
        <v>825</v>
      </c>
      <c r="M682" t="s">
        <v>1965</v>
      </c>
      <c r="P682" s="4"/>
      <c r="Q682" s="4"/>
      <c r="R682" s="4"/>
      <c r="S682" s="4"/>
      <c r="T682" s="4"/>
      <c r="U682" s="4"/>
      <c r="V682" s="4"/>
    </row>
    <row r="683" spans="1:22" x14ac:dyDescent="0.25">
      <c r="A683" s="9" t="s">
        <v>1821</v>
      </c>
      <c r="B683" s="9" t="str">
        <f t="shared" si="12"/>
        <v>00022026537KOVR</v>
      </c>
      <c r="C683" t="s">
        <v>889</v>
      </c>
      <c r="D683" t="s">
        <v>784</v>
      </c>
      <c r="E683">
        <v>20411454</v>
      </c>
      <c r="F683" t="s">
        <v>1993</v>
      </c>
      <c r="G683" t="s">
        <v>50</v>
      </c>
      <c r="H683" s="1">
        <v>45536</v>
      </c>
      <c r="I683" s="2">
        <v>1</v>
      </c>
      <c r="K683" s="2">
        <v>9</v>
      </c>
      <c r="L683" t="s">
        <v>815</v>
      </c>
      <c r="M683" t="s">
        <v>1965</v>
      </c>
      <c r="P683" s="4"/>
      <c r="Q683" s="4"/>
      <c r="R683" s="4"/>
      <c r="S683" s="4"/>
      <c r="T683" s="4"/>
      <c r="U683" s="4"/>
      <c r="V683" s="4"/>
    </row>
    <row r="684" spans="1:22" x14ac:dyDescent="0.25">
      <c r="A684" s="9" t="s">
        <v>1822</v>
      </c>
      <c r="B684" s="9" t="str">
        <f t="shared" si="12"/>
        <v>00022031158KOVR</v>
      </c>
      <c r="C684" t="s">
        <v>890</v>
      </c>
      <c r="D684" t="s">
        <v>784</v>
      </c>
      <c r="E684">
        <v>20411454</v>
      </c>
      <c r="F684" t="s">
        <v>1993</v>
      </c>
      <c r="G684" t="s">
        <v>50</v>
      </c>
      <c r="H684" s="1">
        <v>45566</v>
      </c>
      <c r="I684" s="2">
        <v>1</v>
      </c>
      <c r="K684" s="2">
        <v>9</v>
      </c>
      <c r="L684" t="s">
        <v>825</v>
      </c>
      <c r="M684" t="s">
        <v>1965</v>
      </c>
      <c r="P684" s="4"/>
      <c r="Q684" s="4"/>
      <c r="R684" s="4"/>
      <c r="S684" s="4"/>
      <c r="T684" s="4"/>
      <c r="U684" s="4"/>
      <c r="V684" s="4"/>
    </row>
    <row r="685" spans="1:22" x14ac:dyDescent="0.25">
      <c r="A685" s="9" t="s">
        <v>1823</v>
      </c>
      <c r="B685" s="9" t="str">
        <f t="shared" si="12"/>
        <v>00022032935KOVR</v>
      </c>
      <c r="C685" t="s">
        <v>891</v>
      </c>
      <c r="D685" t="s">
        <v>784</v>
      </c>
      <c r="E685">
        <v>20411454</v>
      </c>
      <c r="F685" t="s">
        <v>1993</v>
      </c>
      <c r="G685" t="s">
        <v>50</v>
      </c>
      <c r="H685" s="1">
        <v>45566</v>
      </c>
      <c r="I685" s="2">
        <v>1</v>
      </c>
      <c r="K685" s="2">
        <v>9</v>
      </c>
      <c r="L685" t="s">
        <v>825</v>
      </c>
      <c r="M685" t="s">
        <v>1965</v>
      </c>
      <c r="P685" s="4"/>
      <c r="Q685" s="4"/>
      <c r="R685" s="4"/>
      <c r="S685" s="4"/>
      <c r="T685" s="4"/>
      <c r="U685" s="4"/>
      <c r="V685" s="4"/>
    </row>
    <row r="686" spans="1:22" x14ac:dyDescent="0.25">
      <c r="A686" s="9" t="s">
        <v>1824</v>
      </c>
      <c r="B686" s="9" t="str">
        <f t="shared" si="12"/>
        <v>00022033067KOVR</v>
      </c>
      <c r="C686" t="s">
        <v>892</v>
      </c>
      <c r="D686" t="s">
        <v>784</v>
      </c>
      <c r="E686">
        <v>20411454</v>
      </c>
      <c r="F686" t="s">
        <v>1993</v>
      </c>
      <c r="G686" t="s">
        <v>50</v>
      </c>
      <c r="H686" s="1">
        <v>45566</v>
      </c>
      <c r="I686" s="2">
        <v>1</v>
      </c>
      <c r="K686" s="2">
        <v>9</v>
      </c>
      <c r="L686" t="s">
        <v>815</v>
      </c>
      <c r="M686" t="s">
        <v>1965</v>
      </c>
      <c r="P686" s="4"/>
      <c r="Q686" s="4"/>
      <c r="R686" s="4"/>
      <c r="S686" s="4"/>
      <c r="T686" s="4"/>
      <c r="U686" s="4"/>
      <c r="V686" s="4"/>
    </row>
    <row r="687" spans="1:22" x14ac:dyDescent="0.25">
      <c r="A687" s="9" t="s">
        <v>1825</v>
      </c>
      <c r="B687" s="9" t="str">
        <f t="shared" si="12"/>
        <v>00022033172KOVR</v>
      </c>
      <c r="C687" t="s">
        <v>893</v>
      </c>
      <c r="D687" t="s">
        <v>784</v>
      </c>
      <c r="E687">
        <v>20411454</v>
      </c>
      <c r="F687" t="s">
        <v>1993</v>
      </c>
      <c r="G687" t="s">
        <v>50</v>
      </c>
      <c r="H687" s="1">
        <v>45566</v>
      </c>
      <c r="I687" s="2">
        <v>1</v>
      </c>
      <c r="K687" s="2">
        <v>9</v>
      </c>
      <c r="L687" t="s">
        <v>815</v>
      </c>
      <c r="M687" t="s">
        <v>1965</v>
      </c>
      <c r="P687" s="4"/>
      <c r="Q687" s="4"/>
      <c r="R687" s="4"/>
      <c r="S687" s="4"/>
      <c r="T687" s="4"/>
      <c r="U687" s="4"/>
      <c r="V687" s="4"/>
    </row>
    <row r="688" spans="1:22" x14ac:dyDescent="0.25">
      <c r="A688" s="9" t="s">
        <v>1826</v>
      </c>
      <c r="B688" s="9" t="str">
        <f t="shared" si="12"/>
        <v>00022035242KOVR</v>
      </c>
      <c r="C688" t="s">
        <v>894</v>
      </c>
      <c r="D688" t="s">
        <v>784</v>
      </c>
      <c r="E688">
        <v>20411454</v>
      </c>
      <c r="F688" t="s">
        <v>1993</v>
      </c>
      <c r="G688" t="s">
        <v>50</v>
      </c>
      <c r="H688" s="1">
        <v>45566</v>
      </c>
      <c r="I688" s="2">
        <v>1</v>
      </c>
      <c r="K688" s="2">
        <v>9</v>
      </c>
      <c r="L688" t="s">
        <v>825</v>
      </c>
      <c r="M688" t="s">
        <v>1965</v>
      </c>
      <c r="P688" s="4"/>
      <c r="Q688" s="4"/>
      <c r="R688" s="4"/>
      <c r="S688" s="4"/>
      <c r="T688" s="4"/>
      <c r="U688" s="4"/>
      <c r="V688" s="4"/>
    </row>
    <row r="689" spans="1:22" x14ac:dyDescent="0.25">
      <c r="A689" s="9" t="s">
        <v>1827</v>
      </c>
      <c r="B689" s="9" t="str">
        <f t="shared" si="12"/>
        <v>00022040894KOVR</v>
      </c>
      <c r="C689" t="s">
        <v>895</v>
      </c>
      <c r="D689" t="s">
        <v>784</v>
      </c>
      <c r="E689">
        <v>20411454</v>
      </c>
      <c r="F689" t="s">
        <v>1993</v>
      </c>
      <c r="G689" t="s">
        <v>50</v>
      </c>
      <c r="H689" s="1">
        <v>45566</v>
      </c>
      <c r="I689" s="2">
        <v>1</v>
      </c>
      <c r="K689" s="2">
        <v>9</v>
      </c>
      <c r="L689" t="s">
        <v>825</v>
      </c>
      <c r="M689" t="s">
        <v>1965</v>
      </c>
      <c r="P689" s="4"/>
      <c r="Q689" s="4"/>
      <c r="R689" s="4"/>
      <c r="S689" s="4"/>
      <c r="T689" s="4"/>
      <c r="U689" s="4"/>
      <c r="V689" s="4"/>
    </row>
    <row r="690" spans="1:22" x14ac:dyDescent="0.25">
      <c r="A690" s="9" t="s">
        <v>1828</v>
      </c>
      <c r="B690" s="9" t="str">
        <f t="shared" si="12"/>
        <v>00022049020KOVR</v>
      </c>
      <c r="C690" t="s">
        <v>896</v>
      </c>
      <c r="D690" t="s">
        <v>784</v>
      </c>
      <c r="E690">
        <v>20411454</v>
      </c>
      <c r="F690" t="s">
        <v>1993</v>
      </c>
      <c r="G690" t="s">
        <v>50</v>
      </c>
      <c r="H690" s="1">
        <v>45627</v>
      </c>
      <c r="I690" s="2">
        <v>1</v>
      </c>
      <c r="K690" s="2">
        <v>9</v>
      </c>
      <c r="L690" t="s">
        <v>815</v>
      </c>
      <c r="M690" t="s">
        <v>1965</v>
      </c>
      <c r="P690" s="4"/>
      <c r="Q690" s="4"/>
      <c r="R690" s="4"/>
      <c r="S690" s="4"/>
      <c r="T690" s="4"/>
      <c r="U690" s="4"/>
      <c r="V690" s="4"/>
    </row>
    <row r="691" spans="1:22" x14ac:dyDescent="0.25">
      <c r="A691" s="9" t="s">
        <v>1829</v>
      </c>
      <c r="B691" s="9" t="str">
        <f t="shared" si="12"/>
        <v>00022052067KOVR</v>
      </c>
      <c r="C691" t="s">
        <v>897</v>
      </c>
      <c r="D691" t="s">
        <v>784</v>
      </c>
      <c r="E691">
        <v>20411454</v>
      </c>
      <c r="F691" t="s">
        <v>1993</v>
      </c>
      <c r="G691" t="s">
        <v>50</v>
      </c>
      <c r="H691" s="1">
        <v>45566</v>
      </c>
      <c r="I691" s="2">
        <v>1</v>
      </c>
      <c r="K691" s="2">
        <v>9</v>
      </c>
      <c r="L691" t="s">
        <v>825</v>
      </c>
      <c r="M691" t="s">
        <v>1965</v>
      </c>
      <c r="P691" s="4"/>
      <c r="Q691" s="4"/>
      <c r="R691" s="4"/>
      <c r="S691" s="4"/>
      <c r="T691" s="4"/>
      <c r="U691" s="4"/>
      <c r="V691" s="4"/>
    </row>
    <row r="692" spans="1:22" x14ac:dyDescent="0.25">
      <c r="A692" s="9" t="s">
        <v>1830</v>
      </c>
      <c r="B692" s="9" t="str">
        <f t="shared" si="12"/>
        <v>00022063091KOVR</v>
      </c>
      <c r="C692" t="s">
        <v>898</v>
      </c>
      <c r="D692" t="s">
        <v>784</v>
      </c>
      <c r="E692">
        <v>20411454</v>
      </c>
      <c r="F692" t="s">
        <v>1993</v>
      </c>
      <c r="G692" t="s">
        <v>50</v>
      </c>
      <c r="H692" s="1">
        <v>45566</v>
      </c>
      <c r="I692" s="2">
        <v>1</v>
      </c>
      <c r="K692" s="2">
        <v>9</v>
      </c>
      <c r="L692" t="s">
        <v>815</v>
      </c>
      <c r="M692" t="s">
        <v>1965</v>
      </c>
      <c r="P692" s="4"/>
      <c r="Q692" s="4"/>
      <c r="R692" s="4"/>
      <c r="S692" s="4"/>
      <c r="T692" s="4"/>
      <c r="U692" s="4"/>
      <c r="V692" s="4"/>
    </row>
    <row r="693" spans="1:22" x14ac:dyDescent="0.25">
      <c r="A693" s="9" t="s">
        <v>1831</v>
      </c>
      <c r="B693" s="9" t="str">
        <f t="shared" si="12"/>
        <v>00022063543KOVR</v>
      </c>
      <c r="C693" t="s">
        <v>899</v>
      </c>
      <c r="D693" t="s">
        <v>784</v>
      </c>
      <c r="E693">
        <v>20411454</v>
      </c>
      <c r="F693" t="s">
        <v>1993</v>
      </c>
      <c r="G693" t="s">
        <v>50</v>
      </c>
      <c r="H693" s="1">
        <v>45566</v>
      </c>
      <c r="I693" s="2">
        <v>1</v>
      </c>
      <c r="K693" s="2">
        <v>9</v>
      </c>
      <c r="L693" t="s">
        <v>815</v>
      </c>
      <c r="M693" t="s">
        <v>1965</v>
      </c>
      <c r="P693" s="4"/>
      <c r="Q693" s="4"/>
      <c r="R693" s="4"/>
      <c r="S693" s="4"/>
      <c r="T693" s="4"/>
      <c r="U693" s="4"/>
      <c r="V693" s="4"/>
    </row>
    <row r="694" spans="1:22" x14ac:dyDescent="0.25">
      <c r="A694" s="9" t="s">
        <v>1832</v>
      </c>
      <c r="B694" s="9" t="str">
        <f t="shared" si="12"/>
        <v>00022070044KOVR</v>
      </c>
      <c r="C694" t="s">
        <v>900</v>
      </c>
      <c r="D694" t="s">
        <v>784</v>
      </c>
      <c r="E694">
        <v>20411454</v>
      </c>
      <c r="F694" t="s">
        <v>1993</v>
      </c>
      <c r="G694" t="s">
        <v>50</v>
      </c>
      <c r="H694" s="1">
        <v>45597</v>
      </c>
      <c r="I694" s="2">
        <v>1</v>
      </c>
      <c r="K694" s="2">
        <v>9</v>
      </c>
      <c r="L694" t="s">
        <v>815</v>
      </c>
      <c r="M694" t="s">
        <v>1965</v>
      </c>
      <c r="P694" s="4"/>
      <c r="Q694" s="4"/>
      <c r="R694" s="4"/>
      <c r="S694" s="4"/>
      <c r="T694" s="4"/>
      <c r="U694" s="4"/>
      <c r="V694" s="4"/>
    </row>
    <row r="695" spans="1:22" x14ac:dyDescent="0.25">
      <c r="A695" s="9" t="s">
        <v>1833</v>
      </c>
      <c r="B695" s="9" t="str">
        <f t="shared" si="12"/>
        <v>00022074715KOVR</v>
      </c>
      <c r="C695" t="s">
        <v>901</v>
      </c>
      <c r="D695" t="s">
        <v>784</v>
      </c>
      <c r="E695">
        <v>20411454</v>
      </c>
      <c r="F695" t="s">
        <v>1993</v>
      </c>
      <c r="G695" t="s">
        <v>50</v>
      </c>
      <c r="H695" s="1">
        <v>45627</v>
      </c>
      <c r="I695" s="2">
        <v>1</v>
      </c>
      <c r="K695" s="2">
        <v>9</v>
      </c>
      <c r="L695" t="s">
        <v>815</v>
      </c>
      <c r="M695" t="s">
        <v>1965</v>
      </c>
      <c r="P695" s="4"/>
      <c r="Q695" s="4"/>
      <c r="R695" s="4"/>
      <c r="S695" s="4"/>
      <c r="T695" s="4"/>
      <c r="U695" s="4"/>
      <c r="V695" s="4"/>
    </row>
    <row r="696" spans="1:22" x14ac:dyDescent="0.25">
      <c r="A696" s="9" t="s">
        <v>1834</v>
      </c>
      <c r="B696" s="9" t="str">
        <f t="shared" si="12"/>
        <v>00022077041KOVR</v>
      </c>
      <c r="C696" t="s">
        <v>902</v>
      </c>
      <c r="D696" t="s">
        <v>784</v>
      </c>
      <c r="E696">
        <v>20411454</v>
      </c>
      <c r="F696" t="s">
        <v>1993</v>
      </c>
      <c r="G696" t="s">
        <v>50</v>
      </c>
      <c r="H696" s="1">
        <v>45566</v>
      </c>
      <c r="I696" s="2">
        <v>1</v>
      </c>
      <c r="K696" s="2">
        <v>9</v>
      </c>
      <c r="L696" t="s">
        <v>815</v>
      </c>
      <c r="M696" t="s">
        <v>1965</v>
      </c>
      <c r="P696" s="4"/>
      <c r="Q696" s="4"/>
      <c r="R696" s="4"/>
      <c r="S696" s="4"/>
      <c r="T696" s="4"/>
      <c r="U696" s="4"/>
      <c r="V696" s="4"/>
    </row>
    <row r="697" spans="1:22" x14ac:dyDescent="0.25">
      <c r="A697" s="9" t="s">
        <v>1835</v>
      </c>
      <c r="B697" s="9" t="str">
        <f t="shared" si="12"/>
        <v>00022077277KOVR</v>
      </c>
      <c r="C697" t="s">
        <v>903</v>
      </c>
      <c r="D697" t="s">
        <v>784</v>
      </c>
      <c r="E697">
        <v>20411454</v>
      </c>
      <c r="F697" t="s">
        <v>1993</v>
      </c>
      <c r="G697" t="s">
        <v>50</v>
      </c>
      <c r="H697" s="1">
        <v>45566</v>
      </c>
      <c r="I697" s="2">
        <v>1</v>
      </c>
      <c r="K697" s="2">
        <v>9</v>
      </c>
      <c r="L697" t="s">
        <v>815</v>
      </c>
      <c r="M697" t="s">
        <v>1965</v>
      </c>
      <c r="P697" s="4"/>
      <c r="Q697" s="4"/>
      <c r="R697" s="4"/>
      <c r="S697" s="4"/>
      <c r="T697" s="4"/>
      <c r="U697" s="4"/>
      <c r="V697" s="4"/>
    </row>
    <row r="698" spans="1:22" x14ac:dyDescent="0.25">
      <c r="A698" s="9" t="s">
        <v>1836</v>
      </c>
      <c r="B698" s="9" t="str">
        <f t="shared" si="12"/>
        <v>00022078841KOVR</v>
      </c>
      <c r="C698" t="s">
        <v>904</v>
      </c>
      <c r="D698" t="s">
        <v>784</v>
      </c>
      <c r="E698">
        <v>20411454</v>
      </c>
      <c r="F698" t="s">
        <v>1993</v>
      </c>
      <c r="G698" t="s">
        <v>50</v>
      </c>
      <c r="H698" s="1">
        <v>45627</v>
      </c>
      <c r="I698" s="2">
        <v>1</v>
      </c>
      <c r="K698" s="2">
        <v>9</v>
      </c>
      <c r="L698" t="s">
        <v>815</v>
      </c>
      <c r="M698" t="s">
        <v>1965</v>
      </c>
      <c r="P698" s="4"/>
      <c r="Q698" s="4"/>
      <c r="R698" s="4"/>
      <c r="S698" s="4"/>
      <c r="T698" s="4"/>
      <c r="U698" s="4"/>
      <c r="V698" s="4"/>
    </row>
    <row r="699" spans="1:22" x14ac:dyDescent="0.25">
      <c r="A699" s="9" t="s">
        <v>1837</v>
      </c>
      <c r="B699" s="9" t="str">
        <f t="shared" si="12"/>
        <v>00022082807KOVR</v>
      </c>
      <c r="C699" t="s">
        <v>905</v>
      </c>
      <c r="D699" t="s">
        <v>784</v>
      </c>
      <c r="E699">
        <v>20411454</v>
      </c>
      <c r="F699" t="s">
        <v>1993</v>
      </c>
      <c r="G699" t="s">
        <v>50</v>
      </c>
      <c r="H699" s="1">
        <v>45566</v>
      </c>
      <c r="I699" s="2">
        <v>1</v>
      </c>
      <c r="K699" s="2">
        <v>9</v>
      </c>
      <c r="L699" t="s">
        <v>815</v>
      </c>
      <c r="M699" t="s">
        <v>1965</v>
      </c>
      <c r="P699" s="4"/>
      <c r="Q699" s="4"/>
      <c r="R699" s="4"/>
      <c r="S699" s="4"/>
      <c r="T699" s="4"/>
      <c r="U699" s="4"/>
      <c r="V699" s="4"/>
    </row>
    <row r="700" spans="1:22" x14ac:dyDescent="0.25">
      <c r="A700" s="9" t="s">
        <v>1838</v>
      </c>
      <c r="B700" s="9" t="str">
        <f t="shared" si="12"/>
        <v>00022083688KOVR</v>
      </c>
      <c r="C700" t="s">
        <v>906</v>
      </c>
      <c r="D700" t="s">
        <v>784</v>
      </c>
      <c r="E700">
        <v>20411454</v>
      </c>
      <c r="F700" t="s">
        <v>1993</v>
      </c>
      <c r="G700" t="s">
        <v>50</v>
      </c>
      <c r="H700" s="1">
        <v>45566</v>
      </c>
      <c r="I700" s="2">
        <v>1</v>
      </c>
      <c r="K700" s="2">
        <v>9</v>
      </c>
      <c r="L700" t="s">
        <v>815</v>
      </c>
      <c r="M700" t="s">
        <v>1965</v>
      </c>
      <c r="P700" s="4"/>
      <c r="Q700" s="4"/>
      <c r="R700" s="4"/>
      <c r="S700" s="4"/>
      <c r="T700" s="4"/>
      <c r="U700" s="4"/>
      <c r="V700" s="4"/>
    </row>
    <row r="701" spans="1:22" x14ac:dyDescent="0.25">
      <c r="A701" s="9" t="s">
        <v>1839</v>
      </c>
      <c r="B701" s="9" t="str">
        <f t="shared" si="12"/>
        <v>00022084599KOVR</v>
      </c>
      <c r="C701" t="s">
        <v>907</v>
      </c>
      <c r="D701" t="s">
        <v>784</v>
      </c>
      <c r="E701">
        <v>20411454</v>
      </c>
      <c r="F701" t="s">
        <v>1993</v>
      </c>
      <c r="G701" t="s">
        <v>50</v>
      </c>
      <c r="H701" s="1">
        <v>45566</v>
      </c>
      <c r="I701" s="2">
        <v>1</v>
      </c>
      <c r="K701" s="2">
        <v>9</v>
      </c>
      <c r="L701" t="s">
        <v>815</v>
      </c>
      <c r="M701" t="s">
        <v>1965</v>
      </c>
      <c r="P701" s="4"/>
      <c r="Q701" s="4"/>
      <c r="R701" s="4"/>
      <c r="S701" s="4"/>
      <c r="T701" s="4"/>
      <c r="U701" s="4"/>
      <c r="V701" s="4"/>
    </row>
    <row r="702" spans="1:22" x14ac:dyDescent="0.25">
      <c r="A702" s="9" t="s">
        <v>1840</v>
      </c>
      <c r="B702" s="9" t="str">
        <f t="shared" si="12"/>
        <v>00022085271KOVR</v>
      </c>
      <c r="C702" t="s">
        <v>908</v>
      </c>
      <c r="D702" t="s">
        <v>784</v>
      </c>
      <c r="E702">
        <v>20411454</v>
      </c>
      <c r="F702" t="s">
        <v>1993</v>
      </c>
      <c r="G702" t="s">
        <v>50</v>
      </c>
      <c r="H702" s="1">
        <v>45597</v>
      </c>
      <c r="I702" s="2">
        <v>1</v>
      </c>
      <c r="K702" s="2">
        <v>9</v>
      </c>
      <c r="L702" t="s">
        <v>815</v>
      </c>
      <c r="M702" t="s">
        <v>1965</v>
      </c>
      <c r="P702" s="4"/>
      <c r="Q702" s="4"/>
      <c r="R702" s="4"/>
      <c r="S702" s="4"/>
      <c r="T702" s="4"/>
      <c r="U702" s="4"/>
      <c r="V702" s="4"/>
    </row>
    <row r="703" spans="1:22" x14ac:dyDescent="0.25">
      <c r="A703" s="9" t="s">
        <v>1841</v>
      </c>
      <c r="B703" s="9" t="str">
        <f t="shared" si="12"/>
        <v>00022085971KOVR</v>
      </c>
      <c r="C703" t="s">
        <v>909</v>
      </c>
      <c r="D703" t="s">
        <v>784</v>
      </c>
      <c r="E703">
        <v>20411454</v>
      </c>
      <c r="F703" t="s">
        <v>1993</v>
      </c>
      <c r="G703" t="s">
        <v>50</v>
      </c>
      <c r="H703" s="1">
        <v>45566</v>
      </c>
      <c r="I703" s="2">
        <v>1</v>
      </c>
      <c r="K703" s="2">
        <v>9</v>
      </c>
      <c r="L703" t="s">
        <v>815</v>
      </c>
      <c r="M703" t="s">
        <v>1965</v>
      </c>
      <c r="P703" s="4"/>
      <c r="Q703" s="4"/>
      <c r="R703" s="4"/>
      <c r="S703" s="4"/>
      <c r="T703" s="4"/>
      <c r="U703" s="4"/>
      <c r="V703" s="4"/>
    </row>
    <row r="704" spans="1:22" x14ac:dyDescent="0.25">
      <c r="A704" s="9" t="s">
        <v>1842</v>
      </c>
      <c r="B704" s="9" t="str">
        <f t="shared" si="12"/>
        <v>00022087983KOVR</v>
      </c>
      <c r="C704" t="s">
        <v>910</v>
      </c>
      <c r="D704" t="s">
        <v>784</v>
      </c>
      <c r="E704">
        <v>20411454</v>
      </c>
      <c r="F704" t="s">
        <v>1993</v>
      </c>
      <c r="G704" t="s">
        <v>50</v>
      </c>
      <c r="H704" s="1">
        <v>45566</v>
      </c>
      <c r="I704" s="2">
        <v>1</v>
      </c>
      <c r="K704" s="2">
        <v>9</v>
      </c>
      <c r="L704" t="s">
        <v>815</v>
      </c>
      <c r="M704" t="s">
        <v>1965</v>
      </c>
      <c r="P704" s="4"/>
      <c r="Q704" s="4"/>
      <c r="R704" s="4"/>
      <c r="S704" s="4"/>
      <c r="T704" s="4"/>
      <c r="U704" s="4"/>
      <c r="V704" s="4"/>
    </row>
    <row r="705" spans="1:22" x14ac:dyDescent="0.25">
      <c r="A705" s="9" t="s">
        <v>1843</v>
      </c>
      <c r="B705" s="9" t="str">
        <f t="shared" si="12"/>
        <v>00022088151KOVR</v>
      </c>
      <c r="C705" t="s">
        <v>911</v>
      </c>
      <c r="D705" t="s">
        <v>784</v>
      </c>
      <c r="E705">
        <v>20411454</v>
      </c>
      <c r="F705" t="s">
        <v>1993</v>
      </c>
      <c r="G705" t="s">
        <v>50</v>
      </c>
      <c r="H705" s="1">
        <v>45566</v>
      </c>
      <c r="I705" s="2">
        <v>1</v>
      </c>
      <c r="K705" s="2">
        <v>9</v>
      </c>
      <c r="L705" t="s">
        <v>815</v>
      </c>
      <c r="M705" t="s">
        <v>1965</v>
      </c>
      <c r="P705" s="4"/>
      <c r="Q705" s="4"/>
      <c r="R705" s="4"/>
      <c r="S705" s="4"/>
      <c r="T705" s="4"/>
      <c r="U705" s="4"/>
      <c r="V705" s="4"/>
    </row>
    <row r="706" spans="1:22" x14ac:dyDescent="0.25">
      <c r="A706" s="9" t="s">
        <v>1844</v>
      </c>
      <c r="B706" s="9" t="str">
        <f t="shared" si="12"/>
        <v>00022092926KOVR</v>
      </c>
      <c r="C706" t="s">
        <v>912</v>
      </c>
      <c r="D706" t="s">
        <v>784</v>
      </c>
      <c r="E706">
        <v>20411454</v>
      </c>
      <c r="F706" t="s">
        <v>1993</v>
      </c>
      <c r="G706" t="s">
        <v>50</v>
      </c>
      <c r="H706" s="1">
        <v>45566</v>
      </c>
      <c r="I706" s="2">
        <v>1</v>
      </c>
      <c r="K706" s="2">
        <v>9</v>
      </c>
      <c r="L706" t="s">
        <v>815</v>
      </c>
      <c r="M706" t="s">
        <v>1965</v>
      </c>
      <c r="P706" s="4"/>
      <c r="Q706" s="4"/>
      <c r="R706" s="4"/>
      <c r="S706" s="4"/>
      <c r="T706" s="4"/>
      <c r="U706" s="4"/>
      <c r="V706" s="4"/>
    </row>
    <row r="707" spans="1:22" x14ac:dyDescent="0.25">
      <c r="A707" s="9" t="s">
        <v>1845</v>
      </c>
      <c r="B707" s="9" t="str">
        <f t="shared" si="12"/>
        <v>00022094729KOVR</v>
      </c>
      <c r="C707" t="s">
        <v>913</v>
      </c>
      <c r="D707" t="s">
        <v>784</v>
      </c>
      <c r="E707">
        <v>20411454</v>
      </c>
      <c r="F707" t="s">
        <v>1993</v>
      </c>
      <c r="G707" t="s">
        <v>50</v>
      </c>
      <c r="H707" s="1">
        <v>45597</v>
      </c>
      <c r="I707" s="2">
        <v>1</v>
      </c>
      <c r="K707" s="2">
        <v>9</v>
      </c>
      <c r="L707" t="s">
        <v>825</v>
      </c>
      <c r="M707" t="s">
        <v>1965</v>
      </c>
      <c r="P707" s="4"/>
      <c r="Q707" s="4"/>
      <c r="R707" s="4"/>
      <c r="S707" s="4"/>
      <c r="T707" s="4"/>
      <c r="U707" s="4"/>
      <c r="V707" s="4"/>
    </row>
    <row r="708" spans="1:22" x14ac:dyDescent="0.25">
      <c r="A708" s="9" t="s">
        <v>1846</v>
      </c>
      <c r="B708" s="9" t="str">
        <f t="shared" si="12"/>
        <v>00022094985KOVR</v>
      </c>
      <c r="C708" t="s">
        <v>914</v>
      </c>
      <c r="D708" t="s">
        <v>784</v>
      </c>
      <c r="E708">
        <v>20411454</v>
      </c>
      <c r="F708" t="s">
        <v>1993</v>
      </c>
      <c r="G708" t="s">
        <v>50</v>
      </c>
      <c r="H708" s="1">
        <v>45597</v>
      </c>
      <c r="I708" s="2">
        <v>1</v>
      </c>
      <c r="K708" s="2">
        <v>9</v>
      </c>
      <c r="L708" t="s">
        <v>825</v>
      </c>
      <c r="M708" t="s">
        <v>1965</v>
      </c>
      <c r="P708" s="4"/>
      <c r="Q708" s="4"/>
      <c r="R708" s="4"/>
      <c r="S708" s="4"/>
      <c r="T708" s="4"/>
      <c r="U708" s="4"/>
      <c r="V708" s="4"/>
    </row>
    <row r="709" spans="1:22" x14ac:dyDescent="0.25">
      <c r="A709" s="9" t="s">
        <v>1847</v>
      </c>
      <c r="B709" s="9" t="str">
        <f t="shared" si="12"/>
        <v>00022094990KOVR</v>
      </c>
      <c r="C709" t="s">
        <v>915</v>
      </c>
      <c r="D709" t="s">
        <v>784</v>
      </c>
      <c r="E709">
        <v>20411454</v>
      </c>
      <c r="F709" t="s">
        <v>1993</v>
      </c>
      <c r="G709" t="s">
        <v>50</v>
      </c>
      <c r="H709" s="1">
        <v>45566</v>
      </c>
      <c r="I709" s="2">
        <v>1</v>
      </c>
      <c r="K709" s="2">
        <v>9</v>
      </c>
      <c r="L709" t="s">
        <v>815</v>
      </c>
      <c r="M709" t="s">
        <v>1965</v>
      </c>
      <c r="P709" s="4"/>
      <c r="Q709" s="4"/>
      <c r="R709" s="4"/>
      <c r="S709" s="4"/>
      <c r="T709" s="4"/>
      <c r="U709" s="4"/>
      <c r="V709" s="4"/>
    </row>
    <row r="710" spans="1:22" x14ac:dyDescent="0.25">
      <c r="A710" s="9" t="s">
        <v>1848</v>
      </c>
      <c r="B710" s="9" t="str">
        <f t="shared" si="12"/>
        <v>00022095955KOVR</v>
      </c>
      <c r="C710" t="s">
        <v>916</v>
      </c>
      <c r="D710" t="s">
        <v>784</v>
      </c>
      <c r="E710">
        <v>20411454</v>
      </c>
      <c r="F710" t="s">
        <v>1993</v>
      </c>
      <c r="G710" t="s">
        <v>50</v>
      </c>
      <c r="H710" s="1">
        <v>45597</v>
      </c>
      <c r="I710" s="2">
        <v>1</v>
      </c>
      <c r="K710" s="2">
        <v>9</v>
      </c>
      <c r="L710" t="s">
        <v>825</v>
      </c>
      <c r="M710" t="s">
        <v>1965</v>
      </c>
      <c r="P710" s="4"/>
      <c r="Q710" s="4"/>
      <c r="R710" s="4"/>
      <c r="S710" s="4"/>
      <c r="T710" s="4"/>
      <c r="U710" s="4"/>
      <c r="V710" s="4"/>
    </row>
    <row r="711" spans="1:22" x14ac:dyDescent="0.25">
      <c r="A711" s="9" t="s">
        <v>1849</v>
      </c>
      <c r="B711" s="9" t="str">
        <f t="shared" si="12"/>
        <v>00022096948KOVR</v>
      </c>
      <c r="C711" t="s">
        <v>917</v>
      </c>
      <c r="D711" t="s">
        <v>784</v>
      </c>
      <c r="E711">
        <v>20411454</v>
      </c>
      <c r="F711" t="s">
        <v>1993</v>
      </c>
      <c r="G711" t="s">
        <v>50</v>
      </c>
      <c r="H711" s="1">
        <v>45597</v>
      </c>
      <c r="I711" s="2">
        <v>1</v>
      </c>
      <c r="K711" s="2">
        <v>9</v>
      </c>
      <c r="L711" t="s">
        <v>825</v>
      </c>
      <c r="M711" t="s">
        <v>1965</v>
      </c>
      <c r="P711" s="4"/>
      <c r="Q711" s="4"/>
      <c r="R711" s="4"/>
      <c r="S711" s="4"/>
      <c r="T711" s="4"/>
      <c r="U711" s="4"/>
      <c r="V711" s="4"/>
    </row>
    <row r="712" spans="1:22" x14ac:dyDescent="0.25">
      <c r="A712" s="9" t="s">
        <v>1850</v>
      </c>
      <c r="B712" s="9" t="str">
        <f t="shared" si="12"/>
        <v>00022097947KOVR</v>
      </c>
      <c r="C712" t="s">
        <v>918</v>
      </c>
      <c r="D712" t="s">
        <v>784</v>
      </c>
      <c r="E712">
        <v>20411454</v>
      </c>
      <c r="F712" t="s">
        <v>1993</v>
      </c>
      <c r="G712" t="s">
        <v>50</v>
      </c>
      <c r="H712" s="1">
        <v>45597</v>
      </c>
      <c r="I712" s="2">
        <v>1</v>
      </c>
      <c r="K712" s="2">
        <v>9</v>
      </c>
      <c r="L712" t="s">
        <v>825</v>
      </c>
      <c r="M712" t="s">
        <v>1965</v>
      </c>
      <c r="P712" s="4"/>
      <c r="Q712" s="4"/>
      <c r="R712" s="4"/>
      <c r="S712" s="4"/>
      <c r="T712" s="4"/>
      <c r="U712" s="4"/>
      <c r="V712" s="4"/>
    </row>
    <row r="713" spans="1:22" x14ac:dyDescent="0.25">
      <c r="A713" s="9" t="s">
        <v>1851</v>
      </c>
      <c r="B713" s="9" t="str">
        <f t="shared" si="12"/>
        <v>00022106958KOVR</v>
      </c>
      <c r="C713" t="s">
        <v>919</v>
      </c>
      <c r="D713" t="s">
        <v>784</v>
      </c>
      <c r="E713">
        <v>20411454</v>
      </c>
      <c r="F713" t="s">
        <v>1993</v>
      </c>
      <c r="G713" t="s">
        <v>50</v>
      </c>
      <c r="H713" s="1">
        <v>45627</v>
      </c>
      <c r="I713" s="2">
        <v>1</v>
      </c>
      <c r="K713" s="2">
        <v>9</v>
      </c>
      <c r="L713" t="s">
        <v>815</v>
      </c>
      <c r="M713" t="s">
        <v>1965</v>
      </c>
      <c r="P713" s="4"/>
      <c r="Q713" s="4"/>
      <c r="R713" s="4"/>
      <c r="S713" s="4"/>
      <c r="T713" s="4"/>
      <c r="U713" s="4"/>
      <c r="V713" s="4"/>
    </row>
    <row r="714" spans="1:22" x14ac:dyDescent="0.25">
      <c r="A714" s="9" t="s">
        <v>1852</v>
      </c>
      <c r="B714" s="9" t="str">
        <f t="shared" si="12"/>
        <v>00022107554KOVR</v>
      </c>
      <c r="C714" t="s">
        <v>920</v>
      </c>
      <c r="D714" t="s">
        <v>784</v>
      </c>
      <c r="E714">
        <v>20411454</v>
      </c>
      <c r="F714" t="s">
        <v>1993</v>
      </c>
      <c r="G714" t="s">
        <v>50</v>
      </c>
      <c r="H714" s="1">
        <v>45566</v>
      </c>
      <c r="I714" s="2">
        <v>1</v>
      </c>
      <c r="K714" s="2">
        <v>9</v>
      </c>
      <c r="L714" t="s">
        <v>815</v>
      </c>
      <c r="M714" t="s">
        <v>1965</v>
      </c>
      <c r="P714" s="4"/>
      <c r="Q714" s="4"/>
      <c r="R714" s="4"/>
      <c r="S714" s="4"/>
      <c r="T714" s="4"/>
      <c r="U714" s="4"/>
      <c r="V714" s="4"/>
    </row>
    <row r="715" spans="1:22" x14ac:dyDescent="0.25">
      <c r="A715" s="9" t="s">
        <v>1853</v>
      </c>
      <c r="B715" s="9" t="str">
        <f t="shared" si="12"/>
        <v>00022112017KOVR</v>
      </c>
      <c r="C715" t="s">
        <v>921</v>
      </c>
      <c r="D715" t="s">
        <v>784</v>
      </c>
      <c r="E715">
        <v>20411454</v>
      </c>
      <c r="F715" t="s">
        <v>1993</v>
      </c>
      <c r="G715" t="s">
        <v>50</v>
      </c>
      <c r="H715" s="1">
        <v>45597</v>
      </c>
      <c r="I715" s="2">
        <v>1</v>
      </c>
      <c r="K715" s="2">
        <v>9</v>
      </c>
      <c r="L715" t="s">
        <v>815</v>
      </c>
      <c r="M715" t="s">
        <v>1965</v>
      </c>
      <c r="P715" s="4"/>
      <c r="Q715" s="4"/>
      <c r="R715" s="4"/>
      <c r="S715" s="4"/>
      <c r="T715" s="4"/>
      <c r="U715" s="4"/>
      <c r="V715" s="4"/>
    </row>
    <row r="716" spans="1:22" x14ac:dyDescent="0.25">
      <c r="A716" s="9" t="s">
        <v>1854</v>
      </c>
      <c r="B716" s="9" t="str">
        <f t="shared" si="12"/>
        <v>00022137026KOVR</v>
      </c>
      <c r="C716" t="s">
        <v>922</v>
      </c>
      <c r="D716" t="s">
        <v>784</v>
      </c>
      <c r="E716">
        <v>20411454</v>
      </c>
      <c r="F716" t="s">
        <v>1993</v>
      </c>
      <c r="G716" t="s">
        <v>50</v>
      </c>
      <c r="H716" s="1">
        <v>45597</v>
      </c>
      <c r="I716" s="2">
        <v>1</v>
      </c>
      <c r="K716" s="2">
        <v>9</v>
      </c>
      <c r="L716" t="s">
        <v>815</v>
      </c>
      <c r="M716" t="s">
        <v>1965</v>
      </c>
      <c r="P716" s="4"/>
      <c r="Q716" s="4"/>
      <c r="R716" s="4"/>
      <c r="S716" s="4"/>
      <c r="T716" s="4"/>
      <c r="U716" s="4"/>
      <c r="V716" s="4"/>
    </row>
    <row r="717" spans="1:22" x14ac:dyDescent="0.25">
      <c r="A717" s="9" t="s">
        <v>1855</v>
      </c>
      <c r="B717" s="9" t="str">
        <f t="shared" si="12"/>
        <v>00022148995KOVR</v>
      </c>
      <c r="C717" t="s">
        <v>923</v>
      </c>
      <c r="D717" t="s">
        <v>784</v>
      </c>
      <c r="E717">
        <v>20411454</v>
      </c>
      <c r="F717" t="s">
        <v>1993</v>
      </c>
      <c r="G717" t="s">
        <v>50</v>
      </c>
      <c r="H717" s="1">
        <v>45597</v>
      </c>
      <c r="I717" s="2">
        <v>1</v>
      </c>
      <c r="K717" s="2">
        <v>9</v>
      </c>
      <c r="L717" t="s">
        <v>815</v>
      </c>
      <c r="M717" t="s">
        <v>1965</v>
      </c>
      <c r="P717" s="4"/>
      <c r="Q717" s="4"/>
      <c r="R717" s="4"/>
      <c r="S717" s="4"/>
      <c r="T717" s="4"/>
      <c r="U717" s="4"/>
      <c r="V717" s="4"/>
    </row>
    <row r="718" spans="1:22" x14ac:dyDescent="0.25">
      <c r="A718" s="9" t="s">
        <v>1856</v>
      </c>
      <c r="B718" s="9" t="str">
        <f t="shared" si="12"/>
        <v>00022193283KOVR</v>
      </c>
      <c r="C718" t="s">
        <v>924</v>
      </c>
      <c r="D718" t="s">
        <v>784</v>
      </c>
      <c r="E718">
        <v>20411454</v>
      </c>
      <c r="F718" t="s">
        <v>1993</v>
      </c>
      <c r="G718" t="s">
        <v>50</v>
      </c>
      <c r="H718" s="1">
        <v>45627</v>
      </c>
      <c r="I718" s="2">
        <v>1</v>
      </c>
      <c r="K718" s="2">
        <v>9</v>
      </c>
      <c r="L718" t="s">
        <v>815</v>
      </c>
      <c r="M718" t="s">
        <v>1965</v>
      </c>
      <c r="P718" s="4"/>
      <c r="Q718" s="4"/>
      <c r="R718" s="4"/>
      <c r="S718" s="4"/>
      <c r="T718" s="4"/>
      <c r="U718" s="4"/>
      <c r="V718" s="4"/>
    </row>
    <row r="719" spans="1:22" x14ac:dyDescent="0.25">
      <c r="A719" s="9" t="s">
        <v>1857</v>
      </c>
      <c r="B719" s="9" t="str">
        <f t="shared" si="12"/>
        <v>00022198910KOVR</v>
      </c>
      <c r="C719" t="s">
        <v>925</v>
      </c>
      <c r="D719" t="s">
        <v>784</v>
      </c>
      <c r="E719">
        <v>20411454</v>
      </c>
      <c r="F719" t="s">
        <v>1993</v>
      </c>
      <c r="G719" t="s">
        <v>50</v>
      </c>
      <c r="H719" s="1">
        <v>45597</v>
      </c>
      <c r="I719" s="2">
        <v>1</v>
      </c>
      <c r="K719" s="2">
        <v>9</v>
      </c>
      <c r="L719" t="s">
        <v>815</v>
      </c>
      <c r="M719" t="s">
        <v>1965</v>
      </c>
      <c r="P719" s="4"/>
      <c r="Q719" s="4"/>
      <c r="R719" s="4"/>
      <c r="S719" s="4"/>
      <c r="T719" s="4"/>
      <c r="U719" s="4"/>
      <c r="V719" s="4"/>
    </row>
    <row r="720" spans="1:22" x14ac:dyDescent="0.25">
      <c r="A720" s="9" t="s">
        <v>1858</v>
      </c>
      <c r="B720" s="9" t="str">
        <f t="shared" si="12"/>
        <v>00022203514KOVR</v>
      </c>
      <c r="C720" t="s">
        <v>926</v>
      </c>
      <c r="D720" t="s">
        <v>784</v>
      </c>
      <c r="E720">
        <v>20411454</v>
      </c>
      <c r="F720" t="s">
        <v>1993</v>
      </c>
      <c r="G720" t="s">
        <v>50</v>
      </c>
      <c r="H720" s="1">
        <v>45597</v>
      </c>
      <c r="I720" s="2">
        <v>1</v>
      </c>
      <c r="K720" s="2">
        <v>9</v>
      </c>
      <c r="L720" t="s">
        <v>815</v>
      </c>
      <c r="M720" t="s">
        <v>1965</v>
      </c>
      <c r="P720" s="4"/>
      <c r="Q720" s="4"/>
      <c r="R720" s="4"/>
      <c r="S720" s="4"/>
      <c r="T720" s="4"/>
      <c r="U720" s="4"/>
      <c r="V720" s="4"/>
    </row>
    <row r="721" spans="1:22" x14ac:dyDescent="0.25">
      <c r="A721" s="9" t="s">
        <v>1859</v>
      </c>
      <c r="B721" s="9" t="str">
        <f t="shared" si="12"/>
        <v>00022217599KOVR</v>
      </c>
      <c r="C721" t="s">
        <v>927</v>
      </c>
      <c r="D721" t="s">
        <v>784</v>
      </c>
      <c r="E721">
        <v>20411454</v>
      </c>
      <c r="F721" t="s">
        <v>1993</v>
      </c>
      <c r="G721" t="s">
        <v>50</v>
      </c>
      <c r="H721" s="1">
        <v>45566</v>
      </c>
      <c r="I721" s="2">
        <v>1</v>
      </c>
      <c r="K721" s="2">
        <v>9</v>
      </c>
      <c r="L721" t="s">
        <v>815</v>
      </c>
      <c r="M721" t="s">
        <v>1965</v>
      </c>
      <c r="P721" s="4"/>
      <c r="Q721" s="4"/>
      <c r="R721" s="4"/>
      <c r="S721" s="4"/>
      <c r="T721" s="4"/>
      <c r="U721" s="4"/>
      <c r="V721" s="4"/>
    </row>
    <row r="722" spans="1:22" x14ac:dyDescent="0.25">
      <c r="A722" s="9" t="s">
        <v>1860</v>
      </c>
      <c r="B722" s="9" t="str">
        <f t="shared" si="12"/>
        <v>00022235665KOVR</v>
      </c>
      <c r="C722" t="s">
        <v>928</v>
      </c>
      <c r="D722" t="s">
        <v>784</v>
      </c>
      <c r="E722">
        <v>20411454</v>
      </c>
      <c r="F722" t="s">
        <v>1993</v>
      </c>
      <c r="G722" t="s">
        <v>50</v>
      </c>
      <c r="H722" s="1">
        <v>45627</v>
      </c>
      <c r="I722" s="2">
        <v>1</v>
      </c>
      <c r="K722" s="2">
        <v>9</v>
      </c>
      <c r="L722" t="s">
        <v>815</v>
      </c>
      <c r="M722" t="s">
        <v>1965</v>
      </c>
      <c r="P722" s="4"/>
      <c r="Q722" s="4"/>
      <c r="R722" s="4"/>
      <c r="S722" s="4"/>
      <c r="T722" s="4"/>
      <c r="U722" s="4"/>
      <c r="V722" s="4"/>
    </row>
    <row r="723" spans="1:22" x14ac:dyDescent="0.25">
      <c r="A723" s="9" t="s">
        <v>1861</v>
      </c>
      <c r="B723" s="9" t="str">
        <f t="shared" si="12"/>
        <v>00022241122KOVR</v>
      </c>
      <c r="C723" t="s">
        <v>929</v>
      </c>
      <c r="D723" t="s">
        <v>784</v>
      </c>
      <c r="E723">
        <v>20411454</v>
      </c>
      <c r="F723" t="s">
        <v>1993</v>
      </c>
      <c r="G723" t="s">
        <v>50</v>
      </c>
      <c r="H723" s="1">
        <v>45597</v>
      </c>
      <c r="I723" s="2">
        <v>1</v>
      </c>
      <c r="K723" s="2">
        <v>9</v>
      </c>
      <c r="L723" t="s">
        <v>815</v>
      </c>
      <c r="M723" t="s">
        <v>1965</v>
      </c>
      <c r="P723" s="4"/>
      <c r="Q723" s="4"/>
      <c r="R723" s="4"/>
      <c r="S723" s="4"/>
      <c r="T723" s="4"/>
      <c r="U723" s="4"/>
      <c r="V723" s="4"/>
    </row>
    <row r="724" spans="1:22" x14ac:dyDescent="0.25">
      <c r="A724" s="9" t="s">
        <v>1862</v>
      </c>
      <c r="B724" s="9" t="str">
        <f t="shared" si="12"/>
        <v>00022256745KOVR</v>
      </c>
      <c r="C724" t="s">
        <v>930</v>
      </c>
      <c r="D724" t="s">
        <v>784</v>
      </c>
      <c r="E724">
        <v>20411454</v>
      </c>
      <c r="F724" t="s">
        <v>1993</v>
      </c>
      <c r="G724" t="s">
        <v>50</v>
      </c>
      <c r="H724" s="1">
        <v>45597</v>
      </c>
      <c r="I724" s="2">
        <v>1</v>
      </c>
      <c r="K724" s="2">
        <v>9</v>
      </c>
      <c r="L724" t="s">
        <v>815</v>
      </c>
      <c r="M724" t="s">
        <v>1965</v>
      </c>
      <c r="P724" s="4"/>
      <c r="Q724" s="4"/>
      <c r="R724" s="4"/>
      <c r="S724" s="4"/>
      <c r="T724" s="4"/>
      <c r="U724" s="4"/>
      <c r="V724" s="4"/>
    </row>
    <row r="725" spans="1:22" x14ac:dyDescent="0.25">
      <c r="A725" s="9" t="s">
        <v>1863</v>
      </c>
      <c r="B725" s="9" t="str">
        <f t="shared" si="12"/>
        <v>00022351069KOVR</v>
      </c>
      <c r="C725" t="s">
        <v>931</v>
      </c>
      <c r="D725" t="s">
        <v>784</v>
      </c>
      <c r="E725">
        <v>20411454</v>
      </c>
      <c r="F725" t="s">
        <v>1993</v>
      </c>
      <c r="G725" t="s">
        <v>50</v>
      </c>
      <c r="H725" s="1">
        <v>45597</v>
      </c>
      <c r="I725" s="2">
        <v>1</v>
      </c>
      <c r="K725" s="2">
        <v>9</v>
      </c>
      <c r="L725" t="s">
        <v>815</v>
      </c>
      <c r="M725" t="s">
        <v>1965</v>
      </c>
      <c r="P725" s="4"/>
      <c r="Q725" s="4"/>
      <c r="R725" s="4"/>
      <c r="S725" s="4"/>
      <c r="T725" s="4"/>
      <c r="U725" s="4"/>
      <c r="V725" s="4"/>
    </row>
    <row r="726" spans="1:22" x14ac:dyDescent="0.25">
      <c r="A726" s="9" t="s">
        <v>1864</v>
      </c>
      <c r="B726" s="9" t="str">
        <f t="shared" si="12"/>
        <v>00022366455KOVR</v>
      </c>
      <c r="C726" t="s">
        <v>932</v>
      </c>
      <c r="D726" t="s">
        <v>784</v>
      </c>
      <c r="E726">
        <v>20411454</v>
      </c>
      <c r="F726" t="s">
        <v>1993</v>
      </c>
      <c r="G726" t="s">
        <v>50</v>
      </c>
      <c r="H726" s="1">
        <v>45597</v>
      </c>
      <c r="I726" s="2">
        <v>1</v>
      </c>
      <c r="K726" s="2">
        <v>4</v>
      </c>
      <c r="L726" t="s">
        <v>815</v>
      </c>
      <c r="M726" t="s">
        <v>1965</v>
      </c>
      <c r="P726" s="4"/>
      <c r="Q726" s="4"/>
      <c r="R726" s="4"/>
      <c r="S726" s="4"/>
      <c r="T726" s="4"/>
      <c r="U726" s="4"/>
      <c r="V726" s="4"/>
    </row>
    <row r="727" spans="1:22" x14ac:dyDescent="0.25">
      <c r="A727" s="9" t="s">
        <v>1865</v>
      </c>
      <c r="B727" s="9" t="str">
        <f t="shared" si="12"/>
        <v>00022386017KOVR</v>
      </c>
      <c r="C727" t="s">
        <v>933</v>
      </c>
      <c r="D727" t="s">
        <v>784</v>
      </c>
      <c r="E727">
        <v>20411454</v>
      </c>
      <c r="F727" t="s">
        <v>1993</v>
      </c>
      <c r="G727" t="s">
        <v>50</v>
      </c>
      <c r="H727" s="1">
        <v>45597</v>
      </c>
      <c r="I727" s="2">
        <v>1</v>
      </c>
      <c r="K727" s="2">
        <v>9</v>
      </c>
      <c r="L727" t="s">
        <v>815</v>
      </c>
      <c r="M727" t="s">
        <v>1965</v>
      </c>
      <c r="P727" s="4"/>
      <c r="Q727" s="4"/>
      <c r="R727" s="4"/>
      <c r="S727" s="4"/>
      <c r="T727" s="4"/>
      <c r="U727" s="4"/>
      <c r="V727" s="4"/>
    </row>
    <row r="728" spans="1:22" x14ac:dyDescent="0.25">
      <c r="A728" s="9" t="s">
        <v>1866</v>
      </c>
      <c r="B728" s="9" t="str">
        <f t="shared" si="12"/>
        <v>00022406995KOVR</v>
      </c>
      <c r="C728" t="s">
        <v>934</v>
      </c>
      <c r="D728" t="s">
        <v>784</v>
      </c>
      <c r="E728">
        <v>20411454</v>
      </c>
      <c r="F728" t="s">
        <v>1993</v>
      </c>
      <c r="G728" t="s">
        <v>50</v>
      </c>
      <c r="H728" s="1">
        <v>45627</v>
      </c>
      <c r="I728" s="2">
        <v>1</v>
      </c>
      <c r="K728" s="2">
        <v>9</v>
      </c>
      <c r="L728" t="s">
        <v>815</v>
      </c>
      <c r="M728" t="s">
        <v>1965</v>
      </c>
      <c r="P728" s="4"/>
      <c r="Q728" s="4"/>
      <c r="R728" s="4"/>
      <c r="S728" s="4"/>
      <c r="T728" s="4"/>
      <c r="U728" s="4"/>
      <c r="V728" s="4"/>
    </row>
    <row r="729" spans="1:22" x14ac:dyDescent="0.25">
      <c r="A729" s="9" t="s">
        <v>1867</v>
      </c>
      <c r="B729" s="9" t="str">
        <f t="shared" si="12"/>
        <v>00022413863KOVR</v>
      </c>
      <c r="C729" t="s">
        <v>935</v>
      </c>
      <c r="D729" t="s">
        <v>784</v>
      </c>
      <c r="E729">
        <v>20411454</v>
      </c>
      <c r="F729" t="s">
        <v>1993</v>
      </c>
      <c r="G729" t="s">
        <v>50</v>
      </c>
      <c r="H729" s="1">
        <v>45627</v>
      </c>
      <c r="I729" s="2">
        <v>1</v>
      </c>
      <c r="K729" s="2">
        <v>9</v>
      </c>
      <c r="L729" t="s">
        <v>815</v>
      </c>
      <c r="M729" t="s">
        <v>1965</v>
      </c>
      <c r="P729" s="4"/>
      <c r="Q729" s="4"/>
      <c r="R729" s="4"/>
      <c r="S729" s="4"/>
      <c r="T729" s="4"/>
      <c r="U729" s="4"/>
      <c r="V729" s="4"/>
    </row>
    <row r="730" spans="1:22" x14ac:dyDescent="0.25">
      <c r="A730" s="9" t="s">
        <v>1868</v>
      </c>
      <c r="B730" s="9" t="str">
        <f t="shared" si="12"/>
        <v>00022462923KOVR</v>
      </c>
      <c r="C730" t="s">
        <v>936</v>
      </c>
      <c r="D730" t="s">
        <v>784</v>
      </c>
      <c r="E730">
        <v>20411454</v>
      </c>
      <c r="F730" t="s">
        <v>1993</v>
      </c>
      <c r="G730" t="s">
        <v>50</v>
      </c>
      <c r="H730" s="1">
        <v>45627</v>
      </c>
      <c r="I730" s="2">
        <v>1</v>
      </c>
      <c r="K730" s="2">
        <v>9</v>
      </c>
      <c r="L730" t="s">
        <v>815</v>
      </c>
      <c r="M730" t="s">
        <v>1965</v>
      </c>
      <c r="P730" s="4"/>
      <c r="Q730" s="4"/>
      <c r="R730" s="4"/>
      <c r="S730" s="4"/>
      <c r="T730" s="4"/>
      <c r="U730" s="4"/>
      <c r="V730" s="4"/>
    </row>
    <row r="731" spans="1:22" x14ac:dyDescent="0.25">
      <c r="A731" s="9" t="s">
        <v>1869</v>
      </c>
      <c r="B731" s="9" t="str">
        <f t="shared" si="12"/>
        <v>00022466880KOVR</v>
      </c>
      <c r="C731" t="s">
        <v>937</v>
      </c>
      <c r="D731" t="s">
        <v>784</v>
      </c>
      <c r="E731">
        <v>20411454</v>
      </c>
      <c r="F731" t="s">
        <v>1993</v>
      </c>
      <c r="G731" t="s">
        <v>50</v>
      </c>
      <c r="H731" s="1">
        <v>45627</v>
      </c>
      <c r="I731" s="2">
        <v>1</v>
      </c>
      <c r="K731" s="2">
        <v>9</v>
      </c>
      <c r="L731" t="s">
        <v>815</v>
      </c>
      <c r="M731" t="s">
        <v>1965</v>
      </c>
      <c r="P731" s="4"/>
      <c r="Q731" s="4"/>
      <c r="R731" s="4"/>
      <c r="S731" s="4"/>
      <c r="T731" s="4"/>
      <c r="U731" s="4"/>
      <c r="V731" s="4"/>
    </row>
    <row r="732" spans="1:22" x14ac:dyDescent="0.25">
      <c r="A732" s="9" t="s">
        <v>1870</v>
      </c>
      <c r="B732" s="9" t="str">
        <f t="shared" si="12"/>
        <v>00022498051KOVR</v>
      </c>
      <c r="C732" t="s">
        <v>938</v>
      </c>
      <c r="D732" t="s">
        <v>784</v>
      </c>
      <c r="E732">
        <v>20411454</v>
      </c>
      <c r="F732" t="s">
        <v>1993</v>
      </c>
      <c r="G732" t="s">
        <v>50</v>
      </c>
      <c r="H732" s="1">
        <v>45627</v>
      </c>
      <c r="I732" s="2">
        <v>1</v>
      </c>
      <c r="K732" s="2">
        <v>9</v>
      </c>
      <c r="L732" t="s">
        <v>815</v>
      </c>
      <c r="M732" t="s">
        <v>1965</v>
      </c>
      <c r="P732" s="4"/>
      <c r="Q732" s="4"/>
      <c r="R732" s="4"/>
      <c r="S732" s="4"/>
      <c r="T732" s="4"/>
      <c r="U732" s="4"/>
      <c r="V732" s="4"/>
    </row>
    <row r="733" spans="1:22" x14ac:dyDescent="0.25">
      <c r="A733" s="9" t="s">
        <v>1871</v>
      </c>
      <c r="B733" s="9" t="str">
        <f t="shared" si="12"/>
        <v>00022517390KOVR</v>
      </c>
      <c r="C733" t="s">
        <v>939</v>
      </c>
      <c r="D733" t="s">
        <v>784</v>
      </c>
      <c r="E733">
        <v>20411454</v>
      </c>
      <c r="F733" t="s">
        <v>1993</v>
      </c>
      <c r="G733" t="s">
        <v>50</v>
      </c>
      <c r="H733" s="1">
        <v>45627</v>
      </c>
      <c r="I733" s="2">
        <v>1</v>
      </c>
      <c r="K733" s="2">
        <v>9</v>
      </c>
      <c r="L733" t="s">
        <v>815</v>
      </c>
      <c r="M733" t="s">
        <v>1965</v>
      </c>
      <c r="P733" s="4"/>
      <c r="Q733" s="4"/>
      <c r="R733" s="4"/>
      <c r="S733" s="4"/>
      <c r="T733" s="4"/>
      <c r="U733" s="4"/>
      <c r="V733" s="4"/>
    </row>
    <row r="734" spans="1:22" s="4" customFormat="1" x14ac:dyDescent="0.25">
      <c r="A734" s="9" t="s">
        <v>1872</v>
      </c>
      <c r="B734" s="9" t="str">
        <f t="shared" si="12"/>
        <v>00022524693KOVR</v>
      </c>
      <c r="C734" t="s">
        <v>940</v>
      </c>
      <c r="D734" t="s">
        <v>784</v>
      </c>
      <c r="E734">
        <v>20411454</v>
      </c>
      <c r="F734" t="s">
        <v>1993</v>
      </c>
      <c r="G734" t="s">
        <v>50</v>
      </c>
      <c r="H734" s="1">
        <v>45627</v>
      </c>
      <c r="I734" s="2">
        <v>1</v>
      </c>
      <c r="J734"/>
      <c r="K734" s="2">
        <v>9</v>
      </c>
      <c r="L734" t="s">
        <v>815</v>
      </c>
      <c r="M734" t="s">
        <v>1965</v>
      </c>
      <c r="N734"/>
      <c r="O734"/>
    </row>
    <row r="735" spans="1:22" s="4" customFormat="1" x14ac:dyDescent="0.25">
      <c r="A735" s="9" t="s">
        <v>1873</v>
      </c>
      <c r="B735" s="9" t="str">
        <f t="shared" si="12"/>
        <v>00022571242KOVR</v>
      </c>
      <c r="C735" t="s">
        <v>941</v>
      </c>
      <c r="D735" t="s">
        <v>784</v>
      </c>
      <c r="E735">
        <v>20411454</v>
      </c>
      <c r="F735" t="s">
        <v>1993</v>
      </c>
      <c r="G735" t="s">
        <v>50</v>
      </c>
      <c r="H735" s="1">
        <v>45627</v>
      </c>
      <c r="I735" s="2">
        <v>1</v>
      </c>
      <c r="J735"/>
      <c r="K735" s="2">
        <v>9</v>
      </c>
      <c r="L735" t="s">
        <v>815</v>
      </c>
      <c r="M735" t="s">
        <v>1965</v>
      </c>
      <c r="N735"/>
      <c r="O735"/>
    </row>
    <row r="736" spans="1:22" s="4" customFormat="1" x14ac:dyDescent="0.25">
      <c r="A736" s="9" t="s">
        <v>1874</v>
      </c>
      <c r="B736" s="9" t="str">
        <f t="shared" si="12"/>
        <v>00022602838KOVR</v>
      </c>
      <c r="C736" t="s">
        <v>942</v>
      </c>
      <c r="D736" t="s">
        <v>784</v>
      </c>
      <c r="E736">
        <v>20411454</v>
      </c>
      <c r="F736" t="s">
        <v>1993</v>
      </c>
      <c r="G736" t="s">
        <v>50</v>
      </c>
      <c r="H736" s="1">
        <v>45627</v>
      </c>
      <c r="I736" s="2">
        <v>1</v>
      </c>
      <c r="J736"/>
      <c r="K736" s="2">
        <v>9</v>
      </c>
      <c r="L736" t="s">
        <v>815</v>
      </c>
      <c r="M736" t="s">
        <v>1965</v>
      </c>
      <c r="N736"/>
      <c r="O736"/>
    </row>
    <row r="737" spans="1:22" s="4" customFormat="1" x14ac:dyDescent="0.25">
      <c r="A737" s="9" t="s">
        <v>1875</v>
      </c>
      <c r="B737" s="9" t="str">
        <f t="shared" si="12"/>
        <v>00022627896KOVR</v>
      </c>
      <c r="C737" t="s">
        <v>943</v>
      </c>
      <c r="D737" t="s">
        <v>784</v>
      </c>
      <c r="E737">
        <v>20411454</v>
      </c>
      <c r="F737" t="s">
        <v>1993</v>
      </c>
      <c r="G737" t="s">
        <v>50</v>
      </c>
      <c r="H737" s="1">
        <v>45627</v>
      </c>
      <c r="I737" s="2">
        <v>1</v>
      </c>
      <c r="J737"/>
      <c r="K737" s="2">
        <v>9</v>
      </c>
      <c r="L737" t="s">
        <v>815</v>
      </c>
      <c r="M737" t="s">
        <v>1965</v>
      </c>
      <c r="N737"/>
      <c r="O737"/>
    </row>
    <row r="738" spans="1:22" s="4" customFormat="1" x14ac:dyDescent="0.25">
      <c r="A738" s="9" t="s">
        <v>1876</v>
      </c>
      <c r="B738" s="9" t="str">
        <f t="shared" si="12"/>
        <v>00022643625KOVR</v>
      </c>
      <c r="C738" t="s">
        <v>944</v>
      </c>
      <c r="D738" t="s">
        <v>784</v>
      </c>
      <c r="E738">
        <v>20411454</v>
      </c>
      <c r="F738" t="s">
        <v>1993</v>
      </c>
      <c r="G738" t="s">
        <v>50</v>
      </c>
      <c r="H738" s="1">
        <v>45627</v>
      </c>
      <c r="I738" s="2">
        <v>1</v>
      </c>
      <c r="J738"/>
      <c r="K738" s="2">
        <v>9</v>
      </c>
      <c r="L738" t="s">
        <v>815</v>
      </c>
      <c r="M738" t="s">
        <v>1965</v>
      </c>
      <c r="N738"/>
      <c r="O738"/>
      <c r="P738" s="7"/>
      <c r="Q738" s="7"/>
      <c r="R738" s="7"/>
      <c r="S738" s="7"/>
      <c r="T738" s="7"/>
      <c r="U738" s="7"/>
      <c r="V738" s="7"/>
    </row>
    <row r="739" spans="1:22" s="4" customFormat="1" x14ac:dyDescent="0.25">
      <c r="A739" s="9" t="s">
        <v>1877</v>
      </c>
      <c r="B739" s="9" t="str">
        <f t="shared" si="12"/>
        <v>00022646876KOVR</v>
      </c>
      <c r="C739" t="s">
        <v>945</v>
      </c>
      <c r="D739" t="s">
        <v>784</v>
      </c>
      <c r="E739">
        <v>20411454</v>
      </c>
      <c r="F739" t="s">
        <v>1993</v>
      </c>
      <c r="G739" t="s">
        <v>50</v>
      </c>
      <c r="H739" s="1">
        <v>45627</v>
      </c>
      <c r="I739" s="2">
        <v>1</v>
      </c>
      <c r="J739"/>
      <c r="K739" s="2">
        <v>9</v>
      </c>
      <c r="L739" t="s">
        <v>815</v>
      </c>
      <c r="M739" t="s">
        <v>1965</v>
      </c>
      <c r="N739"/>
      <c r="O739"/>
      <c r="P739" s="7"/>
      <c r="Q739" s="7"/>
      <c r="R739" s="7"/>
      <c r="S739" s="7"/>
      <c r="T739" s="7"/>
      <c r="U739" s="7"/>
      <c r="V739" s="7"/>
    </row>
    <row r="740" spans="1:22" s="4" customFormat="1" x14ac:dyDescent="0.25">
      <c r="A740" s="9" t="s">
        <v>1878</v>
      </c>
      <c r="B740" s="9" t="str">
        <f t="shared" si="12"/>
        <v>00022659909KOVR</v>
      </c>
      <c r="C740" t="s">
        <v>946</v>
      </c>
      <c r="D740" t="s">
        <v>784</v>
      </c>
      <c r="E740">
        <v>20411454</v>
      </c>
      <c r="F740" t="s">
        <v>1993</v>
      </c>
      <c r="G740" t="s">
        <v>50</v>
      </c>
      <c r="H740" s="1">
        <v>45627</v>
      </c>
      <c r="I740" s="2">
        <v>1</v>
      </c>
      <c r="J740"/>
      <c r="K740" s="2">
        <v>9</v>
      </c>
      <c r="L740" t="s">
        <v>815</v>
      </c>
      <c r="M740" t="s">
        <v>1965</v>
      </c>
      <c r="N740"/>
      <c r="O740"/>
    </row>
    <row r="741" spans="1:22" s="4" customFormat="1" x14ac:dyDescent="0.25">
      <c r="A741" s="9" t="s">
        <v>1879</v>
      </c>
      <c r="B741" s="9" t="str">
        <f t="shared" si="12"/>
        <v>00022671607KOVR</v>
      </c>
      <c r="C741" t="s">
        <v>947</v>
      </c>
      <c r="D741" t="s">
        <v>784</v>
      </c>
      <c r="E741">
        <v>20411454</v>
      </c>
      <c r="F741" t="s">
        <v>1993</v>
      </c>
      <c r="G741" t="s">
        <v>50</v>
      </c>
      <c r="H741" s="1">
        <v>45627</v>
      </c>
      <c r="I741" s="2">
        <v>1</v>
      </c>
      <c r="J741"/>
      <c r="K741" s="2">
        <v>9</v>
      </c>
      <c r="L741" t="s">
        <v>815</v>
      </c>
      <c r="M741" t="s">
        <v>1965</v>
      </c>
      <c r="N741"/>
      <c r="O741"/>
    </row>
    <row r="742" spans="1:22" s="4" customFormat="1" x14ac:dyDescent="0.25">
      <c r="A742" s="9" t="s">
        <v>1880</v>
      </c>
      <c r="B742" s="9" t="str">
        <f t="shared" si="12"/>
        <v>00022674415KOVR</v>
      </c>
      <c r="C742" t="s">
        <v>948</v>
      </c>
      <c r="D742" t="s">
        <v>784</v>
      </c>
      <c r="E742">
        <v>20411454</v>
      </c>
      <c r="F742" t="s">
        <v>1993</v>
      </c>
      <c r="G742" t="s">
        <v>50</v>
      </c>
      <c r="H742" s="1">
        <v>45627</v>
      </c>
      <c r="I742" s="2">
        <v>1</v>
      </c>
      <c r="J742"/>
      <c r="K742" s="2">
        <v>9</v>
      </c>
      <c r="L742" t="s">
        <v>815</v>
      </c>
      <c r="M742" t="s">
        <v>1965</v>
      </c>
      <c r="N742"/>
      <c r="O742"/>
    </row>
    <row r="743" spans="1:22" s="4" customFormat="1" x14ac:dyDescent="0.25">
      <c r="A743" s="9" t="s">
        <v>1881</v>
      </c>
      <c r="B743" s="9" t="str">
        <f t="shared" ref="B743:B761" si="13">CONCATENATE(A743,"OVR")</f>
        <v>00022688863KOVR</v>
      </c>
      <c r="C743" t="s">
        <v>949</v>
      </c>
      <c r="D743" t="s">
        <v>784</v>
      </c>
      <c r="E743">
        <v>20411454</v>
      </c>
      <c r="F743" t="s">
        <v>1993</v>
      </c>
      <c r="G743" t="s">
        <v>50</v>
      </c>
      <c r="H743" s="1">
        <v>45627</v>
      </c>
      <c r="I743" s="2">
        <v>1</v>
      </c>
      <c r="J743"/>
      <c r="K743" s="2">
        <v>9</v>
      </c>
      <c r="L743" t="s">
        <v>815</v>
      </c>
      <c r="M743" t="s">
        <v>1965</v>
      </c>
      <c r="N743"/>
      <c r="O743"/>
    </row>
    <row r="744" spans="1:22" s="4" customFormat="1" x14ac:dyDescent="0.25">
      <c r="A744" s="9" t="s">
        <v>1882</v>
      </c>
      <c r="B744" s="9" t="str">
        <f t="shared" si="13"/>
        <v>00022698535KOVR</v>
      </c>
      <c r="C744" t="s">
        <v>950</v>
      </c>
      <c r="D744" t="s">
        <v>784</v>
      </c>
      <c r="E744">
        <v>20411454</v>
      </c>
      <c r="F744" t="s">
        <v>1993</v>
      </c>
      <c r="G744" t="s">
        <v>50</v>
      </c>
      <c r="H744" s="1">
        <v>45627</v>
      </c>
      <c r="I744" s="2">
        <v>1</v>
      </c>
      <c r="J744"/>
      <c r="K744" s="2">
        <v>9</v>
      </c>
      <c r="L744" t="s">
        <v>815</v>
      </c>
      <c r="M744" t="s">
        <v>1965</v>
      </c>
      <c r="N744"/>
      <c r="O744"/>
    </row>
    <row r="745" spans="1:22" s="4" customFormat="1" x14ac:dyDescent="0.25">
      <c r="A745" s="9" t="s">
        <v>1883</v>
      </c>
      <c r="B745" s="9" t="str">
        <f t="shared" si="13"/>
        <v>00022763707KOVR</v>
      </c>
      <c r="C745" t="s">
        <v>951</v>
      </c>
      <c r="D745" t="s">
        <v>784</v>
      </c>
      <c r="E745">
        <v>20411454</v>
      </c>
      <c r="F745" t="s">
        <v>1993</v>
      </c>
      <c r="G745" t="s">
        <v>50</v>
      </c>
      <c r="H745" s="1">
        <v>45627</v>
      </c>
      <c r="I745" s="2">
        <v>1</v>
      </c>
      <c r="J745"/>
      <c r="K745" s="2">
        <v>9</v>
      </c>
      <c r="L745" t="s">
        <v>815</v>
      </c>
      <c r="M745" t="s">
        <v>1965</v>
      </c>
      <c r="N745"/>
      <c r="O745"/>
    </row>
    <row r="746" spans="1:22" s="4" customFormat="1" x14ac:dyDescent="0.25">
      <c r="A746" s="9" t="s">
        <v>1478</v>
      </c>
      <c r="B746" s="9" t="str">
        <f t="shared" si="13"/>
        <v>00000825139KOVR</v>
      </c>
      <c r="C746" t="s">
        <v>65</v>
      </c>
      <c r="D746" t="s">
        <v>66</v>
      </c>
      <c r="E746">
        <v>20411454</v>
      </c>
      <c r="F746" t="s">
        <v>1993</v>
      </c>
      <c r="G746" t="s">
        <v>69</v>
      </c>
      <c r="H746" s="1">
        <v>45992</v>
      </c>
      <c r="I746" s="2">
        <v>108</v>
      </c>
      <c r="J746">
        <v>1</v>
      </c>
      <c r="K746" s="2">
        <v>108</v>
      </c>
      <c r="L746"/>
      <c r="M746" t="s">
        <v>1965</v>
      </c>
      <c r="N746"/>
      <c r="O746"/>
    </row>
    <row r="747" spans="1:22" s="4" customFormat="1" x14ac:dyDescent="0.25">
      <c r="A747" s="9" t="s">
        <v>1495</v>
      </c>
      <c r="B747" s="9" t="str">
        <f t="shared" si="13"/>
        <v>00011182221KOVR</v>
      </c>
      <c r="C747" t="s">
        <v>124</v>
      </c>
      <c r="D747" t="s">
        <v>55</v>
      </c>
      <c r="E747">
        <v>20411454</v>
      </c>
      <c r="F747" t="s">
        <v>1993</v>
      </c>
      <c r="G747" t="s">
        <v>69</v>
      </c>
      <c r="H747" s="1">
        <v>46023</v>
      </c>
      <c r="I747" s="2">
        <v>108</v>
      </c>
      <c r="J747">
        <v>1</v>
      </c>
      <c r="K747" s="2">
        <v>108</v>
      </c>
      <c r="L747"/>
      <c r="M747" t="s">
        <v>1965</v>
      </c>
      <c r="N747"/>
      <c r="O747"/>
    </row>
    <row r="748" spans="1:22" s="4" customFormat="1" x14ac:dyDescent="0.25">
      <c r="A748" s="9" t="s">
        <v>1499</v>
      </c>
      <c r="B748" s="9" t="str">
        <f t="shared" si="13"/>
        <v>00012207253KOVR</v>
      </c>
      <c r="C748" t="s">
        <v>132</v>
      </c>
      <c r="D748" t="s">
        <v>55</v>
      </c>
      <c r="E748">
        <v>20411454</v>
      </c>
      <c r="F748" t="s">
        <v>1993</v>
      </c>
      <c r="G748" t="s">
        <v>69</v>
      </c>
      <c r="H748" s="1">
        <v>45962</v>
      </c>
      <c r="I748" s="2">
        <v>108</v>
      </c>
      <c r="J748">
        <v>1</v>
      </c>
      <c r="K748" s="2">
        <v>108</v>
      </c>
      <c r="L748"/>
      <c r="M748" t="s">
        <v>1965</v>
      </c>
      <c r="N748"/>
      <c r="O748"/>
    </row>
    <row r="749" spans="1:22" s="4" customFormat="1" x14ac:dyDescent="0.25">
      <c r="A749" s="9" t="s">
        <v>1500</v>
      </c>
      <c r="B749" s="9" t="str">
        <f t="shared" si="13"/>
        <v>00012224395KOVR</v>
      </c>
      <c r="C749" t="s">
        <v>134</v>
      </c>
      <c r="D749" t="s">
        <v>55</v>
      </c>
      <c r="E749">
        <v>20411454</v>
      </c>
      <c r="F749" t="s">
        <v>1993</v>
      </c>
      <c r="G749" t="s">
        <v>69</v>
      </c>
      <c r="H749" s="1">
        <v>45962</v>
      </c>
      <c r="I749" s="2">
        <v>108</v>
      </c>
      <c r="J749">
        <v>1</v>
      </c>
      <c r="K749" s="2">
        <v>108</v>
      </c>
      <c r="L749"/>
      <c r="M749" t="s">
        <v>1965</v>
      </c>
      <c r="N749"/>
      <c r="O749"/>
    </row>
    <row r="750" spans="1:22" s="4" customFormat="1" x14ac:dyDescent="0.25">
      <c r="A750" s="9" t="s">
        <v>1510</v>
      </c>
      <c r="B750" s="9" t="str">
        <f t="shared" si="13"/>
        <v>00014525232KOVR</v>
      </c>
      <c r="C750" t="s">
        <v>164</v>
      </c>
      <c r="D750" t="s">
        <v>55</v>
      </c>
      <c r="E750">
        <v>20411454</v>
      </c>
      <c r="F750" t="s">
        <v>1993</v>
      </c>
      <c r="G750" t="s">
        <v>69</v>
      </c>
      <c r="H750" s="1">
        <v>46023</v>
      </c>
      <c r="I750" s="2">
        <v>108</v>
      </c>
      <c r="J750">
        <v>1</v>
      </c>
      <c r="K750" s="2">
        <v>108</v>
      </c>
      <c r="L750"/>
      <c r="M750" t="s">
        <v>1965</v>
      </c>
      <c r="N750"/>
      <c r="O750"/>
    </row>
    <row r="751" spans="1:22" s="4" customFormat="1" x14ac:dyDescent="0.25">
      <c r="A751" s="9" t="s">
        <v>1514</v>
      </c>
      <c r="B751" s="9" t="str">
        <f t="shared" si="13"/>
        <v>00015726718KOVR</v>
      </c>
      <c r="C751" t="s">
        <v>176</v>
      </c>
      <c r="D751" t="s">
        <v>55</v>
      </c>
      <c r="E751">
        <v>20411454</v>
      </c>
      <c r="F751" t="s">
        <v>1993</v>
      </c>
      <c r="G751" t="s">
        <v>69</v>
      </c>
      <c r="H751" s="1">
        <v>46023</v>
      </c>
      <c r="I751" s="2">
        <v>108</v>
      </c>
      <c r="J751">
        <v>1</v>
      </c>
      <c r="K751" s="2">
        <v>108</v>
      </c>
      <c r="L751"/>
      <c r="M751" t="s">
        <v>1965</v>
      </c>
      <c r="N751"/>
      <c r="O751"/>
    </row>
    <row r="752" spans="1:22" s="4" customFormat="1" x14ac:dyDescent="0.25">
      <c r="A752" s="9" t="s">
        <v>1516</v>
      </c>
      <c r="B752" s="9" t="str">
        <f t="shared" si="13"/>
        <v>00017029001KOVR</v>
      </c>
      <c r="C752" t="s">
        <v>182</v>
      </c>
      <c r="D752" t="s">
        <v>183</v>
      </c>
      <c r="E752">
        <v>20411454</v>
      </c>
      <c r="F752" t="s">
        <v>1993</v>
      </c>
      <c r="G752" t="s">
        <v>69</v>
      </c>
      <c r="H752" s="1">
        <v>46023</v>
      </c>
      <c r="I752" s="2">
        <v>108</v>
      </c>
      <c r="J752">
        <v>1</v>
      </c>
      <c r="K752" s="2">
        <v>108</v>
      </c>
      <c r="L752"/>
      <c r="M752" t="s">
        <v>1965</v>
      </c>
      <c r="N752"/>
      <c r="O752"/>
    </row>
    <row r="753" spans="1:22" s="4" customFormat="1" x14ac:dyDescent="0.25">
      <c r="A753" s="9" t="s">
        <v>1517</v>
      </c>
      <c r="B753" s="9" t="str">
        <f t="shared" si="13"/>
        <v>00017176926KOVR</v>
      </c>
      <c r="C753" t="s">
        <v>187</v>
      </c>
      <c r="D753" t="s">
        <v>188</v>
      </c>
      <c r="E753">
        <v>20411454</v>
      </c>
      <c r="F753" t="s">
        <v>1993</v>
      </c>
      <c r="G753" t="s">
        <v>69</v>
      </c>
      <c r="H753" s="1">
        <v>45962</v>
      </c>
      <c r="I753" s="2">
        <v>108</v>
      </c>
      <c r="J753">
        <v>1</v>
      </c>
      <c r="K753" s="2">
        <v>108</v>
      </c>
      <c r="L753"/>
      <c r="M753" t="s">
        <v>1965</v>
      </c>
      <c r="N753"/>
      <c r="O753"/>
    </row>
    <row r="754" spans="1:22" s="4" customFormat="1" x14ac:dyDescent="0.25">
      <c r="A754" s="9" t="s">
        <v>1539</v>
      </c>
      <c r="B754" s="9" t="str">
        <f t="shared" si="13"/>
        <v>00022247463KOVR</v>
      </c>
      <c r="C754" t="s">
        <v>245</v>
      </c>
      <c r="D754" t="s">
        <v>246</v>
      </c>
      <c r="E754">
        <v>20411454</v>
      </c>
      <c r="F754" t="s">
        <v>1993</v>
      </c>
      <c r="G754" t="s">
        <v>69</v>
      </c>
      <c r="H754" s="1">
        <v>46023</v>
      </c>
      <c r="I754" s="2">
        <v>108</v>
      </c>
      <c r="J754">
        <v>1</v>
      </c>
      <c r="K754" s="2">
        <v>108</v>
      </c>
      <c r="L754"/>
      <c r="M754" t="s">
        <v>1965</v>
      </c>
      <c r="N754"/>
      <c r="O754"/>
    </row>
    <row r="755" spans="1:22" s="4" customFormat="1" x14ac:dyDescent="0.25">
      <c r="A755" s="9" t="s">
        <v>1540</v>
      </c>
      <c r="B755" s="9" t="str">
        <f t="shared" si="13"/>
        <v>00022248100KOVR</v>
      </c>
      <c r="C755" t="s">
        <v>248</v>
      </c>
      <c r="D755" t="s">
        <v>246</v>
      </c>
      <c r="E755">
        <v>20411454</v>
      </c>
      <c r="F755" t="s">
        <v>1993</v>
      </c>
      <c r="G755" t="s">
        <v>69</v>
      </c>
      <c r="H755" s="1">
        <v>46023</v>
      </c>
      <c r="I755" s="2">
        <v>108</v>
      </c>
      <c r="J755">
        <v>1</v>
      </c>
      <c r="K755" s="2">
        <v>108</v>
      </c>
      <c r="L755"/>
      <c r="M755" t="s">
        <v>1965</v>
      </c>
      <c r="N755"/>
      <c r="O755"/>
    </row>
    <row r="756" spans="1:22" s="4" customFormat="1" x14ac:dyDescent="0.25">
      <c r="A756" s="9" t="s">
        <v>2007</v>
      </c>
      <c r="B756" s="9" t="str">
        <f t="shared" si="13"/>
        <v>00012268041KOVR</v>
      </c>
      <c r="C756" t="s">
        <v>783</v>
      </c>
      <c r="D756" t="s">
        <v>784</v>
      </c>
      <c r="E756">
        <v>20411454</v>
      </c>
      <c r="F756" t="s">
        <v>1993</v>
      </c>
      <c r="G756" t="s">
        <v>69</v>
      </c>
      <c r="H756" s="1">
        <v>45658</v>
      </c>
      <c r="I756"/>
      <c r="J756"/>
      <c r="K756">
        <v>-27</v>
      </c>
      <c r="L756"/>
      <c r="M756" t="s">
        <v>1965</v>
      </c>
      <c r="N756"/>
      <c r="O756"/>
    </row>
    <row r="757" spans="1:22" s="4" customFormat="1" x14ac:dyDescent="0.25">
      <c r="A757" s="9" t="s">
        <v>1517</v>
      </c>
      <c r="B757" s="9" t="str">
        <f t="shared" si="13"/>
        <v>00017176926KOVR</v>
      </c>
      <c r="C757" t="s">
        <v>187</v>
      </c>
      <c r="D757" t="s">
        <v>784</v>
      </c>
      <c r="E757">
        <v>20411454</v>
      </c>
      <c r="F757" t="s">
        <v>1993</v>
      </c>
      <c r="G757" t="s">
        <v>69</v>
      </c>
      <c r="H757" s="1">
        <v>45658</v>
      </c>
      <c r="I757"/>
      <c r="J757"/>
      <c r="K757">
        <v>-18.36</v>
      </c>
      <c r="L757"/>
      <c r="M757" t="s">
        <v>1965</v>
      </c>
      <c r="N757"/>
      <c r="O757"/>
    </row>
    <row r="758" spans="1:22" s="4" customFormat="1" x14ac:dyDescent="0.25">
      <c r="A758" s="9" t="s">
        <v>1754</v>
      </c>
      <c r="B758" s="9" t="str">
        <f t="shared" si="13"/>
        <v>00001672119KOVR</v>
      </c>
      <c r="C758" t="s">
        <v>816</v>
      </c>
      <c r="D758" t="s">
        <v>784</v>
      </c>
      <c r="E758">
        <v>20411454</v>
      </c>
      <c r="F758" t="s">
        <v>1993</v>
      </c>
      <c r="G758" t="s">
        <v>69</v>
      </c>
      <c r="H758" s="1">
        <v>45536</v>
      </c>
      <c r="I758" s="2">
        <v>1</v>
      </c>
      <c r="J758"/>
      <c r="K758" s="2">
        <v>9</v>
      </c>
      <c r="L758" t="s">
        <v>815</v>
      </c>
      <c r="M758" t="s">
        <v>1965</v>
      </c>
      <c r="N758"/>
      <c r="O758"/>
    </row>
    <row r="759" spans="1:22" s="4" customFormat="1" x14ac:dyDescent="0.25">
      <c r="A759" s="9" t="s">
        <v>1759</v>
      </c>
      <c r="B759" s="9" t="str">
        <f t="shared" si="13"/>
        <v>00017505325KOVR</v>
      </c>
      <c r="C759" t="s">
        <v>821</v>
      </c>
      <c r="D759" t="s">
        <v>784</v>
      </c>
      <c r="E759">
        <v>20411454</v>
      </c>
      <c r="F759" t="s">
        <v>1993</v>
      </c>
      <c r="G759" t="s">
        <v>69</v>
      </c>
      <c r="H759" s="1">
        <v>45474</v>
      </c>
      <c r="I759" s="2">
        <v>1</v>
      </c>
      <c r="J759"/>
      <c r="K759" s="2">
        <v>9</v>
      </c>
      <c r="L759" t="s">
        <v>815</v>
      </c>
      <c r="M759" t="s">
        <v>1965</v>
      </c>
      <c r="N759"/>
      <c r="O759"/>
    </row>
    <row r="760" spans="1:22" s="4" customFormat="1" x14ac:dyDescent="0.25">
      <c r="A760" s="9" t="s">
        <v>1761</v>
      </c>
      <c r="B760" s="9" t="str">
        <f t="shared" si="13"/>
        <v>00020054580KOVR</v>
      </c>
      <c r="C760" t="s">
        <v>823</v>
      </c>
      <c r="D760" t="s">
        <v>784</v>
      </c>
      <c r="E760">
        <v>20411454</v>
      </c>
      <c r="F760" t="s">
        <v>1993</v>
      </c>
      <c r="G760" t="s">
        <v>69</v>
      </c>
      <c r="H760" s="1">
        <v>45505</v>
      </c>
      <c r="I760" s="2">
        <v>1</v>
      </c>
      <c r="J760"/>
      <c r="K760" s="2">
        <v>9</v>
      </c>
      <c r="L760" t="s">
        <v>825</v>
      </c>
      <c r="M760" t="s">
        <v>1965</v>
      </c>
      <c r="N760"/>
      <c r="O760"/>
    </row>
    <row r="761" spans="1:22" s="4" customFormat="1" x14ac:dyDescent="0.25">
      <c r="A761" s="9" t="s">
        <v>1763</v>
      </c>
      <c r="B761" s="9" t="str">
        <f t="shared" si="13"/>
        <v>00020751148KOVR</v>
      </c>
      <c r="C761" t="s">
        <v>827</v>
      </c>
      <c r="D761" t="s">
        <v>784</v>
      </c>
      <c r="E761">
        <v>20411454</v>
      </c>
      <c r="F761" t="s">
        <v>1993</v>
      </c>
      <c r="G761" t="s">
        <v>69</v>
      </c>
      <c r="H761" s="1">
        <v>45536</v>
      </c>
      <c r="I761" s="2">
        <v>1</v>
      </c>
      <c r="J761"/>
      <c r="K761" s="2">
        <v>9</v>
      </c>
      <c r="L761" t="s">
        <v>815</v>
      </c>
      <c r="M761" t="s">
        <v>1965</v>
      </c>
      <c r="N761"/>
      <c r="O761"/>
    </row>
    <row r="762" spans="1:22" s="4" customFormat="1" x14ac:dyDescent="0.25">
      <c r="A762" s="10" t="s">
        <v>1604</v>
      </c>
      <c r="B762" s="10" t="s">
        <v>1604</v>
      </c>
      <c r="C762" s="4" t="s">
        <v>406</v>
      </c>
      <c r="D762" s="4" t="s">
        <v>203</v>
      </c>
      <c r="E762" s="4" t="s">
        <v>1994</v>
      </c>
      <c r="F762" s="4" t="s">
        <v>408</v>
      </c>
      <c r="G762" s="4" t="s">
        <v>98</v>
      </c>
      <c r="H762" s="5">
        <v>46023</v>
      </c>
      <c r="I762" s="6">
        <v>15</v>
      </c>
      <c r="J762" s="4">
        <v>1</v>
      </c>
      <c r="K762" s="6">
        <v>15</v>
      </c>
      <c r="M762" s="4" t="s">
        <v>1967</v>
      </c>
      <c r="P762"/>
      <c r="Q762"/>
      <c r="R762"/>
      <c r="S762"/>
      <c r="T762"/>
      <c r="U762"/>
      <c r="V762"/>
    </row>
    <row r="763" spans="1:22" s="4" customFormat="1" x14ac:dyDescent="0.25">
      <c r="A763" s="10" t="s">
        <v>1598</v>
      </c>
      <c r="B763" s="10" t="s">
        <v>1598</v>
      </c>
      <c r="C763" s="4" t="s">
        <v>387</v>
      </c>
      <c r="D763" s="4" t="s">
        <v>203</v>
      </c>
      <c r="E763" s="4">
        <v>19278370</v>
      </c>
      <c r="F763" s="4" t="s">
        <v>389</v>
      </c>
      <c r="G763" s="4" t="s">
        <v>98</v>
      </c>
      <c r="H763" s="5">
        <v>46023</v>
      </c>
      <c r="I763" s="6">
        <v>15</v>
      </c>
      <c r="J763" s="4">
        <v>1</v>
      </c>
      <c r="K763" s="6">
        <v>15</v>
      </c>
      <c r="M763" s="4" t="s">
        <v>1967</v>
      </c>
      <c r="P763"/>
      <c r="Q763"/>
      <c r="R763"/>
      <c r="S763"/>
      <c r="T763"/>
      <c r="U763"/>
      <c r="V763"/>
    </row>
    <row r="764" spans="1:22" s="4" customFormat="1" x14ac:dyDescent="0.25">
      <c r="A764" s="10" t="s">
        <v>1558</v>
      </c>
      <c r="B764" s="10" t="s">
        <v>1558</v>
      </c>
      <c r="C764" s="4" t="s">
        <v>297</v>
      </c>
      <c r="D764" s="4" t="s">
        <v>55</v>
      </c>
      <c r="E764" s="4">
        <v>7146581</v>
      </c>
      <c r="F764" s="4" t="s">
        <v>86</v>
      </c>
      <c r="G764" s="4" t="s">
        <v>98</v>
      </c>
      <c r="H764" s="5">
        <v>46023</v>
      </c>
      <c r="I764" s="6">
        <v>15</v>
      </c>
      <c r="J764" s="4">
        <v>1</v>
      </c>
      <c r="K764" s="6">
        <v>15</v>
      </c>
      <c r="M764" s="4" t="s">
        <v>1967</v>
      </c>
      <c r="P764"/>
      <c r="Q764"/>
      <c r="R764"/>
      <c r="S764"/>
      <c r="T764"/>
      <c r="U764"/>
      <c r="V764"/>
    </row>
    <row r="765" spans="1:22" s="4" customFormat="1" x14ac:dyDescent="0.25">
      <c r="A765" s="10" t="s">
        <v>1630</v>
      </c>
      <c r="B765" s="10" t="s">
        <v>1630</v>
      </c>
      <c r="C765" s="4" t="s">
        <v>465</v>
      </c>
      <c r="D765" s="4" t="s">
        <v>72</v>
      </c>
      <c r="E765" s="4">
        <v>7146581</v>
      </c>
      <c r="F765" s="4" t="s">
        <v>86</v>
      </c>
      <c r="G765" s="4" t="s">
        <v>98</v>
      </c>
      <c r="H765" s="5">
        <v>46023</v>
      </c>
      <c r="I765" s="6">
        <v>15</v>
      </c>
      <c r="J765" s="4">
        <v>1</v>
      </c>
      <c r="K765" s="6">
        <v>15</v>
      </c>
      <c r="M765" s="4" t="s">
        <v>1967</v>
      </c>
      <c r="P765"/>
      <c r="Q765"/>
      <c r="R765"/>
      <c r="S765"/>
      <c r="T765"/>
      <c r="U765"/>
      <c r="V765"/>
    </row>
    <row r="766" spans="1:22" s="4" customFormat="1" x14ac:dyDescent="0.25">
      <c r="A766" s="10" t="s">
        <v>1678</v>
      </c>
      <c r="B766" s="10" t="s">
        <v>1678</v>
      </c>
      <c r="C766" s="4" t="s">
        <v>572</v>
      </c>
      <c r="D766" s="4" t="s">
        <v>55</v>
      </c>
      <c r="E766" s="4">
        <v>21348299</v>
      </c>
      <c r="F766" s="4" t="s">
        <v>574</v>
      </c>
      <c r="G766" s="4" t="s">
        <v>98</v>
      </c>
      <c r="H766" s="5">
        <v>46023</v>
      </c>
      <c r="I766" s="6">
        <v>15</v>
      </c>
      <c r="J766" s="4">
        <v>1</v>
      </c>
      <c r="K766" s="6">
        <v>15</v>
      </c>
      <c r="M766" s="4" t="s">
        <v>1967</v>
      </c>
      <c r="P766"/>
      <c r="Q766"/>
      <c r="R766"/>
      <c r="S766"/>
      <c r="T766"/>
      <c r="U766"/>
      <c r="V766"/>
    </row>
    <row r="767" spans="1:22" s="4" customFormat="1" x14ac:dyDescent="0.25">
      <c r="A767" s="10" t="s">
        <v>1699</v>
      </c>
      <c r="B767" s="10" t="s">
        <v>1699</v>
      </c>
      <c r="C767" s="4" t="s">
        <v>618</v>
      </c>
      <c r="D767" s="4" t="s">
        <v>55</v>
      </c>
      <c r="E767" s="4">
        <v>19586992</v>
      </c>
      <c r="F767" s="4" t="s">
        <v>531</v>
      </c>
      <c r="G767" s="4" t="s">
        <v>98</v>
      </c>
      <c r="H767" s="5">
        <v>46054</v>
      </c>
      <c r="I767" s="6">
        <v>15</v>
      </c>
      <c r="J767" s="4">
        <v>1</v>
      </c>
      <c r="K767" s="6">
        <v>15</v>
      </c>
      <c r="M767" s="4" t="s">
        <v>1967</v>
      </c>
      <c r="P767"/>
      <c r="Q767"/>
      <c r="R767"/>
      <c r="S767"/>
      <c r="T767"/>
      <c r="U767"/>
      <c r="V767"/>
    </row>
    <row r="768" spans="1:22" s="4" customFormat="1" x14ac:dyDescent="0.25">
      <c r="A768" s="10" t="s">
        <v>1719</v>
      </c>
      <c r="B768" s="10" t="s">
        <v>1719</v>
      </c>
      <c r="C768" s="4" t="s">
        <v>661</v>
      </c>
      <c r="D768" s="4" t="s">
        <v>55</v>
      </c>
      <c r="E768" s="4">
        <v>19586992</v>
      </c>
      <c r="F768" s="4" t="s">
        <v>531</v>
      </c>
      <c r="G768" s="4" t="s">
        <v>98</v>
      </c>
      <c r="H768" s="5">
        <v>46023</v>
      </c>
      <c r="I768" s="6">
        <v>15</v>
      </c>
      <c r="J768" s="4">
        <v>1</v>
      </c>
      <c r="K768" s="6">
        <v>15</v>
      </c>
      <c r="M768" s="4" t="s">
        <v>1967</v>
      </c>
      <c r="P768"/>
      <c r="Q768"/>
      <c r="R768"/>
      <c r="S768"/>
      <c r="T768"/>
      <c r="U768"/>
      <c r="V768"/>
    </row>
    <row r="769" spans="1:22" s="4" customFormat="1" x14ac:dyDescent="0.25">
      <c r="A769" s="10" t="s">
        <v>1731</v>
      </c>
      <c r="B769" s="10" t="s">
        <v>1731</v>
      </c>
      <c r="C769" s="4" t="s">
        <v>687</v>
      </c>
      <c r="D769" s="4" t="s">
        <v>147</v>
      </c>
      <c r="E769" s="4">
        <v>19586992</v>
      </c>
      <c r="F769" s="4" t="s">
        <v>531</v>
      </c>
      <c r="G769" s="4" t="s">
        <v>98</v>
      </c>
      <c r="H769" s="5">
        <v>46023</v>
      </c>
      <c r="I769" s="6">
        <v>15</v>
      </c>
      <c r="J769" s="4">
        <v>1</v>
      </c>
      <c r="K769" s="6">
        <v>15</v>
      </c>
      <c r="M769" s="4" t="s">
        <v>1967</v>
      </c>
      <c r="P769"/>
      <c r="Q769"/>
      <c r="R769"/>
      <c r="S769"/>
      <c r="T769"/>
      <c r="U769"/>
      <c r="V769"/>
    </row>
    <row r="770" spans="1:22" s="4" customFormat="1" x14ac:dyDescent="0.25">
      <c r="A770" s="10" t="s">
        <v>1701</v>
      </c>
      <c r="B770" s="10" t="s">
        <v>1701</v>
      </c>
      <c r="C770" s="4" t="s">
        <v>622</v>
      </c>
      <c r="D770" s="4" t="s">
        <v>203</v>
      </c>
      <c r="E770" s="4">
        <v>17425766</v>
      </c>
      <c r="F770" s="4" t="s">
        <v>624</v>
      </c>
      <c r="G770" s="4" t="s">
        <v>98</v>
      </c>
      <c r="H770" s="5">
        <v>46023</v>
      </c>
      <c r="I770" s="6">
        <v>15</v>
      </c>
      <c r="J770" s="4">
        <v>1</v>
      </c>
      <c r="K770" s="6">
        <v>15</v>
      </c>
      <c r="M770" s="4" t="s">
        <v>1967</v>
      </c>
      <c r="P770"/>
      <c r="Q770"/>
      <c r="R770"/>
      <c r="S770"/>
      <c r="T770"/>
      <c r="U770"/>
      <c r="V770"/>
    </row>
    <row r="771" spans="1:22" s="4" customFormat="1" x14ac:dyDescent="0.25">
      <c r="A771" s="10" t="s">
        <v>1492</v>
      </c>
      <c r="B771" s="10" t="s">
        <v>1492</v>
      </c>
      <c r="C771" s="4" t="s">
        <v>116</v>
      </c>
      <c r="D771" s="4" t="s">
        <v>55</v>
      </c>
      <c r="E771" s="4">
        <v>19268643</v>
      </c>
      <c r="F771" s="4" t="s">
        <v>118</v>
      </c>
      <c r="G771" s="4" t="s">
        <v>98</v>
      </c>
      <c r="H771" s="5">
        <v>46023</v>
      </c>
      <c r="I771" s="6">
        <v>15</v>
      </c>
      <c r="J771" s="4">
        <v>1</v>
      </c>
      <c r="K771" s="6">
        <v>15</v>
      </c>
      <c r="M771" s="4" t="s">
        <v>1967</v>
      </c>
      <c r="P771"/>
      <c r="Q771"/>
      <c r="R771"/>
      <c r="S771"/>
      <c r="T771"/>
      <c r="U771"/>
      <c r="V771"/>
    </row>
    <row r="772" spans="1:22" s="4" customFormat="1" x14ac:dyDescent="0.25">
      <c r="A772" s="10" t="s">
        <v>1493</v>
      </c>
      <c r="B772" s="10" t="s">
        <v>1493</v>
      </c>
      <c r="C772" s="4" t="s">
        <v>120</v>
      </c>
      <c r="D772" s="4" t="s">
        <v>55</v>
      </c>
      <c r="E772" s="4">
        <v>19268643</v>
      </c>
      <c r="F772" s="4" t="s">
        <v>118</v>
      </c>
      <c r="G772" s="4" t="s">
        <v>98</v>
      </c>
      <c r="H772" s="5">
        <v>46023</v>
      </c>
      <c r="I772" s="6">
        <v>15</v>
      </c>
      <c r="J772" s="4">
        <v>1</v>
      </c>
      <c r="K772" s="6">
        <v>15</v>
      </c>
      <c r="M772" s="4" t="s">
        <v>1967</v>
      </c>
      <c r="P772"/>
      <c r="Q772"/>
      <c r="R772"/>
      <c r="S772"/>
      <c r="T772"/>
      <c r="U772"/>
      <c r="V772"/>
    </row>
    <row r="773" spans="1:22" s="4" customFormat="1" x14ac:dyDescent="0.25">
      <c r="A773" s="10" t="s">
        <v>1712</v>
      </c>
      <c r="B773" s="10" t="s">
        <v>1712</v>
      </c>
      <c r="C773" s="4" t="s">
        <v>118</v>
      </c>
      <c r="D773" s="4" t="s">
        <v>55</v>
      </c>
      <c r="E773" s="4">
        <v>19268643</v>
      </c>
      <c r="F773" s="4" t="s">
        <v>118</v>
      </c>
      <c r="G773" s="4" t="s">
        <v>98</v>
      </c>
      <c r="H773" s="5">
        <v>46023</v>
      </c>
      <c r="I773" s="6">
        <v>15</v>
      </c>
      <c r="J773" s="4">
        <v>1</v>
      </c>
      <c r="K773" s="6">
        <v>15</v>
      </c>
      <c r="M773" s="4" t="s">
        <v>1967</v>
      </c>
      <c r="P773"/>
      <c r="Q773"/>
      <c r="R773"/>
      <c r="S773"/>
      <c r="T773"/>
      <c r="U773"/>
      <c r="V773"/>
    </row>
    <row r="774" spans="1:22" s="4" customFormat="1" x14ac:dyDescent="0.25">
      <c r="A774" s="10" t="s">
        <v>1485</v>
      </c>
      <c r="B774" s="10" t="s">
        <v>1485</v>
      </c>
      <c r="C774" s="4" t="s">
        <v>95</v>
      </c>
      <c r="D774" s="4" t="s">
        <v>55</v>
      </c>
      <c r="E774" s="4">
        <v>20003537</v>
      </c>
      <c r="F774" s="4" t="s">
        <v>97</v>
      </c>
      <c r="G774" s="4" t="s">
        <v>98</v>
      </c>
      <c r="H774" s="5">
        <v>46023</v>
      </c>
      <c r="I774" s="6">
        <v>15</v>
      </c>
      <c r="J774" s="4">
        <v>1</v>
      </c>
      <c r="K774" s="6">
        <v>15</v>
      </c>
      <c r="M774" s="4" t="s">
        <v>1967</v>
      </c>
      <c r="P774"/>
      <c r="Q774"/>
      <c r="R774"/>
      <c r="S774"/>
      <c r="T774"/>
      <c r="U774"/>
      <c r="V774"/>
    </row>
    <row r="775" spans="1:22" s="4" customFormat="1" x14ac:dyDescent="0.25">
      <c r="A775" s="10" t="s">
        <v>1504</v>
      </c>
      <c r="B775" s="10" t="s">
        <v>1504</v>
      </c>
      <c r="C775" s="4" t="s">
        <v>146</v>
      </c>
      <c r="D775" s="4" t="s">
        <v>147</v>
      </c>
      <c r="E775" s="4">
        <v>20003537</v>
      </c>
      <c r="F775" s="4" t="s">
        <v>97</v>
      </c>
      <c r="G775" s="4" t="s">
        <v>98</v>
      </c>
      <c r="H775" s="5">
        <v>46023</v>
      </c>
      <c r="I775" s="6">
        <v>15</v>
      </c>
      <c r="J775" s="4">
        <v>1</v>
      </c>
      <c r="K775" s="6">
        <v>15</v>
      </c>
      <c r="M775" s="4" t="s">
        <v>1967</v>
      </c>
      <c r="P775"/>
      <c r="Q775"/>
      <c r="R775"/>
      <c r="S775"/>
      <c r="T775"/>
      <c r="U775"/>
      <c r="V775"/>
    </row>
    <row r="776" spans="1:22" s="4" customFormat="1" x14ac:dyDescent="0.25">
      <c r="A776" s="10" t="s">
        <v>1502</v>
      </c>
      <c r="B776" s="10" t="s">
        <v>1502</v>
      </c>
      <c r="C776" s="4" t="s">
        <v>138</v>
      </c>
      <c r="D776" s="4" t="s">
        <v>55</v>
      </c>
      <c r="E776" s="4">
        <v>8325282</v>
      </c>
      <c r="F776" s="4" t="s">
        <v>140</v>
      </c>
      <c r="G776" s="4" t="s">
        <v>98</v>
      </c>
      <c r="H776" s="5">
        <v>46023</v>
      </c>
      <c r="I776" s="6">
        <v>15</v>
      </c>
      <c r="J776" s="4">
        <v>1</v>
      </c>
      <c r="K776" s="6">
        <v>15</v>
      </c>
      <c r="M776" s="4" t="s">
        <v>1967</v>
      </c>
      <c r="P776"/>
      <c r="Q776"/>
      <c r="R776"/>
      <c r="S776"/>
      <c r="T776"/>
      <c r="U776"/>
      <c r="V776"/>
    </row>
    <row r="777" spans="1:22" s="4" customFormat="1" x14ac:dyDescent="0.25">
      <c r="A777" s="10" t="s">
        <v>1533</v>
      </c>
      <c r="B777" s="10" t="s">
        <v>1533</v>
      </c>
      <c r="C777" s="4" t="s">
        <v>233</v>
      </c>
      <c r="D777" s="4" t="s">
        <v>55</v>
      </c>
      <c r="E777" s="4">
        <v>8325282</v>
      </c>
      <c r="F777" s="4" t="s">
        <v>140</v>
      </c>
      <c r="G777" s="4" t="s">
        <v>98</v>
      </c>
      <c r="H777" s="5">
        <v>46023</v>
      </c>
      <c r="I777" s="6">
        <v>15</v>
      </c>
      <c r="J777" s="4">
        <v>1</v>
      </c>
      <c r="K777" s="6">
        <v>15</v>
      </c>
      <c r="M777" s="4" t="s">
        <v>1967</v>
      </c>
      <c r="P777"/>
      <c r="Q777"/>
      <c r="R777"/>
      <c r="S777"/>
      <c r="T777"/>
      <c r="U777"/>
      <c r="V777"/>
    </row>
    <row r="778" spans="1:22" s="4" customFormat="1" x14ac:dyDescent="0.25">
      <c r="A778" s="10" t="s">
        <v>1570</v>
      </c>
      <c r="B778" s="10" t="s">
        <v>1570</v>
      </c>
      <c r="C778" s="4" t="s">
        <v>321</v>
      </c>
      <c r="D778" s="4" t="s">
        <v>55</v>
      </c>
      <c r="E778" s="4">
        <v>8325282</v>
      </c>
      <c r="F778" s="4" t="s">
        <v>140</v>
      </c>
      <c r="G778" s="4" t="s">
        <v>98</v>
      </c>
      <c r="H778" s="5">
        <v>46023</v>
      </c>
      <c r="I778" s="6">
        <v>15</v>
      </c>
      <c r="J778" s="4">
        <v>1</v>
      </c>
      <c r="K778" s="6">
        <v>15</v>
      </c>
      <c r="M778" s="4" t="s">
        <v>1967</v>
      </c>
      <c r="P778"/>
      <c r="Q778"/>
      <c r="R778"/>
      <c r="S778"/>
      <c r="T778"/>
      <c r="U778"/>
      <c r="V778"/>
    </row>
    <row r="779" spans="1:22" s="4" customFormat="1" x14ac:dyDescent="0.25">
      <c r="A779" s="10" t="s">
        <v>1605</v>
      </c>
      <c r="B779" s="10" t="s">
        <v>1605</v>
      </c>
      <c r="C779" s="4" t="s">
        <v>410</v>
      </c>
      <c r="D779" s="4" t="s">
        <v>55</v>
      </c>
      <c r="E779" s="4">
        <v>8325282</v>
      </c>
      <c r="F779" s="4" t="s">
        <v>140</v>
      </c>
      <c r="G779" s="4" t="s">
        <v>98</v>
      </c>
      <c r="H779" s="5">
        <v>46023</v>
      </c>
      <c r="I779" s="6">
        <v>15</v>
      </c>
      <c r="J779" s="4">
        <v>1</v>
      </c>
      <c r="K779" s="6">
        <v>15</v>
      </c>
      <c r="M779" s="4" t="s">
        <v>1967</v>
      </c>
      <c r="P779"/>
      <c r="Q779"/>
      <c r="R779"/>
      <c r="S779"/>
      <c r="T779"/>
      <c r="U779"/>
      <c r="V779"/>
    </row>
    <row r="780" spans="1:22" s="4" customFormat="1" x14ac:dyDescent="0.25">
      <c r="A780" s="10" t="s">
        <v>1623</v>
      </c>
      <c r="B780" s="10" t="s">
        <v>1623</v>
      </c>
      <c r="C780" s="4" t="s">
        <v>450</v>
      </c>
      <c r="D780" s="4" t="s">
        <v>55</v>
      </c>
      <c r="E780" s="4">
        <v>8325282</v>
      </c>
      <c r="F780" s="4" t="s">
        <v>140</v>
      </c>
      <c r="G780" s="4" t="s">
        <v>98</v>
      </c>
      <c r="H780" s="5">
        <v>46023</v>
      </c>
      <c r="I780" s="6">
        <v>15</v>
      </c>
      <c r="J780" s="4">
        <v>1</v>
      </c>
      <c r="K780" s="6">
        <v>15</v>
      </c>
      <c r="M780" s="4" t="s">
        <v>1967</v>
      </c>
      <c r="P780"/>
      <c r="Q780"/>
      <c r="R780"/>
      <c r="S780"/>
      <c r="T780"/>
      <c r="U780"/>
      <c r="V780"/>
    </row>
    <row r="781" spans="1:22" s="4" customFormat="1" x14ac:dyDescent="0.25">
      <c r="A781" s="10" t="s">
        <v>1702</v>
      </c>
      <c r="B781" s="10" t="s">
        <v>1702</v>
      </c>
      <c r="C781" s="4" t="s">
        <v>626</v>
      </c>
      <c r="D781" s="4" t="s">
        <v>55</v>
      </c>
      <c r="E781" s="4">
        <v>8325282</v>
      </c>
      <c r="F781" s="4" t="s">
        <v>140</v>
      </c>
      <c r="G781" s="4" t="s">
        <v>98</v>
      </c>
      <c r="H781" s="5">
        <v>46023</v>
      </c>
      <c r="I781" s="6">
        <v>15</v>
      </c>
      <c r="J781" s="4">
        <v>1</v>
      </c>
      <c r="K781" s="6">
        <v>15</v>
      </c>
      <c r="M781" s="4" t="s">
        <v>1967</v>
      </c>
      <c r="P781"/>
      <c r="Q781"/>
      <c r="R781"/>
      <c r="S781"/>
      <c r="T781"/>
      <c r="U781"/>
      <c r="V781"/>
    </row>
    <row r="782" spans="1:22" s="4" customFormat="1" x14ac:dyDescent="0.25">
      <c r="A782" s="10" t="s">
        <v>1707</v>
      </c>
      <c r="B782" s="10" t="s">
        <v>1707</v>
      </c>
      <c r="C782" s="4" t="s">
        <v>636</v>
      </c>
      <c r="D782" s="4" t="s">
        <v>55</v>
      </c>
      <c r="E782" s="4">
        <v>8325282</v>
      </c>
      <c r="F782" s="4" t="s">
        <v>140</v>
      </c>
      <c r="G782" s="4" t="s">
        <v>98</v>
      </c>
      <c r="H782" s="5">
        <v>46023</v>
      </c>
      <c r="I782" s="6">
        <v>15</v>
      </c>
      <c r="J782" s="4">
        <v>1</v>
      </c>
      <c r="K782" s="6">
        <v>15</v>
      </c>
      <c r="M782" s="4" t="s">
        <v>1967</v>
      </c>
      <c r="P782"/>
      <c r="Q782"/>
      <c r="R782"/>
      <c r="S782"/>
      <c r="T782"/>
      <c r="U782"/>
      <c r="V782"/>
    </row>
    <row r="783" spans="1:22" s="4" customFormat="1" x14ac:dyDescent="0.25">
      <c r="A783" s="10" t="s">
        <v>1555</v>
      </c>
      <c r="B783" s="10" t="s">
        <v>1555</v>
      </c>
      <c r="C783" s="4" t="s">
        <v>288</v>
      </c>
      <c r="D783" s="4" t="s">
        <v>66</v>
      </c>
      <c r="E783" s="4">
        <v>21749481</v>
      </c>
      <c r="F783" s="4" t="s">
        <v>290</v>
      </c>
      <c r="G783" s="4" t="s">
        <v>98</v>
      </c>
      <c r="H783" s="5">
        <v>46023</v>
      </c>
      <c r="I783" s="6">
        <v>15</v>
      </c>
      <c r="J783" s="4">
        <v>1</v>
      </c>
      <c r="K783" s="6">
        <v>15</v>
      </c>
      <c r="M783" s="4" t="s">
        <v>1967</v>
      </c>
      <c r="P783"/>
      <c r="Q783"/>
      <c r="R783"/>
      <c r="S783"/>
      <c r="T783"/>
      <c r="U783"/>
      <c r="V783"/>
    </row>
    <row r="784" spans="1:22" s="4" customFormat="1" x14ac:dyDescent="0.25">
      <c r="A784" s="10" t="s">
        <v>1488</v>
      </c>
      <c r="B784" s="10" t="s">
        <v>1488</v>
      </c>
      <c r="C784" s="4" t="s">
        <v>106</v>
      </c>
      <c r="D784" s="4" t="s">
        <v>72</v>
      </c>
      <c r="E784" s="4">
        <v>16849453</v>
      </c>
      <c r="F784" s="4" t="s">
        <v>74</v>
      </c>
      <c r="G784" s="4" t="s">
        <v>98</v>
      </c>
      <c r="H784" s="5">
        <v>46023</v>
      </c>
      <c r="I784" s="6">
        <v>15</v>
      </c>
      <c r="J784" s="4">
        <v>1</v>
      </c>
      <c r="K784" s="6">
        <v>15</v>
      </c>
      <c r="M784" s="4" t="s">
        <v>1967</v>
      </c>
      <c r="P784"/>
      <c r="Q784"/>
      <c r="R784"/>
      <c r="S784"/>
      <c r="T784"/>
      <c r="U784"/>
      <c r="V784"/>
    </row>
    <row r="785" spans="1:22" s="4" customFormat="1" x14ac:dyDescent="0.25">
      <c r="A785" s="10" t="s">
        <v>1567</v>
      </c>
      <c r="B785" s="10" t="s">
        <v>1567</v>
      </c>
      <c r="C785" s="4" t="s">
        <v>315</v>
      </c>
      <c r="D785" s="4" t="s">
        <v>72</v>
      </c>
      <c r="E785" s="4">
        <v>16849453</v>
      </c>
      <c r="F785" s="4" t="s">
        <v>74</v>
      </c>
      <c r="G785" s="4" t="s">
        <v>98</v>
      </c>
      <c r="H785" s="5">
        <v>46023</v>
      </c>
      <c r="I785" s="6">
        <v>15</v>
      </c>
      <c r="J785" s="4">
        <v>1</v>
      </c>
      <c r="K785" s="6">
        <v>15</v>
      </c>
      <c r="M785" s="4" t="s">
        <v>1967</v>
      </c>
      <c r="P785"/>
      <c r="Q785"/>
      <c r="R785"/>
      <c r="S785"/>
      <c r="T785"/>
      <c r="U785"/>
      <c r="V785"/>
    </row>
    <row r="786" spans="1:22" s="4" customFormat="1" x14ac:dyDescent="0.25">
      <c r="A786" s="10" t="s">
        <v>1576</v>
      </c>
      <c r="B786" s="10" t="s">
        <v>1576</v>
      </c>
      <c r="C786" s="4" t="s">
        <v>335</v>
      </c>
      <c r="D786" s="4" t="s">
        <v>55</v>
      </c>
      <c r="E786" s="4">
        <v>16849453</v>
      </c>
      <c r="F786" s="4" t="s">
        <v>74</v>
      </c>
      <c r="G786" s="4" t="s">
        <v>98</v>
      </c>
      <c r="H786" s="5">
        <v>46023</v>
      </c>
      <c r="I786" s="6">
        <v>15</v>
      </c>
      <c r="J786" s="4">
        <v>1</v>
      </c>
      <c r="K786" s="6">
        <v>15</v>
      </c>
      <c r="M786" s="4" t="s">
        <v>1967</v>
      </c>
      <c r="P786"/>
      <c r="Q786"/>
      <c r="R786"/>
      <c r="S786"/>
      <c r="T786"/>
      <c r="U786"/>
      <c r="V786"/>
    </row>
    <row r="787" spans="1:22" s="4" customFormat="1" x14ac:dyDescent="0.25">
      <c r="A787" s="10" t="s">
        <v>1622</v>
      </c>
      <c r="B787" s="10" t="s">
        <v>1622</v>
      </c>
      <c r="C787" s="4" t="s">
        <v>448</v>
      </c>
      <c r="D787" s="4" t="s">
        <v>72</v>
      </c>
      <c r="E787" s="4">
        <v>16849453</v>
      </c>
      <c r="F787" s="4" t="s">
        <v>74</v>
      </c>
      <c r="G787" s="4" t="s">
        <v>98</v>
      </c>
      <c r="H787" s="5">
        <v>46023</v>
      </c>
      <c r="I787" s="6">
        <v>15</v>
      </c>
      <c r="J787" s="4">
        <v>1</v>
      </c>
      <c r="K787" s="6">
        <v>15</v>
      </c>
      <c r="M787" s="4" t="s">
        <v>1967</v>
      </c>
      <c r="P787"/>
      <c r="Q787"/>
      <c r="R787"/>
      <c r="S787"/>
      <c r="T787"/>
      <c r="U787"/>
      <c r="V787"/>
    </row>
    <row r="788" spans="1:22" s="4" customFormat="1" x14ac:dyDescent="0.25">
      <c r="A788" s="10" t="s">
        <v>1644</v>
      </c>
      <c r="B788" s="10" t="s">
        <v>1644</v>
      </c>
      <c r="C788" s="4" t="s">
        <v>493</v>
      </c>
      <c r="D788" s="4" t="s">
        <v>72</v>
      </c>
      <c r="E788" s="4">
        <v>16849453</v>
      </c>
      <c r="F788" s="4" t="s">
        <v>74</v>
      </c>
      <c r="G788" s="4" t="s">
        <v>98</v>
      </c>
      <c r="H788" s="5">
        <v>46023</v>
      </c>
      <c r="I788" s="6">
        <v>15</v>
      </c>
      <c r="J788" s="4">
        <v>1</v>
      </c>
      <c r="K788" s="6">
        <v>15</v>
      </c>
      <c r="M788" s="4" t="s">
        <v>1967</v>
      </c>
      <c r="P788"/>
      <c r="Q788"/>
      <c r="R788"/>
      <c r="S788"/>
      <c r="T788"/>
      <c r="U788"/>
      <c r="V788"/>
    </row>
    <row r="789" spans="1:22" s="4" customFormat="1" x14ac:dyDescent="0.25">
      <c r="A789" s="10" t="s">
        <v>1683</v>
      </c>
      <c r="B789" s="10" t="s">
        <v>1683</v>
      </c>
      <c r="C789" s="4" t="s">
        <v>584</v>
      </c>
      <c r="D789" s="4" t="s">
        <v>72</v>
      </c>
      <c r="E789" s="4">
        <v>16849453</v>
      </c>
      <c r="F789" s="4" t="s">
        <v>74</v>
      </c>
      <c r="G789" s="4" t="s">
        <v>98</v>
      </c>
      <c r="H789" s="5">
        <v>46023</v>
      </c>
      <c r="I789" s="6">
        <v>15</v>
      </c>
      <c r="J789" s="4">
        <v>1</v>
      </c>
      <c r="K789" s="6">
        <v>15</v>
      </c>
      <c r="M789" s="4" t="s">
        <v>1967</v>
      </c>
      <c r="P789"/>
      <c r="Q789"/>
      <c r="R789"/>
      <c r="S789"/>
      <c r="T789"/>
      <c r="U789"/>
      <c r="V789"/>
    </row>
    <row r="790" spans="1:22" s="4" customFormat="1" x14ac:dyDescent="0.25">
      <c r="A790" s="10" t="s">
        <v>1698</v>
      </c>
      <c r="B790" s="10" t="s">
        <v>1698</v>
      </c>
      <c r="C790" s="4" t="s">
        <v>616</v>
      </c>
      <c r="D790" s="4" t="s">
        <v>72</v>
      </c>
      <c r="E790" s="4">
        <v>16849453</v>
      </c>
      <c r="F790" s="4" t="s">
        <v>74</v>
      </c>
      <c r="G790" s="4" t="s">
        <v>98</v>
      </c>
      <c r="H790" s="5">
        <v>46023</v>
      </c>
      <c r="I790" s="6">
        <v>15</v>
      </c>
      <c r="J790" s="4">
        <v>1</v>
      </c>
      <c r="K790" s="6">
        <v>15</v>
      </c>
      <c r="M790" s="4" t="s">
        <v>1967</v>
      </c>
      <c r="P790"/>
      <c r="Q790"/>
      <c r="R790"/>
      <c r="S790"/>
      <c r="T790"/>
      <c r="U790"/>
      <c r="V790"/>
    </row>
    <row r="791" spans="1:22" s="4" customFormat="1" x14ac:dyDescent="0.25">
      <c r="A791" s="10" t="s">
        <v>1716</v>
      </c>
      <c r="B791" s="10" t="s">
        <v>1716</v>
      </c>
      <c r="C791" s="4" t="s">
        <v>653</v>
      </c>
      <c r="D791" s="4" t="s">
        <v>203</v>
      </c>
      <c r="E791" s="4">
        <v>17528908</v>
      </c>
      <c r="F791" s="4" t="s">
        <v>655</v>
      </c>
      <c r="G791" s="4" t="s">
        <v>98</v>
      </c>
      <c r="H791" s="5">
        <v>46023</v>
      </c>
      <c r="I791" s="6">
        <v>15</v>
      </c>
      <c r="J791" s="4">
        <v>1</v>
      </c>
      <c r="K791" s="6">
        <v>15</v>
      </c>
      <c r="M791" s="4" t="s">
        <v>1967</v>
      </c>
      <c r="P791"/>
      <c r="Q791"/>
      <c r="R791"/>
      <c r="S791"/>
      <c r="T791"/>
      <c r="U791"/>
      <c r="V791"/>
    </row>
    <row r="792" spans="1:22" s="4" customFormat="1" x14ac:dyDescent="0.25">
      <c r="A792" s="10" t="s">
        <v>1634</v>
      </c>
      <c r="B792" s="10" t="s">
        <v>1634</v>
      </c>
      <c r="C792" s="4" t="s">
        <v>473</v>
      </c>
      <c r="D792" s="4" t="s">
        <v>154</v>
      </c>
      <c r="E792" s="4">
        <v>16865615</v>
      </c>
      <c r="F792" s="4" t="s">
        <v>156</v>
      </c>
      <c r="G792" s="4" t="s">
        <v>98</v>
      </c>
      <c r="H792" s="5">
        <v>46023</v>
      </c>
      <c r="I792" s="6">
        <v>15</v>
      </c>
      <c r="J792" s="4">
        <v>1</v>
      </c>
      <c r="K792" s="6">
        <v>15</v>
      </c>
      <c r="M792" s="4" t="s">
        <v>1967</v>
      </c>
      <c r="P792"/>
      <c r="Q792"/>
      <c r="R792"/>
      <c r="S792"/>
      <c r="T792"/>
      <c r="U792"/>
      <c r="V792"/>
    </row>
    <row r="793" spans="1:22" s="4" customFormat="1" x14ac:dyDescent="0.25">
      <c r="A793" s="10" t="s">
        <v>1642</v>
      </c>
      <c r="B793" s="10" t="s">
        <v>1642</v>
      </c>
      <c r="C793" s="4" t="s">
        <v>489</v>
      </c>
      <c r="D793" s="4" t="s">
        <v>154</v>
      </c>
      <c r="E793" s="4">
        <v>16865615</v>
      </c>
      <c r="F793" s="4" t="s">
        <v>156</v>
      </c>
      <c r="G793" s="4" t="s">
        <v>98</v>
      </c>
      <c r="H793" s="5">
        <v>46023</v>
      </c>
      <c r="I793" s="6">
        <v>15</v>
      </c>
      <c r="J793" s="4">
        <v>1</v>
      </c>
      <c r="K793" s="6">
        <v>15</v>
      </c>
      <c r="M793" s="4" t="s">
        <v>1967</v>
      </c>
      <c r="P793"/>
      <c r="Q793"/>
      <c r="R793"/>
      <c r="S793"/>
      <c r="T793"/>
      <c r="U793"/>
      <c r="V793"/>
    </row>
    <row r="794" spans="1:22" s="4" customFormat="1" x14ac:dyDescent="0.25">
      <c r="A794" s="10" t="s">
        <v>1645</v>
      </c>
      <c r="B794" s="10" t="s">
        <v>1645</v>
      </c>
      <c r="C794" s="4" t="s">
        <v>495</v>
      </c>
      <c r="D794" s="4" t="s">
        <v>246</v>
      </c>
      <c r="E794" s="4">
        <v>17117649</v>
      </c>
      <c r="F794" s="4" t="s">
        <v>497</v>
      </c>
      <c r="G794" s="4" t="s">
        <v>98</v>
      </c>
      <c r="H794" s="5">
        <v>46023</v>
      </c>
      <c r="I794" s="6">
        <v>15</v>
      </c>
      <c r="J794" s="4">
        <v>1</v>
      </c>
      <c r="K794" s="6">
        <v>15</v>
      </c>
      <c r="M794" s="4" t="s">
        <v>1967</v>
      </c>
      <c r="P794"/>
      <c r="Q794"/>
      <c r="R794"/>
      <c r="S794"/>
      <c r="T794"/>
      <c r="U794"/>
      <c r="V794"/>
    </row>
    <row r="795" spans="1:22" s="4" customFormat="1" x14ac:dyDescent="0.25">
      <c r="A795" s="10" t="s">
        <v>1676</v>
      </c>
      <c r="B795" s="10" t="s">
        <v>1676</v>
      </c>
      <c r="C795" s="4" t="s">
        <v>566</v>
      </c>
      <c r="D795" s="4" t="s">
        <v>55</v>
      </c>
      <c r="E795" s="4">
        <v>18754354</v>
      </c>
      <c r="F795" s="4" t="s">
        <v>568</v>
      </c>
      <c r="G795" s="4" t="s">
        <v>98</v>
      </c>
      <c r="H795" s="5">
        <v>46023</v>
      </c>
      <c r="I795" s="6">
        <v>15</v>
      </c>
      <c r="J795" s="4">
        <v>1</v>
      </c>
      <c r="K795" s="6">
        <v>15</v>
      </c>
      <c r="M795" s="4" t="s">
        <v>1967</v>
      </c>
      <c r="P795"/>
      <c r="Q795"/>
      <c r="R795"/>
      <c r="S795"/>
      <c r="T795"/>
      <c r="U795"/>
      <c r="V795"/>
    </row>
    <row r="796" spans="1:22" s="4" customFormat="1" x14ac:dyDescent="0.25">
      <c r="A796" s="10" t="s">
        <v>1722</v>
      </c>
      <c r="B796" s="10" t="s">
        <v>1722</v>
      </c>
      <c r="C796" s="4" t="s">
        <v>667</v>
      </c>
      <c r="D796" s="4" t="s">
        <v>55</v>
      </c>
      <c r="E796" s="4">
        <v>17143996</v>
      </c>
      <c r="F796" s="4" t="s">
        <v>669</v>
      </c>
      <c r="G796" s="4" t="s">
        <v>98</v>
      </c>
      <c r="H796" s="5">
        <v>46023</v>
      </c>
      <c r="I796" s="6">
        <v>15</v>
      </c>
      <c r="J796" s="4">
        <v>1</v>
      </c>
      <c r="K796" s="6">
        <v>15</v>
      </c>
      <c r="M796" s="4" t="s">
        <v>1967</v>
      </c>
      <c r="P796"/>
      <c r="Q796"/>
      <c r="R796"/>
      <c r="S796"/>
      <c r="T796"/>
      <c r="U796"/>
      <c r="V796"/>
    </row>
    <row r="797" spans="1:22" s="4" customFormat="1" x14ac:dyDescent="0.25">
      <c r="A797" s="10" t="s">
        <v>1571</v>
      </c>
      <c r="B797" s="10" t="s">
        <v>1571</v>
      </c>
      <c r="C797" s="4" t="s">
        <v>323</v>
      </c>
      <c r="D797" s="4" t="s">
        <v>55</v>
      </c>
      <c r="E797" s="4">
        <v>16997303</v>
      </c>
      <c r="F797" s="4" t="s">
        <v>325</v>
      </c>
      <c r="G797" s="4" t="s">
        <v>98</v>
      </c>
      <c r="H797" s="5">
        <v>46023</v>
      </c>
      <c r="I797" s="6">
        <v>15</v>
      </c>
      <c r="J797" s="4">
        <v>1</v>
      </c>
      <c r="K797" s="6">
        <v>15</v>
      </c>
      <c r="M797" s="4" t="s">
        <v>1967</v>
      </c>
      <c r="P797"/>
      <c r="Q797"/>
      <c r="R797"/>
      <c r="S797"/>
      <c r="T797"/>
      <c r="U797"/>
      <c r="V797"/>
    </row>
    <row r="798" spans="1:22" s="4" customFormat="1" x14ac:dyDescent="0.25">
      <c r="A798" s="10" t="s">
        <v>1650</v>
      </c>
      <c r="B798" s="10" t="s">
        <v>1650</v>
      </c>
      <c r="C798" s="4" t="s">
        <v>507</v>
      </c>
      <c r="D798" s="4" t="s">
        <v>55</v>
      </c>
      <c r="E798" s="4">
        <v>16997303</v>
      </c>
      <c r="F798" s="4" t="s">
        <v>325</v>
      </c>
      <c r="G798" s="4" t="s">
        <v>98</v>
      </c>
      <c r="H798" s="5">
        <v>46023</v>
      </c>
      <c r="I798" s="6">
        <v>15</v>
      </c>
      <c r="J798" s="4">
        <v>1</v>
      </c>
      <c r="K798" s="6">
        <v>15</v>
      </c>
      <c r="M798" s="4" t="s">
        <v>1967</v>
      </c>
      <c r="P798"/>
      <c r="Q798"/>
      <c r="R798"/>
      <c r="S798"/>
      <c r="T798"/>
      <c r="U798"/>
      <c r="V798"/>
    </row>
    <row r="799" spans="1:22" s="4" customFormat="1" x14ac:dyDescent="0.25">
      <c r="A799" s="15" t="s">
        <v>1621</v>
      </c>
      <c r="B799" s="15" t="s">
        <v>1621</v>
      </c>
      <c r="C799" s="16" t="s">
        <v>444</v>
      </c>
      <c r="D799" s="16" t="s">
        <v>203</v>
      </c>
      <c r="E799" s="16">
        <v>21618313</v>
      </c>
      <c r="F799" s="16" t="s">
        <v>446</v>
      </c>
      <c r="G799" s="16" t="s">
        <v>98</v>
      </c>
      <c r="H799" s="17">
        <v>46023</v>
      </c>
      <c r="I799" s="18">
        <v>15</v>
      </c>
      <c r="J799" s="16">
        <v>1</v>
      </c>
      <c r="K799" s="18">
        <v>15</v>
      </c>
      <c r="L799" s="16"/>
      <c r="M799" s="16" t="s">
        <v>1967</v>
      </c>
      <c r="N799" s="16"/>
      <c r="O799" s="16"/>
      <c r="P799" s="16"/>
      <c r="Q799" s="16"/>
      <c r="R799" s="16"/>
      <c r="S799" s="16"/>
      <c r="T799" s="16"/>
      <c r="U799" s="16"/>
      <c r="V799" s="16"/>
    </row>
    <row r="800" spans="1:22" s="4" customFormat="1" x14ac:dyDescent="0.25">
      <c r="A800" s="15" t="s">
        <v>1640</v>
      </c>
      <c r="B800" s="15" t="s">
        <v>1640</v>
      </c>
      <c r="C800" s="16" t="s">
        <v>485</v>
      </c>
      <c r="D800" s="16" t="s">
        <v>278</v>
      </c>
      <c r="E800" s="16">
        <v>21618313</v>
      </c>
      <c r="F800" s="16" t="s">
        <v>446</v>
      </c>
      <c r="G800" s="16" t="s">
        <v>98</v>
      </c>
      <c r="H800" s="17">
        <v>46023</v>
      </c>
      <c r="I800" s="18">
        <v>15</v>
      </c>
      <c r="J800" s="16">
        <v>1</v>
      </c>
      <c r="K800" s="18">
        <v>15</v>
      </c>
      <c r="L800" s="16"/>
      <c r="M800" s="16" t="s">
        <v>1967</v>
      </c>
      <c r="N800" s="16"/>
      <c r="O800" s="16"/>
      <c r="P800" s="16"/>
      <c r="Q800" s="16"/>
      <c r="R800" s="16"/>
      <c r="S800" s="16"/>
      <c r="T800" s="16"/>
      <c r="U800" s="16"/>
      <c r="V800" s="16"/>
    </row>
    <row r="801" spans="1:22" s="4" customFormat="1" x14ac:dyDescent="0.25">
      <c r="A801" s="15" t="s">
        <v>1695</v>
      </c>
      <c r="B801" s="15" t="s">
        <v>1695</v>
      </c>
      <c r="C801" s="16" t="s">
        <v>610</v>
      </c>
      <c r="D801" s="16" t="s">
        <v>203</v>
      </c>
      <c r="E801" s="16">
        <v>21618313</v>
      </c>
      <c r="F801" s="16" t="s">
        <v>446</v>
      </c>
      <c r="G801" s="16" t="s">
        <v>98</v>
      </c>
      <c r="H801" s="17">
        <v>46023</v>
      </c>
      <c r="I801" s="18">
        <v>15</v>
      </c>
      <c r="J801" s="16">
        <v>1</v>
      </c>
      <c r="K801" s="18">
        <v>15</v>
      </c>
      <c r="L801" s="16"/>
      <c r="M801" s="16" t="s">
        <v>1967</v>
      </c>
      <c r="N801" s="16"/>
      <c r="O801" s="16"/>
      <c r="P801" s="16"/>
      <c r="Q801" s="16"/>
      <c r="R801" s="16"/>
      <c r="S801" s="16"/>
      <c r="T801" s="16"/>
      <c r="U801" s="16"/>
      <c r="V801" s="16"/>
    </row>
    <row r="802" spans="1:22" s="4" customFormat="1" x14ac:dyDescent="0.25">
      <c r="A802" s="15" t="s">
        <v>1718</v>
      </c>
      <c r="B802" s="15" t="s">
        <v>1718</v>
      </c>
      <c r="C802" s="16" t="s">
        <v>659</v>
      </c>
      <c r="D802" s="16" t="s">
        <v>203</v>
      </c>
      <c r="E802" s="16">
        <v>21618313</v>
      </c>
      <c r="F802" s="16" t="s">
        <v>446</v>
      </c>
      <c r="G802" s="16" t="s">
        <v>98</v>
      </c>
      <c r="H802" s="17">
        <v>46023</v>
      </c>
      <c r="I802" s="18">
        <v>15</v>
      </c>
      <c r="J802" s="16">
        <v>1</v>
      </c>
      <c r="K802" s="18">
        <v>15</v>
      </c>
      <c r="L802" s="16"/>
      <c r="M802" s="16" t="s">
        <v>1967</v>
      </c>
      <c r="N802" s="16"/>
      <c r="O802" s="16"/>
      <c r="P802" s="16"/>
      <c r="Q802" s="16"/>
      <c r="R802" s="16"/>
      <c r="S802" s="16"/>
      <c r="T802" s="16"/>
      <c r="U802" s="16"/>
      <c r="V802" s="16"/>
    </row>
    <row r="803" spans="1:22" s="4" customFormat="1" x14ac:dyDescent="0.25">
      <c r="A803" s="10" t="s">
        <v>1554</v>
      </c>
      <c r="B803" s="10" t="s">
        <v>1554</v>
      </c>
      <c r="C803" s="4" t="s">
        <v>284</v>
      </c>
      <c r="D803" s="4" t="s">
        <v>55</v>
      </c>
      <c r="E803" s="4">
        <v>18828278</v>
      </c>
      <c r="F803" s="4" t="s">
        <v>286</v>
      </c>
      <c r="G803" s="4" t="s">
        <v>98</v>
      </c>
      <c r="H803" s="5">
        <v>46023</v>
      </c>
      <c r="I803" s="6">
        <v>15</v>
      </c>
      <c r="J803" s="4">
        <v>1</v>
      </c>
      <c r="K803" s="6">
        <v>15</v>
      </c>
      <c r="M803" s="4" t="s">
        <v>1967</v>
      </c>
    </row>
    <row r="804" spans="1:22" s="4" customFormat="1" x14ac:dyDescent="0.25">
      <c r="A804" s="10" t="s">
        <v>1563</v>
      </c>
      <c r="B804" s="10" t="s">
        <v>1563</v>
      </c>
      <c r="C804" s="4" t="s">
        <v>307</v>
      </c>
      <c r="D804" s="4" t="s">
        <v>55</v>
      </c>
      <c r="E804" s="4">
        <v>18828278</v>
      </c>
      <c r="F804" s="4" t="s">
        <v>286</v>
      </c>
      <c r="G804" s="4" t="s">
        <v>98</v>
      </c>
      <c r="H804" s="5">
        <v>46023</v>
      </c>
      <c r="I804" s="6">
        <v>15</v>
      </c>
      <c r="J804" s="4">
        <v>1</v>
      </c>
      <c r="K804" s="6">
        <v>15</v>
      </c>
      <c r="M804" s="4" t="s">
        <v>1967</v>
      </c>
    </row>
    <row r="805" spans="1:22" s="4" customFormat="1" x14ac:dyDescent="0.25">
      <c r="A805" s="10" t="s">
        <v>1575</v>
      </c>
      <c r="B805" s="10" t="s">
        <v>1575</v>
      </c>
      <c r="C805" s="4" t="s">
        <v>333</v>
      </c>
      <c r="D805" s="4" t="s">
        <v>55</v>
      </c>
      <c r="E805" s="4">
        <v>18828278</v>
      </c>
      <c r="F805" s="4" t="s">
        <v>286</v>
      </c>
      <c r="G805" s="4" t="s">
        <v>98</v>
      </c>
      <c r="H805" s="5">
        <v>46023</v>
      </c>
      <c r="I805" s="6">
        <v>15</v>
      </c>
      <c r="J805" s="4">
        <v>1</v>
      </c>
      <c r="K805" s="6">
        <v>15</v>
      </c>
      <c r="M805" s="4" t="s">
        <v>1967</v>
      </c>
    </row>
    <row r="806" spans="1:22" s="4" customFormat="1" x14ac:dyDescent="0.25">
      <c r="A806" s="10" t="s">
        <v>1602</v>
      </c>
      <c r="B806" s="10" t="s">
        <v>1602</v>
      </c>
      <c r="C806" s="4" t="s">
        <v>402</v>
      </c>
      <c r="D806" s="4" t="s">
        <v>55</v>
      </c>
      <c r="E806" s="4">
        <v>18828278</v>
      </c>
      <c r="F806" s="4" t="s">
        <v>286</v>
      </c>
      <c r="G806" s="4" t="s">
        <v>98</v>
      </c>
      <c r="H806" s="5">
        <v>46023</v>
      </c>
      <c r="I806" s="6">
        <v>15</v>
      </c>
      <c r="J806" s="4">
        <v>1</v>
      </c>
      <c r="K806" s="6">
        <v>15</v>
      </c>
      <c r="M806" s="4" t="s">
        <v>1967</v>
      </c>
    </row>
    <row r="807" spans="1:22" s="4" customFormat="1" x14ac:dyDescent="0.25">
      <c r="A807" s="10" t="s">
        <v>1613</v>
      </c>
      <c r="B807" s="10" t="s">
        <v>1613</v>
      </c>
      <c r="C807" s="4" t="s">
        <v>428</v>
      </c>
      <c r="D807" s="4" t="s">
        <v>55</v>
      </c>
      <c r="E807" s="4">
        <v>18828278</v>
      </c>
      <c r="F807" s="4" t="s">
        <v>286</v>
      </c>
      <c r="G807" s="4" t="s">
        <v>98</v>
      </c>
      <c r="H807" s="5">
        <v>46023</v>
      </c>
      <c r="I807" s="6">
        <v>15</v>
      </c>
      <c r="J807" s="4">
        <v>1</v>
      </c>
      <c r="K807" s="6">
        <v>15</v>
      </c>
      <c r="M807" s="4" t="s">
        <v>1967</v>
      </c>
    </row>
    <row r="808" spans="1:22" s="4" customFormat="1" x14ac:dyDescent="0.25">
      <c r="A808" s="10" t="s">
        <v>1641</v>
      </c>
      <c r="B808" s="10" t="s">
        <v>1641</v>
      </c>
      <c r="C808" s="4" t="s">
        <v>487</v>
      </c>
      <c r="D808" s="4" t="s">
        <v>55</v>
      </c>
      <c r="E808" s="4">
        <v>18828278</v>
      </c>
      <c r="F808" s="4" t="s">
        <v>286</v>
      </c>
      <c r="G808" s="4" t="s">
        <v>98</v>
      </c>
      <c r="H808" s="5">
        <v>46023</v>
      </c>
      <c r="I808" s="6">
        <v>15</v>
      </c>
      <c r="J808" s="4">
        <v>1</v>
      </c>
      <c r="K808" s="6">
        <v>15</v>
      </c>
      <c r="M808" s="4" t="s">
        <v>1967</v>
      </c>
    </row>
    <row r="809" spans="1:22" s="4" customFormat="1" x14ac:dyDescent="0.25">
      <c r="A809" s="10" t="s">
        <v>1647</v>
      </c>
      <c r="B809" s="10" t="s">
        <v>1647</v>
      </c>
      <c r="C809" s="4" t="s">
        <v>501</v>
      </c>
      <c r="D809" s="4" t="s">
        <v>55</v>
      </c>
      <c r="E809" s="4">
        <v>18828278</v>
      </c>
      <c r="F809" s="4" t="s">
        <v>286</v>
      </c>
      <c r="G809" s="4" t="s">
        <v>98</v>
      </c>
      <c r="H809" s="5">
        <v>46023</v>
      </c>
      <c r="I809" s="6">
        <v>15</v>
      </c>
      <c r="J809" s="4">
        <v>1</v>
      </c>
      <c r="K809" s="6">
        <v>15</v>
      </c>
      <c r="M809" s="4" t="s">
        <v>1967</v>
      </c>
    </row>
    <row r="810" spans="1:22" s="4" customFormat="1" x14ac:dyDescent="0.25">
      <c r="A810" s="10" t="s">
        <v>1660</v>
      </c>
      <c r="B810" s="10" t="s">
        <v>1660</v>
      </c>
      <c r="C810" s="4" t="s">
        <v>533</v>
      </c>
      <c r="D810" s="4" t="s">
        <v>55</v>
      </c>
      <c r="E810" s="4">
        <v>18828278</v>
      </c>
      <c r="F810" s="4" t="s">
        <v>286</v>
      </c>
      <c r="G810" s="4" t="s">
        <v>98</v>
      </c>
      <c r="H810" s="5">
        <v>46023</v>
      </c>
      <c r="I810" s="6">
        <v>15</v>
      </c>
      <c r="J810" s="4">
        <v>1</v>
      </c>
      <c r="K810" s="6">
        <v>15</v>
      </c>
      <c r="M810" s="4" t="s">
        <v>1967</v>
      </c>
    </row>
    <row r="811" spans="1:22" s="4" customFormat="1" x14ac:dyDescent="0.25">
      <c r="A811" s="10" t="s">
        <v>1663</v>
      </c>
      <c r="B811" s="10" t="s">
        <v>1663</v>
      </c>
      <c r="C811" s="4" t="s">
        <v>539</v>
      </c>
      <c r="D811" s="4" t="s">
        <v>55</v>
      </c>
      <c r="E811" s="4">
        <v>18828278</v>
      </c>
      <c r="F811" s="4" t="s">
        <v>286</v>
      </c>
      <c r="G811" s="4" t="s">
        <v>98</v>
      </c>
      <c r="H811" s="5">
        <v>46023</v>
      </c>
      <c r="I811" s="6">
        <v>15</v>
      </c>
      <c r="J811" s="4">
        <v>1</v>
      </c>
      <c r="K811" s="6">
        <v>15</v>
      </c>
      <c r="M811" s="4" t="s">
        <v>1967</v>
      </c>
    </row>
    <row r="812" spans="1:22" s="4" customFormat="1" x14ac:dyDescent="0.25">
      <c r="A812" s="10" t="s">
        <v>1668</v>
      </c>
      <c r="B812" s="10" t="s">
        <v>1668</v>
      </c>
      <c r="C812" s="4" t="s">
        <v>549</v>
      </c>
      <c r="D812" s="4" t="s">
        <v>55</v>
      </c>
      <c r="E812" s="4">
        <v>18828278</v>
      </c>
      <c r="F812" s="4" t="s">
        <v>286</v>
      </c>
      <c r="G812" s="4" t="s">
        <v>98</v>
      </c>
      <c r="H812" s="5">
        <v>46023</v>
      </c>
      <c r="I812" s="6">
        <v>15</v>
      </c>
      <c r="J812" s="4">
        <v>1</v>
      </c>
      <c r="K812" s="6">
        <v>15</v>
      </c>
      <c r="M812" s="4" t="s">
        <v>1967</v>
      </c>
    </row>
    <row r="813" spans="1:22" s="4" customFormat="1" x14ac:dyDescent="0.25">
      <c r="A813" s="10" t="s">
        <v>1686</v>
      </c>
      <c r="B813" s="10" t="s">
        <v>1686</v>
      </c>
      <c r="C813" s="4" t="s">
        <v>590</v>
      </c>
      <c r="D813" s="4" t="s">
        <v>55</v>
      </c>
      <c r="E813" s="4">
        <v>18828278</v>
      </c>
      <c r="F813" s="4" t="s">
        <v>286</v>
      </c>
      <c r="G813" s="4" t="s">
        <v>98</v>
      </c>
      <c r="H813" s="5">
        <v>46023</v>
      </c>
      <c r="I813" s="6">
        <v>15</v>
      </c>
      <c r="J813" s="4">
        <v>1</v>
      </c>
      <c r="K813" s="6">
        <v>15</v>
      </c>
      <c r="M813" s="4" t="s">
        <v>1967</v>
      </c>
    </row>
    <row r="814" spans="1:22" s="4" customFormat="1" x14ac:dyDescent="0.25">
      <c r="A814" s="10" t="s">
        <v>1693</v>
      </c>
      <c r="B814" s="10" t="s">
        <v>1693</v>
      </c>
      <c r="C814" s="4" t="s">
        <v>606</v>
      </c>
      <c r="D814" s="4" t="s">
        <v>55</v>
      </c>
      <c r="E814" s="4">
        <v>18828278</v>
      </c>
      <c r="F814" s="4" t="s">
        <v>286</v>
      </c>
      <c r="G814" s="4" t="s">
        <v>98</v>
      </c>
      <c r="H814" s="5">
        <v>46023</v>
      </c>
      <c r="I814" s="6">
        <v>15</v>
      </c>
      <c r="J814" s="4">
        <v>1</v>
      </c>
      <c r="K814" s="6">
        <v>15</v>
      </c>
      <c r="M814" s="4" t="s">
        <v>1967</v>
      </c>
    </row>
    <row r="815" spans="1:22" s="4" customFormat="1" x14ac:dyDescent="0.25">
      <c r="A815" s="10" t="s">
        <v>1697</v>
      </c>
      <c r="B815" s="10" t="s">
        <v>1697</v>
      </c>
      <c r="C815" s="4" t="s">
        <v>614</v>
      </c>
      <c r="D815" s="4" t="s">
        <v>55</v>
      </c>
      <c r="E815" s="4">
        <v>18828278</v>
      </c>
      <c r="F815" s="4" t="s">
        <v>286</v>
      </c>
      <c r="G815" s="4" t="s">
        <v>98</v>
      </c>
      <c r="H815" s="5">
        <v>46023</v>
      </c>
      <c r="I815" s="6">
        <v>15</v>
      </c>
      <c r="J815" s="4">
        <v>1</v>
      </c>
      <c r="K815" s="6">
        <v>15</v>
      </c>
      <c r="M815" s="4" t="s">
        <v>1967</v>
      </c>
    </row>
    <row r="816" spans="1:22" s="4" customFormat="1" x14ac:dyDescent="0.25">
      <c r="A816" s="10" t="s">
        <v>1703</v>
      </c>
      <c r="B816" s="10" t="s">
        <v>1703</v>
      </c>
      <c r="C816" s="4" t="s">
        <v>628</v>
      </c>
      <c r="D816" s="4" t="s">
        <v>55</v>
      </c>
      <c r="E816" s="4">
        <v>18828278</v>
      </c>
      <c r="F816" s="4" t="s">
        <v>286</v>
      </c>
      <c r="G816" s="4" t="s">
        <v>98</v>
      </c>
      <c r="H816" s="5">
        <v>46023</v>
      </c>
      <c r="I816" s="6">
        <v>15</v>
      </c>
      <c r="J816" s="4">
        <v>1</v>
      </c>
      <c r="K816" s="6">
        <v>15</v>
      </c>
      <c r="M816" s="4" t="s">
        <v>1967</v>
      </c>
    </row>
    <row r="817" spans="1:22" s="4" customFormat="1" x14ac:dyDescent="0.25">
      <c r="A817" s="10" t="s">
        <v>1710</v>
      </c>
      <c r="B817" s="10" t="s">
        <v>1710</v>
      </c>
      <c r="C817" s="4" t="s">
        <v>642</v>
      </c>
      <c r="D817" s="4" t="s">
        <v>55</v>
      </c>
      <c r="E817" s="4">
        <v>18828278</v>
      </c>
      <c r="F817" s="4" t="s">
        <v>286</v>
      </c>
      <c r="G817" s="4" t="s">
        <v>98</v>
      </c>
      <c r="H817" s="5">
        <v>46023</v>
      </c>
      <c r="I817" s="6">
        <v>15</v>
      </c>
      <c r="J817" s="4">
        <v>1</v>
      </c>
      <c r="K817" s="6">
        <v>15</v>
      </c>
      <c r="M817" s="4" t="s">
        <v>1967</v>
      </c>
    </row>
    <row r="818" spans="1:22" s="4" customFormat="1" x14ac:dyDescent="0.25">
      <c r="A818" s="10" t="s">
        <v>1717</v>
      </c>
      <c r="B818" s="10" t="s">
        <v>1717</v>
      </c>
      <c r="C818" s="4" t="s">
        <v>657</v>
      </c>
      <c r="D818" s="4" t="s">
        <v>55</v>
      </c>
      <c r="E818" s="4">
        <v>18828278</v>
      </c>
      <c r="F818" s="4" t="s">
        <v>286</v>
      </c>
      <c r="G818" s="4" t="s">
        <v>98</v>
      </c>
      <c r="H818" s="5">
        <v>46023</v>
      </c>
      <c r="I818" s="6">
        <v>15</v>
      </c>
      <c r="J818" s="4">
        <v>1</v>
      </c>
      <c r="K818" s="6">
        <v>15</v>
      </c>
      <c r="M818" s="4" t="s">
        <v>1967</v>
      </c>
    </row>
    <row r="819" spans="1:22" s="4" customFormat="1" x14ac:dyDescent="0.25">
      <c r="A819" s="10" t="s">
        <v>1724</v>
      </c>
      <c r="B819" s="10" t="s">
        <v>1724</v>
      </c>
      <c r="C819" s="4" t="s">
        <v>673</v>
      </c>
      <c r="D819" s="4" t="s">
        <v>55</v>
      </c>
      <c r="E819" s="4">
        <v>18828278</v>
      </c>
      <c r="F819" s="4" t="s">
        <v>286</v>
      </c>
      <c r="G819" s="4" t="s">
        <v>98</v>
      </c>
      <c r="H819" s="5">
        <v>46023</v>
      </c>
      <c r="I819" s="6">
        <v>15</v>
      </c>
      <c r="J819" s="4">
        <v>1</v>
      </c>
      <c r="K819" s="6">
        <v>15</v>
      </c>
      <c r="M819" s="4" t="s">
        <v>1967</v>
      </c>
    </row>
    <row r="820" spans="1:22" s="4" customFormat="1" x14ac:dyDescent="0.25">
      <c r="A820" s="10" t="s">
        <v>1732</v>
      </c>
      <c r="B820" s="10" t="s">
        <v>1732</v>
      </c>
      <c r="C820" s="4" t="s">
        <v>689</v>
      </c>
      <c r="D820" s="4" t="s">
        <v>55</v>
      </c>
      <c r="E820" s="4">
        <v>18828278</v>
      </c>
      <c r="F820" s="4" t="s">
        <v>286</v>
      </c>
      <c r="G820" s="4" t="s">
        <v>98</v>
      </c>
      <c r="H820" s="5">
        <v>46023</v>
      </c>
      <c r="I820" s="6">
        <v>15</v>
      </c>
      <c r="J820" s="4">
        <v>1</v>
      </c>
      <c r="K820" s="6">
        <v>15</v>
      </c>
      <c r="M820" s="4" t="s">
        <v>1967</v>
      </c>
    </row>
    <row r="821" spans="1:22" s="4" customFormat="1" x14ac:dyDescent="0.25">
      <c r="A821" s="10" t="s">
        <v>2005</v>
      </c>
      <c r="B821" s="10" t="s">
        <v>2005</v>
      </c>
      <c r="C821" s="4" t="s">
        <v>800</v>
      </c>
      <c r="D821" s="4" t="s">
        <v>55</v>
      </c>
      <c r="E821" s="4">
        <v>18828278</v>
      </c>
      <c r="F821" s="4" t="s">
        <v>286</v>
      </c>
      <c r="G821" s="4" t="s">
        <v>98</v>
      </c>
      <c r="H821" s="5">
        <v>46023</v>
      </c>
      <c r="K821" s="4">
        <v>-15</v>
      </c>
      <c r="M821" s="4" t="s">
        <v>1967</v>
      </c>
    </row>
    <row r="822" spans="1:22" s="4" customFormat="1" x14ac:dyDescent="0.25">
      <c r="A822" s="10" t="s">
        <v>1515</v>
      </c>
      <c r="B822" s="10" t="s">
        <v>1515</v>
      </c>
      <c r="C822" s="4" t="s">
        <v>180</v>
      </c>
      <c r="D822" s="4" t="s">
        <v>55</v>
      </c>
      <c r="E822" s="4">
        <v>8244481</v>
      </c>
      <c r="F822" s="4" t="s">
        <v>178</v>
      </c>
      <c r="G822" s="4" t="s">
        <v>98</v>
      </c>
      <c r="H822" s="5">
        <v>46023</v>
      </c>
      <c r="I822" s="6">
        <v>15</v>
      </c>
      <c r="J822" s="4">
        <v>1</v>
      </c>
      <c r="K822" s="6">
        <v>15</v>
      </c>
      <c r="M822" s="4" t="s">
        <v>1967</v>
      </c>
      <c r="P822"/>
      <c r="Q822"/>
      <c r="R822"/>
      <c r="S822"/>
      <c r="T822"/>
      <c r="U822"/>
      <c r="V822"/>
    </row>
    <row r="823" spans="1:22" s="4" customFormat="1" x14ac:dyDescent="0.25">
      <c r="A823" s="10" t="s">
        <v>1579</v>
      </c>
      <c r="B823" s="10" t="s">
        <v>1579</v>
      </c>
      <c r="C823" s="4" t="s">
        <v>341</v>
      </c>
      <c r="D823" s="4" t="s">
        <v>55</v>
      </c>
      <c r="E823" s="4">
        <v>8244481</v>
      </c>
      <c r="F823" s="4" t="s">
        <v>178</v>
      </c>
      <c r="G823" s="4" t="s">
        <v>98</v>
      </c>
      <c r="H823" s="5">
        <v>46023</v>
      </c>
      <c r="I823" s="6">
        <v>15</v>
      </c>
      <c r="J823" s="4">
        <v>1</v>
      </c>
      <c r="K823" s="6">
        <v>15</v>
      </c>
      <c r="M823" s="4" t="s">
        <v>1967</v>
      </c>
      <c r="P823"/>
      <c r="Q823"/>
      <c r="R823"/>
      <c r="S823"/>
      <c r="T823"/>
      <c r="U823"/>
      <c r="V823"/>
    </row>
    <row r="824" spans="1:22" s="4" customFormat="1" x14ac:dyDescent="0.25">
      <c r="A824" s="10" t="s">
        <v>1681</v>
      </c>
      <c r="B824" s="10" t="s">
        <v>1681</v>
      </c>
      <c r="C824" s="4" t="s">
        <v>580</v>
      </c>
      <c r="D824" s="4" t="s">
        <v>55</v>
      </c>
      <c r="E824" s="4">
        <v>8244481</v>
      </c>
      <c r="F824" s="4" t="s">
        <v>178</v>
      </c>
      <c r="G824" s="4" t="s">
        <v>98</v>
      </c>
      <c r="H824" s="5">
        <v>46023</v>
      </c>
      <c r="I824" s="6">
        <v>15</v>
      </c>
      <c r="J824" s="4">
        <v>1</v>
      </c>
      <c r="K824" s="6">
        <v>15</v>
      </c>
      <c r="M824" s="4" t="s">
        <v>1967</v>
      </c>
      <c r="P824"/>
      <c r="Q824"/>
      <c r="R824"/>
      <c r="S824"/>
      <c r="T824"/>
      <c r="U824"/>
      <c r="V824"/>
    </row>
    <row r="825" spans="1:22" s="4" customFormat="1" x14ac:dyDescent="0.25">
      <c r="A825" s="10" t="s">
        <v>1552</v>
      </c>
      <c r="B825" s="10" t="s">
        <v>1552</v>
      </c>
      <c r="C825" s="4" t="s">
        <v>277</v>
      </c>
      <c r="D825" s="4" t="s">
        <v>278</v>
      </c>
      <c r="E825" s="4">
        <v>5442438</v>
      </c>
      <c r="F825" s="4" t="s">
        <v>280</v>
      </c>
      <c r="G825" s="4" t="s">
        <v>98</v>
      </c>
      <c r="H825" s="5">
        <v>46023</v>
      </c>
      <c r="I825" s="6">
        <v>15</v>
      </c>
      <c r="J825" s="4">
        <v>1</v>
      </c>
      <c r="K825" s="6">
        <v>15</v>
      </c>
      <c r="M825" s="4" t="s">
        <v>1967</v>
      </c>
      <c r="P825"/>
      <c r="Q825"/>
      <c r="R825"/>
      <c r="S825"/>
      <c r="T825"/>
      <c r="U825"/>
      <c r="V825"/>
    </row>
    <row r="826" spans="1:22" s="4" customFormat="1" x14ac:dyDescent="0.25">
      <c r="A826" s="10" t="s">
        <v>1631</v>
      </c>
      <c r="B826" s="10" t="s">
        <v>1631</v>
      </c>
      <c r="C826" s="4" t="s">
        <v>467</v>
      </c>
      <c r="D826" s="4" t="s">
        <v>278</v>
      </c>
      <c r="E826" s="4">
        <v>5442438</v>
      </c>
      <c r="F826" s="4" t="s">
        <v>280</v>
      </c>
      <c r="G826" s="4" t="s">
        <v>98</v>
      </c>
      <c r="H826" s="5">
        <v>46023</v>
      </c>
      <c r="I826" s="6">
        <v>15</v>
      </c>
      <c r="J826" s="4">
        <v>1</v>
      </c>
      <c r="K826" s="6">
        <v>15</v>
      </c>
      <c r="M826" s="4" t="s">
        <v>1967</v>
      </c>
      <c r="P826"/>
      <c r="Q826"/>
      <c r="R826"/>
      <c r="S826"/>
      <c r="T826"/>
      <c r="U826"/>
      <c r="V826"/>
    </row>
    <row r="827" spans="1:22" s="4" customFormat="1" x14ac:dyDescent="0.25">
      <c r="A827" s="10" t="s">
        <v>1672</v>
      </c>
      <c r="B827" s="10" t="s">
        <v>1672</v>
      </c>
      <c r="C827" s="4" t="s">
        <v>557</v>
      </c>
      <c r="D827" s="4" t="s">
        <v>278</v>
      </c>
      <c r="E827" s="4">
        <v>5442438</v>
      </c>
      <c r="F827" s="4" t="s">
        <v>280</v>
      </c>
      <c r="G827" s="4" t="s">
        <v>98</v>
      </c>
      <c r="H827" s="5">
        <v>46023</v>
      </c>
      <c r="I827" s="6">
        <v>15</v>
      </c>
      <c r="J827" s="4">
        <v>1</v>
      </c>
      <c r="K827" s="6">
        <v>15</v>
      </c>
      <c r="M827" s="4" t="s">
        <v>1967</v>
      </c>
      <c r="P827"/>
      <c r="Q827"/>
      <c r="R827"/>
      <c r="S827"/>
      <c r="T827"/>
      <c r="U827"/>
      <c r="V827"/>
    </row>
    <row r="828" spans="1:22" s="4" customFormat="1" x14ac:dyDescent="0.25">
      <c r="A828" s="10" t="s">
        <v>1688</v>
      </c>
      <c r="B828" s="10" t="s">
        <v>1688</v>
      </c>
      <c r="C828" s="4" t="s">
        <v>594</v>
      </c>
      <c r="D828" s="4" t="s">
        <v>278</v>
      </c>
      <c r="E828" s="4">
        <v>5442438</v>
      </c>
      <c r="F828" s="4" t="s">
        <v>280</v>
      </c>
      <c r="G828" s="4" t="s">
        <v>98</v>
      </c>
      <c r="H828" s="5">
        <v>46023</v>
      </c>
      <c r="I828" s="6">
        <v>15</v>
      </c>
      <c r="J828" s="4">
        <v>1</v>
      </c>
      <c r="K828" s="6">
        <v>15</v>
      </c>
      <c r="M828" s="4" t="s">
        <v>1967</v>
      </c>
      <c r="P828"/>
      <c r="Q828"/>
      <c r="R828"/>
      <c r="S828"/>
      <c r="T828"/>
      <c r="U828"/>
      <c r="V828"/>
    </row>
    <row r="829" spans="1:22" s="4" customFormat="1" x14ac:dyDescent="0.25">
      <c r="A829" s="10" t="s">
        <v>1541</v>
      </c>
      <c r="B829" s="10" t="s">
        <v>1541</v>
      </c>
      <c r="C829" s="4" t="s">
        <v>250</v>
      </c>
      <c r="D829" s="4" t="s">
        <v>55</v>
      </c>
      <c r="E829" s="4">
        <v>19396223</v>
      </c>
      <c r="F829" s="4" t="s">
        <v>252</v>
      </c>
      <c r="G829" s="4" t="s">
        <v>98</v>
      </c>
      <c r="H829" s="5">
        <v>46023</v>
      </c>
      <c r="I829" s="6">
        <v>15</v>
      </c>
      <c r="J829" s="4">
        <v>1</v>
      </c>
      <c r="K829" s="6">
        <v>15</v>
      </c>
      <c r="M829" s="4" t="s">
        <v>1967</v>
      </c>
      <c r="P829"/>
      <c r="Q829"/>
      <c r="R829"/>
      <c r="S829"/>
      <c r="T829"/>
      <c r="U829"/>
      <c r="V829"/>
    </row>
    <row r="830" spans="1:22" s="4" customFormat="1" x14ac:dyDescent="0.25">
      <c r="A830" s="10" t="s">
        <v>1574</v>
      </c>
      <c r="B830" s="10" t="s">
        <v>1574</v>
      </c>
      <c r="C830" s="4" t="s">
        <v>331</v>
      </c>
      <c r="D830" s="4" t="s">
        <v>55</v>
      </c>
      <c r="E830" s="4">
        <v>19396223</v>
      </c>
      <c r="F830" s="4" t="s">
        <v>252</v>
      </c>
      <c r="G830" s="4" t="s">
        <v>98</v>
      </c>
      <c r="H830" s="5">
        <v>46023</v>
      </c>
      <c r="I830" s="6">
        <v>15</v>
      </c>
      <c r="J830" s="4">
        <v>1</v>
      </c>
      <c r="K830" s="6">
        <v>15</v>
      </c>
      <c r="M830" s="4" t="s">
        <v>1967</v>
      </c>
      <c r="P830"/>
      <c r="Q830"/>
      <c r="R830"/>
      <c r="S830"/>
      <c r="T830"/>
      <c r="U830"/>
      <c r="V830"/>
    </row>
    <row r="831" spans="1:22" s="4" customFormat="1" x14ac:dyDescent="0.25">
      <c r="A831" s="10" t="s">
        <v>1648</v>
      </c>
      <c r="B831" s="10" t="s">
        <v>1648</v>
      </c>
      <c r="C831" s="4" t="s">
        <v>503</v>
      </c>
      <c r="D831" s="4" t="s">
        <v>55</v>
      </c>
      <c r="E831" s="4">
        <v>19645587</v>
      </c>
      <c r="F831" s="4" t="s">
        <v>91</v>
      </c>
      <c r="G831" s="4" t="s">
        <v>98</v>
      </c>
      <c r="H831" s="5">
        <v>46023</v>
      </c>
      <c r="I831" s="6">
        <v>15</v>
      </c>
      <c r="J831" s="4">
        <v>1</v>
      </c>
      <c r="K831" s="6">
        <v>15</v>
      </c>
      <c r="M831" s="4" t="s">
        <v>1967</v>
      </c>
      <c r="P831"/>
      <c r="Q831"/>
      <c r="R831"/>
      <c r="S831"/>
      <c r="T831"/>
      <c r="U831"/>
      <c r="V831"/>
    </row>
    <row r="832" spans="1:22" s="4" customFormat="1" x14ac:dyDescent="0.25">
      <c r="A832" s="11" t="s">
        <v>1689</v>
      </c>
      <c r="B832" s="11" t="s">
        <v>1689</v>
      </c>
      <c r="C832" s="12" t="s">
        <v>596</v>
      </c>
      <c r="D832" s="12" t="s">
        <v>46</v>
      </c>
      <c r="E832" s="12">
        <v>19491313</v>
      </c>
      <c r="F832" s="12" t="s">
        <v>219</v>
      </c>
      <c r="G832" s="12" t="s">
        <v>98</v>
      </c>
      <c r="H832" s="13">
        <v>46023</v>
      </c>
      <c r="I832" s="14">
        <v>15</v>
      </c>
      <c r="J832" s="12">
        <v>1</v>
      </c>
      <c r="K832" s="14">
        <v>15</v>
      </c>
      <c r="L832" s="12"/>
      <c r="M832" s="12" t="s">
        <v>1967</v>
      </c>
      <c r="N832" s="12"/>
      <c r="O832" s="12"/>
      <c r="P832" s="12"/>
      <c r="Q832" s="12"/>
      <c r="R832" s="12"/>
      <c r="S832" s="12"/>
      <c r="T832" s="12"/>
      <c r="U832" s="12"/>
      <c r="V832" s="12"/>
    </row>
    <row r="833" spans="1:22" s="4" customFormat="1" x14ac:dyDescent="0.25">
      <c r="A833" s="11" t="s">
        <v>1706</v>
      </c>
      <c r="B833" s="11" t="s">
        <v>1706</v>
      </c>
      <c r="C833" s="12" t="s">
        <v>634</v>
      </c>
      <c r="D833" s="12" t="s">
        <v>46</v>
      </c>
      <c r="E833" s="12">
        <v>19491313</v>
      </c>
      <c r="F833" s="12" t="s">
        <v>219</v>
      </c>
      <c r="G833" s="12" t="s">
        <v>98</v>
      </c>
      <c r="H833" s="13">
        <v>46023</v>
      </c>
      <c r="I833" s="14">
        <v>15</v>
      </c>
      <c r="J833" s="12">
        <v>1</v>
      </c>
      <c r="K833" s="14">
        <v>15</v>
      </c>
      <c r="L833" s="12"/>
      <c r="M833" s="12" t="s">
        <v>1967</v>
      </c>
      <c r="N833" s="12"/>
      <c r="O833" s="12"/>
      <c r="P833" s="12"/>
      <c r="Q833" s="12"/>
      <c r="R833" s="12"/>
      <c r="S833" s="12"/>
      <c r="T833" s="12"/>
      <c r="U833" s="12"/>
      <c r="V833" s="12"/>
    </row>
    <row r="834" spans="1:22" s="4" customFormat="1" x14ac:dyDescent="0.25">
      <c r="A834" s="10" t="s">
        <v>1651</v>
      </c>
      <c r="B834" s="10" t="s">
        <v>1651</v>
      </c>
      <c r="C834" s="4" t="s">
        <v>509</v>
      </c>
      <c r="D834" s="4" t="s">
        <v>278</v>
      </c>
      <c r="E834" s="4">
        <v>16202925</v>
      </c>
      <c r="F834" s="4" t="s">
        <v>511</v>
      </c>
      <c r="G834" s="4" t="s">
        <v>98</v>
      </c>
      <c r="H834" s="5">
        <v>46023</v>
      </c>
      <c r="I834" s="6">
        <v>15</v>
      </c>
      <c r="J834" s="4">
        <v>1</v>
      </c>
      <c r="K834" s="6">
        <v>15</v>
      </c>
      <c r="M834" s="4" t="s">
        <v>1967</v>
      </c>
    </row>
    <row r="835" spans="1:22" s="4" customFormat="1" x14ac:dyDescent="0.25">
      <c r="A835" s="10" t="s">
        <v>1673</v>
      </c>
      <c r="B835" s="10" t="s">
        <v>1673</v>
      </c>
      <c r="C835" s="4" t="s">
        <v>559</v>
      </c>
      <c r="D835" s="4" t="s">
        <v>278</v>
      </c>
      <c r="E835" s="4">
        <v>16202925</v>
      </c>
      <c r="F835" s="4" t="s">
        <v>511</v>
      </c>
      <c r="G835" s="4" t="s">
        <v>98</v>
      </c>
      <c r="H835" s="5">
        <v>46023</v>
      </c>
      <c r="I835" s="6">
        <v>15</v>
      </c>
      <c r="J835" s="4">
        <v>1</v>
      </c>
      <c r="K835" s="6">
        <v>15</v>
      </c>
      <c r="M835" s="4" t="s">
        <v>1967</v>
      </c>
    </row>
    <row r="836" spans="1:22" s="4" customFormat="1" x14ac:dyDescent="0.25">
      <c r="A836" s="10" t="s">
        <v>1682</v>
      </c>
      <c r="B836" s="10" t="s">
        <v>1682</v>
      </c>
      <c r="C836" s="4" t="s">
        <v>582</v>
      </c>
      <c r="D836" s="4" t="s">
        <v>278</v>
      </c>
      <c r="E836" s="4">
        <v>16202925</v>
      </c>
      <c r="F836" s="4" t="s">
        <v>511</v>
      </c>
      <c r="G836" s="4" t="s">
        <v>98</v>
      </c>
      <c r="H836" s="5">
        <v>46023</v>
      </c>
      <c r="I836" s="6">
        <v>15</v>
      </c>
      <c r="J836" s="4">
        <v>1</v>
      </c>
      <c r="K836" s="6">
        <v>15</v>
      </c>
      <c r="M836" s="4" t="s">
        <v>1967</v>
      </c>
    </row>
    <row r="837" spans="1:22" s="4" customFormat="1" x14ac:dyDescent="0.25">
      <c r="A837" s="10" t="s">
        <v>1667</v>
      </c>
      <c r="B837" s="10" t="s">
        <v>1667</v>
      </c>
      <c r="C837" s="4" t="s">
        <v>547</v>
      </c>
      <c r="D837" s="4" t="s">
        <v>398</v>
      </c>
      <c r="E837" s="4">
        <v>18581063</v>
      </c>
      <c r="F837" s="4" t="s">
        <v>400</v>
      </c>
      <c r="G837" s="4" t="s">
        <v>98</v>
      </c>
      <c r="H837" s="5">
        <v>46023</v>
      </c>
      <c r="I837" s="6">
        <v>15</v>
      </c>
      <c r="J837" s="4">
        <v>1</v>
      </c>
      <c r="K837" s="6">
        <v>15</v>
      </c>
      <c r="M837" s="4" t="s">
        <v>1967</v>
      </c>
    </row>
    <row r="838" spans="1:22" s="4" customFormat="1" x14ac:dyDescent="0.25">
      <c r="A838" s="10" t="s">
        <v>1523</v>
      </c>
      <c r="B838" s="10" t="s">
        <v>1523</v>
      </c>
      <c r="C838" s="4" t="s">
        <v>202</v>
      </c>
      <c r="D838" s="4" t="s">
        <v>203</v>
      </c>
      <c r="E838" s="4">
        <v>17886092</v>
      </c>
      <c r="F838" s="4" t="s">
        <v>205</v>
      </c>
      <c r="G838" s="4" t="s">
        <v>98</v>
      </c>
      <c r="H838" s="5">
        <v>46023</v>
      </c>
      <c r="I838" s="6">
        <v>15</v>
      </c>
      <c r="J838" s="4">
        <v>1</v>
      </c>
      <c r="K838" s="6">
        <v>15</v>
      </c>
      <c r="M838" s="4" t="s">
        <v>1967</v>
      </c>
    </row>
    <row r="839" spans="1:22" s="4" customFormat="1" x14ac:dyDescent="0.25">
      <c r="A839" s="10" t="s">
        <v>1536</v>
      </c>
      <c r="B839" s="10" t="s">
        <v>1536</v>
      </c>
      <c r="C839" s="4" t="s">
        <v>239</v>
      </c>
      <c r="D839" s="4" t="s">
        <v>203</v>
      </c>
      <c r="E839" s="4">
        <v>17886092</v>
      </c>
      <c r="F839" s="4" t="s">
        <v>205</v>
      </c>
      <c r="G839" s="4" t="s">
        <v>98</v>
      </c>
      <c r="H839" s="5">
        <v>46023</v>
      </c>
      <c r="I839" s="6">
        <v>15</v>
      </c>
      <c r="J839" s="4">
        <v>1</v>
      </c>
      <c r="K839" s="6">
        <v>15</v>
      </c>
      <c r="M839" s="4" t="s">
        <v>1967</v>
      </c>
    </row>
    <row r="840" spans="1:22" s="4" customFormat="1" x14ac:dyDescent="0.25">
      <c r="A840" s="10" t="s">
        <v>1537</v>
      </c>
      <c r="B840" s="10" t="s">
        <v>1537</v>
      </c>
      <c r="C840" s="4" t="s">
        <v>241</v>
      </c>
      <c r="D840" s="4" t="s">
        <v>203</v>
      </c>
      <c r="E840" s="4">
        <v>17886092</v>
      </c>
      <c r="F840" s="4" t="s">
        <v>205</v>
      </c>
      <c r="G840" s="4" t="s">
        <v>98</v>
      </c>
      <c r="H840" s="5">
        <v>46023</v>
      </c>
      <c r="I840" s="6">
        <v>15</v>
      </c>
      <c r="J840" s="4">
        <v>1</v>
      </c>
      <c r="K840" s="6">
        <v>15</v>
      </c>
      <c r="M840" s="4" t="s">
        <v>1967</v>
      </c>
    </row>
    <row r="841" spans="1:22" s="4" customFormat="1" x14ac:dyDescent="0.25">
      <c r="A841" s="10" t="s">
        <v>1637</v>
      </c>
      <c r="B841" s="10" t="s">
        <v>1637</v>
      </c>
      <c r="C841" s="4" t="s">
        <v>479</v>
      </c>
      <c r="D841" s="4" t="s">
        <v>203</v>
      </c>
      <c r="E841" s="4">
        <v>17886092</v>
      </c>
      <c r="F841" s="4" t="s">
        <v>205</v>
      </c>
      <c r="G841" s="4" t="s">
        <v>98</v>
      </c>
      <c r="H841" s="5">
        <v>46023</v>
      </c>
      <c r="I841" s="6">
        <v>15</v>
      </c>
      <c r="J841" s="4">
        <v>1</v>
      </c>
      <c r="K841" s="6">
        <v>15</v>
      </c>
      <c r="M841" s="4" t="s">
        <v>1967</v>
      </c>
    </row>
    <row r="842" spans="1:22" s="4" customFormat="1" x14ac:dyDescent="0.25">
      <c r="A842" s="10" t="s">
        <v>1670</v>
      </c>
      <c r="B842" s="10" t="s">
        <v>1670</v>
      </c>
      <c r="C842" s="4" t="s">
        <v>553</v>
      </c>
      <c r="D842" s="4" t="s">
        <v>203</v>
      </c>
      <c r="E842" s="4">
        <v>17886092</v>
      </c>
      <c r="F842" s="4" t="s">
        <v>205</v>
      </c>
      <c r="G842" s="4" t="s">
        <v>98</v>
      </c>
      <c r="H842" s="5">
        <v>46023</v>
      </c>
      <c r="I842" s="6">
        <v>15</v>
      </c>
      <c r="J842" s="4">
        <v>1</v>
      </c>
      <c r="K842" s="6">
        <v>15</v>
      </c>
      <c r="M842" s="4" t="s">
        <v>1967</v>
      </c>
    </row>
    <row r="843" spans="1:22" s="4" customFormat="1" x14ac:dyDescent="0.25">
      <c r="A843" s="10" t="s">
        <v>1720</v>
      </c>
      <c r="B843" s="10" t="s">
        <v>1720</v>
      </c>
      <c r="C843" s="4" t="s">
        <v>663</v>
      </c>
      <c r="D843" s="4" t="s">
        <v>203</v>
      </c>
      <c r="E843" s="4">
        <v>17886092</v>
      </c>
      <c r="F843" s="4" t="s">
        <v>205</v>
      </c>
      <c r="G843" s="4" t="s">
        <v>98</v>
      </c>
      <c r="H843" s="5">
        <v>46023</v>
      </c>
      <c r="I843" s="6">
        <v>15</v>
      </c>
      <c r="J843" s="4">
        <v>1</v>
      </c>
      <c r="K843" s="6">
        <v>15</v>
      </c>
      <c r="M843" s="4" t="s">
        <v>1967</v>
      </c>
    </row>
    <row r="844" spans="1:22" s="7" customFormat="1" x14ac:dyDescent="0.25">
      <c r="A844" s="10">
        <v>971115971</v>
      </c>
      <c r="B844" s="10" t="str">
        <f>CONCATENATE(A844,98)</f>
        <v>97111597198</v>
      </c>
      <c r="C844" s="4" t="s">
        <v>810</v>
      </c>
      <c r="D844" s="4" t="s">
        <v>55</v>
      </c>
      <c r="E844" s="4">
        <v>19645587</v>
      </c>
      <c r="F844" s="4" t="s">
        <v>91</v>
      </c>
      <c r="G844" s="4" t="s">
        <v>811</v>
      </c>
      <c r="H844" s="5">
        <v>45931</v>
      </c>
      <c r="I844" s="4"/>
      <c r="J844" s="4"/>
      <c r="K844" s="4">
        <v>-626</v>
      </c>
      <c r="L844" s="4"/>
      <c r="M844" s="4" t="s">
        <v>1989</v>
      </c>
      <c r="N844" s="4" t="s">
        <v>1992</v>
      </c>
      <c r="P844" s="4"/>
      <c r="Q844" s="4"/>
      <c r="R844" s="4"/>
      <c r="S844" s="4"/>
      <c r="T844" s="4"/>
      <c r="U844" s="4"/>
      <c r="V844" s="4"/>
    </row>
    <row r="845" spans="1:22" s="7" customFormat="1" x14ac:dyDescent="0.25">
      <c r="A845" s="10" t="s">
        <v>1951</v>
      </c>
      <c r="B845" s="10" t="str">
        <f t="shared" ref="B845:B907" si="14">CONCATENATE(A845,1)</f>
        <v>A041727081</v>
      </c>
      <c r="C845" s="4" t="s">
        <v>1460</v>
      </c>
      <c r="D845" s="4" t="s">
        <v>72</v>
      </c>
      <c r="E845" s="4">
        <v>9213293</v>
      </c>
      <c r="F845" s="4" t="s">
        <v>57</v>
      </c>
      <c r="G845" s="4" t="s">
        <v>1461</v>
      </c>
      <c r="H845" s="5">
        <v>45658</v>
      </c>
      <c r="I845" s="6">
        <v>1</v>
      </c>
      <c r="J845" s="4"/>
      <c r="K845" s="6">
        <v>31.02</v>
      </c>
      <c r="L845" s="4" t="s">
        <v>1383</v>
      </c>
      <c r="M845" s="4" t="s">
        <v>1974</v>
      </c>
      <c r="N845" s="4"/>
      <c r="O845" s="4"/>
      <c r="P845"/>
      <c r="Q845"/>
      <c r="R845"/>
      <c r="S845"/>
      <c r="T845"/>
      <c r="U845"/>
      <c r="V845"/>
    </row>
    <row r="846" spans="1:22" s="4" customFormat="1" x14ac:dyDescent="0.25">
      <c r="A846" s="10" t="s">
        <v>1890</v>
      </c>
      <c r="B846" s="10" t="str">
        <f t="shared" si="14"/>
        <v>A028245411</v>
      </c>
      <c r="C846" s="4" t="s">
        <v>1380</v>
      </c>
      <c r="D846" s="4" t="s">
        <v>1381</v>
      </c>
      <c r="E846" s="4">
        <v>8325282</v>
      </c>
      <c r="F846" s="4" t="s">
        <v>140</v>
      </c>
      <c r="G846" s="4" t="s">
        <v>1382</v>
      </c>
      <c r="H846" s="5">
        <v>45658</v>
      </c>
      <c r="I846" s="6">
        <v>1</v>
      </c>
      <c r="K846" s="6">
        <v>33</v>
      </c>
      <c r="L846" s="4" t="s">
        <v>1383</v>
      </c>
      <c r="M846" s="4" t="s">
        <v>1382</v>
      </c>
      <c r="P846"/>
      <c r="Q846"/>
      <c r="R846"/>
      <c r="S846"/>
      <c r="T846"/>
      <c r="U846"/>
      <c r="V846"/>
    </row>
    <row r="847" spans="1:22" s="4" customFormat="1" x14ac:dyDescent="0.25">
      <c r="A847" s="10" t="s">
        <v>1943</v>
      </c>
      <c r="B847" s="10" t="str">
        <f t="shared" si="14"/>
        <v>A041640041</v>
      </c>
      <c r="C847" s="4" t="s">
        <v>1450</v>
      </c>
      <c r="D847" s="4" t="s">
        <v>1381</v>
      </c>
      <c r="E847" s="4">
        <v>8325282</v>
      </c>
      <c r="F847" s="4" t="s">
        <v>140</v>
      </c>
      <c r="G847" s="4" t="s">
        <v>1382</v>
      </c>
      <c r="H847" s="5">
        <v>45658</v>
      </c>
      <c r="I847" s="6">
        <v>1</v>
      </c>
      <c r="K847" s="6">
        <v>33</v>
      </c>
      <c r="L847" s="4" t="s">
        <v>1383</v>
      </c>
      <c r="M847" s="4" t="s">
        <v>1382</v>
      </c>
      <c r="P847"/>
      <c r="Q847"/>
      <c r="R847"/>
      <c r="S847"/>
      <c r="T847"/>
      <c r="U847"/>
      <c r="V847"/>
    </row>
    <row r="848" spans="1:22" s="4" customFormat="1" x14ac:dyDescent="0.25">
      <c r="A848" s="10" t="s">
        <v>1950</v>
      </c>
      <c r="B848" s="10" t="str">
        <f t="shared" si="14"/>
        <v>A041691151</v>
      </c>
      <c r="C848" s="4" t="s">
        <v>1458</v>
      </c>
      <c r="D848" s="4" t="s">
        <v>154</v>
      </c>
      <c r="E848" s="4">
        <v>16865615</v>
      </c>
      <c r="F848" s="4" t="s">
        <v>156</v>
      </c>
      <c r="G848" s="4" t="s">
        <v>1459</v>
      </c>
      <c r="H848" s="5">
        <v>45627</v>
      </c>
      <c r="I848" s="6">
        <v>1</v>
      </c>
      <c r="K848" s="6">
        <v>19.52</v>
      </c>
      <c r="L848" s="4" t="s">
        <v>1383</v>
      </c>
      <c r="M848" s="4" t="s">
        <v>1995</v>
      </c>
    </row>
    <row r="849" spans="1:22" s="4" customFormat="1" x14ac:dyDescent="0.25">
      <c r="A849" s="10" t="s">
        <v>1918</v>
      </c>
      <c r="B849" s="10" t="str">
        <f t="shared" si="14"/>
        <v>A041361481</v>
      </c>
      <c r="C849" s="4" t="s">
        <v>1425</v>
      </c>
      <c r="D849" s="4" t="s">
        <v>246</v>
      </c>
      <c r="E849" s="4">
        <v>17425766</v>
      </c>
      <c r="F849" s="4" t="s">
        <v>624</v>
      </c>
      <c r="G849" s="4" t="s">
        <v>1426</v>
      </c>
      <c r="H849" s="5">
        <v>45658</v>
      </c>
      <c r="I849" s="6">
        <v>1</v>
      </c>
      <c r="K849" s="6">
        <v>58.19</v>
      </c>
      <c r="L849" s="4" t="s">
        <v>1383</v>
      </c>
      <c r="M849" s="4" t="s">
        <v>1970</v>
      </c>
      <c r="P849"/>
      <c r="Q849"/>
      <c r="R849"/>
      <c r="S849"/>
      <c r="T849"/>
      <c r="U849"/>
      <c r="V849"/>
    </row>
    <row r="850" spans="1:22" s="4" customFormat="1" x14ac:dyDescent="0.25">
      <c r="A850" s="10" t="s">
        <v>1942</v>
      </c>
      <c r="B850" s="10" t="str">
        <f t="shared" si="14"/>
        <v>A041637271</v>
      </c>
      <c r="C850" s="4" t="s">
        <v>1449</v>
      </c>
      <c r="D850" s="4" t="s">
        <v>246</v>
      </c>
      <c r="E850" s="4">
        <v>17425766</v>
      </c>
      <c r="F850" s="4" t="s">
        <v>624</v>
      </c>
      <c r="G850" s="4" t="s">
        <v>1426</v>
      </c>
      <c r="H850" s="5">
        <v>45658</v>
      </c>
      <c r="I850" s="6">
        <v>1</v>
      </c>
      <c r="K850" s="6">
        <v>58.19</v>
      </c>
      <c r="L850" s="4" t="s">
        <v>1383</v>
      </c>
      <c r="M850" s="4" t="s">
        <v>1970</v>
      </c>
      <c r="P850"/>
      <c r="Q850"/>
      <c r="R850"/>
      <c r="S850"/>
      <c r="T850"/>
      <c r="U850"/>
      <c r="V850"/>
    </row>
    <row r="851" spans="1:22" s="4" customFormat="1" x14ac:dyDescent="0.25">
      <c r="A851" s="10" t="s">
        <v>1960</v>
      </c>
      <c r="B851" s="10" t="str">
        <f t="shared" si="14"/>
        <v>A041942791</v>
      </c>
      <c r="C851" s="4" t="s">
        <v>1472</v>
      </c>
      <c r="D851" s="4" t="s">
        <v>246</v>
      </c>
      <c r="E851" s="4">
        <v>19645587</v>
      </c>
      <c r="F851" s="4" t="s">
        <v>91</v>
      </c>
      <c r="G851" s="4" t="s">
        <v>1426</v>
      </c>
      <c r="H851" s="5">
        <v>45658</v>
      </c>
      <c r="I851" s="6">
        <v>1</v>
      </c>
      <c r="K851" s="6">
        <v>58.19</v>
      </c>
      <c r="L851" s="4" t="s">
        <v>1383</v>
      </c>
      <c r="M851" s="4" t="s">
        <v>1970</v>
      </c>
      <c r="P851"/>
      <c r="Q851"/>
      <c r="R851"/>
      <c r="S851"/>
      <c r="T851"/>
      <c r="U851"/>
      <c r="V851"/>
    </row>
    <row r="852" spans="1:22" s="4" customFormat="1" x14ac:dyDescent="0.25">
      <c r="A852" s="10" t="s">
        <v>1956</v>
      </c>
      <c r="B852" s="10" t="str">
        <f t="shared" si="14"/>
        <v>A041854041</v>
      </c>
      <c r="C852" s="4" t="s">
        <v>1467</v>
      </c>
      <c r="D852" s="4" t="s">
        <v>246</v>
      </c>
      <c r="E852" s="4">
        <v>19645587</v>
      </c>
      <c r="F852" s="4" t="s">
        <v>91</v>
      </c>
      <c r="G852" s="4" t="s">
        <v>1468</v>
      </c>
      <c r="H852" s="5">
        <v>45658</v>
      </c>
      <c r="I852" s="6">
        <v>1</v>
      </c>
      <c r="K852" s="6">
        <v>46.83</v>
      </c>
      <c r="L852" s="4" t="s">
        <v>1383</v>
      </c>
      <c r="M852" s="4" t="s">
        <v>1971</v>
      </c>
      <c r="P852"/>
      <c r="Q852"/>
      <c r="R852"/>
      <c r="S852"/>
      <c r="T852"/>
      <c r="U852"/>
      <c r="V852"/>
    </row>
    <row r="853" spans="1:22" s="4" customFormat="1" x14ac:dyDescent="0.25">
      <c r="A853" s="10" t="s">
        <v>1946</v>
      </c>
      <c r="B853" s="10" t="str">
        <f t="shared" si="14"/>
        <v>A041672961</v>
      </c>
      <c r="C853" s="4" t="s">
        <v>1453</v>
      </c>
      <c r="D853" s="4" t="s">
        <v>246</v>
      </c>
      <c r="E853" s="4">
        <v>19645587</v>
      </c>
      <c r="F853" s="4" t="s">
        <v>91</v>
      </c>
      <c r="G853" s="4" t="s">
        <v>1454</v>
      </c>
      <c r="H853" s="5">
        <v>45658</v>
      </c>
      <c r="I853" s="6">
        <v>1</v>
      </c>
      <c r="K853" s="6">
        <v>10.38</v>
      </c>
      <c r="L853" s="4" t="s">
        <v>953</v>
      </c>
      <c r="M853" s="4" t="s">
        <v>1972</v>
      </c>
      <c r="P853"/>
      <c r="Q853"/>
      <c r="R853"/>
      <c r="S853"/>
      <c r="T853"/>
      <c r="U853"/>
      <c r="V853"/>
    </row>
    <row r="854" spans="1:22" s="4" customFormat="1" x14ac:dyDescent="0.25">
      <c r="A854" s="10" t="s">
        <v>1947</v>
      </c>
      <c r="B854" s="10" t="str">
        <f t="shared" si="14"/>
        <v>A041673511</v>
      </c>
      <c r="C854" s="4" t="s">
        <v>1455</v>
      </c>
      <c r="D854" s="4" t="s">
        <v>246</v>
      </c>
      <c r="E854" s="4">
        <v>19645587</v>
      </c>
      <c r="F854" s="4" t="s">
        <v>91</v>
      </c>
      <c r="G854" s="4" t="s">
        <v>1454</v>
      </c>
      <c r="H854" s="5">
        <v>45658</v>
      </c>
      <c r="I854" s="6">
        <v>1</v>
      </c>
      <c r="K854" s="6">
        <v>10.38</v>
      </c>
      <c r="L854" s="4" t="s">
        <v>953</v>
      </c>
      <c r="M854" s="4" t="s">
        <v>1972</v>
      </c>
      <c r="P854"/>
      <c r="Q854"/>
      <c r="R854"/>
      <c r="S854"/>
      <c r="T854"/>
      <c r="U854"/>
      <c r="V854"/>
    </row>
    <row r="855" spans="1:22" s="4" customFormat="1" x14ac:dyDescent="0.25">
      <c r="A855" s="10" t="s">
        <v>1897</v>
      </c>
      <c r="B855" s="10" t="str">
        <f t="shared" si="14"/>
        <v>A040829491</v>
      </c>
      <c r="C855" s="4" t="s">
        <v>1396</v>
      </c>
      <c r="D855" s="4" t="s">
        <v>246</v>
      </c>
      <c r="E855" s="4">
        <v>17425766</v>
      </c>
      <c r="F855" s="4" t="s">
        <v>624</v>
      </c>
      <c r="G855" s="4" t="s">
        <v>1397</v>
      </c>
      <c r="H855" s="5">
        <v>45536</v>
      </c>
      <c r="I855" s="6">
        <v>1</v>
      </c>
      <c r="K855" s="6">
        <v>44.31</v>
      </c>
      <c r="L855" s="4" t="s">
        <v>1383</v>
      </c>
      <c r="M855" s="4" t="s">
        <v>1973</v>
      </c>
      <c r="P855"/>
      <c r="Q855"/>
      <c r="R855"/>
      <c r="S855"/>
      <c r="T855"/>
      <c r="U855"/>
      <c r="V855"/>
    </row>
    <row r="856" spans="1:22" s="4" customFormat="1" x14ac:dyDescent="0.25">
      <c r="A856" s="10" t="s">
        <v>1914</v>
      </c>
      <c r="B856" s="10" t="str">
        <f t="shared" si="14"/>
        <v>A041273251</v>
      </c>
      <c r="C856" s="4" t="s">
        <v>1421</v>
      </c>
      <c r="D856" s="4" t="s">
        <v>246</v>
      </c>
      <c r="E856" s="4">
        <v>17425766</v>
      </c>
      <c r="F856" s="4" t="s">
        <v>624</v>
      </c>
      <c r="G856" s="4" t="s">
        <v>1397</v>
      </c>
      <c r="H856" s="5">
        <v>45566</v>
      </c>
      <c r="I856" s="6">
        <v>1</v>
      </c>
      <c r="K856" s="6">
        <v>44.31</v>
      </c>
      <c r="L856" s="4" t="s">
        <v>1383</v>
      </c>
      <c r="M856" s="4" t="s">
        <v>1973</v>
      </c>
      <c r="P856"/>
      <c r="Q856"/>
      <c r="R856"/>
      <c r="S856"/>
      <c r="T856"/>
      <c r="U856"/>
      <c r="V856"/>
    </row>
    <row r="857" spans="1:22" s="4" customFormat="1" x14ac:dyDescent="0.25">
      <c r="A857" s="10" t="s">
        <v>1909</v>
      </c>
      <c r="B857" s="10" t="str">
        <f t="shared" si="14"/>
        <v>A041155411</v>
      </c>
      <c r="C857" s="4" t="s">
        <v>1416</v>
      </c>
      <c r="D857" s="4" t="s">
        <v>55</v>
      </c>
      <c r="E857" s="4">
        <v>8325282</v>
      </c>
      <c r="F857" s="4" t="s">
        <v>140</v>
      </c>
      <c r="G857" s="4" t="s">
        <v>1401</v>
      </c>
      <c r="H857" s="5">
        <v>45536</v>
      </c>
      <c r="I857" s="6">
        <v>1</v>
      </c>
      <c r="K857" s="6">
        <v>31.98</v>
      </c>
      <c r="L857" s="4" t="s">
        <v>1383</v>
      </c>
      <c r="M857" s="4" t="s">
        <v>1968</v>
      </c>
      <c r="P857"/>
      <c r="Q857"/>
      <c r="R857"/>
      <c r="S857"/>
      <c r="T857"/>
      <c r="U857"/>
      <c r="V857"/>
    </row>
    <row r="858" spans="1:22" s="4" customFormat="1" x14ac:dyDescent="0.25">
      <c r="A858" s="10" t="s">
        <v>1912</v>
      </c>
      <c r="B858" s="10" t="str">
        <f t="shared" si="14"/>
        <v>A041271401</v>
      </c>
      <c r="C858" s="4" t="s">
        <v>1419</v>
      </c>
      <c r="D858" s="4" t="s">
        <v>55</v>
      </c>
      <c r="E858" s="4">
        <v>8325282</v>
      </c>
      <c r="F858" s="4" t="s">
        <v>140</v>
      </c>
      <c r="G858" s="4" t="s">
        <v>1401</v>
      </c>
      <c r="H858" s="5">
        <v>45597</v>
      </c>
      <c r="I858" s="6">
        <v>1</v>
      </c>
      <c r="K858" s="6">
        <v>31.98</v>
      </c>
      <c r="L858" s="4" t="s">
        <v>1383</v>
      </c>
      <c r="M858" s="4" t="s">
        <v>1968</v>
      </c>
      <c r="P858"/>
      <c r="Q858"/>
      <c r="R858"/>
      <c r="S858"/>
      <c r="T858"/>
      <c r="U858"/>
      <c r="V858"/>
    </row>
    <row r="859" spans="1:22" s="4" customFormat="1" x14ac:dyDescent="0.25">
      <c r="A859" s="10" t="s">
        <v>1913</v>
      </c>
      <c r="B859" s="10" t="str">
        <f t="shared" si="14"/>
        <v>A041271761</v>
      </c>
      <c r="C859" s="4" t="s">
        <v>1420</v>
      </c>
      <c r="D859" s="4" t="s">
        <v>55</v>
      </c>
      <c r="E859" s="4">
        <v>8325282</v>
      </c>
      <c r="F859" s="4" t="s">
        <v>140</v>
      </c>
      <c r="G859" s="4" t="s">
        <v>1401</v>
      </c>
      <c r="H859" s="5">
        <v>45597</v>
      </c>
      <c r="I859" s="6">
        <v>1</v>
      </c>
      <c r="K859" s="6">
        <v>31.98</v>
      </c>
      <c r="L859" s="4" t="s">
        <v>1383</v>
      </c>
      <c r="M859" s="4" t="s">
        <v>1968</v>
      </c>
      <c r="P859"/>
      <c r="Q859"/>
      <c r="R859"/>
      <c r="S859"/>
      <c r="T859"/>
      <c r="U859"/>
      <c r="V859"/>
    </row>
    <row r="860" spans="1:22" s="4" customFormat="1" x14ac:dyDescent="0.25">
      <c r="A860" s="10" t="s">
        <v>1921</v>
      </c>
      <c r="B860" s="10" t="str">
        <f t="shared" si="14"/>
        <v>A041370151</v>
      </c>
      <c r="C860" s="4" t="s">
        <v>1429</v>
      </c>
      <c r="D860" s="4" t="s">
        <v>55</v>
      </c>
      <c r="E860" s="4">
        <v>8325282</v>
      </c>
      <c r="F860" s="4" t="s">
        <v>140</v>
      </c>
      <c r="G860" s="4" t="s">
        <v>1401</v>
      </c>
      <c r="H860" s="5">
        <v>45597</v>
      </c>
      <c r="I860" s="6">
        <v>1</v>
      </c>
      <c r="K860" s="6">
        <v>31.98</v>
      </c>
      <c r="L860" s="4" t="s">
        <v>1383</v>
      </c>
      <c r="M860" s="4" t="s">
        <v>1968</v>
      </c>
      <c r="P860"/>
      <c r="Q860"/>
      <c r="R860"/>
      <c r="S860"/>
      <c r="T860"/>
      <c r="U860"/>
      <c r="V860"/>
    </row>
    <row r="861" spans="1:22" s="4" customFormat="1" x14ac:dyDescent="0.25">
      <c r="A861" s="10" t="s">
        <v>1922</v>
      </c>
      <c r="B861" s="10" t="str">
        <f t="shared" si="14"/>
        <v>A041373421</v>
      </c>
      <c r="C861" s="4" t="s">
        <v>1430</v>
      </c>
      <c r="D861" s="4" t="s">
        <v>55</v>
      </c>
      <c r="E861" s="4">
        <v>8325282</v>
      </c>
      <c r="F861" s="4" t="s">
        <v>140</v>
      </c>
      <c r="G861" s="4" t="s">
        <v>1401</v>
      </c>
      <c r="H861" s="5">
        <v>45597</v>
      </c>
      <c r="I861" s="6">
        <v>1</v>
      </c>
      <c r="K861" s="6">
        <v>31.98</v>
      </c>
      <c r="L861" s="4" t="s">
        <v>1383</v>
      </c>
      <c r="M861" s="4" t="s">
        <v>1968</v>
      </c>
      <c r="P861"/>
      <c r="Q861"/>
      <c r="R861"/>
      <c r="S861"/>
      <c r="T861"/>
      <c r="U861"/>
      <c r="V861"/>
    </row>
    <row r="862" spans="1:22" s="4" customFormat="1" x14ac:dyDescent="0.25">
      <c r="A862" s="10" t="s">
        <v>1923</v>
      </c>
      <c r="B862" s="10" t="str">
        <f t="shared" si="14"/>
        <v>A041378281</v>
      </c>
      <c r="C862" s="4" t="s">
        <v>1431</v>
      </c>
      <c r="D862" s="4" t="s">
        <v>55</v>
      </c>
      <c r="E862" s="4">
        <v>8325282</v>
      </c>
      <c r="F862" s="4" t="s">
        <v>140</v>
      </c>
      <c r="G862" s="4" t="s">
        <v>1401</v>
      </c>
      <c r="H862" s="5">
        <v>45597</v>
      </c>
      <c r="I862" s="6">
        <v>1</v>
      </c>
      <c r="K862" s="6">
        <v>31.98</v>
      </c>
      <c r="L862" s="4" t="s">
        <v>1383</v>
      </c>
      <c r="M862" s="4" t="s">
        <v>1968</v>
      </c>
      <c r="P862"/>
      <c r="Q862"/>
      <c r="R862"/>
      <c r="S862"/>
      <c r="T862"/>
      <c r="U862"/>
      <c r="V862"/>
    </row>
    <row r="863" spans="1:22" s="4" customFormat="1" x14ac:dyDescent="0.25">
      <c r="A863" s="10" t="s">
        <v>1931</v>
      </c>
      <c r="B863" s="10" t="str">
        <f t="shared" si="14"/>
        <v>A041504821</v>
      </c>
      <c r="C863" s="4" t="s">
        <v>1439</v>
      </c>
      <c r="D863" s="4" t="s">
        <v>55</v>
      </c>
      <c r="E863" s="4">
        <v>8325282</v>
      </c>
      <c r="F863" s="4" t="s">
        <v>140</v>
      </c>
      <c r="G863" s="4" t="s">
        <v>1401</v>
      </c>
      <c r="H863" s="5">
        <v>45658</v>
      </c>
      <c r="I863" s="6">
        <v>1</v>
      </c>
      <c r="K863" s="6">
        <v>31.98</v>
      </c>
      <c r="L863" s="4" t="s">
        <v>1383</v>
      </c>
      <c r="M863" s="4" t="s">
        <v>1968</v>
      </c>
      <c r="P863"/>
      <c r="Q863"/>
      <c r="R863"/>
      <c r="S863"/>
      <c r="T863"/>
      <c r="U863"/>
      <c r="V863"/>
    </row>
    <row r="864" spans="1:22" s="4" customFormat="1" x14ac:dyDescent="0.25">
      <c r="A864" s="10" t="s">
        <v>1932</v>
      </c>
      <c r="B864" s="10" t="str">
        <f t="shared" si="14"/>
        <v>A041504901</v>
      </c>
      <c r="C864" s="4" t="s">
        <v>1440</v>
      </c>
      <c r="D864" s="4" t="s">
        <v>55</v>
      </c>
      <c r="E864" s="4">
        <v>8325282</v>
      </c>
      <c r="F864" s="4" t="s">
        <v>140</v>
      </c>
      <c r="G864" s="4" t="s">
        <v>1401</v>
      </c>
      <c r="H864" s="5">
        <v>45658</v>
      </c>
      <c r="I864" s="6">
        <v>1</v>
      </c>
      <c r="K864" s="6">
        <v>31.98</v>
      </c>
      <c r="L864" s="4" t="s">
        <v>1383</v>
      </c>
      <c r="M864" s="4" t="s">
        <v>1968</v>
      </c>
      <c r="P864"/>
      <c r="Q864"/>
      <c r="R864"/>
      <c r="S864"/>
      <c r="T864"/>
      <c r="U864"/>
      <c r="V864"/>
    </row>
    <row r="865" spans="1:22" s="4" customFormat="1" x14ac:dyDescent="0.25">
      <c r="A865" s="10" t="s">
        <v>1933</v>
      </c>
      <c r="B865" s="10" t="str">
        <f t="shared" si="14"/>
        <v>A041505201</v>
      </c>
      <c r="C865" s="4" t="s">
        <v>1441</v>
      </c>
      <c r="D865" s="4" t="s">
        <v>55</v>
      </c>
      <c r="E865" s="4">
        <v>8325282</v>
      </c>
      <c r="F865" s="4" t="s">
        <v>140</v>
      </c>
      <c r="G865" s="4" t="s">
        <v>1401</v>
      </c>
      <c r="H865" s="5">
        <v>45597</v>
      </c>
      <c r="I865" s="6">
        <v>1</v>
      </c>
      <c r="K865" s="6">
        <v>31.98</v>
      </c>
      <c r="L865" s="4" t="s">
        <v>1383</v>
      </c>
      <c r="M865" s="4" t="s">
        <v>1968</v>
      </c>
      <c r="P865"/>
      <c r="Q865"/>
      <c r="R865"/>
      <c r="S865"/>
      <c r="T865"/>
      <c r="U865"/>
      <c r="V865"/>
    </row>
    <row r="866" spans="1:22" s="4" customFormat="1" x14ac:dyDescent="0.25">
      <c r="A866" s="10" t="s">
        <v>1938</v>
      </c>
      <c r="B866" s="10" t="str">
        <f t="shared" si="14"/>
        <v>A041603891</v>
      </c>
      <c r="C866" s="4" t="s">
        <v>1445</v>
      </c>
      <c r="D866" s="4" t="s">
        <v>55</v>
      </c>
      <c r="E866" s="4">
        <v>8325282</v>
      </c>
      <c r="F866" s="4" t="s">
        <v>140</v>
      </c>
      <c r="G866" s="4" t="s">
        <v>1401</v>
      </c>
      <c r="H866" s="5">
        <v>45627</v>
      </c>
      <c r="I866" s="6">
        <v>1</v>
      </c>
      <c r="K866" s="6">
        <v>31.98</v>
      </c>
      <c r="L866" s="4" t="s">
        <v>1383</v>
      </c>
      <c r="M866" s="4" t="s">
        <v>1968</v>
      </c>
      <c r="P866"/>
      <c r="Q866"/>
      <c r="R866"/>
      <c r="S866"/>
      <c r="T866"/>
      <c r="U866"/>
      <c r="V866"/>
    </row>
    <row r="867" spans="1:22" s="4" customFormat="1" x14ac:dyDescent="0.25">
      <c r="A867" s="10" t="s">
        <v>1944</v>
      </c>
      <c r="B867" s="10" t="str">
        <f t="shared" si="14"/>
        <v>A041640641</v>
      </c>
      <c r="C867" s="4" t="s">
        <v>1451</v>
      </c>
      <c r="D867" s="4" t="s">
        <v>55</v>
      </c>
      <c r="E867" s="4">
        <v>8325282</v>
      </c>
      <c r="F867" s="4" t="s">
        <v>140</v>
      </c>
      <c r="G867" s="4" t="s">
        <v>1401</v>
      </c>
      <c r="H867" s="5">
        <v>45627</v>
      </c>
      <c r="I867" s="6">
        <v>1</v>
      </c>
      <c r="K867" s="6">
        <v>31.98</v>
      </c>
      <c r="L867" s="4" t="s">
        <v>1383</v>
      </c>
      <c r="M867" s="4" t="s">
        <v>1968</v>
      </c>
      <c r="P867"/>
      <c r="Q867"/>
      <c r="R867"/>
      <c r="S867"/>
      <c r="T867"/>
      <c r="U867"/>
      <c r="V867"/>
    </row>
    <row r="868" spans="1:22" s="4" customFormat="1" x14ac:dyDescent="0.25">
      <c r="A868" s="10" t="s">
        <v>1945</v>
      </c>
      <c r="B868" s="10" t="str">
        <f t="shared" si="14"/>
        <v>A041645561</v>
      </c>
      <c r="C868" s="4" t="s">
        <v>1452</v>
      </c>
      <c r="D868" s="4" t="s">
        <v>55</v>
      </c>
      <c r="E868" s="4">
        <v>8325282</v>
      </c>
      <c r="F868" s="4" t="s">
        <v>140</v>
      </c>
      <c r="G868" s="4" t="s">
        <v>1401</v>
      </c>
      <c r="H868" s="5">
        <v>45627</v>
      </c>
      <c r="I868" s="6">
        <v>1</v>
      </c>
      <c r="K868" s="6">
        <v>31.98</v>
      </c>
      <c r="L868" s="4" t="s">
        <v>1383</v>
      </c>
      <c r="M868" s="4" t="s">
        <v>1968</v>
      </c>
      <c r="P868"/>
      <c r="Q868"/>
      <c r="R868"/>
      <c r="S868"/>
      <c r="T868"/>
      <c r="U868"/>
      <c r="V868"/>
    </row>
    <row r="869" spans="1:22" s="4" customFormat="1" x14ac:dyDescent="0.25">
      <c r="A869" s="10" t="s">
        <v>1948</v>
      </c>
      <c r="B869" s="10" t="str">
        <f t="shared" si="14"/>
        <v>A041675191</v>
      </c>
      <c r="C869" s="4" t="s">
        <v>1456</v>
      </c>
      <c r="D869" s="4" t="s">
        <v>55</v>
      </c>
      <c r="E869" s="4">
        <v>8325282</v>
      </c>
      <c r="F869" s="4" t="s">
        <v>140</v>
      </c>
      <c r="G869" s="4" t="s">
        <v>1401</v>
      </c>
      <c r="H869" s="5">
        <v>45658</v>
      </c>
      <c r="I869" s="6">
        <v>1</v>
      </c>
      <c r="K869" s="6">
        <v>31.98</v>
      </c>
      <c r="L869" s="4" t="s">
        <v>1383</v>
      </c>
      <c r="M869" s="4" t="s">
        <v>1968</v>
      </c>
      <c r="P869"/>
      <c r="Q869"/>
      <c r="R869"/>
      <c r="S869"/>
      <c r="T869"/>
      <c r="U869"/>
      <c r="V869"/>
    </row>
    <row r="870" spans="1:22" s="4" customFormat="1" x14ac:dyDescent="0.25">
      <c r="A870" s="10" t="s">
        <v>1949</v>
      </c>
      <c r="B870" s="10" t="str">
        <f t="shared" si="14"/>
        <v>A041684201</v>
      </c>
      <c r="C870" s="4" t="s">
        <v>1457</v>
      </c>
      <c r="D870" s="4" t="s">
        <v>55</v>
      </c>
      <c r="E870" s="4">
        <v>8325282</v>
      </c>
      <c r="F870" s="4" t="s">
        <v>140</v>
      </c>
      <c r="G870" s="4" t="s">
        <v>1401</v>
      </c>
      <c r="H870" s="5">
        <v>45627</v>
      </c>
      <c r="I870" s="6">
        <v>1</v>
      </c>
      <c r="K870" s="6">
        <v>31.98</v>
      </c>
      <c r="L870" s="4" t="s">
        <v>1383</v>
      </c>
      <c r="M870" s="4" t="s">
        <v>1968</v>
      </c>
      <c r="P870"/>
      <c r="Q870"/>
      <c r="R870"/>
      <c r="S870"/>
      <c r="T870"/>
      <c r="U870"/>
      <c r="V870"/>
    </row>
    <row r="871" spans="1:22" s="4" customFormat="1" x14ac:dyDescent="0.25">
      <c r="A871" s="10" t="s">
        <v>1957</v>
      </c>
      <c r="B871" s="10" t="str">
        <f t="shared" si="14"/>
        <v>A041862071</v>
      </c>
      <c r="C871" s="4" t="s">
        <v>1469</v>
      </c>
      <c r="D871" s="4" t="s">
        <v>55</v>
      </c>
      <c r="E871" s="4">
        <v>8325282</v>
      </c>
      <c r="F871" s="4" t="s">
        <v>140</v>
      </c>
      <c r="G871" s="4" t="s">
        <v>1401</v>
      </c>
      <c r="H871" s="5">
        <v>45658</v>
      </c>
      <c r="I871" s="6">
        <v>1</v>
      </c>
      <c r="K871" s="6">
        <v>31.98</v>
      </c>
      <c r="L871" s="4" t="s">
        <v>1383</v>
      </c>
      <c r="M871" s="4" t="s">
        <v>1968</v>
      </c>
      <c r="P871"/>
      <c r="Q871"/>
      <c r="R871"/>
      <c r="S871"/>
      <c r="T871"/>
      <c r="U871"/>
      <c r="V871"/>
    </row>
    <row r="872" spans="1:22" s="4" customFormat="1" x14ac:dyDescent="0.25">
      <c r="A872" s="10" t="s">
        <v>1959</v>
      </c>
      <c r="B872" s="10" t="str">
        <f t="shared" si="14"/>
        <v>A041917201</v>
      </c>
      <c r="C872" s="4" t="s">
        <v>1471</v>
      </c>
      <c r="D872" s="4" t="s">
        <v>55</v>
      </c>
      <c r="E872" s="4">
        <v>8325282</v>
      </c>
      <c r="F872" s="4" t="s">
        <v>140</v>
      </c>
      <c r="G872" s="4" t="s">
        <v>1401</v>
      </c>
      <c r="H872" s="5">
        <v>45658</v>
      </c>
      <c r="I872" s="6">
        <v>1</v>
      </c>
      <c r="K872" s="6">
        <v>31.98</v>
      </c>
      <c r="L872" s="4" t="s">
        <v>1383</v>
      </c>
      <c r="M872" s="4" t="s">
        <v>1968</v>
      </c>
      <c r="P872"/>
      <c r="Q872"/>
      <c r="R872"/>
      <c r="S872"/>
      <c r="T872"/>
      <c r="U872"/>
      <c r="V872"/>
    </row>
    <row r="873" spans="1:22" s="4" customFormat="1" x14ac:dyDescent="0.25">
      <c r="A873" s="10" t="s">
        <v>1902</v>
      </c>
      <c r="B873" s="10" t="str">
        <f t="shared" si="14"/>
        <v>A041071511</v>
      </c>
      <c r="C873" s="4" t="s">
        <v>1406</v>
      </c>
      <c r="D873" s="4" t="s">
        <v>55</v>
      </c>
      <c r="E873" s="4">
        <v>8814784</v>
      </c>
      <c r="F873" s="4" t="s">
        <v>114</v>
      </c>
      <c r="G873" s="4" t="s">
        <v>1401</v>
      </c>
      <c r="H873" s="5">
        <v>45566</v>
      </c>
      <c r="I873" s="6">
        <v>1</v>
      </c>
      <c r="K873" s="6">
        <v>31.98</v>
      </c>
      <c r="L873" s="4" t="s">
        <v>1383</v>
      </c>
      <c r="M873" s="4" t="s">
        <v>1968</v>
      </c>
      <c r="P873"/>
      <c r="Q873"/>
      <c r="R873"/>
      <c r="S873"/>
      <c r="T873"/>
      <c r="U873"/>
      <c r="V873"/>
    </row>
    <row r="874" spans="1:22" s="4" customFormat="1" x14ac:dyDescent="0.25">
      <c r="A874" s="10" t="s">
        <v>1899</v>
      </c>
      <c r="B874" s="10" t="str">
        <f t="shared" si="14"/>
        <v>A040892061</v>
      </c>
      <c r="C874" s="4" t="s">
        <v>1400</v>
      </c>
      <c r="D874" s="4" t="s">
        <v>55</v>
      </c>
      <c r="E874" s="4">
        <v>9213293</v>
      </c>
      <c r="F874" s="4" t="s">
        <v>57</v>
      </c>
      <c r="G874" s="4" t="s">
        <v>1401</v>
      </c>
      <c r="H874" s="5">
        <v>45505</v>
      </c>
      <c r="I874" s="6">
        <v>1</v>
      </c>
      <c r="K874" s="6">
        <v>31.98</v>
      </c>
      <c r="L874" s="4" t="s">
        <v>1383</v>
      </c>
      <c r="M874" s="4" t="s">
        <v>1968</v>
      </c>
      <c r="P874"/>
      <c r="Q874"/>
      <c r="R874"/>
      <c r="S874"/>
      <c r="T874"/>
      <c r="U874"/>
      <c r="V874"/>
    </row>
    <row r="875" spans="1:22" s="4" customFormat="1" x14ac:dyDescent="0.25">
      <c r="A875" s="10" t="s">
        <v>1904</v>
      </c>
      <c r="B875" s="10" t="str">
        <f t="shared" si="14"/>
        <v>A041109701</v>
      </c>
      <c r="C875" s="4" t="s">
        <v>1410</v>
      </c>
      <c r="D875" s="4" t="s">
        <v>55</v>
      </c>
      <c r="E875" s="4">
        <v>9213293</v>
      </c>
      <c r="F875" s="4" t="s">
        <v>57</v>
      </c>
      <c r="G875" s="4" t="s">
        <v>1401</v>
      </c>
      <c r="H875" s="5">
        <v>45566</v>
      </c>
      <c r="I875" s="6">
        <v>1</v>
      </c>
      <c r="K875" s="6">
        <v>31.98</v>
      </c>
      <c r="L875" s="4" t="s">
        <v>1383</v>
      </c>
      <c r="M875" s="4" t="s">
        <v>1968</v>
      </c>
      <c r="P875"/>
      <c r="Q875"/>
      <c r="R875"/>
      <c r="S875"/>
      <c r="T875"/>
      <c r="U875"/>
      <c r="V875"/>
    </row>
    <row r="876" spans="1:22" s="4" customFormat="1" x14ac:dyDescent="0.25">
      <c r="A876" s="10" t="s">
        <v>1916</v>
      </c>
      <c r="B876" s="10" t="str">
        <f t="shared" si="14"/>
        <v>A041344761</v>
      </c>
      <c r="C876" s="4" t="s">
        <v>1423</v>
      </c>
      <c r="D876" s="4" t="s">
        <v>55</v>
      </c>
      <c r="E876" s="4">
        <v>9213293</v>
      </c>
      <c r="F876" s="4" t="s">
        <v>57</v>
      </c>
      <c r="G876" s="4" t="s">
        <v>1401</v>
      </c>
      <c r="H876" s="5">
        <v>45627</v>
      </c>
      <c r="I876" s="6">
        <v>1</v>
      </c>
      <c r="K876" s="6">
        <v>31.98</v>
      </c>
      <c r="L876" s="4" t="s">
        <v>1383</v>
      </c>
      <c r="M876" s="4" t="s">
        <v>1968</v>
      </c>
      <c r="P876"/>
      <c r="Q876"/>
      <c r="R876"/>
      <c r="S876"/>
      <c r="T876"/>
      <c r="U876"/>
      <c r="V876"/>
    </row>
    <row r="877" spans="1:22" s="4" customFormat="1" x14ac:dyDescent="0.25">
      <c r="A877" s="10" t="s">
        <v>1917</v>
      </c>
      <c r="B877" s="10" t="str">
        <f t="shared" si="14"/>
        <v>A041359011</v>
      </c>
      <c r="C877" s="4" t="s">
        <v>1424</v>
      </c>
      <c r="D877" s="4" t="s">
        <v>55</v>
      </c>
      <c r="E877" s="4">
        <v>9213293</v>
      </c>
      <c r="F877" s="4" t="s">
        <v>57</v>
      </c>
      <c r="G877" s="4" t="s">
        <v>1401</v>
      </c>
      <c r="H877" s="5">
        <v>45597</v>
      </c>
      <c r="I877" s="6">
        <v>1</v>
      </c>
      <c r="K877" s="6">
        <v>31.98</v>
      </c>
      <c r="L877" s="4" t="s">
        <v>1383</v>
      </c>
      <c r="M877" s="4" t="s">
        <v>1968</v>
      </c>
      <c r="P877"/>
      <c r="Q877"/>
      <c r="R877"/>
      <c r="S877"/>
      <c r="T877"/>
      <c r="U877"/>
      <c r="V877"/>
    </row>
    <row r="878" spans="1:22" s="4" customFormat="1" x14ac:dyDescent="0.25">
      <c r="A878" s="10" t="s">
        <v>1928</v>
      </c>
      <c r="B878" s="10" t="str">
        <f t="shared" si="14"/>
        <v>A041459151</v>
      </c>
      <c r="C878" s="4" t="s">
        <v>57</v>
      </c>
      <c r="D878" s="4" t="s">
        <v>55</v>
      </c>
      <c r="E878" s="4">
        <v>9213293</v>
      </c>
      <c r="F878" s="4" t="s">
        <v>57</v>
      </c>
      <c r="G878" s="4" t="s">
        <v>1401</v>
      </c>
      <c r="H878" s="5">
        <v>45658</v>
      </c>
      <c r="I878" s="6">
        <v>1</v>
      </c>
      <c r="K878" s="6">
        <v>31.98</v>
      </c>
      <c r="L878" s="4" t="s">
        <v>1383</v>
      </c>
      <c r="M878" s="4" t="s">
        <v>1968</v>
      </c>
      <c r="P878"/>
      <c r="Q878"/>
      <c r="R878"/>
      <c r="S878"/>
      <c r="T878"/>
      <c r="U878"/>
      <c r="V878"/>
    </row>
    <row r="879" spans="1:22" s="4" customFormat="1" x14ac:dyDescent="0.25">
      <c r="A879" s="10" t="s">
        <v>1934</v>
      </c>
      <c r="B879" s="10" t="str">
        <f t="shared" si="14"/>
        <v>A041528551</v>
      </c>
      <c r="C879" s="4" t="s">
        <v>1442</v>
      </c>
      <c r="D879" s="4" t="s">
        <v>55</v>
      </c>
      <c r="E879" s="4">
        <v>9213293</v>
      </c>
      <c r="F879" s="4" t="s">
        <v>57</v>
      </c>
      <c r="G879" s="4" t="s">
        <v>1401</v>
      </c>
      <c r="H879" s="5">
        <v>45658</v>
      </c>
      <c r="I879" s="6">
        <v>1</v>
      </c>
      <c r="K879" s="6">
        <v>31.98</v>
      </c>
      <c r="L879" s="4" t="s">
        <v>1383</v>
      </c>
      <c r="M879" s="4" t="s">
        <v>1968</v>
      </c>
      <c r="P879"/>
      <c r="Q879"/>
      <c r="R879"/>
      <c r="S879"/>
      <c r="T879"/>
      <c r="U879"/>
      <c r="V879"/>
    </row>
    <row r="880" spans="1:22" s="4" customFormat="1" x14ac:dyDescent="0.25">
      <c r="A880" s="10" t="s">
        <v>1935</v>
      </c>
      <c r="B880" s="10" t="str">
        <f t="shared" si="14"/>
        <v>A041552521</v>
      </c>
      <c r="C880" s="4" t="s">
        <v>1443</v>
      </c>
      <c r="D880" s="4" t="s">
        <v>55</v>
      </c>
      <c r="E880" s="4">
        <v>9213293</v>
      </c>
      <c r="F880" s="4" t="s">
        <v>57</v>
      </c>
      <c r="G880" s="4" t="s">
        <v>1401</v>
      </c>
      <c r="H880" s="5">
        <v>45658</v>
      </c>
      <c r="I880" s="6">
        <v>1</v>
      </c>
      <c r="K880" s="6">
        <v>31.98</v>
      </c>
      <c r="L880" s="4" t="s">
        <v>1383</v>
      </c>
      <c r="M880" s="4" t="s">
        <v>1968</v>
      </c>
      <c r="P880"/>
      <c r="Q880"/>
      <c r="R880"/>
      <c r="S880"/>
      <c r="T880"/>
      <c r="U880"/>
      <c r="V880"/>
    </row>
    <row r="881" spans="1:22" s="4" customFormat="1" x14ac:dyDescent="0.25">
      <c r="A881" s="10" t="s">
        <v>1937</v>
      </c>
      <c r="B881" s="10" t="str">
        <f t="shared" si="14"/>
        <v>A041599731</v>
      </c>
      <c r="C881" s="4" t="s">
        <v>952</v>
      </c>
      <c r="D881" s="4" t="s">
        <v>55</v>
      </c>
      <c r="E881" s="4">
        <v>9213293</v>
      </c>
      <c r="F881" s="4" t="s">
        <v>57</v>
      </c>
      <c r="G881" s="4" t="s">
        <v>1401</v>
      </c>
      <c r="H881" s="5">
        <v>45627</v>
      </c>
      <c r="I881" s="6">
        <v>1</v>
      </c>
      <c r="K881" s="6">
        <v>31.98</v>
      </c>
      <c r="L881" s="4" t="s">
        <v>1383</v>
      </c>
      <c r="M881" s="4" t="s">
        <v>1968</v>
      </c>
      <c r="P881"/>
      <c r="Q881"/>
      <c r="R881"/>
      <c r="S881"/>
      <c r="T881"/>
      <c r="U881"/>
      <c r="V881"/>
    </row>
    <row r="882" spans="1:22" s="4" customFormat="1" x14ac:dyDescent="0.25">
      <c r="A882" s="10" t="s">
        <v>1915</v>
      </c>
      <c r="B882" s="10" t="str">
        <f t="shared" si="14"/>
        <v>A041305501</v>
      </c>
      <c r="C882" s="4" t="s">
        <v>1422</v>
      </c>
      <c r="D882" s="4" t="s">
        <v>55</v>
      </c>
      <c r="E882" s="4">
        <v>18754354</v>
      </c>
      <c r="F882" s="4" t="s">
        <v>568</v>
      </c>
      <c r="G882" s="4" t="s">
        <v>1401</v>
      </c>
      <c r="H882" s="5">
        <v>45658</v>
      </c>
      <c r="I882" s="6">
        <v>1</v>
      </c>
      <c r="K882" s="6">
        <v>31.98</v>
      </c>
      <c r="L882" s="4" t="s">
        <v>1383</v>
      </c>
      <c r="M882" s="4" t="s">
        <v>1968</v>
      </c>
      <c r="P882"/>
      <c r="Q882"/>
      <c r="R882"/>
      <c r="S882"/>
      <c r="T882"/>
      <c r="U882"/>
      <c r="V882"/>
    </row>
    <row r="883" spans="1:22" s="4" customFormat="1" x14ac:dyDescent="0.25">
      <c r="A883" s="10" t="s">
        <v>1919</v>
      </c>
      <c r="B883" s="10" t="str">
        <f t="shared" si="14"/>
        <v>A041363381</v>
      </c>
      <c r="C883" s="4" t="s">
        <v>1427</v>
      </c>
      <c r="D883" s="4" t="s">
        <v>55</v>
      </c>
      <c r="E883" s="4">
        <v>18754354</v>
      </c>
      <c r="F883" s="4" t="s">
        <v>568</v>
      </c>
      <c r="G883" s="4" t="s">
        <v>1401</v>
      </c>
      <c r="H883" s="5">
        <v>45658</v>
      </c>
      <c r="I883" s="6">
        <v>1</v>
      </c>
      <c r="K883" s="6">
        <v>31.98</v>
      </c>
      <c r="L883" s="4" t="s">
        <v>1383</v>
      </c>
      <c r="M883" s="4" t="s">
        <v>1968</v>
      </c>
      <c r="P883"/>
      <c r="Q883"/>
      <c r="R883"/>
      <c r="S883"/>
      <c r="T883"/>
      <c r="U883"/>
      <c r="V883"/>
    </row>
    <row r="884" spans="1:22" s="4" customFormat="1" x14ac:dyDescent="0.25">
      <c r="A884" s="10" t="s">
        <v>1920</v>
      </c>
      <c r="B884" s="10" t="str">
        <f t="shared" si="14"/>
        <v>A041370091</v>
      </c>
      <c r="C884" s="4" t="s">
        <v>1428</v>
      </c>
      <c r="D884" s="4" t="s">
        <v>55</v>
      </c>
      <c r="E884" s="4">
        <v>18754354</v>
      </c>
      <c r="F884" s="4" t="s">
        <v>568</v>
      </c>
      <c r="G884" s="4" t="s">
        <v>1401</v>
      </c>
      <c r="H884" s="5">
        <v>45658</v>
      </c>
      <c r="I884" s="6">
        <v>1</v>
      </c>
      <c r="K884" s="6">
        <v>31.98</v>
      </c>
      <c r="L884" s="4" t="s">
        <v>1383</v>
      </c>
      <c r="M884" s="4" t="s">
        <v>1968</v>
      </c>
      <c r="P884"/>
      <c r="Q884"/>
      <c r="R884"/>
      <c r="S884"/>
      <c r="T884"/>
      <c r="U884"/>
      <c r="V884"/>
    </row>
    <row r="885" spans="1:22" s="4" customFormat="1" x14ac:dyDescent="0.25">
      <c r="A885" s="10" t="s">
        <v>1910</v>
      </c>
      <c r="B885" s="10" t="str">
        <f t="shared" si="14"/>
        <v>A041203631</v>
      </c>
      <c r="C885" s="4" t="s">
        <v>1417</v>
      </c>
      <c r="D885" s="4" t="s">
        <v>55</v>
      </c>
      <c r="E885" s="4">
        <v>19200754</v>
      </c>
      <c r="F885" s="4" t="s">
        <v>166</v>
      </c>
      <c r="G885" s="4" t="s">
        <v>1401</v>
      </c>
      <c r="H885" s="5">
        <v>45597</v>
      </c>
      <c r="I885" s="6">
        <v>1</v>
      </c>
      <c r="K885" s="6">
        <v>31.98</v>
      </c>
      <c r="L885" s="4" t="s">
        <v>1383</v>
      </c>
      <c r="M885" s="4" t="s">
        <v>1968</v>
      </c>
      <c r="P885"/>
      <c r="Q885"/>
      <c r="R885"/>
      <c r="S885"/>
      <c r="T885"/>
      <c r="U885"/>
      <c r="V885"/>
    </row>
    <row r="886" spans="1:22" s="4" customFormat="1" x14ac:dyDescent="0.25">
      <c r="A886" s="10" t="s">
        <v>1930</v>
      </c>
      <c r="B886" s="10" t="str">
        <f t="shared" si="14"/>
        <v>A041497611</v>
      </c>
      <c r="C886" s="4" t="s">
        <v>1438</v>
      </c>
      <c r="D886" s="4" t="s">
        <v>55</v>
      </c>
      <c r="E886" s="4">
        <v>19200754</v>
      </c>
      <c r="F886" s="4" t="s">
        <v>166</v>
      </c>
      <c r="G886" s="4" t="s">
        <v>1401</v>
      </c>
      <c r="H886" s="5">
        <v>45627</v>
      </c>
      <c r="I886" s="6">
        <v>1</v>
      </c>
      <c r="K886" s="6">
        <v>31.98</v>
      </c>
      <c r="L886" s="4" t="s">
        <v>1383</v>
      </c>
      <c r="M886" s="4" t="s">
        <v>1968</v>
      </c>
      <c r="P886"/>
      <c r="Q886"/>
      <c r="R886"/>
      <c r="S886"/>
      <c r="T886"/>
      <c r="U886"/>
      <c r="V886"/>
    </row>
    <row r="887" spans="1:22" s="4" customFormat="1" x14ac:dyDescent="0.25">
      <c r="A887" s="10" t="s">
        <v>1752</v>
      </c>
      <c r="B887" s="10" t="str">
        <f t="shared" si="14"/>
        <v>A043617151</v>
      </c>
      <c r="C887" s="4" t="s">
        <v>779</v>
      </c>
      <c r="D887" s="4" t="s">
        <v>55</v>
      </c>
      <c r="E887" s="4">
        <v>19645587</v>
      </c>
      <c r="F887" s="4" t="s">
        <v>91</v>
      </c>
      <c r="G887" s="4" t="s">
        <v>780</v>
      </c>
      <c r="H887" s="5">
        <v>45992</v>
      </c>
      <c r="I887" s="6">
        <v>31.98</v>
      </c>
      <c r="J887" s="4">
        <v>9</v>
      </c>
      <c r="K887" s="6">
        <v>287.82</v>
      </c>
      <c r="M887" s="4" t="s">
        <v>1968</v>
      </c>
      <c r="P887"/>
      <c r="Q887"/>
      <c r="R887"/>
      <c r="S887"/>
      <c r="T887"/>
      <c r="U887"/>
      <c r="V887"/>
    </row>
    <row r="888" spans="1:22" s="4" customFormat="1" x14ac:dyDescent="0.25">
      <c r="A888" s="10" t="s">
        <v>1954</v>
      </c>
      <c r="B888" s="10" t="str">
        <f t="shared" si="14"/>
        <v>A041781171</v>
      </c>
      <c r="C888" s="4" t="s">
        <v>1465</v>
      </c>
      <c r="D888" s="4" t="s">
        <v>55</v>
      </c>
      <c r="E888" s="4">
        <v>20490188</v>
      </c>
      <c r="F888" s="4" t="s">
        <v>814</v>
      </c>
      <c r="G888" s="4" t="s">
        <v>1401</v>
      </c>
      <c r="H888" s="5">
        <v>45627</v>
      </c>
      <c r="I888" s="6">
        <v>1</v>
      </c>
      <c r="K888" s="6">
        <v>31.98</v>
      </c>
      <c r="L888" s="4" t="s">
        <v>1383</v>
      </c>
      <c r="M888" s="4" t="s">
        <v>1968</v>
      </c>
    </row>
    <row r="889" spans="1:22" s="4" customFormat="1" x14ac:dyDescent="0.25">
      <c r="A889" s="10" t="s">
        <v>1892</v>
      </c>
      <c r="B889" s="10" t="str">
        <f t="shared" si="14"/>
        <v>A037551451</v>
      </c>
      <c r="C889" s="4" t="s">
        <v>1386</v>
      </c>
      <c r="D889" s="4" t="s">
        <v>55</v>
      </c>
      <c r="E889" s="4">
        <v>8325282</v>
      </c>
      <c r="F889" s="4" t="s">
        <v>140</v>
      </c>
      <c r="G889" s="4" t="s">
        <v>1387</v>
      </c>
      <c r="H889" s="5">
        <v>45627</v>
      </c>
      <c r="I889" s="6">
        <v>1</v>
      </c>
      <c r="K889" s="6">
        <v>28.78</v>
      </c>
      <c r="L889" s="4" t="s">
        <v>1383</v>
      </c>
      <c r="M889" s="4" t="s">
        <v>1969</v>
      </c>
      <c r="P889"/>
      <c r="Q889"/>
      <c r="R889"/>
      <c r="S889"/>
      <c r="T889"/>
      <c r="U889"/>
      <c r="V889"/>
    </row>
    <row r="890" spans="1:22" s="4" customFormat="1" x14ac:dyDescent="0.25">
      <c r="A890" s="10" t="s">
        <v>1903</v>
      </c>
      <c r="B890" s="10" t="str">
        <f t="shared" si="14"/>
        <v>A041081521</v>
      </c>
      <c r="C890" s="4" t="s">
        <v>1407</v>
      </c>
      <c r="D890" s="4" t="s">
        <v>1408</v>
      </c>
      <c r="E890" s="4">
        <v>9213293</v>
      </c>
      <c r="F890" s="4" t="s">
        <v>57</v>
      </c>
      <c r="G890" s="4" t="s">
        <v>1409</v>
      </c>
      <c r="H890" s="5">
        <v>45566</v>
      </c>
      <c r="I890" s="6">
        <v>1</v>
      </c>
      <c r="K890" s="6">
        <v>33</v>
      </c>
      <c r="L890" s="4" t="s">
        <v>1383</v>
      </c>
      <c r="M890" s="4" t="s">
        <v>1975</v>
      </c>
      <c r="P890"/>
      <c r="Q890"/>
      <c r="R890"/>
      <c r="S890"/>
      <c r="T890"/>
      <c r="U890"/>
      <c r="V890"/>
    </row>
    <row r="891" spans="1:22" s="4" customFormat="1" x14ac:dyDescent="0.25">
      <c r="A891" s="10" t="s">
        <v>1901</v>
      </c>
      <c r="B891" s="10" t="str">
        <f t="shared" si="14"/>
        <v>A041028101</v>
      </c>
      <c r="C891" s="4" t="s">
        <v>1404</v>
      </c>
      <c r="D891" s="4" t="s">
        <v>278</v>
      </c>
      <c r="E891" s="4">
        <v>19278370</v>
      </c>
      <c r="F891" s="4" t="s">
        <v>389</v>
      </c>
      <c r="G891" s="4" t="s">
        <v>1405</v>
      </c>
      <c r="H891" s="5">
        <v>45536</v>
      </c>
      <c r="I891" s="6">
        <v>1</v>
      </c>
      <c r="K891" s="6">
        <v>36</v>
      </c>
      <c r="L891" s="4" t="s">
        <v>1383</v>
      </c>
      <c r="M891" s="4" t="s">
        <v>1976</v>
      </c>
      <c r="P891"/>
      <c r="Q891"/>
      <c r="R891"/>
      <c r="S891"/>
      <c r="T891"/>
      <c r="U891"/>
      <c r="V891"/>
    </row>
    <row r="892" spans="1:22" s="16" customFormat="1" x14ac:dyDescent="0.25">
      <c r="A892" s="10" t="s">
        <v>1924</v>
      </c>
      <c r="B892" s="10" t="str">
        <f t="shared" si="14"/>
        <v>A041396111</v>
      </c>
      <c r="C892" s="4" t="s">
        <v>1432</v>
      </c>
      <c r="D892" s="4" t="s">
        <v>772</v>
      </c>
      <c r="E892" s="4">
        <v>16212649</v>
      </c>
      <c r="F892" s="4" t="s">
        <v>834</v>
      </c>
      <c r="G892" s="4" t="s">
        <v>1433</v>
      </c>
      <c r="H892" s="5">
        <v>45658</v>
      </c>
      <c r="I892" s="6">
        <v>1</v>
      </c>
      <c r="J892" s="4"/>
      <c r="K892" s="6">
        <v>42.21</v>
      </c>
      <c r="L892" s="4" t="s">
        <v>1383</v>
      </c>
      <c r="M892" s="4" t="s">
        <v>1977</v>
      </c>
      <c r="N892" s="4"/>
      <c r="O892" s="4"/>
      <c r="P892"/>
      <c r="Q892"/>
      <c r="R892"/>
      <c r="S892"/>
      <c r="T892"/>
      <c r="U892"/>
      <c r="V892"/>
    </row>
    <row r="893" spans="1:22" s="16" customFormat="1" x14ac:dyDescent="0.25">
      <c r="A893" s="10" t="s">
        <v>1894</v>
      </c>
      <c r="B893" s="10" t="str">
        <f t="shared" si="14"/>
        <v>A040749091</v>
      </c>
      <c r="C893" s="4" t="s">
        <v>1390</v>
      </c>
      <c r="D893" s="4" t="s">
        <v>203</v>
      </c>
      <c r="E893" s="4">
        <v>19278370</v>
      </c>
      <c r="F893" s="4" t="s">
        <v>389</v>
      </c>
      <c r="G893" s="4" t="s">
        <v>1391</v>
      </c>
      <c r="H893" s="5">
        <v>45474</v>
      </c>
      <c r="I893" s="6">
        <v>1</v>
      </c>
      <c r="J893" s="4"/>
      <c r="K893" s="6">
        <v>37.5</v>
      </c>
      <c r="L893" s="4" t="s">
        <v>1383</v>
      </c>
      <c r="M893" s="4" t="s">
        <v>1979</v>
      </c>
      <c r="N893" s="4"/>
      <c r="O893" s="4"/>
      <c r="P893"/>
      <c r="Q893"/>
      <c r="R893"/>
      <c r="S893"/>
      <c r="T893"/>
      <c r="U893"/>
      <c r="V893"/>
    </row>
    <row r="894" spans="1:22" s="16" customFormat="1" x14ac:dyDescent="0.25">
      <c r="A894" s="10" t="s">
        <v>1905</v>
      </c>
      <c r="B894" s="10" t="str">
        <f t="shared" si="14"/>
        <v>A041112521</v>
      </c>
      <c r="C894" s="4" t="s">
        <v>1411</v>
      </c>
      <c r="D894" s="4" t="s">
        <v>203</v>
      </c>
      <c r="E894" s="4">
        <v>19278370</v>
      </c>
      <c r="F894" s="4" t="s">
        <v>389</v>
      </c>
      <c r="G894" s="4" t="s">
        <v>1391</v>
      </c>
      <c r="H894" s="5">
        <v>45536</v>
      </c>
      <c r="I894" s="6">
        <v>1</v>
      </c>
      <c r="J894" s="4"/>
      <c r="K894" s="6">
        <v>37.5</v>
      </c>
      <c r="L894" s="4" t="s">
        <v>1383</v>
      </c>
      <c r="M894" s="4" t="s">
        <v>1979</v>
      </c>
      <c r="N894" s="4"/>
      <c r="O894" s="4"/>
      <c r="P894"/>
      <c r="Q894"/>
      <c r="R894"/>
      <c r="S894"/>
      <c r="T894"/>
      <c r="U894"/>
      <c r="V894"/>
    </row>
    <row r="895" spans="1:22" s="16" customFormat="1" x14ac:dyDescent="0.25">
      <c r="A895" s="10" t="s">
        <v>1906</v>
      </c>
      <c r="B895" s="10" t="str">
        <f t="shared" si="14"/>
        <v>A041117441</v>
      </c>
      <c r="C895" s="4" t="s">
        <v>1412</v>
      </c>
      <c r="D895" s="4" t="s">
        <v>203</v>
      </c>
      <c r="E895" s="4">
        <v>19278370</v>
      </c>
      <c r="F895" s="4" t="s">
        <v>389</v>
      </c>
      <c r="G895" s="4" t="s">
        <v>1391</v>
      </c>
      <c r="H895" s="5">
        <v>45536</v>
      </c>
      <c r="I895" s="6">
        <v>1</v>
      </c>
      <c r="J895" s="4"/>
      <c r="K895" s="6">
        <v>37.5</v>
      </c>
      <c r="L895" s="4" t="s">
        <v>1383</v>
      </c>
      <c r="M895" s="4" t="s">
        <v>1979</v>
      </c>
      <c r="N895" s="4"/>
      <c r="O895" s="4"/>
      <c r="P895"/>
      <c r="Q895"/>
      <c r="R895"/>
      <c r="S895"/>
      <c r="T895"/>
      <c r="U895"/>
      <c r="V895"/>
    </row>
    <row r="896" spans="1:22" s="4" customFormat="1" x14ac:dyDescent="0.25">
      <c r="A896" s="10" t="s">
        <v>1911</v>
      </c>
      <c r="B896" s="10" t="str">
        <f t="shared" si="14"/>
        <v>A041257351</v>
      </c>
      <c r="C896" s="4" t="s">
        <v>1418</v>
      </c>
      <c r="D896" s="4" t="s">
        <v>203</v>
      </c>
      <c r="E896" s="4">
        <v>19278370</v>
      </c>
      <c r="F896" s="4" t="s">
        <v>389</v>
      </c>
      <c r="G896" s="4" t="s">
        <v>1391</v>
      </c>
      <c r="H896" s="5">
        <v>45566</v>
      </c>
      <c r="I896" s="6">
        <v>1</v>
      </c>
      <c r="K896" s="6">
        <v>37.5</v>
      </c>
      <c r="L896" s="4" t="s">
        <v>1383</v>
      </c>
      <c r="M896" s="4" t="s">
        <v>1979</v>
      </c>
      <c r="P896"/>
      <c r="Q896"/>
      <c r="R896"/>
      <c r="S896"/>
      <c r="T896"/>
      <c r="U896"/>
      <c r="V896"/>
    </row>
    <row r="897" spans="1:22" s="4" customFormat="1" x14ac:dyDescent="0.25">
      <c r="A897" s="10" t="s">
        <v>1927</v>
      </c>
      <c r="B897" s="10" t="str">
        <f t="shared" si="14"/>
        <v>A041424651</v>
      </c>
      <c r="C897" s="4" t="s">
        <v>1436</v>
      </c>
      <c r="D897" s="4" t="s">
        <v>203</v>
      </c>
      <c r="E897" s="4">
        <v>19278370</v>
      </c>
      <c r="F897" s="4" t="s">
        <v>389</v>
      </c>
      <c r="G897" s="4" t="s">
        <v>1391</v>
      </c>
      <c r="H897" s="5">
        <v>45658</v>
      </c>
      <c r="I897" s="6">
        <v>1</v>
      </c>
      <c r="K897" s="6">
        <v>37.5</v>
      </c>
      <c r="L897" s="4" t="s">
        <v>1383</v>
      </c>
      <c r="M897" s="4" t="s">
        <v>1979</v>
      </c>
      <c r="P897"/>
      <c r="Q897"/>
      <c r="R897"/>
      <c r="S897"/>
      <c r="T897"/>
      <c r="U897"/>
      <c r="V897"/>
    </row>
    <row r="898" spans="1:22" s="4" customFormat="1" x14ac:dyDescent="0.25">
      <c r="A898" s="10" t="s">
        <v>1961</v>
      </c>
      <c r="B898" s="10" t="str">
        <f t="shared" si="14"/>
        <v>A042054571</v>
      </c>
      <c r="C898" s="4" t="s">
        <v>1473</v>
      </c>
      <c r="D898" s="4" t="s">
        <v>203</v>
      </c>
      <c r="E898" s="4">
        <v>19278370</v>
      </c>
      <c r="F898" s="4" t="s">
        <v>389</v>
      </c>
      <c r="G898" s="4" t="s">
        <v>1391</v>
      </c>
      <c r="H898" s="5">
        <v>45658</v>
      </c>
      <c r="I898" s="6">
        <v>1</v>
      </c>
      <c r="K898" s="6">
        <v>37.5</v>
      </c>
      <c r="L898" s="4" t="s">
        <v>1383</v>
      </c>
      <c r="M898" s="4" t="s">
        <v>1979</v>
      </c>
      <c r="P898"/>
      <c r="Q898"/>
      <c r="R898"/>
      <c r="S898"/>
      <c r="T898"/>
      <c r="U898"/>
      <c r="V898"/>
    </row>
    <row r="899" spans="1:22" s="4" customFormat="1" x14ac:dyDescent="0.25">
      <c r="A899" s="10" t="s">
        <v>1898</v>
      </c>
      <c r="B899" s="10" t="str">
        <f t="shared" si="14"/>
        <v>A040865931</v>
      </c>
      <c r="C899" s="4" t="s">
        <v>1398</v>
      </c>
      <c r="D899" s="4" t="s">
        <v>203</v>
      </c>
      <c r="E899" s="4">
        <v>19278370</v>
      </c>
      <c r="F899" s="4" t="s">
        <v>389</v>
      </c>
      <c r="G899" s="4" t="s">
        <v>1399</v>
      </c>
      <c r="H899" s="5">
        <v>45505</v>
      </c>
      <c r="I899" s="6">
        <v>1</v>
      </c>
      <c r="K899" s="6">
        <v>31.02</v>
      </c>
      <c r="L899" s="4" t="s">
        <v>1383</v>
      </c>
      <c r="M899" s="4" t="s">
        <v>1980</v>
      </c>
      <c r="P899"/>
      <c r="Q899"/>
      <c r="R899"/>
      <c r="S899"/>
      <c r="T899"/>
      <c r="U899"/>
      <c r="V899"/>
    </row>
    <row r="900" spans="1:22" s="4" customFormat="1" x14ac:dyDescent="0.25">
      <c r="A900" s="10" t="s">
        <v>1936</v>
      </c>
      <c r="B900" s="10" t="str">
        <f t="shared" si="14"/>
        <v>A041561191</v>
      </c>
      <c r="C900" s="4" t="s">
        <v>1444</v>
      </c>
      <c r="D900" s="4" t="s">
        <v>203</v>
      </c>
      <c r="E900" s="4">
        <v>19278370</v>
      </c>
      <c r="F900" s="4" t="s">
        <v>389</v>
      </c>
      <c r="G900" s="4" t="s">
        <v>1399</v>
      </c>
      <c r="H900" s="5">
        <v>45658</v>
      </c>
      <c r="I900" s="6">
        <v>1</v>
      </c>
      <c r="K900" s="6">
        <v>31.02</v>
      </c>
      <c r="L900" s="4" t="s">
        <v>1383</v>
      </c>
      <c r="M900" s="4" t="s">
        <v>1980</v>
      </c>
      <c r="P900"/>
      <c r="Q900"/>
      <c r="R900"/>
      <c r="S900"/>
      <c r="T900"/>
      <c r="U900"/>
      <c r="V900"/>
    </row>
    <row r="901" spans="1:22" s="4" customFormat="1" x14ac:dyDescent="0.25">
      <c r="A901" s="10" t="s">
        <v>1958</v>
      </c>
      <c r="B901" s="10" t="str">
        <f t="shared" si="14"/>
        <v>A041903401</v>
      </c>
      <c r="C901" s="4" t="s">
        <v>1470</v>
      </c>
      <c r="D901" s="4" t="s">
        <v>203</v>
      </c>
      <c r="E901" s="4">
        <v>19278370</v>
      </c>
      <c r="F901" s="4" t="s">
        <v>389</v>
      </c>
      <c r="G901" s="4" t="s">
        <v>1399</v>
      </c>
      <c r="H901" s="5">
        <v>45658</v>
      </c>
      <c r="I901" s="6">
        <v>1</v>
      </c>
      <c r="K901" s="6">
        <v>31.02</v>
      </c>
      <c r="L901" s="4" t="s">
        <v>1383</v>
      </c>
      <c r="M901" s="4" t="s">
        <v>1980</v>
      </c>
      <c r="P901"/>
      <c r="Q901"/>
      <c r="R901"/>
      <c r="S901"/>
      <c r="T901"/>
      <c r="U901"/>
      <c r="V901"/>
    </row>
    <row r="902" spans="1:22" s="4" customFormat="1" x14ac:dyDescent="0.25">
      <c r="A902" s="10" t="s">
        <v>1907</v>
      </c>
      <c r="B902" s="10" t="str">
        <f t="shared" si="14"/>
        <v>A041122781</v>
      </c>
      <c r="C902" s="4" t="s">
        <v>1413</v>
      </c>
      <c r="D902" s="4" t="s">
        <v>203</v>
      </c>
      <c r="E902" s="4">
        <v>19278370</v>
      </c>
      <c r="F902" s="4" t="s">
        <v>389</v>
      </c>
      <c r="G902" s="4" t="s">
        <v>1403</v>
      </c>
      <c r="H902" s="5">
        <v>45536</v>
      </c>
      <c r="I902" s="6">
        <v>1</v>
      </c>
      <c r="K902" s="6">
        <v>36.479999999999997</v>
      </c>
      <c r="L902" s="4" t="s">
        <v>1383</v>
      </c>
      <c r="M902" s="4" t="s">
        <v>1981</v>
      </c>
      <c r="P902"/>
      <c r="Q902"/>
      <c r="R902"/>
      <c r="S902"/>
      <c r="T902"/>
      <c r="U902"/>
      <c r="V902"/>
    </row>
    <row r="903" spans="1:22" s="4" customFormat="1" x14ac:dyDescent="0.25">
      <c r="A903" s="10" t="s">
        <v>1925</v>
      </c>
      <c r="B903" s="10" t="str">
        <f t="shared" si="14"/>
        <v>A041410021</v>
      </c>
      <c r="C903" s="4" t="s">
        <v>1434</v>
      </c>
      <c r="D903" s="4" t="s">
        <v>203</v>
      </c>
      <c r="E903" s="4">
        <v>19278370</v>
      </c>
      <c r="F903" s="4" t="s">
        <v>389</v>
      </c>
      <c r="G903" s="4" t="s">
        <v>1403</v>
      </c>
      <c r="H903" s="5">
        <v>45627</v>
      </c>
      <c r="I903" s="6">
        <v>1</v>
      </c>
      <c r="K903" s="6">
        <v>36.479999999999997</v>
      </c>
      <c r="L903" s="4" t="s">
        <v>1383</v>
      </c>
      <c r="M903" s="4" t="s">
        <v>1981</v>
      </c>
      <c r="P903"/>
      <c r="Q903"/>
      <c r="R903"/>
      <c r="S903"/>
      <c r="T903"/>
      <c r="U903"/>
      <c r="V903"/>
    </row>
    <row r="904" spans="1:22" s="4" customFormat="1" x14ac:dyDescent="0.25">
      <c r="A904" s="10" t="s">
        <v>1926</v>
      </c>
      <c r="B904" s="10" t="str">
        <f t="shared" si="14"/>
        <v>A041410961</v>
      </c>
      <c r="C904" s="4" t="s">
        <v>1435</v>
      </c>
      <c r="D904" s="4" t="s">
        <v>203</v>
      </c>
      <c r="E904" s="4">
        <v>19278370</v>
      </c>
      <c r="F904" s="4" t="s">
        <v>389</v>
      </c>
      <c r="G904" s="4" t="s">
        <v>1403</v>
      </c>
      <c r="H904" s="5">
        <v>45627</v>
      </c>
      <c r="I904" s="6">
        <v>1</v>
      </c>
      <c r="K904" s="6">
        <v>36.479999999999997</v>
      </c>
      <c r="L904" s="4" t="s">
        <v>1383</v>
      </c>
      <c r="M904" s="4" t="s">
        <v>1981</v>
      </c>
      <c r="P904"/>
      <c r="Q904"/>
      <c r="R904"/>
      <c r="S904"/>
      <c r="T904"/>
      <c r="U904"/>
      <c r="V904"/>
    </row>
    <row r="905" spans="1:22" s="4" customFormat="1" x14ac:dyDescent="0.25">
      <c r="A905" s="10" t="s">
        <v>1939</v>
      </c>
      <c r="B905" s="10" t="str">
        <f t="shared" si="14"/>
        <v>A041617511</v>
      </c>
      <c r="C905" s="4" t="s">
        <v>1446</v>
      </c>
      <c r="D905" s="4" t="s">
        <v>203</v>
      </c>
      <c r="E905" s="4">
        <v>19278370</v>
      </c>
      <c r="F905" s="4" t="s">
        <v>389</v>
      </c>
      <c r="G905" s="4" t="s">
        <v>1403</v>
      </c>
      <c r="H905" s="5">
        <v>45658</v>
      </c>
      <c r="I905" s="6">
        <v>1</v>
      </c>
      <c r="K905" s="6">
        <v>36.479999999999997</v>
      </c>
      <c r="L905" s="4" t="s">
        <v>1383</v>
      </c>
      <c r="M905" s="4" t="s">
        <v>1981</v>
      </c>
      <c r="P905"/>
      <c r="Q905"/>
      <c r="R905"/>
      <c r="S905"/>
      <c r="T905"/>
      <c r="U905"/>
      <c r="V905"/>
    </row>
    <row r="906" spans="1:22" s="4" customFormat="1" x14ac:dyDescent="0.25">
      <c r="A906" s="10" t="s">
        <v>1955</v>
      </c>
      <c r="B906" s="10" t="str">
        <f t="shared" si="14"/>
        <v>A041823201</v>
      </c>
      <c r="C906" s="4" t="s">
        <v>1466</v>
      </c>
      <c r="D906" s="4" t="s">
        <v>203</v>
      </c>
      <c r="E906" s="4">
        <v>17425766</v>
      </c>
      <c r="F906" s="4" t="s">
        <v>624</v>
      </c>
      <c r="G906" s="4" t="s">
        <v>1403</v>
      </c>
      <c r="H906" s="5">
        <v>45658</v>
      </c>
      <c r="I906" s="6">
        <v>1</v>
      </c>
      <c r="K906" s="6">
        <v>36.479999999999997</v>
      </c>
      <c r="L906" s="4" t="s">
        <v>1383</v>
      </c>
      <c r="M906" s="4" t="s">
        <v>1981</v>
      </c>
      <c r="P906"/>
      <c r="Q906"/>
      <c r="R906"/>
      <c r="S906"/>
      <c r="T906"/>
      <c r="U906"/>
      <c r="V906"/>
    </row>
    <row r="907" spans="1:22" s="4" customFormat="1" x14ac:dyDescent="0.25">
      <c r="A907" s="10" t="s">
        <v>1929</v>
      </c>
      <c r="B907" s="10" t="str">
        <f t="shared" si="14"/>
        <v>A041483861</v>
      </c>
      <c r="C907" s="4" t="s">
        <v>1437</v>
      </c>
      <c r="D907" s="4" t="s">
        <v>203</v>
      </c>
      <c r="E907" s="4">
        <v>17528908</v>
      </c>
      <c r="F907" s="4" t="s">
        <v>655</v>
      </c>
      <c r="G907" s="4" t="s">
        <v>1403</v>
      </c>
      <c r="H907" s="5">
        <v>45658</v>
      </c>
      <c r="I907" s="6">
        <v>1</v>
      </c>
      <c r="K907" s="6">
        <v>36.479999999999997</v>
      </c>
      <c r="L907" s="4" t="s">
        <v>1383</v>
      </c>
      <c r="M907" s="4" t="s">
        <v>1981</v>
      </c>
      <c r="P907"/>
      <c r="Q907"/>
      <c r="R907"/>
      <c r="S907"/>
      <c r="T907"/>
      <c r="U907"/>
      <c r="V907"/>
    </row>
    <row r="908" spans="1:22" s="4" customFormat="1" x14ac:dyDescent="0.25">
      <c r="A908" s="10" t="s">
        <v>1900</v>
      </c>
      <c r="B908" s="10" t="str">
        <f t="shared" ref="B908:B930" si="15">CONCATENATE(A908,1)</f>
        <v>A040923891</v>
      </c>
      <c r="C908" s="4" t="s">
        <v>1402</v>
      </c>
      <c r="D908" s="4" t="s">
        <v>203</v>
      </c>
      <c r="E908" s="4">
        <v>16509456</v>
      </c>
      <c r="F908" s="4" t="s">
        <v>561</v>
      </c>
      <c r="G908" s="4" t="s">
        <v>1403</v>
      </c>
      <c r="H908" s="5">
        <v>45536</v>
      </c>
      <c r="I908" s="6">
        <v>1</v>
      </c>
      <c r="K908" s="6">
        <v>36.479999999999997</v>
      </c>
      <c r="L908" s="4" t="s">
        <v>1383</v>
      </c>
      <c r="M908" s="4" t="s">
        <v>1981</v>
      </c>
      <c r="P908"/>
      <c r="Q908"/>
      <c r="R908"/>
      <c r="S908"/>
      <c r="T908"/>
      <c r="U908"/>
      <c r="V908"/>
    </row>
    <row r="909" spans="1:22" s="4" customFormat="1" x14ac:dyDescent="0.25">
      <c r="A909" s="10" t="s">
        <v>1940</v>
      </c>
      <c r="B909" s="10" t="str">
        <f t="shared" si="15"/>
        <v>A041627081</v>
      </c>
      <c r="C909" s="4" t="s">
        <v>1447</v>
      </c>
      <c r="D909" s="4" t="s">
        <v>203</v>
      </c>
      <c r="E909" s="4">
        <v>17528908</v>
      </c>
      <c r="F909" s="4" t="s">
        <v>655</v>
      </c>
      <c r="G909" s="4" t="s">
        <v>1448</v>
      </c>
      <c r="H909" s="5">
        <v>45627</v>
      </c>
      <c r="I909" s="6">
        <v>1</v>
      </c>
      <c r="K909" s="6">
        <v>35.520000000000003</v>
      </c>
      <c r="L909" s="4" t="s">
        <v>1383</v>
      </c>
      <c r="M909" s="4" t="s">
        <v>1983</v>
      </c>
      <c r="P909"/>
      <c r="Q909"/>
      <c r="R909"/>
      <c r="S909"/>
      <c r="T909"/>
      <c r="U909"/>
      <c r="V909"/>
    </row>
    <row r="910" spans="1:22" s="4" customFormat="1" x14ac:dyDescent="0.25">
      <c r="A910" s="10" t="s">
        <v>1941</v>
      </c>
      <c r="B910" s="10" t="str">
        <f t="shared" si="15"/>
        <v>A041628441</v>
      </c>
      <c r="C910" s="4" t="s">
        <v>954</v>
      </c>
      <c r="D910" s="4" t="s">
        <v>203</v>
      </c>
      <c r="E910" s="4">
        <v>17528908</v>
      </c>
      <c r="F910" s="4" t="s">
        <v>655</v>
      </c>
      <c r="G910" s="4" t="s">
        <v>1448</v>
      </c>
      <c r="H910" s="5">
        <v>45627</v>
      </c>
      <c r="I910" s="6">
        <v>1</v>
      </c>
      <c r="K910" s="6">
        <v>35.520000000000003</v>
      </c>
      <c r="L910" s="4" t="s">
        <v>1383</v>
      </c>
      <c r="M910" s="4" t="s">
        <v>1983</v>
      </c>
      <c r="P910"/>
      <c r="Q910"/>
      <c r="R910"/>
      <c r="S910"/>
      <c r="T910"/>
      <c r="U910"/>
      <c r="V910"/>
    </row>
    <row r="911" spans="1:22" s="4" customFormat="1" x14ac:dyDescent="0.25">
      <c r="A911" s="10" t="s">
        <v>1895</v>
      </c>
      <c r="B911" s="10" t="str">
        <f t="shared" si="15"/>
        <v>A040787281</v>
      </c>
      <c r="C911" s="4" t="s">
        <v>1392</v>
      </c>
      <c r="D911" s="4" t="s">
        <v>203</v>
      </c>
      <c r="E911" s="4">
        <v>17528908</v>
      </c>
      <c r="F911" s="4" t="s">
        <v>655</v>
      </c>
      <c r="G911" s="4" t="s">
        <v>1393</v>
      </c>
      <c r="H911" s="5">
        <v>45474</v>
      </c>
      <c r="I911" s="6">
        <v>1</v>
      </c>
      <c r="K911" s="6">
        <v>1.3</v>
      </c>
      <c r="L911" s="4" t="s">
        <v>953</v>
      </c>
      <c r="M911" s="4" t="s">
        <v>1982</v>
      </c>
      <c r="P911"/>
      <c r="Q911"/>
      <c r="R911"/>
      <c r="S911"/>
      <c r="T911"/>
      <c r="U911"/>
      <c r="V911"/>
    </row>
    <row r="912" spans="1:22" s="4" customFormat="1" x14ac:dyDescent="0.25">
      <c r="A912" s="10" t="s">
        <v>1908</v>
      </c>
      <c r="B912" s="10" t="str">
        <f t="shared" si="15"/>
        <v>A041136271</v>
      </c>
      <c r="C912" s="4" t="s">
        <v>1414</v>
      </c>
      <c r="D912" s="4" t="s">
        <v>203</v>
      </c>
      <c r="E912" s="4">
        <v>18710070</v>
      </c>
      <c r="F912" s="4" t="s">
        <v>1200</v>
      </c>
      <c r="G912" s="4" t="s">
        <v>1415</v>
      </c>
      <c r="H912" s="5">
        <v>45566</v>
      </c>
      <c r="I912" s="6">
        <v>1</v>
      </c>
      <c r="K912" s="6">
        <v>25.98</v>
      </c>
      <c r="L912" s="4" t="s">
        <v>1383</v>
      </c>
      <c r="M912" s="4" t="s">
        <v>1982</v>
      </c>
    </row>
    <row r="913" spans="1:22" s="4" customFormat="1" x14ac:dyDescent="0.25">
      <c r="A913" s="10" t="s">
        <v>1952</v>
      </c>
      <c r="B913" s="10" t="str">
        <f t="shared" si="15"/>
        <v>A041768601</v>
      </c>
      <c r="C913" s="4" t="s">
        <v>1462</v>
      </c>
      <c r="D913" s="4" t="s">
        <v>203</v>
      </c>
      <c r="E913" s="4">
        <v>16212649</v>
      </c>
      <c r="F913" s="4" t="s">
        <v>834</v>
      </c>
      <c r="G913" s="4" t="s">
        <v>1463</v>
      </c>
      <c r="H913" s="5">
        <v>45627</v>
      </c>
      <c r="I913" s="6">
        <v>1</v>
      </c>
      <c r="K913" s="6">
        <v>27.48</v>
      </c>
      <c r="L913" s="4" t="s">
        <v>1383</v>
      </c>
      <c r="M913" s="4" t="s">
        <v>1984</v>
      </c>
      <c r="P913"/>
      <c r="Q913"/>
      <c r="R913"/>
      <c r="S913"/>
      <c r="T913"/>
      <c r="U913"/>
      <c r="V913"/>
    </row>
    <row r="914" spans="1:22" s="4" customFormat="1" x14ac:dyDescent="0.25">
      <c r="A914" s="10" t="s">
        <v>1953</v>
      </c>
      <c r="B914" s="10" t="str">
        <f t="shared" si="15"/>
        <v>A041769921</v>
      </c>
      <c r="C914" s="4" t="s">
        <v>1464</v>
      </c>
      <c r="D914" s="4" t="s">
        <v>203</v>
      </c>
      <c r="E914" s="4">
        <v>16212649</v>
      </c>
      <c r="F914" s="4" t="s">
        <v>834</v>
      </c>
      <c r="G914" s="4" t="s">
        <v>1463</v>
      </c>
      <c r="H914" s="5">
        <v>45627</v>
      </c>
      <c r="I914" s="6">
        <v>1</v>
      </c>
      <c r="K914" s="6">
        <v>27.48</v>
      </c>
      <c r="L914" s="4" t="s">
        <v>1383</v>
      </c>
      <c r="M914" s="4" t="s">
        <v>1984</v>
      </c>
      <c r="P914"/>
      <c r="Q914"/>
      <c r="R914"/>
      <c r="S914"/>
      <c r="T914"/>
      <c r="U914"/>
      <c r="V914"/>
    </row>
    <row r="915" spans="1:22" s="4" customFormat="1" x14ac:dyDescent="0.25">
      <c r="A915" s="10" t="s">
        <v>1891</v>
      </c>
      <c r="B915" s="10" t="str">
        <f t="shared" si="15"/>
        <v>A037226851</v>
      </c>
      <c r="C915" s="4" t="s">
        <v>1384</v>
      </c>
      <c r="D915" s="4" t="s">
        <v>203</v>
      </c>
      <c r="E915" s="4">
        <v>19278370</v>
      </c>
      <c r="F915" s="4" t="s">
        <v>389</v>
      </c>
      <c r="G915" s="4" t="s">
        <v>1385</v>
      </c>
      <c r="H915" s="5">
        <v>45689</v>
      </c>
      <c r="I915" s="6">
        <v>1</v>
      </c>
      <c r="K915" s="6">
        <v>24.73</v>
      </c>
      <c r="L915" s="4" t="s">
        <v>1383</v>
      </c>
      <c r="M915" s="4" t="s">
        <v>1985</v>
      </c>
      <c r="P915"/>
      <c r="Q915"/>
      <c r="R915"/>
      <c r="S915"/>
      <c r="T915"/>
      <c r="U915"/>
      <c r="V915"/>
    </row>
    <row r="916" spans="1:22" s="4" customFormat="1" x14ac:dyDescent="0.25">
      <c r="A916" s="10" t="s">
        <v>1896</v>
      </c>
      <c r="B916" s="10" t="str">
        <f t="shared" si="15"/>
        <v>A040814131</v>
      </c>
      <c r="C916" s="4" t="s">
        <v>1394</v>
      </c>
      <c r="D916" s="4" t="s">
        <v>769</v>
      </c>
      <c r="E916" s="4">
        <v>17425766</v>
      </c>
      <c r="F916" s="4" t="s">
        <v>624</v>
      </c>
      <c r="G916" s="4" t="s">
        <v>1395</v>
      </c>
      <c r="H916" s="5">
        <v>45505</v>
      </c>
      <c r="I916" s="6">
        <v>1</v>
      </c>
      <c r="K916" s="6">
        <v>25.02</v>
      </c>
      <c r="L916" s="4" t="s">
        <v>1383</v>
      </c>
      <c r="M916" s="4" t="s">
        <v>1978</v>
      </c>
      <c r="P916"/>
      <c r="Q916"/>
      <c r="R916"/>
      <c r="S916"/>
      <c r="T916"/>
      <c r="U916"/>
      <c r="V916"/>
    </row>
    <row r="917" spans="1:22" x14ac:dyDescent="0.25">
      <c r="A917" s="10" t="s">
        <v>1893</v>
      </c>
      <c r="B917" s="10" t="str">
        <f t="shared" si="15"/>
        <v>A037778171</v>
      </c>
      <c r="C917" s="4" t="s">
        <v>1388</v>
      </c>
      <c r="D917" s="4" t="s">
        <v>203</v>
      </c>
      <c r="E917" s="4">
        <v>17425766</v>
      </c>
      <c r="F917" s="4" t="s">
        <v>624</v>
      </c>
      <c r="G917" s="4" t="s">
        <v>1389</v>
      </c>
      <c r="H917" s="5">
        <v>45597</v>
      </c>
      <c r="I917" s="6">
        <v>1</v>
      </c>
      <c r="J917" s="4"/>
      <c r="K917" s="6">
        <v>22.52</v>
      </c>
      <c r="L917" s="4" t="s">
        <v>1383</v>
      </c>
      <c r="M917" s="4" t="s">
        <v>1978</v>
      </c>
      <c r="N917" s="4"/>
      <c r="O917" s="4"/>
    </row>
    <row r="918" spans="1:22" x14ac:dyDescent="0.25">
      <c r="A918" s="10">
        <v>909023469</v>
      </c>
      <c r="B918" s="10" t="str">
        <f t="shared" si="15"/>
        <v>9090234691</v>
      </c>
      <c r="C918" s="4" t="s">
        <v>1365</v>
      </c>
      <c r="D918" s="4" t="s">
        <v>203</v>
      </c>
      <c r="E918" s="4">
        <v>19278370</v>
      </c>
      <c r="F918" s="4" t="s">
        <v>389</v>
      </c>
      <c r="G918" s="4" t="s">
        <v>1366</v>
      </c>
      <c r="H918" s="5">
        <v>45627</v>
      </c>
      <c r="I918" s="6">
        <v>1</v>
      </c>
      <c r="J918" s="4"/>
      <c r="K918" s="6">
        <v>28.75</v>
      </c>
      <c r="L918" s="4" t="s">
        <v>1345</v>
      </c>
      <c r="M918" s="4" t="s">
        <v>1988</v>
      </c>
      <c r="N918" s="4" t="s">
        <v>1991</v>
      </c>
    </row>
    <row r="919" spans="1:22" x14ac:dyDescent="0.25">
      <c r="A919" s="10">
        <v>130273314</v>
      </c>
      <c r="B919" s="10" t="str">
        <f t="shared" si="15"/>
        <v>1302733141</v>
      </c>
      <c r="C919" s="4" t="s">
        <v>1342</v>
      </c>
      <c r="D919" s="4" t="s">
        <v>278</v>
      </c>
      <c r="E919" s="4">
        <v>17195620</v>
      </c>
      <c r="F919" s="4" t="s">
        <v>1343</v>
      </c>
      <c r="G919" s="4" t="s">
        <v>1344</v>
      </c>
      <c r="H919" s="5">
        <v>45474</v>
      </c>
      <c r="I919" s="6">
        <v>1</v>
      </c>
      <c r="J919" s="4"/>
      <c r="K919" s="6">
        <v>25.5</v>
      </c>
      <c r="L919" s="4" t="s">
        <v>1345</v>
      </c>
      <c r="M919" s="4" t="s">
        <v>1987</v>
      </c>
      <c r="N919" s="4" t="s">
        <v>1990</v>
      </c>
    </row>
    <row r="920" spans="1:22" x14ac:dyDescent="0.25">
      <c r="A920" s="10">
        <v>130524428</v>
      </c>
      <c r="B920" s="10" t="str">
        <f t="shared" si="15"/>
        <v>1305244281</v>
      </c>
      <c r="C920" s="4" t="s">
        <v>1347</v>
      </c>
      <c r="D920" s="4" t="s">
        <v>278</v>
      </c>
      <c r="E920" s="4">
        <v>17195620</v>
      </c>
      <c r="F920" s="4" t="s">
        <v>1343</v>
      </c>
      <c r="G920" s="4" t="s">
        <v>1348</v>
      </c>
      <c r="H920" s="5">
        <v>45505</v>
      </c>
      <c r="I920" s="6">
        <v>1</v>
      </c>
      <c r="J920" s="4"/>
      <c r="K920" s="6">
        <v>25.5</v>
      </c>
      <c r="L920" s="4" t="s">
        <v>1345</v>
      </c>
      <c r="M920" s="4" t="s">
        <v>1987</v>
      </c>
      <c r="N920" s="4" t="s">
        <v>1990</v>
      </c>
    </row>
    <row r="921" spans="1:22" x14ac:dyDescent="0.25">
      <c r="A921" s="10">
        <v>993708991</v>
      </c>
      <c r="B921" s="10" t="str">
        <f t="shared" si="15"/>
        <v>9937089911</v>
      </c>
      <c r="C921" s="4" t="s">
        <v>1379</v>
      </c>
      <c r="D921" s="4" t="s">
        <v>398</v>
      </c>
      <c r="E921" s="4">
        <v>19681796</v>
      </c>
      <c r="F921" s="4" t="s">
        <v>379</v>
      </c>
      <c r="G921" s="4" t="s">
        <v>1348</v>
      </c>
      <c r="H921" s="5">
        <v>45566</v>
      </c>
      <c r="I921" s="6">
        <v>1</v>
      </c>
      <c r="J921" s="4"/>
      <c r="K921" s="6">
        <v>25.5</v>
      </c>
      <c r="L921" s="4" t="s">
        <v>1345</v>
      </c>
      <c r="M921" s="4" t="s">
        <v>1987</v>
      </c>
      <c r="N921" s="4" t="s">
        <v>1990</v>
      </c>
    </row>
    <row r="922" spans="1:22" x14ac:dyDescent="0.25">
      <c r="A922" s="10">
        <v>967561705</v>
      </c>
      <c r="B922" s="10" t="str">
        <f t="shared" si="15"/>
        <v>9675617051</v>
      </c>
      <c r="C922" s="4" t="s">
        <v>1370</v>
      </c>
      <c r="D922" s="4" t="s">
        <v>55</v>
      </c>
      <c r="E922" s="4">
        <v>8325282</v>
      </c>
      <c r="F922" s="4" t="s">
        <v>140</v>
      </c>
      <c r="G922" s="4" t="s">
        <v>1344</v>
      </c>
      <c r="H922" s="5">
        <v>45597</v>
      </c>
      <c r="I922" s="6">
        <v>1</v>
      </c>
      <c r="J922" s="4"/>
      <c r="K922" s="6">
        <v>25.5</v>
      </c>
      <c r="L922" s="4" t="s">
        <v>1345</v>
      </c>
      <c r="M922" s="4" t="s">
        <v>1987</v>
      </c>
      <c r="N922" s="4" t="s">
        <v>1990</v>
      </c>
    </row>
    <row r="923" spans="1:22" x14ac:dyDescent="0.25">
      <c r="A923" s="10">
        <v>906051412</v>
      </c>
      <c r="B923" s="10" t="str">
        <f t="shared" si="15"/>
        <v>9060514121</v>
      </c>
      <c r="C923" s="4" t="s">
        <v>1364</v>
      </c>
      <c r="D923" s="4" t="s">
        <v>55</v>
      </c>
      <c r="E923" s="4">
        <v>9213293</v>
      </c>
      <c r="F923" s="4" t="s">
        <v>57</v>
      </c>
      <c r="G923" s="4" t="s">
        <v>1344</v>
      </c>
      <c r="H923" s="5">
        <v>45566</v>
      </c>
      <c r="I923" s="6">
        <v>1</v>
      </c>
      <c r="J923" s="4"/>
      <c r="K923" s="6">
        <v>25.5</v>
      </c>
      <c r="L923" s="4" t="s">
        <v>1345</v>
      </c>
      <c r="M923" s="4" t="s">
        <v>1987</v>
      </c>
      <c r="N923" s="4" t="s">
        <v>1990</v>
      </c>
    </row>
    <row r="924" spans="1:22" x14ac:dyDescent="0.25">
      <c r="A924" s="10">
        <v>992426853</v>
      </c>
      <c r="B924" s="10" t="str">
        <f t="shared" si="15"/>
        <v>9924268531</v>
      </c>
      <c r="C924" s="4" t="s">
        <v>1377</v>
      </c>
      <c r="D924" s="4" t="s">
        <v>55</v>
      </c>
      <c r="E924" s="4">
        <v>9213293</v>
      </c>
      <c r="F924" s="4" t="s">
        <v>57</v>
      </c>
      <c r="G924" s="4" t="s">
        <v>1378</v>
      </c>
      <c r="H924" s="5">
        <v>45566</v>
      </c>
      <c r="I924" s="6">
        <v>1</v>
      </c>
      <c r="J924" s="4"/>
      <c r="K924" s="6">
        <v>25.5</v>
      </c>
      <c r="L924" s="4" t="s">
        <v>1345</v>
      </c>
      <c r="M924" s="4" t="s">
        <v>1987</v>
      </c>
      <c r="N924" s="4" t="s">
        <v>1990</v>
      </c>
    </row>
    <row r="925" spans="1:22" x14ac:dyDescent="0.25">
      <c r="A925" s="10">
        <v>970181792</v>
      </c>
      <c r="B925" s="10" t="str">
        <f t="shared" si="15"/>
        <v>9701817921</v>
      </c>
      <c r="C925" s="4" t="s">
        <v>1372</v>
      </c>
      <c r="D925" s="4" t="s">
        <v>1263</v>
      </c>
      <c r="E925" s="4">
        <v>8307933</v>
      </c>
      <c r="F925" s="4" t="s">
        <v>229</v>
      </c>
      <c r="G925" s="4" t="s">
        <v>1344</v>
      </c>
      <c r="H925" s="5">
        <v>45597</v>
      </c>
      <c r="I925" s="6">
        <v>1</v>
      </c>
      <c r="J925" s="4"/>
      <c r="K925" s="6">
        <v>25.5</v>
      </c>
      <c r="L925" s="4" t="s">
        <v>1345</v>
      </c>
      <c r="M925" s="4" t="s">
        <v>1987</v>
      </c>
      <c r="N925" s="4" t="s">
        <v>1990</v>
      </c>
    </row>
    <row r="926" spans="1:22" x14ac:dyDescent="0.25">
      <c r="A926" s="10">
        <v>992088421</v>
      </c>
      <c r="B926" s="10" t="str">
        <f t="shared" si="15"/>
        <v>9920884211</v>
      </c>
      <c r="C926" s="4" t="s">
        <v>1375</v>
      </c>
      <c r="D926" s="4" t="s">
        <v>66</v>
      </c>
      <c r="E926" s="4">
        <v>8307933</v>
      </c>
      <c r="F926" s="4" t="s">
        <v>229</v>
      </c>
      <c r="G926" s="4" t="s">
        <v>1344</v>
      </c>
      <c r="H926" s="5">
        <v>45597</v>
      </c>
      <c r="I926" s="6">
        <v>1</v>
      </c>
      <c r="J926" s="4"/>
      <c r="K926" s="6">
        <v>25.5</v>
      </c>
      <c r="L926" s="4" t="s">
        <v>1345</v>
      </c>
      <c r="M926" s="4" t="s">
        <v>1987</v>
      </c>
      <c r="N926" s="4" t="s">
        <v>1990</v>
      </c>
    </row>
    <row r="927" spans="1:22" x14ac:dyDescent="0.25">
      <c r="A927" s="10">
        <v>991398727</v>
      </c>
      <c r="B927" s="10" t="str">
        <f t="shared" si="15"/>
        <v>9913987271</v>
      </c>
      <c r="C927" s="4" t="s">
        <v>1374</v>
      </c>
      <c r="D927" s="4" t="s">
        <v>154</v>
      </c>
      <c r="E927" s="4">
        <v>16865615</v>
      </c>
      <c r="F927" s="4" t="s">
        <v>156</v>
      </c>
      <c r="G927" s="4" t="s">
        <v>1344</v>
      </c>
      <c r="H927" s="5">
        <v>45474</v>
      </c>
      <c r="I927" s="6">
        <v>1</v>
      </c>
      <c r="J927" s="4"/>
      <c r="K927" s="6">
        <v>25.5</v>
      </c>
      <c r="L927" s="4" t="s">
        <v>1345</v>
      </c>
      <c r="M927" s="4" t="s">
        <v>1987</v>
      </c>
      <c r="N927" s="4" t="s">
        <v>1990</v>
      </c>
    </row>
    <row r="928" spans="1:22" x14ac:dyDescent="0.25">
      <c r="A928" s="10">
        <v>981141937</v>
      </c>
      <c r="B928" s="10" t="str">
        <f t="shared" si="15"/>
        <v>9811419371</v>
      </c>
      <c r="C928" s="4" t="s">
        <v>1373</v>
      </c>
      <c r="D928" s="4" t="s">
        <v>154</v>
      </c>
      <c r="E928" s="4">
        <v>16865615</v>
      </c>
      <c r="F928" s="4" t="s">
        <v>156</v>
      </c>
      <c r="G928" s="4" t="s">
        <v>1348</v>
      </c>
      <c r="H928" s="5">
        <v>45597</v>
      </c>
      <c r="I928" s="6">
        <v>1</v>
      </c>
      <c r="J928" s="4"/>
      <c r="K928" s="6">
        <v>25.5</v>
      </c>
      <c r="L928" s="4" t="s">
        <v>1345</v>
      </c>
      <c r="M928" s="4" t="s">
        <v>1987</v>
      </c>
      <c r="N928" s="4" t="s">
        <v>1990</v>
      </c>
    </row>
    <row r="929" spans="1:22" x14ac:dyDescent="0.25">
      <c r="A929" s="10">
        <v>992248315</v>
      </c>
      <c r="B929" s="10" t="str">
        <f t="shared" si="15"/>
        <v>9922483151</v>
      </c>
      <c r="C929" s="4" t="s">
        <v>1376</v>
      </c>
      <c r="D929" s="4" t="s">
        <v>55</v>
      </c>
      <c r="E929" s="4">
        <v>18828278</v>
      </c>
      <c r="F929" s="4" t="s">
        <v>286</v>
      </c>
      <c r="G929" s="4" t="s">
        <v>1344</v>
      </c>
      <c r="H929" s="5">
        <v>45536</v>
      </c>
      <c r="I929" s="6">
        <v>1</v>
      </c>
      <c r="J929" s="4"/>
      <c r="K929" s="6">
        <v>25.5</v>
      </c>
      <c r="L929" s="4" t="s">
        <v>1345</v>
      </c>
      <c r="M929" s="4" t="s">
        <v>1987</v>
      </c>
      <c r="N929" s="4" t="s">
        <v>1990</v>
      </c>
      <c r="P929" s="4"/>
      <c r="Q929" s="4"/>
      <c r="R929" s="4"/>
      <c r="S929" s="4"/>
      <c r="T929" s="4"/>
      <c r="U929" s="4"/>
      <c r="V929" s="4"/>
    </row>
    <row r="930" spans="1:22" x14ac:dyDescent="0.25">
      <c r="A930" s="10">
        <v>130625781</v>
      </c>
      <c r="B930" s="10" t="str">
        <f t="shared" si="15"/>
        <v>1306257811</v>
      </c>
      <c r="C930" s="4" t="s">
        <v>1350</v>
      </c>
      <c r="D930" s="4" t="s">
        <v>46</v>
      </c>
      <c r="E930" s="4">
        <v>19200754</v>
      </c>
      <c r="F930" s="4" t="s">
        <v>166</v>
      </c>
      <c r="G930" s="4" t="s">
        <v>1344</v>
      </c>
      <c r="H930" s="5">
        <v>45536</v>
      </c>
      <c r="I930" s="6">
        <v>1</v>
      </c>
      <c r="J930" s="4"/>
      <c r="K930" s="6">
        <v>25.5</v>
      </c>
      <c r="L930" s="4" t="s">
        <v>1345</v>
      </c>
      <c r="M930" s="4" t="s">
        <v>1987</v>
      </c>
      <c r="N930" s="4" t="s">
        <v>1990</v>
      </c>
    </row>
    <row r="931" spans="1:22" x14ac:dyDescent="0.25">
      <c r="A931" s="9">
        <v>130273314</v>
      </c>
      <c r="B931" s="9" t="str">
        <f t="shared" ref="B931:B954" si="16">CONCATENATE(A931,"OVR")</f>
        <v>130273314OVR</v>
      </c>
      <c r="C931" t="s">
        <v>1342</v>
      </c>
      <c r="D931" t="s">
        <v>278</v>
      </c>
      <c r="E931">
        <v>20411454</v>
      </c>
      <c r="F931" t="s">
        <v>1993</v>
      </c>
      <c r="G931" t="s">
        <v>1346</v>
      </c>
      <c r="H931" s="1">
        <v>45474</v>
      </c>
      <c r="I931" s="2">
        <v>1</v>
      </c>
      <c r="K931" s="2">
        <v>6</v>
      </c>
      <c r="L931" t="s">
        <v>1345</v>
      </c>
      <c r="M931" t="s">
        <v>1986</v>
      </c>
      <c r="P931" s="4"/>
      <c r="Q931" s="4"/>
      <c r="R931" s="4"/>
      <c r="S931" s="4"/>
      <c r="T931" s="4"/>
      <c r="U931" s="4"/>
      <c r="V931" s="4"/>
    </row>
    <row r="932" spans="1:22" x14ac:dyDescent="0.25">
      <c r="A932" s="9">
        <v>130625781</v>
      </c>
      <c r="B932" s="9" t="str">
        <f t="shared" si="16"/>
        <v>130625781OVR</v>
      </c>
      <c r="C932" t="s">
        <v>1350</v>
      </c>
      <c r="D932" t="s">
        <v>46</v>
      </c>
      <c r="E932">
        <v>20411454</v>
      </c>
      <c r="F932" t="s">
        <v>1993</v>
      </c>
      <c r="G932" t="s">
        <v>1346</v>
      </c>
      <c r="H932" s="1">
        <v>45536</v>
      </c>
      <c r="I932" s="2">
        <v>1</v>
      </c>
      <c r="K932" s="2">
        <v>6</v>
      </c>
      <c r="L932" t="s">
        <v>1345</v>
      </c>
      <c r="M932" t="s">
        <v>1986</v>
      </c>
      <c r="P932" s="4"/>
      <c r="Q932" s="4"/>
      <c r="R932" s="4"/>
      <c r="S932" s="4"/>
      <c r="T932" s="4"/>
      <c r="U932" s="4"/>
      <c r="V932" s="4"/>
    </row>
    <row r="933" spans="1:22" x14ac:dyDescent="0.25">
      <c r="A933" s="9">
        <v>906051412</v>
      </c>
      <c r="B933" s="9" t="str">
        <f t="shared" si="16"/>
        <v>906051412OVR</v>
      </c>
      <c r="C933" t="s">
        <v>1364</v>
      </c>
      <c r="D933" t="s">
        <v>55</v>
      </c>
      <c r="E933">
        <v>20411454</v>
      </c>
      <c r="F933" t="s">
        <v>1993</v>
      </c>
      <c r="G933" t="s">
        <v>1346</v>
      </c>
      <c r="H933" s="1">
        <v>45566</v>
      </c>
      <c r="I933" s="2">
        <v>1</v>
      </c>
      <c r="K933" s="2">
        <v>6</v>
      </c>
      <c r="L933" t="s">
        <v>1345</v>
      </c>
      <c r="M933" t="s">
        <v>1986</v>
      </c>
      <c r="P933" s="4"/>
      <c r="Q933" s="4"/>
      <c r="R933" s="4"/>
      <c r="S933" s="4"/>
      <c r="T933" s="4"/>
      <c r="U933" s="4"/>
      <c r="V933" s="4"/>
    </row>
    <row r="934" spans="1:22" x14ac:dyDescent="0.25">
      <c r="A934" s="9">
        <v>909023469</v>
      </c>
      <c r="B934" s="9" t="str">
        <f t="shared" si="16"/>
        <v>909023469OVR</v>
      </c>
      <c r="C934" t="s">
        <v>1365</v>
      </c>
      <c r="D934" t="s">
        <v>203</v>
      </c>
      <c r="E934">
        <v>20411454</v>
      </c>
      <c r="F934" t="s">
        <v>1993</v>
      </c>
      <c r="G934" t="s">
        <v>1346</v>
      </c>
      <c r="H934" s="1">
        <v>45627</v>
      </c>
      <c r="I934" s="2">
        <v>1</v>
      </c>
      <c r="K934" s="2">
        <v>6</v>
      </c>
      <c r="L934" t="s">
        <v>1345</v>
      </c>
      <c r="M934" t="s">
        <v>1986</v>
      </c>
      <c r="P934" s="4"/>
      <c r="Q934" s="4"/>
      <c r="R934" s="4"/>
      <c r="S934" s="4"/>
      <c r="T934" s="4"/>
      <c r="U934" s="4"/>
      <c r="V934" s="4"/>
    </row>
    <row r="935" spans="1:22" x14ac:dyDescent="0.25">
      <c r="A935" s="9">
        <v>967561705</v>
      </c>
      <c r="B935" s="9" t="str">
        <f t="shared" si="16"/>
        <v>967561705OVR</v>
      </c>
      <c r="C935" t="s">
        <v>1370</v>
      </c>
      <c r="D935" t="s">
        <v>55</v>
      </c>
      <c r="E935">
        <v>20411454</v>
      </c>
      <c r="F935" t="s">
        <v>1993</v>
      </c>
      <c r="G935" t="s">
        <v>1346</v>
      </c>
      <c r="H935" s="1">
        <v>45597</v>
      </c>
      <c r="I935" s="2">
        <v>1</v>
      </c>
      <c r="K935" s="2">
        <v>6</v>
      </c>
      <c r="L935" t="s">
        <v>1345</v>
      </c>
      <c r="M935" t="s">
        <v>1986</v>
      </c>
      <c r="P935" s="4"/>
      <c r="Q935" s="4"/>
      <c r="R935" s="4"/>
      <c r="S935" s="4"/>
      <c r="T935" s="4"/>
      <c r="U935" s="4"/>
      <c r="V935" s="4"/>
    </row>
    <row r="936" spans="1:22" x14ac:dyDescent="0.25">
      <c r="A936" s="9">
        <v>970181792</v>
      </c>
      <c r="B936" s="9" t="str">
        <f t="shared" si="16"/>
        <v>970181792OVR</v>
      </c>
      <c r="C936" t="s">
        <v>1372</v>
      </c>
      <c r="D936" t="s">
        <v>1263</v>
      </c>
      <c r="E936">
        <v>20411454</v>
      </c>
      <c r="F936" t="s">
        <v>1993</v>
      </c>
      <c r="G936" t="s">
        <v>1346</v>
      </c>
      <c r="H936" s="1">
        <v>45597</v>
      </c>
      <c r="I936" s="2">
        <v>1</v>
      </c>
      <c r="K936" s="2">
        <v>6</v>
      </c>
      <c r="L936" t="s">
        <v>1345</v>
      </c>
      <c r="M936" t="s">
        <v>1986</v>
      </c>
      <c r="P936" s="4"/>
      <c r="Q936" s="4"/>
      <c r="R936" s="4"/>
      <c r="S936" s="4"/>
      <c r="T936" s="4"/>
      <c r="U936" s="4"/>
      <c r="V936" s="4"/>
    </row>
    <row r="937" spans="1:22" x14ac:dyDescent="0.25">
      <c r="A937" s="9">
        <v>992088421</v>
      </c>
      <c r="B937" s="9" t="str">
        <f t="shared" si="16"/>
        <v>992088421OVR</v>
      </c>
      <c r="C937" t="s">
        <v>1375</v>
      </c>
      <c r="D937" t="s">
        <v>66</v>
      </c>
      <c r="E937">
        <v>20411454</v>
      </c>
      <c r="F937" t="s">
        <v>1993</v>
      </c>
      <c r="G937" t="s">
        <v>1346</v>
      </c>
      <c r="H937" s="1">
        <v>45597</v>
      </c>
      <c r="I937" s="2">
        <v>1</v>
      </c>
      <c r="K937" s="2">
        <v>6</v>
      </c>
      <c r="L937" t="s">
        <v>1345</v>
      </c>
      <c r="M937" t="s">
        <v>1986</v>
      </c>
      <c r="P937" s="4"/>
      <c r="Q937" s="4"/>
      <c r="R937" s="4"/>
      <c r="S937" s="4"/>
      <c r="T937" s="4"/>
      <c r="U937" s="4"/>
      <c r="V937" s="4"/>
    </row>
    <row r="938" spans="1:22" x14ac:dyDescent="0.25">
      <c r="A938" s="9">
        <v>992248315</v>
      </c>
      <c r="B938" s="9" t="str">
        <f t="shared" si="16"/>
        <v>992248315OVR</v>
      </c>
      <c r="C938" t="s">
        <v>1376</v>
      </c>
      <c r="D938" t="s">
        <v>55</v>
      </c>
      <c r="E938">
        <v>20411454</v>
      </c>
      <c r="F938" t="s">
        <v>1993</v>
      </c>
      <c r="G938" t="s">
        <v>1346</v>
      </c>
      <c r="H938" s="1">
        <v>45536</v>
      </c>
      <c r="I938" s="2">
        <v>1</v>
      </c>
      <c r="K938" s="2">
        <v>6</v>
      </c>
      <c r="L938" t="s">
        <v>1345</v>
      </c>
      <c r="M938" t="s">
        <v>1986</v>
      </c>
      <c r="P938" s="4"/>
      <c r="Q938" s="4"/>
      <c r="R938" s="4"/>
      <c r="S938" s="4"/>
      <c r="T938" s="4"/>
      <c r="U938" s="4"/>
      <c r="V938" s="4"/>
    </row>
    <row r="939" spans="1:22" x14ac:dyDescent="0.25">
      <c r="A939" s="9">
        <v>920223192</v>
      </c>
      <c r="B939" s="9" t="str">
        <f t="shared" si="16"/>
        <v>920223192OVR</v>
      </c>
      <c r="C939" t="s">
        <v>1367</v>
      </c>
      <c r="D939" t="s">
        <v>203</v>
      </c>
      <c r="E939">
        <v>20411454</v>
      </c>
      <c r="F939" t="s">
        <v>1993</v>
      </c>
      <c r="G939" t="s">
        <v>1368</v>
      </c>
      <c r="H939" s="1">
        <v>45627</v>
      </c>
      <c r="I939" s="2">
        <v>1</v>
      </c>
      <c r="K939" s="2">
        <v>6</v>
      </c>
      <c r="L939" t="s">
        <v>953</v>
      </c>
      <c r="M939" t="s">
        <v>1986</v>
      </c>
      <c r="P939" s="4"/>
      <c r="Q939" s="4"/>
      <c r="R939" s="4"/>
      <c r="S939" s="4"/>
      <c r="T939" s="4"/>
      <c r="U939" s="4"/>
      <c r="V939" s="4"/>
    </row>
    <row r="940" spans="1:22" x14ac:dyDescent="0.25">
      <c r="A940" s="9">
        <v>967950774</v>
      </c>
      <c r="B940" s="9" t="str">
        <f t="shared" si="16"/>
        <v>967950774OVR</v>
      </c>
      <c r="C940" t="s">
        <v>1371</v>
      </c>
      <c r="D940" t="s">
        <v>203</v>
      </c>
      <c r="E940">
        <v>20411454</v>
      </c>
      <c r="F940" t="s">
        <v>1993</v>
      </c>
      <c r="G940" t="s">
        <v>1368</v>
      </c>
      <c r="H940" s="1">
        <v>45627</v>
      </c>
      <c r="I940" s="2">
        <v>1</v>
      </c>
      <c r="K940" s="2">
        <v>6</v>
      </c>
      <c r="L940" t="s">
        <v>953</v>
      </c>
      <c r="M940" t="s">
        <v>1986</v>
      </c>
      <c r="P940" s="4"/>
      <c r="Q940" s="4"/>
      <c r="R940" s="4"/>
      <c r="S940" s="4"/>
      <c r="T940" s="4"/>
      <c r="U940" s="4"/>
      <c r="V940" s="4"/>
    </row>
    <row r="941" spans="1:22" s="4" customFormat="1" x14ac:dyDescent="0.25">
      <c r="A941" s="9">
        <v>130524428</v>
      </c>
      <c r="B941" s="9" t="str">
        <f t="shared" si="16"/>
        <v>130524428OVR</v>
      </c>
      <c r="C941" t="s">
        <v>1347</v>
      </c>
      <c r="D941" t="s">
        <v>278</v>
      </c>
      <c r="E941">
        <v>20411454</v>
      </c>
      <c r="F941" t="s">
        <v>1993</v>
      </c>
      <c r="G941" t="s">
        <v>1349</v>
      </c>
      <c r="H941" s="1">
        <v>45505</v>
      </c>
      <c r="I941" s="2">
        <v>1</v>
      </c>
      <c r="J941"/>
      <c r="K941" s="2">
        <v>6</v>
      </c>
      <c r="L941" t="s">
        <v>1345</v>
      </c>
      <c r="M941" t="s">
        <v>1986</v>
      </c>
      <c r="N941"/>
      <c r="O941"/>
    </row>
    <row r="942" spans="1:22" s="12" customFormat="1" x14ac:dyDescent="0.25">
      <c r="A942" s="9">
        <v>981141937</v>
      </c>
      <c r="B942" s="9" t="str">
        <f t="shared" si="16"/>
        <v>981141937OVR</v>
      </c>
      <c r="C942" t="s">
        <v>1373</v>
      </c>
      <c r="D942" t="s">
        <v>154</v>
      </c>
      <c r="E942">
        <v>20411454</v>
      </c>
      <c r="F942" t="s">
        <v>1993</v>
      </c>
      <c r="G942" t="s">
        <v>1349</v>
      </c>
      <c r="H942" s="1">
        <v>45597</v>
      </c>
      <c r="I942" s="2">
        <v>1</v>
      </c>
      <c r="J942"/>
      <c r="K942" s="2">
        <v>6</v>
      </c>
      <c r="L942" t="s">
        <v>1345</v>
      </c>
      <c r="M942" t="s">
        <v>1986</v>
      </c>
      <c r="N942"/>
      <c r="O942"/>
      <c r="P942" s="4"/>
      <c r="Q942" s="4"/>
      <c r="R942" s="4"/>
      <c r="S942" s="4"/>
      <c r="T942" s="4"/>
      <c r="U942" s="4"/>
      <c r="V942" s="4"/>
    </row>
    <row r="943" spans="1:22" s="12" customFormat="1" x14ac:dyDescent="0.25">
      <c r="A943" s="9">
        <v>992426853</v>
      </c>
      <c r="B943" s="9" t="str">
        <f t="shared" si="16"/>
        <v>992426853OVR</v>
      </c>
      <c r="C943" t="s">
        <v>1377</v>
      </c>
      <c r="D943" t="s">
        <v>55</v>
      </c>
      <c r="E943">
        <v>20411454</v>
      </c>
      <c r="F943" t="s">
        <v>1993</v>
      </c>
      <c r="G943" t="s">
        <v>1349</v>
      </c>
      <c r="H943" s="1">
        <v>45566</v>
      </c>
      <c r="I943" s="2">
        <v>1</v>
      </c>
      <c r="J943"/>
      <c r="K943" s="2">
        <v>6</v>
      </c>
      <c r="L943" t="s">
        <v>1345</v>
      </c>
      <c r="M943" t="s">
        <v>1986</v>
      </c>
      <c r="N943"/>
      <c r="O943"/>
      <c r="P943" s="4"/>
      <c r="Q943" s="4"/>
      <c r="R943" s="4"/>
      <c r="S943" s="4"/>
      <c r="T943" s="4"/>
      <c r="U943" s="4"/>
      <c r="V943" s="4"/>
    </row>
    <row r="944" spans="1:22" s="4" customFormat="1" x14ac:dyDescent="0.25">
      <c r="A944" s="9">
        <v>993708991</v>
      </c>
      <c r="B944" s="9" t="str">
        <f t="shared" si="16"/>
        <v>993708991OVR</v>
      </c>
      <c r="C944" t="s">
        <v>1379</v>
      </c>
      <c r="D944" t="s">
        <v>398</v>
      </c>
      <c r="E944">
        <v>20411454</v>
      </c>
      <c r="F944" t="s">
        <v>1993</v>
      </c>
      <c r="G944" t="s">
        <v>1349</v>
      </c>
      <c r="H944" s="1">
        <v>45566</v>
      </c>
      <c r="I944" s="2">
        <v>1</v>
      </c>
      <c r="J944"/>
      <c r="K944" s="2">
        <v>6</v>
      </c>
      <c r="L944" t="s">
        <v>1345</v>
      </c>
      <c r="M944" t="s">
        <v>1986</v>
      </c>
      <c r="N944"/>
      <c r="O944"/>
    </row>
    <row r="945" spans="1:15" s="4" customFormat="1" x14ac:dyDescent="0.25">
      <c r="A945" s="9">
        <v>134606398</v>
      </c>
      <c r="B945" s="9" t="str">
        <f t="shared" si="16"/>
        <v>134606398OVR</v>
      </c>
      <c r="C945" t="s">
        <v>750</v>
      </c>
      <c r="D945" t="s">
        <v>66</v>
      </c>
      <c r="E945">
        <v>20411454</v>
      </c>
      <c r="F945" t="s">
        <v>1993</v>
      </c>
      <c r="G945" t="s">
        <v>751</v>
      </c>
      <c r="H945" s="1">
        <v>46023</v>
      </c>
      <c r="I945" s="2">
        <v>175</v>
      </c>
      <c r="J945">
        <v>1</v>
      </c>
      <c r="K945" s="2">
        <v>175</v>
      </c>
      <c r="L945"/>
      <c r="M945" t="s">
        <v>1986</v>
      </c>
      <c r="N945"/>
      <c r="O945"/>
    </row>
    <row r="946" spans="1:15" s="4" customFormat="1" x14ac:dyDescent="0.25">
      <c r="A946" s="9">
        <v>911540541</v>
      </c>
      <c r="B946" s="9" t="str">
        <f t="shared" si="16"/>
        <v>911540541OVR</v>
      </c>
      <c r="C946" t="s">
        <v>755</v>
      </c>
      <c r="D946" t="s">
        <v>398</v>
      </c>
      <c r="E946">
        <v>20411454</v>
      </c>
      <c r="F946" t="s">
        <v>1993</v>
      </c>
      <c r="G946" t="s">
        <v>751</v>
      </c>
      <c r="H946" s="1">
        <v>46023</v>
      </c>
      <c r="I946" s="2">
        <v>175</v>
      </c>
      <c r="J946">
        <v>1</v>
      </c>
      <c r="K946" s="2">
        <v>175</v>
      </c>
      <c r="L946"/>
      <c r="M946" t="s">
        <v>1986</v>
      </c>
      <c r="N946"/>
      <c r="O946"/>
    </row>
    <row r="947" spans="1:15" s="4" customFormat="1" x14ac:dyDescent="0.25">
      <c r="A947" s="9">
        <v>913131528</v>
      </c>
      <c r="B947" s="9" t="str">
        <f t="shared" si="16"/>
        <v>913131528OVR</v>
      </c>
      <c r="C947" t="s">
        <v>757</v>
      </c>
      <c r="D947" t="s">
        <v>246</v>
      </c>
      <c r="E947">
        <v>20411454</v>
      </c>
      <c r="F947" t="s">
        <v>1993</v>
      </c>
      <c r="G947" t="s">
        <v>751</v>
      </c>
      <c r="H947" s="1">
        <v>46023</v>
      </c>
      <c r="I947" s="2">
        <v>175</v>
      </c>
      <c r="J947">
        <v>1</v>
      </c>
      <c r="K947" s="2">
        <v>175</v>
      </c>
      <c r="L947"/>
      <c r="M947" t="s">
        <v>1986</v>
      </c>
      <c r="N947"/>
      <c r="O947"/>
    </row>
    <row r="948" spans="1:15" s="4" customFormat="1" x14ac:dyDescent="0.25">
      <c r="A948" s="9">
        <v>995080570</v>
      </c>
      <c r="B948" s="9" t="str">
        <f t="shared" si="16"/>
        <v>995080570OVR</v>
      </c>
      <c r="C948" t="s">
        <v>768</v>
      </c>
      <c r="D948" t="s">
        <v>769</v>
      </c>
      <c r="E948">
        <v>20411454</v>
      </c>
      <c r="F948" t="s">
        <v>1993</v>
      </c>
      <c r="G948" t="s">
        <v>751</v>
      </c>
      <c r="H948" s="1">
        <v>46023</v>
      </c>
      <c r="I948" s="2">
        <v>175</v>
      </c>
      <c r="J948">
        <v>1</v>
      </c>
      <c r="K948" s="2">
        <v>175</v>
      </c>
      <c r="L948"/>
      <c r="M948" t="s">
        <v>1986</v>
      </c>
      <c r="N948"/>
      <c r="O948"/>
    </row>
    <row r="949" spans="1:15" s="4" customFormat="1" x14ac:dyDescent="0.25">
      <c r="A949" s="9">
        <v>971115971</v>
      </c>
      <c r="B949" s="9" t="str">
        <f t="shared" si="16"/>
        <v>971115971OVR</v>
      </c>
      <c r="C949" t="s">
        <v>810</v>
      </c>
      <c r="D949" t="s">
        <v>55</v>
      </c>
      <c r="E949">
        <v>20411454</v>
      </c>
      <c r="F949" t="s">
        <v>1993</v>
      </c>
      <c r="G949" t="s">
        <v>751</v>
      </c>
      <c r="H949" s="1">
        <v>45931</v>
      </c>
      <c r="I949"/>
      <c r="J949"/>
      <c r="K949">
        <v>-175</v>
      </c>
      <c r="L949"/>
      <c r="M949" t="s">
        <v>1986</v>
      </c>
      <c r="N949"/>
      <c r="O949"/>
    </row>
    <row r="950" spans="1:15" s="4" customFormat="1" x14ac:dyDescent="0.25">
      <c r="A950" s="9">
        <v>134595699</v>
      </c>
      <c r="B950" s="9" t="str">
        <f t="shared" si="16"/>
        <v>134595699OVR</v>
      </c>
      <c r="C950" t="s">
        <v>746</v>
      </c>
      <c r="D950" t="s">
        <v>278</v>
      </c>
      <c r="E950">
        <v>20411454</v>
      </c>
      <c r="F950" t="s">
        <v>1993</v>
      </c>
      <c r="G950" t="s">
        <v>747</v>
      </c>
      <c r="H950" s="1">
        <v>46023</v>
      </c>
      <c r="I950" s="2">
        <v>72</v>
      </c>
      <c r="J950">
        <v>1</v>
      </c>
      <c r="K950" s="2">
        <v>72</v>
      </c>
      <c r="L950" t="s">
        <v>748</v>
      </c>
      <c r="M950" t="s">
        <v>1986</v>
      </c>
      <c r="N950"/>
      <c r="O950"/>
    </row>
    <row r="951" spans="1:15" s="4" customFormat="1" x14ac:dyDescent="0.25">
      <c r="A951" s="9">
        <v>907559980</v>
      </c>
      <c r="B951" s="9" t="str">
        <f t="shared" si="16"/>
        <v>907559980OVR</v>
      </c>
      <c r="C951" t="s">
        <v>753</v>
      </c>
      <c r="D951" t="s">
        <v>203</v>
      </c>
      <c r="E951">
        <v>20411454</v>
      </c>
      <c r="F951" t="s">
        <v>1993</v>
      </c>
      <c r="G951" t="s">
        <v>747</v>
      </c>
      <c r="H951" s="1">
        <v>46023</v>
      </c>
      <c r="I951" s="2">
        <v>72</v>
      </c>
      <c r="J951">
        <v>1</v>
      </c>
      <c r="K951" s="2">
        <v>72</v>
      </c>
      <c r="L951" t="s">
        <v>748</v>
      </c>
      <c r="M951" t="s">
        <v>1986</v>
      </c>
      <c r="N951"/>
      <c r="O951"/>
    </row>
    <row r="952" spans="1:15" s="4" customFormat="1" x14ac:dyDescent="0.25">
      <c r="A952" s="9">
        <v>927844077</v>
      </c>
      <c r="B952" s="9" t="str">
        <f t="shared" si="16"/>
        <v>927844077OVR</v>
      </c>
      <c r="C952" t="s">
        <v>762</v>
      </c>
      <c r="D952" t="s">
        <v>188</v>
      </c>
      <c r="E952">
        <v>20411454</v>
      </c>
      <c r="F952" t="s">
        <v>1993</v>
      </c>
      <c r="G952" t="s">
        <v>747</v>
      </c>
      <c r="H952" s="1">
        <v>46023</v>
      </c>
      <c r="I952" s="2">
        <v>72</v>
      </c>
      <c r="J952">
        <v>1</v>
      </c>
      <c r="K952" s="2">
        <v>72</v>
      </c>
      <c r="L952" t="s">
        <v>748</v>
      </c>
      <c r="M952" t="s">
        <v>1986</v>
      </c>
      <c r="N952"/>
      <c r="O952"/>
    </row>
    <row r="953" spans="1:15" s="4" customFormat="1" x14ac:dyDescent="0.25">
      <c r="A953" s="9">
        <v>922578545</v>
      </c>
      <c r="B953" s="9" t="str">
        <f t="shared" si="16"/>
        <v>922578545OVR</v>
      </c>
      <c r="C953" t="s">
        <v>759</v>
      </c>
      <c r="D953" t="s">
        <v>55</v>
      </c>
      <c r="E953">
        <v>20411454</v>
      </c>
      <c r="F953" t="s">
        <v>1993</v>
      </c>
      <c r="G953" t="s">
        <v>760</v>
      </c>
      <c r="H953" s="1">
        <v>46023</v>
      </c>
      <c r="I953" s="2">
        <v>50</v>
      </c>
      <c r="J953">
        <v>1</v>
      </c>
      <c r="K953" s="2">
        <v>50</v>
      </c>
      <c r="L953" t="s">
        <v>748</v>
      </c>
      <c r="M953" t="s">
        <v>1986</v>
      </c>
      <c r="N953"/>
      <c r="O953"/>
    </row>
    <row r="954" spans="1:15" s="4" customFormat="1" x14ac:dyDescent="0.25">
      <c r="A954" s="9">
        <v>961895690</v>
      </c>
      <c r="B954" s="9" t="str">
        <f t="shared" si="16"/>
        <v>961895690OVR</v>
      </c>
      <c r="C954" t="s">
        <v>766</v>
      </c>
      <c r="D954" t="s">
        <v>55</v>
      </c>
      <c r="E954">
        <v>20411454</v>
      </c>
      <c r="F954" t="s">
        <v>1993</v>
      </c>
      <c r="G954" t="s">
        <v>760</v>
      </c>
      <c r="H954" s="1">
        <v>46023</v>
      </c>
      <c r="I954" s="2">
        <v>50</v>
      </c>
      <c r="J954">
        <v>1</v>
      </c>
      <c r="K954" s="2">
        <v>50</v>
      </c>
      <c r="L954" t="s">
        <v>748</v>
      </c>
      <c r="M954" t="s">
        <v>1986</v>
      </c>
      <c r="N954"/>
      <c r="O954"/>
    </row>
    <row r="955" spans="1:15" x14ac:dyDescent="0.25">
      <c r="A955" s="9"/>
      <c r="B955" s="9"/>
      <c r="H955" s="1"/>
      <c r="I955" s="2"/>
      <c r="K955" s="2"/>
    </row>
    <row r="956" spans="1:15" x14ac:dyDescent="0.25">
      <c r="A956" s="9"/>
      <c r="B956" s="9"/>
      <c r="H956" s="1"/>
      <c r="I956" s="2"/>
      <c r="K956" s="2"/>
    </row>
    <row r="957" spans="1:15" x14ac:dyDescent="0.25">
      <c r="A957" s="9"/>
      <c r="B957" s="9"/>
      <c r="H957" s="1"/>
      <c r="I957" s="2"/>
      <c r="K957" s="2"/>
    </row>
  </sheetData>
  <sortState xmlns:xlrd2="http://schemas.microsoft.com/office/spreadsheetml/2017/richdata2" ref="A2:V954">
    <sortCondition ref="M2:M95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B1D8-5AE2-4E1E-A7FB-511053D493C4}">
  <dimension ref="A1:N10"/>
  <sheetViews>
    <sheetView tabSelected="1" workbookViewId="0">
      <selection activeCell="M17" sqref="M17"/>
    </sheetView>
  </sheetViews>
  <sheetFormatPr defaultRowHeight="15" x14ac:dyDescent="0.25"/>
  <cols>
    <col min="1" max="1" width="14.140625" bestFit="1" customWidth="1"/>
    <col min="2" max="2" width="20.7109375" bestFit="1" customWidth="1"/>
    <col min="3" max="3" width="5.5703125" bestFit="1" customWidth="1"/>
    <col min="4" max="4" width="15.7109375" bestFit="1" customWidth="1"/>
    <col min="5" max="5" width="19.28515625" bestFit="1" customWidth="1"/>
    <col min="6" max="6" width="46.5703125" bestFit="1" customWidth="1"/>
    <col min="7" max="7" width="10.140625" bestFit="1" customWidth="1"/>
    <col min="8" max="8" width="15.85546875" bestFit="1" customWidth="1"/>
    <col min="9" max="10" width="9" customWidth="1"/>
  </cols>
  <sheetData>
    <row r="1" spans="1:14" x14ac:dyDescent="0.25">
      <c r="A1" t="s">
        <v>8</v>
      </c>
      <c r="B1" t="s">
        <v>9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25</v>
      </c>
      <c r="I1" t="s">
        <v>26</v>
      </c>
      <c r="J1" t="s">
        <v>28</v>
      </c>
      <c r="K1" t="s">
        <v>37</v>
      </c>
    </row>
    <row r="2" spans="1:14" s="20" customFormat="1" x14ac:dyDescent="0.25">
      <c r="A2" s="25" t="s">
        <v>1751</v>
      </c>
      <c r="B2" s="20" t="s">
        <v>503</v>
      </c>
      <c r="C2" s="20" t="s">
        <v>55</v>
      </c>
      <c r="E2" s="20" t="s">
        <v>91</v>
      </c>
      <c r="F2" s="20" t="s">
        <v>777</v>
      </c>
      <c r="G2" s="21">
        <v>46023</v>
      </c>
      <c r="H2" s="22">
        <v>9.83</v>
      </c>
      <c r="I2" s="20">
        <v>9</v>
      </c>
      <c r="J2" s="22">
        <v>88.47</v>
      </c>
    </row>
    <row r="3" spans="1:14" s="20" customFormat="1" x14ac:dyDescent="0.25">
      <c r="A3" s="19" t="s">
        <v>1750</v>
      </c>
      <c r="B3" s="20" t="s">
        <v>771</v>
      </c>
      <c r="C3" s="20" t="s">
        <v>772</v>
      </c>
      <c r="D3" s="20">
        <v>9079571</v>
      </c>
      <c r="E3" s="20" t="s">
        <v>774</v>
      </c>
      <c r="F3" s="20" t="s">
        <v>775</v>
      </c>
      <c r="G3" s="21">
        <v>45962</v>
      </c>
      <c r="H3" s="22">
        <v>27</v>
      </c>
      <c r="I3" s="20">
        <v>1</v>
      </c>
      <c r="J3" s="22">
        <v>27</v>
      </c>
    </row>
    <row r="8" spans="1:14" x14ac:dyDescent="0.25">
      <c r="H8">
        <v>1</v>
      </c>
      <c r="I8">
        <v>12</v>
      </c>
      <c r="J8">
        <v>6</v>
      </c>
      <c r="K8">
        <v>100</v>
      </c>
      <c r="L8">
        <f>J8*3</f>
        <v>18</v>
      </c>
      <c r="M8">
        <f>L8+K8</f>
        <v>118</v>
      </c>
      <c r="N8" s="24">
        <f>M8/12</f>
        <v>9.8333333333333339</v>
      </c>
    </row>
    <row r="9" spans="1:14" x14ac:dyDescent="0.25">
      <c r="H9">
        <v>13</v>
      </c>
      <c r="I9">
        <v>72</v>
      </c>
      <c r="J9">
        <v>3</v>
      </c>
      <c r="K9">
        <v>50</v>
      </c>
      <c r="L9">
        <f>J9*3</f>
        <v>9</v>
      </c>
      <c r="M9">
        <f>L9+K9</f>
        <v>59</v>
      </c>
      <c r="N9" s="24">
        <f>M9/12</f>
        <v>4.916666666666667</v>
      </c>
    </row>
    <row r="10" spans="1:14" x14ac:dyDescent="0.25">
      <c r="H10">
        <v>73</v>
      </c>
      <c r="I10">
        <v>120</v>
      </c>
      <c r="J10">
        <v>0</v>
      </c>
      <c r="K10">
        <v>0</v>
      </c>
      <c r="L10">
        <f>J10*3</f>
        <v>0</v>
      </c>
      <c r="M10">
        <f>L10+K10</f>
        <v>0</v>
      </c>
      <c r="N10">
        <f>M10/12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2025-11-20T06:47:24Z</dcterms:created>
  <dcterms:modified xsi:type="dcterms:W3CDTF">2026-01-29T19:35:45Z</dcterms:modified>
</cp:coreProperties>
</file>