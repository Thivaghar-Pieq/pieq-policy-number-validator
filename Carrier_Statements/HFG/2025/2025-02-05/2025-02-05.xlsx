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HFG/2025/2-5-25/"/>
    </mc:Choice>
  </mc:AlternateContent>
  <xr:revisionPtr revIDLastSave="0" documentId="13_ncr:1_{2AC27C36-2171-8E40-AE2D-D7E075719A56}" xr6:coauthVersionLast="47" xr6:coauthVersionMax="47" xr10:uidLastSave="{00000000-0000-0000-0000-000000000000}"/>
  <bookViews>
    <workbookView xWindow="0" yWindow="500" windowWidth="19200" windowHeight="19360" xr2:uid="{D38FE0C4-09D4-4E4D-B552-A87841AAC90D}"/>
  </bookViews>
  <sheets>
    <sheet name="New Business Agent Statement - " sheetId="1" r:id="rId1"/>
    <sheet name="clean data" sheetId="2" r:id="rId2"/>
    <sheet name="Med Sup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2" l="1"/>
  <c r="B61" i="2"/>
  <c r="B60" i="2"/>
  <c r="B59" i="2"/>
  <c r="B54" i="2"/>
  <c r="B55" i="2"/>
  <c r="B56" i="2"/>
  <c r="B57" i="2"/>
  <c r="B58" i="2"/>
  <c r="B53" i="2"/>
  <c r="B52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2" i="2"/>
  <c r="AK54" i="1"/>
  <c r="AK55" i="1"/>
  <c r="AK56" i="1"/>
  <c r="AK57" i="1"/>
  <c r="AK58" i="1"/>
  <c r="AK59" i="1"/>
  <c r="AK60" i="1"/>
  <c r="AK61" i="1"/>
  <c r="AK62" i="1"/>
  <c r="AK63" i="1"/>
  <c r="AK64" i="1"/>
  <c r="AK65" i="1"/>
  <c r="AK53" i="1"/>
</calcChain>
</file>

<file path=xl/sharedStrings.xml><?xml version="1.0" encoding="utf-8"?>
<sst xmlns="http://schemas.openxmlformats.org/spreadsheetml/2006/main" count="1267" uniqueCount="210">
  <si>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</si>
  <si>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</si>
  <si>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</si>
  <si>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</si>
  <si>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</si>
  <si>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</si>
  <si>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</si>
  <si>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</si>
  <si>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</si>
  <si>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</si>
  <si>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</si>
  <si>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</si>
  <si>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</si>
  <si>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</si>
  <si>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</si>
  <si>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</si>
  <si>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</si>
  <si>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</si>
  <si>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</si>
  <si>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</si>
  <si>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</si>
  <si>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</si>
  <si>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</si>
  <si>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</si>
  <si>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</si>
  <si>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</si>
  <si>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</si>
  <si>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</si>
  <si>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</si>
  <si>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</si>
  <si>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</si>
  <si>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</si>
  <si>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</si>
  <si>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</si>
  <si>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</si>
  <si>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</si>
  <si>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</si>
  <si>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</si>
  <si>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</si>
  <si>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</si>
  <si>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</si>
  <si>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JASON HOFFMANN</t>
  </si>
  <si>
    <t>ROGER HUPPERT</t>
  </si>
  <si>
    <t>NA</t>
  </si>
  <si>
    <t>MICHAEL DUNAVANT</t>
  </si>
  <si>
    <t>ACTIVE</t>
  </si>
  <si>
    <t>Humana MA 2019+ Level 15- 175/108</t>
  </si>
  <si>
    <t>Monthly</t>
  </si>
  <si>
    <t>AV</t>
  </si>
  <si>
    <t>EDNA HUPPERT</t>
  </si>
  <si>
    <t>ROGER TYK</t>
  </si>
  <si>
    <t>GARY PORTUGAL</t>
  </si>
  <si>
    <t>Humana MA 2019+ Level 15- 175/108 Repl 2024</t>
  </si>
  <si>
    <t>VICKY DOWNS</t>
  </si>
  <si>
    <t>Active</t>
  </si>
  <si>
    <t>Humana MA Bonus Upload 02-05-2025.xlsx</t>
  </si>
  <si>
    <t>DENISE THOMPSON-DURHAM</t>
  </si>
  <si>
    <t>RICHARD YALE</t>
  </si>
  <si>
    <t>ELINORE GLEESON</t>
  </si>
  <si>
    <t>PAMELA DEATON</t>
  </si>
  <si>
    <t>HEIDI FULLER</t>
  </si>
  <si>
    <t>SAADIA ABDUL</t>
  </si>
  <si>
    <t>AZMAH AL</t>
  </si>
  <si>
    <t>STEPHANIE DRAPAC</t>
  </si>
  <si>
    <t>ROSARIO CASTILLO</t>
  </si>
  <si>
    <t>ROSCO CASTILLO</t>
  </si>
  <si>
    <t>VERA AMARO</t>
  </si>
  <si>
    <t>DEBRA LAWRENCE</t>
  </si>
  <si>
    <t>VA</t>
  </si>
  <si>
    <t>MATTHEW DAUGHERTY</t>
  </si>
  <si>
    <t>MIGUEL AMARO</t>
  </si>
  <si>
    <t>ANTHONY HUNSBERGER</t>
  </si>
  <si>
    <t>DONALD WHITE</t>
  </si>
  <si>
    <t>SHARON DECKER</t>
  </si>
  <si>
    <t>JEFFREY HORN</t>
  </si>
  <si>
    <t>MARY TOWLER</t>
  </si>
  <si>
    <t>JENNIFER WHITTAKER</t>
  </si>
  <si>
    <t>GREGORY TEIPEL</t>
  </si>
  <si>
    <t>ALICE BUNTING</t>
  </si>
  <si>
    <t>ROBERT FRANCIERE</t>
  </si>
  <si>
    <t>FRANK LISKOVEC</t>
  </si>
  <si>
    <t>PAUL DECKER</t>
  </si>
  <si>
    <t>KAREN MISKIMON</t>
  </si>
  <si>
    <t>RONALD MAX</t>
  </si>
  <si>
    <t>Humana PDP 2019+ Level 15- 15/0</t>
  </si>
  <si>
    <t>SANDRA BARRAGREE</t>
  </si>
  <si>
    <t>GEORGE GAVRAN</t>
  </si>
  <si>
    <t>IL</t>
  </si>
  <si>
    <t>TOM SERIO</t>
  </si>
  <si>
    <t>UHC PDP Street payable to upline - 2025 Replace</t>
  </si>
  <si>
    <t>11/12 PRORATE</t>
  </si>
  <si>
    <t>UHC PDP Direct 2024 New Initial Prorated</t>
  </si>
  <si>
    <t>JEAN ADAMSKY</t>
  </si>
  <si>
    <t>PA</t>
  </si>
  <si>
    <t>MARGARET SMITH</t>
  </si>
  <si>
    <t>Aetna MAPD NMO to GMO - 4-1-23+  Replace E-App</t>
  </si>
  <si>
    <t>DONNA SCHELETSKY</t>
  </si>
  <si>
    <t>TIMOTHY POWERS</t>
  </si>
  <si>
    <t>CYNTHIA TRAUSCH</t>
  </si>
  <si>
    <t>CHRISTINA BURNS</t>
  </si>
  <si>
    <t>PATRICIA RINCON</t>
  </si>
  <si>
    <t>TX</t>
  </si>
  <si>
    <t>STACEY PORTUGAL</t>
  </si>
  <si>
    <t>MARIBETH KIMBER</t>
  </si>
  <si>
    <t>IA</t>
  </si>
  <si>
    <t>Aetna MAPD NMO to GMO - 4-1-23+  New E-App</t>
  </si>
  <si>
    <t>RICHARD KENNEDY</t>
  </si>
  <si>
    <t>WI</t>
  </si>
  <si>
    <t>BRIAN STROHMAN</t>
  </si>
  <si>
    <t>10/12 PRORATE</t>
  </si>
  <si>
    <t>JAMES BILELLO</t>
  </si>
  <si>
    <t>JACOB YALE</t>
  </si>
  <si>
    <t>GEORGE BRIDGES</t>
  </si>
  <si>
    <t>FL</t>
  </si>
  <si>
    <t>KATARZYNA KOZIOL</t>
  </si>
  <si>
    <t>DALE WALENGA</t>
  </si>
  <si>
    <t>SENG CHANTHALA</t>
  </si>
  <si>
    <t>PATSAMON THANADABOUTH</t>
  </si>
  <si>
    <t>JULIE FREY</t>
  </si>
  <si>
    <t>LISA WACHOWIAK</t>
  </si>
  <si>
    <t>ESTHER HERRERA-LARSEN</t>
  </si>
  <si>
    <t>CHRISTY WELSH</t>
  </si>
  <si>
    <t>GA</t>
  </si>
  <si>
    <t>JOAN MARCHESE</t>
  </si>
  <si>
    <t>RICHARD LIPINSKI</t>
  </si>
  <si>
    <t>SCOTT AGUGLIA</t>
  </si>
  <si>
    <t>MAGGIE JOHNSON</t>
  </si>
  <si>
    <t>FREDERICK GBASSANA</t>
  </si>
  <si>
    <t>AARON STEELE</t>
  </si>
  <si>
    <t>IN</t>
  </si>
  <si>
    <t>RICHARD WUENSCH</t>
  </si>
  <si>
    <t>UHC MAPD Street payable to upline- 2025 Replace</t>
  </si>
  <si>
    <t>UHC MA Direct 2024 New Initial Prorated</t>
  </si>
  <si>
    <t>MARY DEORNELLAS</t>
  </si>
  <si>
    <t>JOSE TORRES</t>
  </si>
  <si>
    <t>DEBORAH SMITH</t>
  </si>
  <si>
    <t>DOLORES DUNBAR</t>
  </si>
  <si>
    <t>DON ALLDAY</t>
  </si>
  <si>
    <t>UHC MA Direct 2024 New Full</t>
  </si>
  <si>
    <t>AGNES ALLDAY</t>
  </si>
  <si>
    <t>PAULA DUNN</t>
  </si>
  <si>
    <t>ANNE MARIE KOZACHECK</t>
  </si>
  <si>
    <t>UHC AARP Med Supp PA Area 1 2024- Plan  B F G</t>
  </si>
  <si>
    <t>BRENDA MAHAN</t>
  </si>
  <si>
    <t>UHC AARP Med Supp PA Area 1- Plan  B C F G</t>
  </si>
  <si>
    <t>CB</t>
  </si>
  <si>
    <t>WILLIAM LAUGHREY</t>
  </si>
  <si>
    <t>CHARGEBACK</t>
  </si>
  <si>
    <t>PIEDAD ZAFIRIADIS</t>
  </si>
  <si>
    <t>JESUS APULI</t>
  </si>
  <si>
    <t>RICARDO SANTOS</t>
  </si>
  <si>
    <t>IRENE KLOK</t>
  </si>
  <si>
    <t>CALLUM OKEEFFE</t>
  </si>
  <si>
    <t>THOMAS KUCAN</t>
  </si>
  <si>
    <t>DE CHEUNG</t>
  </si>
  <si>
    <t>CAROL FOLEY</t>
  </si>
  <si>
    <t>Humana MAPD Street payable to upline- 2025 Replace</t>
  </si>
  <si>
    <t>MARIA DAVILA</t>
  </si>
  <si>
    <t>JOANNE LOSHBOUGH</t>
  </si>
  <si>
    <t>TIMOTHY HODGMAN</t>
  </si>
  <si>
    <t>ROBERT MASTINE</t>
  </si>
  <si>
    <t>00000371464G</t>
  </si>
  <si>
    <t>00000374418G</t>
  </si>
  <si>
    <t>00011895530K</t>
  </si>
  <si>
    <t>00012290150K</t>
  </si>
  <si>
    <t>00012719660K</t>
  </si>
  <si>
    <t>00014861244K</t>
  </si>
  <si>
    <t>00015917794K</t>
  </si>
  <si>
    <t>00018501512K</t>
  </si>
  <si>
    <t>00018962712K</t>
  </si>
  <si>
    <t>00018963088K</t>
  </si>
  <si>
    <t>00019306567K</t>
  </si>
  <si>
    <t>00022947574K</t>
  </si>
  <si>
    <t>00022996620K</t>
  </si>
  <si>
    <t>00023021728K</t>
  </si>
  <si>
    <t>00023023741K</t>
  </si>
  <si>
    <t>00023027544K</t>
  </si>
  <si>
    <t>00023028485K</t>
  </si>
  <si>
    <t>00023028896K</t>
  </si>
  <si>
    <t>00023038833K</t>
  </si>
  <si>
    <t>00023040671K</t>
  </si>
  <si>
    <t>00023040778KPDP</t>
  </si>
  <si>
    <t>00023041157K</t>
  </si>
  <si>
    <t>023028152OV</t>
  </si>
  <si>
    <t>132275463OV</t>
  </si>
  <si>
    <t>966338840OV</t>
  </si>
  <si>
    <t>986589386OV</t>
  </si>
  <si>
    <t>A04217742</t>
  </si>
  <si>
    <t>A04219376</t>
  </si>
  <si>
    <t>00019034430KPC</t>
  </si>
  <si>
    <t>00022005272KAPC</t>
  </si>
  <si>
    <t>00022120908KPC</t>
  </si>
  <si>
    <t>00022598731KPC</t>
  </si>
  <si>
    <t>00022686109KPC</t>
  </si>
  <si>
    <t>00022899364KACB</t>
  </si>
  <si>
    <t>00022947574KOVPC</t>
  </si>
  <si>
    <t>00022947574KPC</t>
  </si>
  <si>
    <t>101873728700CB</t>
  </si>
  <si>
    <t>102081378500PC</t>
  </si>
  <si>
    <t>102094658000CB</t>
  </si>
  <si>
    <t>102125446700CB</t>
  </si>
  <si>
    <t>102131295600CB</t>
  </si>
  <si>
    <t>Humana MAPD OVR 2025</t>
  </si>
  <si>
    <t>UHC PDP 2025!</t>
  </si>
  <si>
    <t>Aetna MAPD OVR 2025</t>
  </si>
  <si>
    <t>UHC MAPD Ovr 2025</t>
  </si>
  <si>
    <t>[%/$=313][prorate=11/12]</t>
  </si>
  <si>
    <t>UHC MAPD 2025*</t>
  </si>
  <si>
    <t>Humana MAPD 2025*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</si>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</sst>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_(&quot;$&quot;* #,##0.00_);_(&quot;$&quot;* \(#,##0.00\);_(&quot;$&quot;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10" fontId="0" fillId="0" borderId="0" xfId="0" applyNumberFormat="1"/>
    <xf numFmtId="1" fontId="0" fillId="0" borderId="0" xfId="0" applyNumberFormat="1"/>
    <xf numFmtId="165" fontId="0" fillId="0" borderId="0" xfId="1" applyFont="1"/>
    <xf numFmtId="1" fontId="19" fillId="0" borderId="0" xfId="0" applyNumberFormat="1" applyFont="1" applyFill="1" applyAlignment="1">
      <alignment horizontal="left"/>
    </xf>
    <xf numFmtId="0" fontId="19" fillId="0" borderId="0" xfId="0" applyFont="1" applyFill="1"/>
    <xf numFmtId="165" fontId="19" fillId="0" borderId="0" xfId="1" applyFont="1" applyFill="1"/>
    <xf numFmtId="14" fontId="19" fillId="0" borderId="0" xfId="0" applyNumberFormat="1" applyFont="1" applyFill="1"/>
    <xf numFmtId="164" fontId="19" fillId="0" borderId="0" xfId="0" applyNumberFormat="1" applyFont="1" applyFill="1"/>
    <xf numFmtId="10" fontId="19" fillId="0" borderId="0" xfId="0" applyNumberFormat="1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CDF04-AAF1-43F6-B52C-905257A909CD}">
  <dimension ref="A1:AL65"/>
  <sheetViews>
    <sheetView tabSelected="1" topLeftCell="T1" workbookViewId="0">
      <selection activeCell="AA70" sqref="AA70"/>
    </sheetView>
  </sheetViews>
  <sheetFormatPr baseColWidth="10" defaultColWidth="8.83203125" defaultRowHeight="15" x14ac:dyDescent="0.2"/>
  <cols>
    <col min="1" max="1" width="10.1640625" bestFit="1" customWidth="1"/>
    <col min="2" max="2" width="16" bestFit="1" customWidth="1"/>
    <col min="3" max="3" width="14.33203125" bestFit="1" customWidth="1"/>
    <col min="4" max="4" width="11.5" bestFit="1" customWidth="1"/>
    <col min="5" max="5" width="28.83203125" bestFit="1" customWidth="1"/>
    <col min="6" max="6" width="8.1640625" bestFit="1" customWidth="1"/>
    <col min="7" max="7" width="6.1640625" bestFit="1" customWidth="1"/>
    <col min="8" max="8" width="17.6640625" bestFit="1" customWidth="1"/>
    <col min="9" max="9" width="18.6640625" bestFit="1" customWidth="1"/>
    <col min="10" max="10" width="27" bestFit="1" customWidth="1"/>
    <col min="11" max="11" width="8.1640625" bestFit="1" customWidth="1"/>
    <col min="12" max="12" width="4.1640625" bestFit="1" customWidth="1"/>
    <col min="13" max="13" width="5.33203125" bestFit="1" customWidth="1"/>
    <col min="14" max="14" width="8.5" bestFit="1" customWidth="1"/>
    <col min="15" max="15" width="15" bestFit="1" customWidth="1"/>
    <col min="16" max="16" width="26.5" bestFit="1" customWidth="1"/>
    <col min="17" max="17" width="12.5" bestFit="1" customWidth="1"/>
    <col min="18" max="18" width="48.83203125" bestFit="1" customWidth="1"/>
    <col min="19" max="19" width="10.1640625" bestFit="1" customWidth="1"/>
    <col min="20" max="20" width="12.33203125" bestFit="1" customWidth="1"/>
    <col min="21" max="21" width="14" bestFit="1" customWidth="1"/>
    <col min="22" max="22" width="12" bestFit="1" customWidth="1"/>
    <col min="23" max="23" width="16.1640625" bestFit="1" customWidth="1"/>
    <col min="24" max="24" width="9" bestFit="1" customWidth="1"/>
    <col min="25" max="25" width="17.83203125" bestFit="1" customWidth="1"/>
    <col min="26" max="26" width="16.1640625" bestFit="1" customWidth="1"/>
    <col min="27" max="27" width="16.6640625" bestFit="1" customWidth="1"/>
    <col min="28" max="28" width="16.5" bestFit="1" customWidth="1"/>
    <col min="29" max="29" width="18" bestFit="1" customWidth="1"/>
    <col min="30" max="30" width="11.5" bestFit="1" customWidth="1"/>
    <col min="31" max="31" width="14.6640625" bestFit="1" customWidth="1"/>
    <col min="32" max="32" width="9.5" bestFit="1" customWidth="1"/>
    <col min="33" max="33" width="12.6640625" bestFit="1" customWidth="1"/>
    <col min="34" max="34" width="19" bestFit="1" customWidth="1"/>
    <col min="35" max="35" width="18" bestFit="1" customWidth="1"/>
    <col min="36" max="36" width="11.5" bestFit="1" customWidth="1"/>
    <col min="37" max="37" width="14" bestFit="1" customWidth="1"/>
    <col min="38" max="38" width="39.33203125" bestFit="1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 s="1">
        <v>45693</v>
      </c>
      <c r="B2" s="1">
        <v>45693</v>
      </c>
      <c r="C2" t="s">
        <v>38</v>
      </c>
      <c r="D2" t="s">
        <v>39</v>
      </c>
      <c r="E2" t="s">
        <v>40</v>
      </c>
      <c r="F2">
        <v>43677</v>
      </c>
      <c r="H2" t="s">
        <v>41</v>
      </c>
      <c r="I2" t="s">
        <v>161</v>
      </c>
      <c r="J2" t="s">
        <v>42</v>
      </c>
      <c r="M2" t="s">
        <v>43</v>
      </c>
      <c r="O2">
        <v>43705</v>
      </c>
      <c r="P2" t="s">
        <v>44</v>
      </c>
      <c r="Q2" t="s">
        <v>45</v>
      </c>
      <c r="R2" t="s">
        <v>46</v>
      </c>
      <c r="S2" s="1">
        <v>45689</v>
      </c>
      <c r="U2" t="s">
        <v>47</v>
      </c>
      <c r="X2" t="s">
        <v>48</v>
      </c>
      <c r="Y2" s="2">
        <v>0</v>
      </c>
      <c r="Z2" s="2">
        <v>175</v>
      </c>
      <c r="AA2">
        <v>1</v>
      </c>
      <c r="AB2" s="3">
        <v>1</v>
      </c>
      <c r="AC2" s="2">
        <v>175</v>
      </c>
      <c r="AD2" s="3">
        <v>0</v>
      </c>
      <c r="AE2" s="2">
        <v>0</v>
      </c>
      <c r="AF2" s="2">
        <v>175</v>
      </c>
      <c r="AK2">
        <v>4981833</v>
      </c>
    </row>
    <row r="3" spans="1:38" x14ac:dyDescent="0.2">
      <c r="A3" s="1">
        <v>45693</v>
      </c>
      <c r="B3" s="1">
        <v>45693</v>
      </c>
      <c r="C3" t="s">
        <v>38</v>
      </c>
      <c r="D3" t="s">
        <v>39</v>
      </c>
      <c r="E3" t="s">
        <v>40</v>
      </c>
      <c r="F3">
        <v>43677</v>
      </c>
      <c r="H3" t="s">
        <v>41</v>
      </c>
      <c r="I3" t="s">
        <v>162</v>
      </c>
      <c r="J3" t="s">
        <v>49</v>
      </c>
      <c r="M3" t="s">
        <v>43</v>
      </c>
      <c r="O3">
        <v>43705</v>
      </c>
      <c r="P3" t="s">
        <v>44</v>
      </c>
      <c r="Q3" t="s">
        <v>45</v>
      </c>
      <c r="R3" t="s">
        <v>46</v>
      </c>
      <c r="S3" s="1">
        <v>45689</v>
      </c>
      <c r="U3" t="s">
        <v>47</v>
      </c>
      <c r="X3" t="s">
        <v>48</v>
      </c>
      <c r="Y3" s="2">
        <v>0</v>
      </c>
      <c r="Z3" s="2">
        <v>175</v>
      </c>
      <c r="AA3">
        <v>1</v>
      </c>
      <c r="AB3" s="3">
        <v>1</v>
      </c>
      <c r="AC3" s="2">
        <v>175</v>
      </c>
      <c r="AD3" s="3">
        <v>0</v>
      </c>
      <c r="AE3" s="2">
        <v>0</v>
      </c>
      <c r="AF3" s="2">
        <v>175</v>
      </c>
      <c r="AK3">
        <v>4981834</v>
      </c>
    </row>
    <row r="4" spans="1:38" x14ac:dyDescent="0.2">
      <c r="A4" s="1">
        <v>45693</v>
      </c>
      <c r="B4" s="1">
        <v>45693</v>
      </c>
      <c r="C4" t="s">
        <v>38</v>
      </c>
      <c r="D4" t="s">
        <v>39</v>
      </c>
      <c r="E4" t="s">
        <v>40</v>
      </c>
      <c r="F4">
        <v>43677</v>
      </c>
      <c r="H4" t="s">
        <v>41</v>
      </c>
      <c r="I4" t="s">
        <v>163</v>
      </c>
      <c r="J4" t="s">
        <v>50</v>
      </c>
      <c r="M4" t="s">
        <v>43</v>
      </c>
      <c r="O4">
        <v>45605</v>
      </c>
      <c r="P4" t="s">
        <v>51</v>
      </c>
      <c r="Q4" t="s">
        <v>45</v>
      </c>
      <c r="R4" t="s">
        <v>52</v>
      </c>
      <c r="S4" s="1">
        <v>45689</v>
      </c>
      <c r="U4" t="s">
        <v>47</v>
      </c>
      <c r="X4" t="s">
        <v>48</v>
      </c>
      <c r="Y4" s="2">
        <v>0</v>
      </c>
      <c r="Z4" s="2">
        <v>108</v>
      </c>
      <c r="AA4">
        <v>1</v>
      </c>
      <c r="AB4" s="3">
        <v>1</v>
      </c>
      <c r="AC4" s="2">
        <v>108</v>
      </c>
      <c r="AD4" s="3">
        <v>0</v>
      </c>
      <c r="AE4" s="2">
        <v>0</v>
      </c>
      <c r="AF4" s="2">
        <v>108</v>
      </c>
      <c r="AK4">
        <v>4981791</v>
      </c>
    </row>
    <row r="5" spans="1:38" x14ac:dyDescent="0.2">
      <c r="A5" s="1">
        <v>45693</v>
      </c>
      <c r="B5" s="1">
        <v>45693</v>
      </c>
      <c r="C5" t="s">
        <v>38</v>
      </c>
      <c r="D5" t="s">
        <v>39</v>
      </c>
      <c r="E5" t="s">
        <v>40</v>
      </c>
      <c r="F5">
        <v>43677</v>
      </c>
      <c r="H5" t="s">
        <v>41</v>
      </c>
      <c r="I5" t="s">
        <v>164</v>
      </c>
      <c r="J5" t="s">
        <v>53</v>
      </c>
      <c r="M5" t="s">
        <v>43</v>
      </c>
      <c r="O5">
        <v>45605</v>
      </c>
      <c r="P5" t="s">
        <v>51</v>
      </c>
      <c r="Q5" t="s">
        <v>54</v>
      </c>
      <c r="R5" t="s">
        <v>52</v>
      </c>
      <c r="S5" s="1">
        <v>45658</v>
      </c>
      <c r="U5" t="s">
        <v>47</v>
      </c>
      <c r="X5" t="s">
        <v>48</v>
      </c>
      <c r="Y5" s="2">
        <v>0</v>
      </c>
      <c r="Z5" s="2">
        <v>99.36</v>
      </c>
      <c r="AA5">
        <v>1</v>
      </c>
      <c r="AB5" s="3">
        <v>1</v>
      </c>
      <c r="AC5" s="2">
        <v>99.36</v>
      </c>
      <c r="AD5" s="3">
        <v>0</v>
      </c>
      <c r="AE5" s="2">
        <v>0</v>
      </c>
      <c r="AF5" s="2">
        <v>99.36</v>
      </c>
      <c r="AK5">
        <v>0</v>
      </c>
      <c r="AL5" t="s">
        <v>55</v>
      </c>
    </row>
    <row r="6" spans="1:38" x14ac:dyDescent="0.2">
      <c r="A6" s="1">
        <v>45693</v>
      </c>
      <c r="B6" s="1">
        <v>45693</v>
      </c>
      <c r="C6" t="s">
        <v>38</v>
      </c>
      <c r="D6" t="s">
        <v>39</v>
      </c>
      <c r="E6" t="s">
        <v>40</v>
      </c>
      <c r="F6">
        <v>43677</v>
      </c>
      <c r="H6" t="s">
        <v>41</v>
      </c>
      <c r="I6" t="s">
        <v>165</v>
      </c>
      <c r="J6" t="s">
        <v>56</v>
      </c>
      <c r="M6" t="s">
        <v>43</v>
      </c>
      <c r="O6">
        <v>45638</v>
      </c>
      <c r="P6" t="s">
        <v>57</v>
      </c>
      <c r="Q6" t="s">
        <v>45</v>
      </c>
      <c r="R6" t="s">
        <v>46</v>
      </c>
      <c r="S6" s="1">
        <v>45689</v>
      </c>
      <c r="U6" t="s">
        <v>47</v>
      </c>
      <c r="X6" t="s">
        <v>48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4981846</v>
      </c>
    </row>
    <row r="7" spans="1:38" x14ac:dyDescent="0.2">
      <c r="A7" s="1">
        <v>45693</v>
      </c>
      <c r="B7" s="1">
        <v>45693</v>
      </c>
      <c r="C7" t="s">
        <v>38</v>
      </c>
      <c r="D7" t="s">
        <v>39</v>
      </c>
      <c r="E7" t="s">
        <v>40</v>
      </c>
      <c r="F7">
        <v>43677</v>
      </c>
      <c r="H7" t="s">
        <v>41</v>
      </c>
      <c r="I7" t="s">
        <v>166</v>
      </c>
      <c r="J7" t="s">
        <v>58</v>
      </c>
      <c r="M7" t="s">
        <v>43</v>
      </c>
      <c r="O7">
        <v>45607</v>
      </c>
      <c r="P7" t="s">
        <v>59</v>
      </c>
      <c r="Q7" t="s">
        <v>45</v>
      </c>
      <c r="R7" t="s">
        <v>46</v>
      </c>
      <c r="S7" s="1">
        <v>45689</v>
      </c>
      <c r="U7" t="s">
        <v>47</v>
      </c>
      <c r="X7" t="s">
        <v>48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4981850</v>
      </c>
    </row>
    <row r="8" spans="1:38" x14ac:dyDescent="0.2">
      <c r="A8" s="1">
        <v>45693</v>
      </c>
      <c r="B8" s="1">
        <v>45693</v>
      </c>
      <c r="C8" t="s">
        <v>38</v>
      </c>
      <c r="D8" t="s">
        <v>39</v>
      </c>
      <c r="E8" t="s">
        <v>40</v>
      </c>
      <c r="F8">
        <v>43677</v>
      </c>
      <c r="H8" t="s">
        <v>41</v>
      </c>
      <c r="I8" t="s">
        <v>167</v>
      </c>
      <c r="J8" t="s">
        <v>60</v>
      </c>
      <c r="M8" t="s">
        <v>43</v>
      </c>
      <c r="O8">
        <v>43618</v>
      </c>
      <c r="P8" t="s">
        <v>61</v>
      </c>
      <c r="Q8" t="s">
        <v>45</v>
      </c>
      <c r="R8" t="s">
        <v>46</v>
      </c>
      <c r="S8" s="1">
        <v>45689</v>
      </c>
      <c r="U8" t="s">
        <v>47</v>
      </c>
      <c r="X8" t="s">
        <v>48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4981857</v>
      </c>
    </row>
    <row r="9" spans="1:38" x14ac:dyDescent="0.2">
      <c r="A9" s="1">
        <v>45693</v>
      </c>
      <c r="B9" s="1">
        <v>45693</v>
      </c>
      <c r="C9" t="s">
        <v>38</v>
      </c>
      <c r="D9" t="s">
        <v>39</v>
      </c>
      <c r="E9" t="s">
        <v>40</v>
      </c>
      <c r="F9">
        <v>43677</v>
      </c>
      <c r="H9" t="s">
        <v>41</v>
      </c>
      <c r="I9" t="s">
        <v>168</v>
      </c>
      <c r="J9" t="s">
        <v>62</v>
      </c>
      <c r="M9" t="s">
        <v>43</v>
      </c>
      <c r="O9">
        <v>45618</v>
      </c>
      <c r="P9" t="s">
        <v>63</v>
      </c>
      <c r="Q9" t="s">
        <v>45</v>
      </c>
      <c r="R9" t="s">
        <v>52</v>
      </c>
      <c r="S9" s="1">
        <v>45689</v>
      </c>
      <c r="U9" t="s">
        <v>47</v>
      </c>
      <c r="X9" t="s">
        <v>48</v>
      </c>
      <c r="Y9" s="2">
        <v>0</v>
      </c>
      <c r="Z9" s="2">
        <v>108</v>
      </c>
      <c r="AA9">
        <v>1</v>
      </c>
      <c r="AB9" s="3">
        <v>1</v>
      </c>
      <c r="AC9" s="2">
        <v>108</v>
      </c>
      <c r="AD9" s="3">
        <v>0</v>
      </c>
      <c r="AE9" s="2">
        <v>0</v>
      </c>
      <c r="AF9" s="2">
        <v>108</v>
      </c>
      <c r="AK9">
        <v>4981802</v>
      </c>
    </row>
    <row r="10" spans="1:38" x14ac:dyDescent="0.2">
      <c r="A10" s="1">
        <v>45693</v>
      </c>
      <c r="B10" s="1">
        <v>45693</v>
      </c>
      <c r="C10" t="s">
        <v>38</v>
      </c>
      <c r="D10" t="s">
        <v>39</v>
      </c>
      <c r="E10" t="s">
        <v>40</v>
      </c>
      <c r="F10">
        <v>43677</v>
      </c>
      <c r="H10" t="s">
        <v>41</v>
      </c>
      <c r="I10" t="s">
        <v>169</v>
      </c>
      <c r="J10" t="s">
        <v>64</v>
      </c>
      <c r="M10" t="s">
        <v>43</v>
      </c>
      <c r="O10">
        <v>45605</v>
      </c>
      <c r="P10" t="s">
        <v>51</v>
      </c>
      <c r="Q10" t="s">
        <v>45</v>
      </c>
      <c r="R10" t="s">
        <v>52</v>
      </c>
      <c r="S10" s="1">
        <v>45689</v>
      </c>
      <c r="U10" t="s">
        <v>47</v>
      </c>
      <c r="X10" t="s">
        <v>48</v>
      </c>
      <c r="Y10" s="2">
        <v>0</v>
      </c>
      <c r="Z10" s="2">
        <v>108</v>
      </c>
      <c r="AA10">
        <v>1</v>
      </c>
      <c r="AB10" s="3">
        <v>1</v>
      </c>
      <c r="AC10" s="2">
        <v>108</v>
      </c>
      <c r="AD10" s="3">
        <v>0</v>
      </c>
      <c r="AE10" s="2">
        <v>0</v>
      </c>
      <c r="AF10" s="2">
        <v>108</v>
      </c>
      <c r="AK10">
        <v>4981806</v>
      </c>
    </row>
    <row r="11" spans="1:38" x14ac:dyDescent="0.2">
      <c r="A11" s="1">
        <v>45693</v>
      </c>
      <c r="B11" s="1">
        <v>45693</v>
      </c>
      <c r="C11" t="s">
        <v>38</v>
      </c>
      <c r="D11" t="s">
        <v>39</v>
      </c>
      <c r="E11" t="s">
        <v>40</v>
      </c>
      <c r="F11">
        <v>43677</v>
      </c>
      <c r="H11" t="s">
        <v>41</v>
      </c>
      <c r="I11" t="s">
        <v>170</v>
      </c>
      <c r="J11" t="s">
        <v>65</v>
      </c>
      <c r="M11" t="s">
        <v>43</v>
      </c>
      <c r="O11">
        <v>45605</v>
      </c>
      <c r="P11" t="s">
        <v>51</v>
      </c>
      <c r="Q11" t="s">
        <v>45</v>
      </c>
      <c r="R11" t="s">
        <v>52</v>
      </c>
      <c r="S11" s="1">
        <v>45689</v>
      </c>
      <c r="U11" t="s">
        <v>47</v>
      </c>
      <c r="X11" t="s">
        <v>48</v>
      </c>
      <c r="Y11" s="2">
        <v>0</v>
      </c>
      <c r="Z11" s="2">
        <v>108</v>
      </c>
      <c r="AA11">
        <v>1</v>
      </c>
      <c r="AB11" s="3">
        <v>1</v>
      </c>
      <c r="AC11" s="2">
        <v>108</v>
      </c>
      <c r="AD11" s="3">
        <v>0</v>
      </c>
      <c r="AE11" s="2">
        <v>0</v>
      </c>
      <c r="AF11" s="2">
        <v>108</v>
      </c>
      <c r="AK11">
        <v>4981807</v>
      </c>
    </row>
    <row r="12" spans="1:38" x14ac:dyDescent="0.2">
      <c r="A12" s="1">
        <v>45693</v>
      </c>
      <c r="B12" s="1">
        <v>45693</v>
      </c>
      <c r="C12" t="s">
        <v>38</v>
      </c>
      <c r="D12" t="s">
        <v>39</v>
      </c>
      <c r="E12" t="s">
        <v>40</v>
      </c>
      <c r="F12">
        <v>43677</v>
      </c>
      <c r="H12" t="s">
        <v>41</v>
      </c>
      <c r="I12" t="s">
        <v>171</v>
      </c>
      <c r="J12" t="s">
        <v>66</v>
      </c>
      <c r="M12" t="s">
        <v>43</v>
      </c>
      <c r="O12">
        <v>45605</v>
      </c>
      <c r="P12" t="s">
        <v>51</v>
      </c>
      <c r="Q12" t="s">
        <v>45</v>
      </c>
      <c r="R12" t="s">
        <v>52</v>
      </c>
      <c r="S12" s="1">
        <v>45689</v>
      </c>
      <c r="U12" t="s">
        <v>47</v>
      </c>
      <c r="X12" t="s">
        <v>48</v>
      </c>
      <c r="Y12" s="2">
        <v>0</v>
      </c>
      <c r="Z12" s="2">
        <v>108</v>
      </c>
      <c r="AA12">
        <v>1</v>
      </c>
      <c r="AB12" s="3">
        <v>1</v>
      </c>
      <c r="AC12" s="2">
        <v>108</v>
      </c>
      <c r="AD12" s="3">
        <v>0</v>
      </c>
      <c r="AE12" s="2">
        <v>0</v>
      </c>
      <c r="AF12" s="2">
        <v>108</v>
      </c>
      <c r="AK12">
        <v>4981808</v>
      </c>
    </row>
    <row r="13" spans="1:38" x14ac:dyDescent="0.2">
      <c r="A13" s="1">
        <v>45693</v>
      </c>
      <c r="B13" s="1">
        <v>45693</v>
      </c>
      <c r="C13" t="s">
        <v>38</v>
      </c>
      <c r="D13" t="s">
        <v>39</v>
      </c>
      <c r="E13" t="s">
        <v>40</v>
      </c>
      <c r="F13">
        <v>43677</v>
      </c>
      <c r="H13" t="s">
        <v>41</v>
      </c>
      <c r="I13" t="s">
        <v>172</v>
      </c>
      <c r="J13" t="s">
        <v>67</v>
      </c>
      <c r="M13" t="s">
        <v>68</v>
      </c>
      <c r="O13">
        <v>43678</v>
      </c>
      <c r="P13" t="s">
        <v>69</v>
      </c>
      <c r="Q13" t="s">
        <v>45</v>
      </c>
      <c r="R13" t="s">
        <v>52</v>
      </c>
      <c r="S13" s="1">
        <v>45689</v>
      </c>
      <c r="U13" t="s">
        <v>47</v>
      </c>
      <c r="X13" t="s">
        <v>48</v>
      </c>
      <c r="Y13" s="2">
        <v>0</v>
      </c>
      <c r="Z13" s="2">
        <v>108</v>
      </c>
      <c r="AA13">
        <v>1</v>
      </c>
      <c r="AB13" s="3">
        <v>1</v>
      </c>
      <c r="AC13" s="2">
        <v>108</v>
      </c>
      <c r="AD13" s="3">
        <v>0</v>
      </c>
      <c r="AE13" s="2">
        <v>0</v>
      </c>
      <c r="AF13" s="2">
        <v>108</v>
      </c>
      <c r="AK13">
        <v>4981826</v>
      </c>
    </row>
    <row r="14" spans="1:38" x14ac:dyDescent="0.2">
      <c r="A14" s="1">
        <v>45693</v>
      </c>
      <c r="B14" s="1">
        <v>45693</v>
      </c>
      <c r="C14" t="s">
        <v>38</v>
      </c>
      <c r="D14" t="s">
        <v>39</v>
      </c>
      <c r="E14" t="s">
        <v>40</v>
      </c>
      <c r="F14">
        <v>43677</v>
      </c>
      <c r="H14" t="s">
        <v>41</v>
      </c>
      <c r="I14" t="s">
        <v>173</v>
      </c>
      <c r="J14" t="s">
        <v>70</v>
      </c>
      <c r="M14" t="s">
        <v>43</v>
      </c>
      <c r="O14">
        <v>45612</v>
      </c>
      <c r="P14" t="s">
        <v>71</v>
      </c>
      <c r="Q14" t="s">
        <v>45</v>
      </c>
      <c r="R14" t="s">
        <v>46</v>
      </c>
      <c r="S14" s="1">
        <v>45689</v>
      </c>
      <c r="U14" t="s">
        <v>47</v>
      </c>
      <c r="X14" t="s">
        <v>48</v>
      </c>
      <c r="Y14" s="2">
        <v>0</v>
      </c>
      <c r="Z14" s="2">
        <v>175</v>
      </c>
      <c r="AA14">
        <v>1</v>
      </c>
      <c r="AB14" s="3">
        <v>1</v>
      </c>
      <c r="AC14" s="2">
        <v>175</v>
      </c>
      <c r="AD14" s="3">
        <v>0</v>
      </c>
      <c r="AE14" s="2">
        <v>0</v>
      </c>
      <c r="AF14" s="2">
        <v>175</v>
      </c>
      <c r="AK14">
        <v>4981896</v>
      </c>
    </row>
    <row r="15" spans="1:38" x14ac:dyDescent="0.2">
      <c r="A15" s="1">
        <v>45693</v>
      </c>
      <c r="B15" s="1">
        <v>45693</v>
      </c>
      <c r="C15" t="s">
        <v>38</v>
      </c>
      <c r="D15" t="s">
        <v>39</v>
      </c>
      <c r="E15" t="s">
        <v>40</v>
      </c>
      <c r="F15">
        <v>43677</v>
      </c>
      <c r="H15" t="s">
        <v>41</v>
      </c>
      <c r="I15" t="s">
        <v>174</v>
      </c>
      <c r="J15" t="s">
        <v>72</v>
      </c>
      <c r="M15" t="s">
        <v>43</v>
      </c>
      <c r="O15">
        <v>45612</v>
      </c>
      <c r="P15" t="s">
        <v>71</v>
      </c>
      <c r="Q15" t="s">
        <v>45</v>
      </c>
      <c r="R15" t="s">
        <v>46</v>
      </c>
      <c r="S15" s="1">
        <v>45717</v>
      </c>
      <c r="U15" t="s">
        <v>47</v>
      </c>
      <c r="X15" t="s">
        <v>48</v>
      </c>
      <c r="Y15" s="2">
        <v>0</v>
      </c>
      <c r="Z15" s="2">
        <v>175</v>
      </c>
      <c r="AA15">
        <v>1</v>
      </c>
      <c r="AB15" s="3">
        <v>1</v>
      </c>
      <c r="AC15" s="2">
        <v>175</v>
      </c>
      <c r="AD15" s="3">
        <v>0</v>
      </c>
      <c r="AE15" s="2">
        <v>0</v>
      </c>
      <c r="AF15" s="2">
        <v>175</v>
      </c>
      <c r="AK15">
        <v>4981899</v>
      </c>
    </row>
    <row r="16" spans="1:38" x14ac:dyDescent="0.2">
      <c r="A16" s="1">
        <v>45693</v>
      </c>
      <c r="B16" s="1">
        <v>45693</v>
      </c>
      <c r="C16" t="s">
        <v>38</v>
      </c>
      <c r="D16" t="s">
        <v>39</v>
      </c>
      <c r="E16" t="s">
        <v>40</v>
      </c>
      <c r="F16">
        <v>43677</v>
      </c>
      <c r="H16" t="s">
        <v>41</v>
      </c>
      <c r="I16" t="s">
        <v>175</v>
      </c>
      <c r="J16" t="s">
        <v>73</v>
      </c>
      <c r="M16" t="s">
        <v>43</v>
      </c>
      <c r="O16">
        <v>45604</v>
      </c>
      <c r="P16" t="s">
        <v>74</v>
      </c>
      <c r="Q16" t="s">
        <v>45</v>
      </c>
      <c r="R16" t="s">
        <v>46</v>
      </c>
      <c r="S16" s="1">
        <v>45689</v>
      </c>
      <c r="U16" t="s">
        <v>47</v>
      </c>
      <c r="X16" t="s">
        <v>48</v>
      </c>
      <c r="Y16" s="2">
        <v>0</v>
      </c>
      <c r="Z16" s="2">
        <v>175</v>
      </c>
      <c r="AA16">
        <v>1</v>
      </c>
      <c r="AB16" s="3">
        <v>1</v>
      </c>
      <c r="AC16" s="2">
        <v>175</v>
      </c>
      <c r="AD16" s="3">
        <v>0</v>
      </c>
      <c r="AE16" s="2">
        <v>0</v>
      </c>
      <c r="AF16" s="2">
        <v>175</v>
      </c>
      <c r="AK16">
        <v>4981903</v>
      </c>
    </row>
    <row r="17" spans="1:38" x14ac:dyDescent="0.2">
      <c r="A17" s="1">
        <v>45693</v>
      </c>
      <c r="B17" s="1">
        <v>45693</v>
      </c>
      <c r="C17" t="s">
        <v>38</v>
      </c>
      <c r="D17" t="s">
        <v>39</v>
      </c>
      <c r="E17" t="s">
        <v>40</v>
      </c>
      <c r="F17">
        <v>43677</v>
      </c>
      <c r="H17" t="s">
        <v>41</v>
      </c>
      <c r="I17" t="s">
        <v>176</v>
      </c>
      <c r="J17" t="s">
        <v>75</v>
      </c>
      <c r="M17" t="s">
        <v>43</v>
      </c>
      <c r="O17">
        <v>45605</v>
      </c>
      <c r="P17" t="s">
        <v>51</v>
      </c>
      <c r="Q17" t="s">
        <v>45</v>
      </c>
      <c r="R17" t="s">
        <v>46</v>
      </c>
      <c r="S17" s="1">
        <v>45689</v>
      </c>
      <c r="U17" t="s">
        <v>47</v>
      </c>
      <c r="X17" t="s">
        <v>48</v>
      </c>
      <c r="Y17" s="2">
        <v>0</v>
      </c>
      <c r="Z17" s="2">
        <v>175</v>
      </c>
      <c r="AA17">
        <v>1</v>
      </c>
      <c r="AB17" s="3">
        <v>1</v>
      </c>
      <c r="AC17" s="2">
        <v>175</v>
      </c>
      <c r="AD17" s="3">
        <v>0</v>
      </c>
      <c r="AE17" s="2">
        <v>0</v>
      </c>
      <c r="AF17" s="2">
        <v>175</v>
      </c>
      <c r="AK17">
        <v>4981905</v>
      </c>
    </row>
    <row r="18" spans="1:38" x14ac:dyDescent="0.2">
      <c r="A18" s="1">
        <v>45693</v>
      </c>
      <c r="B18" s="1">
        <v>45693</v>
      </c>
      <c r="C18" t="s">
        <v>38</v>
      </c>
      <c r="D18" t="s">
        <v>39</v>
      </c>
      <c r="E18" t="s">
        <v>40</v>
      </c>
      <c r="F18">
        <v>43677</v>
      </c>
      <c r="H18" t="s">
        <v>41</v>
      </c>
      <c r="I18" t="s">
        <v>177</v>
      </c>
      <c r="J18" t="s">
        <v>76</v>
      </c>
      <c r="M18" t="s">
        <v>43</v>
      </c>
      <c r="O18">
        <v>43682</v>
      </c>
      <c r="P18" t="s">
        <v>77</v>
      </c>
      <c r="Q18" t="s">
        <v>45</v>
      </c>
      <c r="R18" t="s">
        <v>46</v>
      </c>
      <c r="S18" s="1">
        <v>45748</v>
      </c>
      <c r="U18" t="s">
        <v>47</v>
      </c>
      <c r="X18" t="s">
        <v>48</v>
      </c>
      <c r="Y18" s="2">
        <v>0</v>
      </c>
      <c r="Z18" s="2">
        <v>175</v>
      </c>
      <c r="AA18">
        <v>1</v>
      </c>
      <c r="AB18" s="3">
        <v>1</v>
      </c>
      <c r="AC18" s="2">
        <v>175</v>
      </c>
      <c r="AD18" s="3">
        <v>0</v>
      </c>
      <c r="AE18" s="2">
        <v>0</v>
      </c>
      <c r="AF18" s="2">
        <v>175</v>
      </c>
      <c r="AK18">
        <v>4981909</v>
      </c>
    </row>
    <row r="19" spans="1:38" x14ac:dyDescent="0.2">
      <c r="A19" s="1">
        <v>45693</v>
      </c>
      <c r="B19" s="1">
        <v>45693</v>
      </c>
      <c r="C19" t="s">
        <v>38</v>
      </c>
      <c r="D19" t="s">
        <v>39</v>
      </c>
      <c r="E19" t="s">
        <v>40</v>
      </c>
      <c r="F19">
        <v>43677</v>
      </c>
      <c r="H19" t="s">
        <v>41</v>
      </c>
      <c r="I19" t="s">
        <v>178</v>
      </c>
      <c r="J19" t="s">
        <v>78</v>
      </c>
      <c r="M19" t="s">
        <v>43</v>
      </c>
      <c r="O19">
        <v>45607</v>
      </c>
      <c r="P19" t="s">
        <v>59</v>
      </c>
      <c r="Q19" t="s">
        <v>45</v>
      </c>
      <c r="R19" t="s">
        <v>46</v>
      </c>
      <c r="S19" s="1">
        <v>45717</v>
      </c>
      <c r="U19" t="s">
        <v>47</v>
      </c>
      <c r="X19" t="s">
        <v>48</v>
      </c>
      <c r="Y19" s="2">
        <v>0</v>
      </c>
      <c r="Z19" s="2">
        <v>175</v>
      </c>
      <c r="AA19">
        <v>1</v>
      </c>
      <c r="AB19" s="3">
        <v>1</v>
      </c>
      <c r="AC19" s="2">
        <v>175</v>
      </c>
      <c r="AD19" s="3">
        <v>0</v>
      </c>
      <c r="AE19" s="2">
        <v>0</v>
      </c>
      <c r="AF19" s="2">
        <v>175</v>
      </c>
      <c r="AK19">
        <v>4981912</v>
      </c>
    </row>
    <row r="20" spans="1:38" x14ac:dyDescent="0.2">
      <c r="A20" s="1">
        <v>45693</v>
      </c>
      <c r="B20" s="1">
        <v>45693</v>
      </c>
      <c r="C20" t="s">
        <v>38</v>
      </c>
      <c r="D20" t="s">
        <v>39</v>
      </c>
      <c r="E20" t="s">
        <v>40</v>
      </c>
      <c r="F20">
        <v>43677</v>
      </c>
      <c r="H20" t="s">
        <v>41</v>
      </c>
      <c r="I20" t="s">
        <v>179</v>
      </c>
      <c r="J20" t="s">
        <v>79</v>
      </c>
      <c r="M20" t="s">
        <v>43</v>
      </c>
      <c r="O20">
        <v>45611</v>
      </c>
      <c r="P20" t="s">
        <v>80</v>
      </c>
      <c r="Q20" t="s">
        <v>45</v>
      </c>
      <c r="R20" t="s">
        <v>46</v>
      </c>
      <c r="S20" s="1">
        <v>45689</v>
      </c>
      <c r="U20" t="s">
        <v>47</v>
      </c>
      <c r="X20" t="s">
        <v>48</v>
      </c>
      <c r="Y20" s="2">
        <v>0</v>
      </c>
      <c r="Z20" s="2">
        <v>175</v>
      </c>
      <c r="AA20">
        <v>1</v>
      </c>
      <c r="AB20" s="3">
        <v>1</v>
      </c>
      <c r="AC20" s="2">
        <v>175</v>
      </c>
      <c r="AD20" s="3">
        <v>0</v>
      </c>
      <c r="AE20" s="2">
        <v>0</v>
      </c>
      <c r="AF20" s="2">
        <v>175</v>
      </c>
      <c r="AK20">
        <v>4981951</v>
      </c>
    </row>
    <row r="21" spans="1:38" x14ac:dyDescent="0.2">
      <c r="A21" s="1">
        <v>45693</v>
      </c>
      <c r="B21" s="1">
        <v>45693</v>
      </c>
      <c r="C21" t="s">
        <v>38</v>
      </c>
      <c r="D21" t="s">
        <v>39</v>
      </c>
      <c r="E21" t="s">
        <v>40</v>
      </c>
      <c r="F21">
        <v>43677</v>
      </c>
      <c r="H21" t="s">
        <v>41</v>
      </c>
      <c r="I21" t="s">
        <v>180</v>
      </c>
      <c r="J21" t="s">
        <v>81</v>
      </c>
      <c r="M21" t="s">
        <v>43</v>
      </c>
      <c r="O21">
        <v>45604</v>
      </c>
      <c r="P21" t="s">
        <v>74</v>
      </c>
      <c r="Q21" t="s">
        <v>45</v>
      </c>
      <c r="R21" t="s">
        <v>46</v>
      </c>
      <c r="S21" s="1">
        <v>45689</v>
      </c>
      <c r="U21" t="s">
        <v>47</v>
      </c>
      <c r="X21" t="s">
        <v>48</v>
      </c>
      <c r="Y21" s="2">
        <v>0</v>
      </c>
      <c r="Z21" s="2">
        <v>175</v>
      </c>
      <c r="AA21">
        <v>1</v>
      </c>
      <c r="AB21" s="3">
        <v>1</v>
      </c>
      <c r="AC21" s="2">
        <v>175</v>
      </c>
      <c r="AD21" s="3">
        <v>0</v>
      </c>
      <c r="AE21" s="2">
        <v>0</v>
      </c>
      <c r="AF21" s="2">
        <v>175</v>
      </c>
      <c r="AK21">
        <v>4981953</v>
      </c>
    </row>
    <row r="22" spans="1:38" x14ac:dyDescent="0.2">
      <c r="A22" s="1">
        <v>45693</v>
      </c>
      <c r="B22" s="1">
        <v>45693</v>
      </c>
      <c r="C22" t="s">
        <v>38</v>
      </c>
      <c r="D22" t="s">
        <v>39</v>
      </c>
      <c r="E22" t="s">
        <v>40</v>
      </c>
      <c r="F22">
        <v>43677</v>
      </c>
      <c r="H22" t="s">
        <v>41</v>
      </c>
      <c r="I22" t="s">
        <v>181</v>
      </c>
      <c r="J22" t="s">
        <v>82</v>
      </c>
      <c r="M22" t="s">
        <v>43</v>
      </c>
      <c r="O22">
        <v>45717</v>
      </c>
      <c r="P22" t="s">
        <v>83</v>
      </c>
      <c r="Q22" t="s">
        <v>45</v>
      </c>
      <c r="R22" t="s">
        <v>84</v>
      </c>
      <c r="S22" s="1">
        <v>45689</v>
      </c>
      <c r="U22" t="s">
        <v>47</v>
      </c>
      <c r="X22" t="s">
        <v>48</v>
      </c>
      <c r="Y22" s="2">
        <v>0</v>
      </c>
      <c r="Z22" s="2">
        <v>15</v>
      </c>
      <c r="AA22">
        <v>1</v>
      </c>
      <c r="AB22" s="3">
        <v>1</v>
      </c>
      <c r="AC22" s="2">
        <v>15</v>
      </c>
      <c r="AD22" s="3">
        <v>0</v>
      </c>
      <c r="AE22" s="2">
        <v>0</v>
      </c>
      <c r="AF22" s="2">
        <v>15</v>
      </c>
      <c r="AK22">
        <v>4981770</v>
      </c>
    </row>
    <row r="23" spans="1:38" x14ac:dyDescent="0.2">
      <c r="A23" s="1">
        <v>45693</v>
      </c>
      <c r="B23" s="1">
        <v>45693</v>
      </c>
      <c r="C23" t="s">
        <v>38</v>
      </c>
      <c r="D23" t="s">
        <v>39</v>
      </c>
      <c r="E23" t="s">
        <v>40</v>
      </c>
      <c r="F23">
        <v>43677</v>
      </c>
      <c r="H23" t="s">
        <v>41</v>
      </c>
      <c r="I23" t="s">
        <v>182</v>
      </c>
      <c r="J23" t="s">
        <v>85</v>
      </c>
      <c r="M23" t="s">
        <v>43</v>
      </c>
      <c r="O23">
        <v>45612</v>
      </c>
      <c r="P23" t="s">
        <v>71</v>
      </c>
      <c r="Q23" t="s">
        <v>45</v>
      </c>
      <c r="R23" t="s">
        <v>46</v>
      </c>
      <c r="S23" s="1">
        <v>45658</v>
      </c>
      <c r="U23" t="s">
        <v>47</v>
      </c>
      <c r="X23" t="s">
        <v>48</v>
      </c>
      <c r="Y23" s="2">
        <v>0</v>
      </c>
      <c r="Z23" s="2">
        <v>175</v>
      </c>
      <c r="AA23">
        <v>1</v>
      </c>
      <c r="AB23" s="3">
        <v>1</v>
      </c>
      <c r="AC23" s="2">
        <v>175</v>
      </c>
      <c r="AD23" s="3">
        <v>0</v>
      </c>
      <c r="AE23" s="2">
        <v>0</v>
      </c>
      <c r="AF23" s="2">
        <v>175</v>
      </c>
      <c r="AK23">
        <v>4981954</v>
      </c>
    </row>
    <row r="24" spans="1:38" x14ac:dyDescent="0.2">
      <c r="A24" s="1">
        <v>45693</v>
      </c>
      <c r="B24" s="1">
        <v>45693</v>
      </c>
      <c r="C24" t="s">
        <v>38</v>
      </c>
      <c r="D24" t="s">
        <v>39</v>
      </c>
      <c r="E24" t="s">
        <v>40</v>
      </c>
      <c r="F24">
        <v>43677</v>
      </c>
      <c r="H24" t="s">
        <v>41</v>
      </c>
      <c r="I24">
        <v>23028152</v>
      </c>
      <c r="J24" t="s">
        <v>86</v>
      </c>
      <c r="M24" t="s">
        <v>87</v>
      </c>
      <c r="O24">
        <v>47621</v>
      </c>
      <c r="P24" t="s">
        <v>88</v>
      </c>
      <c r="Q24" t="s">
        <v>45</v>
      </c>
      <c r="R24" t="s">
        <v>89</v>
      </c>
      <c r="S24" s="1">
        <v>45689</v>
      </c>
      <c r="U24" t="s">
        <v>47</v>
      </c>
      <c r="X24" t="s">
        <v>48</v>
      </c>
      <c r="Y24" s="2">
        <v>0</v>
      </c>
      <c r="Z24" s="2">
        <v>50.42</v>
      </c>
      <c r="AA24">
        <v>1</v>
      </c>
      <c r="AB24" s="3">
        <v>1</v>
      </c>
      <c r="AC24" s="2">
        <v>50.42</v>
      </c>
      <c r="AD24" s="3">
        <v>0</v>
      </c>
      <c r="AE24" s="2">
        <v>0</v>
      </c>
      <c r="AF24" s="2">
        <v>50.42</v>
      </c>
      <c r="AK24">
        <v>4982078</v>
      </c>
      <c r="AL24" t="s">
        <v>90</v>
      </c>
    </row>
    <row r="25" spans="1:38" x14ac:dyDescent="0.2">
      <c r="A25" s="1">
        <v>45693</v>
      </c>
      <c r="B25" s="1">
        <v>45693</v>
      </c>
      <c r="C25" t="s">
        <v>38</v>
      </c>
      <c r="D25" t="s">
        <v>39</v>
      </c>
      <c r="E25" t="s">
        <v>40</v>
      </c>
      <c r="F25">
        <v>43677</v>
      </c>
      <c r="H25" t="s">
        <v>41</v>
      </c>
      <c r="I25" t="s">
        <v>183</v>
      </c>
      <c r="J25" t="s">
        <v>86</v>
      </c>
      <c r="M25" t="s">
        <v>87</v>
      </c>
      <c r="O25">
        <v>47621</v>
      </c>
      <c r="P25" t="s">
        <v>88</v>
      </c>
      <c r="Q25" t="s">
        <v>45</v>
      </c>
      <c r="R25" t="s">
        <v>91</v>
      </c>
      <c r="S25" s="1">
        <v>45689</v>
      </c>
      <c r="U25" t="s">
        <v>47</v>
      </c>
      <c r="X25" t="s">
        <v>48</v>
      </c>
      <c r="Y25" s="2">
        <v>0</v>
      </c>
      <c r="Z25" s="2">
        <v>0</v>
      </c>
      <c r="AA25">
        <v>1</v>
      </c>
      <c r="AB25" s="3">
        <v>0</v>
      </c>
      <c r="AC25" s="2">
        <v>0</v>
      </c>
      <c r="AD25" s="3">
        <v>0</v>
      </c>
      <c r="AE25" s="2">
        <v>0</v>
      </c>
      <c r="AF25" s="2">
        <v>0</v>
      </c>
      <c r="AK25">
        <v>4982028</v>
      </c>
      <c r="AL25" t="s">
        <v>90</v>
      </c>
    </row>
    <row r="26" spans="1:38" x14ac:dyDescent="0.2">
      <c r="A26" s="1">
        <v>45693</v>
      </c>
      <c r="B26" s="1">
        <v>45693</v>
      </c>
      <c r="C26" t="s">
        <v>38</v>
      </c>
      <c r="D26" t="s">
        <v>39</v>
      </c>
      <c r="E26" t="s">
        <v>40</v>
      </c>
      <c r="F26">
        <v>43677</v>
      </c>
      <c r="H26" t="s">
        <v>41</v>
      </c>
      <c r="I26">
        <v>101048227700</v>
      </c>
      <c r="J26" t="s">
        <v>92</v>
      </c>
      <c r="M26" t="s">
        <v>93</v>
      </c>
      <c r="O26">
        <v>43786</v>
      </c>
      <c r="P26" t="s">
        <v>94</v>
      </c>
      <c r="Q26" t="s">
        <v>45</v>
      </c>
      <c r="R26" t="s">
        <v>95</v>
      </c>
      <c r="S26" s="1">
        <v>45689</v>
      </c>
      <c r="U26" t="s">
        <v>47</v>
      </c>
      <c r="X26" t="s">
        <v>48</v>
      </c>
      <c r="Y26" s="2">
        <v>0</v>
      </c>
      <c r="Z26" s="2">
        <v>45.83</v>
      </c>
      <c r="AA26">
        <v>1</v>
      </c>
      <c r="AB26" s="3">
        <v>1</v>
      </c>
      <c r="AC26" s="2">
        <v>45.83</v>
      </c>
      <c r="AD26" s="3">
        <v>0</v>
      </c>
      <c r="AE26" s="2">
        <v>0</v>
      </c>
      <c r="AF26" s="2">
        <v>45.83</v>
      </c>
      <c r="AK26">
        <v>4981543</v>
      </c>
      <c r="AL26" t="s">
        <v>90</v>
      </c>
    </row>
    <row r="27" spans="1:38" x14ac:dyDescent="0.2">
      <c r="A27" s="1">
        <v>45693</v>
      </c>
      <c r="B27" s="1">
        <v>45693</v>
      </c>
      <c r="C27" t="s">
        <v>38</v>
      </c>
      <c r="D27" t="s">
        <v>39</v>
      </c>
      <c r="E27" t="s">
        <v>40</v>
      </c>
      <c r="F27">
        <v>43677</v>
      </c>
      <c r="H27" t="s">
        <v>41</v>
      </c>
      <c r="I27">
        <v>101185439800</v>
      </c>
      <c r="J27" t="s">
        <v>96</v>
      </c>
      <c r="M27" t="s">
        <v>93</v>
      </c>
      <c r="O27">
        <v>43611</v>
      </c>
      <c r="P27" t="s">
        <v>97</v>
      </c>
      <c r="Q27" t="s">
        <v>45</v>
      </c>
      <c r="R27" t="s">
        <v>95</v>
      </c>
      <c r="S27" s="1">
        <v>45689</v>
      </c>
      <c r="U27" t="s">
        <v>47</v>
      </c>
      <c r="X27" t="s">
        <v>48</v>
      </c>
      <c r="Y27" s="2">
        <v>0</v>
      </c>
      <c r="Z27" s="2">
        <v>45.83</v>
      </c>
      <c r="AA27">
        <v>1</v>
      </c>
      <c r="AB27" s="3">
        <v>1</v>
      </c>
      <c r="AC27" s="2">
        <v>45.83</v>
      </c>
      <c r="AD27" s="3">
        <v>0</v>
      </c>
      <c r="AE27" s="2">
        <v>0</v>
      </c>
      <c r="AF27" s="2">
        <v>45.83</v>
      </c>
      <c r="AK27">
        <v>4981552</v>
      </c>
      <c r="AL27" t="s">
        <v>90</v>
      </c>
    </row>
    <row r="28" spans="1:38" x14ac:dyDescent="0.2">
      <c r="A28" s="1">
        <v>45693</v>
      </c>
      <c r="B28" s="1">
        <v>45693</v>
      </c>
      <c r="C28" t="s">
        <v>38</v>
      </c>
      <c r="D28" t="s">
        <v>39</v>
      </c>
      <c r="E28" t="s">
        <v>40</v>
      </c>
      <c r="F28">
        <v>43677</v>
      </c>
      <c r="H28" t="s">
        <v>41</v>
      </c>
      <c r="I28">
        <v>101485227000</v>
      </c>
      <c r="J28" t="s">
        <v>98</v>
      </c>
      <c r="M28" t="s">
        <v>43</v>
      </c>
      <c r="O28">
        <v>45638</v>
      </c>
      <c r="P28" t="s">
        <v>57</v>
      </c>
      <c r="Q28" t="s">
        <v>45</v>
      </c>
      <c r="R28" t="s">
        <v>95</v>
      </c>
      <c r="S28" s="1">
        <v>45689</v>
      </c>
      <c r="U28" t="s">
        <v>47</v>
      </c>
      <c r="X28" t="s">
        <v>48</v>
      </c>
      <c r="Y28" s="2">
        <v>0</v>
      </c>
      <c r="Z28" s="2">
        <v>45.83</v>
      </c>
      <c r="AA28">
        <v>1</v>
      </c>
      <c r="AB28" s="3">
        <v>1</v>
      </c>
      <c r="AC28" s="2">
        <v>45.83</v>
      </c>
      <c r="AD28" s="3">
        <v>0</v>
      </c>
      <c r="AE28" s="2">
        <v>0</v>
      </c>
      <c r="AF28" s="2">
        <v>45.83</v>
      </c>
      <c r="AK28">
        <v>4981558</v>
      </c>
      <c r="AL28" t="s">
        <v>90</v>
      </c>
    </row>
    <row r="29" spans="1:38" x14ac:dyDescent="0.2">
      <c r="A29" s="1">
        <v>45693</v>
      </c>
      <c r="B29" s="1">
        <v>45693</v>
      </c>
      <c r="C29" t="s">
        <v>38</v>
      </c>
      <c r="D29" t="s">
        <v>39</v>
      </c>
      <c r="E29" t="s">
        <v>40</v>
      </c>
      <c r="F29">
        <v>43677</v>
      </c>
      <c r="H29" t="s">
        <v>41</v>
      </c>
      <c r="I29">
        <v>101842556500</v>
      </c>
      <c r="J29" t="s">
        <v>99</v>
      </c>
      <c r="M29" t="s">
        <v>87</v>
      </c>
      <c r="O29">
        <v>45612</v>
      </c>
      <c r="P29" t="s">
        <v>71</v>
      </c>
      <c r="Q29" t="s">
        <v>45</v>
      </c>
      <c r="R29" t="s">
        <v>95</v>
      </c>
      <c r="S29" s="1">
        <v>45689</v>
      </c>
      <c r="U29" t="s">
        <v>47</v>
      </c>
      <c r="X29" t="s">
        <v>48</v>
      </c>
      <c r="Y29" s="2">
        <v>0</v>
      </c>
      <c r="Z29" s="2">
        <v>45.83</v>
      </c>
      <c r="AA29">
        <v>1</v>
      </c>
      <c r="AB29" s="3">
        <v>1</v>
      </c>
      <c r="AC29" s="2">
        <v>45.83</v>
      </c>
      <c r="AD29" s="3">
        <v>0</v>
      </c>
      <c r="AE29" s="2">
        <v>0</v>
      </c>
      <c r="AF29" s="2">
        <v>45.83</v>
      </c>
      <c r="AK29">
        <v>4981570</v>
      </c>
      <c r="AL29" t="s">
        <v>90</v>
      </c>
    </row>
    <row r="30" spans="1:38" x14ac:dyDescent="0.2">
      <c r="A30" s="1">
        <v>45693</v>
      </c>
      <c r="B30" s="1">
        <v>45693</v>
      </c>
      <c r="C30" t="s">
        <v>38</v>
      </c>
      <c r="D30" t="s">
        <v>39</v>
      </c>
      <c r="E30" t="s">
        <v>40</v>
      </c>
      <c r="F30">
        <v>43677</v>
      </c>
      <c r="H30" t="s">
        <v>41</v>
      </c>
      <c r="I30">
        <v>102043418000</v>
      </c>
      <c r="J30" t="s">
        <v>100</v>
      </c>
      <c r="M30" t="s">
        <v>101</v>
      </c>
      <c r="O30">
        <v>43969</v>
      </c>
      <c r="P30" t="s">
        <v>102</v>
      </c>
      <c r="Q30" t="s">
        <v>45</v>
      </c>
      <c r="R30" t="s">
        <v>95</v>
      </c>
      <c r="S30" s="1">
        <v>45689</v>
      </c>
      <c r="U30" t="s">
        <v>47</v>
      </c>
      <c r="X30" t="s">
        <v>48</v>
      </c>
      <c r="Y30" s="2">
        <v>0</v>
      </c>
      <c r="Z30" s="2">
        <v>45.83</v>
      </c>
      <c r="AA30">
        <v>1</v>
      </c>
      <c r="AB30" s="3">
        <v>1</v>
      </c>
      <c r="AC30" s="2">
        <v>45.83</v>
      </c>
      <c r="AD30" s="3">
        <v>0</v>
      </c>
      <c r="AE30" s="2">
        <v>0</v>
      </c>
      <c r="AF30" s="2">
        <v>45.83</v>
      </c>
      <c r="AK30">
        <v>4981586</v>
      </c>
      <c r="AL30" t="s">
        <v>90</v>
      </c>
    </row>
    <row r="31" spans="1:38" x14ac:dyDescent="0.2">
      <c r="A31" s="1">
        <v>45693</v>
      </c>
      <c r="B31" s="1">
        <v>45693</v>
      </c>
      <c r="C31" t="s">
        <v>38</v>
      </c>
      <c r="D31" t="s">
        <v>39</v>
      </c>
      <c r="E31" t="s">
        <v>40</v>
      </c>
      <c r="F31">
        <v>43677</v>
      </c>
      <c r="H31" t="s">
        <v>41</v>
      </c>
      <c r="I31">
        <v>102065679400</v>
      </c>
      <c r="J31" t="s">
        <v>103</v>
      </c>
      <c r="M31" t="s">
        <v>104</v>
      </c>
      <c r="O31">
        <v>45605</v>
      </c>
      <c r="P31" t="s">
        <v>51</v>
      </c>
      <c r="Q31" t="s">
        <v>45</v>
      </c>
      <c r="R31" t="s">
        <v>105</v>
      </c>
      <c r="S31" s="1">
        <v>45658</v>
      </c>
      <c r="U31" t="s">
        <v>47</v>
      </c>
      <c r="X31" t="s">
        <v>48</v>
      </c>
      <c r="Y31" s="2">
        <v>0</v>
      </c>
      <c r="Z31" s="2">
        <v>50</v>
      </c>
      <c r="AA31">
        <v>1</v>
      </c>
      <c r="AB31" s="3">
        <v>1</v>
      </c>
      <c r="AC31" s="2">
        <v>50</v>
      </c>
      <c r="AD31" s="3">
        <v>0</v>
      </c>
      <c r="AE31" s="2">
        <v>0</v>
      </c>
      <c r="AF31" s="2">
        <v>50</v>
      </c>
      <c r="AK31">
        <v>4981592</v>
      </c>
    </row>
    <row r="32" spans="1:38" x14ac:dyDescent="0.2">
      <c r="A32" s="1">
        <v>45693</v>
      </c>
      <c r="B32" s="1">
        <v>45693</v>
      </c>
      <c r="C32" t="s">
        <v>38</v>
      </c>
      <c r="D32" t="s">
        <v>39</v>
      </c>
      <c r="E32" t="s">
        <v>40</v>
      </c>
      <c r="F32">
        <v>43677</v>
      </c>
      <c r="H32" t="s">
        <v>41</v>
      </c>
      <c r="I32">
        <v>102094658000</v>
      </c>
      <c r="J32" t="s">
        <v>106</v>
      </c>
      <c r="M32" t="s">
        <v>107</v>
      </c>
      <c r="O32">
        <v>43714</v>
      </c>
      <c r="P32" t="s">
        <v>108</v>
      </c>
      <c r="Q32" t="s">
        <v>45</v>
      </c>
      <c r="R32" t="s">
        <v>95</v>
      </c>
      <c r="S32" s="1">
        <v>45717</v>
      </c>
      <c r="U32" t="s">
        <v>47</v>
      </c>
      <c r="X32" t="s">
        <v>48</v>
      </c>
      <c r="Y32" s="2">
        <v>0</v>
      </c>
      <c r="Z32" s="2">
        <v>41.67</v>
      </c>
      <c r="AA32">
        <v>1</v>
      </c>
      <c r="AB32" s="3">
        <v>1</v>
      </c>
      <c r="AC32" s="2">
        <v>41.67</v>
      </c>
      <c r="AD32" s="3">
        <v>0</v>
      </c>
      <c r="AE32" s="2">
        <v>0</v>
      </c>
      <c r="AF32" s="2">
        <v>41.67</v>
      </c>
      <c r="AK32">
        <v>4981692</v>
      </c>
      <c r="AL32" t="s">
        <v>109</v>
      </c>
    </row>
    <row r="33" spans="1:38" x14ac:dyDescent="0.2">
      <c r="A33" s="1">
        <v>45693</v>
      </c>
      <c r="B33" s="1">
        <v>45693</v>
      </c>
      <c r="C33" t="s">
        <v>38</v>
      </c>
      <c r="D33" t="s">
        <v>39</v>
      </c>
      <c r="E33" t="s">
        <v>40</v>
      </c>
      <c r="F33">
        <v>43677</v>
      </c>
      <c r="H33" t="s">
        <v>41</v>
      </c>
      <c r="I33">
        <v>102125446700</v>
      </c>
      <c r="J33" t="s">
        <v>110</v>
      </c>
      <c r="M33" t="s">
        <v>87</v>
      </c>
      <c r="O33">
        <v>45622</v>
      </c>
      <c r="P33" t="s">
        <v>111</v>
      </c>
      <c r="Q33" t="s">
        <v>45</v>
      </c>
      <c r="R33" t="s">
        <v>95</v>
      </c>
      <c r="S33" s="1">
        <v>45689</v>
      </c>
      <c r="U33" t="s">
        <v>47</v>
      </c>
      <c r="X33" t="s">
        <v>48</v>
      </c>
      <c r="Y33" s="2">
        <v>0</v>
      </c>
      <c r="Z33" s="2">
        <v>45.83</v>
      </c>
      <c r="AA33">
        <v>1</v>
      </c>
      <c r="AB33" s="3">
        <v>1</v>
      </c>
      <c r="AC33" s="2">
        <v>45.83</v>
      </c>
      <c r="AD33" s="3">
        <v>0</v>
      </c>
      <c r="AE33" s="2">
        <v>0</v>
      </c>
      <c r="AF33" s="2">
        <v>45.83</v>
      </c>
      <c r="AK33">
        <v>4981693</v>
      </c>
      <c r="AL33" t="s">
        <v>90</v>
      </c>
    </row>
    <row r="34" spans="1:38" x14ac:dyDescent="0.2">
      <c r="A34" s="1">
        <v>45693</v>
      </c>
      <c r="B34" s="1">
        <v>45693</v>
      </c>
      <c r="C34" t="s">
        <v>38</v>
      </c>
      <c r="D34" t="s">
        <v>39</v>
      </c>
      <c r="E34" t="s">
        <v>40</v>
      </c>
      <c r="F34">
        <v>43677</v>
      </c>
      <c r="H34" t="s">
        <v>41</v>
      </c>
      <c r="I34">
        <v>102138156800</v>
      </c>
      <c r="J34" t="s">
        <v>112</v>
      </c>
      <c r="M34" t="s">
        <v>113</v>
      </c>
      <c r="O34">
        <v>43682</v>
      </c>
      <c r="P34" t="s">
        <v>77</v>
      </c>
      <c r="Q34" t="s">
        <v>45</v>
      </c>
      <c r="R34" t="s">
        <v>95</v>
      </c>
      <c r="S34" s="1">
        <v>45689</v>
      </c>
      <c r="U34" t="s">
        <v>47</v>
      </c>
      <c r="X34" t="s">
        <v>48</v>
      </c>
      <c r="Y34" s="2">
        <v>0</v>
      </c>
      <c r="Z34" s="2">
        <v>45.83</v>
      </c>
      <c r="AA34">
        <v>1</v>
      </c>
      <c r="AB34" s="3">
        <v>1</v>
      </c>
      <c r="AC34" s="2">
        <v>45.83</v>
      </c>
      <c r="AD34" s="3">
        <v>0</v>
      </c>
      <c r="AE34" s="2">
        <v>0</v>
      </c>
      <c r="AF34" s="2">
        <v>45.83</v>
      </c>
      <c r="AK34">
        <v>4981613</v>
      </c>
      <c r="AL34" t="s">
        <v>90</v>
      </c>
    </row>
    <row r="35" spans="1:38" x14ac:dyDescent="0.2">
      <c r="A35" s="1">
        <v>45693</v>
      </c>
      <c r="B35" s="1">
        <v>45693</v>
      </c>
      <c r="C35" t="s">
        <v>38</v>
      </c>
      <c r="D35" t="s">
        <v>39</v>
      </c>
      <c r="E35" t="s">
        <v>40</v>
      </c>
      <c r="F35">
        <v>43677</v>
      </c>
      <c r="H35" t="s">
        <v>41</v>
      </c>
      <c r="I35">
        <v>102138240500</v>
      </c>
      <c r="J35" t="s">
        <v>114</v>
      </c>
      <c r="M35" t="s">
        <v>87</v>
      </c>
      <c r="O35">
        <v>41686</v>
      </c>
      <c r="P35" t="s">
        <v>115</v>
      </c>
      <c r="Q35" t="s">
        <v>45</v>
      </c>
      <c r="R35" t="s">
        <v>95</v>
      </c>
      <c r="S35" s="1">
        <v>45689</v>
      </c>
      <c r="U35" t="s">
        <v>47</v>
      </c>
      <c r="X35" t="s">
        <v>48</v>
      </c>
      <c r="Y35" s="2">
        <v>0</v>
      </c>
      <c r="Z35" s="2">
        <v>45.83</v>
      </c>
      <c r="AA35">
        <v>1</v>
      </c>
      <c r="AB35" s="3">
        <v>1</v>
      </c>
      <c r="AC35" s="2">
        <v>45.83</v>
      </c>
      <c r="AD35" s="3">
        <v>0</v>
      </c>
      <c r="AE35" s="2">
        <v>0</v>
      </c>
      <c r="AF35" s="2">
        <v>45.83</v>
      </c>
      <c r="AK35">
        <v>4981615</v>
      </c>
      <c r="AL35" t="s">
        <v>90</v>
      </c>
    </row>
    <row r="36" spans="1:38" x14ac:dyDescent="0.2">
      <c r="A36" s="1">
        <v>45693</v>
      </c>
      <c r="B36" s="1">
        <v>45693</v>
      </c>
      <c r="C36" t="s">
        <v>38</v>
      </c>
      <c r="D36" t="s">
        <v>39</v>
      </c>
      <c r="E36" t="s">
        <v>40</v>
      </c>
      <c r="F36">
        <v>43677</v>
      </c>
      <c r="H36" t="s">
        <v>41</v>
      </c>
      <c r="I36">
        <v>102138439300</v>
      </c>
      <c r="J36" t="s">
        <v>116</v>
      </c>
      <c r="M36" t="s">
        <v>87</v>
      </c>
      <c r="O36">
        <v>43625</v>
      </c>
      <c r="P36" t="s">
        <v>117</v>
      </c>
      <c r="Q36" t="s">
        <v>45</v>
      </c>
      <c r="R36" t="s">
        <v>95</v>
      </c>
      <c r="S36" s="1">
        <v>45689</v>
      </c>
      <c r="U36" t="s">
        <v>47</v>
      </c>
      <c r="X36" t="s">
        <v>48</v>
      </c>
      <c r="Y36" s="2">
        <v>0</v>
      </c>
      <c r="Z36" s="2">
        <v>45.83</v>
      </c>
      <c r="AA36">
        <v>1</v>
      </c>
      <c r="AB36" s="3">
        <v>1</v>
      </c>
      <c r="AC36" s="2">
        <v>45.83</v>
      </c>
      <c r="AD36" s="3">
        <v>0</v>
      </c>
      <c r="AE36" s="2">
        <v>0</v>
      </c>
      <c r="AF36" s="2">
        <v>45.83</v>
      </c>
      <c r="AK36">
        <v>4981623</v>
      </c>
      <c r="AL36" t="s">
        <v>90</v>
      </c>
    </row>
    <row r="37" spans="1:38" x14ac:dyDescent="0.2">
      <c r="A37" s="1">
        <v>45693</v>
      </c>
      <c r="B37" s="1">
        <v>45693</v>
      </c>
      <c r="C37" t="s">
        <v>38</v>
      </c>
      <c r="D37" t="s">
        <v>39</v>
      </c>
      <c r="E37" t="s">
        <v>40</v>
      </c>
      <c r="F37">
        <v>43677</v>
      </c>
      <c r="H37" t="s">
        <v>41</v>
      </c>
      <c r="I37">
        <v>102138440000</v>
      </c>
      <c r="J37" t="s">
        <v>118</v>
      </c>
      <c r="M37" t="s">
        <v>87</v>
      </c>
      <c r="O37">
        <v>43682</v>
      </c>
      <c r="P37" t="s">
        <v>77</v>
      </c>
      <c r="Q37" t="s">
        <v>45</v>
      </c>
      <c r="R37" t="s">
        <v>95</v>
      </c>
      <c r="S37" s="1">
        <v>45689</v>
      </c>
      <c r="U37" t="s">
        <v>47</v>
      </c>
      <c r="X37" t="s">
        <v>48</v>
      </c>
      <c r="Y37" s="2">
        <v>0</v>
      </c>
      <c r="Z37" s="2">
        <v>45.83</v>
      </c>
      <c r="AA37">
        <v>1</v>
      </c>
      <c r="AB37" s="3">
        <v>1</v>
      </c>
      <c r="AC37" s="2">
        <v>45.83</v>
      </c>
      <c r="AD37" s="3">
        <v>0</v>
      </c>
      <c r="AE37" s="2">
        <v>0</v>
      </c>
      <c r="AF37" s="2">
        <v>45.83</v>
      </c>
      <c r="AK37">
        <v>4981624</v>
      </c>
      <c r="AL37" t="s">
        <v>90</v>
      </c>
    </row>
    <row r="38" spans="1:38" x14ac:dyDescent="0.2">
      <c r="A38" s="1">
        <v>45693</v>
      </c>
      <c r="B38" s="1">
        <v>45693</v>
      </c>
      <c r="C38" t="s">
        <v>38</v>
      </c>
      <c r="D38" t="s">
        <v>39</v>
      </c>
      <c r="E38" t="s">
        <v>40</v>
      </c>
      <c r="F38">
        <v>43677</v>
      </c>
      <c r="H38" t="s">
        <v>41</v>
      </c>
      <c r="I38">
        <v>102138526200</v>
      </c>
      <c r="J38" t="s">
        <v>119</v>
      </c>
      <c r="M38" t="s">
        <v>87</v>
      </c>
      <c r="O38">
        <v>45709</v>
      </c>
      <c r="P38" t="s">
        <v>120</v>
      </c>
      <c r="Q38" t="s">
        <v>45</v>
      </c>
      <c r="R38" t="s">
        <v>95</v>
      </c>
      <c r="S38" s="1">
        <v>45689</v>
      </c>
      <c r="U38" t="s">
        <v>47</v>
      </c>
      <c r="X38" t="s">
        <v>48</v>
      </c>
      <c r="Y38" s="2">
        <v>0</v>
      </c>
      <c r="Z38" s="2">
        <v>45.83</v>
      </c>
      <c r="AA38">
        <v>1</v>
      </c>
      <c r="AB38" s="3">
        <v>1</v>
      </c>
      <c r="AC38" s="2">
        <v>45.83</v>
      </c>
      <c r="AD38" s="3">
        <v>0</v>
      </c>
      <c r="AE38" s="2">
        <v>0</v>
      </c>
      <c r="AF38" s="2">
        <v>45.83</v>
      </c>
      <c r="AK38">
        <v>4981630</v>
      </c>
      <c r="AL38" t="s">
        <v>90</v>
      </c>
    </row>
    <row r="39" spans="1:38" x14ac:dyDescent="0.2">
      <c r="A39" s="1">
        <v>45693</v>
      </c>
      <c r="B39" s="1">
        <v>45693</v>
      </c>
      <c r="C39" t="s">
        <v>38</v>
      </c>
      <c r="D39" t="s">
        <v>39</v>
      </c>
      <c r="E39" t="s">
        <v>40</v>
      </c>
      <c r="F39">
        <v>43677</v>
      </c>
      <c r="H39" t="s">
        <v>41</v>
      </c>
      <c r="I39">
        <v>102138558200</v>
      </c>
      <c r="J39" t="s">
        <v>121</v>
      </c>
      <c r="M39" t="s">
        <v>122</v>
      </c>
      <c r="O39">
        <v>43682</v>
      </c>
      <c r="P39" t="s">
        <v>77</v>
      </c>
      <c r="Q39" t="s">
        <v>45</v>
      </c>
      <c r="R39" t="s">
        <v>95</v>
      </c>
      <c r="S39" s="1">
        <v>45689</v>
      </c>
      <c r="U39" t="s">
        <v>47</v>
      </c>
      <c r="X39" t="s">
        <v>48</v>
      </c>
      <c r="Y39" s="2">
        <v>0</v>
      </c>
      <c r="Z39" s="2">
        <v>45.83</v>
      </c>
      <c r="AA39">
        <v>1</v>
      </c>
      <c r="AB39" s="3">
        <v>1</v>
      </c>
      <c r="AC39" s="2">
        <v>45.83</v>
      </c>
      <c r="AD39" s="3">
        <v>0</v>
      </c>
      <c r="AE39" s="2">
        <v>0</v>
      </c>
      <c r="AF39" s="2">
        <v>45.83</v>
      </c>
      <c r="AK39">
        <v>4981632</v>
      </c>
      <c r="AL39" t="s">
        <v>90</v>
      </c>
    </row>
    <row r="40" spans="1:38" x14ac:dyDescent="0.2">
      <c r="A40" s="1">
        <v>45693</v>
      </c>
      <c r="B40" s="1">
        <v>45693</v>
      </c>
      <c r="C40" t="s">
        <v>38</v>
      </c>
      <c r="D40" t="s">
        <v>39</v>
      </c>
      <c r="E40" t="s">
        <v>40</v>
      </c>
      <c r="F40">
        <v>43677</v>
      </c>
      <c r="H40" t="s">
        <v>41</v>
      </c>
      <c r="I40">
        <v>102138649000</v>
      </c>
      <c r="J40" t="s">
        <v>123</v>
      </c>
      <c r="M40" t="s">
        <v>87</v>
      </c>
      <c r="O40">
        <v>43618</v>
      </c>
      <c r="P40" t="s">
        <v>61</v>
      </c>
      <c r="Q40" t="s">
        <v>45</v>
      </c>
      <c r="R40" t="s">
        <v>95</v>
      </c>
      <c r="S40" s="1">
        <v>45689</v>
      </c>
      <c r="U40" t="s">
        <v>47</v>
      </c>
      <c r="X40" t="s">
        <v>48</v>
      </c>
      <c r="Y40" s="2">
        <v>0</v>
      </c>
      <c r="Z40" s="2">
        <v>45.83</v>
      </c>
      <c r="AA40">
        <v>1</v>
      </c>
      <c r="AB40" s="3">
        <v>1</v>
      </c>
      <c r="AC40" s="2">
        <v>45.83</v>
      </c>
      <c r="AD40" s="3">
        <v>0</v>
      </c>
      <c r="AE40" s="2">
        <v>0</v>
      </c>
      <c r="AF40" s="2">
        <v>45.83</v>
      </c>
      <c r="AK40">
        <v>4981642</v>
      </c>
      <c r="AL40" t="s">
        <v>90</v>
      </c>
    </row>
    <row r="41" spans="1:38" x14ac:dyDescent="0.2">
      <c r="A41" s="1">
        <v>45693</v>
      </c>
      <c r="B41" s="1">
        <v>45693</v>
      </c>
      <c r="C41" t="s">
        <v>38</v>
      </c>
      <c r="D41" t="s">
        <v>39</v>
      </c>
      <c r="E41" t="s">
        <v>40</v>
      </c>
      <c r="F41">
        <v>43677</v>
      </c>
      <c r="H41" t="s">
        <v>41</v>
      </c>
      <c r="I41">
        <v>102139051700</v>
      </c>
      <c r="J41" t="s">
        <v>124</v>
      </c>
      <c r="M41" t="s">
        <v>93</v>
      </c>
      <c r="O41">
        <v>43686</v>
      </c>
      <c r="P41" t="s">
        <v>125</v>
      </c>
      <c r="Q41" t="s">
        <v>45</v>
      </c>
      <c r="R41" t="s">
        <v>95</v>
      </c>
      <c r="S41" s="1">
        <v>45689</v>
      </c>
      <c r="U41" t="s">
        <v>47</v>
      </c>
      <c r="X41" t="s">
        <v>48</v>
      </c>
      <c r="Y41" s="2">
        <v>0</v>
      </c>
      <c r="Z41" s="2">
        <v>45.83</v>
      </c>
      <c r="AA41">
        <v>1</v>
      </c>
      <c r="AB41" s="3">
        <v>1</v>
      </c>
      <c r="AC41" s="2">
        <v>45.83</v>
      </c>
      <c r="AD41" s="3">
        <v>0</v>
      </c>
      <c r="AE41" s="2">
        <v>0</v>
      </c>
      <c r="AF41" s="2">
        <v>45.83</v>
      </c>
      <c r="AK41">
        <v>4981657</v>
      </c>
      <c r="AL41" t="s">
        <v>90</v>
      </c>
    </row>
    <row r="42" spans="1:38" x14ac:dyDescent="0.2">
      <c r="A42" s="1">
        <v>45693</v>
      </c>
      <c r="B42" s="1">
        <v>45693</v>
      </c>
      <c r="C42" t="s">
        <v>38</v>
      </c>
      <c r="D42" t="s">
        <v>39</v>
      </c>
      <c r="E42" t="s">
        <v>40</v>
      </c>
      <c r="F42">
        <v>43677</v>
      </c>
      <c r="H42" t="s">
        <v>41</v>
      </c>
      <c r="I42">
        <v>102139232400</v>
      </c>
      <c r="J42" t="s">
        <v>126</v>
      </c>
      <c r="M42" t="s">
        <v>93</v>
      </c>
      <c r="O42">
        <v>43743</v>
      </c>
      <c r="P42" t="s">
        <v>127</v>
      </c>
      <c r="Q42" t="s">
        <v>45</v>
      </c>
      <c r="R42" t="s">
        <v>95</v>
      </c>
      <c r="S42" s="1">
        <v>45689</v>
      </c>
      <c r="U42" t="s">
        <v>47</v>
      </c>
      <c r="X42" t="s">
        <v>48</v>
      </c>
      <c r="Y42" s="2">
        <v>0</v>
      </c>
      <c r="Z42" s="2">
        <v>45.83</v>
      </c>
      <c r="AA42">
        <v>1</v>
      </c>
      <c r="AB42" s="3">
        <v>1</v>
      </c>
      <c r="AC42" s="2">
        <v>45.83</v>
      </c>
      <c r="AD42" s="3">
        <v>0</v>
      </c>
      <c r="AE42" s="2">
        <v>0</v>
      </c>
      <c r="AF42" s="2">
        <v>45.83</v>
      </c>
      <c r="AK42">
        <v>4981669</v>
      </c>
      <c r="AL42" t="s">
        <v>90</v>
      </c>
    </row>
    <row r="43" spans="1:38" x14ac:dyDescent="0.2">
      <c r="A43" s="1">
        <v>45693</v>
      </c>
      <c r="B43" s="1">
        <v>45693</v>
      </c>
      <c r="C43" t="s">
        <v>38</v>
      </c>
      <c r="D43" t="s">
        <v>39</v>
      </c>
      <c r="E43" t="s">
        <v>40</v>
      </c>
      <c r="F43">
        <v>43677</v>
      </c>
      <c r="H43" t="s">
        <v>41</v>
      </c>
      <c r="I43">
        <v>132275463</v>
      </c>
      <c r="J43" t="s">
        <v>128</v>
      </c>
      <c r="M43" t="s">
        <v>129</v>
      </c>
      <c r="O43">
        <v>43633</v>
      </c>
      <c r="P43" t="s">
        <v>130</v>
      </c>
      <c r="Q43" t="s">
        <v>45</v>
      </c>
      <c r="R43" t="s">
        <v>131</v>
      </c>
      <c r="S43" s="1">
        <v>45689</v>
      </c>
      <c r="U43" t="s">
        <v>47</v>
      </c>
      <c r="X43" t="s">
        <v>48</v>
      </c>
      <c r="Y43" s="2">
        <v>0</v>
      </c>
      <c r="Z43" s="2">
        <v>286.92</v>
      </c>
      <c r="AA43">
        <v>1</v>
      </c>
      <c r="AB43" s="3">
        <v>1</v>
      </c>
      <c r="AC43" s="2">
        <v>286.92</v>
      </c>
      <c r="AD43" s="3">
        <v>0</v>
      </c>
      <c r="AE43" s="2">
        <v>0</v>
      </c>
      <c r="AF43" s="2">
        <v>286.92</v>
      </c>
      <c r="AK43">
        <v>4982072</v>
      </c>
      <c r="AL43" t="s">
        <v>90</v>
      </c>
    </row>
    <row r="44" spans="1:38" x14ac:dyDescent="0.2">
      <c r="A44" s="1">
        <v>45693</v>
      </c>
      <c r="B44" s="1">
        <v>45693</v>
      </c>
      <c r="C44" t="s">
        <v>38</v>
      </c>
      <c r="D44" t="s">
        <v>39</v>
      </c>
      <c r="E44" t="s">
        <v>40</v>
      </c>
      <c r="F44">
        <v>43677</v>
      </c>
      <c r="H44" t="s">
        <v>41</v>
      </c>
      <c r="I44" t="s">
        <v>184</v>
      </c>
      <c r="J44" t="s">
        <v>128</v>
      </c>
      <c r="M44" t="s">
        <v>129</v>
      </c>
      <c r="O44">
        <v>43633</v>
      </c>
      <c r="P44" t="s">
        <v>130</v>
      </c>
      <c r="Q44" t="s">
        <v>45</v>
      </c>
      <c r="R44" t="s">
        <v>132</v>
      </c>
      <c r="S44" s="1">
        <v>45689</v>
      </c>
      <c r="U44" t="s">
        <v>47</v>
      </c>
      <c r="X44" t="s">
        <v>48</v>
      </c>
      <c r="Y44" s="2">
        <v>0</v>
      </c>
      <c r="Z44" s="2">
        <v>66</v>
      </c>
      <c r="AA44">
        <v>1</v>
      </c>
      <c r="AB44" s="3">
        <v>1</v>
      </c>
      <c r="AC44" s="2">
        <v>66</v>
      </c>
      <c r="AD44" s="3">
        <v>0</v>
      </c>
      <c r="AE44" s="2">
        <v>0</v>
      </c>
      <c r="AF44" s="2">
        <v>66</v>
      </c>
      <c r="AK44">
        <v>4982073</v>
      </c>
      <c r="AL44" t="s">
        <v>90</v>
      </c>
    </row>
    <row r="45" spans="1:38" x14ac:dyDescent="0.2">
      <c r="A45" s="1">
        <v>45693</v>
      </c>
      <c r="B45" s="1">
        <v>45693</v>
      </c>
      <c r="C45" t="s">
        <v>38</v>
      </c>
      <c r="D45" t="s">
        <v>39</v>
      </c>
      <c r="E45" t="s">
        <v>40</v>
      </c>
      <c r="F45">
        <v>43677</v>
      </c>
      <c r="H45" t="s">
        <v>41</v>
      </c>
      <c r="I45">
        <v>966338840</v>
      </c>
      <c r="J45" t="s">
        <v>133</v>
      </c>
      <c r="M45" t="s">
        <v>87</v>
      </c>
      <c r="O45">
        <v>43589</v>
      </c>
      <c r="P45" t="s">
        <v>134</v>
      </c>
      <c r="Q45" t="s">
        <v>45</v>
      </c>
      <c r="R45" t="s">
        <v>131</v>
      </c>
      <c r="S45" s="1">
        <v>45689</v>
      </c>
      <c r="U45" t="s">
        <v>47</v>
      </c>
      <c r="X45" t="s">
        <v>48</v>
      </c>
      <c r="Y45" s="2">
        <v>0</v>
      </c>
      <c r="Z45" s="2">
        <v>286.92</v>
      </c>
      <c r="AA45">
        <v>1</v>
      </c>
      <c r="AB45" s="3">
        <v>1</v>
      </c>
      <c r="AC45" s="2">
        <v>286.92</v>
      </c>
      <c r="AD45" s="3">
        <v>0</v>
      </c>
      <c r="AE45" s="2">
        <v>0</v>
      </c>
      <c r="AF45" s="2">
        <v>286.92</v>
      </c>
      <c r="AK45">
        <v>4982074</v>
      </c>
      <c r="AL45" t="s">
        <v>90</v>
      </c>
    </row>
    <row r="46" spans="1:38" x14ac:dyDescent="0.2">
      <c r="A46" s="1">
        <v>45693</v>
      </c>
      <c r="B46" s="1">
        <v>45693</v>
      </c>
      <c r="C46" t="s">
        <v>38</v>
      </c>
      <c r="D46" t="s">
        <v>39</v>
      </c>
      <c r="E46" t="s">
        <v>40</v>
      </c>
      <c r="F46">
        <v>43677</v>
      </c>
      <c r="H46" t="s">
        <v>41</v>
      </c>
      <c r="I46" t="s">
        <v>185</v>
      </c>
      <c r="J46" t="s">
        <v>133</v>
      </c>
      <c r="M46" t="s">
        <v>87</v>
      </c>
      <c r="O46">
        <v>43589</v>
      </c>
      <c r="P46" t="s">
        <v>134</v>
      </c>
      <c r="Q46" t="s">
        <v>45</v>
      </c>
      <c r="R46" t="s">
        <v>132</v>
      </c>
      <c r="S46" s="1">
        <v>45689</v>
      </c>
      <c r="U46" t="s">
        <v>47</v>
      </c>
      <c r="X46" t="s">
        <v>48</v>
      </c>
      <c r="Y46" s="2">
        <v>0</v>
      </c>
      <c r="Z46" s="2">
        <v>66</v>
      </c>
      <c r="AA46">
        <v>1</v>
      </c>
      <c r="AB46" s="3">
        <v>1</v>
      </c>
      <c r="AC46" s="2">
        <v>66</v>
      </c>
      <c r="AD46" s="3">
        <v>0</v>
      </c>
      <c r="AE46" s="2">
        <v>0</v>
      </c>
      <c r="AF46" s="2">
        <v>66</v>
      </c>
      <c r="AK46">
        <v>4982075</v>
      </c>
      <c r="AL46" t="s">
        <v>90</v>
      </c>
    </row>
    <row r="47" spans="1:38" x14ac:dyDescent="0.2">
      <c r="A47" s="1">
        <v>45693</v>
      </c>
      <c r="B47" s="1">
        <v>45693</v>
      </c>
      <c r="C47" t="s">
        <v>38</v>
      </c>
      <c r="D47" t="s">
        <v>39</v>
      </c>
      <c r="E47" t="s">
        <v>40</v>
      </c>
      <c r="F47">
        <v>43677</v>
      </c>
      <c r="H47" t="s">
        <v>41</v>
      </c>
      <c r="I47">
        <v>986589386</v>
      </c>
      <c r="J47" t="s">
        <v>135</v>
      </c>
      <c r="M47" t="s">
        <v>101</v>
      </c>
      <c r="O47">
        <v>43623</v>
      </c>
      <c r="P47" t="s">
        <v>136</v>
      </c>
      <c r="Q47" t="s">
        <v>45</v>
      </c>
      <c r="R47" t="s">
        <v>131</v>
      </c>
      <c r="S47" s="1">
        <v>45689</v>
      </c>
      <c r="U47" t="s">
        <v>47</v>
      </c>
      <c r="X47" t="s">
        <v>48</v>
      </c>
      <c r="Y47" s="2">
        <v>0</v>
      </c>
      <c r="Z47" s="2">
        <v>286.92</v>
      </c>
      <c r="AA47">
        <v>1</v>
      </c>
      <c r="AB47" s="3">
        <v>1</v>
      </c>
      <c r="AC47" s="2">
        <v>286.92</v>
      </c>
      <c r="AD47" s="3">
        <v>0</v>
      </c>
      <c r="AE47" s="2">
        <v>0</v>
      </c>
      <c r="AF47" s="2">
        <v>286.92</v>
      </c>
      <c r="AK47">
        <v>4982076</v>
      </c>
      <c r="AL47" t="s">
        <v>90</v>
      </c>
    </row>
    <row r="48" spans="1:38" x14ac:dyDescent="0.2">
      <c r="A48" s="1">
        <v>45693</v>
      </c>
      <c r="B48" s="1">
        <v>45693</v>
      </c>
      <c r="C48" t="s">
        <v>38</v>
      </c>
      <c r="D48" t="s">
        <v>39</v>
      </c>
      <c r="E48" t="s">
        <v>40</v>
      </c>
      <c r="F48">
        <v>43677</v>
      </c>
      <c r="H48" t="s">
        <v>41</v>
      </c>
      <c r="I48" t="s">
        <v>186</v>
      </c>
      <c r="J48" t="s">
        <v>135</v>
      </c>
      <c r="M48" t="s">
        <v>101</v>
      </c>
      <c r="O48">
        <v>43623</v>
      </c>
      <c r="P48" t="s">
        <v>136</v>
      </c>
      <c r="Q48" t="s">
        <v>45</v>
      </c>
      <c r="R48" t="s">
        <v>132</v>
      </c>
      <c r="S48" s="1">
        <v>45689</v>
      </c>
      <c r="U48" t="s">
        <v>47</v>
      </c>
      <c r="X48" t="s">
        <v>48</v>
      </c>
      <c r="Y48" s="2">
        <v>0</v>
      </c>
      <c r="Z48" s="2">
        <v>66</v>
      </c>
      <c r="AA48">
        <v>1</v>
      </c>
      <c r="AB48" s="3">
        <v>1</v>
      </c>
      <c r="AC48" s="2">
        <v>66</v>
      </c>
      <c r="AD48" s="3">
        <v>0</v>
      </c>
      <c r="AE48" s="2">
        <v>0</v>
      </c>
      <c r="AF48" s="2">
        <v>66</v>
      </c>
      <c r="AK48">
        <v>4982077</v>
      </c>
      <c r="AL48" t="s">
        <v>90</v>
      </c>
    </row>
    <row r="49" spans="1:37" x14ac:dyDescent="0.2">
      <c r="A49" s="1">
        <v>45693</v>
      </c>
      <c r="B49" s="1">
        <v>45693</v>
      </c>
      <c r="C49" t="s">
        <v>38</v>
      </c>
      <c r="D49" t="s">
        <v>39</v>
      </c>
      <c r="E49" t="s">
        <v>40</v>
      </c>
      <c r="F49">
        <v>43677</v>
      </c>
      <c r="H49" t="s">
        <v>41</v>
      </c>
      <c r="I49">
        <v>992189824</v>
      </c>
      <c r="J49" t="s">
        <v>137</v>
      </c>
      <c r="M49" t="s">
        <v>93</v>
      </c>
      <c r="O49">
        <v>43611</v>
      </c>
      <c r="P49" t="s">
        <v>97</v>
      </c>
      <c r="Q49" t="s">
        <v>45</v>
      </c>
      <c r="R49" t="s">
        <v>138</v>
      </c>
      <c r="S49" s="1">
        <v>45658</v>
      </c>
      <c r="U49" t="s">
        <v>47</v>
      </c>
      <c r="X49" t="s">
        <v>48</v>
      </c>
      <c r="Y49" s="2">
        <v>0</v>
      </c>
      <c r="Z49" s="2">
        <v>175</v>
      </c>
      <c r="AA49">
        <v>1</v>
      </c>
      <c r="AB49" s="3">
        <v>1</v>
      </c>
      <c r="AC49" s="2">
        <v>175</v>
      </c>
      <c r="AD49" s="3">
        <v>0</v>
      </c>
      <c r="AE49" s="2">
        <v>0</v>
      </c>
      <c r="AF49" s="2">
        <v>175</v>
      </c>
      <c r="AK49">
        <v>4982070</v>
      </c>
    </row>
    <row r="50" spans="1:37" x14ac:dyDescent="0.2">
      <c r="A50" s="1">
        <v>45693</v>
      </c>
      <c r="B50" s="1">
        <v>45693</v>
      </c>
      <c r="C50" t="s">
        <v>38</v>
      </c>
      <c r="D50" t="s">
        <v>39</v>
      </c>
      <c r="E50" t="s">
        <v>40</v>
      </c>
      <c r="F50">
        <v>43677</v>
      </c>
      <c r="H50" t="s">
        <v>41</v>
      </c>
      <c r="I50">
        <v>993709861</v>
      </c>
      <c r="J50" t="s">
        <v>139</v>
      </c>
      <c r="M50" t="s">
        <v>93</v>
      </c>
      <c r="O50">
        <v>43611</v>
      </c>
      <c r="P50" t="s">
        <v>97</v>
      </c>
      <c r="Q50" t="s">
        <v>45</v>
      </c>
      <c r="R50" t="s">
        <v>138</v>
      </c>
      <c r="S50" s="1">
        <v>45658</v>
      </c>
      <c r="U50" t="s">
        <v>47</v>
      </c>
      <c r="X50" t="s">
        <v>48</v>
      </c>
      <c r="Y50" s="2">
        <v>0</v>
      </c>
      <c r="Z50" s="2">
        <v>175</v>
      </c>
      <c r="AA50">
        <v>1</v>
      </c>
      <c r="AB50" s="3">
        <v>1</v>
      </c>
      <c r="AC50" s="2">
        <v>175</v>
      </c>
      <c r="AD50" s="3">
        <v>0</v>
      </c>
      <c r="AE50" s="2">
        <v>0</v>
      </c>
      <c r="AF50" s="2">
        <v>175</v>
      </c>
      <c r="AK50">
        <v>4982071</v>
      </c>
    </row>
    <row r="51" spans="1:37" x14ac:dyDescent="0.2">
      <c r="A51" s="1">
        <v>45693</v>
      </c>
      <c r="B51" s="1">
        <v>45693</v>
      </c>
      <c r="C51" t="s">
        <v>38</v>
      </c>
      <c r="D51" t="s">
        <v>39</v>
      </c>
      <c r="E51" t="s">
        <v>40</v>
      </c>
      <c r="F51">
        <v>43677</v>
      </c>
      <c r="H51" t="s">
        <v>41</v>
      </c>
      <c r="I51" t="s">
        <v>187</v>
      </c>
      <c r="J51" t="s">
        <v>140</v>
      </c>
      <c r="M51" t="s">
        <v>93</v>
      </c>
      <c r="O51">
        <v>43689</v>
      </c>
      <c r="P51" t="s">
        <v>141</v>
      </c>
      <c r="Q51" t="s">
        <v>45</v>
      </c>
      <c r="R51" t="s">
        <v>142</v>
      </c>
      <c r="S51" s="1">
        <v>45689</v>
      </c>
      <c r="U51" t="s">
        <v>47</v>
      </c>
      <c r="X51" t="s">
        <v>48</v>
      </c>
      <c r="Y51" s="2">
        <v>0</v>
      </c>
      <c r="Z51" s="2">
        <v>37.5</v>
      </c>
      <c r="AA51">
        <v>9</v>
      </c>
      <c r="AB51" s="3">
        <v>1</v>
      </c>
      <c r="AC51" s="2">
        <v>337.5</v>
      </c>
      <c r="AD51" s="3">
        <v>0</v>
      </c>
      <c r="AE51" s="2">
        <v>0</v>
      </c>
      <c r="AF51" s="2">
        <v>337.5</v>
      </c>
      <c r="AK51">
        <v>4981967</v>
      </c>
    </row>
    <row r="52" spans="1:37" x14ac:dyDescent="0.2">
      <c r="A52" s="1">
        <v>45693</v>
      </c>
      <c r="B52" s="1">
        <v>45693</v>
      </c>
      <c r="C52" t="s">
        <v>38</v>
      </c>
      <c r="D52" t="s">
        <v>39</v>
      </c>
      <c r="E52" t="s">
        <v>40</v>
      </c>
      <c r="F52">
        <v>43677</v>
      </c>
      <c r="H52" t="s">
        <v>41</v>
      </c>
      <c r="I52" t="s">
        <v>188</v>
      </c>
      <c r="J52" t="s">
        <v>143</v>
      </c>
      <c r="M52" t="s">
        <v>93</v>
      </c>
      <c r="O52">
        <v>43689</v>
      </c>
      <c r="P52" t="s">
        <v>141</v>
      </c>
      <c r="Q52" t="s">
        <v>45</v>
      </c>
      <c r="R52" t="s">
        <v>144</v>
      </c>
      <c r="S52" s="1">
        <v>45689</v>
      </c>
      <c r="U52" t="s">
        <v>47</v>
      </c>
      <c r="X52" t="s">
        <v>48</v>
      </c>
      <c r="Y52" s="2">
        <v>0</v>
      </c>
      <c r="Z52" s="2">
        <v>36.479999999999997</v>
      </c>
      <c r="AA52">
        <v>9</v>
      </c>
      <c r="AB52" s="3">
        <v>1</v>
      </c>
      <c r="AC52" s="2">
        <v>328.32</v>
      </c>
      <c r="AD52" s="3">
        <v>0</v>
      </c>
      <c r="AE52" s="2">
        <v>0</v>
      </c>
      <c r="AF52" s="2">
        <v>328.32</v>
      </c>
      <c r="AK52">
        <v>4981966</v>
      </c>
    </row>
    <row r="53" spans="1:37" x14ac:dyDescent="0.2">
      <c r="A53" s="1">
        <v>45693</v>
      </c>
      <c r="B53" s="1">
        <v>45693</v>
      </c>
      <c r="C53" t="s">
        <v>145</v>
      </c>
      <c r="D53" t="s">
        <v>39</v>
      </c>
      <c r="E53" t="s">
        <v>40</v>
      </c>
      <c r="F53">
        <v>43677</v>
      </c>
      <c r="H53" t="s">
        <v>41</v>
      </c>
      <c r="I53" t="s">
        <v>189</v>
      </c>
      <c r="J53" t="s">
        <v>146</v>
      </c>
      <c r="M53" t="s">
        <v>43</v>
      </c>
      <c r="O53">
        <v>43682</v>
      </c>
      <c r="P53" t="s">
        <v>77</v>
      </c>
      <c r="Q53" t="s">
        <v>147</v>
      </c>
      <c r="R53" t="s">
        <v>46</v>
      </c>
      <c r="S53" s="1">
        <v>45658</v>
      </c>
      <c r="U53" t="s">
        <v>47</v>
      </c>
      <c r="X53" t="s">
        <v>48</v>
      </c>
      <c r="AC53">
        <v>-161</v>
      </c>
      <c r="AF53" s="2">
        <v>175</v>
      </c>
      <c r="AG53" s="2">
        <v>0</v>
      </c>
      <c r="AJ53" s="2">
        <v>161</v>
      </c>
      <c r="AK53" t="str">
        <f>CONCATENATE(-AJ53)</f>
        <v>-161</v>
      </c>
    </row>
    <row r="54" spans="1:37" x14ac:dyDescent="0.2">
      <c r="A54" s="1">
        <v>45693</v>
      </c>
      <c r="B54" s="1">
        <v>45693</v>
      </c>
      <c r="C54" t="s">
        <v>145</v>
      </c>
      <c r="D54" t="s">
        <v>39</v>
      </c>
      <c r="E54" t="s">
        <v>40</v>
      </c>
      <c r="F54">
        <v>43677</v>
      </c>
      <c r="H54" t="s">
        <v>41</v>
      </c>
      <c r="I54" t="s">
        <v>190</v>
      </c>
      <c r="J54" t="s">
        <v>148</v>
      </c>
      <c r="M54" t="s">
        <v>43</v>
      </c>
      <c r="O54">
        <v>45605</v>
      </c>
      <c r="P54" t="s">
        <v>51</v>
      </c>
      <c r="Q54" t="s">
        <v>147</v>
      </c>
      <c r="R54" t="s">
        <v>52</v>
      </c>
      <c r="S54" s="1">
        <v>45658</v>
      </c>
      <c r="U54" t="s">
        <v>47</v>
      </c>
      <c r="X54" t="s">
        <v>48</v>
      </c>
      <c r="AC54">
        <v>-99.36</v>
      </c>
      <c r="AF54" s="2">
        <v>108</v>
      </c>
      <c r="AG54" s="2">
        <v>0</v>
      </c>
      <c r="AJ54" s="2">
        <v>99.36</v>
      </c>
      <c r="AK54" t="str">
        <f t="shared" ref="AK54:AK65" si="0">CONCATENATE(-AJ54)</f>
        <v>-99.36</v>
      </c>
    </row>
    <row r="55" spans="1:37" x14ac:dyDescent="0.2">
      <c r="A55" s="1">
        <v>45693</v>
      </c>
      <c r="B55" s="1">
        <v>45693</v>
      </c>
      <c r="C55" t="s">
        <v>145</v>
      </c>
      <c r="D55" t="s">
        <v>39</v>
      </c>
      <c r="E55" t="s">
        <v>40</v>
      </c>
      <c r="F55">
        <v>43677</v>
      </c>
      <c r="H55" t="s">
        <v>41</v>
      </c>
      <c r="I55" t="s">
        <v>191</v>
      </c>
      <c r="J55" t="s">
        <v>149</v>
      </c>
      <c r="M55" t="s">
        <v>43</v>
      </c>
      <c r="O55">
        <v>45613</v>
      </c>
      <c r="P55" t="s">
        <v>150</v>
      </c>
      <c r="Q55" t="s">
        <v>147</v>
      </c>
      <c r="R55" t="s">
        <v>46</v>
      </c>
      <c r="S55" s="1">
        <v>45658</v>
      </c>
      <c r="U55" t="s">
        <v>47</v>
      </c>
      <c r="X55" t="s">
        <v>48</v>
      </c>
      <c r="AC55">
        <v>-161</v>
      </c>
      <c r="AF55" s="2">
        <v>175</v>
      </c>
      <c r="AG55" s="2">
        <v>0</v>
      </c>
      <c r="AJ55" s="2">
        <v>161</v>
      </c>
      <c r="AK55" t="str">
        <f t="shared" si="0"/>
        <v>-161</v>
      </c>
    </row>
    <row r="56" spans="1:37" x14ac:dyDescent="0.2">
      <c r="A56" s="1">
        <v>45693</v>
      </c>
      <c r="B56" s="1">
        <v>45693</v>
      </c>
      <c r="C56" t="s">
        <v>145</v>
      </c>
      <c r="D56" t="s">
        <v>39</v>
      </c>
      <c r="E56" t="s">
        <v>40</v>
      </c>
      <c r="F56">
        <v>43677</v>
      </c>
      <c r="H56" t="s">
        <v>41</v>
      </c>
      <c r="I56" t="s">
        <v>192</v>
      </c>
      <c r="J56" t="s">
        <v>151</v>
      </c>
      <c r="M56" t="s">
        <v>43</v>
      </c>
      <c r="O56">
        <v>45611</v>
      </c>
      <c r="P56" t="s">
        <v>80</v>
      </c>
      <c r="Q56" t="s">
        <v>147</v>
      </c>
      <c r="R56" t="s">
        <v>46</v>
      </c>
      <c r="S56" s="1">
        <v>45658</v>
      </c>
      <c r="U56" t="s">
        <v>47</v>
      </c>
      <c r="X56" t="s">
        <v>48</v>
      </c>
      <c r="AC56">
        <v>-161</v>
      </c>
      <c r="AF56" s="2">
        <v>175</v>
      </c>
      <c r="AG56" s="2">
        <v>0</v>
      </c>
      <c r="AJ56" s="2">
        <v>161</v>
      </c>
      <c r="AK56" t="str">
        <f t="shared" si="0"/>
        <v>-161</v>
      </c>
    </row>
    <row r="57" spans="1:37" x14ac:dyDescent="0.2">
      <c r="A57" s="1">
        <v>45693</v>
      </c>
      <c r="B57" s="1">
        <v>45693</v>
      </c>
      <c r="C57" t="s">
        <v>145</v>
      </c>
      <c r="D57" t="s">
        <v>39</v>
      </c>
      <c r="E57" t="s">
        <v>40</v>
      </c>
      <c r="F57">
        <v>43677</v>
      </c>
      <c r="H57" t="s">
        <v>41</v>
      </c>
      <c r="I57" t="s">
        <v>193</v>
      </c>
      <c r="J57" t="s">
        <v>152</v>
      </c>
      <c r="M57" t="s">
        <v>43</v>
      </c>
      <c r="O57">
        <v>43690</v>
      </c>
      <c r="P57" t="s">
        <v>153</v>
      </c>
      <c r="Q57" t="s">
        <v>147</v>
      </c>
      <c r="R57" t="s">
        <v>46</v>
      </c>
      <c r="S57" s="1">
        <v>45658</v>
      </c>
      <c r="U57" t="s">
        <v>47</v>
      </c>
      <c r="X57" t="s">
        <v>48</v>
      </c>
      <c r="AC57">
        <v>-161</v>
      </c>
      <c r="AF57" s="2">
        <v>175</v>
      </c>
      <c r="AG57" s="2">
        <v>0</v>
      </c>
      <c r="AJ57" s="2">
        <v>161</v>
      </c>
      <c r="AK57" t="str">
        <f t="shared" si="0"/>
        <v>-161</v>
      </c>
    </row>
    <row r="58" spans="1:37" x14ac:dyDescent="0.2">
      <c r="A58" s="1">
        <v>45693</v>
      </c>
      <c r="B58" s="1">
        <v>45693</v>
      </c>
      <c r="C58" t="s">
        <v>145</v>
      </c>
      <c r="D58" t="s">
        <v>39</v>
      </c>
      <c r="E58" t="s">
        <v>40</v>
      </c>
      <c r="F58">
        <v>43677</v>
      </c>
      <c r="H58" t="s">
        <v>41</v>
      </c>
      <c r="I58" t="s">
        <v>194</v>
      </c>
      <c r="J58" t="s">
        <v>154</v>
      </c>
      <c r="M58" t="s">
        <v>43</v>
      </c>
      <c r="O58">
        <v>45601</v>
      </c>
      <c r="P58" t="s">
        <v>155</v>
      </c>
      <c r="Q58" t="s">
        <v>147</v>
      </c>
      <c r="R58" t="s">
        <v>46</v>
      </c>
      <c r="S58" s="1">
        <v>45658</v>
      </c>
      <c r="U58" t="s">
        <v>47</v>
      </c>
      <c r="X58" t="s">
        <v>48</v>
      </c>
      <c r="AC58">
        <v>-175</v>
      </c>
      <c r="AF58" s="2">
        <v>175</v>
      </c>
      <c r="AG58" s="2">
        <v>0</v>
      </c>
      <c r="AJ58" s="2">
        <v>175</v>
      </c>
      <c r="AK58" t="str">
        <f t="shared" si="0"/>
        <v>-175</v>
      </c>
    </row>
    <row r="59" spans="1:37" x14ac:dyDescent="0.2">
      <c r="A59" s="1">
        <v>45693</v>
      </c>
      <c r="B59" s="1">
        <v>45693</v>
      </c>
      <c r="C59" t="s">
        <v>145</v>
      </c>
      <c r="D59" t="s">
        <v>39</v>
      </c>
      <c r="E59" t="s">
        <v>40</v>
      </c>
      <c r="F59">
        <v>43677</v>
      </c>
      <c r="H59" t="s">
        <v>41</v>
      </c>
      <c r="I59" t="s">
        <v>195</v>
      </c>
      <c r="J59" t="s">
        <v>67</v>
      </c>
      <c r="M59" t="s">
        <v>68</v>
      </c>
      <c r="O59">
        <v>43678</v>
      </c>
      <c r="P59" t="s">
        <v>69</v>
      </c>
      <c r="Q59" t="s">
        <v>147</v>
      </c>
      <c r="R59" t="s">
        <v>46</v>
      </c>
      <c r="S59" s="1">
        <v>45658</v>
      </c>
      <c r="U59" t="s">
        <v>47</v>
      </c>
      <c r="X59" t="s">
        <v>48</v>
      </c>
      <c r="AC59">
        <v>-161</v>
      </c>
      <c r="AF59" s="2">
        <v>175</v>
      </c>
      <c r="AG59" s="2">
        <v>0</v>
      </c>
      <c r="AJ59" s="2">
        <v>161</v>
      </c>
      <c r="AK59" t="str">
        <f t="shared" si="0"/>
        <v>-161</v>
      </c>
    </row>
    <row r="60" spans="1:37" x14ac:dyDescent="0.2">
      <c r="A60" s="1">
        <v>45693</v>
      </c>
      <c r="B60" s="1">
        <v>45693</v>
      </c>
      <c r="C60" t="s">
        <v>145</v>
      </c>
      <c r="D60" t="s">
        <v>39</v>
      </c>
      <c r="E60" t="s">
        <v>40</v>
      </c>
      <c r="F60">
        <v>43677</v>
      </c>
      <c r="H60" t="s">
        <v>41</v>
      </c>
      <c r="I60" t="s">
        <v>196</v>
      </c>
      <c r="J60" t="s">
        <v>67</v>
      </c>
      <c r="M60" t="s">
        <v>68</v>
      </c>
      <c r="O60">
        <v>43678</v>
      </c>
      <c r="P60" t="s">
        <v>69</v>
      </c>
      <c r="Q60" t="s">
        <v>147</v>
      </c>
      <c r="R60" t="s">
        <v>156</v>
      </c>
      <c r="S60" s="1">
        <v>45658</v>
      </c>
      <c r="U60" t="s">
        <v>47</v>
      </c>
      <c r="X60" t="s">
        <v>48</v>
      </c>
      <c r="AC60">
        <v>-286.93</v>
      </c>
      <c r="AF60" s="2">
        <v>313</v>
      </c>
      <c r="AG60" s="2">
        <v>0</v>
      </c>
      <c r="AJ60" s="2">
        <v>286.93</v>
      </c>
      <c r="AK60" t="str">
        <f t="shared" si="0"/>
        <v>-286.93</v>
      </c>
    </row>
    <row r="61" spans="1:37" x14ac:dyDescent="0.2">
      <c r="A61" s="1">
        <v>45693</v>
      </c>
      <c r="B61" s="1">
        <v>45693</v>
      </c>
      <c r="C61" t="s">
        <v>145</v>
      </c>
      <c r="D61" t="s">
        <v>39</v>
      </c>
      <c r="E61" t="s">
        <v>40</v>
      </c>
      <c r="F61">
        <v>43677</v>
      </c>
      <c r="H61" t="s">
        <v>41</v>
      </c>
      <c r="I61" t="s">
        <v>197</v>
      </c>
      <c r="J61" t="s">
        <v>157</v>
      </c>
      <c r="M61" t="s">
        <v>87</v>
      </c>
      <c r="O61">
        <v>45605</v>
      </c>
      <c r="P61" t="s">
        <v>51</v>
      </c>
      <c r="Q61" t="s">
        <v>147</v>
      </c>
      <c r="R61" t="s">
        <v>105</v>
      </c>
      <c r="S61" s="1">
        <v>45658</v>
      </c>
      <c r="U61" t="s">
        <v>47</v>
      </c>
      <c r="X61" t="s">
        <v>48</v>
      </c>
      <c r="AC61">
        <v>-50</v>
      </c>
      <c r="AF61" s="2">
        <v>50</v>
      </c>
      <c r="AG61" s="2">
        <v>0</v>
      </c>
      <c r="AJ61" s="2">
        <v>50</v>
      </c>
      <c r="AK61" t="str">
        <f t="shared" si="0"/>
        <v>-50</v>
      </c>
    </row>
    <row r="62" spans="1:37" x14ac:dyDescent="0.2">
      <c r="A62" s="1">
        <v>45693</v>
      </c>
      <c r="B62" s="1">
        <v>45693</v>
      </c>
      <c r="C62" t="s">
        <v>145</v>
      </c>
      <c r="D62" t="s">
        <v>39</v>
      </c>
      <c r="E62" t="s">
        <v>40</v>
      </c>
      <c r="F62">
        <v>43677</v>
      </c>
      <c r="H62" t="s">
        <v>41</v>
      </c>
      <c r="I62" t="s">
        <v>198</v>
      </c>
      <c r="J62" t="s">
        <v>158</v>
      </c>
      <c r="M62" t="s">
        <v>107</v>
      </c>
      <c r="O62">
        <v>43644</v>
      </c>
      <c r="P62" t="s">
        <v>159</v>
      </c>
      <c r="Q62" t="s">
        <v>147</v>
      </c>
      <c r="R62" t="s">
        <v>105</v>
      </c>
      <c r="S62" s="1">
        <v>45658</v>
      </c>
      <c r="U62" t="s">
        <v>47</v>
      </c>
      <c r="X62" t="s">
        <v>48</v>
      </c>
      <c r="AC62">
        <v>-45.83</v>
      </c>
      <c r="AF62" s="2">
        <v>50</v>
      </c>
      <c r="AG62" s="2">
        <v>0</v>
      </c>
      <c r="AJ62" s="2">
        <v>45.83</v>
      </c>
      <c r="AK62" t="str">
        <f t="shared" si="0"/>
        <v>-45.83</v>
      </c>
    </row>
    <row r="63" spans="1:37" x14ac:dyDescent="0.2">
      <c r="A63" s="1">
        <v>45693</v>
      </c>
      <c r="B63" s="1">
        <v>45693</v>
      </c>
      <c r="C63" t="s">
        <v>145</v>
      </c>
      <c r="D63" t="s">
        <v>39</v>
      </c>
      <c r="E63" t="s">
        <v>40</v>
      </c>
      <c r="F63">
        <v>43677</v>
      </c>
      <c r="H63" t="s">
        <v>41</v>
      </c>
      <c r="I63" t="s">
        <v>199</v>
      </c>
      <c r="J63" t="s">
        <v>106</v>
      </c>
      <c r="M63" t="s">
        <v>107</v>
      </c>
      <c r="O63">
        <v>43714</v>
      </c>
      <c r="P63" t="s">
        <v>108</v>
      </c>
      <c r="Q63" t="s">
        <v>147</v>
      </c>
      <c r="R63" t="s">
        <v>105</v>
      </c>
      <c r="S63" s="1">
        <v>45658</v>
      </c>
      <c r="U63" t="s">
        <v>47</v>
      </c>
      <c r="X63" t="s">
        <v>48</v>
      </c>
      <c r="AC63">
        <v>-50</v>
      </c>
      <c r="AF63" s="2">
        <v>50</v>
      </c>
      <c r="AG63" s="2">
        <v>0</v>
      </c>
      <c r="AJ63" s="2">
        <v>50</v>
      </c>
      <c r="AK63" t="str">
        <f t="shared" si="0"/>
        <v>-50</v>
      </c>
    </row>
    <row r="64" spans="1:37" x14ac:dyDescent="0.2">
      <c r="A64" s="1">
        <v>45693</v>
      </c>
      <c r="B64" s="1">
        <v>45693</v>
      </c>
      <c r="C64" t="s">
        <v>145</v>
      </c>
      <c r="D64" t="s">
        <v>39</v>
      </c>
      <c r="E64" t="s">
        <v>40</v>
      </c>
      <c r="F64">
        <v>43677</v>
      </c>
      <c r="H64" t="s">
        <v>41</v>
      </c>
      <c r="I64" t="s">
        <v>200</v>
      </c>
      <c r="J64" t="s">
        <v>110</v>
      </c>
      <c r="M64" t="s">
        <v>87</v>
      </c>
      <c r="O64">
        <v>45622</v>
      </c>
      <c r="P64" t="s">
        <v>111</v>
      </c>
      <c r="Q64" t="s">
        <v>147</v>
      </c>
      <c r="R64" t="s">
        <v>105</v>
      </c>
      <c r="S64" s="1">
        <v>45658</v>
      </c>
      <c r="U64" t="s">
        <v>47</v>
      </c>
      <c r="X64" t="s">
        <v>48</v>
      </c>
      <c r="AC64">
        <v>-50</v>
      </c>
      <c r="AF64" s="2">
        <v>50</v>
      </c>
      <c r="AG64" s="2">
        <v>0</v>
      </c>
      <c r="AJ64" s="2">
        <v>50</v>
      </c>
      <c r="AK64" t="str">
        <f t="shared" si="0"/>
        <v>-50</v>
      </c>
    </row>
    <row r="65" spans="1:37" x14ac:dyDescent="0.2">
      <c r="A65" s="1">
        <v>45693</v>
      </c>
      <c r="B65" s="1">
        <v>45693</v>
      </c>
      <c r="C65" t="s">
        <v>145</v>
      </c>
      <c r="D65" t="s">
        <v>39</v>
      </c>
      <c r="E65" t="s">
        <v>40</v>
      </c>
      <c r="F65">
        <v>43677</v>
      </c>
      <c r="H65" t="s">
        <v>41</v>
      </c>
      <c r="I65" t="s">
        <v>201</v>
      </c>
      <c r="J65" t="s">
        <v>160</v>
      </c>
      <c r="M65" t="s">
        <v>113</v>
      </c>
      <c r="O65">
        <v>45605</v>
      </c>
      <c r="P65" t="s">
        <v>51</v>
      </c>
      <c r="Q65" t="s">
        <v>147</v>
      </c>
      <c r="R65" t="s">
        <v>105</v>
      </c>
      <c r="S65" s="1">
        <v>45658</v>
      </c>
      <c r="U65" t="s">
        <v>47</v>
      </c>
      <c r="X65" t="s">
        <v>48</v>
      </c>
      <c r="AC65">
        <v>-50</v>
      </c>
      <c r="AF65" s="2">
        <v>50</v>
      </c>
      <c r="AG65" s="2">
        <v>0</v>
      </c>
      <c r="AJ65" s="2">
        <v>50</v>
      </c>
      <c r="AK65" t="str">
        <f t="shared" si="0"/>
        <v>-50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8DBD4-80DF-403C-9852-B720D6274C2B}">
  <dimension ref="A1:Q62"/>
  <sheetViews>
    <sheetView topLeftCell="J37" workbookViewId="0">
      <selection activeCell="Q2" sqref="Q2:Q61"/>
    </sheetView>
  </sheetViews>
  <sheetFormatPr baseColWidth="10" defaultColWidth="8.83203125" defaultRowHeight="15" x14ac:dyDescent="0.2"/>
  <cols>
    <col min="1" max="1" width="18.6640625" style="6" bestFit="1" customWidth="1"/>
    <col min="2" max="2" width="18.6640625" style="6" customWidth="1"/>
    <col min="3" max="3" width="27" style="7" bestFit="1" customWidth="1"/>
    <col min="4" max="4" width="5.33203125" style="7" bestFit="1" customWidth="1"/>
    <col min="5" max="5" width="15" style="7" bestFit="1" customWidth="1"/>
    <col min="6" max="6" width="26.5" style="7" bestFit="1" customWidth="1"/>
    <col min="7" max="7" width="48.83203125" style="7" bestFit="1" customWidth="1"/>
    <col min="8" max="8" width="10.1640625" style="7" bestFit="1" customWidth="1"/>
    <col min="9" max="9" width="14" style="7" bestFit="1" customWidth="1"/>
    <col min="10" max="10" width="16.1640625" style="7" bestFit="1" customWidth="1"/>
    <col min="11" max="11" width="16.6640625" style="7" bestFit="1" customWidth="1"/>
    <col min="12" max="12" width="16.5" style="7" bestFit="1" customWidth="1"/>
    <col min="13" max="13" width="18" style="8" bestFit="1" customWidth="1"/>
    <col min="14" max="14" width="39.33203125" style="7" bestFit="1" customWidth="1"/>
    <col min="15" max="16384" width="8.83203125" style="7"/>
  </cols>
  <sheetData>
    <row r="1" spans="1:15" x14ac:dyDescent="0.2">
      <c r="A1" s="6" t="s">
        <v>8</v>
      </c>
      <c r="C1" s="7" t="s">
        <v>9</v>
      </c>
      <c r="D1" s="7" t="s">
        <v>12</v>
      </c>
      <c r="E1" s="7" t="s">
        <v>14</v>
      </c>
      <c r="F1" s="7" t="s">
        <v>15</v>
      </c>
      <c r="G1" s="7" t="s">
        <v>17</v>
      </c>
      <c r="H1" s="7" t="s">
        <v>18</v>
      </c>
      <c r="I1" s="7" t="s">
        <v>20</v>
      </c>
      <c r="J1" s="7" t="s">
        <v>25</v>
      </c>
      <c r="K1" s="7" t="s">
        <v>26</v>
      </c>
      <c r="L1" s="7" t="s">
        <v>27</v>
      </c>
      <c r="M1" s="8" t="s">
        <v>28</v>
      </c>
      <c r="N1" s="7" t="s">
        <v>37</v>
      </c>
    </row>
    <row r="2" spans="1:15" x14ac:dyDescent="0.2">
      <c r="A2" s="6">
        <v>102065679400</v>
      </c>
      <c r="B2" s="6" t="str">
        <f>CONCATENATE(A2,9)</f>
        <v>1020656794009</v>
      </c>
      <c r="C2" s="7" t="s">
        <v>103</v>
      </c>
      <c r="D2" s="7" t="s">
        <v>104</v>
      </c>
      <c r="E2" s="7">
        <v>20411454</v>
      </c>
      <c r="F2" s="7" t="s">
        <v>209</v>
      </c>
      <c r="G2" s="7" t="s">
        <v>105</v>
      </c>
      <c r="H2" s="9">
        <v>45658</v>
      </c>
      <c r="I2" s="7" t="s">
        <v>47</v>
      </c>
      <c r="J2" s="10">
        <v>50</v>
      </c>
      <c r="K2" s="7">
        <v>1</v>
      </c>
      <c r="L2" s="11">
        <v>1</v>
      </c>
      <c r="M2" s="8">
        <v>50</v>
      </c>
      <c r="O2" s="7" t="s">
        <v>204</v>
      </c>
    </row>
    <row r="3" spans="1:15" x14ac:dyDescent="0.2">
      <c r="A3" s="6" t="s">
        <v>197</v>
      </c>
      <c r="B3" s="6" t="str">
        <f t="shared" ref="B3:B58" si="0">CONCATENATE(A3,9)</f>
        <v>101873728700CB9</v>
      </c>
      <c r="C3" s="7" t="s">
        <v>157</v>
      </c>
      <c r="D3" s="7" t="s">
        <v>87</v>
      </c>
      <c r="E3" s="7">
        <v>20411454</v>
      </c>
      <c r="F3" s="7" t="s">
        <v>209</v>
      </c>
      <c r="G3" s="7" t="s">
        <v>105</v>
      </c>
      <c r="H3" s="9">
        <v>45658</v>
      </c>
      <c r="I3" s="7" t="s">
        <v>47</v>
      </c>
      <c r="J3" s="10">
        <v>0</v>
      </c>
      <c r="K3" s="7">
        <v>1</v>
      </c>
      <c r="M3" s="8">
        <v>-50</v>
      </c>
      <c r="O3" s="7" t="s">
        <v>204</v>
      </c>
    </row>
    <row r="4" spans="1:15" x14ac:dyDescent="0.2">
      <c r="A4" s="6" t="s">
        <v>198</v>
      </c>
      <c r="B4" s="6" t="str">
        <f t="shared" si="0"/>
        <v>102081378500PC9</v>
      </c>
      <c r="C4" s="7" t="s">
        <v>158</v>
      </c>
      <c r="D4" s="7" t="s">
        <v>107</v>
      </c>
      <c r="E4" s="7">
        <v>20411454</v>
      </c>
      <c r="F4" s="7" t="s">
        <v>209</v>
      </c>
      <c r="G4" s="7" t="s">
        <v>105</v>
      </c>
      <c r="H4" s="9">
        <v>45658</v>
      </c>
      <c r="I4" s="7" t="s">
        <v>47</v>
      </c>
      <c r="J4" s="10">
        <v>0</v>
      </c>
      <c r="K4" s="7">
        <v>1</v>
      </c>
      <c r="M4" s="8">
        <v>-45.83</v>
      </c>
      <c r="O4" s="7" t="s">
        <v>204</v>
      </c>
    </row>
    <row r="5" spans="1:15" x14ac:dyDescent="0.2">
      <c r="A5" s="6" t="s">
        <v>199</v>
      </c>
      <c r="B5" s="6" t="str">
        <f t="shared" si="0"/>
        <v>102094658000CB9</v>
      </c>
      <c r="C5" s="7" t="s">
        <v>106</v>
      </c>
      <c r="D5" s="7" t="s">
        <v>107</v>
      </c>
      <c r="E5" s="7">
        <v>20411454</v>
      </c>
      <c r="F5" s="7" t="s">
        <v>209</v>
      </c>
      <c r="G5" s="7" t="s">
        <v>105</v>
      </c>
      <c r="H5" s="9">
        <v>45658</v>
      </c>
      <c r="I5" s="7" t="s">
        <v>47</v>
      </c>
      <c r="J5" s="10">
        <v>0</v>
      </c>
      <c r="K5" s="7">
        <v>1</v>
      </c>
      <c r="M5" s="8">
        <v>-50</v>
      </c>
      <c r="O5" s="7" t="s">
        <v>204</v>
      </c>
    </row>
    <row r="6" spans="1:15" x14ac:dyDescent="0.2">
      <c r="A6" s="6" t="s">
        <v>200</v>
      </c>
      <c r="B6" s="6" t="str">
        <f t="shared" si="0"/>
        <v>102125446700CB9</v>
      </c>
      <c r="C6" s="7" t="s">
        <v>110</v>
      </c>
      <c r="D6" s="7" t="s">
        <v>87</v>
      </c>
      <c r="E6" s="7">
        <v>20411454</v>
      </c>
      <c r="F6" s="7" t="s">
        <v>209</v>
      </c>
      <c r="G6" s="7" t="s">
        <v>105</v>
      </c>
      <c r="H6" s="9">
        <v>45658</v>
      </c>
      <c r="I6" s="7" t="s">
        <v>47</v>
      </c>
      <c r="J6" s="10">
        <v>0</v>
      </c>
      <c r="K6" s="7">
        <v>1</v>
      </c>
      <c r="M6" s="8">
        <v>-50</v>
      </c>
      <c r="O6" s="7" t="s">
        <v>204</v>
      </c>
    </row>
    <row r="7" spans="1:15" x14ac:dyDescent="0.2">
      <c r="A7" s="6" t="s">
        <v>201</v>
      </c>
      <c r="B7" s="6" t="str">
        <f t="shared" si="0"/>
        <v>102131295600CB9</v>
      </c>
      <c r="C7" s="7" t="s">
        <v>160</v>
      </c>
      <c r="D7" s="7" t="s">
        <v>113</v>
      </c>
      <c r="E7" s="7">
        <v>20411454</v>
      </c>
      <c r="F7" s="7" t="s">
        <v>209</v>
      </c>
      <c r="G7" s="7" t="s">
        <v>105</v>
      </c>
      <c r="H7" s="9">
        <v>45658</v>
      </c>
      <c r="I7" s="7" t="s">
        <v>47</v>
      </c>
      <c r="J7" s="10">
        <v>0</v>
      </c>
      <c r="K7" s="7">
        <v>1</v>
      </c>
      <c r="M7" s="8">
        <v>-50</v>
      </c>
      <c r="O7" s="7" t="s">
        <v>204</v>
      </c>
    </row>
    <row r="8" spans="1:15" x14ac:dyDescent="0.2">
      <c r="A8" s="6">
        <v>101048227700</v>
      </c>
      <c r="B8" s="6" t="str">
        <f t="shared" si="0"/>
        <v>1010482277009</v>
      </c>
      <c r="C8" s="7" t="s">
        <v>92</v>
      </c>
      <c r="D8" s="7" t="s">
        <v>93</v>
      </c>
      <c r="E8" s="7">
        <v>20411454</v>
      </c>
      <c r="F8" s="7" t="s">
        <v>209</v>
      </c>
      <c r="G8" s="7" t="s">
        <v>95</v>
      </c>
      <c r="H8" s="9">
        <v>45689</v>
      </c>
      <c r="I8" s="7" t="s">
        <v>47</v>
      </c>
      <c r="J8" s="10">
        <v>45.83</v>
      </c>
      <c r="K8" s="7">
        <v>1</v>
      </c>
      <c r="L8" s="11">
        <v>1</v>
      </c>
      <c r="M8" s="8">
        <v>45.83</v>
      </c>
      <c r="N8" s="7" t="s">
        <v>90</v>
      </c>
      <c r="O8" s="7" t="s">
        <v>204</v>
      </c>
    </row>
    <row r="9" spans="1:15" x14ac:dyDescent="0.2">
      <c r="A9" s="6">
        <v>101185439800</v>
      </c>
      <c r="B9" s="6" t="str">
        <f t="shared" si="0"/>
        <v>1011854398009</v>
      </c>
      <c r="C9" s="7" t="s">
        <v>96</v>
      </c>
      <c r="D9" s="7" t="s">
        <v>93</v>
      </c>
      <c r="E9" s="7">
        <v>20411454</v>
      </c>
      <c r="F9" s="7" t="s">
        <v>209</v>
      </c>
      <c r="G9" s="7" t="s">
        <v>95</v>
      </c>
      <c r="H9" s="9">
        <v>45689</v>
      </c>
      <c r="I9" s="7" t="s">
        <v>47</v>
      </c>
      <c r="J9" s="10">
        <v>45.83</v>
      </c>
      <c r="K9" s="7">
        <v>1</v>
      </c>
      <c r="L9" s="11">
        <v>1</v>
      </c>
      <c r="M9" s="8">
        <v>45.83</v>
      </c>
      <c r="N9" s="7" t="s">
        <v>90</v>
      </c>
      <c r="O9" s="7" t="s">
        <v>204</v>
      </c>
    </row>
    <row r="10" spans="1:15" x14ac:dyDescent="0.2">
      <c r="A10" s="6">
        <v>101485227000</v>
      </c>
      <c r="B10" s="6" t="str">
        <f t="shared" si="0"/>
        <v>1014852270009</v>
      </c>
      <c r="C10" s="7" t="s">
        <v>98</v>
      </c>
      <c r="D10" s="7" t="s">
        <v>43</v>
      </c>
      <c r="E10" s="7">
        <v>20411454</v>
      </c>
      <c r="F10" s="7" t="s">
        <v>209</v>
      </c>
      <c r="G10" s="7" t="s">
        <v>95</v>
      </c>
      <c r="H10" s="9">
        <v>45689</v>
      </c>
      <c r="I10" s="7" t="s">
        <v>47</v>
      </c>
      <c r="J10" s="10">
        <v>45.83</v>
      </c>
      <c r="K10" s="7">
        <v>1</v>
      </c>
      <c r="L10" s="11">
        <v>1</v>
      </c>
      <c r="M10" s="8">
        <v>45.83</v>
      </c>
      <c r="N10" s="7" t="s">
        <v>90</v>
      </c>
      <c r="O10" s="7" t="s">
        <v>204</v>
      </c>
    </row>
    <row r="11" spans="1:15" x14ac:dyDescent="0.2">
      <c r="A11" s="6">
        <v>101842556500</v>
      </c>
      <c r="B11" s="6" t="str">
        <f t="shared" si="0"/>
        <v>1018425565009</v>
      </c>
      <c r="C11" s="7" t="s">
        <v>99</v>
      </c>
      <c r="D11" s="7" t="s">
        <v>87</v>
      </c>
      <c r="E11" s="7">
        <v>20411454</v>
      </c>
      <c r="F11" s="7" t="s">
        <v>209</v>
      </c>
      <c r="G11" s="7" t="s">
        <v>95</v>
      </c>
      <c r="H11" s="9">
        <v>45689</v>
      </c>
      <c r="I11" s="7" t="s">
        <v>47</v>
      </c>
      <c r="J11" s="10">
        <v>45.83</v>
      </c>
      <c r="K11" s="7">
        <v>1</v>
      </c>
      <c r="L11" s="11">
        <v>1</v>
      </c>
      <c r="M11" s="8">
        <v>45.83</v>
      </c>
      <c r="N11" s="7" t="s">
        <v>90</v>
      </c>
      <c r="O11" s="7" t="s">
        <v>204</v>
      </c>
    </row>
    <row r="12" spans="1:15" x14ac:dyDescent="0.2">
      <c r="A12" s="6">
        <v>102043418000</v>
      </c>
      <c r="B12" s="6" t="str">
        <f t="shared" si="0"/>
        <v>1020434180009</v>
      </c>
      <c r="C12" s="7" t="s">
        <v>100</v>
      </c>
      <c r="D12" s="7" t="s">
        <v>101</v>
      </c>
      <c r="E12" s="7">
        <v>20411454</v>
      </c>
      <c r="F12" s="7" t="s">
        <v>209</v>
      </c>
      <c r="G12" s="7" t="s">
        <v>95</v>
      </c>
      <c r="H12" s="9">
        <v>45689</v>
      </c>
      <c r="I12" s="7" t="s">
        <v>47</v>
      </c>
      <c r="J12" s="10">
        <v>45.83</v>
      </c>
      <c r="K12" s="7">
        <v>1</v>
      </c>
      <c r="L12" s="11">
        <v>1</v>
      </c>
      <c r="M12" s="8">
        <v>45.83</v>
      </c>
      <c r="N12" s="7" t="s">
        <v>90</v>
      </c>
      <c r="O12" s="7" t="s">
        <v>204</v>
      </c>
    </row>
    <row r="13" spans="1:15" x14ac:dyDescent="0.2">
      <c r="A13" s="6">
        <v>102094658000</v>
      </c>
      <c r="B13" s="6" t="str">
        <f t="shared" si="0"/>
        <v>1020946580009</v>
      </c>
      <c r="C13" s="7" t="s">
        <v>106</v>
      </c>
      <c r="D13" s="7" t="s">
        <v>107</v>
      </c>
      <c r="E13" s="7">
        <v>20411454</v>
      </c>
      <c r="F13" s="7" t="s">
        <v>209</v>
      </c>
      <c r="G13" s="7" t="s">
        <v>95</v>
      </c>
      <c r="H13" s="9">
        <v>45717</v>
      </c>
      <c r="I13" s="7" t="s">
        <v>47</v>
      </c>
      <c r="J13" s="10">
        <v>41.67</v>
      </c>
      <c r="K13" s="7">
        <v>1</v>
      </c>
      <c r="L13" s="11">
        <v>1</v>
      </c>
      <c r="M13" s="8">
        <v>41.67</v>
      </c>
      <c r="N13" s="7" t="s">
        <v>109</v>
      </c>
      <c r="O13" s="7" t="s">
        <v>204</v>
      </c>
    </row>
    <row r="14" spans="1:15" x14ac:dyDescent="0.2">
      <c r="A14" s="6">
        <v>102125446700</v>
      </c>
      <c r="B14" s="6" t="str">
        <f t="shared" si="0"/>
        <v>1021254467009</v>
      </c>
      <c r="C14" s="7" t="s">
        <v>110</v>
      </c>
      <c r="D14" s="7" t="s">
        <v>87</v>
      </c>
      <c r="E14" s="7">
        <v>20411454</v>
      </c>
      <c r="F14" s="7" t="s">
        <v>209</v>
      </c>
      <c r="G14" s="7" t="s">
        <v>95</v>
      </c>
      <c r="H14" s="9">
        <v>45689</v>
      </c>
      <c r="I14" s="7" t="s">
        <v>47</v>
      </c>
      <c r="J14" s="10">
        <v>45.83</v>
      </c>
      <c r="K14" s="7">
        <v>1</v>
      </c>
      <c r="L14" s="11">
        <v>1</v>
      </c>
      <c r="M14" s="8">
        <v>45.83</v>
      </c>
      <c r="N14" s="7" t="s">
        <v>90</v>
      </c>
      <c r="O14" s="7" t="s">
        <v>204</v>
      </c>
    </row>
    <row r="15" spans="1:15" x14ac:dyDescent="0.2">
      <c r="A15" s="6">
        <v>102138156800</v>
      </c>
      <c r="B15" s="6" t="str">
        <f t="shared" si="0"/>
        <v>1021381568009</v>
      </c>
      <c r="C15" s="7" t="s">
        <v>112</v>
      </c>
      <c r="D15" s="7" t="s">
        <v>113</v>
      </c>
      <c r="E15" s="7">
        <v>20411454</v>
      </c>
      <c r="F15" s="7" t="s">
        <v>209</v>
      </c>
      <c r="G15" s="7" t="s">
        <v>95</v>
      </c>
      <c r="H15" s="9">
        <v>45689</v>
      </c>
      <c r="I15" s="7" t="s">
        <v>47</v>
      </c>
      <c r="J15" s="10">
        <v>45.83</v>
      </c>
      <c r="K15" s="7">
        <v>1</v>
      </c>
      <c r="L15" s="11">
        <v>1</v>
      </c>
      <c r="M15" s="8">
        <v>45.83</v>
      </c>
      <c r="N15" s="7" t="s">
        <v>90</v>
      </c>
      <c r="O15" s="7" t="s">
        <v>204</v>
      </c>
    </row>
    <row r="16" spans="1:15" x14ac:dyDescent="0.2">
      <c r="A16" s="6">
        <v>102138240500</v>
      </c>
      <c r="B16" s="6" t="str">
        <f t="shared" si="0"/>
        <v>1021382405009</v>
      </c>
      <c r="C16" s="7" t="s">
        <v>114</v>
      </c>
      <c r="D16" s="7" t="s">
        <v>87</v>
      </c>
      <c r="E16" s="7">
        <v>20411454</v>
      </c>
      <c r="F16" s="7" t="s">
        <v>209</v>
      </c>
      <c r="G16" s="7" t="s">
        <v>95</v>
      </c>
      <c r="H16" s="9">
        <v>45689</v>
      </c>
      <c r="I16" s="7" t="s">
        <v>47</v>
      </c>
      <c r="J16" s="10">
        <v>45.83</v>
      </c>
      <c r="K16" s="7">
        <v>1</v>
      </c>
      <c r="L16" s="11">
        <v>1</v>
      </c>
      <c r="M16" s="8">
        <v>45.83</v>
      </c>
      <c r="N16" s="7" t="s">
        <v>90</v>
      </c>
      <c r="O16" s="7" t="s">
        <v>204</v>
      </c>
    </row>
    <row r="17" spans="1:15" x14ac:dyDescent="0.2">
      <c r="A17" s="6">
        <v>102138439300</v>
      </c>
      <c r="B17" s="6" t="str">
        <f t="shared" si="0"/>
        <v>1021384393009</v>
      </c>
      <c r="C17" s="7" t="s">
        <v>116</v>
      </c>
      <c r="D17" s="7" t="s">
        <v>87</v>
      </c>
      <c r="E17" s="7">
        <v>20411454</v>
      </c>
      <c r="F17" s="7" t="s">
        <v>209</v>
      </c>
      <c r="G17" s="7" t="s">
        <v>95</v>
      </c>
      <c r="H17" s="9">
        <v>45689</v>
      </c>
      <c r="I17" s="7" t="s">
        <v>47</v>
      </c>
      <c r="J17" s="10">
        <v>45.83</v>
      </c>
      <c r="K17" s="7">
        <v>1</v>
      </c>
      <c r="L17" s="11">
        <v>1</v>
      </c>
      <c r="M17" s="8">
        <v>45.83</v>
      </c>
      <c r="N17" s="7" t="s">
        <v>90</v>
      </c>
      <c r="O17" s="7" t="s">
        <v>204</v>
      </c>
    </row>
    <row r="18" spans="1:15" x14ac:dyDescent="0.2">
      <c r="A18" s="6">
        <v>102138440000</v>
      </c>
      <c r="B18" s="6" t="str">
        <f t="shared" si="0"/>
        <v>1021384400009</v>
      </c>
      <c r="C18" s="7" t="s">
        <v>118</v>
      </c>
      <c r="D18" s="7" t="s">
        <v>87</v>
      </c>
      <c r="E18" s="7">
        <v>20411454</v>
      </c>
      <c r="F18" s="7" t="s">
        <v>209</v>
      </c>
      <c r="G18" s="7" t="s">
        <v>95</v>
      </c>
      <c r="H18" s="9">
        <v>45689</v>
      </c>
      <c r="I18" s="7" t="s">
        <v>47</v>
      </c>
      <c r="J18" s="10">
        <v>45.83</v>
      </c>
      <c r="K18" s="7">
        <v>1</v>
      </c>
      <c r="L18" s="11">
        <v>1</v>
      </c>
      <c r="M18" s="8">
        <v>45.83</v>
      </c>
      <c r="N18" s="7" t="s">
        <v>90</v>
      </c>
      <c r="O18" s="7" t="s">
        <v>204</v>
      </c>
    </row>
    <row r="19" spans="1:15" x14ac:dyDescent="0.2">
      <c r="A19" s="6">
        <v>102138526200</v>
      </c>
      <c r="B19" s="6" t="str">
        <f t="shared" si="0"/>
        <v>1021385262009</v>
      </c>
      <c r="C19" s="7" t="s">
        <v>119</v>
      </c>
      <c r="D19" s="7" t="s">
        <v>87</v>
      </c>
      <c r="E19" s="7">
        <v>20411454</v>
      </c>
      <c r="F19" s="7" t="s">
        <v>209</v>
      </c>
      <c r="G19" s="7" t="s">
        <v>95</v>
      </c>
      <c r="H19" s="9">
        <v>45689</v>
      </c>
      <c r="I19" s="7" t="s">
        <v>47</v>
      </c>
      <c r="J19" s="10">
        <v>45.83</v>
      </c>
      <c r="K19" s="7">
        <v>1</v>
      </c>
      <c r="L19" s="11">
        <v>1</v>
      </c>
      <c r="M19" s="8">
        <v>45.83</v>
      </c>
      <c r="N19" s="7" t="s">
        <v>90</v>
      </c>
      <c r="O19" s="7" t="s">
        <v>204</v>
      </c>
    </row>
    <row r="20" spans="1:15" x14ac:dyDescent="0.2">
      <c r="A20" s="6">
        <v>102138558200</v>
      </c>
      <c r="B20" s="6" t="str">
        <f t="shared" si="0"/>
        <v>1021385582009</v>
      </c>
      <c r="C20" s="7" t="s">
        <v>121</v>
      </c>
      <c r="D20" s="7" t="s">
        <v>122</v>
      </c>
      <c r="E20" s="7">
        <v>20411454</v>
      </c>
      <c r="F20" s="7" t="s">
        <v>209</v>
      </c>
      <c r="G20" s="7" t="s">
        <v>95</v>
      </c>
      <c r="H20" s="9">
        <v>45689</v>
      </c>
      <c r="I20" s="7" t="s">
        <v>47</v>
      </c>
      <c r="J20" s="10">
        <v>45.83</v>
      </c>
      <c r="K20" s="7">
        <v>1</v>
      </c>
      <c r="L20" s="11">
        <v>1</v>
      </c>
      <c r="M20" s="8">
        <v>45.83</v>
      </c>
      <c r="N20" s="7" t="s">
        <v>90</v>
      </c>
      <c r="O20" s="7" t="s">
        <v>204</v>
      </c>
    </row>
    <row r="21" spans="1:15" x14ac:dyDescent="0.2">
      <c r="A21" s="6">
        <v>102138649000</v>
      </c>
      <c r="B21" s="6" t="str">
        <f t="shared" si="0"/>
        <v>1021386490009</v>
      </c>
      <c r="C21" s="7" t="s">
        <v>123</v>
      </c>
      <c r="D21" s="7" t="s">
        <v>87</v>
      </c>
      <c r="E21" s="7">
        <v>20411454</v>
      </c>
      <c r="F21" s="7" t="s">
        <v>209</v>
      </c>
      <c r="G21" s="7" t="s">
        <v>95</v>
      </c>
      <c r="H21" s="9">
        <v>45689</v>
      </c>
      <c r="I21" s="7" t="s">
        <v>47</v>
      </c>
      <c r="J21" s="10">
        <v>45.83</v>
      </c>
      <c r="K21" s="7">
        <v>1</v>
      </c>
      <c r="L21" s="11">
        <v>1</v>
      </c>
      <c r="M21" s="8">
        <v>45.83</v>
      </c>
      <c r="N21" s="7" t="s">
        <v>90</v>
      </c>
      <c r="O21" s="7" t="s">
        <v>204</v>
      </c>
    </row>
    <row r="22" spans="1:15" x14ac:dyDescent="0.2">
      <c r="A22" s="6">
        <v>102139051700</v>
      </c>
      <c r="B22" s="6" t="str">
        <f t="shared" si="0"/>
        <v>1021390517009</v>
      </c>
      <c r="C22" s="7" t="s">
        <v>124</v>
      </c>
      <c r="D22" s="7" t="s">
        <v>93</v>
      </c>
      <c r="E22" s="7">
        <v>20411454</v>
      </c>
      <c r="F22" s="7" t="s">
        <v>209</v>
      </c>
      <c r="G22" s="7" t="s">
        <v>95</v>
      </c>
      <c r="H22" s="9">
        <v>45689</v>
      </c>
      <c r="I22" s="7" t="s">
        <v>47</v>
      </c>
      <c r="J22" s="10">
        <v>45.83</v>
      </c>
      <c r="K22" s="7">
        <v>1</v>
      </c>
      <c r="L22" s="11">
        <v>1</v>
      </c>
      <c r="M22" s="8">
        <v>45.83</v>
      </c>
      <c r="N22" s="7" t="s">
        <v>90</v>
      </c>
      <c r="O22" s="7" t="s">
        <v>204</v>
      </c>
    </row>
    <row r="23" spans="1:15" x14ac:dyDescent="0.2">
      <c r="A23" s="6">
        <v>102139232400</v>
      </c>
      <c r="B23" s="6" t="str">
        <f t="shared" si="0"/>
        <v>1021392324009</v>
      </c>
      <c r="C23" s="7" t="s">
        <v>126</v>
      </c>
      <c r="D23" s="7" t="s">
        <v>93</v>
      </c>
      <c r="E23" s="7">
        <v>20411454</v>
      </c>
      <c r="F23" s="7" t="s">
        <v>209</v>
      </c>
      <c r="G23" s="7" t="s">
        <v>95</v>
      </c>
      <c r="H23" s="9">
        <v>45689</v>
      </c>
      <c r="I23" s="7" t="s">
        <v>47</v>
      </c>
      <c r="J23" s="10">
        <v>45.83</v>
      </c>
      <c r="K23" s="7">
        <v>1</v>
      </c>
      <c r="L23" s="11">
        <v>1</v>
      </c>
      <c r="M23" s="8">
        <v>45.83</v>
      </c>
      <c r="N23" s="7" t="s">
        <v>90</v>
      </c>
      <c r="O23" s="7" t="s">
        <v>204</v>
      </c>
    </row>
    <row r="24" spans="1:15" x14ac:dyDescent="0.2">
      <c r="A24" s="6" t="s">
        <v>161</v>
      </c>
      <c r="B24" s="6" t="str">
        <f t="shared" si="0"/>
        <v>00000371464G9</v>
      </c>
      <c r="C24" s="7" t="s">
        <v>42</v>
      </c>
      <c r="D24" s="7" t="s">
        <v>43</v>
      </c>
      <c r="E24" s="7">
        <v>20411454</v>
      </c>
      <c r="F24" s="7" t="s">
        <v>209</v>
      </c>
      <c r="G24" s="7" t="s">
        <v>46</v>
      </c>
      <c r="H24" s="9">
        <v>45689</v>
      </c>
      <c r="I24" s="7" t="s">
        <v>47</v>
      </c>
      <c r="J24" s="10">
        <v>175</v>
      </c>
      <c r="K24" s="7">
        <v>1</v>
      </c>
      <c r="L24" s="11">
        <v>1</v>
      </c>
      <c r="M24" s="8">
        <v>175</v>
      </c>
      <c r="O24" s="7" t="s">
        <v>202</v>
      </c>
    </row>
    <row r="25" spans="1:15" x14ac:dyDescent="0.2">
      <c r="A25" s="6" t="s">
        <v>162</v>
      </c>
      <c r="B25" s="6" t="str">
        <f t="shared" si="0"/>
        <v>00000374418G9</v>
      </c>
      <c r="C25" s="7" t="s">
        <v>49</v>
      </c>
      <c r="D25" s="7" t="s">
        <v>43</v>
      </c>
      <c r="E25" s="7">
        <v>20411454</v>
      </c>
      <c r="F25" s="7" t="s">
        <v>209</v>
      </c>
      <c r="G25" s="7" t="s">
        <v>46</v>
      </c>
      <c r="H25" s="9">
        <v>45689</v>
      </c>
      <c r="I25" s="7" t="s">
        <v>47</v>
      </c>
      <c r="J25" s="10">
        <v>175</v>
      </c>
      <c r="K25" s="7">
        <v>1</v>
      </c>
      <c r="L25" s="11">
        <v>1</v>
      </c>
      <c r="M25" s="8">
        <v>175</v>
      </c>
      <c r="O25" s="7" t="s">
        <v>202</v>
      </c>
    </row>
    <row r="26" spans="1:15" x14ac:dyDescent="0.2">
      <c r="A26" s="6" t="s">
        <v>165</v>
      </c>
      <c r="B26" s="6" t="str">
        <f t="shared" si="0"/>
        <v>00012719660K9</v>
      </c>
      <c r="C26" s="7" t="s">
        <v>56</v>
      </c>
      <c r="D26" s="7" t="s">
        <v>43</v>
      </c>
      <c r="E26" s="7">
        <v>20411454</v>
      </c>
      <c r="F26" s="7" t="s">
        <v>209</v>
      </c>
      <c r="G26" s="7" t="s">
        <v>46</v>
      </c>
      <c r="H26" s="9">
        <v>45689</v>
      </c>
      <c r="I26" s="7" t="s">
        <v>47</v>
      </c>
      <c r="J26" s="10">
        <v>175</v>
      </c>
      <c r="K26" s="7">
        <v>1</v>
      </c>
      <c r="L26" s="11">
        <v>1</v>
      </c>
      <c r="M26" s="8">
        <v>175</v>
      </c>
      <c r="O26" s="7" t="s">
        <v>202</v>
      </c>
    </row>
    <row r="27" spans="1:15" x14ac:dyDescent="0.2">
      <c r="A27" s="6" t="s">
        <v>166</v>
      </c>
      <c r="B27" s="6" t="str">
        <f t="shared" si="0"/>
        <v>00014861244K9</v>
      </c>
      <c r="C27" s="7" t="s">
        <v>58</v>
      </c>
      <c r="D27" s="7" t="s">
        <v>43</v>
      </c>
      <c r="E27" s="7">
        <v>20411454</v>
      </c>
      <c r="F27" s="7" t="s">
        <v>209</v>
      </c>
      <c r="G27" s="7" t="s">
        <v>46</v>
      </c>
      <c r="H27" s="9">
        <v>45689</v>
      </c>
      <c r="I27" s="7" t="s">
        <v>47</v>
      </c>
      <c r="J27" s="10">
        <v>175</v>
      </c>
      <c r="K27" s="7">
        <v>1</v>
      </c>
      <c r="L27" s="11">
        <v>1</v>
      </c>
      <c r="M27" s="8">
        <v>175</v>
      </c>
      <c r="O27" s="7" t="s">
        <v>202</v>
      </c>
    </row>
    <row r="28" spans="1:15" x14ac:dyDescent="0.2">
      <c r="A28" s="6" t="s">
        <v>167</v>
      </c>
      <c r="B28" s="6" t="str">
        <f t="shared" si="0"/>
        <v>00015917794K9</v>
      </c>
      <c r="C28" s="7" t="s">
        <v>60</v>
      </c>
      <c r="D28" s="7" t="s">
        <v>43</v>
      </c>
      <c r="E28" s="7">
        <v>20411454</v>
      </c>
      <c r="F28" s="7" t="s">
        <v>209</v>
      </c>
      <c r="G28" s="7" t="s">
        <v>46</v>
      </c>
      <c r="H28" s="9">
        <v>45689</v>
      </c>
      <c r="I28" s="7" t="s">
        <v>47</v>
      </c>
      <c r="J28" s="10">
        <v>175</v>
      </c>
      <c r="K28" s="7">
        <v>1</v>
      </c>
      <c r="L28" s="11">
        <v>1</v>
      </c>
      <c r="M28" s="8">
        <v>175</v>
      </c>
      <c r="O28" s="7" t="s">
        <v>202</v>
      </c>
    </row>
    <row r="29" spans="1:15" x14ac:dyDescent="0.2">
      <c r="A29" s="6" t="s">
        <v>173</v>
      </c>
      <c r="B29" s="6" t="str">
        <f t="shared" si="0"/>
        <v>00022996620K9</v>
      </c>
      <c r="C29" s="7" t="s">
        <v>70</v>
      </c>
      <c r="D29" s="7" t="s">
        <v>43</v>
      </c>
      <c r="E29" s="7">
        <v>20411454</v>
      </c>
      <c r="F29" s="7" t="s">
        <v>209</v>
      </c>
      <c r="G29" s="7" t="s">
        <v>46</v>
      </c>
      <c r="H29" s="9">
        <v>45689</v>
      </c>
      <c r="I29" s="7" t="s">
        <v>47</v>
      </c>
      <c r="J29" s="10">
        <v>175</v>
      </c>
      <c r="K29" s="7">
        <v>1</v>
      </c>
      <c r="L29" s="11">
        <v>1</v>
      </c>
      <c r="M29" s="8">
        <v>175</v>
      </c>
      <c r="O29" s="7" t="s">
        <v>202</v>
      </c>
    </row>
    <row r="30" spans="1:15" x14ac:dyDescent="0.2">
      <c r="A30" s="6" t="s">
        <v>174</v>
      </c>
      <c r="B30" s="6" t="str">
        <f t="shared" si="0"/>
        <v>00023021728K9</v>
      </c>
      <c r="C30" s="7" t="s">
        <v>72</v>
      </c>
      <c r="D30" s="7" t="s">
        <v>43</v>
      </c>
      <c r="E30" s="7">
        <v>20411454</v>
      </c>
      <c r="F30" s="7" t="s">
        <v>209</v>
      </c>
      <c r="G30" s="7" t="s">
        <v>46</v>
      </c>
      <c r="H30" s="9">
        <v>45717</v>
      </c>
      <c r="I30" s="7" t="s">
        <v>47</v>
      </c>
      <c r="J30" s="10">
        <v>175</v>
      </c>
      <c r="K30" s="7">
        <v>1</v>
      </c>
      <c r="L30" s="11">
        <v>1</v>
      </c>
      <c r="M30" s="8">
        <v>175</v>
      </c>
      <c r="O30" s="7" t="s">
        <v>202</v>
      </c>
    </row>
    <row r="31" spans="1:15" x14ac:dyDescent="0.2">
      <c r="A31" s="6" t="s">
        <v>175</v>
      </c>
      <c r="B31" s="6" t="str">
        <f t="shared" si="0"/>
        <v>00023023741K9</v>
      </c>
      <c r="C31" s="7" t="s">
        <v>73</v>
      </c>
      <c r="D31" s="7" t="s">
        <v>43</v>
      </c>
      <c r="E31" s="7">
        <v>20411454</v>
      </c>
      <c r="F31" s="7" t="s">
        <v>209</v>
      </c>
      <c r="G31" s="7" t="s">
        <v>46</v>
      </c>
      <c r="H31" s="9">
        <v>45689</v>
      </c>
      <c r="I31" s="7" t="s">
        <v>47</v>
      </c>
      <c r="J31" s="10">
        <v>175</v>
      </c>
      <c r="K31" s="7">
        <v>1</v>
      </c>
      <c r="L31" s="11">
        <v>1</v>
      </c>
      <c r="M31" s="8">
        <v>175</v>
      </c>
      <c r="O31" s="7" t="s">
        <v>202</v>
      </c>
    </row>
    <row r="32" spans="1:15" x14ac:dyDescent="0.2">
      <c r="A32" s="6" t="s">
        <v>176</v>
      </c>
      <c r="B32" s="6" t="str">
        <f t="shared" si="0"/>
        <v>00023027544K9</v>
      </c>
      <c r="C32" s="7" t="s">
        <v>75</v>
      </c>
      <c r="D32" s="7" t="s">
        <v>43</v>
      </c>
      <c r="E32" s="7">
        <v>20411454</v>
      </c>
      <c r="F32" s="7" t="s">
        <v>209</v>
      </c>
      <c r="G32" s="7" t="s">
        <v>46</v>
      </c>
      <c r="H32" s="9">
        <v>45689</v>
      </c>
      <c r="I32" s="7" t="s">
        <v>47</v>
      </c>
      <c r="J32" s="10">
        <v>175</v>
      </c>
      <c r="K32" s="7">
        <v>1</v>
      </c>
      <c r="L32" s="11">
        <v>1</v>
      </c>
      <c r="M32" s="8">
        <v>175</v>
      </c>
      <c r="O32" s="7" t="s">
        <v>202</v>
      </c>
    </row>
    <row r="33" spans="1:15" x14ac:dyDescent="0.2">
      <c r="A33" s="6" t="s">
        <v>177</v>
      </c>
      <c r="B33" s="6" t="str">
        <f t="shared" si="0"/>
        <v>00023028485K9</v>
      </c>
      <c r="C33" s="7" t="s">
        <v>76</v>
      </c>
      <c r="D33" s="7" t="s">
        <v>43</v>
      </c>
      <c r="E33" s="7">
        <v>20411454</v>
      </c>
      <c r="F33" s="7" t="s">
        <v>209</v>
      </c>
      <c r="G33" s="7" t="s">
        <v>46</v>
      </c>
      <c r="H33" s="9">
        <v>45748</v>
      </c>
      <c r="I33" s="7" t="s">
        <v>47</v>
      </c>
      <c r="J33" s="10">
        <v>175</v>
      </c>
      <c r="K33" s="7">
        <v>1</v>
      </c>
      <c r="L33" s="11">
        <v>1</v>
      </c>
      <c r="M33" s="8">
        <v>175</v>
      </c>
      <c r="O33" s="7" t="s">
        <v>202</v>
      </c>
    </row>
    <row r="34" spans="1:15" x14ac:dyDescent="0.2">
      <c r="A34" s="6" t="s">
        <v>178</v>
      </c>
      <c r="B34" s="6" t="str">
        <f t="shared" si="0"/>
        <v>00023028896K9</v>
      </c>
      <c r="C34" s="7" t="s">
        <v>78</v>
      </c>
      <c r="D34" s="7" t="s">
        <v>43</v>
      </c>
      <c r="E34" s="7">
        <v>20411454</v>
      </c>
      <c r="F34" s="7" t="s">
        <v>209</v>
      </c>
      <c r="G34" s="7" t="s">
        <v>46</v>
      </c>
      <c r="H34" s="9">
        <v>45717</v>
      </c>
      <c r="I34" s="7" t="s">
        <v>47</v>
      </c>
      <c r="J34" s="10">
        <v>175</v>
      </c>
      <c r="K34" s="7">
        <v>1</v>
      </c>
      <c r="L34" s="11">
        <v>1</v>
      </c>
      <c r="M34" s="8">
        <v>175</v>
      </c>
      <c r="O34" s="7" t="s">
        <v>202</v>
      </c>
    </row>
    <row r="35" spans="1:15" x14ac:dyDescent="0.2">
      <c r="A35" s="6" t="s">
        <v>179</v>
      </c>
      <c r="B35" s="6" t="str">
        <f t="shared" si="0"/>
        <v>00023038833K9</v>
      </c>
      <c r="C35" s="7" t="s">
        <v>79</v>
      </c>
      <c r="D35" s="7" t="s">
        <v>43</v>
      </c>
      <c r="E35" s="7">
        <v>20411454</v>
      </c>
      <c r="F35" s="7" t="s">
        <v>209</v>
      </c>
      <c r="G35" s="7" t="s">
        <v>46</v>
      </c>
      <c r="H35" s="9">
        <v>45689</v>
      </c>
      <c r="I35" s="7" t="s">
        <v>47</v>
      </c>
      <c r="J35" s="10">
        <v>175</v>
      </c>
      <c r="K35" s="7">
        <v>1</v>
      </c>
      <c r="L35" s="11">
        <v>1</v>
      </c>
      <c r="M35" s="8">
        <v>175</v>
      </c>
      <c r="O35" s="7" t="s">
        <v>202</v>
      </c>
    </row>
    <row r="36" spans="1:15" x14ac:dyDescent="0.2">
      <c r="A36" s="6" t="s">
        <v>180</v>
      </c>
      <c r="B36" s="6" t="str">
        <f>CONCATENATE(A36,9)</f>
        <v>00023040671K9</v>
      </c>
      <c r="C36" s="7" t="s">
        <v>81</v>
      </c>
      <c r="D36" s="7" t="s">
        <v>43</v>
      </c>
      <c r="E36" s="7">
        <v>20411454</v>
      </c>
      <c r="F36" s="7" t="s">
        <v>209</v>
      </c>
      <c r="G36" s="7" t="s">
        <v>46</v>
      </c>
      <c r="H36" s="9">
        <v>45689</v>
      </c>
      <c r="I36" s="7" t="s">
        <v>47</v>
      </c>
      <c r="J36" s="10">
        <v>175</v>
      </c>
      <c r="K36" s="7">
        <v>1</v>
      </c>
      <c r="L36" s="11">
        <v>1</v>
      </c>
      <c r="M36" s="8">
        <v>175</v>
      </c>
      <c r="O36" s="7" t="s">
        <v>202</v>
      </c>
    </row>
    <row r="37" spans="1:15" x14ac:dyDescent="0.2">
      <c r="A37" s="6" t="s">
        <v>182</v>
      </c>
      <c r="B37" s="6" t="str">
        <f t="shared" si="0"/>
        <v>00023041157K9</v>
      </c>
      <c r="C37" s="7" t="s">
        <v>85</v>
      </c>
      <c r="D37" s="7" t="s">
        <v>43</v>
      </c>
      <c r="E37" s="7">
        <v>20411454</v>
      </c>
      <c r="F37" s="7" t="s">
        <v>209</v>
      </c>
      <c r="G37" s="7" t="s">
        <v>46</v>
      </c>
      <c r="H37" s="9">
        <v>45658</v>
      </c>
      <c r="I37" s="7" t="s">
        <v>47</v>
      </c>
      <c r="J37" s="10">
        <v>175</v>
      </c>
      <c r="K37" s="7">
        <v>1</v>
      </c>
      <c r="L37" s="11">
        <v>1</v>
      </c>
      <c r="M37" s="8">
        <v>175</v>
      </c>
      <c r="O37" s="7" t="s">
        <v>202</v>
      </c>
    </row>
    <row r="38" spans="1:15" x14ac:dyDescent="0.2">
      <c r="A38" s="6" t="s">
        <v>189</v>
      </c>
      <c r="B38" s="6" t="str">
        <f t="shared" si="0"/>
        <v>00019034430KPC9</v>
      </c>
      <c r="C38" s="7" t="s">
        <v>146</v>
      </c>
      <c r="D38" s="7" t="s">
        <v>43</v>
      </c>
      <c r="E38" s="7">
        <v>20411454</v>
      </c>
      <c r="F38" s="7" t="s">
        <v>209</v>
      </c>
      <c r="G38" s="7" t="s">
        <v>46</v>
      </c>
      <c r="H38" s="9">
        <v>45658</v>
      </c>
      <c r="I38" s="7" t="s">
        <v>47</v>
      </c>
      <c r="J38" s="10">
        <v>0</v>
      </c>
      <c r="K38" s="7">
        <v>1</v>
      </c>
      <c r="M38" s="8">
        <v>-161</v>
      </c>
      <c r="O38" s="7" t="s">
        <v>202</v>
      </c>
    </row>
    <row r="39" spans="1:15" x14ac:dyDescent="0.2">
      <c r="A39" s="6" t="s">
        <v>191</v>
      </c>
      <c r="B39" s="6" t="str">
        <f t="shared" si="0"/>
        <v>00022120908KPC9</v>
      </c>
      <c r="C39" s="7" t="s">
        <v>149</v>
      </c>
      <c r="D39" s="7" t="s">
        <v>43</v>
      </c>
      <c r="E39" s="7">
        <v>20411454</v>
      </c>
      <c r="F39" s="7" t="s">
        <v>209</v>
      </c>
      <c r="G39" s="7" t="s">
        <v>46</v>
      </c>
      <c r="H39" s="9">
        <v>45658</v>
      </c>
      <c r="I39" s="7" t="s">
        <v>47</v>
      </c>
      <c r="J39" s="10">
        <v>0</v>
      </c>
      <c r="K39" s="7">
        <v>1</v>
      </c>
      <c r="M39" s="8">
        <v>-161</v>
      </c>
      <c r="O39" s="7" t="s">
        <v>202</v>
      </c>
    </row>
    <row r="40" spans="1:15" x14ac:dyDescent="0.2">
      <c r="A40" s="6" t="s">
        <v>192</v>
      </c>
      <c r="B40" s="6" t="str">
        <f t="shared" si="0"/>
        <v>00022598731KPC9</v>
      </c>
      <c r="C40" s="7" t="s">
        <v>151</v>
      </c>
      <c r="D40" s="7" t="s">
        <v>43</v>
      </c>
      <c r="E40" s="7">
        <v>20411454</v>
      </c>
      <c r="F40" s="7" t="s">
        <v>209</v>
      </c>
      <c r="G40" s="7" t="s">
        <v>46</v>
      </c>
      <c r="H40" s="9">
        <v>45658</v>
      </c>
      <c r="I40" s="7" t="s">
        <v>47</v>
      </c>
      <c r="J40" s="10">
        <v>0</v>
      </c>
      <c r="K40" s="7">
        <v>1</v>
      </c>
      <c r="M40" s="8">
        <v>-161</v>
      </c>
      <c r="O40" s="7" t="s">
        <v>202</v>
      </c>
    </row>
    <row r="41" spans="1:15" x14ac:dyDescent="0.2">
      <c r="A41" s="6" t="s">
        <v>193</v>
      </c>
      <c r="B41" s="6" t="str">
        <f t="shared" si="0"/>
        <v>00022686109KPC9</v>
      </c>
      <c r="C41" s="7" t="s">
        <v>152</v>
      </c>
      <c r="D41" s="7" t="s">
        <v>43</v>
      </c>
      <c r="E41" s="7">
        <v>20411454</v>
      </c>
      <c r="F41" s="7" t="s">
        <v>209</v>
      </c>
      <c r="G41" s="7" t="s">
        <v>46</v>
      </c>
      <c r="H41" s="9">
        <v>45658</v>
      </c>
      <c r="I41" s="7" t="s">
        <v>47</v>
      </c>
      <c r="J41" s="10">
        <v>0</v>
      </c>
      <c r="K41" s="7">
        <v>1</v>
      </c>
      <c r="M41" s="8">
        <v>-161</v>
      </c>
      <c r="O41" s="7" t="s">
        <v>202</v>
      </c>
    </row>
    <row r="42" spans="1:15" x14ac:dyDescent="0.2">
      <c r="A42" s="6" t="s">
        <v>194</v>
      </c>
      <c r="B42" s="6" t="str">
        <f t="shared" si="0"/>
        <v>00022899364KACB9</v>
      </c>
      <c r="C42" s="7" t="s">
        <v>154</v>
      </c>
      <c r="D42" s="7" t="s">
        <v>43</v>
      </c>
      <c r="E42" s="7">
        <v>20411454</v>
      </c>
      <c r="F42" s="7" t="s">
        <v>209</v>
      </c>
      <c r="G42" s="7" t="s">
        <v>46</v>
      </c>
      <c r="H42" s="9">
        <v>45658</v>
      </c>
      <c r="I42" s="7" t="s">
        <v>47</v>
      </c>
      <c r="J42" s="10">
        <v>0</v>
      </c>
      <c r="K42" s="7">
        <v>1</v>
      </c>
      <c r="M42" s="8">
        <v>-175</v>
      </c>
      <c r="O42" s="7" t="s">
        <v>202</v>
      </c>
    </row>
    <row r="43" spans="1:15" x14ac:dyDescent="0.2">
      <c r="A43" s="6" t="s">
        <v>195</v>
      </c>
      <c r="B43" s="6" t="str">
        <f t="shared" si="0"/>
        <v>00022947574KOVPC9</v>
      </c>
      <c r="C43" s="7" t="s">
        <v>67</v>
      </c>
      <c r="D43" s="7" t="s">
        <v>68</v>
      </c>
      <c r="E43" s="7">
        <v>20411454</v>
      </c>
      <c r="F43" s="7" t="s">
        <v>209</v>
      </c>
      <c r="G43" s="7" t="s">
        <v>46</v>
      </c>
      <c r="H43" s="9">
        <v>45658</v>
      </c>
      <c r="I43" s="7" t="s">
        <v>47</v>
      </c>
      <c r="J43" s="10">
        <v>0</v>
      </c>
      <c r="K43" s="7">
        <v>1</v>
      </c>
      <c r="M43" s="8">
        <v>-161</v>
      </c>
      <c r="O43" s="7" t="s">
        <v>202</v>
      </c>
    </row>
    <row r="44" spans="1:15" x14ac:dyDescent="0.2">
      <c r="A44" s="6" t="s">
        <v>163</v>
      </c>
      <c r="B44" s="6" t="str">
        <f t="shared" si="0"/>
        <v>00011895530K9</v>
      </c>
      <c r="C44" s="7" t="s">
        <v>50</v>
      </c>
      <c r="D44" s="7" t="s">
        <v>43</v>
      </c>
      <c r="E44" s="7">
        <v>20411454</v>
      </c>
      <c r="F44" s="7" t="s">
        <v>209</v>
      </c>
      <c r="G44" s="7" t="s">
        <v>52</v>
      </c>
      <c r="H44" s="9">
        <v>45689</v>
      </c>
      <c r="I44" s="7" t="s">
        <v>47</v>
      </c>
      <c r="J44" s="10">
        <v>108</v>
      </c>
      <c r="K44" s="7">
        <v>1</v>
      </c>
      <c r="L44" s="11">
        <v>1</v>
      </c>
      <c r="M44" s="8">
        <v>108</v>
      </c>
      <c r="O44" s="7" t="s">
        <v>202</v>
      </c>
    </row>
    <row r="45" spans="1:15" x14ac:dyDescent="0.2">
      <c r="A45" s="6" t="s">
        <v>164</v>
      </c>
      <c r="B45" s="6" t="str">
        <f t="shared" si="0"/>
        <v>00012290150K9</v>
      </c>
      <c r="C45" s="7" t="s">
        <v>53</v>
      </c>
      <c r="D45" s="7" t="s">
        <v>43</v>
      </c>
      <c r="E45" s="7">
        <v>20411454</v>
      </c>
      <c r="F45" s="7" t="s">
        <v>209</v>
      </c>
      <c r="G45" s="7" t="s">
        <v>52</v>
      </c>
      <c r="H45" s="9">
        <v>45658</v>
      </c>
      <c r="I45" s="7" t="s">
        <v>47</v>
      </c>
      <c r="J45" s="10">
        <v>99.36</v>
      </c>
      <c r="K45" s="7">
        <v>1</v>
      </c>
      <c r="L45" s="11">
        <v>1</v>
      </c>
      <c r="M45" s="8">
        <v>99.36</v>
      </c>
      <c r="N45" s="7" t="s">
        <v>55</v>
      </c>
      <c r="O45" s="7" t="s">
        <v>202</v>
      </c>
    </row>
    <row r="46" spans="1:15" x14ac:dyDescent="0.2">
      <c r="A46" s="6" t="s">
        <v>168</v>
      </c>
      <c r="B46" s="6" t="str">
        <f t="shared" si="0"/>
        <v>00018501512K9</v>
      </c>
      <c r="C46" s="7" t="s">
        <v>62</v>
      </c>
      <c r="D46" s="7" t="s">
        <v>43</v>
      </c>
      <c r="E46" s="7">
        <v>20411454</v>
      </c>
      <c r="F46" s="7" t="s">
        <v>209</v>
      </c>
      <c r="G46" s="7" t="s">
        <v>52</v>
      </c>
      <c r="H46" s="9">
        <v>45689</v>
      </c>
      <c r="I46" s="7" t="s">
        <v>47</v>
      </c>
      <c r="J46" s="10">
        <v>108</v>
      </c>
      <c r="K46" s="7">
        <v>1</v>
      </c>
      <c r="L46" s="11">
        <v>1</v>
      </c>
      <c r="M46" s="8">
        <v>108</v>
      </c>
      <c r="O46" s="7" t="s">
        <v>202</v>
      </c>
    </row>
    <row r="47" spans="1:15" x14ac:dyDescent="0.2">
      <c r="A47" s="6" t="s">
        <v>169</v>
      </c>
      <c r="B47" s="6" t="str">
        <f t="shared" si="0"/>
        <v>00018962712K9</v>
      </c>
      <c r="C47" s="7" t="s">
        <v>64</v>
      </c>
      <c r="D47" s="7" t="s">
        <v>43</v>
      </c>
      <c r="E47" s="7">
        <v>20411454</v>
      </c>
      <c r="F47" s="7" t="s">
        <v>209</v>
      </c>
      <c r="G47" s="7" t="s">
        <v>52</v>
      </c>
      <c r="H47" s="9">
        <v>45689</v>
      </c>
      <c r="I47" s="7" t="s">
        <v>47</v>
      </c>
      <c r="J47" s="10">
        <v>108</v>
      </c>
      <c r="K47" s="7">
        <v>1</v>
      </c>
      <c r="L47" s="11">
        <v>1</v>
      </c>
      <c r="M47" s="8">
        <v>108</v>
      </c>
      <c r="O47" s="7" t="s">
        <v>202</v>
      </c>
    </row>
    <row r="48" spans="1:15" x14ac:dyDescent="0.2">
      <c r="A48" s="6" t="s">
        <v>170</v>
      </c>
      <c r="B48" s="6" t="str">
        <f t="shared" si="0"/>
        <v>00018963088K9</v>
      </c>
      <c r="C48" s="7" t="s">
        <v>65</v>
      </c>
      <c r="D48" s="7" t="s">
        <v>43</v>
      </c>
      <c r="E48" s="7">
        <v>20411454</v>
      </c>
      <c r="F48" s="7" t="s">
        <v>209</v>
      </c>
      <c r="G48" s="7" t="s">
        <v>52</v>
      </c>
      <c r="H48" s="9">
        <v>45689</v>
      </c>
      <c r="I48" s="7" t="s">
        <v>47</v>
      </c>
      <c r="J48" s="10">
        <v>108</v>
      </c>
      <c r="K48" s="7">
        <v>1</v>
      </c>
      <c r="L48" s="11">
        <v>1</v>
      </c>
      <c r="M48" s="8">
        <v>108</v>
      </c>
      <c r="O48" s="7" t="s">
        <v>202</v>
      </c>
    </row>
    <row r="49" spans="1:17" x14ac:dyDescent="0.2">
      <c r="A49" s="6" t="s">
        <v>171</v>
      </c>
      <c r="B49" s="6" t="str">
        <f t="shared" si="0"/>
        <v>00019306567K9</v>
      </c>
      <c r="C49" s="7" t="s">
        <v>66</v>
      </c>
      <c r="D49" s="7" t="s">
        <v>43</v>
      </c>
      <c r="E49" s="7">
        <v>20411454</v>
      </c>
      <c r="F49" s="7" t="s">
        <v>209</v>
      </c>
      <c r="G49" s="7" t="s">
        <v>52</v>
      </c>
      <c r="H49" s="9">
        <v>45689</v>
      </c>
      <c r="I49" s="7" t="s">
        <v>47</v>
      </c>
      <c r="J49" s="10">
        <v>108</v>
      </c>
      <c r="K49" s="7">
        <v>1</v>
      </c>
      <c r="L49" s="11">
        <v>1</v>
      </c>
      <c r="M49" s="8">
        <v>108</v>
      </c>
      <c r="O49" s="7" t="s">
        <v>202</v>
      </c>
    </row>
    <row r="50" spans="1:17" x14ac:dyDescent="0.2">
      <c r="A50" s="6" t="s">
        <v>172</v>
      </c>
      <c r="B50" s="6" t="str">
        <f t="shared" si="0"/>
        <v>00022947574K9</v>
      </c>
      <c r="C50" s="7" t="s">
        <v>67</v>
      </c>
      <c r="D50" s="7" t="s">
        <v>68</v>
      </c>
      <c r="E50" s="7">
        <v>20411454</v>
      </c>
      <c r="F50" s="7" t="s">
        <v>209</v>
      </c>
      <c r="G50" s="7" t="s">
        <v>52</v>
      </c>
      <c r="H50" s="9">
        <v>45689</v>
      </c>
      <c r="I50" s="7" t="s">
        <v>47</v>
      </c>
      <c r="J50" s="10">
        <v>108</v>
      </c>
      <c r="K50" s="7">
        <v>1</v>
      </c>
      <c r="L50" s="11">
        <v>1</v>
      </c>
      <c r="M50" s="8">
        <v>108</v>
      </c>
      <c r="O50" s="7" t="s">
        <v>202</v>
      </c>
    </row>
    <row r="51" spans="1:17" x14ac:dyDescent="0.2">
      <c r="A51" s="6" t="s">
        <v>190</v>
      </c>
      <c r="B51" s="6" t="str">
        <f t="shared" si="0"/>
        <v>00022005272KAPC9</v>
      </c>
      <c r="C51" s="7" t="s">
        <v>148</v>
      </c>
      <c r="D51" s="7" t="s">
        <v>43</v>
      </c>
      <c r="E51" s="7">
        <v>20411454</v>
      </c>
      <c r="F51" s="7" t="s">
        <v>209</v>
      </c>
      <c r="G51" s="7" t="s">
        <v>52</v>
      </c>
      <c r="H51" s="9">
        <v>45658</v>
      </c>
      <c r="I51" s="7" t="s">
        <v>47</v>
      </c>
      <c r="J51" s="10">
        <v>0</v>
      </c>
      <c r="K51" s="7">
        <v>1</v>
      </c>
      <c r="M51" s="8">
        <v>-99.36</v>
      </c>
      <c r="O51" s="7" t="s">
        <v>202</v>
      </c>
    </row>
    <row r="52" spans="1:17" x14ac:dyDescent="0.2">
      <c r="A52" s="6" t="s">
        <v>196</v>
      </c>
      <c r="B52" s="6" t="str">
        <f>CONCATENATE(A52,99)</f>
        <v>00022947574KPC99</v>
      </c>
      <c r="C52" s="7" t="s">
        <v>67</v>
      </c>
      <c r="D52" s="7" t="s">
        <v>68</v>
      </c>
      <c r="E52" s="7">
        <v>1706194</v>
      </c>
      <c r="F52" s="7" t="s">
        <v>69</v>
      </c>
      <c r="G52" s="7" t="s">
        <v>156</v>
      </c>
      <c r="H52" s="9">
        <v>45658</v>
      </c>
      <c r="I52" s="7" t="s">
        <v>47</v>
      </c>
      <c r="J52" s="10">
        <v>0</v>
      </c>
      <c r="K52" s="7">
        <v>1</v>
      </c>
      <c r="M52" s="8">
        <v>-286.93</v>
      </c>
      <c r="O52" s="7" t="s">
        <v>208</v>
      </c>
      <c r="Q52" s="7" t="s">
        <v>206</v>
      </c>
    </row>
    <row r="53" spans="1:17" x14ac:dyDescent="0.2">
      <c r="A53" s="6" t="s">
        <v>181</v>
      </c>
      <c r="B53" s="6" t="str">
        <f t="shared" si="0"/>
        <v>00023040778KPDP9</v>
      </c>
      <c r="C53" s="7" t="s">
        <v>82</v>
      </c>
      <c r="D53" s="7" t="s">
        <v>43</v>
      </c>
      <c r="E53" s="7">
        <v>20411454</v>
      </c>
      <c r="F53" s="7" t="s">
        <v>209</v>
      </c>
      <c r="G53" s="7" t="s">
        <v>84</v>
      </c>
      <c r="H53" s="9">
        <v>45689</v>
      </c>
      <c r="I53" s="7" t="s">
        <v>47</v>
      </c>
      <c r="J53" s="10">
        <v>15</v>
      </c>
      <c r="K53" s="7">
        <v>1</v>
      </c>
      <c r="L53" s="11">
        <v>1</v>
      </c>
      <c r="M53" s="8">
        <v>15</v>
      </c>
      <c r="O53" s="7" t="s">
        <v>202</v>
      </c>
    </row>
    <row r="54" spans="1:17" x14ac:dyDescent="0.2">
      <c r="A54" s="6">
        <v>992189824</v>
      </c>
      <c r="B54" s="6" t="str">
        <f t="shared" si="0"/>
        <v>9921898249</v>
      </c>
      <c r="C54" s="7" t="s">
        <v>137</v>
      </c>
      <c r="D54" s="7" t="s">
        <v>93</v>
      </c>
      <c r="E54" s="7">
        <v>20411454</v>
      </c>
      <c r="F54" s="7" t="s">
        <v>209</v>
      </c>
      <c r="G54" s="7" t="s">
        <v>138</v>
      </c>
      <c r="H54" s="9">
        <v>45658</v>
      </c>
      <c r="I54" s="7" t="s">
        <v>47</v>
      </c>
      <c r="J54" s="10">
        <v>175</v>
      </c>
      <c r="K54" s="7">
        <v>1</v>
      </c>
      <c r="L54" s="11">
        <v>1</v>
      </c>
      <c r="M54" s="8">
        <v>175</v>
      </c>
      <c r="O54" s="7" t="s">
        <v>205</v>
      </c>
    </row>
    <row r="55" spans="1:17" x14ac:dyDescent="0.2">
      <c r="A55" s="6">
        <v>993709861</v>
      </c>
      <c r="B55" s="6" t="str">
        <f t="shared" si="0"/>
        <v>9937098619</v>
      </c>
      <c r="C55" s="7" t="s">
        <v>139</v>
      </c>
      <c r="D55" s="7" t="s">
        <v>93</v>
      </c>
      <c r="E55" s="7">
        <v>20411454</v>
      </c>
      <c r="F55" s="7" t="s">
        <v>209</v>
      </c>
      <c r="G55" s="7" t="s">
        <v>138</v>
      </c>
      <c r="H55" s="9">
        <v>45658</v>
      </c>
      <c r="I55" s="7" t="s">
        <v>47</v>
      </c>
      <c r="J55" s="10">
        <v>175</v>
      </c>
      <c r="K55" s="7">
        <v>1</v>
      </c>
      <c r="L55" s="11">
        <v>1</v>
      </c>
      <c r="M55" s="8">
        <v>175</v>
      </c>
      <c r="O55" s="7" t="s">
        <v>205</v>
      </c>
    </row>
    <row r="56" spans="1:17" x14ac:dyDescent="0.2">
      <c r="A56" s="6" t="s">
        <v>184</v>
      </c>
      <c r="B56" s="6" t="str">
        <f t="shared" si="0"/>
        <v>132275463OV9</v>
      </c>
      <c r="C56" s="7" t="s">
        <v>128</v>
      </c>
      <c r="D56" s="7" t="s">
        <v>129</v>
      </c>
      <c r="E56" s="7">
        <v>20411454</v>
      </c>
      <c r="F56" s="7" t="s">
        <v>209</v>
      </c>
      <c r="G56" s="7" t="s">
        <v>132</v>
      </c>
      <c r="H56" s="9">
        <v>45689</v>
      </c>
      <c r="I56" s="7" t="s">
        <v>47</v>
      </c>
      <c r="J56" s="10">
        <v>66</v>
      </c>
      <c r="K56" s="7">
        <v>1</v>
      </c>
      <c r="L56" s="11">
        <v>1</v>
      </c>
      <c r="M56" s="8">
        <v>66</v>
      </c>
      <c r="N56" s="7" t="s">
        <v>90</v>
      </c>
      <c r="O56" s="7" t="s">
        <v>205</v>
      </c>
    </row>
    <row r="57" spans="1:17" x14ac:dyDescent="0.2">
      <c r="A57" s="6" t="s">
        <v>185</v>
      </c>
      <c r="B57" s="6" t="str">
        <f t="shared" si="0"/>
        <v>966338840OV9</v>
      </c>
      <c r="C57" s="7" t="s">
        <v>133</v>
      </c>
      <c r="D57" s="7" t="s">
        <v>87</v>
      </c>
      <c r="E57" s="7">
        <v>20411454</v>
      </c>
      <c r="F57" s="7" t="s">
        <v>209</v>
      </c>
      <c r="G57" s="7" t="s">
        <v>132</v>
      </c>
      <c r="H57" s="9">
        <v>45689</v>
      </c>
      <c r="I57" s="7" t="s">
        <v>47</v>
      </c>
      <c r="J57" s="10">
        <v>66</v>
      </c>
      <c r="K57" s="7">
        <v>1</v>
      </c>
      <c r="L57" s="11">
        <v>1</v>
      </c>
      <c r="M57" s="8">
        <v>66</v>
      </c>
      <c r="N57" s="7" t="s">
        <v>90</v>
      </c>
      <c r="O57" s="7" t="s">
        <v>205</v>
      </c>
    </row>
    <row r="58" spans="1:17" x14ac:dyDescent="0.2">
      <c r="A58" s="6" t="s">
        <v>186</v>
      </c>
      <c r="B58" s="6" t="str">
        <f t="shared" si="0"/>
        <v>986589386OV9</v>
      </c>
      <c r="C58" s="7" t="s">
        <v>135</v>
      </c>
      <c r="D58" s="7" t="s">
        <v>101</v>
      </c>
      <c r="E58" s="7">
        <v>20411454</v>
      </c>
      <c r="F58" s="7" t="s">
        <v>209</v>
      </c>
      <c r="G58" s="7" t="s">
        <v>132</v>
      </c>
      <c r="H58" s="9">
        <v>45689</v>
      </c>
      <c r="I58" s="7" t="s">
        <v>47</v>
      </c>
      <c r="J58" s="10">
        <v>66</v>
      </c>
      <c r="K58" s="7">
        <v>1</v>
      </c>
      <c r="L58" s="11">
        <v>1</v>
      </c>
      <c r="M58" s="8">
        <v>66</v>
      </c>
      <c r="N58" s="7" t="s">
        <v>90</v>
      </c>
      <c r="O58" s="7" t="s">
        <v>205</v>
      </c>
    </row>
    <row r="59" spans="1:17" x14ac:dyDescent="0.2">
      <c r="A59" s="6">
        <v>132275463</v>
      </c>
      <c r="B59" s="6" t="str">
        <f t="shared" ref="B59:B62" si="1">CONCATENATE(A59,99)</f>
        <v>13227546399</v>
      </c>
      <c r="C59" s="7" t="s">
        <v>128</v>
      </c>
      <c r="D59" s="7" t="s">
        <v>129</v>
      </c>
      <c r="E59" s="7">
        <v>19615078</v>
      </c>
      <c r="F59" s="7" t="s">
        <v>130</v>
      </c>
      <c r="G59" s="7" t="s">
        <v>131</v>
      </c>
      <c r="H59" s="9">
        <v>45689</v>
      </c>
      <c r="I59" s="7" t="s">
        <v>47</v>
      </c>
      <c r="J59" s="10">
        <v>286.92</v>
      </c>
      <c r="K59" s="7">
        <v>1</v>
      </c>
      <c r="L59" s="11">
        <v>1</v>
      </c>
      <c r="M59" s="8">
        <v>286.92</v>
      </c>
      <c r="N59" s="7" t="s">
        <v>90</v>
      </c>
      <c r="O59" s="7" t="s">
        <v>207</v>
      </c>
      <c r="Q59" s="7" t="s">
        <v>206</v>
      </c>
    </row>
    <row r="60" spans="1:17" x14ac:dyDescent="0.2">
      <c r="A60" s="6">
        <v>966338840</v>
      </c>
      <c r="B60" s="6" t="str">
        <f t="shared" si="1"/>
        <v>96633884099</v>
      </c>
      <c r="C60" s="7" t="s">
        <v>133</v>
      </c>
      <c r="D60" s="7" t="s">
        <v>87</v>
      </c>
      <c r="E60" s="7">
        <v>20212926</v>
      </c>
      <c r="F60" s="7" t="s">
        <v>134</v>
      </c>
      <c r="G60" s="7" t="s">
        <v>131</v>
      </c>
      <c r="H60" s="9">
        <v>45689</v>
      </c>
      <c r="I60" s="7" t="s">
        <v>47</v>
      </c>
      <c r="J60" s="10">
        <v>286.92</v>
      </c>
      <c r="K60" s="7">
        <v>1</v>
      </c>
      <c r="L60" s="11">
        <v>1</v>
      </c>
      <c r="M60" s="8">
        <v>286.92</v>
      </c>
      <c r="N60" s="7" t="s">
        <v>90</v>
      </c>
      <c r="O60" s="7" t="s">
        <v>207</v>
      </c>
      <c r="Q60" s="7" t="s">
        <v>206</v>
      </c>
    </row>
    <row r="61" spans="1:17" x14ac:dyDescent="0.2">
      <c r="A61" s="6">
        <v>986589386</v>
      </c>
      <c r="B61" s="6" t="str">
        <f t="shared" si="1"/>
        <v>98658938699</v>
      </c>
      <c r="C61" s="7" t="s">
        <v>135</v>
      </c>
      <c r="D61" s="7" t="s">
        <v>101</v>
      </c>
      <c r="E61" s="7">
        <v>17774994</v>
      </c>
      <c r="F61" s="7" t="s">
        <v>136</v>
      </c>
      <c r="G61" s="7" t="s">
        <v>131</v>
      </c>
      <c r="H61" s="9">
        <v>45689</v>
      </c>
      <c r="I61" s="7" t="s">
        <v>47</v>
      </c>
      <c r="J61" s="10">
        <v>286.92</v>
      </c>
      <c r="K61" s="7">
        <v>1</v>
      </c>
      <c r="L61" s="11">
        <v>1</v>
      </c>
      <c r="M61" s="8">
        <v>286.92</v>
      </c>
      <c r="N61" s="7" t="s">
        <v>90</v>
      </c>
      <c r="O61" s="7" t="s">
        <v>207</v>
      </c>
      <c r="Q61" s="7" t="s">
        <v>206</v>
      </c>
    </row>
    <row r="62" spans="1:17" x14ac:dyDescent="0.2">
      <c r="A62" s="6">
        <v>23028152</v>
      </c>
      <c r="B62" s="6" t="str">
        <f t="shared" si="1"/>
        <v>2302815299</v>
      </c>
      <c r="C62" s="7" t="s">
        <v>86</v>
      </c>
      <c r="D62" s="7" t="s">
        <v>87</v>
      </c>
      <c r="E62" s="7">
        <v>20490188</v>
      </c>
      <c r="F62" s="7" t="s">
        <v>88</v>
      </c>
      <c r="G62" s="7" t="s">
        <v>89</v>
      </c>
      <c r="H62" s="9">
        <v>45689</v>
      </c>
      <c r="I62" s="7" t="s">
        <v>47</v>
      </c>
      <c r="J62" s="10">
        <v>50.42</v>
      </c>
      <c r="K62" s="7">
        <v>1</v>
      </c>
      <c r="L62" s="11">
        <v>1</v>
      </c>
      <c r="M62" s="8">
        <v>50.42</v>
      </c>
      <c r="N62" s="7" t="s">
        <v>90</v>
      </c>
      <c r="O62" s="7" t="s">
        <v>203</v>
      </c>
    </row>
  </sheetData>
  <sortState xmlns:xlrd2="http://schemas.microsoft.com/office/spreadsheetml/2017/richdata2" ref="A2:O62">
    <sortCondition ref="G2:G62"/>
  </sortState>
  <phoneticPr fontId="18" type="noConversion"/>
  <pageMargins left="0.7" right="0.7" top="0.75" bottom="0.75" header="0.3" footer="0.3"/>
  <pageSetup orientation="portrait" horizontalDpi="0" verticalDpi="0"/>
  <ignoredErrors>
    <ignoredError sqref="B52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0135E-CC98-5246-BB96-D254E5BD9CF6}">
  <dimension ref="A1:Q2"/>
  <sheetViews>
    <sheetView workbookViewId="0">
      <selection sqref="A1:XFD2"/>
    </sheetView>
  </sheetViews>
  <sheetFormatPr baseColWidth="10" defaultRowHeight="15" x14ac:dyDescent="0.2"/>
  <cols>
    <col min="10" max="10" width="37.6640625" bestFit="1" customWidth="1"/>
  </cols>
  <sheetData>
    <row r="1" spans="1:17" x14ac:dyDescent="0.2">
      <c r="A1" s="4" t="s">
        <v>187</v>
      </c>
      <c r="B1" t="s">
        <v>140</v>
      </c>
      <c r="E1" t="s">
        <v>93</v>
      </c>
      <c r="G1">
        <v>43689</v>
      </c>
      <c r="H1" t="s">
        <v>141</v>
      </c>
      <c r="I1" t="s">
        <v>45</v>
      </c>
      <c r="J1" t="s">
        <v>142</v>
      </c>
      <c r="K1" s="1">
        <v>45689</v>
      </c>
      <c r="M1" t="s">
        <v>47</v>
      </c>
      <c r="N1" s="2">
        <v>37.5</v>
      </c>
      <c r="O1">
        <v>9</v>
      </c>
      <c r="P1" s="3">
        <v>1</v>
      </c>
      <c r="Q1" s="5">
        <v>337.5</v>
      </c>
    </row>
    <row r="2" spans="1:17" x14ac:dyDescent="0.2">
      <c r="A2" s="4" t="s">
        <v>188</v>
      </c>
      <c r="B2" t="s">
        <v>143</v>
      </c>
      <c r="E2" t="s">
        <v>93</v>
      </c>
      <c r="G2">
        <v>43689</v>
      </c>
      <c r="H2" t="s">
        <v>141</v>
      </c>
      <c r="I2" t="s">
        <v>45</v>
      </c>
      <c r="J2" t="s">
        <v>144</v>
      </c>
      <c r="K2" s="1">
        <v>45689</v>
      </c>
      <c r="M2" t="s">
        <v>47</v>
      </c>
      <c r="N2" s="2">
        <v>36.479999999999997</v>
      </c>
      <c r="O2">
        <v>9</v>
      </c>
      <c r="P2" s="3">
        <v>1</v>
      </c>
      <c r="Q2" s="5">
        <v>328.32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 Business Agent Statement - </vt:lpstr>
      <vt:lpstr>clean data</vt:lpstr>
      <vt:lpstr>Med Supp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2025-02-05T20:32:50Z</dcterms:created>
  <dcterms:modified xsi:type="dcterms:W3CDTF">2025-02-06T19:56:09Z</dcterms:modified>
</cp:coreProperties>
</file>