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8-27-25\"/>
    </mc:Choice>
  </mc:AlternateContent>
  <xr:revisionPtr revIDLastSave="0" documentId="13_ncr:1_{1DDCACD3-0CCC-471F-98BD-0A7DCDE841D8}" xr6:coauthVersionLast="47" xr6:coauthVersionMax="47" xr10:uidLastSave="{00000000-0000-0000-0000-000000000000}"/>
  <bookViews>
    <workbookView xWindow="28680" yWindow="-120" windowWidth="29040" windowHeight="16440" activeTab="2" xr2:uid="{4BD3E713-A2CC-4456-B1A3-673AAB4ADDF3}"/>
  </bookViews>
  <sheets>
    <sheet name="New Business Agent Statement - 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B29" i="2" l="1"/>
  <c r="B28" i="2"/>
  <c r="B31" i="2"/>
  <c r="B30" i="2"/>
  <c r="B20" i="2"/>
  <c r="B19" i="2"/>
  <c r="B18" i="2"/>
  <c r="B17" i="2"/>
  <c r="B16" i="2"/>
  <c r="B15" i="2"/>
  <c r="B14" i="2"/>
  <c r="B13" i="2"/>
  <c r="B12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<sst xmlns="http://schemas.openxmlformats.org/spreadsheetml/2006/main" count="801" uniqueCount="209">
  <si>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</si>
  <si>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</si>
  <si>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</si>
  <si>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</si>
  <si>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</si>
  <si>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</si>
  <si>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</si>
  <si>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</si>
  <si>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</si>
  <si>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</si>
  <si>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</si>
  <si>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</si>
  <si>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</si>
  <si>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</si>
  <si>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</si>
  <si>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</si>
  <si>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</si>
  <si>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</si>
  <si>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</si>
  <si>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</si>
  <si>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</si>
  <si>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</si>
  <si>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</si>
  <si>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</si>
  <si>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</si>
  <si>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</si>
  <si>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</si>
  <si>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</si>
  <si>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</si>
  <si>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</si>
  <si>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</si>
  <si>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</si>
  <si>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</si>
  <si>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</si>
  <si>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</si>
  <si>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</si>
  <si>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</si>
  <si>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</si>
  <si>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</si>
  <si>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</si>
  <si>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</si>
  <si>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</si>
  <si>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</si>
  <si>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</si>
  <si>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'00017393926K</t>
  </si>
  <si>
    <t>ANANDMURTHI SWAMI</t>
  </si>
  <si>
    <t>IL</t>
  </si>
  <si>
    <t>'045605</t>
  </si>
  <si>
    <t>GARY PORTUGAL</t>
  </si>
  <si>
    <t>ACTIVE</t>
  </si>
  <si>
    <t>HU MA 2022+ New Structure Repl 2024</t>
  </si>
  <si>
    <t>Monthly</t>
  </si>
  <si>
    <t>AV</t>
  </si>
  <si>
    <t>'00023558545K</t>
  </si>
  <si>
    <t>AMANDA CARDIN</t>
  </si>
  <si>
    <t>'043618</t>
  </si>
  <si>
    <t>SAADIA ABDUL</t>
  </si>
  <si>
    <t>Humana MA 2019+ Level 15- 175/108</t>
  </si>
  <si>
    <t>'00023560633K</t>
  </si>
  <si>
    <t>ALICE BROWNING</t>
  </si>
  <si>
    <t>'045607</t>
  </si>
  <si>
    <t>PAMELA DEATON</t>
  </si>
  <si>
    <t>'00023560690K</t>
  </si>
  <si>
    <t>LAURA MOORE</t>
  </si>
  <si>
    <t>'045671</t>
  </si>
  <si>
    <t>ROBERT SHAPIRO</t>
  </si>
  <si>
    <t>'00023562559KPDP</t>
  </si>
  <si>
    <t>JACQUELYN ALVIS</t>
  </si>
  <si>
    <t>OH</t>
  </si>
  <si>
    <t>'045670</t>
  </si>
  <si>
    <t>STEVEN BRANDT</t>
  </si>
  <si>
    <t>Humana PDP 2019+ Level 15- 15/0</t>
  </si>
  <si>
    <t>'00023566647K</t>
  </si>
  <si>
    <t>BARBARA PHELAN</t>
  </si>
  <si>
    <t>PA</t>
  </si>
  <si>
    <t>'045601</t>
  </si>
  <si>
    <t>CAROL FOLEY</t>
  </si>
  <si>
    <t>'00023568607K</t>
  </si>
  <si>
    <t>LAURA BLASCO</t>
  </si>
  <si>
    <t>'045603</t>
  </si>
  <si>
    <t>ANDREW CHOI</t>
  </si>
  <si>
    <t>'00023569747K</t>
  </si>
  <si>
    <t>MARIE SULLIVAN</t>
  </si>
  <si>
    <t>'102187585700</t>
  </si>
  <si>
    <t>KATHRYN CHAPPELL</t>
  </si>
  <si>
    <t>OR</t>
  </si>
  <si>
    <t>'045622</t>
  </si>
  <si>
    <t>JACOB YALE</t>
  </si>
  <si>
    <t>Aetna MAPD NMO to GMO - 4-1-23+  Replace E-App</t>
  </si>
  <si>
    <t>5/12 PRORATE</t>
  </si>
  <si>
    <t>'102187630800</t>
  </si>
  <si>
    <t>DONNY CLARK</t>
  </si>
  <si>
    <t>TN</t>
  </si>
  <si>
    <t>'043682</t>
  </si>
  <si>
    <t>GREGORY TEIPEL</t>
  </si>
  <si>
    <t>4/12 PRORATE</t>
  </si>
  <si>
    <t>'102188067100</t>
  </si>
  <si>
    <t>CRAIG STONE</t>
  </si>
  <si>
    <t>VA</t>
  </si>
  <si>
    <t>'102188291300</t>
  </si>
  <si>
    <t>PATRICK DOWDLE</t>
  </si>
  <si>
    <t>'102188496900</t>
  </si>
  <si>
    <t>WILLIAM DUDDY</t>
  </si>
  <si>
    <t>FL</t>
  </si>
  <si>
    <t>'043691</t>
  </si>
  <si>
    <t>MICHELLE MCCORKLE</t>
  </si>
  <si>
    <t>'102188513600</t>
  </si>
  <si>
    <t>JAMES SHIPLETT</t>
  </si>
  <si>
    <t>NC</t>
  </si>
  <si>
    <t>'045611</t>
  </si>
  <si>
    <t>FRANK LISKOVEC</t>
  </si>
  <si>
    <t>'102188520000</t>
  </si>
  <si>
    <t>THERESA PARKS</t>
  </si>
  <si>
    <t>2/12 PRORATE</t>
  </si>
  <si>
    <t>'102188567800</t>
  </si>
  <si>
    <t>LAURA SHIPLETT</t>
  </si>
  <si>
    <t>'23A9F4R86</t>
  </si>
  <si>
    <t>KAREN JOHNSON</t>
  </si>
  <si>
    <t>TX</t>
  </si>
  <si>
    <t>'043969</t>
  </si>
  <si>
    <t>STACEY PORTUGAL</t>
  </si>
  <si>
    <t>Cigna MAPD FMO to GA 1-1-19+ - Replacement</t>
  </si>
  <si>
    <t>'2GA8K93UK56</t>
  </si>
  <si>
    <t>TERESA SILVA</t>
  </si>
  <si>
    <t>Pending</t>
  </si>
  <si>
    <t>Wellcare MA 2025 MGA</t>
  </si>
  <si>
    <t>'461W24123</t>
  </si>
  <si>
    <t>DAVID RYSTED</t>
  </si>
  <si>
    <t>'045937</t>
  </si>
  <si>
    <t>MARSHA SANDEROCK</t>
  </si>
  <si>
    <t>Active</t>
  </si>
  <si>
    <t>Anthem BCBS Med Supp Percentage 2025</t>
  </si>
  <si>
    <t>'4G93WA4FJ75</t>
  </si>
  <si>
    <t>RAFAEL OSUNA</t>
  </si>
  <si>
    <t>NV</t>
  </si>
  <si>
    <t>'788W24089</t>
  </si>
  <si>
    <t>JAY METCALF</t>
  </si>
  <si>
    <t>NA</t>
  </si>
  <si>
    <t>Anthem MA 2025</t>
  </si>
  <si>
    <t>'934515223</t>
  </si>
  <si>
    <t>CHRISTI BRIDGER</t>
  </si>
  <si>
    <t>IN</t>
  </si>
  <si>
    <t>UHC MAPD Street payable to upline- 2025 Replace</t>
  </si>
  <si>
    <t>'934515223OV</t>
  </si>
  <si>
    <t>UHC MA Direct 2025 New Full - Other</t>
  </si>
  <si>
    <t>'976044955</t>
  </si>
  <si>
    <t>ARTHUR JORDAN</t>
  </si>
  <si>
    <t>CO</t>
  </si>
  <si>
    <t>'043713</t>
  </si>
  <si>
    <t>JOEL LEE</t>
  </si>
  <si>
    <t>'976044955OV</t>
  </si>
  <si>
    <t>UHC MA Direct 2025 New Full</t>
  </si>
  <si>
    <t>CB</t>
  </si>
  <si>
    <t>'00018964500KPC</t>
  </si>
  <si>
    <t>SUSAN JACKSON</t>
  </si>
  <si>
    <t>'043705</t>
  </si>
  <si>
    <t>MICHAEL DUNAVANT</t>
  </si>
  <si>
    <t>CHARGEBACK</t>
  </si>
  <si>
    <t>Humana MA 2019+ Level 15- 175/108 Repl 2024</t>
  </si>
  <si>
    <t>'00022915115KPC</t>
  </si>
  <si>
    <t>LAYTH SAGMAN</t>
  </si>
  <si>
    <t>'045632</t>
  </si>
  <si>
    <t>BARRY SCHUMANN</t>
  </si>
  <si>
    <t>'00023509197KPC</t>
  </si>
  <si>
    <t>RICHARD GALASINSKI</t>
  </si>
  <si>
    <t>'00023554173KCB</t>
  </si>
  <si>
    <t>MARILYN TIBALDI</t>
  </si>
  <si>
    <t>'043678</t>
  </si>
  <si>
    <t>MATTHEW DAUGHERTY</t>
  </si>
  <si>
    <t>'102094658000PC</t>
  </si>
  <si>
    <t>RICHARD KENNEDY</t>
  </si>
  <si>
    <t>WI</t>
  </si>
  <si>
    <t>'043714</t>
  </si>
  <si>
    <t>BRIAN STROHMAN</t>
  </si>
  <si>
    <t>'102150493500PC</t>
  </si>
  <si>
    <t>TODD PAYNTER</t>
  </si>
  <si>
    <t>Aetna MAPD NMO to GMO - 4-1-23+  New E-App</t>
  </si>
  <si>
    <t>Aetna MAPD OVR 2025</t>
  </si>
  <si>
    <t>Anthem MAPD 2025 OVR</t>
  </si>
  <si>
    <t>Cigna MAPD 2025 Ovr</t>
  </si>
  <si>
    <t>Humana MAPD OVR 2025</t>
  </si>
  <si>
    <t>Humana PDP 2025!</t>
  </si>
  <si>
    <t>UHC MAPD Ovr 2025</t>
  </si>
  <si>
    <t>Wellcare MAPD Ovr</t>
  </si>
  <si>
    <t>UHC MAPD 2025*</t>
  </si>
  <si>
    <t>102150493500PC</t>
  </si>
  <si>
    <t>102094658000PC</t>
  </si>
  <si>
    <t>788W24089</t>
  </si>
  <si>
    <t>23A9F4R86</t>
  </si>
  <si>
    <t>00017393926K</t>
  </si>
  <si>
    <t>00023558545K</t>
  </si>
  <si>
    <t>00023560633K</t>
  </si>
  <si>
    <t>00023560690K</t>
  </si>
  <si>
    <t>00023566647K</t>
  </si>
  <si>
    <t>00023568607K</t>
  </si>
  <si>
    <t>00023569747K</t>
  </si>
  <si>
    <t>00022915115KPC</t>
  </si>
  <si>
    <t>00023509197KPC</t>
  </si>
  <si>
    <t>00023554173KCB</t>
  </si>
  <si>
    <t>00018964500KPC</t>
  </si>
  <si>
    <t>00023562559KPDP</t>
  </si>
  <si>
    <t>976044955OV</t>
  </si>
  <si>
    <t>934515223OV</t>
  </si>
  <si>
    <t>2GA8K93UK56</t>
  </si>
  <si>
    <t>4G93WA4FJ75</t>
  </si>
  <si>
    <t>[%/$=313][prorate=4/12]</t>
  </si>
  <si>
    <t>[%/$=313][prorate=2/12]</t>
  </si>
  <si>
    <t>Main Line Benefits</t>
  </si>
  <si>
    <t>461W24123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</si>
</sst>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0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  <xf numFmtId="1" fontId="0" fillId="0" borderId="0" xfId="0" applyNumberFormat="1" applyAlignment="1">
      <alignment horizontal="left"/>
    </xf>
    <xf numFmtId="1" fontId="0" fillId="34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CB9A-E18D-4A49-8A72-25F3EE81DF6A}">
  <dimension ref="A1:AL32"/>
  <sheetViews>
    <sheetView topLeftCell="F1" workbookViewId="0">
      <selection activeCell="I22" sqref="I22"/>
    </sheetView>
  </sheetViews>
  <sheetFormatPr defaultRowHeight="15" x14ac:dyDescent="0.25"/>
  <cols>
    <col min="18" max="18" width="47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45896</v>
      </c>
      <c r="B2" s="1">
        <v>45896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45901</v>
      </c>
      <c r="U2" t="s">
        <v>51</v>
      </c>
      <c r="X2" t="s">
        <v>52</v>
      </c>
      <c r="Y2" s="2">
        <v>0</v>
      </c>
      <c r="Z2" s="2">
        <v>96</v>
      </c>
      <c r="AA2">
        <v>1</v>
      </c>
      <c r="AB2" s="3">
        <v>1</v>
      </c>
      <c r="AC2" s="2">
        <v>96</v>
      </c>
      <c r="AD2" s="3">
        <v>0</v>
      </c>
      <c r="AE2" s="2">
        <v>0</v>
      </c>
      <c r="AF2" s="2">
        <v>96</v>
      </c>
      <c r="AK2">
        <v>5775268</v>
      </c>
    </row>
    <row r="3" spans="1:38" x14ac:dyDescent="0.25">
      <c r="A3" s="1">
        <v>45896</v>
      </c>
      <c r="B3" s="1">
        <v>45896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57</v>
      </c>
      <c r="S3" s="1">
        <v>45901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5775296</v>
      </c>
    </row>
    <row r="4" spans="1:38" x14ac:dyDescent="0.25">
      <c r="A4" s="1">
        <v>45896</v>
      </c>
      <c r="B4" s="1">
        <v>45896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46</v>
      </c>
      <c r="O4" t="s">
        <v>60</v>
      </c>
      <c r="P4" t="s">
        <v>61</v>
      </c>
      <c r="Q4" t="s">
        <v>49</v>
      </c>
      <c r="R4" t="s">
        <v>57</v>
      </c>
      <c r="S4" s="1">
        <v>45901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5775297</v>
      </c>
    </row>
    <row r="5" spans="1:38" x14ac:dyDescent="0.25">
      <c r="A5" s="1">
        <v>45896</v>
      </c>
      <c r="B5" s="1">
        <v>45896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63</v>
      </c>
      <c r="M5" t="s">
        <v>46</v>
      </c>
      <c r="O5" t="s">
        <v>64</v>
      </c>
      <c r="P5" t="s">
        <v>65</v>
      </c>
      <c r="Q5" t="s">
        <v>49</v>
      </c>
      <c r="R5" t="s">
        <v>57</v>
      </c>
      <c r="S5" s="1">
        <v>45901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5775298</v>
      </c>
    </row>
    <row r="6" spans="1:38" x14ac:dyDescent="0.25">
      <c r="A6" s="1">
        <v>45896</v>
      </c>
      <c r="B6" s="1">
        <v>45896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66</v>
      </c>
      <c r="J6" t="s">
        <v>67</v>
      </c>
      <c r="M6" t="s">
        <v>68</v>
      </c>
      <c r="O6" t="s">
        <v>69</v>
      </c>
      <c r="P6" t="s">
        <v>70</v>
      </c>
      <c r="Q6" t="s">
        <v>49</v>
      </c>
      <c r="R6" t="s">
        <v>71</v>
      </c>
      <c r="S6" s="1">
        <v>45931</v>
      </c>
      <c r="U6" t="s">
        <v>51</v>
      </c>
      <c r="X6" t="s">
        <v>52</v>
      </c>
      <c r="Y6" s="2">
        <v>0</v>
      </c>
      <c r="Z6" s="2">
        <v>15</v>
      </c>
      <c r="AA6">
        <v>1</v>
      </c>
      <c r="AB6" s="3">
        <v>1</v>
      </c>
      <c r="AC6" s="2">
        <v>15</v>
      </c>
      <c r="AD6" s="3">
        <v>0</v>
      </c>
      <c r="AE6" s="2">
        <v>0</v>
      </c>
      <c r="AF6" s="2">
        <v>15</v>
      </c>
      <c r="AK6">
        <v>5775261</v>
      </c>
    </row>
    <row r="7" spans="1:38" x14ac:dyDescent="0.25">
      <c r="A7" s="1">
        <v>45896</v>
      </c>
      <c r="B7" s="1">
        <v>45896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74</v>
      </c>
      <c r="O7" t="s">
        <v>75</v>
      </c>
      <c r="P7" t="s">
        <v>76</v>
      </c>
      <c r="Q7" t="s">
        <v>49</v>
      </c>
      <c r="R7" t="s">
        <v>57</v>
      </c>
      <c r="S7" s="1">
        <v>45931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5775299</v>
      </c>
    </row>
    <row r="8" spans="1:38" x14ac:dyDescent="0.25">
      <c r="A8" s="1">
        <v>45896</v>
      </c>
      <c r="B8" s="1">
        <v>45896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77</v>
      </c>
      <c r="J8" t="s">
        <v>78</v>
      </c>
      <c r="M8" t="s">
        <v>46</v>
      </c>
      <c r="O8" t="s">
        <v>79</v>
      </c>
      <c r="P8" t="s">
        <v>80</v>
      </c>
      <c r="Q8" t="s">
        <v>49</v>
      </c>
      <c r="R8" t="s">
        <v>57</v>
      </c>
      <c r="S8" s="1">
        <v>45901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5775300</v>
      </c>
    </row>
    <row r="9" spans="1:38" x14ac:dyDescent="0.25">
      <c r="A9" s="1">
        <v>45896</v>
      </c>
      <c r="B9" s="1">
        <v>45896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81</v>
      </c>
      <c r="J9" t="s">
        <v>82</v>
      </c>
      <c r="M9" t="s">
        <v>46</v>
      </c>
      <c r="O9" t="s">
        <v>55</v>
      </c>
      <c r="P9" t="s">
        <v>56</v>
      </c>
      <c r="Q9" t="s">
        <v>49</v>
      </c>
      <c r="R9" t="s">
        <v>57</v>
      </c>
      <c r="S9" s="1">
        <v>45931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5775301</v>
      </c>
    </row>
    <row r="10" spans="1:38" x14ac:dyDescent="0.25">
      <c r="A10" s="1">
        <v>45896</v>
      </c>
      <c r="B10" s="1">
        <v>45896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83</v>
      </c>
      <c r="J10" t="s">
        <v>84</v>
      </c>
      <c r="M10" t="s">
        <v>85</v>
      </c>
      <c r="O10" t="s">
        <v>86</v>
      </c>
      <c r="P10" t="s">
        <v>87</v>
      </c>
      <c r="Q10" t="s">
        <v>49</v>
      </c>
      <c r="R10" t="s">
        <v>88</v>
      </c>
      <c r="S10" s="1">
        <v>45870</v>
      </c>
      <c r="U10" t="s">
        <v>51</v>
      </c>
      <c r="X10" t="s">
        <v>52</v>
      </c>
      <c r="Y10" s="2">
        <v>0</v>
      </c>
      <c r="Z10" s="2">
        <v>20.83</v>
      </c>
      <c r="AA10">
        <v>1</v>
      </c>
      <c r="AB10" s="3">
        <v>1</v>
      </c>
      <c r="AC10" s="2">
        <v>20.83</v>
      </c>
      <c r="AD10" s="3">
        <v>0</v>
      </c>
      <c r="AE10" s="2">
        <v>0</v>
      </c>
      <c r="AF10" s="2">
        <v>20.83</v>
      </c>
      <c r="AK10">
        <v>5775094</v>
      </c>
      <c r="AL10" t="s">
        <v>89</v>
      </c>
    </row>
    <row r="11" spans="1:38" x14ac:dyDescent="0.25">
      <c r="A11" s="1">
        <v>45896</v>
      </c>
      <c r="B11" s="1">
        <v>45896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90</v>
      </c>
      <c r="J11" t="s">
        <v>91</v>
      </c>
      <c r="M11" t="s">
        <v>92</v>
      </c>
      <c r="O11" t="s">
        <v>93</v>
      </c>
      <c r="P11" t="s">
        <v>94</v>
      </c>
      <c r="Q11" t="s">
        <v>49</v>
      </c>
      <c r="R11" t="s">
        <v>88</v>
      </c>
      <c r="S11" s="1">
        <v>45901</v>
      </c>
      <c r="U11" t="s">
        <v>51</v>
      </c>
      <c r="X11" t="s">
        <v>52</v>
      </c>
      <c r="Y11" s="2">
        <v>0</v>
      </c>
      <c r="Z11" s="2">
        <v>16.670000000000002</v>
      </c>
      <c r="AA11">
        <v>1</v>
      </c>
      <c r="AB11" s="3">
        <v>1</v>
      </c>
      <c r="AC11" s="2">
        <v>16.670000000000002</v>
      </c>
      <c r="AD11" s="3">
        <v>0</v>
      </c>
      <c r="AE11" s="2">
        <v>0</v>
      </c>
      <c r="AF11" s="2">
        <v>16.670000000000002</v>
      </c>
      <c r="AK11">
        <v>5775098</v>
      </c>
      <c r="AL11" t="s">
        <v>95</v>
      </c>
    </row>
    <row r="12" spans="1:38" x14ac:dyDescent="0.25">
      <c r="A12" s="1">
        <v>45896</v>
      </c>
      <c r="B12" s="1">
        <v>45896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96</v>
      </c>
      <c r="J12" t="s">
        <v>97</v>
      </c>
      <c r="M12" t="s">
        <v>98</v>
      </c>
      <c r="O12" t="s">
        <v>93</v>
      </c>
      <c r="P12" t="s">
        <v>94</v>
      </c>
      <c r="Q12" t="s">
        <v>49</v>
      </c>
      <c r="R12" t="s">
        <v>88</v>
      </c>
      <c r="S12" s="1">
        <v>45901</v>
      </c>
      <c r="U12" t="s">
        <v>51</v>
      </c>
      <c r="X12" t="s">
        <v>52</v>
      </c>
      <c r="Y12" s="2">
        <v>0</v>
      </c>
      <c r="Z12" s="2">
        <v>16.670000000000002</v>
      </c>
      <c r="AA12">
        <v>1</v>
      </c>
      <c r="AB12" s="3">
        <v>1</v>
      </c>
      <c r="AC12" s="2">
        <v>16.670000000000002</v>
      </c>
      <c r="AD12" s="3">
        <v>0</v>
      </c>
      <c r="AE12" s="2">
        <v>0</v>
      </c>
      <c r="AF12" s="2">
        <v>16.670000000000002</v>
      </c>
      <c r="AK12">
        <v>5775124</v>
      </c>
      <c r="AL12" t="s">
        <v>95</v>
      </c>
    </row>
    <row r="13" spans="1:38" x14ac:dyDescent="0.25">
      <c r="A13" s="1">
        <v>45896</v>
      </c>
      <c r="B13" s="1">
        <v>45896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99</v>
      </c>
      <c r="J13" t="s">
        <v>100</v>
      </c>
      <c r="M13" t="s">
        <v>46</v>
      </c>
      <c r="O13" t="s">
        <v>93</v>
      </c>
      <c r="P13" t="s">
        <v>94</v>
      </c>
      <c r="Q13" t="s">
        <v>49</v>
      </c>
      <c r="R13" t="s">
        <v>88</v>
      </c>
      <c r="S13" s="1">
        <v>45901</v>
      </c>
      <c r="U13" t="s">
        <v>51</v>
      </c>
      <c r="X13" t="s">
        <v>52</v>
      </c>
      <c r="Y13" s="2">
        <v>0</v>
      </c>
      <c r="Z13" s="2">
        <v>16.670000000000002</v>
      </c>
      <c r="AA13">
        <v>1</v>
      </c>
      <c r="AB13" s="3">
        <v>1</v>
      </c>
      <c r="AC13" s="2">
        <v>16.670000000000002</v>
      </c>
      <c r="AD13" s="3">
        <v>0</v>
      </c>
      <c r="AE13" s="2">
        <v>0</v>
      </c>
      <c r="AF13" s="2">
        <v>16.670000000000002</v>
      </c>
      <c r="AK13">
        <v>5775131</v>
      </c>
      <c r="AL13" t="s">
        <v>95</v>
      </c>
    </row>
    <row r="14" spans="1:38" x14ac:dyDescent="0.25">
      <c r="A14" s="1">
        <v>45896</v>
      </c>
      <c r="B14" s="1">
        <v>45896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101</v>
      </c>
      <c r="J14" t="s">
        <v>102</v>
      </c>
      <c r="M14" t="s">
        <v>103</v>
      </c>
      <c r="O14" t="s">
        <v>104</v>
      </c>
      <c r="P14" t="s">
        <v>105</v>
      </c>
      <c r="Q14" t="s">
        <v>49</v>
      </c>
      <c r="R14" t="s">
        <v>88</v>
      </c>
      <c r="S14" s="1">
        <v>45901</v>
      </c>
      <c r="U14" t="s">
        <v>51</v>
      </c>
      <c r="X14" t="s">
        <v>52</v>
      </c>
      <c r="Y14" s="2">
        <v>0</v>
      </c>
      <c r="Z14" s="2">
        <v>16.670000000000002</v>
      </c>
      <c r="AA14">
        <v>1</v>
      </c>
      <c r="AB14" s="3">
        <v>1</v>
      </c>
      <c r="AC14" s="2">
        <v>16.670000000000002</v>
      </c>
      <c r="AD14" s="3">
        <v>0</v>
      </c>
      <c r="AE14" s="2">
        <v>0</v>
      </c>
      <c r="AF14" s="2">
        <v>16.670000000000002</v>
      </c>
      <c r="AK14">
        <v>5775140</v>
      </c>
      <c r="AL14" t="s">
        <v>95</v>
      </c>
    </row>
    <row r="15" spans="1:38" x14ac:dyDescent="0.25">
      <c r="A15" s="1">
        <v>45896</v>
      </c>
      <c r="B15" s="1">
        <v>45896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106</v>
      </c>
      <c r="J15" t="s">
        <v>107</v>
      </c>
      <c r="M15" t="s">
        <v>108</v>
      </c>
      <c r="O15" t="s">
        <v>109</v>
      </c>
      <c r="P15" t="s">
        <v>110</v>
      </c>
      <c r="Q15" t="s">
        <v>49</v>
      </c>
      <c r="R15" t="s">
        <v>88</v>
      </c>
      <c r="S15" s="1">
        <v>45901</v>
      </c>
      <c r="U15" t="s">
        <v>51</v>
      </c>
      <c r="X15" t="s">
        <v>52</v>
      </c>
      <c r="Y15" s="2">
        <v>0</v>
      </c>
      <c r="Z15" s="2">
        <v>16.670000000000002</v>
      </c>
      <c r="AA15">
        <v>1</v>
      </c>
      <c r="AB15" s="3">
        <v>1</v>
      </c>
      <c r="AC15" s="2">
        <v>16.670000000000002</v>
      </c>
      <c r="AD15" s="3">
        <v>0</v>
      </c>
      <c r="AE15" s="2">
        <v>0</v>
      </c>
      <c r="AF15" s="2">
        <v>16.670000000000002</v>
      </c>
      <c r="AK15">
        <v>5775142</v>
      </c>
      <c r="AL15" t="s">
        <v>95</v>
      </c>
    </row>
    <row r="16" spans="1:38" x14ac:dyDescent="0.25">
      <c r="A16" s="1">
        <v>45896</v>
      </c>
      <c r="B16" s="1">
        <v>45896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111</v>
      </c>
      <c r="J16" t="s">
        <v>112</v>
      </c>
      <c r="M16" t="s">
        <v>46</v>
      </c>
      <c r="O16" t="s">
        <v>47</v>
      </c>
      <c r="P16" t="s">
        <v>48</v>
      </c>
      <c r="Q16" t="s">
        <v>49</v>
      </c>
      <c r="R16" t="s">
        <v>88</v>
      </c>
      <c r="S16" s="1">
        <v>45962</v>
      </c>
      <c r="U16" t="s">
        <v>51</v>
      </c>
      <c r="X16" t="s">
        <v>52</v>
      </c>
      <c r="Y16" s="2">
        <v>0</v>
      </c>
      <c r="Z16" s="2">
        <v>8.33</v>
      </c>
      <c r="AA16">
        <v>1</v>
      </c>
      <c r="AB16" s="3">
        <v>1</v>
      </c>
      <c r="AC16" s="2">
        <v>8.33</v>
      </c>
      <c r="AD16" s="3">
        <v>0</v>
      </c>
      <c r="AE16" s="2">
        <v>0</v>
      </c>
      <c r="AF16" s="2">
        <v>8.33</v>
      </c>
      <c r="AK16">
        <v>5775143</v>
      </c>
      <c r="AL16" t="s">
        <v>113</v>
      </c>
    </row>
    <row r="17" spans="1:38" x14ac:dyDescent="0.25">
      <c r="A17" s="1">
        <v>45896</v>
      </c>
      <c r="B17" s="1">
        <v>45896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114</v>
      </c>
      <c r="J17" t="s">
        <v>115</v>
      </c>
      <c r="M17" t="s">
        <v>108</v>
      </c>
      <c r="O17" t="s">
        <v>109</v>
      </c>
      <c r="P17" t="s">
        <v>110</v>
      </c>
      <c r="Q17" t="s">
        <v>49</v>
      </c>
      <c r="R17" t="s">
        <v>88</v>
      </c>
      <c r="S17" s="1">
        <v>45901</v>
      </c>
      <c r="U17" t="s">
        <v>51</v>
      </c>
      <c r="X17" t="s">
        <v>52</v>
      </c>
      <c r="Y17" s="2">
        <v>0</v>
      </c>
      <c r="Z17" s="2">
        <v>16.670000000000002</v>
      </c>
      <c r="AA17">
        <v>1</v>
      </c>
      <c r="AB17" s="3">
        <v>1</v>
      </c>
      <c r="AC17" s="2">
        <v>16.670000000000002</v>
      </c>
      <c r="AD17" s="3">
        <v>0</v>
      </c>
      <c r="AE17" s="2">
        <v>0</v>
      </c>
      <c r="AF17" s="2">
        <v>16.670000000000002</v>
      </c>
      <c r="AK17">
        <v>5775144</v>
      </c>
      <c r="AL17" t="s">
        <v>95</v>
      </c>
    </row>
    <row r="18" spans="1:38" x14ac:dyDescent="0.25">
      <c r="A18" s="1">
        <v>45896</v>
      </c>
      <c r="B18" s="1">
        <v>45896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116</v>
      </c>
      <c r="J18" t="s">
        <v>117</v>
      </c>
      <c r="M18" t="s">
        <v>118</v>
      </c>
      <c r="O18" t="s">
        <v>119</v>
      </c>
      <c r="P18" t="s">
        <v>120</v>
      </c>
      <c r="Q18" t="s">
        <v>49</v>
      </c>
      <c r="R18" t="s">
        <v>121</v>
      </c>
      <c r="S18" s="1">
        <v>45901</v>
      </c>
      <c r="U18" t="s">
        <v>51</v>
      </c>
      <c r="X18" t="s">
        <v>52</v>
      </c>
      <c r="Y18" s="2">
        <v>0</v>
      </c>
      <c r="Z18" s="2">
        <v>50</v>
      </c>
      <c r="AA18">
        <v>1</v>
      </c>
      <c r="AB18" s="3">
        <v>1</v>
      </c>
      <c r="AC18" s="2">
        <v>50</v>
      </c>
      <c r="AD18" s="3">
        <v>0</v>
      </c>
      <c r="AE18" s="2">
        <v>0</v>
      </c>
      <c r="AF18" s="2">
        <v>50</v>
      </c>
      <c r="AK18">
        <v>5775236</v>
      </c>
    </row>
    <row r="19" spans="1:38" x14ac:dyDescent="0.25">
      <c r="A19" s="1">
        <v>45896</v>
      </c>
      <c r="B19" s="1">
        <v>45896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122</v>
      </c>
      <c r="J19" t="s">
        <v>123</v>
      </c>
      <c r="M19" t="s">
        <v>46</v>
      </c>
      <c r="O19" t="s">
        <v>47</v>
      </c>
      <c r="P19" t="s">
        <v>48</v>
      </c>
      <c r="Q19" t="s">
        <v>124</v>
      </c>
      <c r="R19" t="s">
        <v>125</v>
      </c>
      <c r="S19" s="1">
        <v>45870</v>
      </c>
      <c r="U19" t="s">
        <v>51</v>
      </c>
      <c r="X19" t="s">
        <v>52</v>
      </c>
      <c r="Y19" s="2">
        <v>0</v>
      </c>
      <c r="Z19" s="2">
        <v>100</v>
      </c>
      <c r="AA19">
        <v>1</v>
      </c>
      <c r="AB19" s="3">
        <v>1</v>
      </c>
      <c r="AC19" s="2">
        <v>100</v>
      </c>
      <c r="AD19" s="3">
        <v>0</v>
      </c>
      <c r="AE19" s="2">
        <v>0</v>
      </c>
      <c r="AF19" s="2">
        <v>100</v>
      </c>
      <c r="AK19">
        <v>5775565</v>
      </c>
    </row>
    <row r="20" spans="1:38" s="5" customFormat="1" x14ac:dyDescent="0.25">
      <c r="A20" s="4">
        <v>45896</v>
      </c>
      <c r="B20" s="4">
        <v>45896</v>
      </c>
      <c r="C20" s="5" t="s">
        <v>38</v>
      </c>
      <c r="D20" s="5" t="s">
        <v>39</v>
      </c>
      <c r="E20" s="5" t="s">
        <v>40</v>
      </c>
      <c r="F20" s="5" t="s">
        <v>41</v>
      </c>
      <c r="G20" s="5" t="s">
        <v>42</v>
      </c>
      <c r="H20" s="5" t="s">
        <v>43</v>
      </c>
      <c r="I20" s="5" t="s">
        <v>126</v>
      </c>
      <c r="J20" s="5" t="s">
        <v>127</v>
      </c>
      <c r="O20" s="5" t="s">
        <v>128</v>
      </c>
      <c r="P20" s="5" t="s">
        <v>129</v>
      </c>
      <c r="Q20" s="5" t="s">
        <v>130</v>
      </c>
      <c r="R20" s="5" t="s">
        <v>131</v>
      </c>
      <c r="S20" s="4">
        <v>45839</v>
      </c>
      <c r="U20" s="5" t="s">
        <v>51</v>
      </c>
      <c r="X20" s="5" t="s">
        <v>52</v>
      </c>
      <c r="Y20" s="6">
        <v>203.8</v>
      </c>
      <c r="Z20" s="6">
        <v>203.8</v>
      </c>
      <c r="AA20" s="5">
        <v>9</v>
      </c>
      <c r="AB20" s="7">
        <v>0.03</v>
      </c>
      <c r="AC20" s="6">
        <v>55.03</v>
      </c>
      <c r="AD20" s="7">
        <v>0</v>
      </c>
      <c r="AE20" s="6">
        <v>0</v>
      </c>
      <c r="AF20" s="6">
        <v>55.03</v>
      </c>
      <c r="AK20" s="5">
        <v>5775598</v>
      </c>
    </row>
    <row r="21" spans="1:38" x14ac:dyDescent="0.25">
      <c r="A21" s="1">
        <v>45896</v>
      </c>
      <c r="B21" s="1">
        <v>45896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132</v>
      </c>
      <c r="J21" t="s">
        <v>133</v>
      </c>
      <c r="M21" t="s">
        <v>134</v>
      </c>
      <c r="O21" t="s">
        <v>47</v>
      </c>
      <c r="P21" t="s">
        <v>48</v>
      </c>
      <c r="Q21" t="s">
        <v>49</v>
      </c>
      <c r="R21" t="s">
        <v>125</v>
      </c>
      <c r="S21" s="1">
        <v>45931</v>
      </c>
      <c r="U21" t="s">
        <v>51</v>
      </c>
      <c r="X21" t="s">
        <v>52</v>
      </c>
      <c r="Y21" s="2">
        <v>0</v>
      </c>
      <c r="Z21" s="2">
        <v>100</v>
      </c>
      <c r="AA21">
        <v>1</v>
      </c>
      <c r="AB21" s="3">
        <v>1</v>
      </c>
      <c r="AC21" s="2">
        <v>100</v>
      </c>
      <c r="AD21" s="3">
        <v>0</v>
      </c>
      <c r="AE21" s="2">
        <v>0</v>
      </c>
      <c r="AF21" s="2">
        <v>100</v>
      </c>
      <c r="AK21">
        <v>5775554</v>
      </c>
    </row>
    <row r="22" spans="1:38" x14ac:dyDescent="0.25">
      <c r="A22" s="1">
        <v>45896</v>
      </c>
      <c r="B22" s="1">
        <v>45896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135</v>
      </c>
      <c r="J22" t="s">
        <v>136</v>
      </c>
      <c r="M22" t="s">
        <v>137</v>
      </c>
      <c r="O22" t="s">
        <v>119</v>
      </c>
      <c r="P22" t="s">
        <v>120</v>
      </c>
      <c r="Q22" t="s">
        <v>49</v>
      </c>
      <c r="R22" t="s">
        <v>138</v>
      </c>
      <c r="S22" s="1">
        <v>45839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5775216</v>
      </c>
    </row>
    <row r="23" spans="1:38" x14ac:dyDescent="0.25">
      <c r="A23" s="1">
        <v>45896</v>
      </c>
      <c r="B23" s="1">
        <v>45896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139</v>
      </c>
      <c r="J23" t="s">
        <v>140</v>
      </c>
      <c r="M23" t="s">
        <v>141</v>
      </c>
      <c r="O23" t="s">
        <v>128</v>
      </c>
      <c r="P23" t="s">
        <v>129</v>
      </c>
      <c r="Q23" t="s">
        <v>49</v>
      </c>
      <c r="R23" t="s">
        <v>142</v>
      </c>
      <c r="S23" s="1">
        <v>45962</v>
      </c>
      <c r="U23" t="s">
        <v>51</v>
      </c>
      <c r="X23" t="s">
        <v>52</v>
      </c>
      <c r="Y23" s="2">
        <v>0</v>
      </c>
      <c r="Z23" s="2">
        <v>52.17</v>
      </c>
      <c r="AA23">
        <v>1</v>
      </c>
      <c r="AB23" s="3">
        <v>1</v>
      </c>
      <c r="AC23" s="2">
        <v>52.17</v>
      </c>
      <c r="AD23" s="3">
        <v>0</v>
      </c>
      <c r="AE23" s="2">
        <v>0</v>
      </c>
      <c r="AF23" s="2">
        <v>52.17</v>
      </c>
      <c r="AK23">
        <v>5775490</v>
      </c>
      <c r="AL23" t="s">
        <v>113</v>
      </c>
    </row>
    <row r="24" spans="1:38" x14ac:dyDescent="0.25">
      <c r="A24" s="1">
        <v>45896</v>
      </c>
      <c r="B24" s="1">
        <v>45896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143</v>
      </c>
      <c r="J24" t="s">
        <v>140</v>
      </c>
      <c r="M24" t="s">
        <v>141</v>
      </c>
      <c r="O24" t="s">
        <v>128</v>
      </c>
      <c r="P24" t="s">
        <v>129</v>
      </c>
      <c r="Q24" t="s">
        <v>49</v>
      </c>
      <c r="R24" t="s">
        <v>144</v>
      </c>
      <c r="S24" s="1">
        <v>45962</v>
      </c>
      <c r="U24" t="s">
        <v>51</v>
      </c>
      <c r="X24" t="s">
        <v>52</v>
      </c>
      <c r="Y24" s="2">
        <v>0</v>
      </c>
      <c r="Z24" s="2">
        <v>113</v>
      </c>
      <c r="AA24">
        <v>1</v>
      </c>
      <c r="AB24" s="3">
        <v>1</v>
      </c>
      <c r="AC24" s="2">
        <v>113</v>
      </c>
      <c r="AD24" s="3">
        <v>0</v>
      </c>
      <c r="AE24" s="2">
        <v>0</v>
      </c>
      <c r="AF24" s="2">
        <v>113</v>
      </c>
      <c r="AK24">
        <v>5775491</v>
      </c>
    </row>
    <row r="25" spans="1:38" x14ac:dyDescent="0.25">
      <c r="A25" s="1">
        <v>45896</v>
      </c>
      <c r="B25" s="1">
        <v>45896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145</v>
      </c>
      <c r="J25" t="s">
        <v>146</v>
      </c>
      <c r="M25" t="s">
        <v>147</v>
      </c>
      <c r="O25" t="s">
        <v>148</v>
      </c>
      <c r="P25" t="s">
        <v>149</v>
      </c>
      <c r="Q25" t="s">
        <v>49</v>
      </c>
      <c r="R25" t="s">
        <v>142</v>
      </c>
      <c r="S25" s="1">
        <v>45901</v>
      </c>
      <c r="U25" t="s">
        <v>51</v>
      </c>
      <c r="X25" t="s">
        <v>52</v>
      </c>
      <c r="Y25" s="2">
        <v>0</v>
      </c>
      <c r="Z25" s="2">
        <v>104.33</v>
      </c>
      <c r="AA25">
        <v>1</v>
      </c>
      <c r="AB25" s="3">
        <v>1</v>
      </c>
      <c r="AC25" s="2">
        <v>104.33</v>
      </c>
      <c r="AD25" s="3">
        <v>0</v>
      </c>
      <c r="AE25" s="2">
        <v>0</v>
      </c>
      <c r="AF25" s="2">
        <v>104.33</v>
      </c>
      <c r="AK25">
        <v>5775486</v>
      </c>
      <c r="AL25" t="s">
        <v>95</v>
      </c>
    </row>
    <row r="26" spans="1:38" x14ac:dyDescent="0.25">
      <c r="A26" s="1">
        <v>45896</v>
      </c>
      <c r="B26" s="1">
        <v>45896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150</v>
      </c>
      <c r="J26" t="s">
        <v>146</v>
      </c>
      <c r="M26" t="s">
        <v>147</v>
      </c>
      <c r="O26" t="s">
        <v>148</v>
      </c>
      <c r="P26" t="s">
        <v>149</v>
      </c>
      <c r="Q26" t="s">
        <v>49</v>
      </c>
      <c r="R26" t="s">
        <v>151</v>
      </c>
      <c r="S26" s="1">
        <v>45901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5775487</v>
      </c>
    </row>
    <row r="27" spans="1:38" x14ac:dyDescent="0.25">
      <c r="A27" s="1">
        <v>45896</v>
      </c>
      <c r="B27" s="1">
        <v>45896</v>
      </c>
      <c r="C27" t="s">
        <v>152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153</v>
      </c>
      <c r="J27" t="s">
        <v>154</v>
      </c>
      <c r="M27" t="s">
        <v>137</v>
      </c>
      <c r="O27" t="s">
        <v>155</v>
      </c>
      <c r="P27" t="s">
        <v>156</v>
      </c>
      <c r="Q27" t="s">
        <v>157</v>
      </c>
      <c r="R27" t="s">
        <v>158</v>
      </c>
      <c r="S27" s="1">
        <v>45658</v>
      </c>
      <c r="U27" t="s">
        <v>51</v>
      </c>
      <c r="X27" t="s">
        <v>52</v>
      </c>
      <c r="AF27" s="2">
        <v>108</v>
      </c>
      <c r="AG27" s="2">
        <v>0</v>
      </c>
      <c r="AJ27" s="2">
        <v>35.64</v>
      </c>
    </row>
    <row r="28" spans="1:38" x14ac:dyDescent="0.25">
      <c r="A28" s="1">
        <v>45896</v>
      </c>
      <c r="B28" s="1">
        <v>45896</v>
      </c>
      <c r="C28" t="s">
        <v>152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159</v>
      </c>
      <c r="J28" t="s">
        <v>160</v>
      </c>
      <c r="M28" t="s">
        <v>137</v>
      </c>
      <c r="O28" t="s">
        <v>161</v>
      </c>
      <c r="P28" t="s">
        <v>162</v>
      </c>
      <c r="Q28" t="s">
        <v>157</v>
      </c>
      <c r="R28" t="s">
        <v>57</v>
      </c>
      <c r="S28" s="1">
        <v>45658</v>
      </c>
      <c r="U28" t="s">
        <v>51</v>
      </c>
      <c r="X28" t="s">
        <v>52</v>
      </c>
      <c r="AF28" s="2">
        <v>175</v>
      </c>
      <c r="AG28" s="2">
        <v>0</v>
      </c>
      <c r="AJ28" s="2">
        <v>57.75</v>
      </c>
    </row>
    <row r="29" spans="1:38" x14ac:dyDescent="0.25">
      <c r="A29" s="1">
        <v>45896</v>
      </c>
      <c r="B29" s="1">
        <v>45896</v>
      </c>
      <c r="C29" t="s">
        <v>152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163</v>
      </c>
      <c r="J29" t="s">
        <v>164</v>
      </c>
      <c r="M29" t="s">
        <v>46</v>
      </c>
      <c r="O29" t="s">
        <v>64</v>
      </c>
      <c r="P29" t="s">
        <v>65</v>
      </c>
      <c r="Q29" t="s">
        <v>157</v>
      </c>
      <c r="R29" t="s">
        <v>57</v>
      </c>
      <c r="S29" s="1">
        <v>45870</v>
      </c>
      <c r="U29" t="s">
        <v>51</v>
      </c>
      <c r="X29" t="s">
        <v>52</v>
      </c>
      <c r="AF29" s="2">
        <v>175</v>
      </c>
      <c r="AG29" s="2">
        <v>0</v>
      </c>
      <c r="AJ29" s="2">
        <v>161</v>
      </c>
    </row>
    <row r="30" spans="1:38" x14ac:dyDescent="0.25">
      <c r="A30" s="1">
        <v>45896</v>
      </c>
      <c r="B30" s="1">
        <v>45896</v>
      </c>
      <c r="C30" t="s">
        <v>152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165</v>
      </c>
      <c r="J30" t="s">
        <v>166</v>
      </c>
      <c r="M30" t="s">
        <v>103</v>
      </c>
      <c r="O30" t="s">
        <v>167</v>
      </c>
      <c r="P30" t="s">
        <v>168</v>
      </c>
      <c r="Q30" t="s">
        <v>157</v>
      </c>
      <c r="R30" t="s">
        <v>57</v>
      </c>
      <c r="S30" s="1">
        <v>45901</v>
      </c>
      <c r="U30" t="s">
        <v>51</v>
      </c>
      <c r="X30" t="s">
        <v>52</v>
      </c>
      <c r="AF30" s="2">
        <v>175</v>
      </c>
      <c r="AG30" s="2">
        <v>0</v>
      </c>
      <c r="AJ30" s="2">
        <v>175</v>
      </c>
    </row>
    <row r="31" spans="1:38" x14ac:dyDescent="0.25">
      <c r="A31" s="1">
        <v>45896</v>
      </c>
      <c r="B31" s="1">
        <v>45896</v>
      </c>
      <c r="C31" t="s">
        <v>152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169</v>
      </c>
      <c r="J31" t="s">
        <v>170</v>
      </c>
      <c r="M31" t="s">
        <v>171</v>
      </c>
      <c r="O31" t="s">
        <v>172</v>
      </c>
      <c r="P31" t="s">
        <v>173</v>
      </c>
      <c r="Q31" t="s">
        <v>157</v>
      </c>
      <c r="R31" t="s">
        <v>88</v>
      </c>
      <c r="S31" s="1">
        <v>45717</v>
      </c>
      <c r="U31" t="s">
        <v>51</v>
      </c>
      <c r="X31" t="s">
        <v>52</v>
      </c>
      <c r="AF31" s="2">
        <v>41.67</v>
      </c>
      <c r="AG31" s="2">
        <v>0</v>
      </c>
      <c r="AJ31" s="2">
        <v>20.83</v>
      </c>
    </row>
    <row r="32" spans="1:38" x14ac:dyDescent="0.25">
      <c r="A32" s="1">
        <v>45896</v>
      </c>
      <c r="B32" s="1">
        <v>45896</v>
      </c>
      <c r="C32" t="s">
        <v>152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174</v>
      </c>
      <c r="J32" t="s">
        <v>175</v>
      </c>
      <c r="M32" t="s">
        <v>103</v>
      </c>
      <c r="O32" t="s">
        <v>41</v>
      </c>
      <c r="P32" t="s">
        <v>43</v>
      </c>
      <c r="Q32" t="s">
        <v>157</v>
      </c>
      <c r="R32" t="s">
        <v>176</v>
      </c>
      <c r="S32" s="1">
        <v>45717</v>
      </c>
      <c r="U32" t="s">
        <v>51</v>
      </c>
      <c r="X32" t="s">
        <v>52</v>
      </c>
      <c r="AF32" s="2">
        <v>50</v>
      </c>
      <c r="AG32" s="2">
        <v>0</v>
      </c>
      <c r="AJ32" s="2">
        <v>33.33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E24D-BBF0-48F0-B6AD-F89158EF5746}">
  <dimension ref="A1:S31"/>
  <sheetViews>
    <sheetView topLeftCell="A10" workbookViewId="0">
      <selection activeCell="S2" sqref="S2:S29"/>
    </sheetView>
  </sheetViews>
  <sheetFormatPr defaultRowHeight="15" x14ac:dyDescent="0.25"/>
  <cols>
    <col min="1" max="1" width="17.42578125" style="12" bestFit="1" customWidth="1"/>
    <col min="2" max="2" width="17.42578125" style="12" customWidth="1"/>
    <col min="3" max="3" width="22" bestFit="1" customWidth="1"/>
    <col min="6" max="6" width="15.7109375" bestFit="1" customWidth="1"/>
    <col min="7" max="7" width="21.5703125" bestFit="1" customWidth="1"/>
    <col min="9" max="9" width="47.140625" bestFit="1" customWidth="1"/>
    <col min="10" max="10" width="10.140625" bestFit="1" customWidth="1"/>
    <col min="17" max="17" width="16.140625" bestFit="1" customWidth="1"/>
    <col min="18" max="18" width="23.28515625" bestFit="1" customWidth="1"/>
    <col min="19" max="19" width="23.140625" bestFit="1" customWidth="1"/>
  </cols>
  <sheetData>
    <row r="1" spans="1:18" x14ac:dyDescent="0.25">
      <c r="A1" s="12" t="s">
        <v>8</v>
      </c>
      <c r="C1" t="s">
        <v>9</v>
      </c>
      <c r="D1" t="s">
        <v>10</v>
      </c>
      <c r="E1" t="s">
        <v>12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20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37</v>
      </c>
    </row>
    <row r="2" spans="1:18" x14ac:dyDescent="0.25">
      <c r="A2" s="12" t="s">
        <v>185</v>
      </c>
      <c r="B2" s="12" t="s">
        <v>185</v>
      </c>
      <c r="C2" t="s">
        <v>175</v>
      </c>
      <c r="E2" t="s">
        <v>103</v>
      </c>
      <c r="F2">
        <v>20411454</v>
      </c>
      <c r="G2" t="s">
        <v>207</v>
      </c>
      <c r="H2" t="s">
        <v>157</v>
      </c>
      <c r="I2" t="s">
        <v>176</v>
      </c>
      <c r="J2" s="1">
        <v>45717</v>
      </c>
      <c r="K2" t="s">
        <v>51</v>
      </c>
      <c r="P2">
        <v>-33.33</v>
      </c>
      <c r="R2" t="s">
        <v>177</v>
      </c>
    </row>
    <row r="3" spans="1:18" x14ac:dyDescent="0.25">
      <c r="A3" s="12">
        <v>102187585700</v>
      </c>
      <c r="B3" s="12" t="str">
        <f>CONCATENATE(A3,0)</f>
        <v>1021875857000</v>
      </c>
      <c r="C3" t="s">
        <v>84</v>
      </c>
      <c r="E3" t="s">
        <v>85</v>
      </c>
      <c r="F3">
        <v>20411454</v>
      </c>
      <c r="G3" t="s">
        <v>207</v>
      </c>
      <c r="H3" t="s">
        <v>49</v>
      </c>
      <c r="I3" t="s">
        <v>88</v>
      </c>
      <c r="J3" s="1">
        <v>45870</v>
      </c>
      <c r="K3" t="s">
        <v>51</v>
      </c>
      <c r="L3" s="2">
        <v>0</v>
      </c>
      <c r="M3" s="2">
        <v>20.83</v>
      </c>
      <c r="N3">
        <v>1</v>
      </c>
      <c r="O3" s="3">
        <v>1</v>
      </c>
      <c r="P3" s="2">
        <v>20.83</v>
      </c>
      <c r="Q3" t="s">
        <v>89</v>
      </c>
      <c r="R3" t="s">
        <v>177</v>
      </c>
    </row>
    <row r="4" spans="1:18" x14ac:dyDescent="0.25">
      <c r="A4" s="12">
        <v>102187630800</v>
      </c>
      <c r="B4" s="12" t="str">
        <f t="shared" ref="B4:B10" si="0">CONCATENATE(A4,0)</f>
        <v>1021876308000</v>
      </c>
      <c r="C4" t="s">
        <v>91</v>
      </c>
      <c r="E4" t="s">
        <v>92</v>
      </c>
      <c r="F4">
        <v>20411454</v>
      </c>
      <c r="G4" t="s">
        <v>207</v>
      </c>
      <c r="H4" t="s">
        <v>49</v>
      </c>
      <c r="I4" t="s">
        <v>88</v>
      </c>
      <c r="J4" s="1">
        <v>45901</v>
      </c>
      <c r="K4" t="s">
        <v>51</v>
      </c>
      <c r="L4" s="2">
        <v>0</v>
      </c>
      <c r="M4" s="2">
        <v>16.670000000000002</v>
      </c>
      <c r="N4">
        <v>1</v>
      </c>
      <c r="O4" s="3">
        <v>1</v>
      </c>
      <c r="P4" s="2">
        <v>16.670000000000002</v>
      </c>
      <c r="Q4" t="s">
        <v>95</v>
      </c>
      <c r="R4" t="s">
        <v>177</v>
      </c>
    </row>
    <row r="5" spans="1:18" x14ac:dyDescent="0.25">
      <c r="A5" s="12">
        <v>102188067100</v>
      </c>
      <c r="B5" s="12" t="str">
        <f t="shared" si="0"/>
        <v>1021880671000</v>
      </c>
      <c r="C5" t="s">
        <v>97</v>
      </c>
      <c r="E5" t="s">
        <v>98</v>
      </c>
      <c r="F5">
        <v>20411454</v>
      </c>
      <c r="G5" t="s">
        <v>207</v>
      </c>
      <c r="H5" t="s">
        <v>49</v>
      </c>
      <c r="I5" t="s">
        <v>88</v>
      </c>
      <c r="J5" s="1">
        <v>45901</v>
      </c>
      <c r="K5" t="s">
        <v>51</v>
      </c>
      <c r="L5" s="2">
        <v>0</v>
      </c>
      <c r="M5" s="2">
        <v>16.670000000000002</v>
      </c>
      <c r="N5">
        <v>1</v>
      </c>
      <c r="O5" s="3">
        <v>1</v>
      </c>
      <c r="P5" s="2">
        <v>16.670000000000002</v>
      </c>
      <c r="Q5" t="s">
        <v>95</v>
      </c>
      <c r="R5" t="s">
        <v>177</v>
      </c>
    </row>
    <row r="6" spans="1:18" x14ac:dyDescent="0.25">
      <c r="A6" s="12">
        <v>102188291300</v>
      </c>
      <c r="B6" s="12" t="str">
        <f t="shared" si="0"/>
        <v>1021882913000</v>
      </c>
      <c r="C6" t="s">
        <v>100</v>
      </c>
      <c r="E6" t="s">
        <v>46</v>
      </c>
      <c r="F6">
        <v>20411454</v>
      </c>
      <c r="G6" t="s">
        <v>207</v>
      </c>
      <c r="H6" t="s">
        <v>49</v>
      </c>
      <c r="I6" t="s">
        <v>88</v>
      </c>
      <c r="J6" s="1">
        <v>45901</v>
      </c>
      <c r="K6" t="s">
        <v>51</v>
      </c>
      <c r="L6" s="2">
        <v>0</v>
      </c>
      <c r="M6" s="2">
        <v>16.670000000000002</v>
      </c>
      <c r="N6">
        <v>1</v>
      </c>
      <c r="O6" s="3">
        <v>1</v>
      </c>
      <c r="P6" s="2">
        <v>16.670000000000002</v>
      </c>
      <c r="Q6" t="s">
        <v>95</v>
      </c>
      <c r="R6" t="s">
        <v>177</v>
      </c>
    </row>
    <row r="7" spans="1:18" x14ac:dyDescent="0.25">
      <c r="A7" s="12">
        <v>102188496900</v>
      </c>
      <c r="B7" s="12" t="str">
        <f t="shared" si="0"/>
        <v>1021884969000</v>
      </c>
      <c r="C7" t="s">
        <v>102</v>
      </c>
      <c r="E7" t="s">
        <v>103</v>
      </c>
      <c r="F7">
        <v>20411454</v>
      </c>
      <c r="G7" t="s">
        <v>207</v>
      </c>
      <c r="H7" t="s">
        <v>49</v>
      </c>
      <c r="I7" t="s">
        <v>88</v>
      </c>
      <c r="J7" s="1">
        <v>45901</v>
      </c>
      <c r="K7" t="s">
        <v>51</v>
      </c>
      <c r="L7" s="2">
        <v>0</v>
      </c>
      <c r="M7" s="2">
        <v>16.670000000000002</v>
      </c>
      <c r="N7">
        <v>1</v>
      </c>
      <c r="O7" s="3">
        <v>1</v>
      </c>
      <c r="P7" s="2">
        <v>16.670000000000002</v>
      </c>
      <c r="Q7" t="s">
        <v>95</v>
      </c>
      <c r="R7" t="s">
        <v>177</v>
      </c>
    </row>
    <row r="8" spans="1:18" x14ac:dyDescent="0.25">
      <c r="A8" s="12">
        <v>102188513600</v>
      </c>
      <c r="B8" s="12" t="str">
        <f t="shared" si="0"/>
        <v>1021885136000</v>
      </c>
      <c r="C8" t="s">
        <v>107</v>
      </c>
      <c r="E8" t="s">
        <v>108</v>
      </c>
      <c r="F8">
        <v>20411454</v>
      </c>
      <c r="G8" t="s">
        <v>207</v>
      </c>
      <c r="H8" t="s">
        <v>49</v>
      </c>
      <c r="I8" t="s">
        <v>88</v>
      </c>
      <c r="J8" s="1">
        <v>45901</v>
      </c>
      <c r="K8" t="s">
        <v>51</v>
      </c>
      <c r="L8" s="2">
        <v>0</v>
      </c>
      <c r="M8" s="2">
        <v>16.670000000000002</v>
      </c>
      <c r="N8">
        <v>1</v>
      </c>
      <c r="O8" s="3">
        <v>1</v>
      </c>
      <c r="P8" s="2">
        <v>16.670000000000002</v>
      </c>
      <c r="Q8" t="s">
        <v>95</v>
      </c>
      <c r="R8" t="s">
        <v>177</v>
      </c>
    </row>
    <row r="9" spans="1:18" x14ac:dyDescent="0.25">
      <c r="A9" s="12">
        <v>102188520000</v>
      </c>
      <c r="B9" s="12" t="str">
        <f t="shared" si="0"/>
        <v>1021885200000</v>
      </c>
      <c r="C9" t="s">
        <v>112</v>
      </c>
      <c r="E9" t="s">
        <v>46</v>
      </c>
      <c r="F9">
        <v>20411454</v>
      </c>
      <c r="G9" t="s">
        <v>207</v>
      </c>
      <c r="H9" t="s">
        <v>49</v>
      </c>
      <c r="I9" t="s">
        <v>88</v>
      </c>
      <c r="J9" s="1">
        <v>45962</v>
      </c>
      <c r="K9" t="s">
        <v>51</v>
      </c>
      <c r="L9" s="2">
        <v>0</v>
      </c>
      <c r="M9" s="2">
        <v>8.33</v>
      </c>
      <c r="N9">
        <v>1</v>
      </c>
      <c r="O9" s="3">
        <v>1</v>
      </c>
      <c r="P9" s="2">
        <v>8.33</v>
      </c>
      <c r="Q9" t="s">
        <v>113</v>
      </c>
      <c r="R9" t="s">
        <v>177</v>
      </c>
    </row>
    <row r="10" spans="1:18" x14ac:dyDescent="0.25">
      <c r="A10" s="12">
        <v>102188567800</v>
      </c>
      <c r="B10" s="12" t="str">
        <f t="shared" si="0"/>
        <v>1021885678000</v>
      </c>
      <c r="C10" t="s">
        <v>115</v>
      </c>
      <c r="E10" t="s">
        <v>108</v>
      </c>
      <c r="F10">
        <v>20411454</v>
      </c>
      <c r="G10" t="s">
        <v>207</v>
      </c>
      <c r="H10" t="s">
        <v>49</v>
      </c>
      <c r="I10" t="s">
        <v>88</v>
      </c>
      <c r="J10" s="1">
        <v>45901</v>
      </c>
      <c r="K10" t="s">
        <v>51</v>
      </c>
      <c r="L10" s="2">
        <v>0</v>
      </c>
      <c r="M10" s="2">
        <v>16.670000000000002</v>
      </c>
      <c r="N10">
        <v>1</v>
      </c>
      <c r="O10" s="3">
        <v>1</v>
      </c>
      <c r="P10" s="2">
        <v>16.670000000000002</v>
      </c>
      <c r="Q10" t="s">
        <v>95</v>
      </c>
      <c r="R10" t="s">
        <v>177</v>
      </c>
    </row>
    <row r="11" spans="1:18" x14ac:dyDescent="0.25">
      <c r="A11" s="12" t="s">
        <v>186</v>
      </c>
      <c r="B11" s="12" t="s">
        <v>186</v>
      </c>
      <c r="C11" t="s">
        <v>170</v>
      </c>
      <c r="E11" t="s">
        <v>171</v>
      </c>
      <c r="F11">
        <v>20411454</v>
      </c>
      <c r="G11" t="s">
        <v>207</v>
      </c>
      <c r="H11" t="s">
        <v>157</v>
      </c>
      <c r="I11" t="s">
        <v>88</v>
      </c>
      <c r="J11" s="1">
        <v>45717</v>
      </c>
      <c r="K11" t="s">
        <v>51</v>
      </c>
      <c r="P11">
        <v>-20.83</v>
      </c>
      <c r="R11" t="s">
        <v>177</v>
      </c>
    </row>
    <row r="12" spans="1:18" x14ac:dyDescent="0.25">
      <c r="A12" s="12" t="s">
        <v>187</v>
      </c>
      <c r="B12" s="12" t="str">
        <f t="shared" ref="B12:B20" si="1">CONCATENATE(A12,0)</f>
        <v>788W240890</v>
      </c>
      <c r="C12" t="s">
        <v>136</v>
      </c>
      <c r="E12" t="s">
        <v>137</v>
      </c>
      <c r="F12">
        <v>20411454</v>
      </c>
      <c r="G12" t="s">
        <v>207</v>
      </c>
      <c r="H12" t="s">
        <v>49</v>
      </c>
      <c r="I12" t="s">
        <v>138</v>
      </c>
      <c r="J12" s="1">
        <v>45839</v>
      </c>
      <c r="K12" t="s">
        <v>51</v>
      </c>
      <c r="L12" s="2">
        <v>0</v>
      </c>
      <c r="M12" s="2">
        <v>175</v>
      </c>
      <c r="N12">
        <v>1</v>
      </c>
      <c r="O12" s="3">
        <v>1</v>
      </c>
      <c r="P12" s="2">
        <v>175</v>
      </c>
      <c r="R12" t="s">
        <v>178</v>
      </c>
    </row>
    <row r="13" spans="1:18" x14ac:dyDescent="0.25">
      <c r="A13" s="12" t="s">
        <v>188</v>
      </c>
      <c r="B13" s="12" t="str">
        <f t="shared" si="1"/>
        <v>23A9F4R860</v>
      </c>
      <c r="C13" t="s">
        <v>117</v>
      </c>
      <c r="E13" t="s">
        <v>118</v>
      </c>
      <c r="F13">
        <v>20411454</v>
      </c>
      <c r="G13" t="s">
        <v>207</v>
      </c>
      <c r="H13" t="s">
        <v>49</v>
      </c>
      <c r="I13" t="s">
        <v>121</v>
      </c>
      <c r="J13" s="1">
        <v>45901</v>
      </c>
      <c r="K13" t="s">
        <v>51</v>
      </c>
      <c r="L13" s="2">
        <v>0</v>
      </c>
      <c r="M13" s="2">
        <v>50</v>
      </c>
      <c r="N13">
        <v>1</v>
      </c>
      <c r="O13" s="3">
        <v>1</v>
      </c>
      <c r="P13" s="2">
        <v>50</v>
      </c>
      <c r="R13" t="s">
        <v>179</v>
      </c>
    </row>
    <row r="14" spans="1:18" x14ac:dyDescent="0.25">
      <c r="A14" s="12" t="s">
        <v>189</v>
      </c>
      <c r="B14" s="12" t="str">
        <f t="shared" si="1"/>
        <v>00017393926K0</v>
      </c>
      <c r="C14" t="s">
        <v>45</v>
      </c>
      <c r="E14" t="s">
        <v>46</v>
      </c>
      <c r="F14">
        <v>20411454</v>
      </c>
      <c r="G14" t="s">
        <v>207</v>
      </c>
      <c r="H14" t="s">
        <v>49</v>
      </c>
      <c r="I14" t="s">
        <v>50</v>
      </c>
      <c r="J14" s="1">
        <v>45901</v>
      </c>
      <c r="K14" t="s">
        <v>51</v>
      </c>
      <c r="L14" s="2">
        <v>0</v>
      </c>
      <c r="M14" s="2">
        <v>96</v>
      </c>
      <c r="N14">
        <v>1</v>
      </c>
      <c r="O14" s="3">
        <v>1</v>
      </c>
      <c r="P14" s="2">
        <v>96</v>
      </c>
      <c r="R14" t="s">
        <v>180</v>
      </c>
    </row>
    <row r="15" spans="1:18" x14ac:dyDescent="0.25">
      <c r="A15" s="12" t="s">
        <v>190</v>
      </c>
      <c r="B15" s="12" t="str">
        <f t="shared" si="1"/>
        <v>00023558545K0</v>
      </c>
      <c r="C15" t="s">
        <v>54</v>
      </c>
      <c r="E15" t="s">
        <v>46</v>
      </c>
      <c r="F15">
        <v>20411454</v>
      </c>
      <c r="G15" t="s">
        <v>207</v>
      </c>
      <c r="H15" t="s">
        <v>49</v>
      </c>
      <c r="I15" t="s">
        <v>57</v>
      </c>
      <c r="J15" s="1">
        <v>45901</v>
      </c>
      <c r="K15" t="s">
        <v>51</v>
      </c>
      <c r="L15" s="2">
        <v>0</v>
      </c>
      <c r="M15" s="2">
        <v>175</v>
      </c>
      <c r="N15">
        <v>1</v>
      </c>
      <c r="O15" s="3">
        <v>1</v>
      </c>
      <c r="P15" s="2">
        <v>175</v>
      </c>
      <c r="R15" t="s">
        <v>180</v>
      </c>
    </row>
    <row r="16" spans="1:18" x14ac:dyDescent="0.25">
      <c r="A16" s="12" t="s">
        <v>191</v>
      </c>
      <c r="B16" s="12" t="str">
        <f t="shared" si="1"/>
        <v>00023560633K0</v>
      </c>
      <c r="C16" t="s">
        <v>59</v>
      </c>
      <c r="E16" t="s">
        <v>46</v>
      </c>
      <c r="F16">
        <v>20411454</v>
      </c>
      <c r="G16" t="s">
        <v>207</v>
      </c>
      <c r="H16" t="s">
        <v>49</v>
      </c>
      <c r="I16" t="s">
        <v>57</v>
      </c>
      <c r="J16" s="1">
        <v>45901</v>
      </c>
      <c r="K16" t="s">
        <v>51</v>
      </c>
      <c r="L16" s="2">
        <v>0</v>
      </c>
      <c r="M16" s="2">
        <v>175</v>
      </c>
      <c r="N16">
        <v>1</v>
      </c>
      <c r="O16" s="3">
        <v>1</v>
      </c>
      <c r="P16" s="2">
        <v>175</v>
      </c>
      <c r="R16" t="s">
        <v>180</v>
      </c>
    </row>
    <row r="17" spans="1:19" x14ac:dyDescent="0.25">
      <c r="A17" s="12" t="s">
        <v>192</v>
      </c>
      <c r="B17" s="12" t="str">
        <f t="shared" si="1"/>
        <v>00023560690K0</v>
      </c>
      <c r="C17" t="s">
        <v>63</v>
      </c>
      <c r="E17" t="s">
        <v>46</v>
      </c>
      <c r="F17">
        <v>20411454</v>
      </c>
      <c r="G17" t="s">
        <v>207</v>
      </c>
      <c r="H17" t="s">
        <v>49</v>
      </c>
      <c r="I17" t="s">
        <v>57</v>
      </c>
      <c r="J17" s="1">
        <v>45901</v>
      </c>
      <c r="K17" t="s">
        <v>51</v>
      </c>
      <c r="L17" s="2">
        <v>0</v>
      </c>
      <c r="M17" s="2">
        <v>175</v>
      </c>
      <c r="N17">
        <v>1</v>
      </c>
      <c r="O17" s="3">
        <v>1</v>
      </c>
      <c r="P17" s="2">
        <v>175</v>
      </c>
      <c r="R17" t="s">
        <v>180</v>
      </c>
    </row>
    <row r="18" spans="1:19" x14ac:dyDescent="0.25">
      <c r="A18" s="12" t="s">
        <v>193</v>
      </c>
      <c r="B18" s="12" t="str">
        <f t="shared" si="1"/>
        <v>00023566647K0</v>
      </c>
      <c r="C18" t="s">
        <v>73</v>
      </c>
      <c r="E18" t="s">
        <v>74</v>
      </c>
      <c r="F18">
        <v>20411454</v>
      </c>
      <c r="G18" t="s">
        <v>207</v>
      </c>
      <c r="H18" t="s">
        <v>49</v>
      </c>
      <c r="I18" t="s">
        <v>57</v>
      </c>
      <c r="J18" s="1">
        <v>45931</v>
      </c>
      <c r="K18" t="s">
        <v>51</v>
      </c>
      <c r="L18" s="2">
        <v>0</v>
      </c>
      <c r="M18" s="2">
        <v>175</v>
      </c>
      <c r="N18">
        <v>1</v>
      </c>
      <c r="O18" s="3">
        <v>1</v>
      </c>
      <c r="P18" s="2">
        <v>175</v>
      </c>
      <c r="R18" t="s">
        <v>180</v>
      </c>
    </row>
    <row r="19" spans="1:19" x14ac:dyDescent="0.25">
      <c r="A19" s="12" t="s">
        <v>194</v>
      </c>
      <c r="B19" s="12" t="str">
        <f t="shared" si="1"/>
        <v>00023568607K0</v>
      </c>
      <c r="C19" t="s">
        <v>78</v>
      </c>
      <c r="E19" t="s">
        <v>46</v>
      </c>
      <c r="F19">
        <v>20411454</v>
      </c>
      <c r="G19" t="s">
        <v>207</v>
      </c>
      <c r="H19" t="s">
        <v>49</v>
      </c>
      <c r="I19" t="s">
        <v>57</v>
      </c>
      <c r="J19" s="1">
        <v>45901</v>
      </c>
      <c r="K19" t="s">
        <v>51</v>
      </c>
      <c r="L19" s="2">
        <v>0</v>
      </c>
      <c r="M19" s="2">
        <v>175</v>
      </c>
      <c r="N19">
        <v>1</v>
      </c>
      <c r="O19" s="3">
        <v>1</v>
      </c>
      <c r="P19" s="2">
        <v>175</v>
      </c>
      <c r="R19" t="s">
        <v>180</v>
      </c>
    </row>
    <row r="20" spans="1:19" x14ac:dyDescent="0.25">
      <c r="A20" s="12" t="s">
        <v>195</v>
      </c>
      <c r="B20" s="12" t="str">
        <f t="shared" si="1"/>
        <v>00023569747K0</v>
      </c>
      <c r="C20" t="s">
        <v>82</v>
      </c>
      <c r="E20" t="s">
        <v>46</v>
      </c>
      <c r="F20">
        <v>20411454</v>
      </c>
      <c r="G20" t="s">
        <v>207</v>
      </c>
      <c r="H20" t="s">
        <v>49</v>
      </c>
      <c r="I20" t="s">
        <v>57</v>
      </c>
      <c r="J20" s="1">
        <v>45931</v>
      </c>
      <c r="K20" t="s">
        <v>51</v>
      </c>
      <c r="L20" s="2">
        <v>0</v>
      </c>
      <c r="M20" s="2">
        <v>175</v>
      </c>
      <c r="N20">
        <v>1</v>
      </c>
      <c r="O20" s="3">
        <v>1</v>
      </c>
      <c r="P20" s="2">
        <v>175</v>
      </c>
      <c r="R20" t="s">
        <v>180</v>
      </c>
    </row>
    <row r="21" spans="1:19" x14ac:dyDescent="0.25">
      <c r="A21" s="12" t="s">
        <v>196</v>
      </c>
      <c r="B21" s="12" t="s">
        <v>196</v>
      </c>
      <c r="C21" t="s">
        <v>160</v>
      </c>
      <c r="E21" t="s">
        <v>137</v>
      </c>
      <c r="F21">
        <v>20411454</v>
      </c>
      <c r="G21" t="s">
        <v>207</v>
      </c>
      <c r="H21" t="s">
        <v>157</v>
      </c>
      <c r="I21" t="s">
        <v>57</v>
      </c>
      <c r="J21" s="1">
        <v>45658</v>
      </c>
      <c r="K21" t="s">
        <v>51</v>
      </c>
      <c r="P21">
        <v>-57.75</v>
      </c>
      <c r="R21" t="s">
        <v>180</v>
      </c>
    </row>
    <row r="22" spans="1:19" x14ac:dyDescent="0.25">
      <c r="A22" s="12" t="s">
        <v>197</v>
      </c>
      <c r="B22" s="12" t="s">
        <v>197</v>
      </c>
      <c r="C22" t="s">
        <v>164</v>
      </c>
      <c r="E22" t="s">
        <v>46</v>
      </c>
      <c r="F22">
        <v>20411454</v>
      </c>
      <c r="G22" t="s">
        <v>207</v>
      </c>
      <c r="H22" t="s">
        <v>157</v>
      </c>
      <c r="I22" t="s">
        <v>57</v>
      </c>
      <c r="J22" s="1">
        <v>45870</v>
      </c>
      <c r="K22" t="s">
        <v>51</v>
      </c>
      <c r="P22">
        <v>-161</v>
      </c>
      <c r="R22" t="s">
        <v>180</v>
      </c>
    </row>
    <row r="23" spans="1:19" x14ac:dyDescent="0.25">
      <c r="A23" s="12" t="s">
        <v>198</v>
      </c>
      <c r="B23" s="12" t="s">
        <v>198</v>
      </c>
      <c r="C23" t="s">
        <v>166</v>
      </c>
      <c r="E23" t="s">
        <v>103</v>
      </c>
      <c r="F23">
        <v>20411454</v>
      </c>
      <c r="G23" t="s">
        <v>207</v>
      </c>
      <c r="H23" t="s">
        <v>157</v>
      </c>
      <c r="I23" t="s">
        <v>57</v>
      </c>
      <c r="J23" s="1">
        <v>45901</v>
      </c>
      <c r="K23" t="s">
        <v>51</v>
      </c>
      <c r="P23">
        <v>-175</v>
      </c>
      <c r="R23" t="s">
        <v>180</v>
      </c>
    </row>
    <row r="24" spans="1:19" x14ac:dyDescent="0.25">
      <c r="A24" s="12" t="s">
        <v>199</v>
      </c>
      <c r="B24" s="12" t="s">
        <v>199</v>
      </c>
      <c r="C24" t="s">
        <v>154</v>
      </c>
      <c r="E24" t="s">
        <v>137</v>
      </c>
      <c r="F24">
        <v>20411454</v>
      </c>
      <c r="G24" t="s">
        <v>207</v>
      </c>
      <c r="H24" t="s">
        <v>157</v>
      </c>
      <c r="I24" t="s">
        <v>158</v>
      </c>
      <c r="J24" s="1">
        <v>45658</v>
      </c>
      <c r="K24" t="s">
        <v>51</v>
      </c>
      <c r="P24">
        <v>-35.64</v>
      </c>
      <c r="R24" t="s">
        <v>180</v>
      </c>
    </row>
    <row r="25" spans="1:19" s="8" customFormat="1" x14ac:dyDescent="0.25">
      <c r="A25" s="13" t="s">
        <v>200</v>
      </c>
      <c r="B25" s="13" t="s">
        <v>200</v>
      </c>
      <c r="C25" s="8" t="s">
        <v>67</v>
      </c>
      <c r="E25" s="8" t="s">
        <v>68</v>
      </c>
      <c r="F25" s="8">
        <v>19491313</v>
      </c>
      <c r="G25" s="8" t="s">
        <v>70</v>
      </c>
      <c r="H25" s="8" t="s">
        <v>49</v>
      </c>
      <c r="I25" s="8" t="s">
        <v>71</v>
      </c>
      <c r="J25" s="9">
        <v>45931</v>
      </c>
      <c r="K25" s="8" t="s">
        <v>51</v>
      </c>
      <c r="L25" s="10">
        <v>0</v>
      </c>
      <c r="M25" s="10">
        <v>15</v>
      </c>
      <c r="N25" s="8">
        <v>1</v>
      </c>
      <c r="O25" s="11">
        <v>1</v>
      </c>
      <c r="P25" s="10">
        <v>15</v>
      </c>
      <c r="R25" s="8" t="s">
        <v>181</v>
      </c>
    </row>
    <row r="26" spans="1:19" x14ac:dyDescent="0.25">
      <c r="A26" s="12" t="s">
        <v>201</v>
      </c>
      <c r="B26" s="12" t="s">
        <v>201</v>
      </c>
      <c r="C26" t="s">
        <v>146</v>
      </c>
      <c r="E26" t="s">
        <v>147</v>
      </c>
      <c r="F26">
        <v>20411454</v>
      </c>
      <c r="G26" t="s">
        <v>207</v>
      </c>
      <c r="H26" t="s">
        <v>49</v>
      </c>
      <c r="I26" t="s">
        <v>151</v>
      </c>
      <c r="J26" s="1">
        <v>45901</v>
      </c>
      <c r="K26" t="s">
        <v>51</v>
      </c>
      <c r="L26" s="2">
        <v>0</v>
      </c>
      <c r="M26" s="2">
        <v>175</v>
      </c>
      <c r="N26">
        <v>1</v>
      </c>
      <c r="O26" s="3">
        <v>1</v>
      </c>
      <c r="P26" s="2">
        <v>175</v>
      </c>
      <c r="R26" t="s">
        <v>182</v>
      </c>
    </row>
    <row r="27" spans="1:19" x14ac:dyDescent="0.25">
      <c r="A27" s="12" t="s">
        <v>202</v>
      </c>
      <c r="B27" s="12" t="s">
        <v>202</v>
      </c>
      <c r="C27" t="s">
        <v>140</v>
      </c>
      <c r="E27" t="s">
        <v>141</v>
      </c>
      <c r="F27">
        <v>20411454</v>
      </c>
      <c r="G27" t="s">
        <v>207</v>
      </c>
      <c r="H27" t="s">
        <v>49</v>
      </c>
      <c r="I27" t="s">
        <v>144</v>
      </c>
      <c r="J27" s="1">
        <v>45962</v>
      </c>
      <c r="K27" t="s">
        <v>51</v>
      </c>
      <c r="L27" s="2">
        <v>0</v>
      </c>
      <c r="M27" s="2">
        <v>113</v>
      </c>
      <c r="N27">
        <v>1</v>
      </c>
      <c r="O27" s="3">
        <v>1</v>
      </c>
      <c r="P27" s="2">
        <v>113</v>
      </c>
      <c r="R27" t="s">
        <v>182</v>
      </c>
    </row>
    <row r="28" spans="1:19" s="8" customFormat="1" x14ac:dyDescent="0.25">
      <c r="A28" s="13">
        <v>934515223</v>
      </c>
      <c r="B28" s="12" t="str">
        <f>CONCATENATE(A28,1)</f>
        <v>9345152231</v>
      </c>
      <c r="C28" s="8" t="s">
        <v>140</v>
      </c>
      <c r="E28" s="8" t="s">
        <v>141</v>
      </c>
      <c r="F28" s="8">
        <v>20724564</v>
      </c>
      <c r="G28" s="8" t="s">
        <v>129</v>
      </c>
      <c r="H28" s="8" t="s">
        <v>49</v>
      </c>
      <c r="I28" s="8" t="s">
        <v>142</v>
      </c>
      <c r="J28" s="9">
        <v>45962</v>
      </c>
      <c r="K28" s="8" t="s">
        <v>51</v>
      </c>
      <c r="L28" s="10">
        <v>0</v>
      </c>
      <c r="M28" s="10">
        <v>52.17</v>
      </c>
      <c r="N28" s="8">
        <v>1</v>
      </c>
      <c r="O28" s="11">
        <v>1</v>
      </c>
      <c r="P28" s="10">
        <v>52.17</v>
      </c>
      <c r="Q28" s="8" t="s">
        <v>113</v>
      </c>
      <c r="R28" s="8" t="s">
        <v>184</v>
      </c>
      <c r="S28" s="8" t="s">
        <v>206</v>
      </c>
    </row>
    <row r="29" spans="1:19" s="8" customFormat="1" x14ac:dyDescent="0.25">
      <c r="A29" s="13">
        <v>976044955</v>
      </c>
      <c r="B29" s="12" t="str">
        <f>CONCATENATE(A29,1)</f>
        <v>9760449551</v>
      </c>
      <c r="C29" s="8" t="s">
        <v>146</v>
      </c>
      <c r="E29" s="8" t="s">
        <v>147</v>
      </c>
      <c r="F29" s="8">
        <v>6634327</v>
      </c>
      <c r="G29" s="8" t="s">
        <v>149</v>
      </c>
      <c r="H29" s="8" t="s">
        <v>49</v>
      </c>
      <c r="I29" s="8" t="s">
        <v>142</v>
      </c>
      <c r="J29" s="9">
        <v>45901</v>
      </c>
      <c r="K29" s="8" t="s">
        <v>51</v>
      </c>
      <c r="L29" s="10">
        <v>0</v>
      </c>
      <c r="M29" s="10">
        <v>104.33</v>
      </c>
      <c r="N29" s="8">
        <v>1</v>
      </c>
      <c r="O29" s="11">
        <v>1</v>
      </c>
      <c r="P29" s="10">
        <v>104.33</v>
      </c>
      <c r="Q29" s="8" t="s">
        <v>95</v>
      </c>
      <c r="R29" s="8" t="s">
        <v>184</v>
      </c>
      <c r="S29" s="8" t="s">
        <v>205</v>
      </c>
    </row>
    <row r="30" spans="1:19" x14ac:dyDescent="0.25">
      <c r="A30" s="12" t="s">
        <v>203</v>
      </c>
      <c r="B30" s="12" t="str">
        <f t="shared" ref="B30:B31" si="2">CONCATENATE(A30,0)</f>
        <v>2GA8K93UK560</v>
      </c>
      <c r="C30" t="s">
        <v>123</v>
      </c>
      <c r="E30" t="s">
        <v>46</v>
      </c>
      <c r="F30">
        <v>20411454</v>
      </c>
      <c r="G30" t="s">
        <v>207</v>
      </c>
      <c r="H30" t="s">
        <v>124</v>
      </c>
      <c r="I30" t="s">
        <v>125</v>
      </c>
      <c r="J30" s="1">
        <v>45870</v>
      </c>
      <c r="K30" t="s">
        <v>51</v>
      </c>
      <c r="L30" s="2">
        <v>0</v>
      </c>
      <c r="M30" s="2">
        <v>100</v>
      </c>
      <c r="N30">
        <v>1</v>
      </c>
      <c r="O30" s="3">
        <v>1</v>
      </c>
      <c r="P30" s="2">
        <v>100</v>
      </c>
      <c r="R30" t="s">
        <v>183</v>
      </c>
    </row>
    <row r="31" spans="1:19" x14ac:dyDescent="0.25">
      <c r="A31" s="12" t="s">
        <v>204</v>
      </c>
      <c r="B31" s="12" t="str">
        <f t="shared" si="2"/>
        <v>4G93WA4FJ750</v>
      </c>
      <c r="C31" t="s">
        <v>133</v>
      </c>
      <c r="E31" t="s">
        <v>134</v>
      </c>
      <c r="F31">
        <v>20411454</v>
      </c>
      <c r="G31" t="s">
        <v>207</v>
      </c>
      <c r="H31" t="s">
        <v>49</v>
      </c>
      <c r="I31" t="s">
        <v>125</v>
      </c>
      <c r="J31" s="1">
        <v>45931</v>
      </c>
      <c r="K31" t="s">
        <v>51</v>
      </c>
      <c r="L31" s="2">
        <v>0</v>
      </c>
      <c r="M31" s="2">
        <v>100</v>
      </c>
      <c r="N31">
        <v>1</v>
      </c>
      <c r="O31" s="3">
        <v>1</v>
      </c>
      <c r="P31" s="2">
        <v>100</v>
      </c>
      <c r="R31" t="s">
        <v>183</v>
      </c>
    </row>
  </sheetData>
  <sortState xmlns:xlrd2="http://schemas.microsoft.com/office/spreadsheetml/2017/richdata2" ref="A2:AL31">
    <sortCondition ref="I2:I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80D0-B10C-4D6D-B88F-0A606C47C542}">
  <dimension ref="A1:P2"/>
  <sheetViews>
    <sheetView tabSelected="1" workbookViewId="0">
      <selection activeCell="A2" sqref="A2"/>
    </sheetView>
  </sheetViews>
  <sheetFormatPr defaultRowHeight="15" x14ac:dyDescent="0.25"/>
  <sheetData>
    <row r="1" spans="1:16" x14ac:dyDescent="0.25">
      <c r="A1" t="s">
        <v>8</v>
      </c>
      <c r="B1" t="s">
        <v>9</v>
      </c>
      <c r="C1" t="s">
        <v>10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20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37</v>
      </c>
    </row>
    <row r="2" spans="1:16" x14ac:dyDescent="0.25">
      <c r="A2" t="s">
        <v>208</v>
      </c>
      <c r="B2" t="s">
        <v>127</v>
      </c>
      <c r="F2" t="s">
        <v>129</v>
      </c>
      <c r="G2" t="s">
        <v>130</v>
      </c>
      <c r="H2" t="s">
        <v>131</v>
      </c>
      <c r="I2" s="1">
        <v>45839</v>
      </c>
      <c r="J2" t="s">
        <v>51</v>
      </c>
      <c r="K2" s="2">
        <v>203.8</v>
      </c>
      <c r="L2" s="2">
        <v>203.8</v>
      </c>
      <c r="M2">
        <v>9</v>
      </c>
      <c r="N2" s="3">
        <v>0.03</v>
      </c>
      <c r="O2" s="2">
        <v>55.03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2025-08-28T13:08:53Z</dcterms:created>
  <dcterms:modified xsi:type="dcterms:W3CDTF">2025-09-17T21:00:43Z</dcterms:modified>
</cp:coreProperties>
</file>