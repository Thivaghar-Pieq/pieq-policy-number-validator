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30-25\"/>
    </mc:Choice>
  </mc:AlternateContent>
  <xr:revisionPtr revIDLastSave="0" documentId="13_ncr:1_{9A58C615-31B4-4BCD-B726-4169D5F7D099}" xr6:coauthVersionLast="47" xr6:coauthVersionMax="47" xr10:uidLastSave="{00000000-0000-0000-0000-000000000000}"/>
  <bookViews>
    <workbookView xWindow="28680" yWindow="-120" windowWidth="29040" windowHeight="16440" activeTab="1" xr2:uid="{4A815899-7923-4C9F-8458-9AFBDBEC14D8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5" i="2" l="1"/>
  <c r="B67" i="2"/>
  <c r="B66" i="2"/>
  <c r="B65" i="2"/>
  <c r="B64" i="2"/>
  <c r="B63" i="2"/>
  <c r="B62" i="2"/>
  <c r="B61" i="2"/>
  <c r="B60" i="2"/>
  <c r="B59" i="2"/>
  <c r="B32" i="2"/>
  <c r="B31" i="2"/>
  <c r="B30" i="2"/>
  <c r="B29" i="2"/>
  <c r="B28" i="2"/>
  <c r="B27" i="2"/>
  <c r="B26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<sst xmlns="http://schemas.openxmlformats.org/spreadsheetml/2006/main" count="1694" uniqueCount="305">
  <si>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</si>
  <si>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</si>
  <si>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</si>
  <si>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</si>
  <si>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</si>
  <si>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</si>
  <si>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</si>
  <si>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</si>
  <si>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</si>
  <si>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</si>
  <si>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</si>
  <si>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</si>
  <si>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</si>
  <si>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</si>
  <si>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</si>
  <si>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</si>
  <si>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</si>
  <si>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</si>
  <si>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</si>
  <si>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</si>
  <si>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</si>
  <si>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</si>
  <si>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</si>
  <si>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</si>
  <si>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</si>
  <si>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</si>
  <si>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</si>
  <si>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</si>
  <si>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</si>
  <si>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</si>
  <si>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</si>
  <si>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</si>
  <si>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</si>
  <si>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</si>
  <si>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</si>
  <si>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</si>
  <si>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</si>
  <si>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</si>
  <si>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</si>
  <si>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</si>
  <si>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</si>
  <si>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</si>
  <si>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</si>
  <si>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</si>
  <si>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'00017112048K</t>
  </si>
  <si>
    <t>DARLINO FUSILERO</t>
  </si>
  <si>
    <t>IL</t>
  </si>
  <si>
    <t>'045613</t>
  </si>
  <si>
    <t>RICARDO SANTOS</t>
  </si>
  <si>
    <t>ACTIVE</t>
  </si>
  <si>
    <t>Humana MA 2019+ Level 15- 175/108</t>
  </si>
  <si>
    <t>Monthly</t>
  </si>
  <si>
    <t>AV</t>
  </si>
  <si>
    <t>'00023414341K</t>
  </si>
  <si>
    <t>CHARLENE YAZZIE</t>
  </si>
  <si>
    <t>NM</t>
  </si>
  <si>
    <t>'043638</t>
  </si>
  <si>
    <t>THOMAS PARDUE</t>
  </si>
  <si>
    <t>'00023488597K</t>
  </si>
  <si>
    <t>DAVID KUZMANKO</t>
  </si>
  <si>
    <t>FL</t>
  </si>
  <si>
    <t>'045605</t>
  </si>
  <si>
    <t>GARY PORTUGAL</t>
  </si>
  <si>
    <t>'00023488812K</t>
  </si>
  <si>
    <t>TRACY COSTELLO</t>
  </si>
  <si>
    <t>'045612</t>
  </si>
  <si>
    <t>ANTHONY HUNSBERGER</t>
  </si>
  <si>
    <t>'00023496128KPDP</t>
  </si>
  <si>
    <t>NORMAND DUNLAP</t>
  </si>
  <si>
    <t>IN</t>
  </si>
  <si>
    <t>'045937</t>
  </si>
  <si>
    <t>MARSHA SANDEROCK</t>
  </si>
  <si>
    <t>Humana PDP 2019+ Level 15- 15/0</t>
  </si>
  <si>
    <t>'00023497311KPDP</t>
  </si>
  <si>
    <t>PEGGY MAZUREK</t>
  </si>
  <si>
    <t>MD</t>
  </si>
  <si>
    <t>'045717</t>
  </si>
  <si>
    <t>RONALD MAX</t>
  </si>
  <si>
    <t>'00023498110K</t>
  </si>
  <si>
    <t>JEANNE BIESCHKE</t>
  </si>
  <si>
    <t>'045709</t>
  </si>
  <si>
    <t>ESTHER HERRERA-LARSEN</t>
  </si>
  <si>
    <t>'00023498384K</t>
  </si>
  <si>
    <t>RAYMOND CHESNIAK</t>
  </si>
  <si>
    <t>WI</t>
  </si>
  <si>
    <t>'045638</t>
  </si>
  <si>
    <t>RICHARD YALE</t>
  </si>
  <si>
    <t>'00023499366K</t>
  </si>
  <si>
    <t>EDWARD LEJECK</t>
  </si>
  <si>
    <t>'045618</t>
  </si>
  <si>
    <t>STEPHANIE DRAPAC</t>
  </si>
  <si>
    <t>'00023501543KPDP</t>
  </si>
  <si>
    <t>TERESA LAIN</t>
  </si>
  <si>
    <t>'00023502071K</t>
  </si>
  <si>
    <t>ANITA WENGERSKI</t>
  </si>
  <si>
    <t>'045622</t>
  </si>
  <si>
    <t>JACOB YALE</t>
  </si>
  <si>
    <t>'00023502164K</t>
  </si>
  <si>
    <t>JEFF HUNTER</t>
  </si>
  <si>
    <t>'045601</t>
  </si>
  <si>
    <t>CAROL FOLEY</t>
  </si>
  <si>
    <t>'101117303700</t>
  </si>
  <si>
    <t>FRANK MIHELIC</t>
  </si>
  <si>
    <t>PA</t>
  </si>
  <si>
    <t>'043679</t>
  </si>
  <si>
    <t>DEBORAH INSKIPT</t>
  </si>
  <si>
    <t>Aetna MAPD NMO to GMO - 4-1-23+  Replace E-App</t>
  </si>
  <si>
    <t>6/12 PRORATE</t>
  </si>
  <si>
    <t>'102172611900</t>
  </si>
  <si>
    <t>DIANA QUESADA</t>
  </si>
  <si>
    <t>'043682</t>
  </si>
  <si>
    <t>GREGORY TEIPEL</t>
  </si>
  <si>
    <t>Aetna MAPD NMO to GMO - 4-1-23+  New E-App</t>
  </si>
  <si>
    <t>'102172618800</t>
  </si>
  <si>
    <t>'102175052800</t>
  </si>
  <si>
    <t>VALERIE PAVLICK-GNAZZO</t>
  </si>
  <si>
    <t>'043691</t>
  </si>
  <si>
    <t>MICHELLE MCCORKLE</t>
  </si>
  <si>
    <t>'102175758100</t>
  </si>
  <si>
    <t>DAVID FISK</t>
  </si>
  <si>
    <t>'102176759200</t>
  </si>
  <si>
    <t>'102176926900</t>
  </si>
  <si>
    <t>JANA WAYT</t>
  </si>
  <si>
    <t>CO</t>
  </si>
  <si>
    <t>'045621</t>
  </si>
  <si>
    <t>HEATHER GESKE</t>
  </si>
  <si>
    <t>'102177007300</t>
  </si>
  <si>
    <t>RENATA SIDOR</t>
  </si>
  <si>
    <t>'045604</t>
  </si>
  <si>
    <t>JEFFREY HORN</t>
  </si>
  <si>
    <t>'102177215600</t>
  </si>
  <si>
    <t>MARY YO</t>
  </si>
  <si>
    <t>MO</t>
  </si>
  <si>
    <t>'102177233000</t>
  </si>
  <si>
    <t>RENEE MCMATH</t>
  </si>
  <si>
    <t>'102177242000</t>
  </si>
  <si>
    <t>KEITH SNOOK</t>
  </si>
  <si>
    <t>'043689</t>
  </si>
  <si>
    <t>ANNE MARIE KOZACHECK</t>
  </si>
  <si>
    <t>'102178218100</t>
  </si>
  <si>
    <t>'102178275700</t>
  </si>
  <si>
    <t>CYNTHIA SMITH</t>
  </si>
  <si>
    <t>'043637</t>
  </si>
  <si>
    <t>CHRISTIAN TAUGNER</t>
  </si>
  <si>
    <t>Aetna MAPD NMO to GMO - 4-1-23+  New Paper</t>
  </si>
  <si>
    <t>'102178491500</t>
  </si>
  <si>
    <t>BEI WA</t>
  </si>
  <si>
    <t>'043867</t>
  </si>
  <si>
    <t>RYAN STOCKER</t>
  </si>
  <si>
    <t>'102179150500</t>
  </si>
  <si>
    <t>'043618</t>
  </si>
  <si>
    <t>SAADIA ABDUL</t>
  </si>
  <si>
    <t>'102179152300</t>
  </si>
  <si>
    <t>'102179360200</t>
  </si>
  <si>
    <t>'102179372000</t>
  </si>
  <si>
    <t>LOUIS WEDIG</t>
  </si>
  <si>
    <t>'047621</t>
  </si>
  <si>
    <t>TOM SERIO</t>
  </si>
  <si>
    <t>'102179379000</t>
  </si>
  <si>
    <t>'102179506900</t>
  </si>
  <si>
    <t>JAY TRIEMSTRA</t>
  </si>
  <si>
    <t>'045603</t>
  </si>
  <si>
    <t>ANDREW CHOI</t>
  </si>
  <si>
    <t>'102179509500</t>
  </si>
  <si>
    <t>SUSAN SOMMER</t>
  </si>
  <si>
    <t>TX</t>
  </si>
  <si>
    <t>'102179947100</t>
  </si>
  <si>
    <t>WILLIAM MASCHMEYER</t>
  </si>
  <si>
    <t>'045611</t>
  </si>
  <si>
    <t>FRANK LISKOVEC</t>
  </si>
  <si>
    <t>'102180438800</t>
  </si>
  <si>
    <t>'102180643300</t>
  </si>
  <si>
    <t>LAURIE ROWE</t>
  </si>
  <si>
    <t>'102180688400</t>
  </si>
  <si>
    <t>CARMELLA BURDI</t>
  </si>
  <si>
    <t>'102180919900</t>
  </si>
  <si>
    <t>BECKY FARMER</t>
  </si>
  <si>
    <t>'043786</t>
  </si>
  <si>
    <t>MARGARET SMITH</t>
  </si>
  <si>
    <t>'102181196800</t>
  </si>
  <si>
    <t>'102182536000</t>
  </si>
  <si>
    <t>CHERYL WILLOCKS</t>
  </si>
  <si>
    <t>GA</t>
  </si>
  <si>
    <t>'043969</t>
  </si>
  <si>
    <t>STACEY PORTUGAL</t>
  </si>
  <si>
    <t>3/12 PRORATE</t>
  </si>
  <si>
    <t>'102183051300</t>
  </si>
  <si>
    <t>CHARLOTTE ANDRESKY</t>
  </si>
  <si>
    <t>NC</t>
  </si>
  <si>
    <t>'102183195600</t>
  </si>
  <si>
    <t>SHARON NELSEN</t>
  </si>
  <si>
    <t>5/12 PRORATE</t>
  </si>
  <si>
    <t>'133751757</t>
  </si>
  <si>
    <t>MICHAEL BUSH</t>
  </si>
  <si>
    <t>UHC MAPD Street payable to upline- 2025 Replace</t>
  </si>
  <si>
    <t>'133751757OV</t>
  </si>
  <si>
    <t>UHC MA Direct 2025 New Full</t>
  </si>
  <si>
    <t>CB</t>
  </si>
  <si>
    <t>'00022424586KPC</t>
  </si>
  <si>
    <t>WILLIAM KELLEY</t>
  </si>
  <si>
    <t>NA</t>
  </si>
  <si>
    <t>CHARGEBACK</t>
  </si>
  <si>
    <t>'00022971348KPC</t>
  </si>
  <si>
    <t>EDWIN TORRES-ORTIZ</t>
  </si>
  <si>
    <t>'00023486977KCB</t>
  </si>
  <si>
    <t>JACKI BIRCKELBAW</t>
  </si>
  <si>
    <t>'043705</t>
  </si>
  <si>
    <t>MICHAEL DUNAVANT</t>
  </si>
  <si>
    <t>'102124713700PC</t>
  </si>
  <si>
    <t>NANCY OBERLANDER</t>
  </si>
  <si>
    <t>MN</t>
  </si>
  <si>
    <t>'102172611900CB</t>
  </si>
  <si>
    <t>'102172618800CB</t>
  </si>
  <si>
    <t>GERALD PUCKETT</t>
  </si>
  <si>
    <t>'102175052800CB</t>
  </si>
  <si>
    <t>VALERIE PAVLICK GNAZZO</t>
  </si>
  <si>
    <t>'102175758100CB</t>
  </si>
  <si>
    <t>'102176759200CB</t>
  </si>
  <si>
    <t>LISA MANGANELLO</t>
  </si>
  <si>
    <t>'102176926900CB</t>
  </si>
  <si>
    <t>DEBRA WYLLIE</t>
  </si>
  <si>
    <t>'102177007300CB</t>
  </si>
  <si>
    <t>LOUIE OLAH</t>
  </si>
  <si>
    <t>'102177215600CB</t>
  </si>
  <si>
    <t>LUANNA SCHMITZ</t>
  </si>
  <si>
    <t>'102177233000CB</t>
  </si>
  <si>
    <t>'102177242000CB</t>
  </si>
  <si>
    <t>MICHAEL RIZZO</t>
  </si>
  <si>
    <t>'102178218100CB</t>
  </si>
  <si>
    <t>RIMOND JAMOU</t>
  </si>
  <si>
    <t>'102178275700CB</t>
  </si>
  <si>
    <t>Aetna MAPD NMO to GMO - 4-1-23+  Replace Paper</t>
  </si>
  <si>
    <t>'102178491500CB</t>
  </si>
  <si>
    <t>JUNE MCGRATH</t>
  </si>
  <si>
    <t>'102179150500CB</t>
  </si>
  <si>
    <t>IGNACIO GARCIA</t>
  </si>
  <si>
    <t>'102179152300CB</t>
  </si>
  <si>
    <t>CAROLYN WARF</t>
  </si>
  <si>
    <t>'102179360200CB</t>
  </si>
  <si>
    <t>ANGELA DAVIS</t>
  </si>
  <si>
    <t>'102179372000CB</t>
  </si>
  <si>
    <t>BRENT OFFENHEISER</t>
  </si>
  <si>
    <t>'102179379000CB</t>
  </si>
  <si>
    <t>ANGELICA VARGAS</t>
  </si>
  <si>
    <t>'102179506900CB</t>
  </si>
  <si>
    <t>MARK MILLER</t>
  </si>
  <si>
    <t>'102179509500CB</t>
  </si>
  <si>
    <t>'102179947100CB</t>
  </si>
  <si>
    <t>'102180438800CB</t>
  </si>
  <si>
    <t>MARIA AGUAIZA</t>
  </si>
  <si>
    <t>'102180643300CB</t>
  </si>
  <si>
    <t>'102180688400CB</t>
  </si>
  <si>
    <t>'102180919900CB</t>
  </si>
  <si>
    <t>'102181196800CB</t>
  </si>
  <si>
    <t>DIANE SMITH</t>
  </si>
  <si>
    <t>Aetna MAPD OVR 2025</t>
  </si>
  <si>
    <t>Humana MAPD OVR 2025</t>
  </si>
  <si>
    <t>Humana PDP 2025!</t>
  </si>
  <si>
    <t>UHC MAPD Ovr 2025</t>
  </si>
  <si>
    <t>UHC MAPD 2025*</t>
  </si>
  <si>
    <t>[%/$=313][prorate=5/12]</t>
  </si>
  <si>
    <t>102124713700PC</t>
  </si>
  <si>
    <t>102172611900CB</t>
  </si>
  <si>
    <t>102172618800CB</t>
  </si>
  <si>
    <t>102175052800CB</t>
  </si>
  <si>
    <t>102175758100CB</t>
  </si>
  <si>
    <t>102176759200CB</t>
  </si>
  <si>
    <t>102176926900CB</t>
  </si>
  <si>
    <t>102177007300CB</t>
  </si>
  <si>
    <t>102177215600CB</t>
  </si>
  <si>
    <t>102177233000CB</t>
  </si>
  <si>
    <t>102177242000CB</t>
  </si>
  <si>
    <t>102178218100CB</t>
  </si>
  <si>
    <t>102178491500CB</t>
  </si>
  <si>
    <t>102179152300CB</t>
  </si>
  <si>
    <t>102179372000CB</t>
  </si>
  <si>
    <t>102179379000CB</t>
  </si>
  <si>
    <t>102179506900CB</t>
  </si>
  <si>
    <t>102179509500CB</t>
  </si>
  <si>
    <t>102179947100CB</t>
  </si>
  <si>
    <t>102180438800CB</t>
  </si>
  <si>
    <t>102180643300CB</t>
  </si>
  <si>
    <t>102180688400CB</t>
  </si>
  <si>
    <t>102180919900CB</t>
  </si>
  <si>
    <t>102181196800CB</t>
  </si>
  <si>
    <t>102178275700CB</t>
  </si>
  <si>
    <t>102179150500CB</t>
  </si>
  <si>
    <t>102179360200CB</t>
  </si>
  <si>
    <t>00017112048K</t>
  </si>
  <si>
    <t>00023414341K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</si>
  <si>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</si>
  <si>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</si>
  <si>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</si>
  <si>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</si>
  <si>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</si>
  <si>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</si>
  <si>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</si>
  <si>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00022424586KPC</t>
  </si>
  <si>
    <t>00022971348KPC</t>
  </si>
  <si>
    <t>00023486977KCB</t>
  </si>
  <si>
    <t>00023496128KPDP</t>
  </si>
  <si>
    <t>00023497311KPDP</t>
  </si>
  <si>
    <t>00023501543KPDP</t>
  </si>
  <si>
    <t>133751757OV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</si>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</sst>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B2B0-5EA8-43E5-A7B5-64D87D9DA158}">
  <dimension ref="A1:AL75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45868</v>
      </c>
      <c r="B2" s="1">
        <v>45868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45870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5654026</v>
      </c>
    </row>
    <row r="3" spans="1:38" x14ac:dyDescent="0.25">
      <c r="A3" s="1">
        <v>45868</v>
      </c>
      <c r="B3" s="1">
        <v>45868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45870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5654034</v>
      </c>
    </row>
    <row r="4" spans="1:38" x14ac:dyDescent="0.25">
      <c r="A4" s="1">
        <v>45868</v>
      </c>
      <c r="B4" s="1">
        <v>45868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45931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5654035</v>
      </c>
    </row>
    <row r="5" spans="1:38" x14ac:dyDescent="0.25">
      <c r="A5" s="1">
        <v>45868</v>
      </c>
      <c r="B5" s="1">
        <v>45868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50</v>
      </c>
      <c r="S5" s="1">
        <v>45931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5654037</v>
      </c>
    </row>
    <row r="6" spans="1:38" x14ac:dyDescent="0.25">
      <c r="A6" s="1">
        <v>45868</v>
      </c>
      <c r="B6" s="1">
        <v>45868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69</v>
      </c>
      <c r="O6" t="s">
        <v>70</v>
      </c>
      <c r="P6" t="s">
        <v>71</v>
      </c>
      <c r="Q6" t="s">
        <v>49</v>
      </c>
      <c r="R6" t="s">
        <v>72</v>
      </c>
      <c r="S6" s="1">
        <v>45931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5653989</v>
      </c>
    </row>
    <row r="7" spans="1:38" x14ac:dyDescent="0.25">
      <c r="A7" s="1">
        <v>45868</v>
      </c>
      <c r="B7" s="1">
        <v>45868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75</v>
      </c>
      <c r="O7" t="s">
        <v>76</v>
      </c>
      <c r="P7" t="s">
        <v>77</v>
      </c>
      <c r="Q7" t="s">
        <v>49</v>
      </c>
      <c r="R7" t="s">
        <v>72</v>
      </c>
      <c r="S7" s="1">
        <v>45870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5653990</v>
      </c>
    </row>
    <row r="8" spans="1:38" x14ac:dyDescent="0.25">
      <c r="A8" s="1">
        <v>45868</v>
      </c>
      <c r="B8" s="1">
        <v>45868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46</v>
      </c>
      <c r="O8" t="s">
        <v>80</v>
      </c>
      <c r="P8" t="s">
        <v>81</v>
      </c>
      <c r="Q8" t="s">
        <v>49</v>
      </c>
      <c r="R8" t="s">
        <v>50</v>
      </c>
      <c r="S8" s="1">
        <v>45931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5654054</v>
      </c>
    </row>
    <row r="9" spans="1:38" x14ac:dyDescent="0.25">
      <c r="A9" s="1">
        <v>45868</v>
      </c>
      <c r="B9" s="1">
        <v>45868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84</v>
      </c>
      <c r="O9" t="s">
        <v>85</v>
      </c>
      <c r="P9" t="s">
        <v>86</v>
      </c>
      <c r="Q9" t="s">
        <v>49</v>
      </c>
      <c r="R9" t="s">
        <v>50</v>
      </c>
      <c r="S9" s="1">
        <v>45870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5654055</v>
      </c>
    </row>
    <row r="10" spans="1:38" x14ac:dyDescent="0.25">
      <c r="A10" s="1">
        <v>45868</v>
      </c>
      <c r="B10" s="1">
        <v>45868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88</v>
      </c>
      <c r="M10" t="s">
        <v>46</v>
      </c>
      <c r="O10" t="s">
        <v>89</v>
      </c>
      <c r="P10" t="s">
        <v>90</v>
      </c>
      <c r="Q10" t="s">
        <v>49</v>
      </c>
      <c r="R10" t="s">
        <v>50</v>
      </c>
      <c r="S10" s="1">
        <v>45870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5654057</v>
      </c>
    </row>
    <row r="11" spans="1:38" x14ac:dyDescent="0.25">
      <c r="A11" s="1">
        <v>45868</v>
      </c>
      <c r="B11" s="1">
        <v>45868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91</v>
      </c>
      <c r="J11" t="s">
        <v>92</v>
      </c>
      <c r="M11" t="s">
        <v>69</v>
      </c>
      <c r="O11" t="s">
        <v>70</v>
      </c>
      <c r="P11" t="s">
        <v>71</v>
      </c>
      <c r="Q11" t="s">
        <v>49</v>
      </c>
      <c r="R11" t="s">
        <v>72</v>
      </c>
      <c r="S11" s="1">
        <v>45931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5653991</v>
      </c>
    </row>
    <row r="12" spans="1:38" x14ac:dyDescent="0.25">
      <c r="A12" s="1">
        <v>45868</v>
      </c>
      <c r="B12" s="1">
        <v>45868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93</v>
      </c>
      <c r="J12" t="s">
        <v>94</v>
      </c>
      <c r="M12" t="s">
        <v>46</v>
      </c>
      <c r="O12" t="s">
        <v>95</v>
      </c>
      <c r="P12" t="s">
        <v>96</v>
      </c>
      <c r="Q12" t="s">
        <v>49</v>
      </c>
      <c r="R12" t="s">
        <v>50</v>
      </c>
      <c r="S12" s="1">
        <v>45870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5654058</v>
      </c>
    </row>
    <row r="13" spans="1:38" x14ac:dyDescent="0.25">
      <c r="A13" s="1">
        <v>45868</v>
      </c>
      <c r="B13" s="1">
        <v>45868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97</v>
      </c>
      <c r="J13" t="s">
        <v>98</v>
      </c>
      <c r="M13" t="s">
        <v>60</v>
      </c>
      <c r="O13" t="s">
        <v>99</v>
      </c>
      <c r="P13" t="s">
        <v>100</v>
      </c>
      <c r="Q13" t="s">
        <v>49</v>
      </c>
      <c r="R13" t="s">
        <v>50</v>
      </c>
      <c r="S13" s="1">
        <v>45870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5654059</v>
      </c>
    </row>
    <row r="14" spans="1:38" x14ac:dyDescent="0.25">
      <c r="A14" s="1">
        <v>45868</v>
      </c>
      <c r="B14" s="1">
        <v>45868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101</v>
      </c>
      <c r="J14" t="s">
        <v>102</v>
      </c>
      <c r="M14" t="s">
        <v>103</v>
      </c>
      <c r="O14" t="s">
        <v>104</v>
      </c>
      <c r="P14" t="s">
        <v>105</v>
      </c>
      <c r="Q14" t="s">
        <v>49</v>
      </c>
      <c r="R14" t="s">
        <v>106</v>
      </c>
      <c r="S14" s="1">
        <v>45839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5653615</v>
      </c>
      <c r="AL14" t="s">
        <v>107</v>
      </c>
    </row>
    <row r="15" spans="1:38" x14ac:dyDescent="0.25">
      <c r="A15" s="1">
        <v>45868</v>
      </c>
      <c r="B15" s="1">
        <v>45868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108</v>
      </c>
      <c r="J15" t="s">
        <v>109</v>
      </c>
      <c r="M15" t="s">
        <v>46</v>
      </c>
      <c r="O15" t="s">
        <v>110</v>
      </c>
      <c r="P15" t="s">
        <v>111</v>
      </c>
      <c r="Q15" t="s">
        <v>49</v>
      </c>
      <c r="R15" t="s">
        <v>112</v>
      </c>
      <c r="S15" s="1">
        <v>45809</v>
      </c>
      <c r="U15" t="s">
        <v>51</v>
      </c>
      <c r="X15" t="s">
        <v>52</v>
      </c>
      <c r="Y15" s="2">
        <v>0</v>
      </c>
      <c r="Z15" s="2">
        <v>50</v>
      </c>
      <c r="AA15">
        <v>1</v>
      </c>
      <c r="AB15" s="3">
        <v>1</v>
      </c>
      <c r="AC15" s="2">
        <v>50</v>
      </c>
      <c r="AD15" s="3">
        <v>0</v>
      </c>
      <c r="AE15" s="2">
        <v>0</v>
      </c>
      <c r="AF15" s="2">
        <v>50</v>
      </c>
      <c r="AK15">
        <v>5653624</v>
      </c>
    </row>
    <row r="16" spans="1:38" x14ac:dyDescent="0.25">
      <c r="A16" s="1">
        <v>45868</v>
      </c>
      <c r="B16" s="1">
        <v>45868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113</v>
      </c>
      <c r="J16" t="s">
        <v>109</v>
      </c>
      <c r="M16" t="s">
        <v>46</v>
      </c>
      <c r="O16" t="s">
        <v>110</v>
      </c>
      <c r="P16" t="s">
        <v>111</v>
      </c>
      <c r="Q16" t="s">
        <v>49</v>
      </c>
      <c r="R16" t="s">
        <v>112</v>
      </c>
      <c r="S16" s="1">
        <v>45809</v>
      </c>
      <c r="U16" t="s">
        <v>51</v>
      </c>
      <c r="X16" t="s">
        <v>52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5653625</v>
      </c>
    </row>
    <row r="17" spans="1:37" x14ac:dyDescent="0.25">
      <c r="A17" s="1">
        <v>45868</v>
      </c>
      <c r="B17" s="1">
        <v>45868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103</v>
      </c>
      <c r="O17" t="s">
        <v>116</v>
      </c>
      <c r="P17" t="s">
        <v>117</v>
      </c>
      <c r="Q17" t="s">
        <v>49</v>
      </c>
      <c r="R17" t="s">
        <v>112</v>
      </c>
      <c r="S17" s="1">
        <v>45809</v>
      </c>
      <c r="U17" t="s">
        <v>51</v>
      </c>
      <c r="X17" t="s">
        <v>52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5653628</v>
      </c>
    </row>
    <row r="18" spans="1:37" x14ac:dyDescent="0.25">
      <c r="A18" s="1">
        <v>45868</v>
      </c>
      <c r="B18" s="1">
        <v>45868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46</v>
      </c>
      <c r="O18" t="s">
        <v>61</v>
      </c>
      <c r="P18" t="s">
        <v>62</v>
      </c>
      <c r="Q18" t="s">
        <v>49</v>
      </c>
      <c r="R18" t="s">
        <v>112</v>
      </c>
      <c r="S18" s="1">
        <v>45809</v>
      </c>
      <c r="U18" t="s">
        <v>51</v>
      </c>
      <c r="X18" t="s">
        <v>52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5653646</v>
      </c>
    </row>
    <row r="19" spans="1:37" x14ac:dyDescent="0.25">
      <c r="A19" s="1">
        <v>45868</v>
      </c>
      <c r="B19" s="1">
        <v>45868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120</v>
      </c>
      <c r="J19" t="s">
        <v>115</v>
      </c>
      <c r="M19" t="s">
        <v>103</v>
      </c>
      <c r="O19" t="s">
        <v>104</v>
      </c>
      <c r="P19" t="s">
        <v>105</v>
      </c>
      <c r="Q19" t="s">
        <v>49</v>
      </c>
      <c r="R19" t="s">
        <v>112</v>
      </c>
      <c r="S19" s="1">
        <v>45839</v>
      </c>
      <c r="U19" t="s">
        <v>51</v>
      </c>
      <c r="X19" t="s">
        <v>52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5653671</v>
      </c>
    </row>
    <row r="20" spans="1:37" x14ac:dyDescent="0.25">
      <c r="A20" s="1">
        <v>45868</v>
      </c>
      <c r="B20" s="1">
        <v>45868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123</v>
      </c>
      <c r="O20" t="s">
        <v>124</v>
      </c>
      <c r="P20" t="s">
        <v>125</v>
      </c>
      <c r="Q20" t="s">
        <v>49</v>
      </c>
      <c r="R20" t="s">
        <v>112</v>
      </c>
      <c r="S20" s="1">
        <v>45901</v>
      </c>
      <c r="U20" t="s">
        <v>51</v>
      </c>
      <c r="X20" t="s">
        <v>52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5653677</v>
      </c>
    </row>
    <row r="21" spans="1:37" x14ac:dyDescent="0.25">
      <c r="A21" s="1">
        <v>45868</v>
      </c>
      <c r="B21" s="1">
        <v>45868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126</v>
      </c>
      <c r="J21" t="s">
        <v>127</v>
      </c>
      <c r="M21" t="s">
        <v>46</v>
      </c>
      <c r="O21" t="s">
        <v>128</v>
      </c>
      <c r="P21" t="s">
        <v>129</v>
      </c>
      <c r="Q21" t="s">
        <v>49</v>
      </c>
      <c r="R21" t="s">
        <v>112</v>
      </c>
      <c r="S21" s="1">
        <v>45901</v>
      </c>
      <c r="U21" t="s">
        <v>51</v>
      </c>
      <c r="X21" t="s">
        <v>52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5653680</v>
      </c>
    </row>
    <row r="22" spans="1:37" x14ac:dyDescent="0.25">
      <c r="A22" s="1">
        <v>45868</v>
      </c>
      <c r="B22" s="1">
        <v>45868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130</v>
      </c>
      <c r="J22" t="s">
        <v>131</v>
      </c>
      <c r="M22" t="s">
        <v>132</v>
      </c>
      <c r="O22" t="s">
        <v>110</v>
      </c>
      <c r="P22" t="s">
        <v>111</v>
      </c>
      <c r="Q22" t="s">
        <v>49</v>
      </c>
      <c r="R22" t="s">
        <v>112</v>
      </c>
      <c r="S22" s="1">
        <v>45901</v>
      </c>
      <c r="U22" t="s">
        <v>51</v>
      </c>
      <c r="X22" t="s">
        <v>52</v>
      </c>
      <c r="Y22" s="2">
        <v>0</v>
      </c>
      <c r="Z22" s="2">
        <v>50</v>
      </c>
      <c r="AA22">
        <v>1</v>
      </c>
      <c r="AB22" s="3">
        <v>1</v>
      </c>
      <c r="AC22" s="2">
        <v>50</v>
      </c>
      <c r="AD22" s="3">
        <v>0</v>
      </c>
      <c r="AE22" s="2">
        <v>0</v>
      </c>
      <c r="AF22" s="2">
        <v>50</v>
      </c>
      <c r="AK22">
        <v>5653683</v>
      </c>
    </row>
    <row r="23" spans="1:37" x14ac:dyDescent="0.25">
      <c r="A23" s="1">
        <v>45868</v>
      </c>
      <c r="B23" s="1">
        <v>45868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133</v>
      </c>
      <c r="J23" t="s">
        <v>134</v>
      </c>
      <c r="M23" t="s">
        <v>46</v>
      </c>
      <c r="O23" t="s">
        <v>61</v>
      </c>
      <c r="P23" t="s">
        <v>62</v>
      </c>
      <c r="Q23" t="s">
        <v>49</v>
      </c>
      <c r="R23" t="s">
        <v>112</v>
      </c>
      <c r="S23" s="1">
        <v>45870</v>
      </c>
      <c r="U23" t="s">
        <v>51</v>
      </c>
      <c r="X23" t="s">
        <v>52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5653685</v>
      </c>
    </row>
    <row r="24" spans="1:37" x14ac:dyDescent="0.25">
      <c r="A24" s="1">
        <v>45868</v>
      </c>
      <c r="B24" s="1">
        <v>45868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103</v>
      </c>
      <c r="O24" t="s">
        <v>137</v>
      </c>
      <c r="P24" t="s">
        <v>138</v>
      </c>
      <c r="Q24" t="s">
        <v>49</v>
      </c>
      <c r="R24" t="s">
        <v>112</v>
      </c>
      <c r="S24" s="1">
        <v>45839</v>
      </c>
      <c r="U24" t="s">
        <v>51</v>
      </c>
      <c r="X24" t="s">
        <v>52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5653686</v>
      </c>
    </row>
    <row r="25" spans="1:37" x14ac:dyDescent="0.25">
      <c r="A25" s="1">
        <v>45868</v>
      </c>
      <c r="B25" s="1">
        <v>45868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127</v>
      </c>
      <c r="M25" t="s">
        <v>46</v>
      </c>
      <c r="O25" t="s">
        <v>128</v>
      </c>
      <c r="P25" t="s">
        <v>129</v>
      </c>
      <c r="Q25" t="s">
        <v>49</v>
      </c>
      <c r="R25" t="s">
        <v>112</v>
      </c>
      <c r="S25" s="1">
        <v>45839</v>
      </c>
      <c r="U25" t="s">
        <v>51</v>
      </c>
      <c r="X25" t="s">
        <v>52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5653702</v>
      </c>
    </row>
    <row r="26" spans="1:37" x14ac:dyDescent="0.25">
      <c r="A26" s="1">
        <v>45868</v>
      </c>
      <c r="B26" s="1">
        <v>45868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141</v>
      </c>
      <c r="M26" t="s">
        <v>84</v>
      </c>
      <c r="O26" t="s">
        <v>142</v>
      </c>
      <c r="P26" t="s">
        <v>143</v>
      </c>
      <c r="Q26" t="s">
        <v>49</v>
      </c>
      <c r="R26" t="s">
        <v>144</v>
      </c>
      <c r="S26" s="1">
        <v>45901</v>
      </c>
      <c r="U26" t="s">
        <v>51</v>
      </c>
      <c r="X26" t="s">
        <v>52</v>
      </c>
      <c r="Y26" s="2">
        <v>0</v>
      </c>
      <c r="Z26" s="2">
        <v>40</v>
      </c>
      <c r="AA26">
        <v>1</v>
      </c>
      <c r="AB26" s="3">
        <v>1</v>
      </c>
      <c r="AC26" s="2">
        <v>40</v>
      </c>
      <c r="AD26" s="3">
        <v>0</v>
      </c>
      <c r="AE26" s="2">
        <v>0</v>
      </c>
      <c r="AF26" s="2">
        <v>40</v>
      </c>
      <c r="AK26">
        <v>5653707</v>
      </c>
    </row>
    <row r="27" spans="1:37" x14ac:dyDescent="0.25">
      <c r="A27" s="1">
        <v>45868</v>
      </c>
      <c r="B27" s="1">
        <v>45868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145</v>
      </c>
      <c r="J27" t="s">
        <v>146</v>
      </c>
      <c r="M27" t="s">
        <v>103</v>
      </c>
      <c r="O27" t="s">
        <v>147</v>
      </c>
      <c r="P27" t="s">
        <v>148</v>
      </c>
      <c r="Q27" t="s">
        <v>49</v>
      </c>
      <c r="R27" t="s">
        <v>112</v>
      </c>
      <c r="S27" s="1">
        <v>45839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5653718</v>
      </c>
    </row>
    <row r="28" spans="1:37" x14ac:dyDescent="0.25">
      <c r="A28" s="1">
        <v>45868</v>
      </c>
      <c r="B28" s="1">
        <v>45868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149</v>
      </c>
      <c r="J28" t="s">
        <v>127</v>
      </c>
      <c r="M28" t="s">
        <v>46</v>
      </c>
      <c r="O28" t="s">
        <v>150</v>
      </c>
      <c r="P28" t="s">
        <v>151</v>
      </c>
      <c r="Q28" t="s">
        <v>49</v>
      </c>
      <c r="R28" t="s">
        <v>144</v>
      </c>
      <c r="S28" s="1">
        <v>45839</v>
      </c>
      <c r="U28" t="s">
        <v>51</v>
      </c>
      <c r="X28" t="s">
        <v>52</v>
      </c>
      <c r="Y28" s="2">
        <v>0</v>
      </c>
      <c r="Z28" s="2">
        <v>40</v>
      </c>
      <c r="AA28">
        <v>1</v>
      </c>
      <c r="AB28" s="3">
        <v>1</v>
      </c>
      <c r="AC28" s="2">
        <v>40</v>
      </c>
      <c r="AD28" s="3">
        <v>0</v>
      </c>
      <c r="AE28" s="2">
        <v>0</v>
      </c>
      <c r="AF28" s="2">
        <v>40</v>
      </c>
      <c r="AK28">
        <v>5653732</v>
      </c>
    </row>
    <row r="29" spans="1:37" x14ac:dyDescent="0.25">
      <c r="A29" s="1">
        <v>45868</v>
      </c>
      <c r="B29" s="1">
        <v>45868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152</v>
      </c>
      <c r="J29" t="s">
        <v>127</v>
      </c>
      <c r="M29" t="s">
        <v>46</v>
      </c>
      <c r="O29" t="s">
        <v>65</v>
      </c>
      <c r="P29" t="s">
        <v>66</v>
      </c>
      <c r="Q29" t="s">
        <v>49</v>
      </c>
      <c r="R29" t="s">
        <v>112</v>
      </c>
      <c r="S29" s="1">
        <v>45839</v>
      </c>
      <c r="U29" t="s">
        <v>51</v>
      </c>
      <c r="X29" t="s">
        <v>52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5653733</v>
      </c>
    </row>
    <row r="30" spans="1:37" x14ac:dyDescent="0.25">
      <c r="A30" s="1">
        <v>45868</v>
      </c>
      <c r="B30" s="1">
        <v>45868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153</v>
      </c>
      <c r="J30" t="s">
        <v>127</v>
      </c>
      <c r="M30" t="s">
        <v>46</v>
      </c>
      <c r="O30" t="s">
        <v>142</v>
      </c>
      <c r="P30" t="s">
        <v>143</v>
      </c>
      <c r="Q30" t="s">
        <v>49</v>
      </c>
      <c r="R30" t="s">
        <v>144</v>
      </c>
      <c r="S30" s="1">
        <v>45809</v>
      </c>
      <c r="U30" t="s">
        <v>51</v>
      </c>
      <c r="X30" t="s">
        <v>52</v>
      </c>
      <c r="Y30" s="2">
        <v>0</v>
      </c>
      <c r="Z30" s="2">
        <v>40</v>
      </c>
      <c r="AA30">
        <v>1</v>
      </c>
      <c r="AB30" s="3">
        <v>1</v>
      </c>
      <c r="AC30" s="2">
        <v>40</v>
      </c>
      <c r="AD30" s="3">
        <v>0</v>
      </c>
      <c r="AE30" s="2">
        <v>0</v>
      </c>
      <c r="AF30" s="2">
        <v>40</v>
      </c>
      <c r="AK30">
        <v>5653734</v>
      </c>
    </row>
    <row r="31" spans="1:37" x14ac:dyDescent="0.25">
      <c r="A31" s="1">
        <v>45868</v>
      </c>
      <c r="B31" s="1">
        <v>45868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155</v>
      </c>
      <c r="M31" t="s">
        <v>46</v>
      </c>
      <c r="O31" t="s">
        <v>156</v>
      </c>
      <c r="P31" t="s">
        <v>157</v>
      </c>
      <c r="Q31" t="s">
        <v>49</v>
      </c>
      <c r="R31" t="s">
        <v>112</v>
      </c>
      <c r="S31" s="1">
        <v>45839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5653735</v>
      </c>
    </row>
    <row r="32" spans="1:37" x14ac:dyDescent="0.25">
      <c r="A32" s="1">
        <v>45868</v>
      </c>
      <c r="B32" s="1">
        <v>45868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158</v>
      </c>
      <c r="J32" t="s">
        <v>127</v>
      </c>
      <c r="M32" t="s">
        <v>46</v>
      </c>
      <c r="O32" t="s">
        <v>80</v>
      </c>
      <c r="P32" t="s">
        <v>81</v>
      </c>
      <c r="Q32" t="s">
        <v>49</v>
      </c>
      <c r="R32" t="s">
        <v>112</v>
      </c>
      <c r="S32" s="1">
        <v>45839</v>
      </c>
      <c r="U32" t="s">
        <v>51</v>
      </c>
      <c r="X32" t="s">
        <v>52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5653736</v>
      </c>
    </row>
    <row r="33" spans="1:38" x14ac:dyDescent="0.25">
      <c r="A33" s="1">
        <v>45868</v>
      </c>
      <c r="B33" s="1">
        <v>45868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159</v>
      </c>
      <c r="J33" t="s">
        <v>160</v>
      </c>
      <c r="M33" t="s">
        <v>69</v>
      </c>
      <c r="O33" t="s">
        <v>161</v>
      </c>
      <c r="P33" t="s">
        <v>162</v>
      </c>
      <c r="Q33" t="s">
        <v>49</v>
      </c>
      <c r="R33" t="s">
        <v>112</v>
      </c>
      <c r="S33" s="1">
        <v>45839</v>
      </c>
      <c r="U33" t="s">
        <v>51</v>
      </c>
      <c r="X33" t="s">
        <v>52</v>
      </c>
      <c r="Y33" s="2">
        <v>0</v>
      </c>
      <c r="Z33" s="2">
        <v>50</v>
      </c>
      <c r="AA33">
        <v>1</v>
      </c>
      <c r="AB33" s="3">
        <v>1</v>
      </c>
      <c r="AC33" s="2">
        <v>50</v>
      </c>
      <c r="AD33" s="3">
        <v>0</v>
      </c>
      <c r="AE33" s="2">
        <v>0</v>
      </c>
      <c r="AF33" s="2">
        <v>50</v>
      </c>
      <c r="AK33">
        <v>5653741</v>
      </c>
    </row>
    <row r="34" spans="1:38" x14ac:dyDescent="0.25">
      <c r="A34" s="1">
        <v>45868</v>
      </c>
      <c r="B34" s="1">
        <v>45868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163</v>
      </c>
      <c r="J34" t="s">
        <v>164</v>
      </c>
      <c r="M34" t="s">
        <v>165</v>
      </c>
      <c r="O34" t="s">
        <v>110</v>
      </c>
      <c r="P34" t="s">
        <v>111</v>
      </c>
      <c r="Q34" t="s">
        <v>49</v>
      </c>
      <c r="R34" t="s">
        <v>112</v>
      </c>
      <c r="S34" s="1">
        <v>45839</v>
      </c>
      <c r="U34" t="s">
        <v>51</v>
      </c>
      <c r="X34" t="s">
        <v>52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5653742</v>
      </c>
    </row>
    <row r="35" spans="1:38" x14ac:dyDescent="0.25">
      <c r="A35" s="1">
        <v>45868</v>
      </c>
      <c r="B35" s="1">
        <v>45868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166</v>
      </c>
      <c r="J35" t="s">
        <v>167</v>
      </c>
      <c r="M35" t="s">
        <v>84</v>
      </c>
      <c r="O35" t="s">
        <v>168</v>
      </c>
      <c r="P35" t="s">
        <v>169</v>
      </c>
      <c r="Q35" t="s">
        <v>49</v>
      </c>
      <c r="R35" t="s">
        <v>112</v>
      </c>
      <c r="S35" s="1">
        <v>45870</v>
      </c>
      <c r="U35" t="s">
        <v>51</v>
      </c>
      <c r="X35" t="s">
        <v>52</v>
      </c>
      <c r="Y35" s="2">
        <v>0</v>
      </c>
      <c r="Z35" s="2">
        <v>50</v>
      </c>
      <c r="AA35">
        <v>1</v>
      </c>
      <c r="AB35" s="3">
        <v>1</v>
      </c>
      <c r="AC35" s="2">
        <v>50</v>
      </c>
      <c r="AD35" s="3">
        <v>0</v>
      </c>
      <c r="AE35" s="2">
        <v>0</v>
      </c>
      <c r="AF35" s="2">
        <v>50</v>
      </c>
      <c r="AK35">
        <v>5653753</v>
      </c>
    </row>
    <row r="36" spans="1:38" x14ac:dyDescent="0.25">
      <c r="A36" s="1">
        <v>45868</v>
      </c>
      <c r="B36" s="1">
        <v>45868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170</v>
      </c>
      <c r="J36" t="s">
        <v>127</v>
      </c>
      <c r="M36" t="s">
        <v>46</v>
      </c>
      <c r="O36" t="s">
        <v>80</v>
      </c>
      <c r="P36" t="s">
        <v>81</v>
      </c>
      <c r="Q36" t="s">
        <v>49</v>
      </c>
      <c r="R36" t="s">
        <v>112</v>
      </c>
      <c r="S36" s="1">
        <v>45839</v>
      </c>
      <c r="U36" t="s">
        <v>51</v>
      </c>
      <c r="X36" t="s">
        <v>52</v>
      </c>
      <c r="Y36" s="2">
        <v>0</v>
      </c>
      <c r="Z36" s="2">
        <v>50</v>
      </c>
      <c r="AA36">
        <v>1</v>
      </c>
      <c r="AB36" s="3">
        <v>1</v>
      </c>
      <c r="AC36" s="2">
        <v>50</v>
      </c>
      <c r="AD36" s="3">
        <v>0</v>
      </c>
      <c r="AE36" s="2">
        <v>0</v>
      </c>
      <c r="AF36" s="2">
        <v>50</v>
      </c>
      <c r="AK36">
        <v>5653772</v>
      </c>
    </row>
    <row r="37" spans="1:38" x14ac:dyDescent="0.25">
      <c r="A37" s="1">
        <v>45868</v>
      </c>
      <c r="B37" s="1">
        <v>45868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171</v>
      </c>
      <c r="J37" t="s">
        <v>172</v>
      </c>
      <c r="M37" t="s">
        <v>123</v>
      </c>
      <c r="O37" t="s">
        <v>124</v>
      </c>
      <c r="P37" t="s">
        <v>125</v>
      </c>
      <c r="Q37" t="s">
        <v>49</v>
      </c>
      <c r="R37" t="s">
        <v>112</v>
      </c>
      <c r="S37" s="1">
        <v>45870</v>
      </c>
      <c r="U37" t="s">
        <v>51</v>
      </c>
      <c r="X37" t="s">
        <v>52</v>
      </c>
      <c r="Y37" s="2">
        <v>0</v>
      </c>
      <c r="Z37" s="2">
        <v>50</v>
      </c>
      <c r="AA37">
        <v>1</v>
      </c>
      <c r="AB37" s="3">
        <v>1</v>
      </c>
      <c r="AC37" s="2">
        <v>50</v>
      </c>
      <c r="AD37" s="3">
        <v>0</v>
      </c>
      <c r="AE37" s="2">
        <v>0</v>
      </c>
      <c r="AF37" s="2">
        <v>50</v>
      </c>
      <c r="AK37">
        <v>5653780</v>
      </c>
    </row>
    <row r="38" spans="1:38" x14ac:dyDescent="0.25">
      <c r="A38" s="1">
        <v>45868</v>
      </c>
      <c r="B38" s="1">
        <v>45868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46</v>
      </c>
      <c r="O38" t="s">
        <v>110</v>
      </c>
      <c r="P38" t="s">
        <v>111</v>
      </c>
      <c r="Q38" t="s">
        <v>49</v>
      </c>
      <c r="R38" t="s">
        <v>112</v>
      </c>
      <c r="S38" s="1">
        <v>45870</v>
      </c>
      <c r="U38" t="s">
        <v>51</v>
      </c>
      <c r="X38" t="s">
        <v>52</v>
      </c>
      <c r="Y38" s="2">
        <v>0</v>
      </c>
      <c r="Z38" s="2">
        <v>50</v>
      </c>
      <c r="AA38">
        <v>1</v>
      </c>
      <c r="AB38" s="3">
        <v>1</v>
      </c>
      <c r="AC38" s="2">
        <v>50</v>
      </c>
      <c r="AD38" s="3">
        <v>0</v>
      </c>
      <c r="AE38" s="2">
        <v>0</v>
      </c>
      <c r="AF38" s="2">
        <v>50</v>
      </c>
      <c r="AK38">
        <v>5653784</v>
      </c>
    </row>
    <row r="39" spans="1:38" x14ac:dyDescent="0.25">
      <c r="A39" s="1">
        <v>45868</v>
      </c>
      <c r="B39" s="1">
        <v>45868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175</v>
      </c>
      <c r="J39" t="s">
        <v>176</v>
      </c>
      <c r="M39" t="s">
        <v>103</v>
      </c>
      <c r="O39" t="s">
        <v>177</v>
      </c>
      <c r="P39" t="s">
        <v>178</v>
      </c>
      <c r="Q39" t="s">
        <v>49</v>
      </c>
      <c r="R39" t="s">
        <v>112</v>
      </c>
      <c r="S39" s="1">
        <v>45839</v>
      </c>
      <c r="U39" t="s">
        <v>51</v>
      </c>
      <c r="X39" t="s">
        <v>52</v>
      </c>
      <c r="Y39" s="2">
        <v>0</v>
      </c>
      <c r="Z39" s="2">
        <v>50</v>
      </c>
      <c r="AA39">
        <v>1</v>
      </c>
      <c r="AB39" s="3">
        <v>1</v>
      </c>
      <c r="AC39" s="2">
        <v>50</v>
      </c>
      <c r="AD39" s="3">
        <v>0</v>
      </c>
      <c r="AE39" s="2">
        <v>0</v>
      </c>
      <c r="AF39" s="2">
        <v>50</v>
      </c>
      <c r="AK39">
        <v>5653792</v>
      </c>
    </row>
    <row r="40" spans="1:38" x14ac:dyDescent="0.25">
      <c r="A40" s="1">
        <v>45868</v>
      </c>
      <c r="B40" s="1">
        <v>45868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179</v>
      </c>
      <c r="J40" t="s">
        <v>155</v>
      </c>
      <c r="M40" t="s">
        <v>46</v>
      </c>
      <c r="O40" t="s">
        <v>65</v>
      </c>
      <c r="P40" t="s">
        <v>66</v>
      </c>
      <c r="Q40" t="s">
        <v>49</v>
      </c>
      <c r="R40" t="s">
        <v>112</v>
      </c>
      <c r="S40" s="1">
        <v>45839</v>
      </c>
      <c r="U40" t="s">
        <v>51</v>
      </c>
      <c r="X40" t="s">
        <v>52</v>
      </c>
      <c r="Y40" s="2">
        <v>0</v>
      </c>
      <c r="Z40" s="2">
        <v>50</v>
      </c>
      <c r="AA40">
        <v>1</v>
      </c>
      <c r="AB40" s="3">
        <v>1</v>
      </c>
      <c r="AC40" s="2">
        <v>50</v>
      </c>
      <c r="AD40" s="3">
        <v>0</v>
      </c>
      <c r="AE40" s="2">
        <v>0</v>
      </c>
      <c r="AF40" s="2">
        <v>50</v>
      </c>
      <c r="AK40">
        <v>5653799</v>
      </c>
    </row>
    <row r="41" spans="1:38" x14ac:dyDescent="0.25">
      <c r="A41" s="1">
        <v>45868</v>
      </c>
      <c r="B41" s="1">
        <v>45868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180</v>
      </c>
      <c r="J41" t="s">
        <v>181</v>
      </c>
      <c r="M41" t="s">
        <v>182</v>
      </c>
      <c r="O41" t="s">
        <v>183</v>
      </c>
      <c r="P41" t="s">
        <v>184</v>
      </c>
      <c r="Q41" t="s">
        <v>49</v>
      </c>
      <c r="R41" t="s">
        <v>106</v>
      </c>
      <c r="S41" s="1">
        <v>45931</v>
      </c>
      <c r="U41" t="s">
        <v>51</v>
      </c>
      <c r="X41" t="s">
        <v>52</v>
      </c>
      <c r="Y41" s="2">
        <v>0</v>
      </c>
      <c r="Z41" s="2">
        <v>12.5</v>
      </c>
      <c r="AA41">
        <v>1</v>
      </c>
      <c r="AB41" s="3">
        <v>1</v>
      </c>
      <c r="AC41" s="2">
        <v>12.5</v>
      </c>
      <c r="AD41" s="3">
        <v>0</v>
      </c>
      <c r="AE41" s="2">
        <v>0</v>
      </c>
      <c r="AF41" s="2">
        <v>12.5</v>
      </c>
      <c r="AK41">
        <v>5653585</v>
      </c>
      <c r="AL41" t="s">
        <v>185</v>
      </c>
    </row>
    <row r="42" spans="1:38" x14ac:dyDescent="0.25">
      <c r="A42" s="1">
        <v>45868</v>
      </c>
      <c r="B42" s="1">
        <v>45868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186</v>
      </c>
      <c r="J42" t="s">
        <v>187</v>
      </c>
      <c r="M42" t="s">
        <v>188</v>
      </c>
      <c r="O42" t="s">
        <v>110</v>
      </c>
      <c r="P42" t="s">
        <v>111</v>
      </c>
      <c r="Q42" t="s">
        <v>49</v>
      </c>
      <c r="R42" t="s">
        <v>106</v>
      </c>
      <c r="S42" s="1">
        <v>45931</v>
      </c>
      <c r="U42" t="s">
        <v>51</v>
      </c>
      <c r="X42" t="s">
        <v>52</v>
      </c>
      <c r="Y42" s="2">
        <v>0</v>
      </c>
      <c r="Z42" s="2">
        <v>12.5</v>
      </c>
      <c r="AA42">
        <v>1</v>
      </c>
      <c r="AB42" s="3">
        <v>1</v>
      </c>
      <c r="AC42" s="2">
        <v>12.5</v>
      </c>
      <c r="AD42" s="3">
        <v>0</v>
      </c>
      <c r="AE42" s="2">
        <v>0</v>
      </c>
      <c r="AF42" s="2">
        <v>12.5</v>
      </c>
      <c r="AK42">
        <v>5653593</v>
      </c>
      <c r="AL42" t="s">
        <v>185</v>
      </c>
    </row>
    <row r="43" spans="1:38" x14ac:dyDescent="0.25">
      <c r="A43" s="1">
        <v>45868</v>
      </c>
      <c r="B43" s="1">
        <v>45868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189</v>
      </c>
      <c r="J43" t="s">
        <v>190</v>
      </c>
      <c r="M43" t="s">
        <v>46</v>
      </c>
      <c r="O43" t="s">
        <v>128</v>
      </c>
      <c r="P43" t="s">
        <v>129</v>
      </c>
      <c r="Q43" t="s">
        <v>49</v>
      </c>
      <c r="R43" t="s">
        <v>106</v>
      </c>
      <c r="S43" s="1">
        <v>45870</v>
      </c>
      <c r="U43" t="s">
        <v>51</v>
      </c>
      <c r="X43" t="s">
        <v>52</v>
      </c>
      <c r="Y43" s="2">
        <v>0</v>
      </c>
      <c r="Z43" s="2">
        <v>20.83</v>
      </c>
      <c r="AA43">
        <v>1</v>
      </c>
      <c r="AB43" s="3">
        <v>1</v>
      </c>
      <c r="AC43" s="2">
        <v>20.83</v>
      </c>
      <c r="AD43" s="3">
        <v>0</v>
      </c>
      <c r="AE43" s="2">
        <v>0</v>
      </c>
      <c r="AF43" s="2">
        <v>20.83</v>
      </c>
      <c r="AK43">
        <v>5653613</v>
      </c>
      <c r="AL43" t="s">
        <v>191</v>
      </c>
    </row>
    <row r="44" spans="1:38" x14ac:dyDescent="0.25">
      <c r="A44" s="1">
        <v>45868</v>
      </c>
      <c r="B44" s="1">
        <v>45868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192</v>
      </c>
      <c r="J44" t="s">
        <v>193</v>
      </c>
      <c r="M44" t="s">
        <v>75</v>
      </c>
      <c r="O44" t="s">
        <v>76</v>
      </c>
      <c r="P44" t="s">
        <v>77</v>
      </c>
      <c r="Q44" t="s">
        <v>49</v>
      </c>
      <c r="R44" t="s">
        <v>194</v>
      </c>
      <c r="S44" s="1">
        <v>45870</v>
      </c>
      <c r="U44" t="s">
        <v>51</v>
      </c>
      <c r="X44" t="s">
        <v>52</v>
      </c>
      <c r="Y44" s="2">
        <v>0</v>
      </c>
      <c r="Z44" s="2">
        <v>130.41999999999999</v>
      </c>
      <c r="AA44">
        <v>1</v>
      </c>
      <c r="AB44" s="3">
        <v>1</v>
      </c>
      <c r="AC44" s="2">
        <v>130.41999999999999</v>
      </c>
      <c r="AD44" s="3">
        <v>0</v>
      </c>
      <c r="AE44" s="2">
        <v>0</v>
      </c>
      <c r="AF44" s="2">
        <v>130.41999999999999</v>
      </c>
      <c r="AK44">
        <v>5654147</v>
      </c>
      <c r="AL44" t="s">
        <v>191</v>
      </c>
    </row>
    <row r="45" spans="1:38" x14ac:dyDescent="0.25">
      <c r="A45" s="1">
        <v>45868</v>
      </c>
      <c r="B45" s="1">
        <v>45868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193</v>
      </c>
      <c r="M45" t="s">
        <v>75</v>
      </c>
      <c r="O45" t="s">
        <v>76</v>
      </c>
      <c r="P45" t="s">
        <v>77</v>
      </c>
      <c r="Q45" t="s">
        <v>49</v>
      </c>
      <c r="R45" t="s">
        <v>196</v>
      </c>
      <c r="S45" s="1">
        <v>45870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5654148</v>
      </c>
    </row>
    <row r="46" spans="1:38" x14ac:dyDescent="0.25">
      <c r="A46" s="1">
        <v>45868</v>
      </c>
      <c r="B46" s="1">
        <v>45868</v>
      </c>
      <c r="C46" t="s">
        <v>197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198</v>
      </c>
      <c r="J46" t="s">
        <v>199</v>
      </c>
      <c r="M46" t="s">
        <v>200</v>
      </c>
      <c r="O46" t="s">
        <v>104</v>
      </c>
      <c r="P46" t="s">
        <v>105</v>
      </c>
      <c r="Q46" t="s">
        <v>201</v>
      </c>
      <c r="R46" t="s">
        <v>50</v>
      </c>
      <c r="S46" s="1">
        <v>45658</v>
      </c>
      <c r="U46" t="s">
        <v>51</v>
      </c>
      <c r="X46" t="s">
        <v>52</v>
      </c>
      <c r="AF46" s="2">
        <v>175</v>
      </c>
      <c r="AG46" s="2">
        <v>0</v>
      </c>
      <c r="AJ46" s="2">
        <v>73.5</v>
      </c>
    </row>
    <row r="47" spans="1:38" x14ac:dyDescent="0.25">
      <c r="A47" s="1">
        <v>45868</v>
      </c>
      <c r="B47" s="1">
        <v>45868</v>
      </c>
      <c r="C47" t="s">
        <v>197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202</v>
      </c>
      <c r="J47" t="s">
        <v>203</v>
      </c>
      <c r="M47" t="s">
        <v>200</v>
      </c>
      <c r="O47" t="s">
        <v>61</v>
      </c>
      <c r="P47" t="s">
        <v>62</v>
      </c>
      <c r="Q47" t="s">
        <v>201</v>
      </c>
      <c r="R47" t="s">
        <v>50</v>
      </c>
      <c r="S47" s="1">
        <v>45689</v>
      </c>
      <c r="U47" t="s">
        <v>51</v>
      </c>
      <c r="X47" t="s">
        <v>52</v>
      </c>
      <c r="AF47" s="2">
        <v>175</v>
      </c>
      <c r="AG47" s="2">
        <v>0</v>
      </c>
      <c r="AJ47" s="2">
        <v>87.5</v>
      </c>
    </row>
    <row r="48" spans="1:38" x14ac:dyDescent="0.25">
      <c r="A48" s="1">
        <v>45868</v>
      </c>
      <c r="B48" s="1">
        <v>45868</v>
      </c>
      <c r="C48" t="s">
        <v>197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204</v>
      </c>
      <c r="J48" t="s">
        <v>205</v>
      </c>
      <c r="M48" t="s">
        <v>46</v>
      </c>
      <c r="O48" t="s">
        <v>206</v>
      </c>
      <c r="P48" t="s">
        <v>207</v>
      </c>
      <c r="Q48" t="s">
        <v>201</v>
      </c>
      <c r="R48" t="s">
        <v>50</v>
      </c>
      <c r="S48" s="1">
        <v>45901</v>
      </c>
      <c r="U48" t="s">
        <v>51</v>
      </c>
      <c r="X48" t="s">
        <v>52</v>
      </c>
      <c r="AF48" s="2">
        <v>175</v>
      </c>
      <c r="AG48" s="2">
        <v>0</v>
      </c>
      <c r="AJ48" s="2">
        <v>175</v>
      </c>
    </row>
    <row r="49" spans="1:36" x14ac:dyDescent="0.25">
      <c r="A49" s="1">
        <v>45868</v>
      </c>
      <c r="B49" s="1">
        <v>45868</v>
      </c>
      <c r="C49" t="s">
        <v>197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209</v>
      </c>
      <c r="M49" t="s">
        <v>210</v>
      </c>
      <c r="O49" t="s">
        <v>85</v>
      </c>
      <c r="P49" t="s">
        <v>86</v>
      </c>
      <c r="Q49" t="s">
        <v>201</v>
      </c>
      <c r="R49" t="s">
        <v>112</v>
      </c>
      <c r="S49" s="1">
        <v>45658</v>
      </c>
      <c r="U49" t="s">
        <v>51</v>
      </c>
      <c r="X49" t="s">
        <v>52</v>
      </c>
      <c r="AF49" s="2">
        <v>50</v>
      </c>
      <c r="AG49" s="2">
        <v>0</v>
      </c>
      <c r="AJ49" s="2">
        <v>20.84</v>
      </c>
    </row>
    <row r="50" spans="1:36" x14ac:dyDescent="0.25">
      <c r="A50" s="1">
        <v>45868</v>
      </c>
      <c r="B50" s="1">
        <v>45868</v>
      </c>
      <c r="C50" t="s">
        <v>197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211</v>
      </c>
      <c r="J50" t="s">
        <v>109</v>
      </c>
      <c r="M50" t="s">
        <v>46</v>
      </c>
      <c r="O50" t="s">
        <v>110</v>
      </c>
      <c r="P50" t="s">
        <v>111</v>
      </c>
      <c r="Q50" t="s">
        <v>201</v>
      </c>
      <c r="R50" t="s">
        <v>106</v>
      </c>
      <c r="S50" s="1">
        <v>45809</v>
      </c>
      <c r="U50" t="s">
        <v>51</v>
      </c>
      <c r="X50" t="s">
        <v>52</v>
      </c>
      <c r="AF50" s="2">
        <v>29.17</v>
      </c>
      <c r="AG50" s="2">
        <v>0</v>
      </c>
      <c r="AJ50" s="2">
        <v>29.17</v>
      </c>
    </row>
    <row r="51" spans="1:36" x14ac:dyDescent="0.25">
      <c r="A51" s="1">
        <v>45868</v>
      </c>
      <c r="B51" s="1">
        <v>45868</v>
      </c>
      <c r="C51" t="s">
        <v>197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212</v>
      </c>
      <c r="J51" t="s">
        <v>213</v>
      </c>
      <c r="M51" t="s">
        <v>46</v>
      </c>
      <c r="O51" t="s">
        <v>110</v>
      </c>
      <c r="P51" t="s">
        <v>111</v>
      </c>
      <c r="Q51" t="s">
        <v>201</v>
      </c>
      <c r="R51" t="s">
        <v>106</v>
      </c>
      <c r="S51" s="1">
        <v>45809</v>
      </c>
      <c r="U51" t="s">
        <v>51</v>
      </c>
      <c r="X51" t="s">
        <v>52</v>
      </c>
      <c r="AF51" s="2">
        <v>29.17</v>
      </c>
      <c r="AG51" s="2">
        <v>0</v>
      </c>
      <c r="AJ51" s="2">
        <v>29.17</v>
      </c>
    </row>
    <row r="52" spans="1:36" x14ac:dyDescent="0.25">
      <c r="A52" s="1">
        <v>45868</v>
      </c>
      <c r="B52" s="1">
        <v>45868</v>
      </c>
      <c r="C52" t="s">
        <v>197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214</v>
      </c>
      <c r="J52" t="s">
        <v>215</v>
      </c>
      <c r="M52" t="s">
        <v>103</v>
      </c>
      <c r="O52" t="s">
        <v>116</v>
      </c>
      <c r="P52" t="s">
        <v>117</v>
      </c>
      <c r="Q52" t="s">
        <v>201</v>
      </c>
      <c r="R52" t="s">
        <v>106</v>
      </c>
      <c r="S52" s="1">
        <v>45809</v>
      </c>
      <c r="U52" t="s">
        <v>51</v>
      </c>
      <c r="X52" t="s">
        <v>52</v>
      </c>
      <c r="AF52" s="2">
        <v>29.17</v>
      </c>
      <c r="AG52" s="2">
        <v>0</v>
      </c>
      <c r="AJ52" s="2">
        <v>29.17</v>
      </c>
    </row>
    <row r="53" spans="1:36" x14ac:dyDescent="0.25">
      <c r="A53" s="1">
        <v>45868</v>
      </c>
      <c r="B53" s="1">
        <v>45868</v>
      </c>
      <c r="C53" t="s">
        <v>197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216</v>
      </c>
      <c r="J53" t="s">
        <v>119</v>
      </c>
      <c r="M53" t="s">
        <v>46</v>
      </c>
      <c r="O53" t="s">
        <v>61</v>
      </c>
      <c r="P53" t="s">
        <v>62</v>
      </c>
      <c r="Q53" t="s">
        <v>201</v>
      </c>
      <c r="R53" t="s">
        <v>106</v>
      </c>
      <c r="S53" s="1">
        <v>45809</v>
      </c>
      <c r="U53" t="s">
        <v>51</v>
      </c>
      <c r="X53" t="s">
        <v>52</v>
      </c>
      <c r="AF53" s="2">
        <v>29.17</v>
      </c>
      <c r="AG53" s="2">
        <v>0</v>
      </c>
      <c r="AJ53" s="2">
        <v>29.17</v>
      </c>
    </row>
    <row r="54" spans="1:36" x14ac:dyDescent="0.25">
      <c r="A54" s="1">
        <v>45868</v>
      </c>
      <c r="B54" s="1">
        <v>45868</v>
      </c>
      <c r="C54" t="s">
        <v>197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217</v>
      </c>
      <c r="J54" t="s">
        <v>218</v>
      </c>
      <c r="M54" t="s">
        <v>103</v>
      </c>
      <c r="O54" t="s">
        <v>104</v>
      </c>
      <c r="P54" t="s">
        <v>105</v>
      </c>
      <c r="Q54" t="s">
        <v>201</v>
      </c>
      <c r="R54" t="s">
        <v>106</v>
      </c>
      <c r="S54" s="1">
        <v>45839</v>
      </c>
      <c r="U54" t="s">
        <v>51</v>
      </c>
      <c r="X54" t="s">
        <v>52</v>
      </c>
      <c r="AF54" s="2">
        <v>25</v>
      </c>
      <c r="AG54" s="2">
        <v>0</v>
      </c>
      <c r="AJ54" s="2">
        <v>25</v>
      </c>
    </row>
    <row r="55" spans="1:36" x14ac:dyDescent="0.25">
      <c r="A55" s="1">
        <v>45868</v>
      </c>
      <c r="B55" s="1">
        <v>45868</v>
      </c>
      <c r="C55" t="s">
        <v>197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219</v>
      </c>
      <c r="J55" t="s">
        <v>220</v>
      </c>
      <c r="M55" t="s">
        <v>123</v>
      </c>
      <c r="O55" t="s">
        <v>124</v>
      </c>
      <c r="P55" t="s">
        <v>125</v>
      </c>
      <c r="Q55" t="s">
        <v>201</v>
      </c>
      <c r="R55" t="s">
        <v>106</v>
      </c>
      <c r="S55" s="1">
        <v>45901</v>
      </c>
      <c r="U55" t="s">
        <v>51</v>
      </c>
      <c r="X55" t="s">
        <v>52</v>
      </c>
      <c r="AF55" s="2">
        <v>16.670000000000002</v>
      </c>
      <c r="AG55" s="2">
        <v>0</v>
      </c>
      <c r="AJ55" s="2">
        <v>16.670000000000002</v>
      </c>
    </row>
    <row r="56" spans="1:36" x14ac:dyDescent="0.25">
      <c r="A56" s="1">
        <v>45868</v>
      </c>
      <c r="B56" s="1">
        <v>45868</v>
      </c>
      <c r="C56" t="s">
        <v>197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221</v>
      </c>
      <c r="J56" t="s">
        <v>222</v>
      </c>
      <c r="M56" t="s">
        <v>46</v>
      </c>
      <c r="O56" t="s">
        <v>128</v>
      </c>
      <c r="P56" t="s">
        <v>129</v>
      </c>
      <c r="Q56" t="s">
        <v>201</v>
      </c>
      <c r="R56" t="s">
        <v>106</v>
      </c>
      <c r="S56" s="1">
        <v>45901</v>
      </c>
      <c r="U56" t="s">
        <v>51</v>
      </c>
      <c r="X56" t="s">
        <v>52</v>
      </c>
      <c r="AF56" s="2">
        <v>16.670000000000002</v>
      </c>
      <c r="AG56" s="2">
        <v>0</v>
      </c>
      <c r="AJ56" s="2">
        <v>16.670000000000002</v>
      </c>
    </row>
    <row r="57" spans="1:36" x14ac:dyDescent="0.25">
      <c r="A57" s="1">
        <v>45868</v>
      </c>
      <c r="B57" s="1">
        <v>45868</v>
      </c>
      <c r="C57" t="s">
        <v>197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223</v>
      </c>
      <c r="J57" t="s">
        <v>224</v>
      </c>
      <c r="M57" t="s">
        <v>132</v>
      </c>
      <c r="O57" t="s">
        <v>110</v>
      </c>
      <c r="P57" t="s">
        <v>111</v>
      </c>
      <c r="Q57" t="s">
        <v>201</v>
      </c>
      <c r="R57" t="s">
        <v>106</v>
      </c>
      <c r="S57" s="1">
        <v>45901</v>
      </c>
      <c r="U57" t="s">
        <v>51</v>
      </c>
      <c r="X57" t="s">
        <v>52</v>
      </c>
      <c r="AF57" s="2">
        <v>16.670000000000002</v>
      </c>
      <c r="AG57" s="2">
        <v>0</v>
      </c>
      <c r="AJ57" s="2">
        <v>16.670000000000002</v>
      </c>
    </row>
    <row r="58" spans="1:36" x14ac:dyDescent="0.25">
      <c r="A58" s="1">
        <v>45868</v>
      </c>
      <c r="B58" s="1">
        <v>45868</v>
      </c>
      <c r="C58" t="s">
        <v>197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225</v>
      </c>
      <c r="J58" t="s">
        <v>134</v>
      </c>
      <c r="M58" t="s">
        <v>46</v>
      </c>
      <c r="O58" t="s">
        <v>61</v>
      </c>
      <c r="P58" t="s">
        <v>62</v>
      </c>
      <c r="Q58" t="s">
        <v>201</v>
      </c>
      <c r="R58" t="s">
        <v>106</v>
      </c>
      <c r="S58" s="1">
        <v>45870</v>
      </c>
      <c r="U58" t="s">
        <v>51</v>
      </c>
      <c r="X58" t="s">
        <v>52</v>
      </c>
      <c r="AF58" s="2">
        <v>20.83</v>
      </c>
      <c r="AG58" s="2">
        <v>0</v>
      </c>
      <c r="AJ58" s="2">
        <v>20.83</v>
      </c>
    </row>
    <row r="59" spans="1:36" x14ac:dyDescent="0.25">
      <c r="A59" s="1">
        <v>45868</v>
      </c>
      <c r="B59" s="1">
        <v>45868</v>
      </c>
      <c r="C59" t="s">
        <v>197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226</v>
      </c>
      <c r="J59" t="s">
        <v>227</v>
      </c>
      <c r="M59" t="s">
        <v>103</v>
      </c>
      <c r="O59" t="s">
        <v>137</v>
      </c>
      <c r="P59" t="s">
        <v>138</v>
      </c>
      <c r="Q59" t="s">
        <v>201</v>
      </c>
      <c r="R59" t="s">
        <v>106</v>
      </c>
      <c r="S59" s="1">
        <v>45839</v>
      </c>
      <c r="U59" t="s">
        <v>51</v>
      </c>
      <c r="X59" t="s">
        <v>52</v>
      </c>
      <c r="AF59" s="2">
        <v>25</v>
      </c>
      <c r="AG59" s="2">
        <v>0</v>
      </c>
      <c r="AJ59" s="2">
        <v>25</v>
      </c>
    </row>
    <row r="60" spans="1:36" x14ac:dyDescent="0.25">
      <c r="A60" s="1">
        <v>45868</v>
      </c>
      <c r="B60" s="1">
        <v>45868</v>
      </c>
      <c r="C60" t="s">
        <v>197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228</v>
      </c>
      <c r="J60" t="s">
        <v>229</v>
      </c>
      <c r="M60" t="s">
        <v>46</v>
      </c>
      <c r="O60" t="s">
        <v>128</v>
      </c>
      <c r="P60" t="s">
        <v>129</v>
      </c>
      <c r="Q60" t="s">
        <v>201</v>
      </c>
      <c r="R60" t="s">
        <v>106</v>
      </c>
      <c r="S60" s="1">
        <v>45839</v>
      </c>
      <c r="U60" t="s">
        <v>51</v>
      </c>
      <c r="X60" t="s">
        <v>52</v>
      </c>
      <c r="AF60" s="2">
        <v>25</v>
      </c>
      <c r="AG60" s="2">
        <v>0</v>
      </c>
      <c r="AJ60" s="2">
        <v>25</v>
      </c>
    </row>
    <row r="61" spans="1:36" x14ac:dyDescent="0.25">
      <c r="A61" s="1">
        <v>45868</v>
      </c>
      <c r="B61" s="1">
        <v>45868</v>
      </c>
      <c r="C61" t="s">
        <v>197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230</v>
      </c>
      <c r="J61" t="s">
        <v>141</v>
      </c>
      <c r="M61" t="s">
        <v>84</v>
      </c>
      <c r="O61" t="s">
        <v>142</v>
      </c>
      <c r="P61" t="s">
        <v>143</v>
      </c>
      <c r="Q61" t="s">
        <v>201</v>
      </c>
      <c r="R61" t="s">
        <v>231</v>
      </c>
      <c r="S61" s="1">
        <v>45901</v>
      </c>
      <c r="U61" t="s">
        <v>51</v>
      </c>
      <c r="X61" t="s">
        <v>52</v>
      </c>
      <c r="AF61" s="2">
        <v>13.33</v>
      </c>
      <c r="AG61" s="2">
        <v>0</v>
      </c>
      <c r="AJ61" s="2">
        <v>13.33</v>
      </c>
    </row>
    <row r="62" spans="1:36" x14ac:dyDescent="0.25">
      <c r="A62" s="1">
        <v>45868</v>
      </c>
      <c r="B62" s="1">
        <v>45868</v>
      </c>
      <c r="C62" t="s">
        <v>197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232</v>
      </c>
      <c r="J62" t="s">
        <v>233</v>
      </c>
      <c r="M62" t="s">
        <v>103</v>
      </c>
      <c r="O62" t="s">
        <v>147</v>
      </c>
      <c r="P62" t="s">
        <v>148</v>
      </c>
      <c r="Q62" t="s">
        <v>201</v>
      </c>
      <c r="R62" t="s">
        <v>106</v>
      </c>
      <c r="S62" s="1">
        <v>45839</v>
      </c>
      <c r="U62" t="s">
        <v>51</v>
      </c>
      <c r="X62" t="s">
        <v>52</v>
      </c>
      <c r="AF62" s="2">
        <v>25</v>
      </c>
      <c r="AG62" s="2">
        <v>0</v>
      </c>
      <c r="AJ62" s="2">
        <v>25</v>
      </c>
    </row>
    <row r="63" spans="1:36" x14ac:dyDescent="0.25">
      <c r="A63" s="1">
        <v>45868</v>
      </c>
      <c r="B63" s="1">
        <v>45868</v>
      </c>
      <c r="C63" t="s">
        <v>197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234</v>
      </c>
      <c r="J63" t="s">
        <v>235</v>
      </c>
      <c r="M63" t="s">
        <v>46</v>
      </c>
      <c r="O63" t="s">
        <v>150</v>
      </c>
      <c r="P63" t="s">
        <v>151</v>
      </c>
      <c r="Q63" t="s">
        <v>201</v>
      </c>
      <c r="R63" t="s">
        <v>231</v>
      </c>
      <c r="S63" s="1">
        <v>45839</v>
      </c>
      <c r="U63" t="s">
        <v>51</v>
      </c>
      <c r="X63" t="s">
        <v>52</v>
      </c>
      <c r="AF63" s="2">
        <v>20</v>
      </c>
      <c r="AG63" s="2">
        <v>0</v>
      </c>
      <c r="AJ63" s="2">
        <v>20</v>
      </c>
    </row>
    <row r="64" spans="1:36" x14ac:dyDescent="0.25">
      <c r="A64" s="1">
        <v>45868</v>
      </c>
      <c r="B64" s="1">
        <v>45868</v>
      </c>
      <c r="C64" t="s">
        <v>197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236</v>
      </c>
      <c r="J64" t="s">
        <v>237</v>
      </c>
      <c r="M64" t="s">
        <v>46</v>
      </c>
      <c r="O64" t="s">
        <v>65</v>
      </c>
      <c r="P64" t="s">
        <v>66</v>
      </c>
      <c r="Q64" t="s">
        <v>201</v>
      </c>
      <c r="R64" t="s">
        <v>106</v>
      </c>
      <c r="S64" s="1">
        <v>45839</v>
      </c>
      <c r="U64" t="s">
        <v>51</v>
      </c>
      <c r="X64" t="s">
        <v>52</v>
      </c>
      <c r="AF64" s="2">
        <v>25</v>
      </c>
      <c r="AG64" s="2">
        <v>0</v>
      </c>
      <c r="AJ64" s="2">
        <v>25</v>
      </c>
    </row>
    <row r="65" spans="1:36" x14ac:dyDescent="0.25">
      <c r="A65" s="1">
        <v>45868</v>
      </c>
      <c r="B65" s="1">
        <v>45868</v>
      </c>
      <c r="C65" t="s">
        <v>197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238</v>
      </c>
      <c r="J65" t="s">
        <v>239</v>
      </c>
      <c r="M65" t="s">
        <v>46</v>
      </c>
      <c r="O65" t="s">
        <v>142</v>
      </c>
      <c r="P65" t="s">
        <v>143</v>
      </c>
      <c r="Q65" t="s">
        <v>201</v>
      </c>
      <c r="R65" t="s">
        <v>231</v>
      </c>
      <c r="S65" s="1">
        <v>45809</v>
      </c>
      <c r="U65" t="s">
        <v>51</v>
      </c>
      <c r="X65" t="s">
        <v>52</v>
      </c>
      <c r="AF65" s="2">
        <v>23.33</v>
      </c>
      <c r="AG65" s="2">
        <v>0</v>
      </c>
      <c r="AJ65" s="2">
        <v>23.33</v>
      </c>
    </row>
    <row r="66" spans="1:36" x14ac:dyDescent="0.25">
      <c r="A66" s="1">
        <v>45868</v>
      </c>
      <c r="B66" s="1">
        <v>45868</v>
      </c>
      <c r="C66" t="s">
        <v>197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240</v>
      </c>
      <c r="J66" t="s">
        <v>241</v>
      </c>
      <c r="M66" t="s">
        <v>46</v>
      </c>
      <c r="O66" t="s">
        <v>156</v>
      </c>
      <c r="P66" t="s">
        <v>157</v>
      </c>
      <c r="Q66" t="s">
        <v>201</v>
      </c>
      <c r="R66" t="s">
        <v>106</v>
      </c>
      <c r="S66" s="1">
        <v>45839</v>
      </c>
      <c r="U66" t="s">
        <v>51</v>
      </c>
      <c r="X66" t="s">
        <v>52</v>
      </c>
      <c r="AF66" s="2">
        <v>25</v>
      </c>
      <c r="AG66" s="2">
        <v>0</v>
      </c>
      <c r="AJ66" s="2">
        <v>25</v>
      </c>
    </row>
    <row r="67" spans="1:36" x14ac:dyDescent="0.25">
      <c r="A67" s="1">
        <v>45868</v>
      </c>
      <c r="B67" s="1">
        <v>45868</v>
      </c>
      <c r="C67" t="s">
        <v>197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242</v>
      </c>
      <c r="J67" t="s">
        <v>243</v>
      </c>
      <c r="M67" t="s">
        <v>46</v>
      </c>
      <c r="O67" t="s">
        <v>80</v>
      </c>
      <c r="P67" t="s">
        <v>81</v>
      </c>
      <c r="Q67" t="s">
        <v>201</v>
      </c>
      <c r="R67" t="s">
        <v>106</v>
      </c>
      <c r="S67" s="1">
        <v>45839</v>
      </c>
      <c r="U67" t="s">
        <v>51</v>
      </c>
      <c r="X67" t="s">
        <v>52</v>
      </c>
      <c r="AF67" s="2">
        <v>25</v>
      </c>
      <c r="AG67" s="2">
        <v>0</v>
      </c>
      <c r="AJ67" s="2">
        <v>25</v>
      </c>
    </row>
    <row r="68" spans="1:36" x14ac:dyDescent="0.25">
      <c r="A68" s="1">
        <v>45868</v>
      </c>
      <c r="B68" s="1">
        <v>45868</v>
      </c>
      <c r="C68" t="s">
        <v>197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244</v>
      </c>
      <c r="J68" t="s">
        <v>245</v>
      </c>
      <c r="M68" t="s">
        <v>69</v>
      </c>
      <c r="O68" t="s">
        <v>161</v>
      </c>
      <c r="P68" t="s">
        <v>162</v>
      </c>
      <c r="Q68" t="s">
        <v>201</v>
      </c>
      <c r="R68" t="s">
        <v>106</v>
      </c>
      <c r="S68" s="1">
        <v>45839</v>
      </c>
      <c r="U68" t="s">
        <v>51</v>
      </c>
      <c r="X68" t="s">
        <v>52</v>
      </c>
      <c r="AF68" s="2">
        <v>25</v>
      </c>
      <c r="AG68" s="2">
        <v>0</v>
      </c>
      <c r="AJ68" s="2">
        <v>25</v>
      </c>
    </row>
    <row r="69" spans="1:36" x14ac:dyDescent="0.25">
      <c r="A69" s="1">
        <v>45868</v>
      </c>
      <c r="B69" s="1">
        <v>45868</v>
      </c>
      <c r="C69" t="s">
        <v>197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246</v>
      </c>
      <c r="J69" t="s">
        <v>164</v>
      </c>
      <c r="M69" t="s">
        <v>165</v>
      </c>
      <c r="O69" t="s">
        <v>110</v>
      </c>
      <c r="P69" t="s">
        <v>111</v>
      </c>
      <c r="Q69" t="s">
        <v>201</v>
      </c>
      <c r="R69" t="s">
        <v>106</v>
      </c>
      <c r="S69" s="1">
        <v>45839</v>
      </c>
      <c r="U69" t="s">
        <v>51</v>
      </c>
      <c r="X69" t="s">
        <v>52</v>
      </c>
      <c r="AF69" s="2">
        <v>25</v>
      </c>
      <c r="AG69" s="2">
        <v>0</v>
      </c>
      <c r="AJ69" s="2">
        <v>25</v>
      </c>
    </row>
    <row r="70" spans="1:36" x14ac:dyDescent="0.25">
      <c r="A70" s="1">
        <v>45868</v>
      </c>
      <c r="B70" s="1">
        <v>45868</v>
      </c>
      <c r="C70" t="s">
        <v>197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247</v>
      </c>
      <c r="J70" t="s">
        <v>167</v>
      </c>
      <c r="M70" t="s">
        <v>84</v>
      </c>
      <c r="O70" t="s">
        <v>168</v>
      </c>
      <c r="P70" t="s">
        <v>169</v>
      </c>
      <c r="Q70" t="s">
        <v>201</v>
      </c>
      <c r="R70" t="s">
        <v>106</v>
      </c>
      <c r="S70" s="1">
        <v>45870</v>
      </c>
      <c r="U70" t="s">
        <v>51</v>
      </c>
      <c r="X70" t="s">
        <v>52</v>
      </c>
      <c r="AF70" s="2">
        <v>20.83</v>
      </c>
      <c r="AG70" s="2">
        <v>0</v>
      </c>
      <c r="AJ70" s="2">
        <v>20.83</v>
      </c>
    </row>
    <row r="71" spans="1:36" x14ac:dyDescent="0.25">
      <c r="A71" s="1">
        <v>45868</v>
      </c>
      <c r="B71" s="1">
        <v>45868</v>
      </c>
      <c r="C71" t="s">
        <v>197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248</v>
      </c>
      <c r="J71" t="s">
        <v>249</v>
      </c>
      <c r="M71" t="s">
        <v>46</v>
      </c>
      <c r="O71" t="s">
        <v>80</v>
      </c>
      <c r="P71" t="s">
        <v>81</v>
      </c>
      <c r="Q71" t="s">
        <v>201</v>
      </c>
      <c r="R71" t="s">
        <v>106</v>
      </c>
      <c r="S71" s="1">
        <v>45839</v>
      </c>
      <c r="U71" t="s">
        <v>51</v>
      </c>
      <c r="X71" t="s">
        <v>52</v>
      </c>
      <c r="AF71" s="2">
        <v>25</v>
      </c>
      <c r="AG71" s="2">
        <v>0</v>
      </c>
      <c r="AJ71" s="2">
        <v>25</v>
      </c>
    </row>
    <row r="72" spans="1:36" x14ac:dyDescent="0.25">
      <c r="A72" s="1">
        <v>45868</v>
      </c>
      <c r="B72" s="1">
        <v>45868</v>
      </c>
      <c r="C72" t="s">
        <v>197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250</v>
      </c>
      <c r="J72" t="s">
        <v>172</v>
      </c>
      <c r="M72" t="s">
        <v>123</v>
      </c>
      <c r="O72" t="s">
        <v>124</v>
      </c>
      <c r="P72" t="s">
        <v>125</v>
      </c>
      <c r="Q72" t="s">
        <v>201</v>
      </c>
      <c r="R72" t="s">
        <v>106</v>
      </c>
      <c r="S72" s="1">
        <v>45870</v>
      </c>
      <c r="U72" t="s">
        <v>51</v>
      </c>
      <c r="X72" t="s">
        <v>52</v>
      </c>
      <c r="AF72" s="2">
        <v>20.83</v>
      </c>
      <c r="AG72" s="2">
        <v>0</v>
      </c>
      <c r="AJ72" s="2">
        <v>20.83</v>
      </c>
    </row>
    <row r="73" spans="1:36" x14ac:dyDescent="0.25">
      <c r="A73" s="1">
        <v>45868</v>
      </c>
      <c r="B73" s="1">
        <v>45868</v>
      </c>
      <c r="C73" t="s">
        <v>197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251</v>
      </c>
      <c r="J73" t="s">
        <v>174</v>
      </c>
      <c r="M73" t="s">
        <v>46</v>
      </c>
      <c r="O73" t="s">
        <v>110</v>
      </c>
      <c r="P73" t="s">
        <v>111</v>
      </c>
      <c r="Q73" t="s">
        <v>201</v>
      </c>
      <c r="R73" t="s">
        <v>106</v>
      </c>
      <c r="S73" s="1">
        <v>45870</v>
      </c>
      <c r="U73" t="s">
        <v>51</v>
      </c>
      <c r="X73" t="s">
        <v>52</v>
      </c>
      <c r="AF73" s="2">
        <v>20.83</v>
      </c>
      <c r="AG73" s="2">
        <v>0</v>
      </c>
      <c r="AJ73" s="2">
        <v>20.83</v>
      </c>
    </row>
    <row r="74" spans="1:36" x14ac:dyDescent="0.25">
      <c r="A74" s="1">
        <v>45868</v>
      </c>
      <c r="B74" s="1">
        <v>45868</v>
      </c>
      <c r="C74" t="s">
        <v>197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252</v>
      </c>
      <c r="J74" t="s">
        <v>176</v>
      </c>
      <c r="M74" t="s">
        <v>103</v>
      </c>
      <c r="O74" t="s">
        <v>177</v>
      </c>
      <c r="P74" t="s">
        <v>178</v>
      </c>
      <c r="Q74" t="s">
        <v>201</v>
      </c>
      <c r="R74" t="s">
        <v>106</v>
      </c>
      <c r="S74" s="1">
        <v>45839</v>
      </c>
      <c r="U74" t="s">
        <v>51</v>
      </c>
      <c r="X74" t="s">
        <v>52</v>
      </c>
      <c r="AF74" s="2">
        <v>25</v>
      </c>
      <c r="AG74" s="2">
        <v>0</v>
      </c>
      <c r="AJ74" s="2">
        <v>25</v>
      </c>
    </row>
    <row r="75" spans="1:36" x14ac:dyDescent="0.25">
      <c r="A75" s="1">
        <v>45868</v>
      </c>
      <c r="B75" s="1">
        <v>45868</v>
      </c>
      <c r="C75" t="s">
        <v>197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253</v>
      </c>
      <c r="J75" t="s">
        <v>254</v>
      </c>
      <c r="M75" t="s">
        <v>46</v>
      </c>
      <c r="O75" t="s">
        <v>65</v>
      </c>
      <c r="P75" t="s">
        <v>66</v>
      </c>
      <c r="Q75" t="s">
        <v>201</v>
      </c>
      <c r="R75" t="s">
        <v>106</v>
      </c>
      <c r="S75" s="1">
        <v>45839</v>
      </c>
      <c r="U75" t="s">
        <v>51</v>
      </c>
      <c r="X75" t="s">
        <v>52</v>
      </c>
      <c r="AF75" s="2">
        <v>25</v>
      </c>
      <c r="AG75" s="2">
        <v>0</v>
      </c>
      <c r="AJ75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623C-3CB1-45E6-9680-D689E40E777A}">
  <dimension ref="A1:Q75"/>
  <sheetViews>
    <sheetView tabSelected="1" topLeftCell="A36" workbookViewId="0">
      <selection activeCell="Q2" sqref="Q2:Q75"/>
    </sheetView>
  </sheetViews>
  <sheetFormatPr defaultRowHeight="15" x14ac:dyDescent="0.25"/>
  <cols>
    <col min="1" max="1" width="17.42578125" style="9" bestFit="1" customWidth="1"/>
    <col min="2" max="2" width="17.42578125" customWidth="1"/>
    <col min="3" max="3" width="24.5703125" bestFit="1" customWidth="1"/>
    <col min="6" max="6" width="23.7109375" bestFit="1" customWidth="1"/>
    <col min="8" max="8" width="47.140625" bestFit="1" customWidth="1"/>
    <col min="15" max="15" width="16.140625" bestFit="1" customWidth="1"/>
    <col min="16" max="16" width="23.28515625" bestFit="1" customWidth="1"/>
  </cols>
  <sheetData>
    <row r="1" spans="1:16" x14ac:dyDescent="0.25">
      <c r="A1" s="9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9">
        <v>102172611900</v>
      </c>
      <c r="B2" t="str">
        <f>CONCATENATE(A2,0)</f>
        <v>1021726119000</v>
      </c>
      <c r="C2" t="s">
        <v>109</v>
      </c>
      <c r="D2" t="s">
        <v>46</v>
      </c>
      <c r="E2">
        <v>20411454</v>
      </c>
      <c r="F2" t="s">
        <v>304</v>
      </c>
      <c r="G2" t="s">
        <v>49</v>
      </c>
      <c r="H2" t="s">
        <v>112</v>
      </c>
      <c r="I2" s="1">
        <v>45809</v>
      </c>
      <c r="J2" s="2">
        <v>0</v>
      </c>
      <c r="K2" s="2">
        <v>50</v>
      </c>
      <c r="L2">
        <v>1</v>
      </c>
      <c r="M2" s="3">
        <v>1</v>
      </c>
      <c r="N2" s="2">
        <v>50</v>
      </c>
      <c r="P2" t="s">
        <v>255</v>
      </c>
    </row>
    <row r="3" spans="1:16" x14ac:dyDescent="0.25">
      <c r="A3" s="9">
        <v>102172618800</v>
      </c>
      <c r="B3" t="str">
        <f t="shared" ref="B3:B24" si="0">CONCATENATE(A3,0)</f>
        <v>1021726188000</v>
      </c>
      <c r="C3" t="s">
        <v>109</v>
      </c>
      <c r="D3" t="s">
        <v>46</v>
      </c>
      <c r="E3">
        <v>20411454</v>
      </c>
      <c r="F3" t="s">
        <v>304</v>
      </c>
      <c r="G3" t="s">
        <v>49</v>
      </c>
      <c r="H3" t="s">
        <v>112</v>
      </c>
      <c r="I3" s="1">
        <v>45809</v>
      </c>
      <c r="J3" s="2">
        <v>0</v>
      </c>
      <c r="K3" s="2">
        <v>50</v>
      </c>
      <c r="L3">
        <v>1</v>
      </c>
      <c r="M3" s="3">
        <v>1</v>
      </c>
      <c r="N3" s="2">
        <v>50</v>
      </c>
      <c r="P3" t="s">
        <v>255</v>
      </c>
    </row>
    <row r="4" spans="1:16" x14ac:dyDescent="0.25">
      <c r="A4" s="9">
        <v>102175052800</v>
      </c>
      <c r="B4" t="str">
        <f t="shared" si="0"/>
        <v>1021750528000</v>
      </c>
      <c r="C4" t="s">
        <v>115</v>
      </c>
      <c r="D4" t="s">
        <v>103</v>
      </c>
      <c r="E4">
        <v>20411454</v>
      </c>
      <c r="F4" t="s">
        <v>304</v>
      </c>
      <c r="G4" t="s">
        <v>49</v>
      </c>
      <c r="H4" t="s">
        <v>112</v>
      </c>
      <c r="I4" s="1">
        <v>45809</v>
      </c>
      <c r="J4" s="2">
        <v>0</v>
      </c>
      <c r="K4" s="2">
        <v>50</v>
      </c>
      <c r="L4">
        <v>1</v>
      </c>
      <c r="M4" s="3">
        <v>1</v>
      </c>
      <c r="N4" s="2">
        <v>50</v>
      </c>
      <c r="P4" t="s">
        <v>255</v>
      </c>
    </row>
    <row r="5" spans="1:16" x14ac:dyDescent="0.25">
      <c r="A5" s="9">
        <v>102175758100</v>
      </c>
      <c r="B5" t="str">
        <f t="shared" si="0"/>
        <v>1021757581000</v>
      </c>
      <c r="C5" t="s">
        <v>119</v>
      </c>
      <c r="D5" t="s">
        <v>46</v>
      </c>
      <c r="E5">
        <v>20411454</v>
      </c>
      <c r="F5" t="s">
        <v>304</v>
      </c>
      <c r="G5" t="s">
        <v>49</v>
      </c>
      <c r="H5" t="s">
        <v>112</v>
      </c>
      <c r="I5" s="1">
        <v>45809</v>
      </c>
      <c r="J5" s="2">
        <v>0</v>
      </c>
      <c r="K5" s="2">
        <v>50</v>
      </c>
      <c r="L5">
        <v>1</v>
      </c>
      <c r="M5" s="3">
        <v>1</v>
      </c>
      <c r="N5" s="2">
        <v>50</v>
      </c>
      <c r="P5" t="s">
        <v>255</v>
      </c>
    </row>
    <row r="6" spans="1:16" x14ac:dyDescent="0.25">
      <c r="A6" s="9">
        <v>102176759200</v>
      </c>
      <c r="B6" t="str">
        <f t="shared" si="0"/>
        <v>1021767592000</v>
      </c>
      <c r="C6" t="s">
        <v>115</v>
      </c>
      <c r="D6" t="s">
        <v>103</v>
      </c>
      <c r="E6">
        <v>20411454</v>
      </c>
      <c r="F6" t="s">
        <v>304</v>
      </c>
      <c r="G6" t="s">
        <v>49</v>
      </c>
      <c r="H6" t="s">
        <v>112</v>
      </c>
      <c r="I6" s="1">
        <v>45839</v>
      </c>
      <c r="J6" s="2">
        <v>0</v>
      </c>
      <c r="K6" s="2">
        <v>50</v>
      </c>
      <c r="L6">
        <v>1</v>
      </c>
      <c r="M6" s="3">
        <v>1</v>
      </c>
      <c r="N6" s="2">
        <v>50</v>
      </c>
      <c r="P6" t="s">
        <v>255</v>
      </c>
    </row>
    <row r="7" spans="1:16" x14ac:dyDescent="0.25">
      <c r="A7" s="9">
        <v>102176926900</v>
      </c>
      <c r="B7" t="str">
        <f t="shared" si="0"/>
        <v>1021769269000</v>
      </c>
      <c r="C7" t="s">
        <v>122</v>
      </c>
      <c r="D7" t="s">
        <v>123</v>
      </c>
      <c r="E7">
        <v>20411454</v>
      </c>
      <c r="F7" t="s">
        <v>304</v>
      </c>
      <c r="G7" t="s">
        <v>49</v>
      </c>
      <c r="H7" t="s">
        <v>112</v>
      </c>
      <c r="I7" s="1">
        <v>45901</v>
      </c>
      <c r="J7" s="2">
        <v>0</v>
      </c>
      <c r="K7" s="2">
        <v>50</v>
      </c>
      <c r="L7">
        <v>1</v>
      </c>
      <c r="M7" s="3">
        <v>1</v>
      </c>
      <c r="N7" s="2">
        <v>50</v>
      </c>
      <c r="P7" t="s">
        <v>255</v>
      </c>
    </row>
    <row r="8" spans="1:16" x14ac:dyDescent="0.25">
      <c r="A8" s="9">
        <v>102177007300</v>
      </c>
      <c r="B8" t="str">
        <f t="shared" si="0"/>
        <v>1021770073000</v>
      </c>
      <c r="C8" t="s">
        <v>127</v>
      </c>
      <c r="D8" t="s">
        <v>46</v>
      </c>
      <c r="E8">
        <v>20411454</v>
      </c>
      <c r="F8" t="s">
        <v>304</v>
      </c>
      <c r="G8" t="s">
        <v>49</v>
      </c>
      <c r="H8" t="s">
        <v>112</v>
      </c>
      <c r="I8" s="1">
        <v>45901</v>
      </c>
      <c r="J8" s="2">
        <v>0</v>
      </c>
      <c r="K8" s="2">
        <v>50</v>
      </c>
      <c r="L8">
        <v>1</v>
      </c>
      <c r="M8" s="3">
        <v>1</v>
      </c>
      <c r="N8" s="2">
        <v>50</v>
      </c>
      <c r="P8" t="s">
        <v>255</v>
      </c>
    </row>
    <row r="9" spans="1:16" x14ac:dyDescent="0.25">
      <c r="A9" s="9">
        <v>102177215600</v>
      </c>
      <c r="B9" t="str">
        <f t="shared" si="0"/>
        <v>1021772156000</v>
      </c>
      <c r="C9" t="s">
        <v>131</v>
      </c>
      <c r="D9" t="s">
        <v>132</v>
      </c>
      <c r="E9">
        <v>20411454</v>
      </c>
      <c r="F9" t="s">
        <v>304</v>
      </c>
      <c r="G9" t="s">
        <v>49</v>
      </c>
      <c r="H9" t="s">
        <v>112</v>
      </c>
      <c r="I9" s="1">
        <v>45901</v>
      </c>
      <c r="J9" s="2">
        <v>0</v>
      </c>
      <c r="K9" s="2">
        <v>50</v>
      </c>
      <c r="L9">
        <v>1</v>
      </c>
      <c r="M9" s="3">
        <v>1</v>
      </c>
      <c r="N9" s="2">
        <v>50</v>
      </c>
      <c r="P9" t="s">
        <v>255</v>
      </c>
    </row>
    <row r="10" spans="1:16" x14ac:dyDescent="0.25">
      <c r="A10" s="9">
        <v>102177233000</v>
      </c>
      <c r="B10" t="str">
        <f t="shared" si="0"/>
        <v>1021772330000</v>
      </c>
      <c r="C10" t="s">
        <v>134</v>
      </c>
      <c r="D10" t="s">
        <v>46</v>
      </c>
      <c r="E10">
        <v>20411454</v>
      </c>
      <c r="F10" t="s">
        <v>304</v>
      </c>
      <c r="G10" t="s">
        <v>49</v>
      </c>
      <c r="H10" t="s">
        <v>112</v>
      </c>
      <c r="I10" s="1">
        <v>45870</v>
      </c>
      <c r="J10" s="2">
        <v>0</v>
      </c>
      <c r="K10" s="2">
        <v>50</v>
      </c>
      <c r="L10">
        <v>1</v>
      </c>
      <c r="M10" s="3">
        <v>1</v>
      </c>
      <c r="N10" s="2">
        <v>50</v>
      </c>
      <c r="P10" t="s">
        <v>255</v>
      </c>
    </row>
    <row r="11" spans="1:16" x14ac:dyDescent="0.25">
      <c r="A11" s="9">
        <v>102177242000</v>
      </c>
      <c r="B11" t="str">
        <f t="shared" si="0"/>
        <v>1021772420000</v>
      </c>
      <c r="C11" t="s">
        <v>136</v>
      </c>
      <c r="D11" t="s">
        <v>103</v>
      </c>
      <c r="E11">
        <v>20411454</v>
      </c>
      <c r="F11" t="s">
        <v>304</v>
      </c>
      <c r="G11" t="s">
        <v>49</v>
      </c>
      <c r="H11" t="s">
        <v>112</v>
      </c>
      <c r="I11" s="1">
        <v>45839</v>
      </c>
      <c r="J11" s="2">
        <v>0</v>
      </c>
      <c r="K11" s="2">
        <v>50</v>
      </c>
      <c r="L11">
        <v>1</v>
      </c>
      <c r="M11" s="3">
        <v>1</v>
      </c>
      <c r="N11" s="2">
        <v>50</v>
      </c>
      <c r="P11" t="s">
        <v>255</v>
      </c>
    </row>
    <row r="12" spans="1:16" x14ac:dyDescent="0.25">
      <c r="A12" s="9">
        <v>102178218100</v>
      </c>
      <c r="B12" t="str">
        <f t="shared" si="0"/>
        <v>1021782181000</v>
      </c>
      <c r="C12" t="s">
        <v>127</v>
      </c>
      <c r="D12" t="s">
        <v>46</v>
      </c>
      <c r="E12">
        <v>20411454</v>
      </c>
      <c r="F12" t="s">
        <v>304</v>
      </c>
      <c r="G12" t="s">
        <v>49</v>
      </c>
      <c r="H12" t="s">
        <v>112</v>
      </c>
      <c r="I12" s="1">
        <v>45839</v>
      </c>
      <c r="J12" s="2">
        <v>0</v>
      </c>
      <c r="K12" s="2">
        <v>50</v>
      </c>
      <c r="L12">
        <v>1</v>
      </c>
      <c r="M12" s="3">
        <v>1</v>
      </c>
      <c r="N12" s="2">
        <v>50</v>
      </c>
      <c r="P12" t="s">
        <v>255</v>
      </c>
    </row>
    <row r="13" spans="1:16" x14ac:dyDescent="0.25">
      <c r="A13" s="9">
        <v>102178491500</v>
      </c>
      <c r="B13" t="str">
        <f t="shared" si="0"/>
        <v>1021784915000</v>
      </c>
      <c r="C13" t="s">
        <v>146</v>
      </c>
      <c r="D13" t="s">
        <v>103</v>
      </c>
      <c r="E13">
        <v>20411454</v>
      </c>
      <c r="F13" t="s">
        <v>304</v>
      </c>
      <c r="G13" t="s">
        <v>49</v>
      </c>
      <c r="H13" t="s">
        <v>112</v>
      </c>
      <c r="I13" s="1">
        <v>45839</v>
      </c>
      <c r="J13" s="2">
        <v>0</v>
      </c>
      <c r="K13" s="2">
        <v>50</v>
      </c>
      <c r="L13">
        <v>1</v>
      </c>
      <c r="M13" s="3">
        <v>1</v>
      </c>
      <c r="N13" s="2">
        <v>50</v>
      </c>
      <c r="P13" t="s">
        <v>255</v>
      </c>
    </row>
    <row r="14" spans="1:16" x14ac:dyDescent="0.25">
      <c r="A14" s="9">
        <v>102179152300</v>
      </c>
      <c r="B14" t="str">
        <f t="shared" si="0"/>
        <v>1021791523000</v>
      </c>
      <c r="C14" t="s">
        <v>127</v>
      </c>
      <c r="D14" t="s">
        <v>46</v>
      </c>
      <c r="E14">
        <v>20411454</v>
      </c>
      <c r="F14" t="s">
        <v>304</v>
      </c>
      <c r="G14" t="s">
        <v>49</v>
      </c>
      <c r="H14" t="s">
        <v>112</v>
      </c>
      <c r="I14" s="1">
        <v>45839</v>
      </c>
      <c r="J14" s="2">
        <v>0</v>
      </c>
      <c r="K14" s="2">
        <v>50</v>
      </c>
      <c r="L14">
        <v>1</v>
      </c>
      <c r="M14" s="3">
        <v>1</v>
      </c>
      <c r="N14" s="2">
        <v>50</v>
      </c>
      <c r="P14" t="s">
        <v>255</v>
      </c>
    </row>
    <row r="15" spans="1:16" x14ac:dyDescent="0.25">
      <c r="A15" s="9">
        <v>102179372000</v>
      </c>
      <c r="B15" t="str">
        <f t="shared" si="0"/>
        <v>1021793720000</v>
      </c>
      <c r="C15" t="s">
        <v>155</v>
      </c>
      <c r="D15" t="s">
        <v>46</v>
      </c>
      <c r="E15">
        <v>20411454</v>
      </c>
      <c r="F15" t="s">
        <v>304</v>
      </c>
      <c r="G15" t="s">
        <v>49</v>
      </c>
      <c r="H15" t="s">
        <v>112</v>
      </c>
      <c r="I15" s="1">
        <v>45839</v>
      </c>
      <c r="J15" s="2">
        <v>0</v>
      </c>
      <c r="K15" s="2">
        <v>50</v>
      </c>
      <c r="L15">
        <v>1</v>
      </c>
      <c r="M15" s="3">
        <v>1</v>
      </c>
      <c r="N15" s="2">
        <v>50</v>
      </c>
      <c r="P15" t="s">
        <v>255</v>
      </c>
    </row>
    <row r="16" spans="1:16" x14ac:dyDescent="0.25">
      <c r="A16" s="9">
        <v>102179379000</v>
      </c>
      <c r="B16" t="str">
        <f t="shared" si="0"/>
        <v>1021793790000</v>
      </c>
      <c r="C16" t="s">
        <v>127</v>
      </c>
      <c r="D16" t="s">
        <v>46</v>
      </c>
      <c r="E16">
        <v>20411454</v>
      </c>
      <c r="F16" t="s">
        <v>304</v>
      </c>
      <c r="G16" t="s">
        <v>49</v>
      </c>
      <c r="H16" t="s">
        <v>112</v>
      </c>
      <c r="I16" s="1">
        <v>45839</v>
      </c>
      <c r="J16" s="2">
        <v>0</v>
      </c>
      <c r="K16" s="2">
        <v>50</v>
      </c>
      <c r="L16">
        <v>1</v>
      </c>
      <c r="M16" s="3">
        <v>1</v>
      </c>
      <c r="N16" s="2">
        <v>50</v>
      </c>
      <c r="P16" t="s">
        <v>255</v>
      </c>
    </row>
    <row r="17" spans="1:16" x14ac:dyDescent="0.25">
      <c r="A17" s="9">
        <v>102179506900</v>
      </c>
      <c r="B17" t="str">
        <f t="shared" si="0"/>
        <v>1021795069000</v>
      </c>
      <c r="C17" t="s">
        <v>160</v>
      </c>
      <c r="D17" t="s">
        <v>69</v>
      </c>
      <c r="E17">
        <v>20411454</v>
      </c>
      <c r="F17" t="s">
        <v>304</v>
      </c>
      <c r="G17" t="s">
        <v>49</v>
      </c>
      <c r="H17" t="s">
        <v>112</v>
      </c>
      <c r="I17" s="1">
        <v>45839</v>
      </c>
      <c r="J17" s="2">
        <v>0</v>
      </c>
      <c r="K17" s="2">
        <v>50</v>
      </c>
      <c r="L17">
        <v>1</v>
      </c>
      <c r="M17" s="3">
        <v>1</v>
      </c>
      <c r="N17" s="2">
        <v>50</v>
      </c>
      <c r="P17" t="s">
        <v>255</v>
      </c>
    </row>
    <row r="18" spans="1:16" x14ac:dyDescent="0.25">
      <c r="A18" s="9">
        <v>102179509500</v>
      </c>
      <c r="B18" t="str">
        <f t="shared" si="0"/>
        <v>1021795095000</v>
      </c>
      <c r="C18" t="s">
        <v>164</v>
      </c>
      <c r="D18" t="s">
        <v>165</v>
      </c>
      <c r="E18">
        <v>20411454</v>
      </c>
      <c r="F18" t="s">
        <v>304</v>
      </c>
      <c r="G18" t="s">
        <v>49</v>
      </c>
      <c r="H18" t="s">
        <v>112</v>
      </c>
      <c r="I18" s="1">
        <v>45839</v>
      </c>
      <c r="J18" s="2">
        <v>0</v>
      </c>
      <c r="K18" s="2">
        <v>50</v>
      </c>
      <c r="L18">
        <v>1</v>
      </c>
      <c r="M18" s="3">
        <v>1</v>
      </c>
      <c r="N18" s="2">
        <v>50</v>
      </c>
      <c r="P18" t="s">
        <v>255</v>
      </c>
    </row>
    <row r="19" spans="1:16" x14ac:dyDescent="0.25">
      <c r="A19" s="9">
        <v>102179947100</v>
      </c>
      <c r="B19" t="str">
        <f t="shared" si="0"/>
        <v>1021799471000</v>
      </c>
      <c r="C19" t="s">
        <v>167</v>
      </c>
      <c r="D19" t="s">
        <v>84</v>
      </c>
      <c r="E19">
        <v>20411454</v>
      </c>
      <c r="F19" t="s">
        <v>304</v>
      </c>
      <c r="G19" t="s">
        <v>49</v>
      </c>
      <c r="H19" t="s">
        <v>112</v>
      </c>
      <c r="I19" s="1">
        <v>45870</v>
      </c>
      <c r="J19" s="2">
        <v>0</v>
      </c>
      <c r="K19" s="2">
        <v>50</v>
      </c>
      <c r="L19">
        <v>1</v>
      </c>
      <c r="M19" s="3">
        <v>1</v>
      </c>
      <c r="N19" s="2">
        <v>50</v>
      </c>
      <c r="P19" t="s">
        <v>255</v>
      </c>
    </row>
    <row r="20" spans="1:16" x14ac:dyDescent="0.25">
      <c r="A20" s="9">
        <v>102180438800</v>
      </c>
      <c r="B20" t="str">
        <f t="shared" si="0"/>
        <v>1021804388000</v>
      </c>
      <c r="C20" t="s">
        <v>127</v>
      </c>
      <c r="D20" t="s">
        <v>46</v>
      </c>
      <c r="E20">
        <v>20411454</v>
      </c>
      <c r="F20" t="s">
        <v>304</v>
      </c>
      <c r="G20" t="s">
        <v>49</v>
      </c>
      <c r="H20" t="s">
        <v>112</v>
      </c>
      <c r="I20" s="1">
        <v>45839</v>
      </c>
      <c r="J20" s="2">
        <v>0</v>
      </c>
      <c r="K20" s="2">
        <v>50</v>
      </c>
      <c r="L20">
        <v>1</v>
      </c>
      <c r="M20" s="3">
        <v>1</v>
      </c>
      <c r="N20" s="2">
        <v>50</v>
      </c>
      <c r="P20" t="s">
        <v>255</v>
      </c>
    </row>
    <row r="21" spans="1:16" x14ac:dyDescent="0.25">
      <c r="A21" s="9">
        <v>102180643300</v>
      </c>
      <c r="B21" t="str">
        <f t="shared" si="0"/>
        <v>1021806433000</v>
      </c>
      <c r="C21" t="s">
        <v>172</v>
      </c>
      <c r="D21" t="s">
        <v>123</v>
      </c>
      <c r="E21">
        <v>20411454</v>
      </c>
      <c r="F21" t="s">
        <v>304</v>
      </c>
      <c r="G21" t="s">
        <v>49</v>
      </c>
      <c r="H21" t="s">
        <v>112</v>
      </c>
      <c r="I21" s="1">
        <v>45870</v>
      </c>
      <c r="J21" s="2">
        <v>0</v>
      </c>
      <c r="K21" s="2">
        <v>50</v>
      </c>
      <c r="L21">
        <v>1</v>
      </c>
      <c r="M21" s="3">
        <v>1</v>
      </c>
      <c r="N21" s="2">
        <v>50</v>
      </c>
      <c r="P21" t="s">
        <v>255</v>
      </c>
    </row>
    <row r="22" spans="1:16" x14ac:dyDescent="0.25">
      <c r="A22" s="9">
        <v>102180688400</v>
      </c>
      <c r="B22" t="str">
        <f t="shared" si="0"/>
        <v>1021806884000</v>
      </c>
      <c r="C22" t="s">
        <v>174</v>
      </c>
      <c r="D22" t="s">
        <v>46</v>
      </c>
      <c r="E22">
        <v>20411454</v>
      </c>
      <c r="F22" t="s">
        <v>304</v>
      </c>
      <c r="G22" t="s">
        <v>49</v>
      </c>
      <c r="H22" t="s">
        <v>112</v>
      </c>
      <c r="I22" s="1">
        <v>45870</v>
      </c>
      <c r="J22" s="2">
        <v>0</v>
      </c>
      <c r="K22" s="2">
        <v>50</v>
      </c>
      <c r="L22">
        <v>1</v>
      </c>
      <c r="M22" s="3">
        <v>1</v>
      </c>
      <c r="N22" s="2">
        <v>50</v>
      </c>
      <c r="P22" t="s">
        <v>255</v>
      </c>
    </row>
    <row r="23" spans="1:16" x14ac:dyDescent="0.25">
      <c r="A23" s="9">
        <v>102180919900</v>
      </c>
      <c r="B23" t="str">
        <f t="shared" si="0"/>
        <v>1021809199000</v>
      </c>
      <c r="C23" t="s">
        <v>176</v>
      </c>
      <c r="D23" t="s">
        <v>103</v>
      </c>
      <c r="E23">
        <v>20411454</v>
      </c>
      <c r="F23" t="s">
        <v>304</v>
      </c>
      <c r="G23" t="s">
        <v>49</v>
      </c>
      <c r="H23" t="s">
        <v>112</v>
      </c>
      <c r="I23" s="1">
        <v>45839</v>
      </c>
      <c r="J23" s="2">
        <v>0</v>
      </c>
      <c r="K23" s="2">
        <v>50</v>
      </c>
      <c r="L23">
        <v>1</v>
      </c>
      <c r="M23" s="3">
        <v>1</v>
      </c>
      <c r="N23" s="2">
        <v>50</v>
      </c>
      <c r="P23" t="s">
        <v>255</v>
      </c>
    </row>
    <row r="24" spans="1:16" x14ac:dyDescent="0.25">
      <c r="A24" s="9">
        <v>102181196800</v>
      </c>
      <c r="B24" t="str">
        <f t="shared" si="0"/>
        <v>1021811968000</v>
      </c>
      <c r="C24" t="s">
        <v>155</v>
      </c>
      <c r="D24" t="s">
        <v>46</v>
      </c>
      <c r="E24">
        <v>20411454</v>
      </c>
      <c r="F24" t="s">
        <v>304</v>
      </c>
      <c r="G24" t="s">
        <v>49</v>
      </c>
      <c r="H24" t="s">
        <v>112</v>
      </c>
      <c r="I24" s="1">
        <v>45839</v>
      </c>
      <c r="J24" s="2">
        <v>0</v>
      </c>
      <c r="K24" s="2">
        <v>50</v>
      </c>
      <c r="L24">
        <v>1</v>
      </c>
      <c r="M24" s="3">
        <v>1</v>
      </c>
      <c r="N24" s="2">
        <v>50</v>
      </c>
      <c r="P24" t="s">
        <v>255</v>
      </c>
    </row>
    <row r="25" spans="1:16" x14ac:dyDescent="0.25">
      <c r="A25" s="9" t="s">
        <v>261</v>
      </c>
      <c r="B25" s="9" t="s">
        <v>261</v>
      </c>
      <c r="C25" t="s">
        <v>209</v>
      </c>
      <c r="D25" t="s">
        <v>210</v>
      </c>
      <c r="E25">
        <v>20411454</v>
      </c>
      <c r="F25" t="s">
        <v>304</v>
      </c>
      <c r="G25" t="s">
        <v>201</v>
      </c>
      <c r="H25" t="s">
        <v>112</v>
      </c>
      <c r="I25" s="1">
        <v>45658</v>
      </c>
      <c r="N25" s="4">
        <v>-20.84</v>
      </c>
      <c r="P25" t="s">
        <v>255</v>
      </c>
    </row>
    <row r="26" spans="1:16" x14ac:dyDescent="0.25">
      <c r="A26" s="9">
        <v>102178275700</v>
      </c>
      <c r="B26" t="str">
        <f t="shared" ref="B26:B32" si="1">CONCATENATE(A26,0)</f>
        <v>1021782757000</v>
      </c>
      <c r="C26" t="s">
        <v>141</v>
      </c>
      <c r="D26" t="s">
        <v>84</v>
      </c>
      <c r="E26">
        <v>20411454</v>
      </c>
      <c r="F26" t="s">
        <v>304</v>
      </c>
      <c r="G26" t="s">
        <v>49</v>
      </c>
      <c r="H26" t="s">
        <v>144</v>
      </c>
      <c r="I26" s="1">
        <v>45901</v>
      </c>
      <c r="J26" s="2">
        <v>0</v>
      </c>
      <c r="K26" s="2">
        <v>40</v>
      </c>
      <c r="L26">
        <v>1</v>
      </c>
      <c r="M26" s="3">
        <v>1</v>
      </c>
      <c r="N26" s="2">
        <v>40</v>
      </c>
      <c r="P26" t="s">
        <v>255</v>
      </c>
    </row>
    <row r="27" spans="1:16" x14ac:dyDescent="0.25">
      <c r="A27" s="9">
        <v>102179150500</v>
      </c>
      <c r="B27" t="str">
        <f t="shared" si="1"/>
        <v>1021791505000</v>
      </c>
      <c r="C27" t="s">
        <v>127</v>
      </c>
      <c r="D27" t="s">
        <v>46</v>
      </c>
      <c r="E27">
        <v>20411454</v>
      </c>
      <c r="F27" t="s">
        <v>304</v>
      </c>
      <c r="G27" t="s">
        <v>49</v>
      </c>
      <c r="H27" t="s">
        <v>144</v>
      </c>
      <c r="I27" s="1">
        <v>45839</v>
      </c>
      <c r="J27" s="2">
        <v>0</v>
      </c>
      <c r="K27" s="2">
        <v>40</v>
      </c>
      <c r="L27">
        <v>1</v>
      </c>
      <c r="M27" s="3">
        <v>1</v>
      </c>
      <c r="N27" s="2">
        <v>40</v>
      </c>
      <c r="P27" t="s">
        <v>255</v>
      </c>
    </row>
    <row r="28" spans="1:16" x14ac:dyDescent="0.25">
      <c r="A28" s="9">
        <v>102179360200</v>
      </c>
      <c r="B28" t="str">
        <f t="shared" si="1"/>
        <v>1021793602000</v>
      </c>
      <c r="C28" t="s">
        <v>127</v>
      </c>
      <c r="D28" t="s">
        <v>46</v>
      </c>
      <c r="E28">
        <v>20411454</v>
      </c>
      <c r="F28" t="s">
        <v>304</v>
      </c>
      <c r="G28" t="s">
        <v>49</v>
      </c>
      <c r="H28" t="s">
        <v>144</v>
      </c>
      <c r="I28" s="1">
        <v>45809</v>
      </c>
      <c r="J28" s="2">
        <v>0</v>
      </c>
      <c r="K28" s="2">
        <v>40</v>
      </c>
      <c r="L28">
        <v>1</v>
      </c>
      <c r="M28" s="3">
        <v>1</v>
      </c>
      <c r="N28" s="2">
        <v>40</v>
      </c>
      <c r="P28" t="s">
        <v>255</v>
      </c>
    </row>
    <row r="29" spans="1:16" x14ac:dyDescent="0.25">
      <c r="A29" s="9">
        <v>101117303700</v>
      </c>
      <c r="B29" t="str">
        <f t="shared" si="1"/>
        <v>1011173037000</v>
      </c>
      <c r="C29" t="s">
        <v>102</v>
      </c>
      <c r="D29" t="s">
        <v>103</v>
      </c>
      <c r="E29">
        <v>20411454</v>
      </c>
      <c r="F29" t="s">
        <v>304</v>
      </c>
      <c r="G29" t="s">
        <v>49</v>
      </c>
      <c r="H29" t="s">
        <v>106</v>
      </c>
      <c r="I29" s="1">
        <v>45839</v>
      </c>
      <c r="J29" s="2">
        <v>0</v>
      </c>
      <c r="K29" s="2">
        <v>25</v>
      </c>
      <c r="L29">
        <v>1</v>
      </c>
      <c r="M29" s="3">
        <v>1</v>
      </c>
      <c r="N29" s="2">
        <v>25</v>
      </c>
      <c r="O29" t="s">
        <v>107</v>
      </c>
      <c r="P29" t="s">
        <v>255</v>
      </c>
    </row>
    <row r="30" spans="1:16" x14ac:dyDescent="0.25">
      <c r="A30" s="9">
        <v>102182536000</v>
      </c>
      <c r="B30" t="str">
        <f t="shared" si="1"/>
        <v>1021825360000</v>
      </c>
      <c r="C30" t="s">
        <v>181</v>
      </c>
      <c r="D30" t="s">
        <v>182</v>
      </c>
      <c r="E30">
        <v>20411454</v>
      </c>
      <c r="F30" t="s">
        <v>304</v>
      </c>
      <c r="G30" t="s">
        <v>49</v>
      </c>
      <c r="H30" t="s">
        <v>106</v>
      </c>
      <c r="I30" s="1">
        <v>45931</v>
      </c>
      <c r="J30" s="2">
        <v>0</v>
      </c>
      <c r="K30" s="2">
        <v>12.5</v>
      </c>
      <c r="L30">
        <v>1</v>
      </c>
      <c r="M30" s="3">
        <v>1</v>
      </c>
      <c r="N30" s="2">
        <v>12.5</v>
      </c>
      <c r="O30" t="s">
        <v>185</v>
      </c>
      <c r="P30" t="s">
        <v>255</v>
      </c>
    </row>
    <row r="31" spans="1:16" x14ac:dyDescent="0.25">
      <c r="A31" s="9">
        <v>102183051300</v>
      </c>
      <c r="B31" t="str">
        <f t="shared" si="1"/>
        <v>1021830513000</v>
      </c>
      <c r="C31" t="s">
        <v>187</v>
      </c>
      <c r="D31" t="s">
        <v>188</v>
      </c>
      <c r="E31">
        <v>20411454</v>
      </c>
      <c r="F31" t="s">
        <v>304</v>
      </c>
      <c r="G31" t="s">
        <v>49</v>
      </c>
      <c r="H31" t="s">
        <v>106</v>
      </c>
      <c r="I31" s="1">
        <v>45931</v>
      </c>
      <c r="J31" s="2">
        <v>0</v>
      </c>
      <c r="K31" s="2">
        <v>12.5</v>
      </c>
      <c r="L31">
        <v>1</v>
      </c>
      <c r="M31" s="3">
        <v>1</v>
      </c>
      <c r="N31" s="2">
        <v>12.5</v>
      </c>
      <c r="O31" t="s">
        <v>185</v>
      </c>
      <c r="P31" t="s">
        <v>255</v>
      </c>
    </row>
    <row r="32" spans="1:16" x14ac:dyDescent="0.25">
      <c r="A32" s="9">
        <v>102183195600</v>
      </c>
      <c r="B32" t="str">
        <f t="shared" si="1"/>
        <v>1021831956000</v>
      </c>
      <c r="C32" t="s">
        <v>190</v>
      </c>
      <c r="D32" t="s">
        <v>46</v>
      </c>
      <c r="E32">
        <v>20411454</v>
      </c>
      <c r="F32" t="s">
        <v>304</v>
      </c>
      <c r="G32" t="s">
        <v>49</v>
      </c>
      <c r="H32" t="s">
        <v>106</v>
      </c>
      <c r="I32" s="1">
        <v>45870</v>
      </c>
      <c r="J32" s="2">
        <v>0</v>
      </c>
      <c r="K32" s="2">
        <v>20.83</v>
      </c>
      <c r="L32">
        <v>1</v>
      </c>
      <c r="M32" s="3">
        <v>1</v>
      </c>
      <c r="N32" s="2">
        <v>20.83</v>
      </c>
      <c r="O32" t="s">
        <v>191</v>
      </c>
      <c r="P32" t="s">
        <v>255</v>
      </c>
    </row>
    <row r="33" spans="1:16" x14ac:dyDescent="0.25">
      <c r="A33" s="9" t="s">
        <v>262</v>
      </c>
      <c r="B33" s="9" t="s">
        <v>262</v>
      </c>
      <c r="C33" t="s">
        <v>109</v>
      </c>
      <c r="D33" t="s">
        <v>46</v>
      </c>
      <c r="E33">
        <v>20411454</v>
      </c>
      <c r="F33" t="s">
        <v>304</v>
      </c>
      <c r="G33" t="s">
        <v>201</v>
      </c>
      <c r="H33" t="s">
        <v>106</v>
      </c>
      <c r="I33" s="1">
        <v>45809</v>
      </c>
      <c r="N33" s="4">
        <v>-29.17</v>
      </c>
      <c r="P33" t="s">
        <v>255</v>
      </c>
    </row>
    <row r="34" spans="1:16" x14ac:dyDescent="0.25">
      <c r="A34" s="9" t="s">
        <v>263</v>
      </c>
      <c r="B34" s="9" t="s">
        <v>263</v>
      </c>
      <c r="C34" t="s">
        <v>213</v>
      </c>
      <c r="D34" t="s">
        <v>46</v>
      </c>
      <c r="E34">
        <v>20411454</v>
      </c>
      <c r="F34" t="s">
        <v>304</v>
      </c>
      <c r="G34" t="s">
        <v>201</v>
      </c>
      <c r="H34" t="s">
        <v>106</v>
      </c>
      <c r="I34" s="1">
        <v>45809</v>
      </c>
      <c r="N34" s="4">
        <v>-29.17</v>
      </c>
      <c r="P34" t="s">
        <v>255</v>
      </c>
    </row>
    <row r="35" spans="1:16" x14ac:dyDescent="0.25">
      <c r="A35" s="9" t="s">
        <v>264</v>
      </c>
      <c r="B35" s="9" t="s">
        <v>264</v>
      </c>
      <c r="C35" t="s">
        <v>215</v>
      </c>
      <c r="D35" t="s">
        <v>103</v>
      </c>
      <c r="E35">
        <v>20411454</v>
      </c>
      <c r="F35" t="s">
        <v>304</v>
      </c>
      <c r="G35" t="s">
        <v>201</v>
      </c>
      <c r="H35" t="s">
        <v>106</v>
      </c>
      <c r="I35" s="1">
        <v>45809</v>
      </c>
      <c r="N35" s="4">
        <v>-29.17</v>
      </c>
      <c r="P35" t="s">
        <v>255</v>
      </c>
    </row>
    <row r="36" spans="1:16" x14ac:dyDescent="0.25">
      <c r="A36" s="9" t="s">
        <v>265</v>
      </c>
      <c r="B36" s="9" t="s">
        <v>265</v>
      </c>
      <c r="C36" t="s">
        <v>119</v>
      </c>
      <c r="D36" t="s">
        <v>46</v>
      </c>
      <c r="E36">
        <v>20411454</v>
      </c>
      <c r="F36" t="s">
        <v>304</v>
      </c>
      <c r="G36" t="s">
        <v>201</v>
      </c>
      <c r="H36" t="s">
        <v>106</v>
      </c>
      <c r="I36" s="1">
        <v>45809</v>
      </c>
      <c r="N36" s="4">
        <v>-29.17</v>
      </c>
      <c r="P36" t="s">
        <v>255</v>
      </c>
    </row>
    <row r="37" spans="1:16" x14ac:dyDescent="0.25">
      <c r="A37" s="9" t="s">
        <v>266</v>
      </c>
      <c r="B37" s="9" t="s">
        <v>266</v>
      </c>
      <c r="C37" t="s">
        <v>218</v>
      </c>
      <c r="D37" t="s">
        <v>103</v>
      </c>
      <c r="E37">
        <v>20411454</v>
      </c>
      <c r="F37" t="s">
        <v>304</v>
      </c>
      <c r="G37" t="s">
        <v>201</v>
      </c>
      <c r="H37" t="s">
        <v>106</v>
      </c>
      <c r="I37" s="1">
        <v>45839</v>
      </c>
      <c r="N37" s="4">
        <v>-25</v>
      </c>
      <c r="P37" t="s">
        <v>255</v>
      </c>
    </row>
    <row r="38" spans="1:16" x14ac:dyDescent="0.25">
      <c r="A38" s="9" t="s">
        <v>267</v>
      </c>
      <c r="B38" s="9" t="s">
        <v>267</v>
      </c>
      <c r="C38" t="s">
        <v>220</v>
      </c>
      <c r="D38" t="s">
        <v>123</v>
      </c>
      <c r="E38">
        <v>20411454</v>
      </c>
      <c r="F38" t="s">
        <v>304</v>
      </c>
      <c r="G38" t="s">
        <v>201</v>
      </c>
      <c r="H38" t="s">
        <v>106</v>
      </c>
      <c r="I38" s="1">
        <v>45901</v>
      </c>
      <c r="N38" s="4">
        <v>-16.670000000000002</v>
      </c>
      <c r="P38" t="s">
        <v>255</v>
      </c>
    </row>
    <row r="39" spans="1:16" x14ac:dyDescent="0.25">
      <c r="A39" s="9" t="s">
        <v>268</v>
      </c>
      <c r="B39" s="9" t="s">
        <v>268</v>
      </c>
      <c r="C39" t="s">
        <v>222</v>
      </c>
      <c r="D39" t="s">
        <v>46</v>
      </c>
      <c r="E39">
        <v>20411454</v>
      </c>
      <c r="F39" t="s">
        <v>304</v>
      </c>
      <c r="G39" t="s">
        <v>201</v>
      </c>
      <c r="H39" t="s">
        <v>106</v>
      </c>
      <c r="I39" s="1">
        <v>45901</v>
      </c>
      <c r="N39" s="4">
        <v>-16.670000000000002</v>
      </c>
      <c r="P39" t="s">
        <v>255</v>
      </c>
    </row>
    <row r="40" spans="1:16" x14ac:dyDescent="0.25">
      <c r="A40" s="9" t="s">
        <v>269</v>
      </c>
      <c r="B40" s="9" t="s">
        <v>269</v>
      </c>
      <c r="C40" t="s">
        <v>224</v>
      </c>
      <c r="D40" t="s">
        <v>132</v>
      </c>
      <c r="E40">
        <v>20411454</v>
      </c>
      <c r="F40" t="s">
        <v>304</v>
      </c>
      <c r="G40" t="s">
        <v>201</v>
      </c>
      <c r="H40" t="s">
        <v>106</v>
      </c>
      <c r="I40" s="1">
        <v>45901</v>
      </c>
      <c r="N40" s="4">
        <v>-16.670000000000002</v>
      </c>
      <c r="P40" t="s">
        <v>255</v>
      </c>
    </row>
    <row r="41" spans="1:16" x14ac:dyDescent="0.25">
      <c r="A41" s="9" t="s">
        <v>270</v>
      </c>
      <c r="B41" s="9" t="s">
        <v>270</v>
      </c>
      <c r="C41" t="s">
        <v>134</v>
      </c>
      <c r="D41" t="s">
        <v>46</v>
      </c>
      <c r="E41">
        <v>20411454</v>
      </c>
      <c r="F41" t="s">
        <v>304</v>
      </c>
      <c r="G41" t="s">
        <v>201</v>
      </c>
      <c r="H41" t="s">
        <v>106</v>
      </c>
      <c r="I41" s="1">
        <v>45870</v>
      </c>
      <c r="N41" s="4">
        <v>-20.83</v>
      </c>
      <c r="P41" t="s">
        <v>255</v>
      </c>
    </row>
    <row r="42" spans="1:16" x14ac:dyDescent="0.25">
      <c r="A42" s="9" t="s">
        <v>271</v>
      </c>
      <c r="B42" s="9" t="s">
        <v>271</v>
      </c>
      <c r="C42" t="s">
        <v>227</v>
      </c>
      <c r="D42" t="s">
        <v>103</v>
      </c>
      <c r="E42">
        <v>20411454</v>
      </c>
      <c r="F42" t="s">
        <v>304</v>
      </c>
      <c r="G42" t="s">
        <v>201</v>
      </c>
      <c r="H42" t="s">
        <v>106</v>
      </c>
      <c r="I42" s="1">
        <v>45839</v>
      </c>
      <c r="N42" s="4">
        <v>-25</v>
      </c>
      <c r="P42" t="s">
        <v>255</v>
      </c>
    </row>
    <row r="43" spans="1:16" x14ac:dyDescent="0.25">
      <c r="A43" s="9" t="s">
        <v>272</v>
      </c>
      <c r="B43" s="9" t="s">
        <v>272</v>
      </c>
      <c r="C43" t="s">
        <v>229</v>
      </c>
      <c r="D43" t="s">
        <v>46</v>
      </c>
      <c r="E43">
        <v>20411454</v>
      </c>
      <c r="F43" t="s">
        <v>304</v>
      </c>
      <c r="G43" t="s">
        <v>201</v>
      </c>
      <c r="H43" t="s">
        <v>106</v>
      </c>
      <c r="I43" s="1">
        <v>45839</v>
      </c>
      <c r="N43" s="4">
        <v>-25</v>
      </c>
      <c r="P43" t="s">
        <v>255</v>
      </c>
    </row>
    <row r="44" spans="1:16" x14ac:dyDescent="0.25">
      <c r="A44" s="9" t="s">
        <v>273</v>
      </c>
      <c r="B44" s="9" t="s">
        <v>273</v>
      </c>
      <c r="C44" t="s">
        <v>233</v>
      </c>
      <c r="D44" t="s">
        <v>103</v>
      </c>
      <c r="E44">
        <v>20411454</v>
      </c>
      <c r="F44" t="s">
        <v>304</v>
      </c>
      <c r="G44" t="s">
        <v>201</v>
      </c>
      <c r="H44" t="s">
        <v>106</v>
      </c>
      <c r="I44" s="1">
        <v>45839</v>
      </c>
      <c r="N44" s="4">
        <v>-25</v>
      </c>
      <c r="P44" t="s">
        <v>255</v>
      </c>
    </row>
    <row r="45" spans="1:16" x14ac:dyDescent="0.25">
      <c r="A45" s="9" t="s">
        <v>274</v>
      </c>
      <c r="B45" s="9" t="s">
        <v>274</v>
      </c>
      <c r="C45" t="s">
        <v>237</v>
      </c>
      <c r="D45" t="s">
        <v>46</v>
      </c>
      <c r="E45">
        <v>20411454</v>
      </c>
      <c r="F45" t="s">
        <v>304</v>
      </c>
      <c r="G45" t="s">
        <v>201</v>
      </c>
      <c r="H45" t="s">
        <v>106</v>
      </c>
      <c r="I45" s="1">
        <v>45839</v>
      </c>
      <c r="N45" s="4">
        <v>-25</v>
      </c>
      <c r="P45" t="s">
        <v>255</v>
      </c>
    </row>
    <row r="46" spans="1:16" x14ac:dyDescent="0.25">
      <c r="A46" s="9" t="s">
        <v>275</v>
      </c>
      <c r="B46" s="9" t="s">
        <v>275</v>
      </c>
      <c r="C46" t="s">
        <v>241</v>
      </c>
      <c r="D46" t="s">
        <v>46</v>
      </c>
      <c r="E46">
        <v>20411454</v>
      </c>
      <c r="F46" t="s">
        <v>304</v>
      </c>
      <c r="G46" t="s">
        <v>201</v>
      </c>
      <c r="H46" t="s">
        <v>106</v>
      </c>
      <c r="I46" s="1">
        <v>45839</v>
      </c>
      <c r="N46" s="4">
        <v>-25</v>
      </c>
      <c r="P46" t="s">
        <v>255</v>
      </c>
    </row>
    <row r="47" spans="1:16" x14ac:dyDescent="0.25">
      <c r="A47" s="9" t="s">
        <v>276</v>
      </c>
      <c r="B47" s="9" t="s">
        <v>276</v>
      </c>
      <c r="C47" t="s">
        <v>243</v>
      </c>
      <c r="D47" t="s">
        <v>46</v>
      </c>
      <c r="E47">
        <v>20411454</v>
      </c>
      <c r="F47" t="s">
        <v>304</v>
      </c>
      <c r="G47" t="s">
        <v>201</v>
      </c>
      <c r="H47" t="s">
        <v>106</v>
      </c>
      <c r="I47" s="1">
        <v>45839</v>
      </c>
      <c r="N47" s="4">
        <v>-25</v>
      </c>
      <c r="P47" t="s">
        <v>255</v>
      </c>
    </row>
    <row r="48" spans="1:16" x14ac:dyDescent="0.25">
      <c r="A48" s="9" t="s">
        <v>277</v>
      </c>
      <c r="B48" s="9" t="s">
        <v>277</v>
      </c>
      <c r="C48" t="s">
        <v>245</v>
      </c>
      <c r="D48" t="s">
        <v>69</v>
      </c>
      <c r="E48">
        <v>20411454</v>
      </c>
      <c r="F48" t="s">
        <v>304</v>
      </c>
      <c r="G48" t="s">
        <v>201</v>
      </c>
      <c r="H48" t="s">
        <v>106</v>
      </c>
      <c r="I48" s="1">
        <v>45839</v>
      </c>
      <c r="N48" s="4">
        <v>-25</v>
      </c>
      <c r="P48" t="s">
        <v>255</v>
      </c>
    </row>
    <row r="49" spans="1:16" x14ac:dyDescent="0.25">
      <c r="A49" s="9" t="s">
        <v>278</v>
      </c>
      <c r="B49" s="9" t="s">
        <v>278</v>
      </c>
      <c r="C49" t="s">
        <v>164</v>
      </c>
      <c r="D49" t="s">
        <v>165</v>
      </c>
      <c r="E49">
        <v>20411454</v>
      </c>
      <c r="F49" t="s">
        <v>304</v>
      </c>
      <c r="G49" t="s">
        <v>201</v>
      </c>
      <c r="H49" t="s">
        <v>106</v>
      </c>
      <c r="I49" s="1">
        <v>45839</v>
      </c>
      <c r="N49" s="4">
        <v>-25</v>
      </c>
      <c r="P49" t="s">
        <v>255</v>
      </c>
    </row>
    <row r="50" spans="1:16" x14ac:dyDescent="0.25">
      <c r="A50" s="9" t="s">
        <v>279</v>
      </c>
      <c r="B50" s="9" t="s">
        <v>279</v>
      </c>
      <c r="C50" t="s">
        <v>167</v>
      </c>
      <c r="D50" t="s">
        <v>84</v>
      </c>
      <c r="E50">
        <v>20411454</v>
      </c>
      <c r="F50" t="s">
        <v>304</v>
      </c>
      <c r="G50" t="s">
        <v>201</v>
      </c>
      <c r="H50" t="s">
        <v>106</v>
      </c>
      <c r="I50" s="1">
        <v>45870</v>
      </c>
      <c r="N50" s="4">
        <v>-20.83</v>
      </c>
      <c r="P50" t="s">
        <v>255</v>
      </c>
    </row>
    <row r="51" spans="1:16" x14ac:dyDescent="0.25">
      <c r="A51" s="9" t="s">
        <v>280</v>
      </c>
      <c r="B51" s="9" t="s">
        <v>280</v>
      </c>
      <c r="C51" t="s">
        <v>249</v>
      </c>
      <c r="D51" t="s">
        <v>46</v>
      </c>
      <c r="E51">
        <v>20411454</v>
      </c>
      <c r="F51" t="s">
        <v>304</v>
      </c>
      <c r="G51" t="s">
        <v>201</v>
      </c>
      <c r="H51" t="s">
        <v>106</v>
      </c>
      <c r="I51" s="1">
        <v>45839</v>
      </c>
      <c r="N51" s="4">
        <v>-25</v>
      </c>
      <c r="P51" t="s">
        <v>255</v>
      </c>
    </row>
    <row r="52" spans="1:16" x14ac:dyDescent="0.25">
      <c r="A52" s="9" t="s">
        <v>281</v>
      </c>
      <c r="B52" s="9" t="s">
        <v>281</v>
      </c>
      <c r="C52" t="s">
        <v>172</v>
      </c>
      <c r="D52" t="s">
        <v>123</v>
      </c>
      <c r="E52">
        <v>20411454</v>
      </c>
      <c r="F52" t="s">
        <v>304</v>
      </c>
      <c r="G52" t="s">
        <v>201</v>
      </c>
      <c r="H52" t="s">
        <v>106</v>
      </c>
      <c r="I52" s="1">
        <v>45870</v>
      </c>
      <c r="N52" s="4">
        <v>-20.83</v>
      </c>
      <c r="P52" t="s">
        <v>255</v>
      </c>
    </row>
    <row r="53" spans="1:16" x14ac:dyDescent="0.25">
      <c r="A53" s="9" t="s">
        <v>282</v>
      </c>
      <c r="B53" s="9" t="s">
        <v>282</v>
      </c>
      <c r="C53" t="s">
        <v>174</v>
      </c>
      <c r="D53" t="s">
        <v>46</v>
      </c>
      <c r="E53">
        <v>20411454</v>
      </c>
      <c r="F53" t="s">
        <v>304</v>
      </c>
      <c r="G53" t="s">
        <v>201</v>
      </c>
      <c r="H53" t="s">
        <v>106</v>
      </c>
      <c r="I53" s="1">
        <v>45870</v>
      </c>
      <c r="N53" s="4">
        <v>-20.83</v>
      </c>
      <c r="P53" t="s">
        <v>255</v>
      </c>
    </row>
    <row r="54" spans="1:16" x14ac:dyDescent="0.25">
      <c r="A54" s="9" t="s">
        <v>283</v>
      </c>
      <c r="B54" s="9" t="s">
        <v>283</v>
      </c>
      <c r="C54" t="s">
        <v>176</v>
      </c>
      <c r="D54" t="s">
        <v>103</v>
      </c>
      <c r="E54">
        <v>20411454</v>
      </c>
      <c r="F54" t="s">
        <v>304</v>
      </c>
      <c r="G54" t="s">
        <v>201</v>
      </c>
      <c r="H54" t="s">
        <v>106</v>
      </c>
      <c r="I54" s="1">
        <v>45839</v>
      </c>
      <c r="N54" s="4">
        <v>-25</v>
      </c>
      <c r="P54" t="s">
        <v>255</v>
      </c>
    </row>
    <row r="55" spans="1:16" x14ac:dyDescent="0.25">
      <c r="A55" s="9" t="s">
        <v>284</v>
      </c>
      <c r="B55" s="9" t="s">
        <v>284</v>
      </c>
      <c r="C55" t="s">
        <v>254</v>
      </c>
      <c r="D55" t="s">
        <v>46</v>
      </c>
      <c r="E55">
        <v>20411454</v>
      </c>
      <c r="F55" t="s">
        <v>304</v>
      </c>
      <c r="G55" t="s">
        <v>201</v>
      </c>
      <c r="H55" t="s">
        <v>106</v>
      </c>
      <c r="I55" s="1">
        <v>45839</v>
      </c>
      <c r="N55" s="4">
        <v>-25</v>
      </c>
      <c r="P55" t="s">
        <v>255</v>
      </c>
    </row>
    <row r="56" spans="1:16" x14ac:dyDescent="0.25">
      <c r="A56" s="9" t="s">
        <v>285</v>
      </c>
      <c r="B56" s="9" t="s">
        <v>285</v>
      </c>
      <c r="C56" t="s">
        <v>141</v>
      </c>
      <c r="D56" t="s">
        <v>84</v>
      </c>
      <c r="E56">
        <v>20411454</v>
      </c>
      <c r="F56" t="s">
        <v>304</v>
      </c>
      <c r="G56" t="s">
        <v>201</v>
      </c>
      <c r="H56" t="s">
        <v>231</v>
      </c>
      <c r="I56" s="1">
        <v>45901</v>
      </c>
      <c r="N56" s="4">
        <v>-13.33</v>
      </c>
      <c r="P56" t="s">
        <v>255</v>
      </c>
    </row>
    <row r="57" spans="1:16" x14ac:dyDescent="0.25">
      <c r="A57" s="9" t="s">
        <v>286</v>
      </c>
      <c r="B57" s="9" t="s">
        <v>286</v>
      </c>
      <c r="C57" t="s">
        <v>235</v>
      </c>
      <c r="D57" t="s">
        <v>46</v>
      </c>
      <c r="E57">
        <v>20411454</v>
      </c>
      <c r="F57" t="s">
        <v>304</v>
      </c>
      <c r="G57" t="s">
        <v>201</v>
      </c>
      <c r="H57" t="s">
        <v>231</v>
      </c>
      <c r="I57" s="1">
        <v>45839</v>
      </c>
      <c r="N57" s="4">
        <v>-20</v>
      </c>
      <c r="P57" t="s">
        <v>255</v>
      </c>
    </row>
    <row r="58" spans="1:16" x14ac:dyDescent="0.25">
      <c r="A58" s="9" t="s">
        <v>287</v>
      </c>
      <c r="B58" s="9" t="s">
        <v>287</v>
      </c>
      <c r="C58" t="s">
        <v>239</v>
      </c>
      <c r="D58" t="s">
        <v>46</v>
      </c>
      <c r="E58">
        <v>20411454</v>
      </c>
      <c r="F58" t="s">
        <v>304</v>
      </c>
      <c r="G58" t="s">
        <v>201</v>
      </c>
      <c r="H58" t="s">
        <v>231</v>
      </c>
      <c r="I58" s="1">
        <v>45809</v>
      </c>
      <c r="N58" s="4">
        <v>-23.33</v>
      </c>
      <c r="P58" t="s">
        <v>255</v>
      </c>
    </row>
    <row r="59" spans="1:16" x14ac:dyDescent="0.25">
      <c r="A59" s="9" t="s">
        <v>288</v>
      </c>
      <c r="B59" t="str">
        <f t="shared" ref="B59:B67" si="2">CONCATENATE(A59,0)</f>
        <v>00017112048K0</v>
      </c>
      <c r="C59" t="s">
        <v>45</v>
      </c>
      <c r="D59" t="s">
        <v>46</v>
      </c>
      <c r="E59">
        <v>20411454</v>
      </c>
      <c r="F59" t="s">
        <v>304</v>
      </c>
      <c r="G59" t="s">
        <v>49</v>
      </c>
      <c r="H59" t="s">
        <v>50</v>
      </c>
      <c r="I59" s="1">
        <v>45870</v>
      </c>
      <c r="J59" s="2">
        <v>0</v>
      </c>
      <c r="K59" s="2">
        <v>175</v>
      </c>
      <c r="L59">
        <v>1</v>
      </c>
      <c r="M59" s="3">
        <v>1</v>
      </c>
      <c r="N59" s="2">
        <v>175</v>
      </c>
      <c r="P59" t="s">
        <v>256</v>
      </c>
    </row>
    <row r="60" spans="1:16" x14ac:dyDescent="0.25">
      <c r="A60" s="9" t="s">
        <v>289</v>
      </c>
      <c r="B60" t="str">
        <f t="shared" si="2"/>
        <v>00023414341K0</v>
      </c>
      <c r="C60" t="s">
        <v>54</v>
      </c>
      <c r="D60" t="s">
        <v>55</v>
      </c>
      <c r="E60">
        <v>20411454</v>
      </c>
      <c r="F60" t="s">
        <v>304</v>
      </c>
      <c r="G60" t="s">
        <v>49</v>
      </c>
      <c r="H60" t="s">
        <v>50</v>
      </c>
      <c r="I60" s="1">
        <v>45870</v>
      </c>
      <c r="J60" s="2">
        <v>0</v>
      </c>
      <c r="K60" s="2">
        <v>175</v>
      </c>
      <c r="L60">
        <v>1</v>
      </c>
      <c r="M60" s="3">
        <v>1</v>
      </c>
      <c r="N60" s="2">
        <v>175</v>
      </c>
      <c r="P60" t="s">
        <v>256</v>
      </c>
    </row>
    <row r="61" spans="1:16" x14ac:dyDescent="0.25">
      <c r="A61" s="9" t="s">
        <v>290</v>
      </c>
      <c r="B61" t="str">
        <f t="shared" si="2"/>
        <v>00023488597K0</v>
      </c>
      <c r="C61" t="s">
        <v>59</v>
      </c>
      <c r="D61" t="s">
        <v>60</v>
      </c>
      <c r="E61">
        <v>20411454</v>
      </c>
      <c r="F61" t="s">
        <v>304</v>
      </c>
      <c r="G61" t="s">
        <v>49</v>
      </c>
      <c r="H61" t="s">
        <v>50</v>
      </c>
      <c r="I61" s="1">
        <v>45931</v>
      </c>
      <c r="J61" s="2">
        <v>0</v>
      </c>
      <c r="K61" s="2">
        <v>175</v>
      </c>
      <c r="L61">
        <v>1</v>
      </c>
      <c r="M61" s="3">
        <v>1</v>
      </c>
      <c r="N61" s="2">
        <v>175</v>
      </c>
      <c r="P61" t="s">
        <v>256</v>
      </c>
    </row>
    <row r="62" spans="1:16" x14ac:dyDescent="0.25">
      <c r="A62" s="9" t="s">
        <v>291</v>
      </c>
      <c r="B62" t="str">
        <f t="shared" si="2"/>
        <v>00023488812K0</v>
      </c>
      <c r="C62" t="s">
        <v>64</v>
      </c>
      <c r="D62" t="s">
        <v>46</v>
      </c>
      <c r="E62">
        <v>20411454</v>
      </c>
      <c r="F62" t="s">
        <v>304</v>
      </c>
      <c r="G62" t="s">
        <v>49</v>
      </c>
      <c r="H62" t="s">
        <v>50</v>
      </c>
      <c r="I62" s="1">
        <v>45931</v>
      </c>
      <c r="J62" s="2">
        <v>0</v>
      </c>
      <c r="K62" s="2">
        <v>175</v>
      </c>
      <c r="L62">
        <v>1</v>
      </c>
      <c r="M62" s="3">
        <v>1</v>
      </c>
      <c r="N62" s="2">
        <v>175</v>
      </c>
      <c r="P62" t="s">
        <v>256</v>
      </c>
    </row>
    <row r="63" spans="1:16" x14ac:dyDescent="0.25">
      <c r="A63" s="9" t="s">
        <v>292</v>
      </c>
      <c r="B63" t="str">
        <f t="shared" si="2"/>
        <v>00023498110K0</v>
      </c>
      <c r="C63" t="s">
        <v>79</v>
      </c>
      <c r="D63" t="s">
        <v>46</v>
      </c>
      <c r="E63">
        <v>20411454</v>
      </c>
      <c r="F63" t="s">
        <v>304</v>
      </c>
      <c r="G63" t="s">
        <v>49</v>
      </c>
      <c r="H63" t="s">
        <v>50</v>
      </c>
      <c r="I63" s="1">
        <v>45931</v>
      </c>
      <c r="J63" s="2">
        <v>0</v>
      </c>
      <c r="K63" s="2">
        <v>175</v>
      </c>
      <c r="L63">
        <v>1</v>
      </c>
      <c r="M63" s="3">
        <v>1</v>
      </c>
      <c r="N63" s="2">
        <v>175</v>
      </c>
      <c r="P63" t="s">
        <v>256</v>
      </c>
    </row>
    <row r="64" spans="1:16" x14ac:dyDescent="0.25">
      <c r="A64" s="9" t="s">
        <v>293</v>
      </c>
      <c r="B64" t="str">
        <f t="shared" si="2"/>
        <v>00023498384K0</v>
      </c>
      <c r="C64" t="s">
        <v>83</v>
      </c>
      <c r="D64" t="s">
        <v>84</v>
      </c>
      <c r="E64">
        <v>20411454</v>
      </c>
      <c r="F64" t="s">
        <v>304</v>
      </c>
      <c r="G64" t="s">
        <v>49</v>
      </c>
      <c r="H64" t="s">
        <v>50</v>
      </c>
      <c r="I64" s="1">
        <v>45870</v>
      </c>
      <c r="J64" s="2">
        <v>0</v>
      </c>
      <c r="K64" s="2">
        <v>175</v>
      </c>
      <c r="L64">
        <v>1</v>
      </c>
      <c r="M64" s="3">
        <v>1</v>
      </c>
      <c r="N64" s="2">
        <v>175</v>
      </c>
      <c r="P64" t="s">
        <v>256</v>
      </c>
    </row>
    <row r="65" spans="1:17" x14ac:dyDescent="0.25">
      <c r="A65" s="9" t="s">
        <v>294</v>
      </c>
      <c r="B65" t="str">
        <f t="shared" si="2"/>
        <v>00023499366K0</v>
      </c>
      <c r="C65" t="s">
        <v>88</v>
      </c>
      <c r="D65" t="s">
        <v>46</v>
      </c>
      <c r="E65">
        <v>20411454</v>
      </c>
      <c r="F65" t="s">
        <v>304</v>
      </c>
      <c r="G65" t="s">
        <v>49</v>
      </c>
      <c r="H65" t="s">
        <v>50</v>
      </c>
      <c r="I65" s="1">
        <v>45870</v>
      </c>
      <c r="J65" s="2">
        <v>0</v>
      </c>
      <c r="K65" s="2">
        <v>175</v>
      </c>
      <c r="L65">
        <v>1</v>
      </c>
      <c r="M65" s="3">
        <v>1</v>
      </c>
      <c r="N65" s="2">
        <v>175</v>
      </c>
      <c r="P65" t="s">
        <v>256</v>
      </c>
    </row>
    <row r="66" spans="1:17" x14ac:dyDescent="0.25">
      <c r="A66" s="9" t="s">
        <v>295</v>
      </c>
      <c r="B66" t="str">
        <f t="shared" si="2"/>
        <v>00023502071K0</v>
      </c>
      <c r="C66" t="s">
        <v>94</v>
      </c>
      <c r="D66" t="s">
        <v>46</v>
      </c>
      <c r="E66">
        <v>20411454</v>
      </c>
      <c r="F66" t="s">
        <v>304</v>
      </c>
      <c r="G66" t="s">
        <v>49</v>
      </c>
      <c r="H66" t="s">
        <v>50</v>
      </c>
      <c r="I66" s="1">
        <v>45870</v>
      </c>
      <c r="J66" s="2">
        <v>0</v>
      </c>
      <c r="K66" s="2">
        <v>175</v>
      </c>
      <c r="L66">
        <v>1</v>
      </c>
      <c r="M66" s="3">
        <v>1</v>
      </c>
      <c r="N66" s="2">
        <v>175</v>
      </c>
      <c r="P66" t="s">
        <v>256</v>
      </c>
    </row>
    <row r="67" spans="1:17" x14ac:dyDescent="0.25">
      <c r="A67" s="9" t="s">
        <v>296</v>
      </c>
      <c r="B67" t="str">
        <f t="shared" si="2"/>
        <v>00023502164K0</v>
      </c>
      <c r="C67" t="s">
        <v>98</v>
      </c>
      <c r="D67" t="s">
        <v>60</v>
      </c>
      <c r="E67">
        <v>20411454</v>
      </c>
      <c r="F67" t="s">
        <v>304</v>
      </c>
      <c r="G67" t="s">
        <v>49</v>
      </c>
      <c r="H67" t="s">
        <v>50</v>
      </c>
      <c r="I67" s="1">
        <v>45870</v>
      </c>
      <c r="J67" s="2">
        <v>0</v>
      </c>
      <c r="K67" s="2">
        <v>175</v>
      </c>
      <c r="L67">
        <v>1</v>
      </c>
      <c r="M67" s="3">
        <v>1</v>
      </c>
      <c r="N67" s="2">
        <v>175</v>
      </c>
      <c r="P67" t="s">
        <v>256</v>
      </c>
    </row>
    <row r="68" spans="1:17" x14ac:dyDescent="0.25">
      <c r="A68" s="9" t="s">
        <v>297</v>
      </c>
      <c r="B68" s="9" t="s">
        <v>297</v>
      </c>
      <c r="C68" t="s">
        <v>199</v>
      </c>
      <c r="D68" t="s">
        <v>200</v>
      </c>
      <c r="E68">
        <v>20411454</v>
      </c>
      <c r="F68" t="s">
        <v>304</v>
      </c>
      <c r="G68" t="s">
        <v>201</v>
      </c>
      <c r="H68" t="s">
        <v>50</v>
      </c>
      <c r="I68" s="1">
        <v>45658</v>
      </c>
      <c r="N68" s="4">
        <v>-73.5</v>
      </c>
      <c r="P68" t="s">
        <v>256</v>
      </c>
    </row>
    <row r="69" spans="1:17" x14ac:dyDescent="0.25">
      <c r="A69" s="9" t="s">
        <v>298</v>
      </c>
      <c r="B69" s="9" t="s">
        <v>298</v>
      </c>
      <c r="C69" t="s">
        <v>203</v>
      </c>
      <c r="D69" t="s">
        <v>200</v>
      </c>
      <c r="E69">
        <v>20411454</v>
      </c>
      <c r="F69" t="s">
        <v>304</v>
      </c>
      <c r="G69" t="s">
        <v>201</v>
      </c>
      <c r="H69" t="s">
        <v>50</v>
      </c>
      <c r="I69" s="1">
        <v>45689</v>
      </c>
      <c r="N69" s="4">
        <v>-87.5</v>
      </c>
      <c r="P69" t="s">
        <v>256</v>
      </c>
    </row>
    <row r="70" spans="1:17" x14ac:dyDescent="0.25">
      <c r="A70" s="9" t="s">
        <v>299</v>
      </c>
      <c r="B70" s="9" t="s">
        <v>299</v>
      </c>
      <c r="C70" t="s">
        <v>205</v>
      </c>
      <c r="D70" t="s">
        <v>46</v>
      </c>
      <c r="E70">
        <v>20411454</v>
      </c>
      <c r="F70" t="s">
        <v>304</v>
      </c>
      <c r="G70" t="s">
        <v>201</v>
      </c>
      <c r="H70" t="s">
        <v>50</v>
      </c>
      <c r="I70" s="1">
        <v>45901</v>
      </c>
      <c r="N70" s="4">
        <v>-175</v>
      </c>
      <c r="P70" t="s">
        <v>256</v>
      </c>
    </row>
    <row r="71" spans="1:17" s="5" customFormat="1" x14ac:dyDescent="0.25">
      <c r="A71" s="10" t="s">
        <v>300</v>
      </c>
      <c r="B71" s="10" t="s">
        <v>300</v>
      </c>
      <c r="C71" s="5" t="s">
        <v>68</v>
      </c>
      <c r="D71" s="5" t="s">
        <v>69</v>
      </c>
      <c r="E71" s="5">
        <v>20724564</v>
      </c>
      <c r="F71" s="5" t="s">
        <v>71</v>
      </c>
      <c r="G71" s="5" t="s">
        <v>49</v>
      </c>
      <c r="H71" s="5" t="s">
        <v>72</v>
      </c>
      <c r="I71" s="6">
        <v>45931</v>
      </c>
      <c r="J71" s="7">
        <v>0</v>
      </c>
      <c r="K71" s="7">
        <v>15</v>
      </c>
      <c r="L71" s="5">
        <v>1</v>
      </c>
      <c r="M71" s="8">
        <v>1</v>
      </c>
      <c r="N71" s="7">
        <v>15</v>
      </c>
      <c r="P71" s="5" t="s">
        <v>257</v>
      </c>
    </row>
    <row r="72" spans="1:17" s="5" customFormat="1" x14ac:dyDescent="0.25">
      <c r="A72" s="10" t="s">
        <v>301</v>
      </c>
      <c r="B72" s="10" t="s">
        <v>301</v>
      </c>
      <c r="C72" s="5" t="s">
        <v>74</v>
      </c>
      <c r="D72" s="5" t="s">
        <v>75</v>
      </c>
      <c r="E72" s="5">
        <v>5442438</v>
      </c>
      <c r="F72" s="5" t="s">
        <v>77</v>
      </c>
      <c r="G72" s="5" t="s">
        <v>49</v>
      </c>
      <c r="H72" s="5" t="s">
        <v>72</v>
      </c>
      <c r="I72" s="6">
        <v>45870</v>
      </c>
      <c r="J72" s="7">
        <v>0</v>
      </c>
      <c r="K72" s="7">
        <v>15</v>
      </c>
      <c r="L72" s="5">
        <v>1</v>
      </c>
      <c r="M72" s="8">
        <v>1</v>
      </c>
      <c r="N72" s="7">
        <v>15</v>
      </c>
      <c r="P72" s="5" t="s">
        <v>257</v>
      </c>
    </row>
    <row r="73" spans="1:17" s="5" customFormat="1" x14ac:dyDescent="0.25">
      <c r="A73" s="10" t="s">
        <v>302</v>
      </c>
      <c r="B73" s="10" t="s">
        <v>302</v>
      </c>
      <c r="C73" s="5" t="s">
        <v>92</v>
      </c>
      <c r="D73" s="5" t="s">
        <v>69</v>
      </c>
      <c r="E73" s="5">
        <v>20724564</v>
      </c>
      <c r="F73" s="5" t="s">
        <v>71</v>
      </c>
      <c r="G73" s="5" t="s">
        <v>49</v>
      </c>
      <c r="H73" s="5" t="s">
        <v>72</v>
      </c>
      <c r="I73" s="6">
        <v>45931</v>
      </c>
      <c r="J73" s="7">
        <v>0</v>
      </c>
      <c r="K73" s="7">
        <v>15</v>
      </c>
      <c r="L73" s="5">
        <v>1</v>
      </c>
      <c r="M73" s="8">
        <v>1</v>
      </c>
      <c r="N73" s="7">
        <v>15</v>
      </c>
      <c r="P73" s="5" t="s">
        <v>257</v>
      </c>
    </row>
    <row r="74" spans="1:17" x14ac:dyDescent="0.25">
      <c r="A74" s="9" t="s">
        <v>303</v>
      </c>
      <c r="B74" s="9" t="s">
        <v>303</v>
      </c>
      <c r="C74" t="s">
        <v>193</v>
      </c>
      <c r="D74" t="s">
        <v>75</v>
      </c>
      <c r="E74">
        <v>20411454</v>
      </c>
      <c r="F74" t="s">
        <v>304</v>
      </c>
      <c r="G74" t="s">
        <v>49</v>
      </c>
      <c r="H74" t="s">
        <v>196</v>
      </c>
      <c r="I74" s="1">
        <v>45870</v>
      </c>
      <c r="J74" s="2">
        <v>0</v>
      </c>
      <c r="K74" s="2">
        <v>175</v>
      </c>
      <c r="L74">
        <v>1</v>
      </c>
      <c r="M74" s="3">
        <v>1</v>
      </c>
      <c r="N74" s="2">
        <v>175</v>
      </c>
      <c r="P74" t="s">
        <v>258</v>
      </c>
    </row>
    <row r="75" spans="1:17" s="5" customFormat="1" x14ac:dyDescent="0.25">
      <c r="A75" s="10">
        <v>133751757</v>
      </c>
      <c r="B75" s="5" t="str">
        <f>CONCATENATE(A75,1)</f>
        <v>1337517571</v>
      </c>
      <c r="C75" s="5" t="s">
        <v>193</v>
      </c>
      <c r="D75" s="5" t="s">
        <v>75</v>
      </c>
      <c r="E75" s="5">
        <v>5442438</v>
      </c>
      <c r="F75" s="5" t="s">
        <v>77</v>
      </c>
      <c r="G75" s="5" t="s">
        <v>49</v>
      </c>
      <c r="H75" s="5" t="s">
        <v>194</v>
      </c>
      <c r="I75" s="6">
        <v>45870</v>
      </c>
      <c r="J75" s="7">
        <v>0</v>
      </c>
      <c r="K75" s="7">
        <v>130.41999999999999</v>
      </c>
      <c r="L75" s="5">
        <v>1</v>
      </c>
      <c r="M75" s="8">
        <v>1</v>
      </c>
      <c r="N75" s="7">
        <v>130.41999999999999</v>
      </c>
      <c r="O75" s="5" t="s">
        <v>191</v>
      </c>
      <c r="P75" s="5" t="s">
        <v>259</v>
      </c>
      <c r="Q75" s="5" t="s">
        <v>260</v>
      </c>
    </row>
  </sheetData>
  <sortState xmlns:xlrd2="http://schemas.microsoft.com/office/spreadsheetml/2017/richdata2" ref="A2:AM75">
    <sortCondition ref="H2:H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2025-07-30T19:54:15Z</dcterms:created>
  <dcterms:modified xsi:type="dcterms:W3CDTF">2025-08-04T13:17:16Z</dcterms:modified>
</cp:coreProperties>
</file>