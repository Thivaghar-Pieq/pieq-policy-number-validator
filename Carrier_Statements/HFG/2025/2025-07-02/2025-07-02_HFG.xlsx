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7-02-25\"/>
    </mc:Choice>
  </mc:AlternateContent>
  <xr:revisionPtr revIDLastSave="0" documentId="13_ncr:9_{C1E2937E-C0AC-48D0-8AD2-948B0A150CB1}" xr6:coauthVersionLast="47" xr6:coauthVersionMax="47" xr10:uidLastSave="{00000000-0000-0000-0000-000000000000}"/>
  <bookViews>
    <workbookView xWindow="28680" yWindow="-120" windowWidth="29040" windowHeight="16440" activeTab="1" xr2:uid="{5E55F68A-532B-4411-806F-3D0EBFC0BD2E}"/>
  </bookViews>
  <sheets>
    <sheet name="New Business Agent Statement - 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63" i="2" l="1"/>
  <c r="B57" i="2"/>
  <c r="B56" i="2"/>
  <c r="B51" i="2"/>
  <c r="B50" i="2"/>
  <c r="B49" i="2"/>
  <c r="B48" i="2"/>
  <c r="B47" i="2"/>
  <c r="B46" i="2"/>
  <c r="B45" i="2"/>
  <c r="B28" i="2"/>
  <c r="B27" i="2"/>
  <c r="B26" i="2"/>
  <c r="B25" i="2"/>
  <c r="B24" i="2"/>
  <c r="B23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61" i="2"/>
  <c r="B60" i="2"/>
  <c r="B59" i="2"/>
  <c r="B69" i="2"/>
  <c r="B68" i="2"/>
  <c r="Q68" i="2"/>
  <c r="Q69" i="2"/>
</calcChain>
</file>

<file path=xl/sharedStrings.xml><?xml version="1.0" encoding="utf-8"?>
<sst xmlns="http://schemas.openxmlformats.org/spreadsheetml/2006/main" count="1595" uniqueCount="307">
  <si>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</si>
  <si>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</si>
  <si>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</si>
  <si>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</si>
  <si>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</si>
  <si>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</si>
  <si>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</si>
  <si>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</si>
  <si>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</si>
  <si>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</si>
  <si>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</si>
  <si>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</si>
  <si>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</si>
  <si>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</si>
  <si>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</si>
  <si>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</si>
  <si>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</si>
  <si>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</si>
  <si>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</si>
  <si>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</si>
  <si>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</si>
  <si>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</si>
  <si>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</si>
  <si>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</si>
  <si>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</si>
  <si>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</si>
  <si>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</si>
  <si>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</si>
  <si>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</si>
  <si>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</si>
  <si>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</si>
  <si>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</si>
  <si>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</si>
  <si>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</si>
  <si>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</si>
  <si>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</si>
  <si>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</si>
  <si>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</si>
  <si>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</si>
  <si>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</si>
  <si>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</si>
  <si>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</si>
  <si>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</si>
  <si>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</si>
  <si>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'00002095651K</t>
  </si>
  <si>
    <t>ELIZABETH CLARK</t>
  </si>
  <si>
    <t>IL</t>
  </si>
  <si>
    <t>'045632</t>
  </si>
  <si>
    <t>BARRY SCHUMANN</t>
  </si>
  <si>
    <t>ACTIVE</t>
  </si>
  <si>
    <t>Humana MA 2019+ Level 15- 175/108</t>
  </si>
  <si>
    <t>Monthly</t>
  </si>
  <si>
    <t>AV</t>
  </si>
  <si>
    <t>'00020805683K</t>
  </si>
  <si>
    <t>LARRY JOHN</t>
  </si>
  <si>
    <t>AZ</t>
  </si>
  <si>
    <t>'043638</t>
  </si>
  <si>
    <t>THOMAS PARDUE</t>
  </si>
  <si>
    <t>'00023184051K</t>
  </si>
  <si>
    <t>JENNIFER BOYD</t>
  </si>
  <si>
    <t>OH</t>
  </si>
  <si>
    <t>'043678</t>
  </si>
  <si>
    <t>MATTHEW DAUGHERTY</t>
  </si>
  <si>
    <t>Humana MA 2019+ Level 15- 175/108 Repl 2024</t>
  </si>
  <si>
    <t>'00023257863K</t>
  </si>
  <si>
    <t>TEENA ROSS</t>
  </si>
  <si>
    <t>SC</t>
  </si>
  <si>
    <t>'045601</t>
  </si>
  <si>
    <t>CAROL FOLEY</t>
  </si>
  <si>
    <t>'00023423985KPDP</t>
  </si>
  <si>
    <t>ALANNA VON TERSCH</t>
  </si>
  <si>
    <t>MI</t>
  </si>
  <si>
    <t>'043682</t>
  </si>
  <si>
    <t>GREGORY TEIPEL</t>
  </si>
  <si>
    <t>Humana PDP 2019+ Level 15- 15/0</t>
  </si>
  <si>
    <t>'00023424272K</t>
  </si>
  <si>
    <t>THOMAS BOYLE</t>
  </si>
  <si>
    <t>'045611</t>
  </si>
  <si>
    <t>FRANK LISKOVEC</t>
  </si>
  <si>
    <t>'00023429364K</t>
  </si>
  <si>
    <t>SHEILA WILD</t>
  </si>
  <si>
    <t>'045612</t>
  </si>
  <si>
    <t>ANTHONY HUNSBERGER</t>
  </si>
  <si>
    <t>'00023431107K</t>
  </si>
  <si>
    <t>FRANK BLACKWELL</t>
  </si>
  <si>
    <t>'045709</t>
  </si>
  <si>
    <t>ESTHER HERRERA-LARSEN</t>
  </si>
  <si>
    <t>'00023433627K</t>
  </si>
  <si>
    <t>TEOFILA CALINGA</t>
  </si>
  <si>
    <t>'045613</t>
  </si>
  <si>
    <t>RICARDO SANTOS</t>
  </si>
  <si>
    <t>'00023435027K</t>
  </si>
  <si>
    <t>HEIDI NUTTLE</t>
  </si>
  <si>
    <t>'045603</t>
  </si>
  <si>
    <t>ANDREW CHOI</t>
  </si>
  <si>
    <t>'101815601400</t>
  </si>
  <si>
    <t>CAROL SCIAME</t>
  </si>
  <si>
    <t>'045605</t>
  </si>
  <si>
    <t>GARY PORTUGAL</t>
  </si>
  <si>
    <t>Aetna MAPD NMO to GMO - 4-1-23+  Replace E-App</t>
  </si>
  <si>
    <t>6/12 PRORATE</t>
  </si>
  <si>
    <t>'101931808600</t>
  </si>
  <si>
    <t>DENISE BREIDE</t>
  </si>
  <si>
    <t>PA</t>
  </si>
  <si>
    <t>'043686</t>
  </si>
  <si>
    <t>SCOTT AGUGLIA</t>
  </si>
  <si>
    <t>'102081378500</t>
  </si>
  <si>
    <t>JOANNE LOSHBOUGH</t>
  </si>
  <si>
    <t>WI</t>
  </si>
  <si>
    <t>'043644</t>
  </si>
  <si>
    <t>TIMOTHY HODGMAN</t>
  </si>
  <si>
    <t>Aetna MAPD NMO to GMO - 4-1-23+  New E-App</t>
  </si>
  <si>
    <t>'102170274000</t>
  </si>
  <si>
    <t>KELLY SCHLOBOHM</t>
  </si>
  <si>
    <t>'043786</t>
  </si>
  <si>
    <t>MARGARET SMITH</t>
  </si>
  <si>
    <t>'102170749100</t>
  </si>
  <si>
    <t>KATHY MITCHELL</t>
  </si>
  <si>
    <t>'043832</t>
  </si>
  <si>
    <t>CAROL FRITZ</t>
  </si>
  <si>
    <t>'102170848000</t>
  </si>
  <si>
    <t>MEGAN HINCHSLIFF</t>
  </si>
  <si>
    <t>'043618</t>
  </si>
  <si>
    <t>SAADIA ABDUL</t>
  </si>
  <si>
    <t>'102170861900</t>
  </si>
  <si>
    <t>ANKA STARKE</t>
  </si>
  <si>
    <t>'045622</t>
  </si>
  <si>
    <t>JACOB YALE</t>
  </si>
  <si>
    <t>'102170865500</t>
  </si>
  <si>
    <t>KEVIN CALLOZZO</t>
  </si>
  <si>
    <t>'102170912900</t>
  </si>
  <si>
    <t>CAROL STEPHENS</t>
  </si>
  <si>
    <t>'043679</t>
  </si>
  <si>
    <t>DEBORAH INSKIPT</t>
  </si>
  <si>
    <t>'102171601900</t>
  </si>
  <si>
    <t>MAGDALENA ROSA SERRANO</t>
  </si>
  <si>
    <t>'102172052300</t>
  </si>
  <si>
    <t>DAVID SHELLY</t>
  </si>
  <si>
    <t>'043691</t>
  </si>
  <si>
    <t>MICHELLE MCCORKLE</t>
  </si>
  <si>
    <t>'102172138300</t>
  </si>
  <si>
    <t>CHRISTINE HOCHSPRUNG</t>
  </si>
  <si>
    <t>'102172358300</t>
  </si>
  <si>
    <t>WILLIAM CERNY</t>
  </si>
  <si>
    <t>'102172611900</t>
  </si>
  <si>
    <t>DIANA QUESADA</t>
  </si>
  <si>
    <t>7/12 PRORATE</t>
  </si>
  <si>
    <t>'102172618800</t>
  </si>
  <si>
    <t>GERALD PUCKETT</t>
  </si>
  <si>
    <t>'102173389000</t>
  </si>
  <si>
    <t>ROBBY CRANK</t>
  </si>
  <si>
    <t>KS</t>
  </si>
  <si>
    <t>'102173406800</t>
  </si>
  <si>
    <t>PAMELA SIEGEL</t>
  </si>
  <si>
    <t>'102174805300</t>
  </si>
  <si>
    <t>JEFFREY MIHALKA</t>
  </si>
  <si>
    <t>'102176759200</t>
  </si>
  <si>
    <t>LISA MANGANELLO</t>
  </si>
  <si>
    <t>'102176926900</t>
  </si>
  <si>
    <t>DEBRA WYLLIE</t>
  </si>
  <si>
    <t>CO</t>
  </si>
  <si>
    <t>'045621</t>
  </si>
  <si>
    <t>HEATHER GESKE</t>
  </si>
  <si>
    <t>4/12 PRORATE</t>
  </si>
  <si>
    <t>'102177007300</t>
  </si>
  <si>
    <t>LOUIE OLAH</t>
  </si>
  <si>
    <t>'045604</t>
  </si>
  <si>
    <t>JEFFREY HORN</t>
  </si>
  <si>
    <t>'102177116200</t>
  </si>
  <si>
    <t>LOIS MCROBERTS</t>
  </si>
  <si>
    <t>FL</t>
  </si>
  <si>
    <t>'043585</t>
  </si>
  <si>
    <t>PETER RICHTER</t>
  </si>
  <si>
    <t>'102177215600</t>
  </si>
  <si>
    <t>LUANNA SCHMITZ</t>
  </si>
  <si>
    <t>MO</t>
  </si>
  <si>
    <t>'102177233000</t>
  </si>
  <si>
    <t>RENEE MCMATH</t>
  </si>
  <si>
    <t>5/12 PRORATE</t>
  </si>
  <si>
    <t>'102177242000</t>
  </si>
  <si>
    <t>MICHAEL RIZZO</t>
  </si>
  <si>
    <t>'043689</t>
  </si>
  <si>
    <t>ANNE MARIE KOZACHECK</t>
  </si>
  <si>
    <t>'102177466000</t>
  </si>
  <si>
    <t>MICHAEL MORRISON</t>
  </si>
  <si>
    <t>'133607929</t>
  </si>
  <si>
    <t>ERIN DEMAREST</t>
  </si>
  <si>
    <t>'043969</t>
  </si>
  <si>
    <t>STACEY PORTUGAL</t>
  </si>
  <si>
    <t>UHC MAPD Street payable to upline- 2025 Replace</t>
  </si>
  <si>
    <t>'133607929OV</t>
  </si>
  <si>
    <t>UHC MA Direct 2024 New Full</t>
  </si>
  <si>
    <t>'912316773</t>
  </si>
  <si>
    <t>KAYE EVANS</t>
  </si>
  <si>
    <t>'043611</t>
  </si>
  <si>
    <t>TIMOTHY POWERS</t>
  </si>
  <si>
    <t>'922326462</t>
  </si>
  <si>
    <t>PAULA GUTZ</t>
  </si>
  <si>
    <t>UT</t>
  </si>
  <si>
    <t>'045642</t>
  </si>
  <si>
    <t>JONATHAN ALOFF</t>
  </si>
  <si>
    <t>'922326462OV</t>
  </si>
  <si>
    <t>'A04297412</t>
  </si>
  <si>
    <t>RANDI HEICHMAN</t>
  </si>
  <si>
    <t>UHC AARP Med Supp IL Area 1- Plan  B C F G</t>
  </si>
  <si>
    <t>'A04298056</t>
  </si>
  <si>
    <t>MICHELA CARROLL</t>
  </si>
  <si>
    <t>NJ</t>
  </si>
  <si>
    <t>'045609</t>
  </si>
  <si>
    <t>MURRAY STERNER</t>
  </si>
  <si>
    <t>UHC AARP Med Supp NJ 2025- Plan C D F G</t>
  </si>
  <si>
    <t>'A04298063</t>
  </si>
  <si>
    <t>WILLIAM CARROLL</t>
  </si>
  <si>
    <t>UHC AARP Med Supp NJ - Plan  B C D F G</t>
  </si>
  <si>
    <t>CB</t>
  </si>
  <si>
    <t>'00000374418GPC</t>
  </si>
  <si>
    <t>EDNA HUPPERT</t>
  </si>
  <si>
    <t>NA</t>
  </si>
  <si>
    <t>'043705</t>
  </si>
  <si>
    <t>MICHAEL DUNAVANT</t>
  </si>
  <si>
    <t>CHARGEBACK</t>
  </si>
  <si>
    <t>'00023124079KPC</t>
  </si>
  <si>
    <t>PEGGY ALLEN</t>
  </si>
  <si>
    <t>'00023184051KPC</t>
  </si>
  <si>
    <t>'00023257863KPC</t>
  </si>
  <si>
    <t>'021W23166PC</t>
  </si>
  <si>
    <t>Roberta Dowdy</t>
  </si>
  <si>
    <t>Anthem MA 2025</t>
  </si>
  <si>
    <t>'102081378500CB</t>
  </si>
  <si>
    <t>'102082153100PC</t>
  </si>
  <si>
    <t>COLLEEN MCABEE</t>
  </si>
  <si>
    <t>CA</t>
  </si>
  <si>
    <t>Aetna MAPD NMO to GMO 4-1-23+  -CA NJ - Replace E-App</t>
  </si>
  <si>
    <t>'102131714400PC</t>
  </si>
  <si>
    <t>JOAN GAVIN</t>
  </si>
  <si>
    <t>'102170274000CB</t>
  </si>
  <si>
    <t>'102170749100CB</t>
  </si>
  <si>
    <t>'102170848000CB</t>
  </si>
  <si>
    <t>'102170861900CB</t>
  </si>
  <si>
    <t>'102170865500CB</t>
  </si>
  <si>
    <t>'102170912900CB</t>
  </si>
  <si>
    <t>'102171601900CB</t>
  </si>
  <si>
    <t>'102172052300CB</t>
  </si>
  <si>
    <t>'102172138300CB</t>
  </si>
  <si>
    <t>'102172358300CB</t>
  </si>
  <si>
    <t>'102173389000CB</t>
  </si>
  <si>
    <t>'102173406800CB</t>
  </si>
  <si>
    <t>'102174805300CB</t>
  </si>
  <si>
    <t>'911246279OVPC</t>
  </si>
  <si>
    <t>AMANDA THOMPSON</t>
  </si>
  <si>
    <t>'911246279PC</t>
  </si>
  <si>
    <t>UHC MAPD Street payable to upline - 2025 New</t>
  </si>
  <si>
    <t>'964114112OVPC</t>
  </si>
  <si>
    <t>RUTH SCHAFFROTH</t>
  </si>
  <si>
    <t>'964114112PC</t>
  </si>
  <si>
    <t>00002095651K</t>
  </si>
  <si>
    <t>00020805683K</t>
  </si>
  <si>
    <t>00023184051K</t>
  </si>
  <si>
    <t>00023257863K</t>
  </si>
  <si>
    <t>00023423985KPDP</t>
  </si>
  <si>
    <t>00023424272K</t>
  </si>
  <si>
    <t>00023429364K</t>
  </si>
  <si>
    <t>00023431107K</t>
  </si>
  <si>
    <t>00023433627K</t>
  </si>
  <si>
    <t>00023435027K</t>
  </si>
  <si>
    <t>133607929OV</t>
  </si>
  <si>
    <t>922326462OV</t>
  </si>
  <si>
    <t>A04297412</t>
  </si>
  <si>
    <t>A04298056</t>
  </si>
  <si>
    <t>A04298063</t>
  </si>
  <si>
    <t>00000374418GPC</t>
  </si>
  <si>
    <t>00023124079KPC</t>
  </si>
  <si>
    <t>00023184051KPC</t>
  </si>
  <si>
    <t>00023257863KPC</t>
  </si>
  <si>
    <t>021W23166PC</t>
  </si>
  <si>
    <t>102081378500CB</t>
  </si>
  <si>
    <t>102082153100PC</t>
  </si>
  <si>
    <t>102131714400PC</t>
  </si>
  <si>
    <t>102170274000CB</t>
  </si>
  <si>
    <t>102170749100CB</t>
  </si>
  <si>
    <t>102170848000CB</t>
  </si>
  <si>
    <t>102170861900CB</t>
  </si>
  <si>
    <t>102170865500CB</t>
  </si>
  <si>
    <t>102170912900CB</t>
  </si>
  <si>
    <t>102171601900CB</t>
  </si>
  <si>
    <t>102172052300CB</t>
  </si>
  <si>
    <t>102172138300CB</t>
  </si>
  <si>
    <t>102172358300CB</t>
  </si>
  <si>
    <t>102173389000CB</t>
  </si>
  <si>
    <t>102173406800CB</t>
  </si>
  <si>
    <t>102174805300CB</t>
  </si>
  <si>
    <t>911246279OVPC</t>
  </si>
  <si>
    <t>911246279PC</t>
  </si>
  <si>
    <t>964114112OVPC</t>
  </si>
  <si>
    <t>964114112PC</t>
  </si>
  <si>
    <t>Aetna MAPD OVR 2025</t>
  </si>
  <si>
    <t>Anthem MAPD 2025 OVR</t>
  </si>
  <si>
    <t>Humana MAPD OVR 2025</t>
  </si>
  <si>
    <t>Humana PDP 2025!</t>
  </si>
  <si>
    <t>UHC AARP MS IL Area 1 - Plan B C F G</t>
  </si>
  <si>
    <t>UHC Plans C,D,F,G (NJ)</t>
  </si>
  <si>
    <t>UHC AARP MS NJ - Plan B C D F G</t>
  </si>
  <si>
    <t>UHC MAPD Ovr 2025</t>
  </si>
  <si>
    <t>UHC MAPD 2025*</t>
  </si>
  <si>
    <t>[%/$=313][prorate=6/12]</t>
  </si>
  <si>
    <t>[%/$=313][prorate=4/12]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</si>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</sst>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" fontId="0" fillId="33" borderId="0" xfId="0" applyNumberFormat="1" applyFill="1" applyAlignment="1">
      <alignment horizontal="left"/>
    </xf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F354-8C06-4464-9CD3-E9A6EEF5A99F}">
  <dimension ref="A1:AL70"/>
  <sheetViews>
    <sheetView topLeftCell="A19" workbookViewId="0">
      <selection activeCell="A43" sqref="A43:XFD45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45839</v>
      </c>
      <c r="B2" s="1">
        <v>45840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45839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5598504</v>
      </c>
    </row>
    <row r="3" spans="1:38" x14ac:dyDescent="0.25">
      <c r="A3" s="1">
        <v>45839</v>
      </c>
      <c r="B3" s="1">
        <v>45840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45839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5598526</v>
      </c>
    </row>
    <row r="4" spans="1:38" x14ac:dyDescent="0.25">
      <c r="A4" s="1">
        <v>45839</v>
      </c>
      <c r="B4" s="1">
        <v>45840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63</v>
      </c>
      <c r="S4" s="1">
        <v>45839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5598534</v>
      </c>
    </row>
    <row r="5" spans="1:38" x14ac:dyDescent="0.25">
      <c r="A5" s="1">
        <v>45839</v>
      </c>
      <c r="B5" s="1">
        <v>45840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66</v>
      </c>
      <c r="O5" t="s">
        <v>67</v>
      </c>
      <c r="P5" t="s">
        <v>68</v>
      </c>
      <c r="Q5" t="s">
        <v>49</v>
      </c>
      <c r="R5" t="s">
        <v>63</v>
      </c>
      <c r="S5" s="1">
        <v>45839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5598537</v>
      </c>
    </row>
    <row r="6" spans="1:38" x14ac:dyDescent="0.25">
      <c r="A6" s="1">
        <v>45839</v>
      </c>
      <c r="B6" s="1">
        <v>45840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71</v>
      </c>
      <c r="O6" t="s">
        <v>72</v>
      </c>
      <c r="P6" t="s">
        <v>73</v>
      </c>
      <c r="Q6" t="s">
        <v>49</v>
      </c>
      <c r="R6" t="s">
        <v>74</v>
      </c>
      <c r="S6" s="1">
        <v>45870</v>
      </c>
      <c r="U6" t="s">
        <v>51</v>
      </c>
      <c r="X6" t="s">
        <v>52</v>
      </c>
      <c r="Y6" s="2">
        <v>0</v>
      </c>
      <c r="Z6" s="2">
        <v>15</v>
      </c>
      <c r="AA6">
        <v>1</v>
      </c>
      <c r="AB6" s="3">
        <v>1</v>
      </c>
      <c r="AC6" s="2">
        <v>15</v>
      </c>
      <c r="AD6" s="3">
        <v>0</v>
      </c>
      <c r="AE6" s="2">
        <v>0</v>
      </c>
      <c r="AF6" s="2">
        <v>15</v>
      </c>
      <c r="AK6">
        <v>5598538</v>
      </c>
    </row>
    <row r="7" spans="1:38" x14ac:dyDescent="0.25">
      <c r="A7" s="1">
        <v>45839</v>
      </c>
      <c r="B7" s="1">
        <v>45840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75</v>
      </c>
      <c r="J7" t="s">
        <v>76</v>
      </c>
      <c r="M7" t="s">
        <v>46</v>
      </c>
      <c r="O7" t="s">
        <v>77</v>
      </c>
      <c r="P7" t="s">
        <v>78</v>
      </c>
      <c r="Q7" t="s">
        <v>49</v>
      </c>
      <c r="R7" t="s">
        <v>50</v>
      </c>
      <c r="S7" s="1">
        <v>45870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5598540</v>
      </c>
    </row>
    <row r="8" spans="1:38" x14ac:dyDescent="0.25">
      <c r="A8" s="1">
        <v>45839</v>
      </c>
      <c r="B8" s="1">
        <v>45840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79</v>
      </c>
      <c r="J8" t="s">
        <v>80</v>
      </c>
      <c r="M8" t="s">
        <v>46</v>
      </c>
      <c r="O8" t="s">
        <v>81</v>
      </c>
      <c r="P8" t="s">
        <v>82</v>
      </c>
      <c r="Q8" t="s">
        <v>49</v>
      </c>
      <c r="R8" t="s">
        <v>50</v>
      </c>
      <c r="S8" s="1">
        <v>45839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5598583</v>
      </c>
    </row>
    <row r="9" spans="1:38" x14ac:dyDescent="0.25">
      <c r="A9" s="1">
        <v>45839</v>
      </c>
      <c r="B9" s="1">
        <v>45840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83</v>
      </c>
      <c r="J9" t="s">
        <v>84</v>
      </c>
      <c r="M9" t="s">
        <v>46</v>
      </c>
      <c r="O9" t="s">
        <v>85</v>
      </c>
      <c r="P9" t="s">
        <v>86</v>
      </c>
      <c r="Q9" t="s">
        <v>49</v>
      </c>
      <c r="R9" t="s">
        <v>50</v>
      </c>
      <c r="S9" s="1">
        <v>45839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5598593</v>
      </c>
    </row>
    <row r="10" spans="1:38" x14ac:dyDescent="0.25">
      <c r="A10" s="1">
        <v>45839</v>
      </c>
      <c r="B10" s="1">
        <v>45840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87</v>
      </c>
      <c r="J10" t="s">
        <v>88</v>
      </c>
      <c r="M10" t="s">
        <v>46</v>
      </c>
      <c r="O10" t="s">
        <v>89</v>
      </c>
      <c r="P10" t="s">
        <v>90</v>
      </c>
      <c r="Q10" t="s">
        <v>49</v>
      </c>
      <c r="R10" t="s">
        <v>50</v>
      </c>
      <c r="S10" s="1">
        <v>45839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5598608</v>
      </c>
    </row>
    <row r="11" spans="1:38" x14ac:dyDescent="0.25">
      <c r="A11" s="1">
        <v>45839</v>
      </c>
      <c r="B11" s="1">
        <v>45840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91</v>
      </c>
      <c r="J11" t="s">
        <v>92</v>
      </c>
      <c r="M11" t="s">
        <v>46</v>
      </c>
      <c r="O11" t="s">
        <v>93</v>
      </c>
      <c r="P11" t="s">
        <v>94</v>
      </c>
      <c r="Q11" t="s">
        <v>49</v>
      </c>
      <c r="R11" t="s">
        <v>50</v>
      </c>
      <c r="S11" s="1">
        <v>45839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5598624</v>
      </c>
    </row>
    <row r="12" spans="1:38" x14ac:dyDescent="0.25">
      <c r="A12" s="1">
        <v>45839</v>
      </c>
      <c r="B12" s="1">
        <v>45840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95</v>
      </c>
      <c r="J12" t="s">
        <v>96</v>
      </c>
      <c r="M12" t="s">
        <v>55</v>
      </c>
      <c r="O12" t="s">
        <v>97</v>
      </c>
      <c r="P12" t="s">
        <v>98</v>
      </c>
      <c r="Q12" t="s">
        <v>49</v>
      </c>
      <c r="R12" t="s">
        <v>99</v>
      </c>
      <c r="S12" s="1">
        <v>45839</v>
      </c>
      <c r="U12" t="s">
        <v>51</v>
      </c>
      <c r="X12" t="s">
        <v>52</v>
      </c>
      <c r="Y12" s="2">
        <v>0</v>
      </c>
      <c r="Z12" s="2">
        <v>25</v>
      </c>
      <c r="AA12">
        <v>1</v>
      </c>
      <c r="AB12" s="3">
        <v>1</v>
      </c>
      <c r="AC12" s="2">
        <v>25</v>
      </c>
      <c r="AD12" s="3">
        <v>0</v>
      </c>
      <c r="AE12" s="2">
        <v>0</v>
      </c>
      <c r="AF12" s="2">
        <v>25</v>
      </c>
      <c r="AK12">
        <v>5598283</v>
      </c>
      <c r="AL12" t="s">
        <v>100</v>
      </c>
    </row>
    <row r="13" spans="1:38" x14ac:dyDescent="0.25">
      <c r="A13" s="1">
        <v>45839</v>
      </c>
      <c r="B13" s="1">
        <v>45840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101</v>
      </c>
      <c r="J13" t="s">
        <v>102</v>
      </c>
      <c r="M13" t="s">
        <v>103</v>
      </c>
      <c r="O13" t="s">
        <v>104</v>
      </c>
      <c r="P13" t="s">
        <v>105</v>
      </c>
      <c r="Q13" t="s">
        <v>49</v>
      </c>
      <c r="R13" t="s">
        <v>99</v>
      </c>
      <c r="S13" s="1">
        <v>45839</v>
      </c>
      <c r="U13" t="s">
        <v>51</v>
      </c>
      <c r="X13" t="s">
        <v>52</v>
      </c>
      <c r="Y13" s="2">
        <v>0</v>
      </c>
      <c r="Z13" s="2">
        <v>25</v>
      </c>
      <c r="AA13">
        <v>1</v>
      </c>
      <c r="AB13" s="3">
        <v>1</v>
      </c>
      <c r="AC13" s="2">
        <v>25</v>
      </c>
      <c r="AD13" s="3">
        <v>0</v>
      </c>
      <c r="AE13" s="2">
        <v>0</v>
      </c>
      <c r="AF13" s="2">
        <v>25</v>
      </c>
      <c r="AK13">
        <v>5598284</v>
      </c>
      <c r="AL13" t="s">
        <v>100</v>
      </c>
    </row>
    <row r="14" spans="1:38" x14ac:dyDescent="0.25">
      <c r="A14" s="1">
        <v>45839</v>
      </c>
      <c r="B14" s="1">
        <v>45840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106</v>
      </c>
      <c r="J14" t="s">
        <v>107</v>
      </c>
      <c r="M14" t="s">
        <v>108</v>
      </c>
      <c r="O14" t="s">
        <v>109</v>
      </c>
      <c r="P14" t="s">
        <v>110</v>
      </c>
      <c r="Q14" t="s">
        <v>49</v>
      </c>
      <c r="R14" t="s">
        <v>111</v>
      </c>
      <c r="S14" s="1">
        <v>45778</v>
      </c>
      <c r="U14" t="s">
        <v>51</v>
      </c>
      <c r="X14" t="s">
        <v>52</v>
      </c>
      <c r="Y14" s="2">
        <v>0</v>
      </c>
      <c r="Z14" s="2">
        <v>50</v>
      </c>
      <c r="AA14">
        <v>1</v>
      </c>
      <c r="AB14" s="3">
        <v>1</v>
      </c>
      <c r="AC14" s="2">
        <v>50</v>
      </c>
      <c r="AD14" s="3">
        <v>0</v>
      </c>
      <c r="AE14" s="2">
        <v>0</v>
      </c>
      <c r="AF14" s="2">
        <v>50</v>
      </c>
      <c r="AK14">
        <v>5598341</v>
      </c>
    </row>
    <row r="15" spans="1:38" x14ac:dyDescent="0.25">
      <c r="A15" s="1">
        <v>45839</v>
      </c>
      <c r="B15" s="1">
        <v>45840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112</v>
      </c>
      <c r="J15" t="s">
        <v>113</v>
      </c>
      <c r="M15" t="s">
        <v>103</v>
      </c>
      <c r="O15" t="s">
        <v>114</v>
      </c>
      <c r="P15" t="s">
        <v>115</v>
      </c>
      <c r="Q15" t="s">
        <v>49</v>
      </c>
      <c r="R15" t="s">
        <v>111</v>
      </c>
      <c r="S15" s="1">
        <v>45870</v>
      </c>
      <c r="U15" t="s">
        <v>51</v>
      </c>
      <c r="X15" t="s">
        <v>52</v>
      </c>
      <c r="Y15" s="2">
        <v>0</v>
      </c>
      <c r="Z15" s="2">
        <v>50</v>
      </c>
      <c r="AA15">
        <v>1</v>
      </c>
      <c r="AB15" s="3">
        <v>1</v>
      </c>
      <c r="AC15" s="2">
        <v>50</v>
      </c>
      <c r="AD15" s="3">
        <v>0</v>
      </c>
      <c r="AE15" s="2">
        <v>0</v>
      </c>
      <c r="AF15" s="2">
        <v>50</v>
      </c>
      <c r="AK15">
        <v>5598358</v>
      </c>
    </row>
    <row r="16" spans="1:38" x14ac:dyDescent="0.25">
      <c r="A16" s="1">
        <v>45839</v>
      </c>
      <c r="B16" s="1">
        <v>45840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116</v>
      </c>
      <c r="J16" t="s">
        <v>117</v>
      </c>
      <c r="M16" t="s">
        <v>46</v>
      </c>
      <c r="O16" t="s">
        <v>118</v>
      </c>
      <c r="P16" t="s">
        <v>119</v>
      </c>
      <c r="Q16" t="s">
        <v>49</v>
      </c>
      <c r="R16" t="s">
        <v>111</v>
      </c>
      <c r="S16" s="1">
        <v>45809</v>
      </c>
      <c r="U16" t="s">
        <v>51</v>
      </c>
      <c r="X16" t="s">
        <v>52</v>
      </c>
      <c r="Y16" s="2">
        <v>0</v>
      </c>
      <c r="Z16" s="2">
        <v>50</v>
      </c>
      <c r="AA16">
        <v>1</v>
      </c>
      <c r="AB16" s="3">
        <v>1</v>
      </c>
      <c r="AC16" s="2">
        <v>50</v>
      </c>
      <c r="AD16" s="3">
        <v>0</v>
      </c>
      <c r="AE16" s="2">
        <v>0</v>
      </c>
      <c r="AF16" s="2">
        <v>50</v>
      </c>
      <c r="AK16">
        <v>5598364</v>
      </c>
    </row>
    <row r="17" spans="1:38" x14ac:dyDescent="0.25">
      <c r="A17" s="1">
        <v>45839</v>
      </c>
      <c r="B17" s="1">
        <v>45840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120</v>
      </c>
      <c r="J17" t="s">
        <v>121</v>
      </c>
      <c r="M17" t="s">
        <v>71</v>
      </c>
      <c r="O17" t="s">
        <v>122</v>
      </c>
      <c r="P17" t="s">
        <v>123</v>
      </c>
      <c r="Q17" t="s">
        <v>49</v>
      </c>
      <c r="R17" t="s">
        <v>111</v>
      </c>
      <c r="S17" s="1">
        <v>45839</v>
      </c>
      <c r="U17" t="s">
        <v>51</v>
      </c>
      <c r="X17" t="s">
        <v>52</v>
      </c>
      <c r="Y17" s="2">
        <v>0</v>
      </c>
      <c r="Z17" s="2">
        <v>50</v>
      </c>
      <c r="AA17">
        <v>1</v>
      </c>
      <c r="AB17" s="3">
        <v>1</v>
      </c>
      <c r="AC17" s="2">
        <v>50</v>
      </c>
      <c r="AD17" s="3">
        <v>0</v>
      </c>
      <c r="AE17" s="2">
        <v>0</v>
      </c>
      <c r="AF17" s="2">
        <v>50</v>
      </c>
      <c r="AK17">
        <v>5598365</v>
      </c>
    </row>
    <row r="18" spans="1:38" x14ac:dyDescent="0.25">
      <c r="A18" s="1">
        <v>45839</v>
      </c>
      <c r="B18" s="1">
        <v>45840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124</v>
      </c>
      <c r="J18" t="s">
        <v>125</v>
      </c>
      <c r="M18" t="s">
        <v>46</v>
      </c>
      <c r="O18" t="s">
        <v>126</v>
      </c>
      <c r="P18" t="s">
        <v>127</v>
      </c>
      <c r="Q18" t="s">
        <v>49</v>
      </c>
      <c r="R18" t="s">
        <v>111</v>
      </c>
      <c r="S18" s="1">
        <v>45809</v>
      </c>
      <c r="U18" t="s">
        <v>51</v>
      </c>
      <c r="X18" t="s">
        <v>52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5598366</v>
      </c>
    </row>
    <row r="19" spans="1:38" x14ac:dyDescent="0.25">
      <c r="A19" s="1">
        <v>45839</v>
      </c>
      <c r="B19" s="1">
        <v>45840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128</v>
      </c>
      <c r="J19" t="s">
        <v>129</v>
      </c>
      <c r="M19" t="s">
        <v>108</v>
      </c>
      <c r="O19" t="s">
        <v>109</v>
      </c>
      <c r="P19" t="s">
        <v>110</v>
      </c>
      <c r="Q19" t="s">
        <v>49</v>
      </c>
      <c r="R19" t="s">
        <v>111</v>
      </c>
      <c r="S19" s="1">
        <v>45809</v>
      </c>
      <c r="U19" t="s">
        <v>51</v>
      </c>
      <c r="X19" t="s">
        <v>52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5598367</v>
      </c>
    </row>
    <row r="20" spans="1:38" x14ac:dyDescent="0.25">
      <c r="A20" s="1">
        <v>45839</v>
      </c>
      <c r="B20" s="1">
        <v>45840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130</v>
      </c>
      <c r="J20" t="s">
        <v>131</v>
      </c>
      <c r="M20" t="s">
        <v>103</v>
      </c>
      <c r="O20" t="s">
        <v>132</v>
      </c>
      <c r="P20" t="s">
        <v>133</v>
      </c>
      <c r="Q20" t="s">
        <v>49</v>
      </c>
      <c r="R20" t="s">
        <v>111</v>
      </c>
      <c r="S20" s="1">
        <v>45870</v>
      </c>
      <c r="U20" t="s">
        <v>51</v>
      </c>
      <c r="X20" t="s">
        <v>52</v>
      </c>
      <c r="Y20" s="2">
        <v>0</v>
      </c>
      <c r="Z20" s="2">
        <v>50</v>
      </c>
      <c r="AA20">
        <v>1</v>
      </c>
      <c r="AB20" s="3">
        <v>1</v>
      </c>
      <c r="AC20" s="2">
        <v>50</v>
      </c>
      <c r="AD20" s="3">
        <v>0</v>
      </c>
      <c r="AE20" s="2">
        <v>0</v>
      </c>
      <c r="AF20" s="2">
        <v>50</v>
      </c>
      <c r="AK20">
        <v>5598369</v>
      </c>
    </row>
    <row r="21" spans="1:38" x14ac:dyDescent="0.25">
      <c r="A21" s="1">
        <v>45839</v>
      </c>
      <c r="B21" s="1">
        <v>45840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134</v>
      </c>
      <c r="J21" t="s">
        <v>135</v>
      </c>
      <c r="M21" t="s">
        <v>60</v>
      </c>
      <c r="O21" t="s">
        <v>72</v>
      </c>
      <c r="P21" t="s">
        <v>73</v>
      </c>
      <c r="Q21" t="s">
        <v>49</v>
      </c>
      <c r="R21" t="s">
        <v>111</v>
      </c>
      <c r="S21" s="1">
        <v>45809</v>
      </c>
      <c r="U21" t="s">
        <v>51</v>
      </c>
      <c r="X21" t="s">
        <v>52</v>
      </c>
      <c r="Y21" s="2">
        <v>0</v>
      </c>
      <c r="Z21" s="2">
        <v>50</v>
      </c>
      <c r="AA21">
        <v>1</v>
      </c>
      <c r="AB21" s="3">
        <v>1</v>
      </c>
      <c r="AC21" s="2">
        <v>50</v>
      </c>
      <c r="AD21" s="3">
        <v>0</v>
      </c>
      <c r="AE21" s="2">
        <v>0</v>
      </c>
      <c r="AF21" s="2">
        <v>50</v>
      </c>
      <c r="AK21">
        <v>5598387</v>
      </c>
    </row>
    <row r="22" spans="1:38" x14ac:dyDescent="0.25">
      <c r="A22" s="1">
        <v>45839</v>
      </c>
      <c r="B22" s="1">
        <v>45840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136</v>
      </c>
      <c r="J22" t="s">
        <v>137</v>
      </c>
      <c r="M22" t="s">
        <v>103</v>
      </c>
      <c r="O22" t="s">
        <v>138</v>
      </c>
      <c r="P22" t="s">
        <v>139</v>
      </c>
      <c r="Q22" t="s">
        <v>49</v>
      </c>
      <c r="R22" t="s">
        <v>111</v>
      </c>
      <c r="S22" s="1">
        <v>45870</v>
      </c>
      <c r="U22" t="s">
        <v>51</v>
      </c>
      <c r="X22" t="s">
        <v>52</v>
      </c>
      <c r="Y22" s="2">
        <v>0</v>
      </c>
      <c r="Z22" s="2">
        <v>50</v>
      </c>
      <c r="AA22">
        <v>1</v>
      </c>
      <c r="AB22" s="3">
        <v>1</v>
      </c>
      <c r="AC22" s="2">
        <v>50</v>
      </c>
      <c r="AD22" s="3">
        <v>0</v>
      </c>
      <c r="AE22" s="2">
        <v>0</v>
      </c>
      <c r="AF22" s="2">
        <v>50</v>
      </c>
      <c r="AK22">
        <v>5598404</v>
      </c>
    </row>
    <row r="23" spans="1:38" x14ac:dyDescent="0.25">
      <c r="A23" s="1">
        <v>45839</v>
      </c>
      <c r="B23" s="1">
        <v>45840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140</v>
      </c>
      <c r="J23" t="s">
        <v>141</v>
      </c>
      <c r="M23" t="s">
        <v>46</v>
      </c>
      <c r="O23" t="s">
        <v>126</v>
      </c>
      <c r="P23" t="s">
        <v>127</v>
      </c>
      <c r="Q23" t="s">
        <v>49</v>
      </c>
      <c r="R23" t="s">
        <v>111</v>
      </c>
      <c r="S23" s="1">
        <v>45809</v>
      </c>
      <c r="U23" t="s">
        <v>51</v>
      </c>
      <c r="X23" t="s">
        <v>52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5598408</v>
      </c>
    </row>
    <row r="24" spans="1:38" x14ac:dyDescent="0.25">
      <c r="A24" s="1">
        <v>45839</v>
      </c>
      <c r="B24" s="1">
        <v>45840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142</v>
      </c>
      <c r="J24" t="s">
        <v>143</v>
      </c>
      <c r="M24" t="s">
        <v>46</v>
      </c>
      <c r="O24" t="s">
        <v>81</v>
      </c>
      <c r="P24" t="s">
        <v>82</v>
      </c>
      <c r="Q24" t="s">
        <v>49</v>
      </c>
      <c r="R24" t="s">
        <v>111</v>
      </c>
      <c r="S24" s="1">
        <v>45809</v>
      </c>
      <c r="U24" t="s">
        <v>51</v>
      </c>
      <c r="X24" t="s">
        <v>52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5598410</v>
      </c>
    </row>
    <row r="25" spans="1:38" x14ac:dyDescent="0.25">
      <c r="A25" s="1">
        <v>45839</v>
      </c>
      <c r="B25" s="1">
        <v>45840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144</v>
      </c>
      <c r="J25" t="s">
        <v>145</v>
      </c>
      <c r="M25" t="s">
        <v>46</v>
      </c>
      <c r="O25" t="s">
        <v>72</v>
      </c>
      <c r="P25" t="s">
        <v>73</v>
      </c>
      <c r="Q25" t="s">
        <v>49</v>
      </c>
      <c r="R25" t="s">
        <v>99</v>
      </c>
      <c r="S25" s="1">
        <v>45809</v>
      </c>
      <c r="U25" t="s">
        <v>51</v>
      </c>
      <c r="X25" t="s">
        <v>52</v>
      </c>
      <c r="Y25" s="2">
        <v>0</v>
      </c>
      <c r="Z25" s="2">
        <v>29.17</v>
      </c>
      <c r="AA25">
        <v>1</v>
      </c>
      <c r="AB25" s="3">
        <v>1</v>
      </c>
      <c r="AC25" s="2">
        <v>29.17</v>
      </c>
      <c r="AD25" s="3">
        <v>0</v>
      </c>
      <c r="AE25" s="2">
        <v>0</v>
      </c>
      <c r="AF25" s="2">
        <v>29.17</v>
      </c>
      <c r="AK25">
        <v>5598288</v>
      </c>
      <c r="AL25" t="s">
        <v>146</v>
      </c>
    </row>
    <row r="26" spans="1:38" x14ac:dyDescent="0.25">
      <c r="A26" s="1">
        <v>45839</v>
      </c>
      <c r="B26" s="1">
        <v>45840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147</v>
      </c>
      <c r="J26" t="s">
        <v>148</v>
      </c>
      <c r="M26" t="s">
        <v>46</v>
      </c>
      <c r="O26" t="s">
        <v>72</v>
      </c>
      <c r="P26" t="s">
        <v>73</v>
      </c>
      <c r="Q26" t="s">
        <v>49</v>
      </c>
      <c r="R26" t="s">
        <v>99</v>
      </c>
      <c r="S26" s="1">
        <v>45809</v>
      </c>
      <c r="U26" t="s">
        <v>51</v>
      </c>
      <c r="X26" t="s">
        <v>52</v>
      </c>
      <c r="Y26" s="2">
        <v>0</v>
      </c>
      <c r="Z26" s="2">
        <v>29.17</v>
      </c>
      <c r="AA26">
        <v>1</v>
      </c>
      <c r="AB26" s="3">
        <v>1</v>
      </c>
      <c r="AC26" s="2">
        <v>29.17</v>
      </c>
      <c r="AD26" s="3">
        <v>0</v>
      </c>
      <c r="AE26" s="2">
        <v>0</v>
      </c>
      <c r="AF26" s="2">
        <v>29.17</v>
      </c>
      <c r="AK26">
        <v>5598289</v>
      </c>
      <c r="AL26" t="s">
        <v>146</v>
      </c>
    </row>
    <row r="27" spans="1:38" x14ac:dyDescent="0.25">
      <c r="A27" s="1">
        <v>45839</v>
      </c>
      <c r="B27" s="1">
        <v>45840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149</v>
      </c>
      <c r="J27" t="s">
        <v>150</v>
      </c>
      <c r="M27" t="s">
        <v>151</v>
      </c>
      <c r="O27" t="s">
        <v>72</v>
      </c>
      <c r="P27" t="s">
        <v>73</v>
      </c>
      <c r="Q27" t="s">
        <v>49</v>
      </c>
      <c r="R27" t="s">
        <v>111</v>
      </c>
      <c r="S27" s="1">
        <v>45809</v>
      </c>
      <c r="U27" t="s">
        <v>51</v>
      </c>
      <c r="X27" t="s">
        <v>52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5598437</v>
      </c>
    </row>
    <row r="28" spans="1:38" x14ac:dyDescent="0.25">
      <c r="A28" s="1">
        <v>45839</v>
      </c>
      <c r="B28" s="1">
        <v>45840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152</v>
      </c>
      <c r="J28" t="s">
        <v>153</v>
      </c>
      <c r="M28" t="s">
        <v>103</v>
      </c>
      <c r="O28" t="s">
        <v>132</v>
      </c>
      <c r="P28" t="s">
        <v>133</v>
      </c>
      <c r="Q28" t="s">
        <v>49</v>
      </c>
      <c r="R28" t="s">
        <v>111</v>
      </c>
      <c r="S28" s="1">
        <v>45839</v>
      </c>
      <c r="U28" t="s">
        <v>51</v>
      </c>
      <c r="X28" t="s">
        <v>52</v>
      </c>
      <c r="Y28" s="2">
        <v>0</v>
      </c>
      <c r="Z28" s="2">
        <v>50</v>
      </c>
      <c r="AA28">
        <v>1</v>
      </c>
      <c r="AB28" s="3">
        <v>1</v>
      </c>
      <c r="AC28" s="2">
        <v>50</v>
      </c>
      <c r="AD28" s="3">
        <v>0</v>
      </c>
      <c r="AE28" s="2">
        <v>0</v>
      </c>
      <c r="AF28" s="2">
        <v>50</v>
      </c>
      <c r="AK28">
        <v>5598440</v>
      </c>
    </row>
    <row r="29" spans="1:38" x14ac:dyDescent="0.25">
      <c r="A29" s="1">
        <v>45839</v>
      </c>
      <c r="B29" s="1">
        <v>45840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154</v>
      </c>
      <c r="J29" t="s">
        <v>155</v>
      </c>
      <c r="M29" t="s">
        <v>46</v>
      </c>
      <c r="O29" t="s">
        <v>81</v>
      </c>
      <c r="P29" t="s">
        <v>82</v>
      </c>
      <c r="Q29" t="s">
        <v>49</v>
      </c>
      <c r="R29" t="s">
        <v>111</v>
      </c>
      <c r="S29" s="1">
        <v>45839</v>
      </c>
      <c r="U29" t="s">
        <v>51</v>
      </c>
      <c r="X29" t="s">
        <v>52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5598469</v>
      </c>
    </row>
    <row r="30" spans="1:38" x14ac:dyDescent="0.25">
      <c r="A30" s="1">
        <v>45839</v>
      </c>
      <c r="B30" s="1">
        <v>45840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156</v>
      </c>
      <c r="J30" t="s">
        <v>157</v>
      </c>
      <c r="M30" t="s">
        <v>103</v>
      </c>
      <c r="O30" t="s">
        <v>132</v>
      </c>
      <c r="P30" t="s">
        <v>133</v>
      </c>
      <c r="Q30" t="s">
        <v>49</v>
      </c>
      <c r="R30" t="s">
        <v>99</v>
      </c>
      <c r="S30" s="1">
        <v>45839</v>
      </c>
      <c r="U30" t="s">
        <v>51</v>
      </c>
      <c r="X30" t="s">
        <v>52</v>
      </c>
      <c r="Y30" s="2">
        <v>0</v>
      </c>
      <c r="Z30" s="2">
        <v>25</v>
      </c>
      <c r="AA30">
        <v>1</v>
      </c>
      <c r="AB30" s="3">
        <v>1</v>
      </c>
      <c r="AC30" s="2">
        <v>25</v>
      </c>
      <c r="AD30" s="3">
        <v>0</v>
      </c>
      <c r="AE30" s="2">
        <v>0</v>
      </c>
      <c r="AF30" s="2">
        <v>25</v>
      </c>
      <c r="AK30">
        <v>5598298</v>
      </c>
      <c r="AL30" t="s">
        <v>100</v>
      </c>
    </row>
    <row r="31" spans="1:38" x14ac:dyDescent="0.25">
      <c r="A31" s="1">
        <v>45839</v>
      </c>
      <c r="B31" s="1">
        <v>45840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158</v>
      </c>
      <c r="J31" t="s">
        <v>159</v>
      </c>
      <c r="M31" t="s">
        <v>160</v>
      </c>
      <c r="O31" t="s">
        <v>161</v>
      </c>
      <c r="P31" t="s">
        <v>162</v>
      </c>
      <c r="Q31" t="s">
        <v>49</v>
      </c>
      <c r="R31" t="s">
        <v>99</v>
      </c>
      <c r="S31" s="1">
        <v>45901</v>
      </c>
      <c r="U31" t="s">
        <v>51</v>
      </c>
      <c r="X31" t="s">
        <v>52</v>
      </c>
      <c r="Y31" s="2">
        <v>0</v>
      </c>
      <c r="Z31" s="2">
        <v>16.670000000000002</v>
      </c>
      <c r="AA31">
        <v>1</v>
      </c>
      <c r="AB31" s="3">
        <v>1</v>
      </c>
      <c r="AC31" s="2">
        <v>16.670000000000002</v>
      </c>
      <c r="AD31" s="3">
        <v>0</v>
      </c>
      <c r="AE31" s="2">
        <v>0</v>
      </c>
      <c r="AF31" s="2">
        <v>16.670000000000002</v>
      </c>
      <c r="AK31">
        <v>5598304</v>
      </c>
      <c r="AL31" t="s">
        <v>163</v>
      </c>
    </row>
    <row r="32" spans="1:38" x14ac:dyDescent="0.25">
      <c r="A32" s="1">
        <v>45839</v>
      </c>
      <c r="B32" s="1">
        <v>45840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164</v>
      </c>
      <c r="J32" t="s">
        <v>165</v>
      </c>
      <c r="M32" t="s">
        <v>46</v>
      </c>
      <c r="O32" t="s">
        <v>166</v>
      </c>
      <c r="P32" t="s">
        <v>167</v>
      </c>
      <c r="Q32" t="s">
        <v>49</v>
      </c>
      <c r="R32" t="s">
        <v>99</v>
      </c>
      <c r="S32" s="1">
        <v>45901</v>
      </c>
      <c r="U32" t="s">
        <v>51</v>
      </c>
      <c r="X32" t="s">
        <v>52</v>
      </c>
      <c r="Y32" s="2">
        <v>0</v>
      </c>
      <c r="Z32" s="2">
        <v>16.670000000000002</v>
      </c>
      <c r="AA32">
        <v>1</v>
      </c>
      <c r="AB32" s="3">
        <v>1</v>
      </c>
      <c r="AC32" s="2">
        <v>16.670000000000002</v>
      </c>
      <c r="AD32" s="3">
        <v>0</v>
      </c>
      <c r="AE32" s="2">
        <v>0</v>
      </c>
      <c r="AF32" s="2">
        <v>16.670000000000002</v>
      </c>
      <c r="AK32">
        <v>5598307</v>
      </c>
      <c r="AL32" t="s">
        <v>163</v>
      </c>
    </row>
    <row r="33" spans="1:38" x14ac:dyDescent="0.25">
      <c r="A33" s="1">
        <v>45839</v>
      </c>
      <c r="B33" s="1">
        <v>45840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168</v>
      </c>
      <c r="J33" t="s">
        <v>169</v>
      </c>
      <c r="M33" t="s">
        <v>170</v>
      </c>
      <c r="O33" t="s">
        <v>171</v>
      </c>
      <c r="P33" t="s">
        <v>172</v>
      </c>
      <c r="Q33" t="s">
        <v>49</v>
      </c>
      <c r="R33" t="s">
        <v>99</v>
      </c>
      <c r="S33" s="1">
        <v>45839</v>
      </c>
      <c r="U33" t="s">
        <v>51</v>
      </c>
      <c r="X33" t="s">
        <v>52</v>
      </c>
      <c r="Y33" s="2">
        <v>0</v>
      </c>
      <c r="Z33" s="2">
        <v>25</v>
      </c>
      <c r="AA33">
        <v>1</v>
      </c>
      <c r="AB33" s="3">
        <v>1</v>
      </c>
      <c r="AC33" s="2">
        <v>25</v>
      </c>
      <c r="AD33" s="3">
        <v>0</v>
      </c>
      <c r="AE33" s="2">
        <v>0</v>
      </c>
      <c r="AF33" s="2">
        <v>25</v>
      </c>
      <c r="AK33">
        <v>5598309</v>
      </c>
      <c r="AL33" t="s">
        <v>100</v>
      </c>
    </row>
    <row r="34" spans="1:38" x14ac:dyDescent="0.25">
      <c r="A34" s="1">
        <v>45839</v>
      </c>
      <c r="B34" s="1">
        <v>45840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173</v>
      </c>
      <c r="J34" t="s">
        <v>174</v>
      </c>
      <c r="M34" t="s">
        <v>175</v>
      </c>
      <c r="O34" t="s">
        <v>72</v>
      </c>
      <c r="P34" t="s">
        <v>73</v>
      </c>
      <c r="Q34" t="s">
        <v>49</v>
      </c>
      <c r="R34" t="s">
        <v>99</v>
      </c>
      <c r="S34" s="1">
        <v>45901</v>
      </c>
      <c r="U34" t="s">
        <v>51</v>
      </c>
      <c r="X34" t="s">
        <v>52</v>
      </c>
      <c r="Y34" s="2">
        <v>0</v>
      </c>
      <c r="Z34" s="2">
        <v>16.670000000000002</v>
      </c>
      <c r="AA34">
        <v>1</v>
      </c>
      <c r="AB34" s="3">
        <v>1</v>
      </c>
      <c r="AC34" s="2">
        <v>16.670000000000002</v>
      </c>
      <c r="AD34" s="3">
        <v>0</v>
      </c>
      <c r="AE34" s="2">
        <v>0</v>
      </c>
      <c r="AF34" s="2">
        <v>16.670000000000002</v>
      </c>
      <c r="AK34">
        <v>5598312</v>
      </c>
      <c r="AL34" t="s">
        <v>163</v>
      </c>
    </row>
    <row r="35" spans="1:38" x14ac:dyDescent="0.25">
      <c r="A35" s="1">
        <v>45839</v>
      </c>
      <c r="B35" s="1">
        <v>45840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176</v>
      </c>
      <c r="J35" t="s">
        <v>177</v>
      </c>
      <c r="M35" t="s">
        <v>46</v>
      </c>
      <c r="O35" t="s">
        <v>97</v>
      </c>
      <c r="P35" t="s">
        <v>98</v>
      </c>
      <c r="Q35" t="s">
        <v>49</v>
      </c>
      <c r="R35" t="s">
        <v>99</v>
      </c>
      <c r="S35" s="1">
        <v>45870</v>
      </c>
      <c r="U35" t="s">
        <v>51</v>
      </c>
      <c r="X35" t="s">
        <v>52</v>
      </c>
      <c r="Y35" s="2">
        <v>0</v>
      </c>
      <c r="Z35" s="2">
        <v>20.83</v>
      </c>
      <c r="AA35">
        <v>1</v>
      </c>
      <c r="AB35" s="3">
        <v>1</v>
      </c>
      <c r="AC35" s="2">
        <v>20.83</v>
      </c>
      <c r="AD35" s="3">
        <v>0</v>
      </c>
      <c r="AE35" s="2">
        <v>0</v>
      </c>
      <c r="AF35" s="2">
        <v>20.83</v>
      </c>
      <c r="AK35">
        <v>5598315</v>
      </c>
      <c r="AL35" t="s">
        <v>178</v>
      </c>
    </row>
    <row r="36" spans="1:38" x14ac:dyDescent="0.25">
      <c r="A36" s="1">
        <v>45839</v>
      </c>
      <c r="B36" s="1">
        <v>45840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179</v>
      </c>
      <c r="J36" t="s">
        <v>180</v>
      </c>
      <c r="M36" t="s">
        <v>103</v>
      </c>
      <c r="O36" t="s">
        <v>181</v>
      </c>
      <c r="P36" t="s">
        <v>182</v>
      </c>
      <c r="Q36" t="s">
        <v>49</v>
      </c>
      <c r="R36" t="s">
        <v>99</v>
      </c>
      <c r="S36" s="1">
        <v>45839</v>
      </c>
      <c r="U36" t="s">
        <v>51</v>
      </c>
      <c r="X36" t="s">
        <v>52</v>
      </c>
      <c r="Y36" s="2">
        <v>0</v>
      </c>
      <c r="Z36" s="2">
        <v>25</v>
      </c>
      <c r="AA36">
        <v>1</v>
      </c>
      <c r="AB36" s="3">
        <v>1</v>
      </c>
      <c r="AC36" s="2">
        <v>25</v>
      </c>
      <c r="AD36" s="3">
        <v>0</v>
      </c>
      <c r="AE36" s="2">
        <v>0</v>
      </c>
      <c r="AF36" s="2">
        <v>25</v>
      </c>
      <c r="AK36">
        <v>5598316</v>
      </c>
      <c r="AL36" t="s">
        <v>100</v>
      </c>
    </row>
    <row r="37" spans="1:38" x14ac:dyDescent="0.25">
      <c r="A37" s="1">
        <v>45839</v>
      </c>
      <c r="B37" s="1">
        <v>45840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183</v>
      </c>
      <c r="J37" t="s">
        <v>184</v>
      </c>
      <c r="M37" t="s">
        <v>46</v>
      </c>
      <c r="O37" t="s">
        <v>81</v>
      </c>
      <c r="P37" t="s">
        <v>82</v>
      </c>
      <c r="Q37" t="s">
        <v>49</v>
      </c>
      <c r="R37" t="s">
        <v>99</v>
      </c>
      <c r="S37" s="1">
        <v>45839</v>
      </c>
      <c r="U37" t="s">
        <v>51</v>
      </c>
      <c r="X37" t="s">
        <v>52</v>
      </c>
      <c r="Y37" s="2">
        <v>0</v>
      </c>
      <c r="Z37" s="2">
        <v>25</v>
      </c>
      <c r="AA37">
        <v>1</v>
      </c>
      <c r="AB37" s="3">
        <v>1</v>
      </c>
      <c r="AC37" s="2">
        <v>25</v>
      </c>
      <c r="AD37" s="3">
        <v>0</v>
      </c>
      <c r="AE37" s="2">
        <v>0</v>
      </c>
      <c r="AF37" s="2">
        <v>25</v>
      </c>
      <c r="AK37">
        <v>5598322</v>
      </c>
      <c r="AL37" t="s">
        <v>100</v>
      </c>
    </row>
    <row r="38" spans="1:38" x14ac:dyDescent="0.25">
      <c r="A38" s="1">
        <v>45839</v>
      </c>
      <c r="B38" s="1">
        <v>45840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185</v>
      </c>
      <c r="J38" t="s">
        <v>186</v>
      </c>
      <c r="M38" t="s">
        <v>170</v>
      </c>
      <c r="O38" t="s">
        <v>187</v>
      </c>
      <c r="P38" t="s">
        <v>188</v>
      </c>
      <c r="Q38" t="s">
        <v>49</v>
      </c>
      <c r="R38" t="s">
        <v>189</v>
      </c>
      <c r="S38" s="1">
        <v>45901</v>
      </c>
      <c r="U38" t="s">
        <v>51</v>
      </c>
      <c r="X38" t="s">
        <v>52</v>
      </c>
      <c r="Y38" s="2">
        <v>0</v>
      </c>
      <c r="Z38" s="2">
        <v>104.33</v>
      </c>
      <c r="AA38">
        <v>1</v>
      </c>
      <c r="AB38" s="3">
        <v>1</v>
      </c>
      <c r="AC38" s="2">
        <v>104.33</v>
      </c>
      <c r="AD38" s="3">
        <v>0</v>
      </c>
      <c r="AE38" s="2">
        <v>0</v>
      </c>
      <c r="AF38" s="2">
        <v>104.33</v>
      </c>
      <c r="AK38">
        <v>5598772</v>
      </c>
      <c r="AL38" t="s">
        <v>163</v>
      </c>
    </row>
    <row r="39" spans="1:38" x14ac:dyDescent="0.25">
      <c r="A39" s="1">
        <v>45839</v>
      </c>
      <c r="B39" s="1">
        <v>45840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190</v>
      </c>
      <c r="J39" t="s">
        <v>186</v>
      </c>
      <c r="M39" t="s">
        <v>170</v>
      </c>
      <c r="O39" t="s">
        <v>187</v>
      </c>
      <c r="P39" t="s">
        <v>188</v>
      </c>
      <c r="Q39" t="s">
        <v>49</v>
      </c>
      <c r="R39" t="s">
        <v>191</v>
      </c>
      <c r="S39" s="1">
        <v>45901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5598650</v>
      </c>
    </row>
    <row r="40" spans="1:38" x14ac:dyDescent="0.25">
      <c r="A40" s="1">
        <v>45839</v>
      </c>
      <c r="B40" s="1">
        <v>45840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192</v>
      </c>
      <c r="J40" t="s">
        <v>193</v>
      </c>
      <c r="M40" t="s">
        <v>103</v>
      </c>
      <c r="O40" t="s">
        <v>194</v>
      </c>
      <c r="P40" t="s">
        <v>195</v>
      </c>
      <c r="Q40" t="s">
        <v>49</v>
      </c>
      <c r="R40" t="s">
        <v>191</v>
      </c>
      <c r="S40" s="1">
        <v>45839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5598652</v>
      </c>
    </row>
    <row r="41" spans="1:38" x14ac:dyDescent="0.25">
      <c r="A41" s="1">
        <v>45839</v>
      </c>
      <c r="B41" s="1">
        <v>45840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196</v>
      </c>
      <c r="J41" t="s">
        <v>197</v>
      </c>
      <c r="M41" t="s">
        <v>198</v>
      </c>
      <c r="O41" t="s">
        <v>199</v>
      </c>
      <c r="P41" t="s">
        <v>200</v>
      </c>
      <c r="Q41" t="s">
        <v>49</v>
      </c>
      <c r="R41" t="s">
        <v>189</v>
      </c>
      <c r="S41" s="1">
        <v>45839</v>
      </c>
      <c r="U41" t="s">
        <v>51</v>
      </c>
      <c r="X41" t="s">
        <v>52</v>
      </c>
      <c r="Y41" s="2">
        <v>0</v>
      </c>
      <c r="Z41" s="2">
        <v>156.5</v>
      </c>
      <c r="AA41">
        <v>1</v>
      </c>
      <c r="AB41" s="3">
        <v>1</v>
      </c>
      <c r="AC41" s="2">
        <v>156.5</v>
      </c>
      <c r="AD41" s="3">
        <v>0</v>
      </c>
      <c r="AE41" s="2">
        <v>0</v>
      </c>
      <c r="AF41" s="2">
        <v>156.5</v>
      </c>
      <c r="AK41">
        <v>5598773</v>
      </c>
      <c r="AL41" t="s">
        <v>100</v>
      </c>
    </row>
    <row r="42" spans="1:38" x14ac:dyDescent="0.25">
      <c r="A42" s="1">
        <v>45839</v>
      </c>
      <c r="B42" s="1">
        <v>45840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201</v>
      </c>
      <c r="J42" t="s">
        <v>197</v>
      </c>
      <c r="M42" t="s">
        <v>198</v>
      </c>
      <c r="O42" t="s">
        <v>199</v>
      </c>
      <c r="P42" t="s">
        <v>200</v>
      </c>
      <c r="Q42" t="s">
        <v>49</v>
      </c>
      <c r="R42" t="s">
        <v>191</v>
      </c>
      <c r="S42" s="1">
        <v>45839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5598656</v>
      </c>
    </row>
    <row r="43" spans="1:38" s="7" customFormat="1" x14ac:dyDescent="0.25">
      <c r="A43" s="6">
        <v>45839</v>
      </c>
      <c r="B43" s="6">
        <v>45840</v>
      </c>
      <c r="C43" s="7" t="s">
        <v>38</v>
      </c>
      <c r="D43" s="7" t="s">
        <v>39</v>
      </c>
      <c r="E43" s="7" t="s">
        <v>40</v>
      </c>
      <c r="F43" s="7" t="s">
        <v>41</v>
      </c>
      <c r="G43" s="7" t="s">
        <v>42</v>
      </c>
      <c r="H43" s="7" t="s">
        <v>43</v>
      </c>
      <c r="I43" s="7" t="s">
        <v>202</v>
      </c>
      <c r="J43" s="7" t="s">
        <v>203</v>
      </c>
      <c r="M43" s="7" t="s">
        <v>46</v>
      </c>
      <c r="O43" s="7" t="s">
        <v>97</v>
      </c>
      <c r="P43" s="7" t="s">
        <v>98</v>
      </c>
      <c r="Q43" s="7" t="s">
        <v>49</v>
      </c>
      <c r="R43" s="7" t="s">
        <v>204</v>
      </c>
      <c r="S43" s="6">
        <v>45870</v>
      </c>
      <c r="U43" s="7" t="s">
        <v>51</v>
      </c>
      <c r="X43" s="7" t="s">
        <v>52</v>
      </c>
      <c r="Y43" s="8">
        <v>0</v>
      </c>
      <c r="Z43" s="8">
        <v>31.98</v>
      </c>
      <c r="AA43" s="7">
        <v>9</v>
      </c>
      <c r="AB43" s="9">
        <v>1</v>
      </c>
      <c r="AC43" s="8">
        <v>287.82</v>
      </c>
      <c r="AD43" s="9">
        <v>0</v>
      </c>
      <c r="AE43" s="8">
        <v>0</v>
      </c>
      <c r="AF43" s="8">
        <v>287.82</v>
      </c>
      <c r="AK43" s="7">
        <v>5598648</v>
      </c>
    </row>
    <row r="44" spans="1:38" s="7" customFormat="1" x14ac:dyDescent="0.25">
      <c r="A44" s="6">
        <v>45839</v>
      </c>
      <c r="B44" s="6">
        <v>45840</v>
      </c>
      <c r="C44" s="7" t="s">
        <v>38</v>
      </c>
      <c r="D44" s="7" t="s">
        <v>39</v>
      </c>
      <c r="E44" s="7" t="s">
        <v>40</v>
      </c>
      <c r="F44" s="7" t="s">
        <v>41</v>
      </c>
      <c r="G44" s="7" t="s">
        <v>42</v>
      </c>
      <c r="H44" s="7" t="s">
        <v>43</v>
      </c>
      <c r="I44" s="7" t="s">
        <v>205</v>
      </c>
      <c r="J44" s="7" t="s">
        <v>206</v>
      </c>
      <c r="M44" s="7" t="s">
        <v>207</v>
      </c>
      <c r="O44" s="7" t="s">
        <v>208</v>
      </c>
      <c r="P44" s="7" t="s">
        <v>209</v>
      </c>
      <c r="Q44" s="7" t="s">
        <v>49</v>
      </c>
      <c r="R44" s="7" t="s">
        <v>210</v>
      </c>
      <c r="S44" s="6">
        <v>45839</v>
      </c>
      <c r="U44" s="7" t="s">
        <v>51</v>
      </c>
      <c r="X44" s="7" t="s">
        <v>52</v>
      </c>
      <c r="Y44" s="8">
        <v>0</v>
      </c>
      <c r="Z44" s="8">
        <v>40.020000000000003</v>
      </c>
      <c r="AA44" s="7">
        <v>9</v>
      </c>
      <c r="AB44" s="9">
        <v>1</v>
      </c>
      <c r="AC44" s="8">
        <v>360.18</v>
      </c>
      <c r="AD44" s="9">
        <v>0</v>
      </c>
      <c r="AE44" s="8">
        <v>0</v>
      </c>
      <c r="AF44" s="8">
        <v>360.18</v>
      </c>
      <c r="AK44" s="7">
        <v>5598647</v>
      </c>
    </row>
    <row r="45" spans="1:38" s="7" customFormat="1" x14ac:dyDescent="0.25">
      <c r="A45" s="6">
        <v>45839</v>
      </c>
      <c r="B45" s="6">
        <v>45840</v>
      </c>
      <c r="C45" s="7" t="s">
        <v>38</v>
      </c>
      <c r="D45" s="7" t="s">
        <v>39</v>
      </c>
      <c r="E45" s="7" t="s">
        <v>40</v>
      </c>
      <c r="F45" s="7" t="s">
        <v>41</v>
      </c>
      <c r="G45" s="7" t="s">
        <v>42</v>
      </c>
      <c r="H45" s="7" t="s">
        <v>43</v>
      </c>
      <c r="I45" s="7" t="s">
        <v>211</v>
      </c>
      <c r="J45" s="7" t="s">
        <v>212</v>
      </c>
      <c r="M45" s="7" t="s">
        <v>207</v>
      </c>
      <c r="O45" s="7" t="s">
        <v>208</v>
      </c>
      <c r="P45" s="7" t="s">
        <v>209</v>
      </c>
      <c r="Q45" s="7" t="s">
        <v>49</v>
      </c>
      <c r="R45" s="7" t="s">
        <v>213</v>
      </c>
      <c r="S45" s="6">
        <v>45839</v>
      </c>
      <c r="U45" s="7" t="s">
        <v>51</v>
      </c>
      <c r="X45" s="7" t="s">
        <v>52</v>
      </c>
      <c r="Y45" s="8">
        <v>0</v>
      </c>
      <c r="Z45" s="8">
        <v>42.21</v>
      </c>
      <c r="AA45" s="7">
        <v>9</v>
      </c>
      <c r="AB45" s="9">
        <v>1</v>
      </c>
      <c r="AC45" s="8">
        <v>379.89</v>
      </c>
      <c r="AD45" s="9">
        <v>0</v>
      </c>
      <c r="AE45" s="8">
        <v>0</v>
      </c>
      <c r="AF45" s="8">
        <v>379.89</v>
      </c>
      <c r="AK45" s="7">
        <v>5598646</v>
      </c>
    </row>
    <row r="46" spans="1:38" x14ac:dyDescent="0.25">
      <c r="A46" s="1">
        <v>45839</v>
      </c>
      <c r="B46" s="1">
        <v>45840</v>
      </c>
      <c r="C46" t="s">
        <v>214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215</v>
      </c>
      <c r="J46" t="s">
        <v>216</v>
      </c>
      <c r="M46" t="s">
        <v>217</v>
      </c>
      <c r="O46" t="s">
        <v>218</v>
      </c>
      <c r="P46" t="s">
        <v>219</v>
      </c>
      <c r="Q46" t="s">
        <v>220</v>
      </c>
      <c r="R46" t="s">
        <v>50</v>
      </c>
      <c r="S46" s="1">
        <v>45689</v>
      </c>
      <c r="U46" t="s">
        <v>51</v>
      </c>
      <c r="X46" t="s">
        <v>52</v>
      </c>
      <c r="AF46" s="2">
        <v>175</v>
      </c>
      <c r="AG46" s="2">
        <v>0</v>
      </c>
      <c r="AJ46" s="2">
        <v>101.5</v>
      </c>
    </row>
    <row r="47" spans="1:38" x14ac:dyDescent="0.25">
      <c r="A47" s="1">
        <v>45839</v>
      </c>
      <c r="B47" s="1">
        <v>45840</v>
      </c>
      <c r="C47" t="s">
        <v>214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221</v>
      </c>
      <c r="J47" t="s">
        <v>222</v>
      </c>
      <c r="M47" t="s">
        <v>217</v>
      </c>
      <c r="O47" t="s">
        <v>97</v>
      </c>
      <c r="P47" t="s">
        <v>98</v>
      </c>
      <c r="Q47" t="s">
        <v>220</v>
      </c>
      <c r="R47" t="s">
        <v>50</v>
      </c>
      <c r="S47" s="1">
        <v>45717</v>
      </c>
      <c r="U47" t="s">
        <v>51</v>
      </c>
      <c r="X47" t="s">
        <v>52</v>
      </c>
      <c r="AF47" s="2">
        <v>175</v>
      </c>
      <c r="AG47" s="2">
        <v>0</v>
      </c>
      <c r="AJ47" s="2">
        <v>117.25</v>
      </c>
    </row>
    <row r="48" spans="1:38" x14ac:dyDescent="0.25">
      <c r="A48" s="1">
        <v>45839</v>
      </c>
      <c r="B48" s="1">
        <v>45840</v>
      </c>
      <c r="C48" t="s">
        <v>214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223</v>
      </c>
      <c r="J48" t="s">
        <v>59</v>
      </c>
      <c r="M48" t="s">
        <v>217</v>
      </c>
      <c r="O48" t="s">
        <v>61</v>
      </c>
      <c r="P48" t="s">
        <v>62</v>
      </c>
      <c r="Q48" t="s">
        <v>220</v>
      </c>
      <c r="R48" t="s">
        <v>50</v>
      </c>
      <c r="S48" s="1">
        <v>45778</v>
      </c>
      <c r="U48" t="s">
        <v>51</v>
      </c>
      <c r="X48" t="s">
        <v>52</v>
      </c>
      <c r="AF48" s="2">
        <v>175</v>
      </c>
      <c r="AG48" s="2">
        <v>0</v>
      </c>
      <c r="AJ48" s="2">
        <v>87.5</v>
      </c>
    </row>
    <row r="49" spans="1:36" x14ac:dyDescent="0.25">
      <c r="A49" s="1">
        <v>45839</v>
      </c>
      <c r="B49" s="1">
        <v>45840</v>
      </c>
      <c r="C49" t="s">
        <v>214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224</v>
      </c>
      <c r="J49" t="s">
        <v>65</v>
      </c>
      <c r="M49" t="s">
        <v>217</v>
      </c>
      <c r="O49" t="s">
        <v>67</v>
      </c>
      <c r="P49" t="s">
        <v>68</v>
      </c>
      <c r="Q49" t="s">
        <v>220</v>
      </c>
      <c r="R49" t="s">
        <v>50</v>
      </c>
      <c r="S49" s="1">
        <v>45778</v>
      </c>
      <c r="U49" t="s">
        <v>51</v>
      </c>
      <c r="X49" t="s">
        <v>52</v>
      </c>
      <c r="AF49" s="2">
        <v>175</v>
      </c>
      <c r="AG49" s="2">
        <v>0</v>
      </c>
      <c r="AJ49" s="2">
        <v>87.5</v>
      </c>
    </row>
    <row r="50" spans="1:36" x14ac:dyDescent="0.25">
      <c r="A50" s="1">
        <v>45839</v>
      </c>
      <c r="B50" s="1">
        <v>45840</v>
      </c>
      <c r="C50" t="s">
        <v>214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225</v>
      </c>
      <c r="J50" t="s">
        <v>226</v>
      </c>
      <c r="M50" t="s">
        <v>217</v>
      </c>
      <c r="O50" t="s">
        <v>97</v>
      </c>
      <c r="P50" t="s">
        <v>98</v>
      </c>
      <c r="Q50" t="s">
        <v>220</v>
      </c>
      <c r="R50" t="s">
        <v>227</v>
      </c>
      <c r="S50" s="1">
        <v>45778</v>
      </c>
      <c r="U50" t="s">
        <v>51</v>
      </c>
      <c r="X50" t="s">
        <v>52</v>
      </c>
      <c r="AF50" s="2">
        <v>175</v>
      </c>
      <c r="AG50" s="2">
        <v>0</v>
      </c>
      <c r="AJ50" s="2">
        <v>19.440000000000001</v>
      </c>
    </row>
    <row r="51" spans="1:36" x14ac:dyDescent="0.25">
      <c r="A51" s="1">
        <v>45839</v>
      </c>
      <c r="B51" s="1">
        <v>45840</v>
      </c>
      <c r="C51" t="s">
        <v>214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228</v>
      </c>
      <c r="J51" t="s">
        <v>107</v>
      </c>
      <c r="M51" t="s">
        <v>108</v>
      </c>
      <c r="O51" t="s">
        <v>109</v>
      </c>
      <c r="P51" t="s">
        <v>110</v>
      </c>
      <c r="Q51" t="s">
        <v>220</v>
      </c>
      <c r="R51" t="s">
        <v>99</v>
      </c>
      <c r="S51" s="1">
        <v>45778</v>
      </c>
      <c r="U51" t="s">
        <v>51</v>
      </c>
      <c r="X51" t="s">
        <v>52</v>
      </c>
      <c r="AF51" s="2">
        <v>33.33</v>
      </c>
      <c r="AG51" s="2">
        <v>0</v>
      </c>
      <c r="AJ51" s="2">
        <v>33.33</v>
      </c>
    </row>
    <row r="52" spans="1:36" x14ac:dyDescent="0.25">
      <c r="A52" s="1">
        <v>45839</v>
      </c>
      <c r="B52" s="1">
        <v>45840</v>
      </c>
      <c r="C52" t="s">
        <v>214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229</v>
      </c>
      <c r="J52" t="s">
        <v>230</v>
      </c>
      <c r="M52" t="s">
        <v>231</v>
      </c>
      <c r="O52" t="s">
        <v>161</v>
      </c>
      <c r="P52" t="s">
        <v>162</v>
      </c>
      <c r="Q52" t="s">
        <v>220</v>
      </c>
      <c r="R52" t="s">
        <v>232</v>
      </c>
      <c r="S52" s="1">
        <v>45689</v>
      </c>
      <c r="U52" t="s">
        <v>51</v>
      </c>
      <c r="X52" t="s">
        <v>52</v>
      </c>
      <c r="AF52" s="2">
        <v>45.83</v>
      </c>
      <c r="AG52" s="2">
        <v>0</v>
      </c>
      <c r="AJ52" s="2">
        <v>25</v>
      </c>
    </row>
    <row r="53" spans="1:36" x14ac:dyDescent="0.25">
      <c r="A53" s="1">
        <v>45839</v>
      </c>
      <c r="B53" s="1">
        <v>45840</v>
      </c>
      <c r="C53" t="s">
        <v>214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233</v>
      </c>
      <c r="J53" t="s">
        <v>234</v>
      </c>
      <c r="M53" t="s">
        <v>46</v>
      </c>
      <c r="O53" t="s">
        <v>81</v>
      </c>
      <c r="P53" t="s">
        <v>82</v>
      </c>
      <c r="Q53" t="s">
        <v>220</v>
      </c>
      <c r="R53" t="s">
        <v>111</v>
      </c>
      <c r="S53" s="1">
        <v>45658</v>
      </c>
      <c r="U53" t="s">
        <v>51</v>
      </c>
      <c r="X53" t="s">
        <v>52</v>
      </c>
      <c r="AF53" s="2">
        <v>50</v>
      </c>
      <c r="AG53" s="2">
        <v>0</v>
      </c>
      <c r="AJ53" s="2">
        <v>25</v>
      </c>
    </row>
    <row r="54" spans="1:36" x14ac:dyDescent="0.25">
      <c r="A54" s="1">
        <v>45839</v>
      </c>
      <c r="B54" s="1">
        <v>45840</v>
      </c>
      <c r="C54" t="s">
        <v>214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235</v>
      </c>
      <c r="J54" t="s">
        <v>113</v>
      </c>
      <c r="M54" t="s">
        <v>103</v>
      </c>
      <c r="O54" t="s">
        <v>114</v>
      </c>
      <c r="P54" t="s">
        <v>115</v>
      </c>
      <c r="Q54" t="s">
        <v>220</v>
      </c>
      <c r="R54" t="s">
        <v>99</v>
      </c>
      <c r="S54" s="1">
        <v>45870</v>
      </c>
      <c r="U54" t="s">
        <v>51</v>
      </c>
      <c r="X54" t="s">
        <v>52</v>
      </c>
      <c r="AF54" s="2">
        <v>20.83</v>
      </c>
      <c r="AG54" s="2">
        <v>0</v>
      </c>
      <c r="AJ54" s="2">
        <v>20.83</v>
      </c>
    </row>
    <row r="55" spans="1:36" x14ac:dyDescent="0.25">
      <c r="A55" s="1">
        <v>45839</v>
      </c>
      <c r="B55" s="1">
        <v>45840</v>
      </c>
      <c r="C55" t="s">
        <v>214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236</v>
      </c>
      <c r="J55" t="s">
        <v>117</v>
      </c>
      <c r="M55" t="s">
        <v>46</v>
      </c>
      <c r="O55" t="s">
        <v>118</v>
      </c>
      <c r="P55" t="s">
        <v>119</v>
      </c>
      <c r="Q55" t="s">
        <v>220</v>
      </c>
      <c r="R55" t="s">
        <v>99</v>
      </c>
      <c r="S55" s="1">
        <v>45809</v>
      </c>
      <c r="U55" t="s">
        <v>51</v>
      </c>
      <c r="X55" t="s">
        <v>52</v>
      </c>
      <c r="AF55" s="2">
        <v>29.17</v>
      </c>
      <c r="AG55" s="2">
        <v>0</v>
      </c>
      <c r="AJ55" s="2">
        <v>29.17</v>
      </c>
    </row>
    <row r="56" spans="1:36" x14ac:dyDescent="0.25">
      <c r="A56" s="1">
        <v>45839</v>
      </c>
      <c r="B56" s="1">
        <v>45840</v>
      </c>
      <c r="C56" t="s">
        <v>214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237</v>
      </c>
      <c r="J56" t="s">
        <v>121</v>
      </c>
      <c r="M56" t="s">
        <v>71</v>
      </c>
      <c r="O56" t="s">
        <v>122</v>
      </c>
      <c r="P56" t="s">
        <v>123</v>
      </c>
      <c r="Q56" t="s">
        <v>220</v>
      </c>
      <c r="R56" t="s">
        <v>99</v>
      </c>
      <c r="S56" s="1">
        <v>45839</v>
      </c>
      <c r="U56" t="s">
        <v>51</v>
      </c>
      <c r="X56" t="s">
        <v>52</v>
      </c>
      <c r="AF56" s="2">
        <v>25</v>
      </c>
      <c r="AG56" s="2">
        <v>0</v>
      </c>
      <c r="AJ56" s="2">
        <v>25</v>
      </c>
    </row>
    <row r="57" spans="1:36" x14ac:dyDescent="0.25">
      <c r="A57" s="1">
        <v>45839</v>
      </c>
      <c r="B57" s="1">
        <v>45840</v>
      </c>
      <c r="C57" t="s">
        <v>214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238</v>
      </c>
      <c r="J57" t="s">
        <v>125</v>
      </c>
      <c r="M57" t="s">
        <v>46</v>
      </c>
      <c r="O57" t="s">
        <v>126</v>
      </c>
      <c r="P57" t="s">
        <v>127</v>
      </c>
      <c r="Q57" t="s">
        <v>220</v>
      </c>
      <c r="R57" t="s">
        <v>99</v>
      </c>
      <c r="S57" s="1">
        <v>45809</v>
      </c>
      <c r="U57" t="s">
        <v>51</v>
      </c>
      <c r="X57" t="s">
        <v>52</v>
      </c>
      <c r="AF57" s="2">
        <v>29.17</v>
      </c>
      <c r="AG57" s="2">
        <v>0</v>
      </c>
      <c r="AJ57" s="2">
        <v>29.17</v>
      </c>
    </row>
    <row r="58" spans="1:36" x14ac:dyDescent="0.25">
      <c r="A58" s="1">
        <v>45839</v>
      </c>
      <c r="B58" s="1">
        <v>45840</v>
      </c>
      <c r="C58" t="s">
        <v>214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239</v>
      </c>
      <c r="J58" t="s">
        <v>129</v>
      </c>
      <c r="M58" t="s">
        <v>108</v>
      </c>
      <c r="O58" t="s">
        <v>109</v>
      </c>
      <c r="P58" t="s">
        <v>110</v>
      </c>
      <c r="Q58" t="s">
        <v>220</v>
      </c>
      <c r="R58" t="s">
        <v>99</v>
      </c>
      <c r="S58" s="1">
        <v>45809</v>
      </c>
      <c r="U58" t="s">
        <v>51</v>
      </c>
      <c r="X58" t="s">
        <v>52</v>
      </c>
      <c r="AF58" s="2">
        <v>29.17</v>
      </c>
      <c r="AG58" s="2">
        <v>0</v>
      </c>
      <c r="AJ58" s="2">
        <v>29.17</v>
      </c>
    </row>
    <row r="59" spans="1:36" x14ac:dyDescent="0.25">
      <c r="A59" s="1">
        <v>45839</v>
      </c>
      <c r="B59" s="1">
        <v>45840</v>
      </c>
      <c r="C59" t="s">
        <v>214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240</v>
      </c>
      <c r="J59" t="s">
        <v>131</v>
      </c>
      <c r="M59" t="s">
        <v>103</v>
      </c>
      <c r="O59" t="s">
        <v>132</v>
      </c>
      <c r="P59" t="s">
        <v>133</v>
      </c>
      <c r="Q59" t="s">
        <v>220</v>
      </c>
      <c r="R59" t="s">
        <v>99</v>
      </c>
      <c r="S59" s="1">
        <v>45870</v>
      </c>
      <c r="U59" t="s">
        <v>51</v>
      </c>
      <c r="X59" t="s">
        <v>52</v>
      </c>
      <c r="AF59" s="2">
        <v>20.83</v>
      </c>
      <c r="AG59" s="2">
        <v>0</v>
      </c>
      <c r="AJ59" s="2">
        <v>20.83</v>
      </c>
    </row>
    <row r="60" spans="1:36" x14ac:dyDescent="0.25">
      <c r="A60" s="1">
        <v>45839</v>
      </c>
      <c r="B60" s="1">
        <v>45840</v>
      </c>
      <c r="C60" t="s">
        <v>214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241</v>
      </c>
      <c r="J60" t="s">
        <v>135</v>
      </c>
      <c r="M60" t="s">
        <v>60</v>
      </c>
      <c r="O60" t="s">
        <v>72</v>
      </c>
      <c r="P60" t="s">
        <v>73</v>
      </c>
      <c r="Q60" t="s">
        <v>220</v>
      </c>
      <c r="R60" t="s">
        <v>99</v>
      </c>
      <c r="S60" s="1">
        <v>45809</v>
      </c>
      <c r="U60" t="s">
        <v>51</v>
      </c>
      <c r="X60" t="s">
        <v>52</v>
      </c>
      <c r="AF60" s="2">
        <v>29.17</v>
      </c>
      <c r="AG60" s="2">
        <v>0</v>
      </c>
      <c r="AJ60" s="2">
        <v>29.17</v>
      </c>
    </row>
    <row r="61" spans="1:36" x14ac:dyDescent="0.25">
      <c r="A61" s="1">
        <v>45839</v>
      </c>
      <c r="B61" s="1">
        <v>45840</v>
      </c>
      <c r="C61" t="s">
        <v>214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242</v>
      </c>
      <c r="J61" t="s">
        <v>137</v>
      </c>
      <c r="M61" t="s">
        <v>103</v>
      </c>
      <c r="O61" t="s">
        <v>138</v>
      </c>
      <c r="P61" t="s">
        <v>139</v>
      </c>
      <c r="Q61" t="s">
        <v>220</v>
      </c>
      <c r="R61" t="s">
        <v>99</v>
      </c>
      <c r="S61" s="1">
        <v>45870</v>
      </c>
      <c r="U61" t="s">
        <v>51</v>
      </c>
      <c r="X61" t="s">
        <v>52</v>
      </c>
      <c r="AF61" s="2">
        <v>20.83</v>
      </c>
      <c r="AG61" s="2">
        <v>0</v>
      </c>
      <c r="AJ61" s="2">
        <v>20.83</v>
      </c>
    </row>
    <row r="62" spans="1:36" x14ac:dyDescent="0.25">
      <c r="A62" s="1">
        <v>45839</v>
      </c>
      <c r="B62" s="1">
        <v>45840</v>
      </c>
      <c r="C62" t="s">
        <v>214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243</v>
      </c>
      <c r="J62" t="s">
        <v>141</v>
      </c>
      <c r="M62" t="s">
        <v>46</v>
      </c>
      <c r="O62" t="s">
        <v>126</v>
      </c>
      <c r="P62" t="s">
        <v>127</v>
      </c>
      <c r="Q62" t="s">
        <v>220</v>
      </c>
      <c r="R62" t="s">
        <v>99</v>
      </c>
      <c r="S62" s="1">
        <v>45809</v>
      </c>
      <c r="U62" t="s">
        <v>51</v>
      </c>
      <c r="X62" t="s">
        <v>52</v>
      </c>
      <c r="AF62" s="2">
        <v>29.17</v>
      </c>
      <c r="AG62" s="2">
        <v>0</v>
      </c>
      <c r="AJ62" s="2">
        <v>29.17</v>
      </c>
    </row>
    <row r="63" spans="1:36" x14ac:dyDescent="0.25">
      <c r="A63" s="1">
        <v>45839</v>
      </c>
      <c r="B63" s="1">
        <v>45840</v>
      </c>
      <c r="C63" t="s">
        <v>214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244</v>
      </c>
      <c r="J63" t="s">
        <v>143</v>
      </c>
      <c r="M63" t="s">
        <v>46</v>
      </c>
      <c r="O63" t="s">
        <v>81</v>
      </c>
      <c r="P63" t="s">
        <v>82</v>
      </c>
      <c r="Q63" t="s">
        <v>220</v>
      </c>
      <c r="R63" t="s">
        <v>99</v>
      </c>
      <c r="S63" s="1">
        <v>45809</v>
      </c>
      <c r="U63" t="s">
        <v>51</v>
      </c>
      <c r="X63" t="s">
        <v>52</v>
      </c>
      <c r="AF63" s="2">
        <v>29.17</v>
      </c>
      <c r="AG63" s="2">
        <v>0</v>
      </c>
      <c r="AJ63" s="2">
        <v>29.17</v>
      </c>
    </row>
    <row r="64" spans="1:36" x14ac:dyDescent="0.25">
      <c r="A64" s="1">
        <v>45839</v>
      </c>
      <c r="B64" s="1">
        <v>45840</v>
      </c>
      <c r="C64" t="s">
        <v>214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245</v>
      </c>
      <c r="J64" t="s">
        <v>150</v>
      </c>
      <c r="M64" t="s">
        <v>151</v>
      </c>
      <c r="O64" t="s">
        <v>72</v>
      </c>
      <c r="P64" t="s">
        <v>73</v>
      </c>
      <c r="Q64" t="s">
        <v>220</v>
      </c>
      <c r="R64" t="s">
        <v>99</v>
      </c>
      <c r="S64" s="1">
        <v>45809</v>
      </c>
      <c r="U64" t="s">
        <v>51</v>
      </c>
      <c r="X64" t="s">
        <v>52</v>
      </c>
      <c r="AF64" s="2">
        <v>29.17</v>
      </c>
      <c r="AG64" s="2">
        <v>0</v>
      </c>
      <c r="AJ64" s="2">
        <v>29.17</v>
      </c>
    </row>
    <row r="65" spans="1:36" x14ac:dyDescent="0.25">
      <c r="A65" s="1">
        <v>45839</v>
      </c>
      <c r="B65" s="1">
        <v>45840</v>
      </c>
      <c r="C65" t="s">
        <v>214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246</v>
      </c>
      <c r="J65" t="s">
        <v>153</v>
      </c>
      <c r="M65" t="s">
        <v>103</v>
      </c>
      <c r="O65" t="s">
        <v>132</v>
      </c>
      <c r="P65" t="s">
        <v>133</v>
      </c>
      <c r="Q65" t="s">
        <v>220</v>
      </c>
      <c r="R65" t="s">
        <v>99</v>
      </c>
      <c r="S65" s="1">
        <v>45839</v>
      </c>
      <c r="U65" t="s">
        <v>51</v>
      </c>
      <c r="X65" t="s">
        <v>52</v>
      </c>
      <c r="AF65" s="2">
        <v>25</v>
      </c>
      <c r="AG65" s="2">
        <v>0</v>
      </c>
      <c r="AJ65" s="2">
        <v>25</v>
      </c>
    </row>
    <row r="66" spans="1:36" x14ac:dyDescent="0.25">
      <c r="A66" s="1">
        <v>45839</v>
      </c>
      <c r="B66" s="1">
        <v>45840</v>
      </c>
      <c r="C66" t="s">
        <v>214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247</v>
      </c>
      <c r="J66" t="s">
        <v>155</v>
      </c>
      <c r="M66" t="s">
        <v>46</v>
      </c>
      <c r="O66" t="s">
        <v>81</v>
      </c>
      <c r="P66" t="s">
        <v>82</v>
      </c>
      <c r="Q66" t="s">
        <v>220</v>
      </c>
      <c r="R66" t="s">
        <v>99</v>
      </c>
      <c r="S66" s="1">
        <v>45839</v>
      </c>
      <c r="U66" t="s">
        <v>51</v>
      </c>
      <c r="X66" t="s">
        <v>52</v>
      </c>
      <c r="AF66" s="2">
        <v>25</v>
      </c>
      <c r="AG66" s="2">
        <v>0</v>
      </c>
      <c r="AJ66" s="2">
        <v>25</v>
      </c>
    </row>
    <row r="67" spans="1:36" x14ac:dyDescent="0.25">
      <c r="A67" s="1">
        <v>45839</v>
      </c>
      <c r="B67" s="1">
        <v>45840</v>
      </c>
      <c r="C67" t="s">
        <v>214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248</v>
      </c>
      <c r="J67" t="s">
        <v>249</v>
      </c>
      <c r="M67" t="s">
        <v>46</v>
      </c>
      <c r="O67" t="s">
        <v>89</v>
      </c>
      <c r="P67" t="s">
        <v>90</v>
      </c>
      <c r="Q67" t="s">
        <v>220</v>
      </c>
      <c r="R67" t="s">
        <v>191</v>
      </c>
      <c r="S67" s="1">
        <v>45778</v>
      </c>
      <c r="U67" t="s">
        <v>51</v>
      </c>
      <c r="X67" t="s">
        <v>52</v>
      </c>
      <c r="AF67" s="2">
        <v>175</v>
      </c>
      <c r="AG67" s="2">
        <v>0</v>
      </c>
      <c r="AJ67" s="2">
        <v>44.03</v>
      </c>
    </row>
    <row r="68" spans="1:36" x14ac:dyDescent="0.25">
      <c r="A68" s="1">
        <v>45839</v>
      </c>
      <c r="B68" s="1">
        <v>45840</v>
      </c>
      <c r="C68" t="s">
        <v>214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250</v>
      </c>
      <c r="J68" t="s">
        <v>249</v>
      </c>
      <c r="M68" t="s">
        <v>46</v>
      </c>
      <c r="O68" t="s">
        <v>89</v>
      </c>
      <c r="P68" t="s">
        <v>90</v>
      </c>
      <c r="Q68" t="s">
        <v>220</v>
      </c>
      <c r="R68" t="s">
        <v>251</v>
      </c>
      <c r="S68" s="1">
        <v>45778</v>
      </c>
      <c r="U68" t="s">
        <v>51</v>
      </c>
      <c r="X68" t="s">
        <v>52</v>
      </c>
      <c r="AF68" s="2">
        <v>626</v>
      </c>
      <c r="AG68" s="2">
        <v>0</v>
      </c>
      <c r="AJ68" s="2">
        <v>157.5</v>
      </c>
    </row>
    <row r="69" spans="1:36" x14ac:dyDescent="0.25">
      <c r="A69" s="1">
        <v>45839</v>
      </c>
      <c r="B69" s="1">
        <v>45840</v>
      </c>
      <c r="C69" t="s">
        <v>214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252</v>
      </c>
      <c r="J69" t="s">
        <v>253</v>
      </c>
      <c r="M69" t="s">
        <v>46</v>
      </c>
      <c r="O69" t="s">
        <v>47</v>
      </c>
      <c r="P69" t="s">
        <v>48</v>
      </c>
      <c r="Q69" t="s">
        <v>220</v>
      </c>
      <c r="R69" t="s">
        <v>191</v>
      </c>
      <c r="S69" s="1">
        <v>45658</v>
      </c>
      <c r="U69" t="s">
        <v>51</v>
      </c>
      <c r="X69" t="s">
        <v>52</v>
      </c>
      <c r="AF69" s="2">
        <v>175</v>
      </c>
      <c r="AG69" s="2">
        <v>0</v>
      </c>
      <c r="AJ69" s="2">
        <v>87.5</v>
      </c>
    </row>
    <row r="70" spans="1:36" x14ac:dyDescent="0.25">
      <c r="A70" s="1">
        <v>45839</v>
      </c>
      <c r="B70" s="1">
        <v>45840</v>
      </c>
      <c r="C70" t="s">
        <v>214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254</v>
      </c>
      <c r="J70" t="s">
        <v>253</v>
      </c>
      <c r="M70" t="s">
        <v>46</v>
      </c>
      <c r="O70" t="s">
        <v>47</v>
      </c>
      <c r="P70" t="s">
        <v>48</v>
      </c>
      <c r="Q70" t="s">
        <v>220</v>
      </c>
      <c r="R70" t="s">
        <v>189</v>
      </c>
      <c r="S70" s="1">
        <v>45658</v>
      </c>
      <c r="U70" t="s">
        <v>51</v>
      </c>
      <c r="X70" t="s">
        <v>52</v>
      </c>
      <c r="AF70" s="2">
        <v>313</v>
      </c>
      <c r="AG70" s="2">
        <v>0</v>
      </c>
      <c r="AJ70" s="2">
        <v>156.5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5F23-9F12-4DA8-A769-DE43585EB469}">
  <dimension ref="A1:Q70"/>
  <sheetViews>
    <sheetView tabSelected="1" topLeftCell="A55" workbookViewId="0">
      <selection activeCell="M2" sqref="M2:M70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7.140625" bestFit="1" customWidth="1"/>
    <col min="6" max="6" width="23.7109375" bestFit="1" customWidth="1"/>
    <col min="8" max="8" width="53.42578125" bestFit="1" customWidth="1"/>
    <col min="11" max="11" width="16.140625" bestFit="1" customWidth="1"/>
    <col min="12" max="12" width="33.42578125" bestFit="1" customWidth="1"/>
  </cols>
  <sheetData>
    <row r="1" spans="1:12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28</v>
      </c>
      <c r="K1" t="s">
        <v>37</v>
      </c>
    </row>
    <row r="2" spans="1:12" x14ac:dyDescent="0.25">
      <c r="A2" s="4">
        <v>102081378500</v>
      </c>
      <c r="B2" s="4" t="str">
        <f>CONCATENATE(A2,0)</f>
        <v>1020813785000</v>
      </c>
      <c r="C2" t="s">
        <v>107</v>
      </c>
      <c r="D2" t="s">
        <v>108</v>
      </c>
      <c r="E2">
        <v>20411454</v>
      </c>
      <c r="F2" t="s">
        <v>306</v>
      </c>
      <c r="G2" t="s">
        <v>49</v>
      </c>
      <c r="H2" t="s">
        <v>111</v>
      </c>
      <c r="I2" s="1">
        <v>45778</v>
      </c>
      <c r="J2" s="2">
        <v>50</v>
      </c>
      <c r="L2" t="s">
        <v>295</v>
      </c>
    </row>
    <row r="3" spans="1:12" x14ac:dyDescent="0.25">
      <c r="A3" s="4">
        <v>102170274000</v>
      </c>
      <c r="B3" s="4" t="str">
        <f t="shared" ref="B3:B15" si="0">CONCATENATE(A3,0)</f>
        <v>1021702740000</v>
      </c>
      <c r="C3" t="s">
        <v>113</v>
      </c>
      <c r="D3" t="s">
        <v>103</v>
      </c>
      <c r="E3">
        <v>20411454</v>
      </c>
      <c r="F3" t="s">
        <v>306</v>
      </c>
      <c r="G3" t="s">
        <v>49</v>
      </c>
      <c r="H3" t="s">
        <v>111</v>
      </c>
      <c r="I3" s="1">
        <v>45870</v>
      </c>
      <c r="J3" s="2">
        <v>50</v>
      </c>
      <c r="L3" t="s">
        <v>295</v>
      </c>
    </row>
    <row r="4" spans="1:12" x14ac:dyDescent="0.25">
      <c r="A4" s="4">
        <v>102170749100</v>
      </c>
      <c r="B4" s="4" t="str">
        <f t="shared" si="0"/>
        <v>1021707491000</v>
      </c>
      <c r="C4" t="s">
        <v>117</v>
      </c>
      <c r="D4" t="s">
        <v>46</v>
      </c>
      <c r="E4">
        <v>20411454</v>
      </c>
      <c r="F4" t="s">
        <v>306</v>
      </c>
      <c r="G4" t="s">
        <v>49</v>
      </c>
      <c r="H4" t="s">
        <v>111</v>
      </c>
      <c r="I4" s="1">
        <v>45809</v>
      </c>
      <c r="J4" s="2">
        <v>50</v>
      </c>
      <c r="L4" t="s">
        <v>295</v>
      </c>
    </row>
    <row r="5" spans="1:12" x14ac:dyDescent="0.25">
      <c r="A5" s="4">
        <v>102170848000</v>
      </c>
      <c r="B5" s="4" t="str">
        <f t="shared" si="0"/>
        <v>1021708480000</v>
      </c>
      <c r="C5" t="s">
        <v>121</v>
      </c>
      <c r="D5" t="s">
        <v>71</v>
      </c>
      <c r="E5">
        <v>20411454</v>
      </c>
      <c r="F5" t="s">
        <v>306</v>
      </c>
      <c r="G5" t="s">
        <v>49</v>
      </c>
      <c r="H5" t="s">
        <v>111</v>
      </c>
      <c r="I5" s="1">
        <v>45839</v>
      </c>
      <c r="J5" s="2">
        <v>50</v>
      </c>
      <c r="L5" t="s">
        <v>295</v>
      </c>
    </row>
    <row r="6" spans="1:12" x14ac:dyDescent="0.25">
      <c r="A6" s="4">
        <v>102170861900</v>
      </c>
      <c r="B6" s="4" t="str">
        <f t="shared" si="0"/>
        <v>1021708619000</v>
      </c>
      <c r="C6" t="s">
        <v>125</v>
      </c>
      <c r="D6" t="s">
        <v>46</v>
      </c>
      <c r="E6">
        <v>20411454</v>
      </c>
      <c r="F6" t="s">
        <v>306</v>
      </c>
      <c r="G6" t="s">
        <v>49</v>
      </c>
      <c r="H6" t="s">
        <v>111</v>
      </c>
      <c r="I6" s="1">
        <v>45809</v>
      </c>
      <c r="J6" s="2">
        <v>50</v>
      </c>
      <c r="L6" t="s">
        <v>295</v>
      </c>
    </row>
    <row r="7" spans="1:12" x14ac:dyDescent="0.25">
      <c r="A7" s="4">
        <v>102170865500</v>
      </c>
      <c r="B7" s="4" t="str">
        <f t="shared" si="0"/>
        <v>1021708655000</v>
      </c>
      <c r="C7" t="s">
        <v>129</v>
      </c>
      <c r="D7" t="s">
        <v>108</v>
      </c>
      <c r="E7">
        <v>20411454</v>
      </c>
      <c r="F7" t="s">
        <v>306</v>
      </c>
      <c r="G7" t="s">
        <v>49</v>
      </c>
      <c r="H7" t="s">
        <v>111</v>
      </c>
      <c r="I7" s="1">
        <v>45809</v>
      </c>
      <c r="J7" s="2">
        <v>50</v>
      </c>
      <c r="L7" t="s">
        <v>295</v>
      </c>
    </row>
    <row r="8" spans="1:12" x14ac:dyDescent="0.25">
      <c r="A8" s="4">
        <v>102170912900</v>
      </c>
      <c r="B8" s="4" t="str">
        <f t="shared" si="0"/>
        <v>1021709129000</v>
      </c>
      <c r="C8" t="s">
        <v>131</v>
      </c>
      <c r="D8" t="s">
        <v>103</v>
      </c>
      <c r="E8">
        <v>20411454</v>
      </c>
      <c r="F8" t="s">
        <v>306</v>
      </c>
      <c r="G8" t="s">
        <v>49</v>
      </c>
      <c r="H8" t="s">
        <v>111</v>
      </c>
      <c r="I8" s="1">
        <v>45870</v>
      </c>
      <c r="J8" s="2">
        <v>50</v>
      </c>
      <c r="L8" t="s">
        <v>295</v>
      </c>
    </row>
    <row r="9" spans="1:12" x14ac:dyDescent="0.25">
      <c r="A9" s="4">
        <v>102171601900</v>
      </c>
      <c r="B9" s="4" t="str">
        <f t="shared" si="0"/>
        <v>1021716019000</v>
      </c>
      <c r="C9" t="s">
        <v>135</v>
      </c>
      <c r="D9" t="s">
        <v>60</v>
      </c>
      <c r="E9">
        <v>20411454</v>
      </c>
      <c r="F9" t="s">
        <v>306</v>
      </c>
      <c r="G9" t="s">
        <v>49</v>
      </c>
      <c r="H9" t="s">
        <v>111</v>
      </c>
      <c r="I9" s="1">
        <v>45809</v>
      </c>
      <c r="J9" s="2">
        <v>50</v>
      </c>
      <c r="L9" t="s">
        <v>295</v>
      </c>
    </row>
    <row r="10" spans="1:12" x14ac:dyDescent="0.25">
      <c r="A10" s="4">
        <v>102172052300</v>
      </c>
      <c r="B10" s="4" t="str">
        <f t="shared" si="0"/>
        <v>1021720523000</v>
      </c>
      <c r="C10" t="s">
        <v>137</v>
      </c>
      <c r="D10" t="s">
        <v>103</v>
      </c>
      <c r="E10">
        <v>20411454</v>
      </c>
      <c r="F10" t="s">
        <v>306</v>
      </c>
      <c r="G10" t="s">
        <v>49</v>
      </c>
      <c r="H10" t="s">
        <v>111</v>
      </c>
      <c r="I10" s="1">
        <v>45870</v>
      </c>
      <c r="J10" s="2">
        <v>50</v>
      </c>
      <c r="L10" t="s">
        <v>295</v>
      </c>
    </row>
    <row r="11" spans="1:12" x14ac:dyDescent="0.25">
      <c r="A11" s="4">
        <v>102172138300</v>
      </c>
      <c r="B11" s="4" t="str">
        <f t="shared" si="0"/>
        <v>1021721383000</v>
      </c>
      <c r="C11" t="s">
        <v>141</v>
      </c>
      <c r="D11" t="s">
        <v>46</v>
      </c>
      <c r="E11">
        <v>20411454</v>
      </c>
      <c r="F11" t="s">
        <v>306</v>
      </c>
      <c r="G11" t="s">
        <v>49</v>
      </c>
      <c r="H11" t="s">
        <v>111</v>
      </c>
      <c r="I11" s="1">
        <v>45809</v>
      </c>
      <c r="J11" s="2">
        <v>50</v>
      </c>
      <c r="L11" t="s">
        <v>295</v>
      </c>
    </row>
    <row r="12" spans="1:12" x14ac:dyDescent="0.25">
      <c r="A12" s="4">
        <v>102172358300</v>
      </c>
      <c r="B12" s="4" t="str">
        <f t="shared" si="0"/>
        <v>1021723583000</v>
      </c>
      <c r="C12" t="s">
        <v>143</v>
      </c>
      <c r="D12" t="s">
        <v>46</v>
      </c>
      <c r="E12">
        <v>20411454</v>
      </c>
      <c r="F12" t="s">
        <v>306</v>
      </c>
      <c r="G12" t="s">
        <v>49</v>
      </c>
      <c r="H12" t="s">
        <v>111</v>
      </c>
      <c r="I12" s="1">
        <v>45809</v>
      </c>
      <c r="J12" s="2">
        <v>50</v>
      </c>
      <c r="L12" t="s">
        <v>295</v>
      </c>
    </row>
    <row r="13" spans="1:12" x14ac:dyDescent="0.25">
      <c r="A13" s="4">
        <v>102173389000</v>
      </c>
      <c r="B13" s="4" t="str">
        <f t="shared" si="0"/>
        <v>1021733890000</v>
      </c>
      <c r="C13" t="s">
        <v>150</v>
      </c>
      <c r="D13" t="s">
        <v>151</v>
      </c>
      <c r="E13">
        <v>20411454</v>
      </c>
      <c r="F13" t="s">
        <v>306</v>
      </c>
      <c r="G13" t="s">
        <v>49</v>
      </c>
      <c r="H13" t="s">
        <v>111</v>
      </c>
      <c r="I13" s="1">
        <v>45809</v>
      </c>
      <c r="J13" s="2">
        <v>50</v>
      </c>
      <c r="L13" t="s">
        <v>295</v>
      </c>
    </row>
    <row r="14" spans="1:12" x14ac:dyDescent="0.25">
      <c r="A14" s="4">
        <v>102173406800</v>
      </c>
      <c r="B14" s="4" t="str">
        <f t="shared" si="0"/>
        <v>1021734068000</v>
      </c>
      <c r="C14" t="s">
        <v>153</v>
      </c>
      <c r="D14" t="s">
        <v>103</v>
      </c>
      <c r="E14">
        <v>20411454</v>
      </c>
      <c r="F14" t="s">
        <v>306</v>
      </c>
      <c r="G14" t="s">
        <v>49</v>
      </c>
      <c r="H14" t="s">
        <v>111</v>
      </c>
      <c r="I14" s="1">
        <v>45839</v>
      </c>
      <c r="J14" s="2">
        <v>50</v>
      </c>
      <c r="L14" t="s">
        <v>295</v>
      </c>
    </row>
    <row r="15" spans="1:12" x14ac:dyDescent="0.25">
      <c r="A15" s="4">
        <v>102174805300</v>
      </c>
      <c r="B15" s="4" t="str">
        <f t="shared" si="0"/>
        <v>1021748053000</v>
      </c>
      <c r="C15" t="s">
        <v>155</v>
      </c>
      <c r="D15" t="s">
        <v>46</v>
      </c>
      <c r="E15">
        <v>20411454</v>
      </c>
      <c r="F15" t="s">
        <v>306</v>
      </c>
      <c r="G15" t="s">
        <v>49</v>
      </c>
      <c r="H15" t="s">
        <v>111</v>
      </c>
      <c r="I15" s="1">
        <v>45839</v>
      </c>
      <c r="J15" s="2">
        <v>50</v>
      </c>
      <c r="L15" t="s">
        <v>295</v>
      </c>
    </row>
    <row r="16" spans="1:12" x14ac:dyDescent="0.25">
      <c r="A16" s="4" t="s">
        <v>277</v>
      </c>
      <c r="B16" s="4" t="s">
        <v>277</v>
      </c>
      <c r="C16" t="s">
        <v>234</v>
      </c>
      <c r="D16" t="s">
        <v>46</v>
      </c>
      <c r="E16">
        <v>20411454</v>
      </c>
      <c r="F16" t="s">
        <v>306</v>
      </c>
      <c r="G16" t="s">
        <v>220</v>
      </c>
      <c r="H16" t="s">
        <v>111</v>
      </c>
      <c r="I16" s="1">
        <v>45658</v>
      </c>
      <c r="J16" s="5">
        <v>-25</v>
      </c>
      <c r="L16" t="s">
        <v>295</v>
      </c>
    </row>
    <row r="17" spans="1:12" x14ac:dyDescent="0.25">
      <c r="A17" s="4">
        <v>101815601400</v>
      </c>
      <c r="B17" s="4" t="str">
        <f t="shared" ref="B17:B28" si="1">CONCATENATE(A17,0)</f>
        <v>1018156014000</v>
      </c>
      <c r="C17" t="s">
        <v>96</v>
      </c>
      <c r="D17" t="s">
        <v>55</v>
      </c>
      <c r="E17">
        <v>20411454</v>
      </c>
      <c r="F17" t="s">
        <v>306</v>
      </c>
      <c r="G17" t="s">
        <v>49</v>
      </c>
      <c r="H17" t="s">
        <v>99</v>
      </c>
      <c r="I17" s="1">
        <v>45839</v>
      </c>
      <c r="J17" s="2">
        <v>25</v>
      </c>
      <c r="K17" t="s">
        <v>100</v>
      </c>
      <c r="L17" t="s">
        <v>295</v>
      </c>
    </row>
    <row r="18" spans="1:12" x14ac:dyDescent="0.25">
      <c r="A18" s="4">
        <v>101931808600</v>
      </c>
      <c r="B18" s="4" t="str">
        <f t="shared" si="1"/>
        <v>1019318086000</v>
      </c>
      <c r="C18" t="s">
        <v>102</v>
      </c>
      <c r="D18" t="s">
        <v>103</v>
      </c>
      <c r="E18">
        <v>20411454</v>
      </c>
      <c r="F18" t="s">
        <v>306</v>
      </c>
      <c r="G18" t="s">
        <v>49</v>
      </c>
      <c r="H18" t="s">
        <v>99</v>
      </c>
      <c r="I18" s="1">
        <v>45839</v>
      </c>
      <c r="J18" s="2">
        <v>25</v>
      </c>
      <c r="K18" t="s">
        <v>100</v>
      </c>
      <c r="L18" t="s">
        <v>295</v>
      </c>
    </row>
    <row r="19" spans="1:12" x14ac:dyDescent="0.25">
      <c r="A19" s="4">
        <v>102172611900</v>
      </c>
      <c r="B19" s="4" t="str">
        <f t="shared" si="1"/>
        <v>1021726119000</v>
      </c>
      <c r="C19" t="s">
        <v>145</v>
      </c>
      <c r="D19" t="s">
        <v>46</v>
      </c>
      <c r="E19">
        <v>20411454</v>
      </c>
      <c r="F19" t="s">
        <v>306</v>
      </c>
      <c r="G19" t="s">
        <v>49</v>
      </c>
      <c r="H19" t="s">
        <v>99</v>
      </c>
      <c r="I19" s="1">
        <v>45809</v>
      </c>
      <c r="J19" s="2">
        <v>29.17</v>
      </c>
      <c r="K19" t="s">
        <v>146</v>
      </c>
      <c r="L19" t="s">
        <v>295</v>
      </c>
    </row>
    <row r="20" spans="1:12" x14ac:dyDescent="0.25">
      <c r="A20" s="4">
        <v>102172618800</v>
      </c>
      <c r="B20" s="4" t="str">
        <f t="shared" si="1"/>
        <v>1021726188000</v>
      </c>
      <c r="C20" t="s">
        <v>148</v>
      </c>
      <c r="D20" t="s">
        <v>46</v>
      </c>
      <c r="E20">
        <v>20411454</v>
      </c>
      <c r="F20" t="s">
        <v>306</v>
      </c>
      <c r="G20" t="s">
        <v>49</v>
      </c>
      <c r="H20" t="s">
        <v>99</v>
      </c>
      <c r="I20" s="1">
        <v>45809</v>
      </c>
      <c r="J20" s="2">
        <v>29.17</v>
      </c>
      <c r="K20" t="s">
        <v>146</v>
      </c>
      <c r="L20" t="s">
        <v>295</v>
      </c>
    </row>
    <row r="21" spans="1:12" x14ac:dyDescent="0.25">
      <c r="A21" s="4">
        <v>102176759200</v>
      </c>
      <c r="B21" s="4" t="str">
        <f t="shared" si="1"/>
        <v>1021767592000</v>
      </c>
      <c r="C21" t="s">
        <v>157</v>
      </c>
      <c r="D21" t="s">
        <v>103</v>
      </c>
      <c r="E21">
        <v>20411454</v>
      </c>
      <c r="F21" t="s">
        <v>306</v>
      </c>
      <c r="G21" t="s">
        <v>49</v>
      </c>
      <c r="H21" t="s">
        <v>99</v>
      </c>
      <c r="I21" s="1">
        <v>45839</v>
      </c>
      <c r="J21" s="2">
        <v>25</v>
      </c>
      <c r="K21" t="s">
        <v>100</v>
      </c>
      <c r="L21" t="s">
        <v>295</v>
      </c>
    </row>
    <row r="22" spans="1:12" x14ac:dyDescent="0.25">
      <c r="A22" s="4">
        <v>102176926900</v>
      </c>
      <c r="B22" s="4" t="str">
        <f t="shared" si="1"/>
        <v>1021769269000</v>
      </c>
      <c r="C22" t="s">
        <v>159</v>
      </c>
      <c r="D22" t="s">
        <v>160</v>
      </c>
      <c r="E22">
        <v>20411454</v>
      </c>
      <c r="F22" t="s">
        <v>306</v>
      </c>
      <c r="G22" t="s">
        <v>49</v>
      </c>
      <c r="H22" t="s">
        <v>99</v>
      </c>
      <c r="I22" s="1">
        <v>45901</v>
      </c>
      <c r="J22" s="2">
        <v>16.670000000000002</v>
      </c>
      <c r="K22" t="s">
        <v>163</v>
      </c>
      <c r="L22" t="s">
        <v>295</v>
      </c>
    </row>
    <row r="23" spans="1:12" x14ac:dyDescent="0.25">
      <c r="A23" s="4">
        <v>102177007300</v>
      </c>
      <c r="B23" s="4" t="str">
        <f t="shared" si="1"/>
        <v>1021770073000</v>
      </c>
      <c r="C23" t="s">
        <v>165</v>
      </c>
      <c r="D23" t="s">
        <v>46</v>
      </c>
      <c r="E23">
        <v>20411454</v>
      </c>
      <c r="F23" t="s">
        <v>306</v>
      </c>
      <c r="G23" t="s">
        <v>49</v>
      </c>
      <c r="H23" t="s">
        <v>99</v>
      </c>
      <c r="I23" s="1">
        <v>45901</v>
      </c>
      <c r="J23" s="2">
        <v>16.670000000000002</v>
      </c>
      <c r="K23" t="s">
        <v>163</v>
      </c>
      <c r="L23" t="s">
        <v>295</v>
      </c>
    </row>
    <row r="24" spans="1:12" x14ac:dyDescent="0.25">
      <c r="A24" s="4">
        <v>102177116200</v>
      </c>
      <c r="B24" s="4" t="str">
        <f t="shared" si="1"/>
        <v>1021771162000</v>
      </c>
      <c r="C24" t="s">
        <v>169</v>
      </c>
      <c r="D24" t="s">
        <v>170</v>
      </c>
      <c r="E24">
        <v>20411454</v>
      </c>
      <c r="F24" t="s">
        <v>306</v>
      </c>
      <c r="G24" t="s">
        <v>49</v>
      </c>
      <c r="H24" t="s">
        <v>99</v>
      </c>
      <c r="I24" s="1">
        <v>45839</v>
      </c>
      <c r="J24" s="2">
        <v>25</v>
      </c>
      <c r="K24" t="s">
        <v>100</v>
      </c>
      <c r="L24" t="s">
        <v>295</v>
      </c>
    </row>
    <row r="25" spans="1:12" x14ac:dyDescent="0.25">
      <c r="A25" s="4">
        <v>102177215600</v>
      </c>
      <c r="B25" s="4" t="str">
        <f t="shared" si="1"/>
        <v>1021772156000</v>
      </c>
      <c r="C25" t="s">
        <v>174</v>
      </c>
      <c r="D25" t="s">
        <v>175</v>
      </c>
      <c r="E25">
        <v>20411454</v>
      </c>
      <c r="F25" t="s">
        <v>306</v>
      </c>
      <c r="G25" t="s">
        <v>49</v>
      </c>
      <c r="H25" t="s">
        <v>99</v>
      </c>
      <c r="I25" s="1">
        <v>45901</v>
      </c>
      <c r="J25" s="2">
        <v>16.670000000000002</v>
      </c>
      <c r="K25" t="s">
        <v>163</v>
      </c>
      <c r="L25" t="s">
        <v>295</v>
      </c>
    </row>
    <row r="26" spans="1:12" x14ac:dyDescent="0.25">
      <c r="A26" s="4">
        <v>102177233000</v>
      </c>
      <c r="B26" s="4" t="str">
        <f t="shared" si="1"/>
        <v>1021772330000</v>
      </c>
      <c r="C26" t="s">
        <v>177</v>
      </c>
      <c r="D26" t="s">
        <v>46</v>
      </c>
      <c r="E26">
        <v>20411454</v>
      </c>
      <c r="F26" t="s">
        <v>306</v>
      </c>
      <c r="G26" t="s">
        <v>49</v>
      </c>
      <c r="H26" t="s">
        <v>99</v>
      </c>
      <c r="I26" s="1">
        <v>45870</v>
      </c>
      <c r="J26" s="2">
        <v>20.83</v>
      </c>
      <c r="K26" t="s">
        <v>178</v>
      </c>
      <c r="L26" t="s">
        <v>295</v>
      </c>
    </row>
    <row r="27" spans="1:12" x14ac:dyDescent="0.25">
      <c r="A27" s="4">
        <v>102177242000</v>
      </c>
      <c r="B27" s="4" t="str">
        <f t="shared" si="1"/>
        <v>1021772420000</v>
      </c>
      <c r="C27" t="s">
        <v>180</v>
      </c>
      <c r="D27" t="s">
        <v>103</v>
      </c>
      <c r="E27">
        <v>20411454</v>
      </c>
      <c r="F27" t="s">
        <v>306</v>
      </c>
      <c r="G27" t="s">
        <v>49</v>
      </c>
      <c r="H27" t="s">
        <v>99</v>
      </c>
      <c r="I27" s="1">
        <v>45839</v>
      </c>
      <c r="J27" s="2">
        <v>25</v>
      </c>
      <c r="K27" t="s">
        <v>100</v>
      </c>
      <c r="L27" t="s">
        <v>295</v>
      </c>
    </row>
    <row r="28" spans="1:12" x14ac:dyDescent="0.25">
      <c r="A28" s="4">
        <v>102177466000</v>
      </c>
      <c r="B28" s="4" t="str">
        <f t="shared" si="1"/>
        <v>1021774660000</v>
      </c>
      <c r="C28" t="s">
        <v>184</v>
      </c>
      <c r="D28" t="s">
        <v>46</v>
      </c>
      <c r="E28">
        <v>20411454</v>
      </c>
      <c r="F28" t="s">
        <v>306</v>
      </c>
      <c r="G28" t="s">
        <v>49</v>
      </c>
      <c r="H28" t="s">
        <v>99</v>
      </c>
      <c r="I28" s="1">
        <v>45839</v>
      </c>
      <c r="J28" s="2">
        <v>25</v>
      </c>
      <c r="K28" t="s">
        <v>100</v>
      </c>
      <c r="L28" t="s">
        <v>295</v>
      </c>
    </row>
    <row r="29" spans="1:12" x14ac:dyDescent="0.25">
      <c r="A29" s="4" t="s">
        <v>275</v>
      </c>
      <c r="B29" s="4" t="s">
        <v>275</v>
      </c>
      <c r="C29" t="s">
        <v>107</v>
      </c>
      <c r="D29" t="s">
        <v>108</v>
      </c>
      <c r="E29">
        <v>20411454</v>
      </c>
      <c r="F29" t="s">
        <v>306</v>
      </c>
      <c r="G29" t="s">
        <v>220</v>
      </c>
      <c r="H29" t="s">
        <v>99</v>
      </c>
      <c r="I29" s="1">
        <v>45778</v>
      </c>
      <c r="J29" s="5">
        <v>-33.33</v>
      </c>
      <c r="L29" t="s">
        <v>295</v>
      </c>
    </row>
    <row r="30" spans="1:12" x14ac:dyDescent="0.25">
      <c r="A30" s="4" t="s">
        <v>278</v>
      </c>
      <c r="B30" s="4" t="s">
        <v>278</v>
      </c>
      <c r="C30" t="s">
        <v>113</v>
      </c>
      <c r="D30" t="s">
        <v>103</v>
      </c>
      <c r="E30">
        <v>20411454</v>
      </c>
      <c r="F30" t="s">
        <v>306</v>
      </c>
      <c r="G30" t="s">
        <v>220</v>
      </c>
      <c r="H30" t="s">
        <v>99</v>
      </c>
      <c r="I30" s="1">
        <v>45870</v>
      </c>
      <c r="J30" s="5">
        <v>-20.83</v>
      </c>
      <c r="L30" t="s">
        <v>295</v>
      </c>
    </row>
    <row r="31" spans="1:12" x14ac:dyDescent="0.25">
      <c r="A31" s="4" t="s">
        <v>279</v>
      </c>
      <c r="B31" s="4" t="s">
        <v>279</v>
      </c>
      <c r="C31" t="s">
        <v>117</v>
      </c>
      <c r="D31" t="s">
        <v>46</v>
      </c>
      <c r="E31">
        <v>20411454</v>
      </c>
      <c r="F31" t="s">
        <v>306</v>
      </c>
      <c r="G31" t="s">
        <v>220</v>
      </c>
      <c r="H31" t="s">
        <v>99</v>
      </c>
      <c r="I31" s="1">
        <v>45809</v>
      </c>
      <c r="J31" s="5">
        <v>-29.17</v>
      </c>
      <c r="L31" t="s">
        <v>295</v>
      </c>
    </row>
    <row r="32" spans="1:12" x14ac:dyDescent="0.25">
      <c r="A32" s="4" t="s">
        <v>280</v>
      </c>
      <c r="B32" s="4" t="s">
        <v>280</v>
      </c>
      <c r="C32" t="s">
        <v>121</v>
      </c>
      <c r="D32" t="s">
        <v>71</v>
      </c>
      <c r="E32">
        <v>20411454</v>
      </c>
      <c r="F32" t="s">
        <v>306</v>
      </c>
      <c r="G32" t="s">
        <v>220</v>
      </c>
      <c r="H32" t="s">
        <v>99</v>
      </c>
      <c r="I32" s="1">
        <v>45839</v>
      </c>
      <c r="J32" s="5">
        <v>-25</v>
      </c>
      <c r="L32" t="s">
        <v>295</v>
      </c>
    </row>
    <row r="33" spans="1:12" x14ac:dyDescent="0.25">
      <c r="A33" s="4" t="s">
        <v>281</v>
      </c>
      <c r="B33" s="4" t="s">
        <v>281</v>
      </c>
      <c r="C33" t="s">
        <v>125</v>
      </c>
      <c r="D33" t="s">
        <v>46</v>
      </c>
      <c r="E33">
        <v>20411454</v>
      </c>
      <c r="F33" t="s">
        <v>306</v>
      </c>
      <c r="G33" t="s">
        <v>220</v>
      </c>
      <c r="H33" t="s">
        <v>99</v>
      </c>
      <c r="I33" s="1">
        <v>45809</v>
      </c>
      <c r="J33" s="5">
        <v>-29.17</v>
      </c>
      <c r="L33" t="s">
        <v>295</v>
      </c>
    </row>
    <row r="34" spans="1:12" x14ac:dyDescent="0.25">
      <c r="A34" s="4" t="s">
        <v>282</v>
      </c>
      <c r="B34" s="4" t="s">
        <v>282</v>
      </c>
      <c r="C34" t="s">
        <v>129</v>
      </c>
      <c r="D34" t="s">
        <v>108</v>
      </c>
      <c r="E34">
        <v>20411454</v>
      </c>
      <c r="F34" t="s">
        <v>306</v>
      </c>
      <c r="G34" t="s">
        <v>220</v>
      </c>
      <c r="H34" t="s">
        <v>99</v>
      </c>
      <c r="I34" s="1">
        <v>45809</v>
      </c>
      <c r="J34" s="5">
        <v>-29.17</v>
      </c>
      <c r="L34" t="s">
        <v>295</v>
      </c>
    </row>
    <row r="35" spans="1:12" x14ac:dyDescent="0.25">
      <c r="A35" s="4" t="s">
        <v>283</v>
      </c>
      <c r="B35" s="4" t="s">
        <v>283</v>
      </c>
      <c r="C35" t="s">
        <v>131</v>
      </c>
      <c r="D35" t="s">
        <v>103</v>
      </c>
      <c r="E35">
        <v>20411454</v>
      </c>
      <c r="F35" t="s">
        <v>306</v>
      </c>
      <c r="G35" t="s">
        <v>220</v>
      </c>
      <c r="H35" t="s">
        <v>99</v>
      </c>
      <c r="I35" s="1">
        <v>45870</v>
      </c>
      <c r="J35" s="5">
        <v>-20.83</v>
      </c>
      <c r="L35" t="s">
        <v>295</v>
      </c>
    </row>
    <row r="36" spans="1:12" x14ac:dyDescent="0.25">
      <c r="A36" s="4" t="s">
        <v>284</v>
      </c>
      <c r="B36" s="4" t="s">
        <v>284</v>
      </c>
      <c r="C36" t="s">
        <v>135</v>
      </c>
      <c r="D36" t="s">
        <v>60</v>
      </c>
      <c r="E36">
        <v>20411454</v>
      </c>
      <c r="F36" t="s">
        <v>306</v>
      </c>
      <c r="G36" t="s">
        <v>220</v>
      </c>
      <c r="H36" t="s">
        <v>99</v>
      </c>
      <c r="I36" s="1">
        <v>45809</v>
      </c>
      <c r="J36" s="5">
        <v>-29.17</v>
      </c>
      <c r="L36" t="s">
        <v>295</v>
      </c>
    </row>
    <row r="37" spans="1:12" x14ac:dyDescent="0.25">
      <c r="A37" s="4" t="s">
        <v>285</v>
      </c>
      <c r="B37" s="4" t="s">
        <v>285</v>
      </c>
      <c r="C37" t="s">
        <v>137</v>
      </c>
      <c r="D37" t="s">
        <v>103</v>
      </c>
      <c r="E37">
        <v>20411454</v>
      </c>
      <c r="F37" t="s">
        <v>306</v>
      </c>
      <c r="G37" t="s">
        <v>220</v>
      </c>
      <c r="H37" t="s">
        <v>99</v>
      </c>
      <c r="I37" s="1">
        <v>45870</v>
      </c>
      <c r="J37" s="5">
        <v>-20.83</v>
      </c>
      <c r="L37" t="s">
        <v>295</v>
      </c>
    </row>
    <row r="38" spans="1:12" x14ac:dyDescent="0.25">
      <c r="A38" s="4" t="s">
        <v>286</v>
      </c>
      <c r="B38" s="4" t="s">
        <v>286</v>
      </c>
      <c r="C38" t="s">
        <v>141</v>
      </c>
      <c r="D38" t="s">
        <v>46</v>
      </c>
      <c r="E38">
        <v>20411454</v>
      </c>
      <c r="F38" t="s">
        <v>306</v>
      </c>
      <c r="G38" t="s">
        <v>220</v>
      </c>
      <c r="H38" t="s">
        <v>99</v>
      </c>
      <c r="I38" s="1">
        <v>45809</v>
      </c>
      <c r="J38" s="5">
        <v>-29.17</v>
      </c>
      <c r="L38" t="s">
        <v>295</v>
      </c>
    </row>
    <row r="39" spans="1:12" x14ac:dyDescent="0.25">
      <c r="A39" s="4" t="s">
        <v>287</v>
      </c>
      <c r="B39" s="4" t="s">
        <v>287</v>
      </c>
      <c r="C39" t="s">
        <v>143</v>
      </c>
      <c r="D39" t="s">
        <v>46</v>
      </c>
      <c r="E39">
        <v>20411454</v>
      </c>
      <c r="F39" t="s">
        <v>306</v>
      </c>
      <c r="G39" t="s">
        <v>220</v>
      </c>
      <c r="H39" t="s">
        <v>99</v>
      </c>
      <c r="I39" s="1">
        <v>45809</v>
      </c>
      <c r="J39" s="5">
        <v>-29.17</v>
      </c>
      <c r="L39" t="s">
        <v>295</v>
      </c>
    </row>
    <row r="40" spans="1:12" x14ac:dyDescent="0.25">
      <c r="A40" s="4" t="s">
        <v>288</v>
      </c>
      <c r="B40" s="4" t="s">
        <v>288</v>
      </c>
      <c r="C40" t="s">
        <v>150</v>
      </c>
      <c r="D40" t="s">
        <v>151</v>
      </c>
      <c r="E40">
        <v>20411454</v>
      </c>
      <c r="F40" t="s">
        <v>306</v>
      </c>
      <c r="G40" t="s">
        <v>220</v>
      </c>
      <c r="H40" t="s">
        <v>99</v>
      </c>
      <c r="I40" s="1">
        <v>45809</v>
      </c>
      <c r="J40" s="5">
        <v>-29.17</v>
      </c>
      <c r="L40" t="s">
        <v>295</v>
      </c>
    </row>
    <row r="41" spans="1:12" x14ac:dyDescent="0.25">
      <c r="A41" s="4" t="s">
        <v>289</v>
      </c>
      <c r="B41" s="4" t="s">
        <v>289</v>
      </c>
      <c r="C41" t="s">
        <v>153</v>
      </c>
      <c r="D41" t="s">
        <v>103</v>
      </c>
      <c r="E41">
        <v>20411454</v>
      </c>
      <c r="F41" t="s">
        <v>306</v>
      </c>
      <c r="G41" t="s">
        <v>220</v>
      </c>
      <c r="H41" t="s">
        <v>99</v>
      </c>
      <c r="I41" s="1">
        <v>45839</v>
      </c>
      <c r="J41" s="5">
        <v>-25</v>
      </c>
      <c r="L41" t="s">
        <v>295</v>
      </c>
    </row>
    <row r="42" spans="1:12" x14ac:dyDescent="0.25">
      <c r="A42" s="4" t="s">
        <v>290</v>
      </c>
      <c r="B42" s="4" t="s">
        <v>290</v>
      </c>
      <c r="C42" t="s">
        <v>155</v>
      </c>
      <c r="D42" t="s">
        <v>46</v>
      </c>
      <c r="E42">
        <v>20411454</v>
      </c>
      <c r="F42" t="s">
        <v>306</v>
      </c>
      <c r="G42" t="s">
        <v>220</v>
      </c>
      <c r="H42" t="s">
        <v>99</v>
      </c>
      <c r="I42" s="1">
        <v>45839</v>
      </c>
      <c r="J42" s="5">
        <v>-25</v>
      </c>
      <c r="L42" t="s">
        <v>295</v>
      </c>
    </row>
    <row r="43" spans="1:12" x14ac:dyDescent="0.25">
      <c r="A43" s="4" t="s">
        <v>276</v>
      </c>
      <c r="B43" s="4" t="s">
        <v>276</v>
      </c>
      <c r="C43" t="s">
        <v>230</v>
      </c>
      <c r="D43" t="s">
        <v>231</v>
      </c>
      <c r="E43">
        <v>20411454</v>
      </c>
      <c r="F43" t="s">
        <v>306</v>
      </c>
      <c r="G43" t="s">
        <v>220</v>
      </c>
      <c r="H43" t="s">
        <v>232</v>
      </c>
      <c r="I43" s="1">
        <v>45689</v>
      </c>
      <c r="J43" s="5">
        <v>-25</v>
      </c>
      <c r="L43" t="s">
        <v>295</v>
      </c>
    </row>
    <row r="44" spans="1:12" x14ac:dyDescent="0.25">
      <c r="A44" s="4" t="s">
        <v>274</v>
      </c>
      <c r="B44" s="4" t="s">
        <v>274</v>
      </c>
      <c r="C44" t="s">
        <v>226</v>
      </c>
      <c r="D44" t="s">
        <v>217</v>
      </c>
      <c r="E44">
        <v>20411454</v>
      </c>
      <c r="F44" t="s">
        <v>306</v>
      </c>
      <c r="G44" t="s">
        <v>220</v>
      </c>
      <c r="H44" t="s">
        <v>227</v>
      </c>
      <c r="I44" s="1">
        <v>45778</v>
      </c>
      <c r="J44" s="5">
        <v>-19.440000000000001</v>
      </c>
      <c r="L44" t="s">
        <v>296</v>
      </c>
    </row>
    <row r="45" spans="1:12" x14ac:dyDescent="0.25">
      <c r="A45" s="4" t="s">
        <v>255</v>
      </c>
      <c r="B45" s="4" t="str">
        <f t="shared" ref="B45:B51" si="2">CONCATENATE(A45,0)</f>
        <v>00002095651K0</v>
      </c>
      <c r="C45" t="s">
        <v>45</v>
      </c>
      <c r="D45" t="s">
        <v>46</v>
      </c>
      <c r="E45">
        <v>20411454</v>
      </c>
      <c r="F45" t="s">
        <v>306</v>
      </c>
      <c r="G45" t="s">
        <v>49</v>
      </c>
      <c r="H45" t="s">
        <v>50</v>
      </c>
      <c r="I45" s="1">
        <v>45839</v>
      </c>
      <c r="J45" s="2">
        <v>175</v>
      </c>
      <c r="L45" t="s">
        <v>297</v>
      </c>
    </row>
    <row r="46" spans="1:12" x14ac:dyDescent="0.25">
      <c r="A46" s="4" t="s">
        <v>256</v>
      </c>
      <c r="B46" s="4" t="str">
        <f t="shared" si="2"/>
        <v>00020805683K0</v>
      </c>
      <c r="C46" t="s">
        <v>54</v>
      </c>
      <c r="D46" t="s">
        <v>55</v>
      </c>
      <c r="E46">
        <v>20411454</v>
      </c>
      <c r="F46" t="s">
        <v>306</v>
      </c>
      <c r="G46" t="s">
        <v>49</v>
      </c>
      <c r="H46" t="s">
        <v>50</v>
      </c>
      <c r="I46" s="1">
        <v>45839</v>
      </c>
      <c r="J46" s="2">
        <v>175</v>
      </c>
      <c r="L46" t="s">
        <v>297</v>
      </c>
    </row>
    <row r="47" spans="1:12" x14ac:dyDescent="0.25">
      <c r="A47" s="4" t="s">
        <v>260</v>
      </c>
      <c r="B47" s="4" t="str">
        <f t="shared" si="2"/>
        <v>00023424272K0</v>
      </c>
      <c r="C47" t="s">
        <v>76</v>
      </c>
      <c r="D47" t="s">
        <v>46</v>
      </c>
      <c r="E47">
        <v>20411454</v>
      </c>
      <c r="F47" t="s">
        <v>306</v>
      </c>
      <c r="G47" t="s">
        <v>49</v>
      </c>
      <c r="H47" t="s">
        <v>50</v>
      </c>
      <c r="I47" s="1">
        <v>45870</v>
      </c>
      <c r="J47" s="2">
        <v>175</v>
      </c>
      <c r="L47" t="s">
        <v>297</v>
      </c>
    </row>
    <row r="48" spans="1:12" x14ac:dyDescent="0.25">
      <c r="A48" s="4" t="s">
        <v>261</v>
      </c>
      <c r="B48" s="4" t="str">
        <f t="shared" si="2"/>
        <v>00023429364K0</v>
      </c>
      <c r="C48" t="s">
        <v>80</v>
      </c>
      <c r="D48" t="s">
        <v>46</v>
      </c>
      <c r="E48">
        <v>20411454</v>
      </c>
      <c r="F48" t="s">
        <v>306</v>
      </c>
      <c r="G48" t="s">
        <v>49</v>
      </c>
      <c r="H48" t="s">
        <v>50</v>
      </c>
      <c r="I48" s="1">
        <v>45839</v>
      </c>
      <c r="J48" s="2">
        <v>175</v>
      </c>
      <c r="L48" t="s">
        <v>297</v>
      </c>
    </row>
    <row r="49" spans="1:12" x14ac:dyDescent="0.25">
      <c r="A49" s="4" t="s">
        <v>262</v>
      </c>
      <c r="B49" s="4" t="str">
        <f t="shared" si="2"/>
        <v>00023431107K0</v>
      </c>
      <c r="C49" t="s">
        <v>84</v>
      </c>
      <c r="D49" t="s">
        <v>46</v>
      </c>
      <c r="E49">
        <v>20411454</v>
      </c>
      <c r="F49" t="s">
        <v>306</v>
      </c>
      <c r="G49" t="s">
        <v>49</v>
      </c>
      <c r="H49" t="s">
        <v>50</v>
      </c>
      <c r="I49" s="1">
        <v>45839</v>
      </c>
      <c r="J49" s="2">
        <v>175</v>
      </c>
      <c r="L49" t="s">
        <v>297</v>
      </c>
    </row>
    <row r="50" spans="1:12" x14ac:dyDescent="0.25">
      <c r="A50" s="4" t="s">
        <v>263</v>
      </c>
      <c r="B50" s="4" t="str">
        <f t="shared" si="2"/>
        <v>00023433627K0</v>
      </c>
      <c r="C50" t="s">
        <v>88</v>
      </c>
      <c r="D50" t="s">
        <v>46</v>
      </c>
      <c r="E50">
        <v>20411454</v>
      </c>
      <c r="F50" t="s">
        <v>306</v>
      </c>
      <c r="G50" t="s">
        <v>49</v>
      </c>
      <c r="H50" t="s">
        <v>50</v>
      </c>
      <c r="I50" s="1">
        <v>45839</v>
      </c>
      <c r="J50" s="2">
        <v>175</v>
      </c>
      <c r="L50" t="s">
        <v>297</v>
      </c>
    </row>
    <row r="51" spans="1:12" x14ac:dyDescent="0.25">
      <c r="A51" s="4" t="s">
        <v>264</v>
      </c>
      <c r="B51" s="4" t="str">
        <f t="shared" si="2"/>
        <v>00023435027K0</v>
      </c>
      <c r="C51" t="s">
        <v>92</v>
      </c>
      <c r="D51" t="s">
        <v>46</v>
      </c>
      <c r="E51">
        <v>20411454</v>
      </c>
      <c r="F51" t="s">
        <v>306</v>
      </c>
      <c r="G51" t="s">
        <v>49</v>
      </c>
      <c r="H51" t="s">
        <v>50</v>
      </c>
      <c r="I51" s="1">
        <v>45839</v>
      </c>
      <c r="J51" s="2">
        <v>175</v>
      </c>
      <c r="L51" t="s">
        <v>297</v>
      </c>
    </row>
    <row r="52" spans="1:12" x14ac:dyDescent="0.25">
      <c r="A52" s="4" t="s">
        <v>270</v>
      </c>
      <c r="B52" s="4" t="s">
        <v>270</v>
      </c>
      <c r="C52" t="s">
        <v>216</v>
      </c>
      <c r="D52" t="s">
        <v>217</v>
      </c>
      <c r="E52">
        <v>20411454</v>
      </c>
      <c r="F52" t="s">
        <v>306</v>
      </c>
      <c r="G52" t="s">
        <v>220</v>
      </c>
      <c r="H52" t="s">
        <v>50</v>
      </c>
      <c r="I52" s="1">
        <v>45689</v>
      </c>
      <c r="J52" s="5">
        <v>-101.5</v>
      </c>
      <c r="L52" t="s">
        <v>297</v>
      </c>
    </row>
    <row r="53" spans="1:12" x14ac:dyDescent="0.25">
      <c r="A53" s="4" t="s">
        <v>271</v>
      </c>
      <c r="B53" s="4" t="s">
        <v>271</v>
      </c>
      <c r="C53" t="s">
        <v>222</v>
      </c>
      <c r="D53" t="s">
        <v>217</v>
      </c>
      <c r="E53">
        <v>20411454</v>
      </c>
      <c r="F53" t="s">
        <v>306</v>
      </c>
      <c r="G53" t="s">
        <v>220</v>
      </c>
      <c r="H53" t="s">
        <v>50</v>
      </c>
      <c r="I53" s="1">
        <v>45717</v>
      </c>
      <c r="J53" s="5">
        <v>-117.25</v>
      </c>
      <c r="L53" t="s">
        <v>297</v>
      </c>
    </row>
    <row r="54" spans="1:12" x14ac:dyDescent="0.25">
      <c r="A54" s="4" t="s">
        <v>272</v>
      </c>
      <c r="B54" s="4" t="s">
        <v>272</v>
      </c>
      <c r="C54" t="s">
        <v>59</v>
      </c>
      <c r="D54" t="s">
        <v>217</v>
      </c>
      <c r="E54">
        <v>20411454</v>
      </c>
      <c r="F54" t="s">
        <v>306</v>
      </c>
      <c r="G54" t="s">
        <v>220</v>
      </c>
      <c r="H54" t="s">
        <v>50</v>
      </c>
      <c r="I54" s="1">
        <v>45778</v>
      </c>
      <c r="J54" s="5">
        <v>-87.5</v>
      </c>
      <c r="L54" t="s">
        <v>297</v>
      </c>
    </row>
    <row r="55" spans="1:12" x14ac:dyDescent="0.25">
      <c r="A55" s="4" t="s">
        <v>273</v>
      </c>
      <c r="B55" s="4" t="s">
        <v>273</v>
      </c>
      <c r="C55" t="s">
        <v>65</v>
      </c>
      <c r="D55" t="s">
        <v>217</v>
      </c>
      <c r="E55">
        <v>20411454</v>
      </c>
      <c r="F55" t="s">
        <v>306</v>
      </c>
      <c r="G55" t="s">
        <v>220</v>
      </c>
      <c r="H55" t="s">
        <v>50</v>
      </c>
      <c r="I55" s="1">
        <v>45778</v>
      </c>
      <c r="J55" s="5">
        <v>-87.5</v>
      </c>
      <c r="L55" t="s">
        <v>297</v>
      </c>
    </row>
    <row r="56" spans="1:12" x14ac:dyDescent="0.25">
      <c r="A56" s="4" t="s">
        <v>257</v>
      </c>
      <c r="B56" s="4" t="str">
        <f t="shared" ref="B56:B57" si="3">CONCATENATE(A56,0)</f>
        <v>00023184051K0</v>
      </c>
      <c r="C56" t="s">
        <v>59</v>
      </c>
      <c r="D56" t="s">
        <v>60</v>
      </c>
      <c r="E56">
        <v>20411454</v>
      </c>
      <c r="F56" t="s">
        <v>306</v>
      </c>
      <c r="G56" t="s">
        <v>49</v>
      </c>
      <c r="H56" t="s">
        <v>63</v>
      </c>
      <c r="I56" s="1">
        <v>45839</v>
      </c>
      <c r="J56" s="2">
        <v>108</v>
      </c>
      <c r="L56" t="s">
        <v>297</v>
      </c>
    </row>
    <row r="57" spans="1:12" x14ac:dyDescent="0.25">
      <c r="A57" s="4" t="s">
        <v>258</v>
      </c>
      <c r="B57" s="4" t="str">
        <f t="shared" si="3"/>
        <v>00023257863K0</v>
      </c>
      <c r="C57" t="s">
        <v>65</v>
      </c>
      <c r="D57" t="s">
        <v>66</v>
      </c>
      <c r="E57">
        <v>20411454</v>
      </c>
      <c r="F57" t="s">
        <v>306</v>
      </c>
      <c r="G57" t="s">
        <v>49</v>
      </c>
      <c r="H57" t="s">
        <v>63</v>
      </c>
      <c r="I57" s="1">
        <v>45839</v>
      </c>
      <c r="J57" s="2">
        <v>108</v>
      </c>
      <c r="L57" t="s">
        <v>297</v>
      </c>
    </row>
    <row r="58" spans="1:12" s="7" customFormat="1" x14ac:dyDescent="0.25">
      <c r="A58" s="10" t="s">
        <v>259</v>
      </c>
      <c r="B58" s="10" t="s">
        <v>259</v>
      </c>
      <c r="C58" s="7" t="s">
        <v>70</v>
      </c>
      <c r="D58" s="7" t="s">
        <v>71</v>
      </c>
      <c r="E58" s="7">
        <v>8307933</v>
      </c>
      <c r="F58" s="7" t="s">
        <v>73</v>
      </c>
      <c r="G58" s="7" t="s">
        <v>49</v>
      </c>
      <c r="H58" s="7" t="s">
        <v>74</v>
      </c>
      <c r="I58" s="6">
        <v>45870</v>
      </c>
      <c r="J58" s="8">
        <v>15</v>
      </c>
      <c r="L58" s="7" t="s">
        <v>298</v>
      </c>
    </row>
    <row r="59" spans="1:12" s="7" customFormat="1" x14ac:dyDescent="0.25">
      <c r="A59" s="10" t="s">
        <v>267</v>
      </c>
      <c r="B59" s="10" t="str">
        <f t="shared" ref="B59:B61" si="4">CONCATENATE(A59,1)</f>
        <v>A042974121</v>
      </c>
      <c r="C59" s="7" t="s">
        <v>203</v>
      </c>
      <c r="D59" s="7" t="s">
        <v>46</v>
      </c>
      <c r="E59" s="7">
        <v>9213293</v>
      </c>
      <c r="F59" s="7" t="s">
        <v>98</v>
      </c>
      <c r="G59" s="7" t="s">
        <v>49</v>
      </c>
      <c r="H59" s="7" t="s">
        <v>204</v>
      </c>
      <c r="I59" s="6">
        <v>45870</v>
      </c>
      <c r="J59" s="8">
        <v>287.82</v>
      </c>
      <c r="L59" s="7" t="s">
        <v>299</v>
      </c>
    </row>
    <row r="60" spans="1:12" s="7" customFormat="1" x14ac:dyDescent="0.25">
      <c r="A60" s="10" t="s">
        <v>269</v>
      </c>
      <c r="B60" s="10" t="str">
        <f t="shared" si="4"/>
        <v>A042980631</v>
      </c>
      <c r="C60" s="7" t="s">
        <v>212</v>
      </c>
      <c r="D60" s="7" t="s">
        <v>207</v>
      </c>
      <c r="E60" s="7">
        <v>16212649</v>
      </c>
      <c r="F60" s="7" t="s">
        <v>209</v>
      </c>
      <c r="G60" s="7" t="s">
        <v>49</v>
      </c>
      <c r="H60" s="7" t="s">
        <v>213</v>
      </c>
      <c r="I60" s="6">
        <v>45839</v>
      </c>
      <c r="J60" s="8">
        <v>379.89</v>
      </c>
      <c r="L60" s="7" t="s">
        <v>301</v>
      </c>
    </row>
    <row r="61" spans="1:12" s="7" customFormat="1" x14ac:dyDescent="0.25">
      <c r="A61" s="10" t="s">
        <v>268</v>
      </c>
      <c r="B61" s="10" t="str">
        <f t="shared" si="4"/>
        <v>A042980561</v>
      </c>
      <c r="C61" s="7" t="s">
        <v>206</v>
      </c>
      <c r="D61" s="7" t="s">
        <v>207</v>
      </c>
      <c r="E61" s="7">
        <v>16212649</v>
      </c>
      <c r="F61" s="7" t="s">
        <v>209</v>
      </c>
      <c r="G61" s="7" t="s">
        <v>49</v>
      </c>
      <c r="H61" s="7" t="s">
        <v>210</v>
      </c>
      <c r="I61" s="6">
        <v>45839</v>
      </c>
      <c r="J61" s="8">
        <v>360.18</v>
      </c>
      <c r="L61" s="7" t="s">
        <v>300</v>
      </c>
    </row>
    <row r="62" spans="1:12" x14ac:dyDescent="0.25">
      <c r="A62" s="4" t="s">
        <v>265</v>
      </c>
      <c r="B62" s="4" t="s">
        <v>265</v>
      </c>
      <c r="C62" t="s">
        <v>186</v>
      </c>
      <c r="D62" t="s">
        <v>170</v>
      </c>
      <c r="E62">
        <v>20411454</v>
      </c>
      <c r="F62" t="s">
        <v>306</v>
      </c>
      <c r="G62" t="s">
        <v>49</v>
      </c>
      <c r="H62" t="s">
        <v>191</v>
      </c>
      <c r="I62" s="1">
        <v>45901</v>
      </c>
      <c r="J62" s="2">
        <v>175</v>
      </c>
      <c r="L62" t="s">
        <v>302</v>
      </c>
    </row>
    <row r="63" spans="1:12" x14ac:dyDescent="0.25">
      <c r="A63" s="4">
        <v>912316773</v>
      </c>
      <c r="B63" s="4" t="str">
        <f>CONCATENATE(A63,0)</f>
        <v>9123167730</v>
      </c>
      <c r="C63" t="s">
        <v>193</v>
      </c>
      <c r="D63" t="s">
        <v>103</v>
      </c>
      <c r="E63">
        <v>20411454</v>
      </c>
      <c r="F63" t="s">
        <v>306</v>
      </c>
      <c r="G63" t="s">
        <v>49</v>
      </c>
      <c r="H63" t="s">
        <v>191</v>
      </c>
      <c r="I63" s="1">
        <v>45839</v>
      </c>
      <c r="J63" s="2">
        <v>175</v>
      </c>
      <c r="L63" t="s">
        <v>302</v>
      </c>
    </row>
    <row r="64" spans="1:12" x14ac:dyDescent="0.25">
      <c r="A64" s="4" t="s">
        <v>266</v>
      </c>
      <c r="B64" s="4" t="s">
        <v>266</v>
      </c>
      <c r="C64" t="s">
        <v>197</v>
      </c>
      <c r="D64" t="s">
        <v>198</v>
      </c>
      <c r="E64">
        <v>20411454</v>
      </c>
      <c r="F64" t="s">
        <v>306</v>
      </c>
      <c r="G64" t="s">
        <v>49</v>
      </c>
      <c r="H64" t="s">
        <v>191</v>
      </c>
      <c r="I64" s="1">
        <v>45839</v>
      </c>
      <c r="J64" s="2">
        <v>175</v>
      </c>
      <c r="L64" t="s">
        <v>302</v>
      </c>
    </row>
    <row r="65" spans="1:17" x14ac:dyDescent="0.25">
      <c r="A65" s="4" t="s">
        <v>291</v>
      </c>
      <c r="B65" s="4" t="s">
        <v>291</v>
      </c>
      <c r="C65" t="s">
        <v>249</v>
      </c>
      <c r="D65" t="s">
        <v>46</v>
      </c>
      <c r="E65">
        <v>20411454</v>
      </c>
      <c r="F65" t="s">
        <v>306</v>
      </c>
      <c r="G65" t="s">
        <v>220</v>
      </c>
      <c r="H65" t="s">
        <v>191</v>
      </c>
      <c r="I65" s="1">
        <v>45778</v>
      </c>
      <c r="J65" s="5">
        <v>-44.03</v>
      </c>
      <c r="L65" t="s">
        <v>302</v>
      </c>
    </row>
    <row r="66" spans="1:17" x14ac:dyDescent="0.25">
      <c r="A66" s="4" t="s">
        <v>293</v>
      </c>
      <c r="B66" s="4" t="s">
        <v>293</v>
      </c>
      <c r="C66" t="s">
        <v>253</v>
      </c>
      <c r="D66" t="s">
        <v>46</v>
      </c>
      <c r="E66">
        <v>20411454</v>
      </c>
      <c r="F66" t="s">
        <v>306</v>
      </c>
      <c r="G66" t="s">
        <v>220</v>
      </c>
      <c r="H66" t="s">
        <v>191</v>
      </c>
      <c r="I66" s="1">
        <v>45658</v>
      </c>
      <c r="J66" s="5">
        <v>-87.5</v>
      </c>
      <c r="L66" t="s">
        <v>302</v>
      </c>
    </row>
    <row r="67" spans="1:17" s="7" customFormat="1" x14ac:dyDescent="0.25">
      <c r="A67" s="10" t="s">
        <v>292</v>
      </c>
      <c r="B67" s="10">
        <v>9112462791</v>
      </c>
      <c r="C67" s="7" t="s">
        <v>249</v>
      </c>
      <c r="D67" s="7" t="s">
        <v>46</v>
      </c>
      <c r="E67" s="7">
        <v>19200754</v>
      </c>
      <c r="F67" s="7" t="s">
        <v>90</v>
      </c>
      <c r="G67" s="7" t="s">
        <v>220</v>
      </c>
      <c r="H67" s="7" t="s">
        <v>251</v>
      </c>
      <c r="I67" s="6">
        <v>45778</v>
      </c>
      <c r="J67" s="11">
        <v>-157.5</v>
      </c>
      <c r="L67" s="7" t="s">
        <v>303</v>
      </c>
      <c r="M67" s="7" t="s">
        <v>304</v>
      </c>
    </row>
    <row r="68" spans="1:17" s="7" customFormat="1" x14ac:dyDescent="0.25">
      <c r="A68" s="10">
        <v>133607929</v>
      </c>
      <c r="B68" s="10" t="str">
        <f>CONCATENATE(A68,1)</f>
        <v>1336079291</v>
      </c>
      <c r="C68" s="7" t="s">
        <v>186</v>
      </c>
      <c r="D68" s="7" t="s">
        <v>170</v>
      </c>
      <c r="E68" s="7">
        <v>19645587</v>
      </c>
      <c r="F68" s="7" t="s">
        <v>188</v>
      </c>
      <c r="G68" s="7" t="s">
        <v>49</v>
      </c>
      <c r="H68" s="7" t="s">
        <v>189</v>
      </c>
      <c r="I68" s="6">
        <v>45901</v>
      </c>
      <c r="J68" s="8">
        <v>104.33</v>
      </c>
      <c r="K68" s="7" t="s">
        <v>163</v>
      </c>
      <c r="L68" s="7" t="s">
        <v>303</v>
      </c>
      <c r="M68" s="7" t="s">
        <v>305</v>
      </c>
      <c r="Q68" s="7">
        <f>313/12*4</f>
        <v>104.33333333333333</v>
      </c>
    </row>
    <row r="69" spans="1:17" s="7" customFormat="1" x14ac:dyDescent="0.25">
      <c r="A69" s="10">
        <v>922326462</v>
      </c>
      <c r="B69" s="10" t="str">
        <f>CONCATENATE(A69,1)</f>
        <v>9223264621</v>
      </c>
      <c r="C69" s="7" t="s">
        <v>197</v>
      </c>
      <c r="D69" s="7" t="s">
        <v>198</v>
      </c>
      <c r="E69" s="7">
        <v>16683808</v>
      </c>
      <c r="F69" s="7" t="s">
        <v>200</v>
      </c>
      <c r="G69" s="7" t="s">
        <v>49</v>
      </c>
      <c r="H69" s="7" t="s">
        <v>189</v>
      </c>
      <c r="I69" s="6">
        <v>45839</v>
      </c>
      <c r="J69" s="8">
        <v>156.5</v>
      </c>
      <c r="K69" s="7" t="s">
        <v>100</v>
      </c>
      <c r="L69" s="7" t="s">
        <v>303</v>
      </c>
      <c r="M69" s="7" t="s">
        <v>304</v>
      </c>
      <c r="Q69" s="7">
        <f>313/12*6</f>
        <v>156.5</v>
      </c>
    </row>
    <row r="70" spans="1:17" s="7" customFormat="1" x14ac:dyDescent="0.25">
      <c r="A70" s="10" t="s">
        <v>294</v>
      </c>
      <c r="B70" s="10">
        <v>96411411299</v>
      </c>
      <c r="C70" s="7" t="s">
        <v>253</v>
      </c>
      <c r="D70" s="7" t="s">
        <v>46</v>
      </c>
      <c r="E70" s="7">
        <v>19586992</v>
      </c>
      <c r="F70" s="7" t="s">
        <v>48</v>
      </c>
      <c r="G70" s="7" t="s">
        <v>220</v>
      </c>
      <c r="H70" s="7" t="s">
        <v>189</v>
      </c>
      <c r="I70" s="6">
        <v>45658</v>
      </c>
      <c r="J70" s="11">
        <v>-156.5</v>
      </c>
      <c r="L70" s="7" t="s">
        <v>303</v>
      </c>
      <c r="M70" s="7" t="s">
        <v>304</v>
      </c>
    </row>
  </sheetData>
  <sortState xmlns:xlrd2="http://schemas.microsoft.com/office/spreadsheetml/2017/richdata2" ref="A2:AM70">
    <sortCondition ref="H2:H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2025-07-02T12:43:00Z</dcterms:created>
  <dcterms:modified xsi:type="dcterms:W3CDTF">2025-07-02T13:41:38Z</dcterms:modified>
</cp:coreProperties>
</file>