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9-18-25, 09-15-25, 09-24-25\"/>
    </mc:Choice>
  </mc:AlternateContent>
  <xr:revisionPtr revIDLastSave="0" documentId="13_ncr:1_{A4F7E66D-027D-4A09-B527-3928C1C92D57}" xr6:coauthVersionLast="47" xr6:coauthVersionMax="47" xr10:uidLastSave="{00000000-0000-0000-0000-000000000000}"/>
  <bookViews>
    <workbookView xWindow="-57720" yWindow="-45" windowWidth="29040" windowHeight="15720" xr2:uid="{7D4E4050-B441-4A25-AE1B-06AA36CFAA01}"/>
  </bookViews>
  <sheets>
    <sheet name="Renewal Agent Statement - 2025-" sheetId="1" r:id="rId1"/>
    <sheet name="Sheet1" sheetId="2" r:id="rId2"/>
    <sheet name="on h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3" i="2" l="1"/>
  <c r="C412" i="2"/>
  <c r="C411" i="2"/>
  <c r="C410" i="2"/>
  <c r="C409" i="2"/>
  <c r="C408" i="2"/>
  <c r="C407" i="2"/>
  <c r="C406" i="2"/>
  <c r="C405" i="2"/>
  <c r="U573" i="2"/>
  <c r="U571" i="2"/>
  <c r="U570" i="2"/>
  <c r="C601" i="2"/>
  <c r="C529" i="2"/>
  <c r="C527" i="2"/>
  <c r="C523" i="2"/>
  <c r="C603" i="2"/>
  <c r="C602" i="2"/>
  <c r="C600" i="2"/>
  <c r="C599" i="2"/>
  <c r="C598" i="2"/>
  <c r="C597" i="2"/>
  <c r="C594" i="2"/>
  <c r="C593" i="2"/>
  <c r="C592" i="2"/>
  <c r="C591" i="2"/>
  <c r="C590" i="2"/>
  <c r="C589" i="2"/>
  <c r="C588" i="2"/>
  <c r="C478" i="2"/>
  <c r="C477" i="2"/>
  <c r="C476" i="2"/>
  <c r="C474" i="2"/>
  <c r="C473" i="2"/>
  <c r="C456" i="2"/>
  <c r="C454" i="2"/>
  <c r="C453" i="2"/>
  <c r="C450" i="2"/>
  <c r="C449" i="2"/>
  <c r="C447" i="2"/>
  <c r="C442" i="2"/>
  <c r="C439" i="2"/>
  <c r="C426" i="2"/>
  <c r="C423" i="2"/>
  <c r="C421" i="2"/>
  <c r="C418" i="2"/>
  <c r="C424" i="2"/>
  <c r="C425" i="2"/>
  <c r="C347" i="2"/>
  <c r="C317" i="2"/>
  <c r="C316" i="2"/>
  <c r="C175" i="2"/>
  <c r="C607" i="2"/>
  <c r="C596" i="2"/>
  <c r="C595" i="2"/>
  <c r="C528" i="2"/>
  <c r="C526" i="2"/>
  <c r="C524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5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5" i="2"/>
  <c r="C452" i="2"/>
  <c r="C451" i="2"/>
  <c r="C448" i="2"/>
  <c r="C446" i="2"/>
  <c r="C445" i="2"/>
  <c r="C444" i="2"/>
  <c r="C443" i="2"/>
  <c r="C441" i="2"/>
  <c r="C440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2" i="2"/>
  <c r="C420" i="2"/>
  <c r="C419" i="2"/>
  <c r="C417" i="2"/>
  <c r="C416" i="2"/>
  <c r="C415" i="2"/>
  <c r="C414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57" i="2"/>
  <c r="C356" i="2"/>
  <c r="C355" i="2"/>
  <c r="C354" i="2"/>
  <c r="C353" i="2"/>
  <c r="C352" i="2"/>
  <c r="C351" i="2"/>
  <c r="C350" i="2"/>
  <c r="C349" i="2"/>
  <c r="C348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569" i="2"/>
  <c r="B607" i="2"/>
  <c r="B603" i="2"/>
  <c r="B602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28" i="2"/>
  <c r="B526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5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5" i="2"/>
  <c r="B452" i="2"/>
  <c r="B451" i="2"/>
  <c r="B448" i="2"/>
  <c r="B446" i="2"/>
  <c r="B445" i="2"/>
  <c r="B444" i="2"/>
  <c r="B443" i="2"/>
  <c r="B441" i="2"/>
  <c r="B440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5" i="2"/>
  <c r="B424" i="2"/>
  <c r="B422" i="2"/>
  <c r="B420" i="2"/>
  <c r="B419" i="2"/>
  <c r="B417" i="2"/>
  <c r="B416" i="2"/>
  <c r="B415" i="2"/>
  <c r="B414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57" i="2"/>
  <c r="B356" i="2"/>
  <c r="B355" i="2"/>
  <c r="B354" i="2"/>
  <c r="B353" i="2"/>
  <c r="B352" i="2"/>
  <c r="B351" i="2"/>
  <c r="B350" i="2"/>
  <c r="B349" i="2"/>
  <c r="B348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573" i="2"/>
  <c r="B587" i="2"/>
  <c r="B547" i="2"/>
  <c r="B384" i="2"/>
  <c r="B564" i="2"/>
  <c r="B551" i="2"/>
  <c r="B383" i="2"/>
  <c r="B566" i="2"/>
  <c r="B586" i="2"/>
  <c r="B562" i="2"/>
  <c r="B561" i="2"/>
  <c r="B560" i="2"/>
  <c r="B559" i="2"/>
  <c r="B558" i="2"/>
  <c r="B557" i="2"/>
  <c r="B572" i="2"/>
  <c r="B571" i="2"/>
  <c r="B585" i="2"/>
  <c r="B584" i="2"/>
  <c r="B583" i="2"/>
  <c r="B582" i="2"/>
  <c r="B606" i="2"/>
  <c r="B581" i="2"/>
  <c r="B580" i="2"/>
  <c r="B549" i="2"/>
  <c r="B546" i="2"/>
  <c r="B545" i="2"/>
  <c r="B544" i="2"/>
  <c r="B543" i="2"/>
  <c r="B382" i="2"/>
  <c r="B542" i="2"/>
  <c r="B381" i="2"/>
  <c r="B570" i="2"/>
  <c r="B605" i="2"/>
  <c r="B565" i="2"/>
  <c r="B579" i="2"/>
  <c r="B548" i="2"/>
  <c r="B541" i="2"/>
  <c r="B540" i="2"/>
  <c r="B539" i="2"/>
  <c r="B538" i="2"/>
  <c r="B537" i="2"/>
  <c r="B536" i="2"/>
  <c r="B535" i="2"/>
  <c r="B604" i="2"/>
  <c r="B578" i="2"/>
  <c r="B532" i="2"/>
  <c r="B577" i="2"/>
  <c r="B576" i="2"/>
  <c r="B568" i="2"/>
  <c r="B534" i="2"/>
  <c r="B533" i="2"/>
  <c r="B380" i="2"/>
  <c r="B379" i="2"/>
  <c r="B575" i="2"/>
  <c r="B574" i="2"/>
  <c r="B567" i="2"/>
  <c r="B563" i="2"/>
  <c r="B556" i="2"/>
  <c r="B555" i="2"/>
  <c r="B554" i="2"/>
  <c r="B553" i="2"/>
  <c r="B552" i="2"/>
  <c r="B550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</calcChain>
</file>

<file path=xl/sharedStrings.xml><?xml version="1.0" encoding="utf-8"?>
<sst xmlns="http://schemas.openxmlformats.org/spreadsheetml/2006/main" count="13799" uniqueCount="1742">
  <si>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</si>
  <si>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</si>
  <si>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</si>
  <si>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</si>
  <si>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</si>
  <si>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</si>
  <si>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</si>
  <si>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</si>
  <si>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</si>
  <si>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</si>
  <si>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</si>
  <si>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</si>
  <si>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</si>
  <si>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</si>
  <si>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</si>
  <si>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</si>
  <si>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</si>
  <si>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</si>
  <si>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</si>
  <si>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</si>
  <si>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</si>
  <si>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</si>
  <si>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</si>
  <si>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</si>
  <si>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</si>
  <si>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</si>
  <si>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</si>
  <si>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</si>
  <si>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</si>
  <si>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</si>
  <si>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</si>
  <si>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</si>
  <si>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</si>
  <si>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</si>
  <si>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</si>
  <si>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</si>
  <si>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</si>
  <si>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</si>
  <si>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</si>
  <si>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</si>
  <si>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</si>
  <si>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</si>
  <si>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</si>
  <si>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</si>
  <si>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</si>
  <si>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</si>
  <si>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</si>
  <si>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</si>
  <si>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</si>
  <si>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</si>
  <si>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</si>
  <si>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</si>
  <si>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</si>
  <si>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AUG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</si>
  <si>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</si>
  <si>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</si>
  <si>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</si>
  <si>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</si>
  <si>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</si>
  <si>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</si>
  <si>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'00010066661K</t>
  </si>
  <si>
    <t>GERRI WALTHERS</t>
  </si>
  <si>
    <t>'045612</t>
  </si>
  <si>
    <t>ANTHONY HUNSBERGER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</si>
  <si>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</si>
  <si>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</si>
  <si>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</si>
  <si>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</si>
  <si>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</si>
  <si>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</si>
  <si>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</si>
  <si>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</si>
  <si>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'00012290150KPC</t>
  </si>
  <si>
    <t>VICKY DOWNS</t>
  </si>
  <si>
    <t>'045605</t>
  </si>
  <si>
    <t>GARY PORTUGAL</t>
  </si>
  <si>
    <t>HU NEG Bonus Upload 9-15-2025.xlsx</t>
  </si>
  <si>
    <t>'00013131759K</t>
  </si>
  <si>
    <t>RUBEN TORRES</t>
  </si>
  <si>
    <t>'00017505325K</t>
  </si>
  <si>
    <t>DEBRA SIMS</t>
  </si>
  <si>
    <t>'045632</t>
  </si>
  <si>
    <t>BARRY SCHUMANN</t>
  </si>
  <si>
    <t>'00017632868K</t>
  </si>
  <si>
    <t>MOHAMMED SALEEM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</si>
  <si>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</si>
  <si>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</si>
  <si>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</si>
  <si>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</si>
  <si>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</si>
  <si>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</si>
  <si>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</si>
  <si>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</si>
  <si>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</si>
  <si>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Humana LOA AUG 2025 Statement</t>
  </si>
  <si>
    <t>'00020054580KOV</t>
  </si>
  <si>
    <t>'00020195670K</t>
  </si>
  <si>
    <t>LARRY BOUBEL</t>
  </si>
  <si>
    <t>'00021641743K</t>
  </si>
  <si>
    <t>RAYMOND HUMPHRIES</t>
  </si>
  <si>
    <t>'043682</t>
  </si>
  <si>
    <t>GREGORY TEIPEL</t>
  </si>
  <si>
    <t>'00021686716K</t>
  </si>
  <si>
    <t>LONNIE ALTOM</t>
  </si>
  <si>
    <t>'00021695147K</t>
  </si>
  <si>
    <t>CLIFTON ICENROAD</t>
  </si>
  <si>
    <t>'045601</t>
  </si>
  <si>
    <t>CAROL FOLEY</t>
  </si>
  <si>
    <t>'00021754102K</t>
  </si>
  <si>
    <t>CATHERINE LAUDERDALE</t>
  </si>
  <si>
    <t>'00021776882K</t>
  </si>
  <si>
    <t>PAULA MARINO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</si>
  <si>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</si>
  <si>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</si>
  <si>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</si>
  <si>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</si>
  <si>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</si>
  <si>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</si>
  <si>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</si>
  <si>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</si>
  <si>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</si>
  <si>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</si>
  <si>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</si>
  <si>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</si>
  <si>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</si>
  <si>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</si>
  <si>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Humana MAPD Street payable to upline - 2024 New</t>
  </si>
  <si>
    <t>'00021812164KOV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</si>
  <si>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</si>
  <si>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</si>
  <si>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</si>
  <si>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</si>
  <si>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</si>
  <si>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</si>
  <si>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</si>
  <si>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</si>
  <si>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</si>
  <si>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</si>
  <si>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</si>
  <si>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</si>
  <si>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</si>
  <si>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</si>
  <si>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</si>
  <si>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</si>
  <si>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</si>
  <si>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</si>
  <si>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</si>
  <si>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</si>
  <si>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</si>
  <si>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</si>
  <si>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</si>
  <si>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</si>
  <si>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</si>
  <si>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</si>
  <si>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</si>
  <si>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</si>
  <si>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</si>
  <si>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</si>
  <si>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</si>
  <si>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</si>
  <si>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</si>
  <si>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</si>
  <si>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</si>
  <si>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</si>
  <si>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</si>
  <si>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</si>
  <si>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</si>
  <si>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</si>
  <si>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</si>
  <si>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</si>
  <si>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</si>
  <si>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</si>
  <si>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</si>
  <si>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</si>
  <si>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'00021883866K</t>
  </si>
  <si>
    <t>DOLLY IRIZARRY</t>
  </si>
  <si>
    <t>'00021884516K</t>
  </si>
  <si>
    <t>WILLIAM NAIDENOVICH</t>
  </si>
  <si>
    <t>'00021884516KOV</t>
  </si>
  <si>
    <t>'00021892187K</t>
  </si>
  <si>
    <t>FRANK SCARDINA</t>
  </si>
  <si>
    <t>'045618</t>
  </si>
  <si>
    <t>STEPHANIE DRAPAC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</si>
  <si>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</si>
  <si>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</si>
  <si>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</si>
  <si>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</si>
  <si>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</si>
  <si>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</si>
  <si>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</si>
  <si>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</si>
  <si>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</si>
  <si>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</si>
  <si>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</si>
  <si>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</si>
  <si>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</si>
  <si>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</si>
  <si>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</si>
  <si>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</si>
  <si>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</si>
  <si>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</si>
  <si>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</si>
  <si>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</si>
  <si>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</si>
  <si>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</si>
  <si>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</si>
  <si>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</si>
  <si>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</si>
  <si>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</si>
  <si>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</si>
  <si>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</si>
  <si>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</si>
  <si>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</si>
  <si>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</si>
  <si>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</si>
  <si>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</si>
  <si>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</si>
  <si>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</si>
  <si>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</si>
  <si>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</si>
  <si>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'043969</t>
  </si>
  <si>
    <t>STACEY PORTUGAL</t>
  </si>
  <si>
    <t>'00021951591K</t>
  </si>
  <si>
    <t>RAYMOND HOCK</t>
  </si>
  <si>
    <t>'045634</t>
  </si>
  <si>
    <t>PATRICIA LONG</t>
  </si>
  <si>
    <t>'00021961080K</t>
  </si>
  <si>
    <t>PAUL ARNOLD</t>
  </si>
  <si>
    <t>'00021973839K</t>
  </si>
  <si>
    <t>JUAN REYNA</t>
  </si>
  <si>
    <t>'00021973839KOV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</si>
  <si>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</si>
  <si>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</si>
  <si>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</si>
  <si>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</si>
  <si>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</si>
  <si>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</si>
  <si>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</si>
  <si>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</si>
  <si>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</si>
  <si>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</si>
  <si>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</si>
  <si>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</si>
  <si>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</si>
  <si>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</si>
  <si>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</si>
  <si>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</si>
  <si>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</si>
  <si>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</si>
  <si>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</si>
  <si>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</si>
  <si>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</si>
  <si>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</si>
  <si>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</si>
  <si>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</si>
  <si>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</si>
  <si>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</si>
  <si>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</si>
  <si>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</si>
  <si>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</si>
  <si>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</si>
  <si>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</si>
  <si>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</si>
  <si>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'045621</t>
  </si>
  <si>
    <t>HEATHER GESKE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</si>
  <si>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</si>
  <si>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</si>
  <si>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</si>
  <si>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</si>
  <si>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</si>
  <si>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</si>
  <si>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</si>
  <si>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</si>
  <si>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</si>
  <si>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</si>
  <si>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</si>
  <si>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</si>
  <si>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</si>
  <si>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</si>
  <si>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</si>
  <si>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</si>
  <si>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</si>
  <si>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'00022070044K</t>
  </si>
  <si>
    <t>SUZI FRIESE</t>
  </si>
  <si>
    <t>'00022074715K</t>
  </si>
  <si>
    <t>MIKE FOLLANSBEE</t>
  </si>
  <si>
    <t>'00022077041K</t>
  </si>
  <si>
    <t>SHAZIA SHAHRUKH</t>
  </si>
  <si>
    <t>'00022077130K</t>
  </si>
  <si>
    <t>JEFFREY GILBERT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</si>
  <si>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</si>
  <si>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</si>
  <si>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</si>
  <si>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</si>
  <si>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</si>
  <si>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</si>
  <si>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</si>
  <si>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</si>
  <si>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</si>
  <si>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</si>
  <si>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</si>
  <si>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</si>
  <si>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</si>
  <si>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</si>
  <si>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</si>
  <si>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</si>
  <si>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</si>
  <si>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</si>
  <si>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</si>
  <si>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</si>
  <si>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</si>
  <si>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</si>
  <si>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</si>
  <si>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</si>
  <si>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</si>
  <si>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</si>
  <si>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</si>
  <si>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</si>
  <si>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</si>
  <si>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</si>
  <si>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</si>
  <si>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</si>
  <si>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</si>
  <si>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</si>
  <si>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</si>
  <si>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</si>
  <si>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</si>
  <si>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</si>
  <si>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</si>
  <si>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</si>
  <si>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</si>
  <si>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</si>
  <si>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</si>
  <si>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</si>
  <si>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</si>
  <si>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</si>
  <si>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</si>
  <si>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</si>
  <si>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</si>
  <si>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</si>
  <si>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</si>
  <si>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</si>
  <si>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</si>
  <si>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</si>
  <si>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</si>
  <si>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</si>
  <si>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</si>
  <si>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'043705</t>
  </si>
  <si>
    <t>MICHAEL DUNAVANT</t>
  </si>
  <si>
    <t>'00022235665K</t>
  </si>
  <si>
    <t>ROBIN DIEDERICH</t>
  </si>
  <si>
    <t>'00022241122K</t>
  </si>
  <si>
    <t>TERRI EATON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</si>
  <si>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</si>
  <si>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</si>
  <si>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</si>
  <si>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</si>
  <si>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</si>
  <si>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</si>
  <si>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</si>
  <si>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</si>
  <si>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</si>
  <si>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</si>
  <si>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</si>
  <si>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</si>
  <si>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</si>
  <si>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</si>
  <si>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</si>
  <si>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</si>
  <si>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</si>
  <si>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</si>
  <si>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</si>
  <si>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</si>
  <si>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</si>
  <si>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</si>
  <si>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</si>
  <si>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</si>
  <si>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</si>
  <si>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</si>
  <si>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</si>
  <si>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</si>
  <si>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</si>
  <si>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</si>
  <si>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</si>
  <si>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</si>
  <si>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</si>
  <si>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</si>
  <si>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</si>
  <si>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</si>
  <si>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</si>
  <si>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</si>
  <si>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</si>
  <si>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</si>
  <si>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'00022688863K</t>
  </si>
  <si>
    <t>DOLORES DUNCAN</t>
  </si>
  <si>
    <t>'00022698535K</t>
  </si>
  <si>
    <t>JAMES BECKWITH</t>
  </si>
  <si>
    <t>'00022763707K</t>
  </si>
  <si>
    <t>RALPH RICHMOND</t>
  </si>
  <si>
    <t>'022832432</t>
  </si>
  <si>
    <t>RACHEL WILLIAMS</t>
  </si>
  <si>
    <t>IL</t>
  </si>
  <si>
    <t>UHC PDP Street payable to upline -2024 New Full</t>
  </si>
  <si>
    <t>Per AUG 2025 UHC MA Stmt</t>
  </si>
  <si>
    <t>'022844299</t>
  </si>
  <si>
    <t>LAUREN KNOBBS</t>
  </si>
  <si>
    <t>PA</t>
  </si>
  <si>
    <t>'043679</t>
  </si>
  <si>
    <t>DEBORAH INSKIPT</t>
  </si>
  <si>
    <t>'022910215</t>
  </si>
  <si>
    <t>YOUSRI ALI</t>
  </si>
  <si>
    <t>'101048751100</t>
  </si>
  <si>
    <t>FRANK WUCHEVICH</t>
  </si>
  <si>
    <t>'045614</t>
  </si>
  <si>
    <t>DEBORAH POWERS</t>
  </si>
  <si>
    <t>Aetna MAPD NMO to GMO - 4-1-23+  New E-App</t>
  </si>
  <si>
    <t>Per Aetna August 2025 Statement</t>
  </si>
  <si>
    <t>'101050888000</t>
  </si>
  <si>
    <t>CAROLYN HERVEY</t>
  </si>
  <si>
    <t>'101051538100</t>
  </si>
  <si>
    <t>DORIS MCCONNELL</t>
  </si>
  <si>
    <t>MO</t>
  </si>
  <si>
    <t>'101051689400</t>
  </si>
  <si>
    <t>BETSY HARVEY</t>
  </si>
  <si>
    <t>'101052135000</t>
  </si>
  <si>
    <t>GERALD KOCHMAR</t>
  </si>
  <si>
    <t>'101053757200</t>
  </si>
  <si>
    <t>SUZANNE STEIGERWALD</t>
  </si>
  <si>
    <t>'101054911000</t>
  </si>
  <si>
    <t>RICHARD CLOUSE</t>
  </si>
  <si>
    <t>'101055639600</t>
  </si>
  <si>
    <t>CARL BRACKEN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</si>
  <si>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</si>
  <si>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</si>
  <si>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</si>
  <si>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</si>
  <si>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</si>
  <si>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</si>
  <si>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</si>
  <si>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</si>
  <si>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</si>
  <si>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</si>
  <si>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</si>
  <si>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</si>
  <si>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'101063039500</t>
  </si>
  <si>
    <t>STEPHEN GREEN</t>
  </si>
  <si>
    <t>'101064228200</t>
  </si>
  <si>
    <t>DAVID SNYDER</t>
  </si>
  <si>
    <t>'101065991100</t>
  </si>
  <si>
    <t>LEEANNA PORTER</t>
  </si>
  <si>
    <t>'101066997100</t>
  </si>
  <si>
    <t>RICHARD BAPTISTE</t>
  </si>
  <si>
    <t>'101069148700</t>
  </si>
  <si>
    <t>PHYLLIS HOWARD</t>
  </si>
  <si>
    <t>'101070037600</t>
  </si>
  <si>
    <t>KAREN HILLIARD</t>
  </si>
  <si>
    <t>'101077326300</t>
  </si>
  <si>
    <t>JUDITH PEAVORNICK</t>
  </si>
  <si>
    <t>'101079484800</t>
  </si>
  <si>
    <t>JOSEPH KOLODZIEJCZYK</t>
  </si>
  <si>
    <t>'101081464500</t>
  </si>
  <si>
    <t>JOAN TOMSEY</t>
  </si>
  <si>
    <t>'101083195000</t>
  </si>
  <si>
    <t>DOMINICA KOCHMAR</t>
  </si>
  <si>
    <t>'101088372600</t>
  </si>
  <si>
    <t>DOUGLAS HERVEY</t>
  </si>
  <si>
    <t>'101091001900</t>
  </si>
  <si>
    <t>KATHLEEN TENNYSON</t>
  </si>
  <si>
    <t>'101094290600</t>
  </si>
  <si>
    <t>DARLENE SNYDER</t>
  </si>
  <si>
    <t>'101097095200</t>
  </si>
  <si>
    <t>JOYCE GIESLER</t>
  </si>
  <si>
    <t>'101098603800</t>
  </si>
  <si>
    <t>HEMA WOODWARD</t>
  </si>
  <si>
    <t>'101109815100</t>
  </si>
  <si>
    <t>STAN POPINSKI</t>
  </si>
  <si>
    <t>'101114920100</t>
  </si>
  <si>
    <t>CLIFFORD ANDERSON</t>
  </si>
  <si>
    <t>'101119229200</t>
  </si>
  <si>
    <t>ROSEMARIE LOKER</t>
  </si>
  <si>
    <t>'101120868400</t>
  </si>
  <si>
    <t>BEVERLY SASSE</t>
  </si>
  <si>
    <t>'101129469000</t>
  </si>
  <si>
    <t>MARK BRANTHOOVER</t>
  </si>
  <si>
    <t>'101137592300</t>
  </si>
  <si>
    <t>RICHARD PISOR</t>
  </si>
  <si>
    <t>'101138580000</t>
  </si>
  <si>
    <t>ABRAHAM SANO</t>
  </si>
  <si>
    <t>'043743</t>
  </si>
  <si>
    <t>FREDERICK GBASSANA</t>
  </si>
  <si>
    <t>'101183834800</t>
  </si>
  <si>
    <t>SANDRA CRIDER</t>
  </si>
  <si>
    <t>'101189072000</t>
  </si>
  <si>
    <t>DENNIS SCHELETSKY</t>
  </si>
  <si>
    <t>'101196246500</t>
  </si>
  <si>
    <t>BARBARA CRANE</t>
  </si>
  <si>
    <t>'101196250400</t>
  </si>
  <si>
    <t>JEFFREY CRANE</t>
  </si>
  <si>
    <t>'101201876300</t>
  </si>
  <si>
    <t>JOHN BLAZOSKY</t>
  </si>
  <si>
    <t>'101201921800</t>
  </si>
  <si>
    <t>WILLIAM MCDONOUGH</t>
  </si>
  <si>
    <t>'101202905500</t>
  </si>
  <si>
    <t>PAUL EDGERTON</t>
  </si>
  <si>
    <t>'101204412700</t>
  </si>
  <si>
    <t>NORMAN GRAHAM</t>
  </si>
  <si>
    <t>'101204473000</t>
  </si>
  <si>
    <t>STELLA GRAHAM</t>
  </si>
  <si>
    <t>'101205114900</t>
  </si>
  <si>
    <t>LINDA EDGERTON</t>
  </si>
  <si>
    <t>'101205241100</t>
  </si>
  <si>
    <t>MARGIE ROME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</si>
  <si>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</si>
  <si>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</si>
  <si>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</si>
  <si>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</si>
  <si>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</si>
  <si>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</si>
  <si>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</si>
  <si>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</si>
  <si>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</si>
  <si>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</si>
  <si>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'101212333500</t>
  </si>
  <si>
    <t>ROBERT NICHOLS</t>
  </si>
  <si>
    <t>'101212516000</t>
  </si>
  <si>
    <t>MARY NICHOLS</t>
  </si>
  <si>
    <t>'101212543700</t>
  </si>
  <si>
    <t>CLAUDIA CONTE</t>
  </si>
  <si>
    <t>'101260351600</t>
  </si>
  <si>
    <t>MARILOU RUSIANA</t>
  </si>
  <si>
    <t>'101280490300</t>
  </si>
  <si>
    <t>RICHARD LIEBERT</t>
  </si>
  <si>
    <t>'101298071600</t>
  </si>
  <si>
    <t>RICHARD COMBEN</t>
  </si>
  <si>
    <t>'101301145800</t>
  </si>
  <si>
    <t>JANET WIKERT</t>
  </si>
  <si>
    <t>Aetna MAPD NMO to GMO - 4-1-23+  Replace E-App</t>
  </si>
  <si>
    <t>'101316867900</t>
  </si>
  <si>
    <t>JOHN THORPE</t>
  </si>
  <si>
    <t>'101337869700</t>
  </si>
  <si>
    <t>ELIZABE LIEBERT</t>
  </si>
  <si>
    <t>'101338772600</t>
  </si>
  <si>
    <t>NANCY WONG</t>
  </si>
  <si>
    <t>'101351768100</t>
  </si>
  <si>
    <t>EVELYN GRIFFITHS</t>
  </si>
  <si>
    <t>'101368023800</t>
  </si>
  <si>
    <t>DEAN REED</t>
  </si>
  <si>
    <t>'101375450100</t>
  </si>
  <si>
    <t>GORDON SINCLAIR</t>
  </si>
  <si>
    <t>'101388566000</t>
  </si>
  <si>
    <t>ROBERT HNAT</t>
  </si>
  <si>
    <t>'101453387000</t>
  </si>
  <si>
    <t>SANDRA POPINSKI</t>
  </si>
  <si>
    <t>'101453389700</t>
  </si>
  <si>
    <t>GARY SCHMIEDECKE</t>
  </si>
  <si>
    <t>'101458074100</t>
  </si>
  <si>
    <t>FRANK BUCK</t>
  </si>
  <si>
    <t>FL</t>
  </si>
  <si>
    <t>'101458682200</t>
  </si>
  <si>
    <t>DEBRA BARRALL</t>
  </si>
  <si>
    <t>'101458763400</t>
  </si>
  <si>
    <t>TIMOTHY CRIDER</t>
  </si>
  <si>
    <t>'101470696800</t>
  </si>
  <si>
    <t>SHARON OESTERLING</t>
  </si>
  <si>
    <t>'101471660500</t>
  </si>
  <si>
    <t>JOANNE BAPTISTE</t>
  </si>
  <si>
    <t>'101471707600</t>
  </si>
  <si>
    <t>DARLENE STRAMA</t>
  </si>
  <si>
    <t>'101471757300</t>
  </si>
  <si>
    <t>LON OESTERLING</t>
  </si>
  <si>
    <t>'101472308200</t>
  </si>
  <si>
    <t>JOAN PARK</t>
  </si>
  <si>
    <t>'101472627800</t>
  </si>
  <si>
    <t>ROBERT PARK</t>
  </si>
  <si>
    <t>'101473096300</t>
  </si>
  <si>
    <t>CHERYL TOOMEY</t>
  </si>
  <si>
    <t>'101473158500</t>
  </si>
  <si>
    <t>THOMAS PERRY</t>
  </si>
  <si>
    <t>'101473461600</t>
  </si>
  <si>
    <t>CHERYL TURNER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</si>
  <si>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</si>
  <si>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</si>
  <si>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</si>
  <si>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</si>
  <si>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</si>
  <si>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</si>
  <si>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</si>
  <si>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</si>
  <si>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</si>
  <si>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</si>
  <si>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</si>
  <si>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</si>
  <si>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</si>
  <si>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</si>
  <si>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</si>
  <si>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</si>
  <si>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'101477828300</t>
  </si>
  <si>
    <t>JAMES NORTON</t>
  </si>
  <si>
    <t>'101481629800</t>
  </si>
  <si>
    <t>STACEY GORSKI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</si>
  <si>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</si>
  <si>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</si>
  <si>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</si>
  <si>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</si>
  <si>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</si>
  <si>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</si>
  <si>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'101488727700</t>
  </si>
  <si>
    <t>GEORGE SHAFFER</t>
  </si>
  <si>
    <t>'101494501900</t>
  </si>
  <si>
    <t>JOHN MORRISON</t>
  </si>
  <si>
    <t>'043786</t>
  </si>
  <si>
    <t>MARGARET SMITH</t>
  </si>
  <si>
    <t>'101495427300</t>
  </si>
  <si>
    <t>HOBART KENTON</t>
  </si>
  <si>
    <t>'101495460400</t>
  </si>
  <si>
    <t>EUNICE KENTON</t>
  </si>
  <si>
    <t>'101500561700</t>
  </si>
  <si>
    <t>DARCEE BOWSER</t>
  </si>
  <si>
    <t>'101502394600</t>
  </si>
  <si>
    <t>RONALD PARKER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</si>
  <si>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</si>
  <si>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</si>
  <si>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</si>
  <si>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</si>
  <si>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</si>
  <si>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</si>
  <si>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</si>
  <si>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</si>
  <si>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'101508874400</t>
  </si>
  <si>
    <t>ROBIN GALL</t>
  </si>
  <si>
    <t>'101515257200</t>
  </si>
  <si>
    <t>JAMES FAGAN</t>
  </si>
  <si>
    <t>'101519777300</t>
  </si>
  <si>
    <t>ANNA PAPA</t>
  </si>
  <si>
    <t>'101520044500</t>
  </si>
  <si>
    <t>DAVENA HOPSON</t>
  </si>
  <si>
    <t>'101520916200</t>
  </si>
  <si>
    <t>GERALD BRNA</t>
  </si>
  <si>
    <t>'101526780400</t>
  </si>
  <si>
    <t>DONALD MCCLOSKEY</t>
  </si>
  <si>
    <t>'101531379400</t>
  </si>
  <si>
    <t>KENNETH TROUP</t>
  </si>
  <si>
    <t>'101533325800</t>
  </si>
  <si>
    <t>SUSAN CUPPS</t>
  </si>
  <si>
    <t>'101534378900</t>
  </si>
  <si>
    <t>JOLINDA DOUTHETT</t>
  </si>
  <si>
    <t>'101537242400</t>
  </si>
  <si>
    <t>GREGORY FERDINANDSEN</t>
  </si>
  <si>
    <t>'101545020000</t>
  </si>
  <si>
    <t>TERRY NEY</t>
  </si>
  <si>
    <t>OH</t>
  </si>
  <si>
    <t>'101545532600</t>
  </si>
  <si>
    <t>PEGGY ROCCO</t>
  </si>
  <si>
    <t>'101546683100</t>
  </si>
  <si>
    <t>THOMAS BORCZ</t>
  </si>
  <si>
    <t>'101547081000</t>
  </si>
  <si>
    <t>KIMBERLY SIDLEY</t>
  </si>
  <si>
    <t>'101548751600</t>
  </si>
  <si>
    <t>TIMOTHY FLANIGAN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</si>
  <si>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</si>
  <si>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</si>
  <si>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</si>
  <si>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</si>
  <si>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</si>
  <si>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</si>
  <si>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</si>
  <si>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</si>
  <si>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</si>
  <si>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</si>
  <si>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'101550554800</t>
  </si>
  <si>
    <t>JEFFREY EDWARDS</t>
  </si>
  <si>
    <t>'101551336000</t>
  </si>
  <si>
    <t>LINDA CARSON</t>
  </si>
  <si>
    <t>'101554033600</t>
  </si>
  <si>
    <t>EARL CHRISTY</t>
  </si>
  <si>
    <t>'101555784700</t>
  </si>
  <si>
    <t>EUGENE EVANS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</si>
  <si>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</si>
  <si>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</si>
  <si>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</si>
  <si>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</si>
  <si>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</si>
  <si>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</si>
  <si>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</si>
  <si>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</si>
  <si>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</si>
  <si>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</si>
  <si>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'101562443500</t>
  </si>
  <si>
    <t>LISA MAJESKY</t>
  </si>
  <si>
    <t>'101564021500</t>
  </si>
  <si>
    <t>SHIRLEY ERWIN</t>
  </si>
  <si>
    <t>'101564541800</t>
  </si>
  <si>
    <t>GERALD CUPPS</t>
  </si>
  <si>
    <t>'101565188200</t>
  </si>
  <si>
    <t>PATRICIA CHAFFIN</t>
  </si>
  <si>
    <t>'101565317500</t>
  </si>
  <si>
    <t>JANICE DEMARTINI</t>
  </si>
  <si>
    <t>'101565368600</t>
  </si>
  <si>
    <t>RONALD THOMPSON</t>
  </si>
  <si>
    <t>'101565683600</t>
  </si>
  <si>
    <t>HOWARD KAMERER</t>
  </si>
  <si>
    <t>'101568867100</t>
  </si>
  <si>
    <t>STEVEN NAPOLETAN</t>
  </si>
  <si>
    <t>'101581399800</t>
  </si>
  <si>
    <t>CHARLES JORDAN</t>
  </si>
  <si>
    <t>'101583947600</t>
  </si>
  <si>
    <t>KAREN KROPF</t>
  </si>
  <si>
    <t>'101585746700</t>
  </si>
  <si>
    <t>JANET PARKER</t>
  </si>
  <si>
    <t>'101603418900</t>
  </si>
  <si>
    <t>STACY NEMETH</t>
  </si>
  <si>
    <t>'101617531200</t>
  </si>
  <si>
    <t>WILLIAM MAURICE</t>
  </si>
  <si>
    <t>'101619192600</t>
  </si>
  <si>
    <t>KIMBERLY COBLENTZ</t>
  </si>
  <si>
    <t>'101625868700</t>
  </si>
  <si>
    <t>LEONA PIERREL</t>
  </si>
  <si>
    <t>'101625894300</t>
  </si>
  <si>
    <t>SANDRA MONTGOMERY</t>
  </si>
  <si>
    <t>'101626027800</t>
  </si>
  <si>
    <t>THOMAS MCCOMMON</t>
  </si>
  <si>
    <t>'101626129100</t>
  </si>
  <si>
    <t>RICHARD HOLSTINE</t>
  </si>
  <si>
    <t>'101626199000</t>
  </si>
  <si>
    <t>JOSEPH PIERREL</t>
  </si>
  <si>
    <t>'101626483300</t>
  </si>
  <si>
    <t>JANINE POLKY</t>
  </si>
  <si>
    <t>'101626512800</t>
  </si>
  <si>
    <t>MICHAEL MONTGOMERY</t>
  </si>
  <si>
    <t>'101628755300</t>
  </si>
  <si>
    <t>ALAN BEBLO</t>
  </si>
  <si>
    <t>'101628951400</t>
  </si>
  <si>
    <t>SUZEE BEBLO</t>
  </si>
  <si>
    <t>'101645477500</t>
  </si>
  <si>
    <t>MICHAEL OWENS</t>
  </si>
  <si>
    <t>'101645612000</t>
  </si>
  <si>
    <t>NICHOLAS BURKA</t>
  </si>
  <si>
    <t>'101685445600</t>
  </si>
  <si>
    <t>DAVID PARSONS</t>
  </si>
  <si>
    <t>'101685446200</t>
  </si>
  <si>
    <t>PATRICIA RUTKOSKI</t>
  </si>
  <si>
    <t>'101686775500</t>
  </si>
  <si>
    <t>DONALD OLMSTEAD</t>
  </si>
  <si>
    <t>'101689246200</t>
  </si>
  <si>
    <t>TIMOTHY PHIPPS</t>
  </si>
  <si>
    <t>'101689670100</t>
  </si>
  <si>
    <t>ROBERT EMIGH</t>
  </si>
  <si>
    <t>'101693064700</t>
  </si>
  <si>
    <t>WILLIAM HARTSHORN</t>
  </si>
  <si>
    <t>'101694605000</t>
  </si>
  <si>
    <t>PATRICIA WILLIAMS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</si>
  <si>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</si>
  <si>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</si>
  <si>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</si>
  <si>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</si>
  <si>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</si>
  <si>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</si>
  <si>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</si>
  <si>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</si>
  <si>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'101705440500</t>
  </si>
  <si>
    <t>THOMAS CLAY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</si>
  <si>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</si>
  <si>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</si>
  <si>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</si>
  <si>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</si>
  <si>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</si>
  <si>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</si>
  <si>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</si>
  <si>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</si>
  <si>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'101709439700</t>
  </si>
  <si>
    <t>NANCY MCKEE</t>
  </si>
  <si>
    <t>'101720743300</t>
  </si>
  <si>
    <t>LORI RANDALL</t>
  </si>
  <si>
    <t>'101785684000</t>
  </si>
  <si>
    <t>VIDALES VILLA</t>
  </si>
  <si>
    <t>OK</t>
  </si>
  <si>
    <t>'101825784200PC</t>
  </si>
  <si>
    <t>JULIE HUFF</t>
  </si>
  <si>
    <t>Aetna NEG Bonus Upload 09-15-2025.xlsx</t>
  </si>
  <si>
    <t>'101857276600</t>
  </si>
  <si>
    <t>PATRICIA BYRD</t>
  </si>
  <si>
    <t>'101857371800</t>
  </si>
  <si>
    <t>JAMES FILITTO</t>
  </si>
  <si>
    <t>'101872588800</t>
  </si>
  <si>
    <t>RONALD DUESENBERRY</t>
  </si>
  <si>
    <t>'101953198300</t>
  </si>
  <si>
    <t>MARIAN YUROSKY</t>
  </si>
  <si>
    <t>'101987999900</t>
  </si>
  <si>
    <t>JULIA ROSS</t>
  </si>
  <si>
    <t>NC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</si>
  <si>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</si>
  <si>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</si>
  <si>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</si>
  <si>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</si>
  <si>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</si>
  <si>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</si>
  <si>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</si>
  <si>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</si>
  <si>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</si>
  <si>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</si>
  <si>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</si>
  <si>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</si>
  <si>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</si>
  <si>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</si>
  <si>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</si>
  <si>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</si>
  <si>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</si>
  <si>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</si>
  <si>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</si>
  <si>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</si>
  <si>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</si>
  <si>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</si>
  <si>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</si>
  <si>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</si>
  <si>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</si>
  <si>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</si>
  <si>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</si>
  <si>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</si>
  <si>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</si>
  <si>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</si>
  <si>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</si>
  <si>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</si>
  <si>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</si>
  <si>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</si>
  <si>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</si>
  <si>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</si>
  <si>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</si>
  <si>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</si>
  <si>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</si>
  <si>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</si>
  <si>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</si>
  <si>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</si>
  <si>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</si>
  <si>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</si>
  <si>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</si>
  <si>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</si>
  <si>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</si>
  <si>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</si>
  <si>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</si>
  <si>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</si>
  <si>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</si>
  <si>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</si>
  <si>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</si>
  <si>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</si>
  <si>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</si>
  <si>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</si>
  <si>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</si>
  <si>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</si>
  <si>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</si>
  <si>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</si>
  <si>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</si>
  <si>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</si>
  <si>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</si>
  <si>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</si>
  <si>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</si>
  <si>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</si>
  <si>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</si>
  <si>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</si>
  <si>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</si>
  <si>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</si>
  <si>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</si>
  <si>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</si>
  <si>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</si>
  <si>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</si>
  <si>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</si>
  <si>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</si>
  <si>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</si>
  <si>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</si>
  <si>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</si>
  <si>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</si>
  <si>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</si>
  <si>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</si>
  <si>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</si>
  <si>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</si>
  <si>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</si>
  <si>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</si>
  <si>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</si>
  <si>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</si>
  <si>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</si>
  <si>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</si>
  <si>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</si>
  <si>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</si>
  <si>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</si>
  <si>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</si>
  <si>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</si>
  <si>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</si>
  <si>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</si>
  <si>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</si>
  <si>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</si>
  <si>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</si>
  <si>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</si>
  <si>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</si>
  <si>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</si>
  <si>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</si>
  <si>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</si>
  <si>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</si>
  <si>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</si>
  <si>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</si>
  <si>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</si>
  <si>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</si>
  <si>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</si>
  <si>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</si>
  <si>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</si>
  <si>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</si>
  <si>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</si>
  <si>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</si>
  <si>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</si>
  <si>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</si>
  <si>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</si>
  <si>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</si>
  <si>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</si>
  <si>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</si>
  <si>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</si>
  <si>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</si>
  <si>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</si>
  <si>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</si>
  <si>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</si>
  <si>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</si>
  <si>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</si>
  <si>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</si>
  <si>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</si>
  <si>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</si>
  <si>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</si>
  <si>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</si>
  <si>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</si>
  <si>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</si>
  <si>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</si>
  <si>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</si>
  <si>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</si>
  <si>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</si>
  <si>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</si>
  <si>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</si>
  <si>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</si>
  <si>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'102044738100</t>
  </si>
  <si>
    <t>SUSAN HOEPPNER</t>
  </si>
  <si>
    <t>TN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</si>
  <si>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</si>
  <si>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</si>
  <si>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</si>
  <si>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</si>
  <si>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</si>
  <si>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</si>
  <si>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</si>
  <si>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</si>
  <si>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</si>
  <si>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</si>
  <si>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</si>
  <si>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</si>
  <si>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</si>
  <si>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</si>
  <si>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</si>
  <si>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</si>
  <si>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</si>
  <si>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</si>
  <si>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</si>
  <si>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</si>
  <si>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</si>
  <si>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</si>
  <si>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</si>
  <si>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</si>
  <si>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</si>
  <si>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</si>
  <si>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</si>
  <si>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</si>
  <si>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</si>
  <si>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</si>
  <si>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</si>
  <si>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</si>
  <si>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</si>
  <si>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</si>
  <si>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</si>
  <si>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</si>
  <si>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</si>
  <si>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</si>
  <si>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</si>
  <si>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</si>
  <si>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</si>
  <si>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</si>
  <si>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</si>
  <si>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</si>
  <si>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</si>
  <si>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</si>
  <si>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</si>
  <si>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</si>
  <si>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</si>
  <si>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</si>
  <si>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</si>
  <si>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</si>
  <si>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</si>
  <si>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</si>
  <si>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</si>
  <si>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</si>
  <si>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</si>
  <si>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</si>
  <si>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</si>
  <si>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</si>
  <si>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</si>
  <si>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</si>
  <si>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</si>
  <si>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</si>
  <si>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</si>
  <si>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</si>
  <si>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</si>
  <si>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</si>
  <si>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</si>
  <si>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</si>
  <si>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</si>
  <si>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'102058131300</t>
  </si>
  <si>
    <t>BANK JANI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</si>
  <si>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</si>
  <si>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</si>
  <si>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</si>
  <si>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</si>
  <si>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</si>
  <si>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</si>
  <si>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</si>
  <si>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</si>
  <si>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</si>
  <si>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</si>
  <si>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</si>
  <si>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</si>
  <si>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</si>
  <si>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</si>
  <si>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</si>
  <si>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</si>
  <si>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</si>
  <si>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</si>
  <si>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</si>
  <si>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</si>
  <si>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</si>
  <si>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</si>
  <si>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</si>
  <si>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</si>
  <si>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</si>
  <si>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</si>
  <si>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</si>
  <si>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</si>
  <si>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</si>
  <si>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</si>
  <si>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</si>
  <si>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</si>
  <si>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</si>
  <si>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</si>
  <si>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</si>
  <si>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</si>
  <si>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</si>
  <si>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</si>
  <si>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</si>
  <si>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</si>
  <si>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</si>
  <si>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</si>
  <si>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</si>
  <si>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</si>
  <si>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</si>
  <si>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</si>
  <si>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</si>
  <si>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</si>
  <si>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</si>
  <si>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</si>
  <si>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</si>
  <si>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</si>
  <si>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</si>
  <si>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'102066402500</t>
  </si>
  <si>
    <t>NAOMI SHERIDAN SALMAN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</si>
  <si>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</si>
  <si>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</si>
  <si>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</si>
  <si>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</si>
  <si>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</si>
  <si>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</si>
  <si>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</si>
  <si>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</si>
  <si>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</si>
  <si>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</si>
  <si>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</si>
  <si>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</si>
  <si>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</si>
  <si>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</si>
  <si>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</si>
  <si>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</si>
  <si>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</si>
  <si>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</si>
  <si>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</si>
  <si>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</si>
  <si>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</si>
  <si>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</si>
  <si>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MD</t>
  </si>
  <si>
    <t>'102078192100</t>
  </si>
  <si>
    <t>TERESE PINTA</t>
  </si>
  <si>
    <t>WI</t>
  </si>
  <si>
    <t>'043644</t>
  </si>
  <si>
    <t>TIMOTHY HODGMAN</t>
  </si>
  <si>
    <t>'102078822400</t>
  </si>
  <si>
    <t>LAURALEE BEERMAN</t>
  </si>
  <si>
    <t>'102079442100</t>
  </si>
  <si>
    <t>SCOTT DOLGE</t>
  </si>
  <si>
    <t>'102079872100</t>
  </si>
  <si>
    <t>JAMES RAUSCH</t>
  </si>
  <si>
    <t>'102081559700</t>
  </si>
  <si>
    <t>GLORIA MARSHALL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</si>
  <si>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</si>
  <si>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</si>
  <si>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</si>
  <si>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</si>
  <si>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</si>
  <si>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</si>
  <si>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</si>
  <si>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</si>
  <si>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</si>
  <si>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</si>
  <si>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</si>
  <si>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</si>
  <si>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</si>
  <si>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</si>
  <si>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</si>
  <si>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</si>
  <si>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</si>
  <si>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</si>
  <si>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</si>
  <si>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</si>
  <si>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</si>
  <si>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</si>
  <si>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</si>
  <si>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</si>
  <si>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</si>
  <si>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</si>
  <si>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</si>
  <si>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</si>
  <si>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'102131626700</t>
  </si>
  <si>
    <t>LIZA LACOSTA</t>
  </si>
  <si>
    <t>'043690</t>
  </si>
  <si>
    <t>THOMAS KUCAN</t>
  </si>
  <si>
    <t>'130273314</t>
  </si>
  <si>
    <t>LENDAYSHA TAYLOR</t>
  </si>
  <si>
    <t>'045627</t>
  </si>
  <si>
    <t>CATHY LEMON</t>
  </si>
  <si>
    <t>UHC MAPD Street payable to upline - 2024 New</t>
  </si>
  <si>
    <t>Per AUG 2025 UHC LOAStmt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</si>
  <si>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</si>
  <si>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</si>
  <si>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</si>
  <si>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</si>
  <si>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</si>
  <si>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</si>
  <si>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</si>
  <si>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</si>
  <si>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</si>
  <si>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</si>
  <si>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'140W10931</t>
  </si>
  <si>
    <t>SANDRA WHITT</t>
  </si>
  <si>
    <t>'045712</t>
  </si>
  <si>
    <t>GREGORY HANSFORD</t>
  </si>
  <si>
    <t>Anthem MA 2025</t>
  </si>
  <si>
    <t>Per Anthem_Elevance HFG RN AUG stmt</t>
  </si>
  <si>
    <t>'283W17578</t>
  </si>
  <si>
    <t>STEPHEN PERRENOUD</t>
  </si>
  <si>
    <t>'614W13756</t>
  </si>
  <si>
    <t>DYWANNA CALLOWAY</t>
  </si>
  <si>
    <t>Anthem MA 2023</t>
  </si>
  <si>
    <t>'829W21544</t>
  </si>
  <si>
    <t>MICHAEL SOLL</t>
  </si>
  <si>
    <t>'8JY2HT0WT21</t>
  </si>
  <si>
    <t>EDWARDO ESTRADA</t>
  </si>
  <si>
    <t>'043845</t>
  </si>
  <si>
    <t>LANEECE WHITE</t>
  </si>
  <si>
    <t>Wellcare MA 2025 SGA</t>
  </si>
  <si>
    <t>Per WC HFG AUG 2025 MA Stmt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</si>
  <si>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</si>
  <si>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</si>
  <si>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</si>
  <si>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</si>
  <si>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</si>
  <si>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</si>
  <si>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'920223192</t>
  </si>
  <si>
    <t>JANICE PLAISTED</t>
  </si>
  <si>
    <t>UHC MA Direct 2024 New Initial Prorated</t>
  </si>
  <si>
    <t>'948W21216</t>
  </si>
  <si>
    <t>RICHARD LOWRY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</si>
  <si>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</si>
  <si>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</si>
  <si>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</si>
  <si>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</si>
  <si>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</si>
  <si>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</si>
  <si>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</si>
  <si>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</si>
  <si>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</si>
  <si>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</si>
  <si>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</si>
  <si>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'991398727</t>
  </si>
  <si>
    <t>DIANA BOLTON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</si>
  <si>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</si>
  <si>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</si>
  <si>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</si>
  <si>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</si>
  <si>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</si>
  <si>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</si>
  <si>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</si>
  <si>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</si>
  <si>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</si>
  <si>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</si>
  <si>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</si>
  <si>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</si>
  <si>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</si>
  <si>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'A03722685</t>
  </si>
  <si>
    <t>KATHY SHELDON</t>
  </si>
  <si>
    <t>UHC AARP Med Supp PA Area 3 2024- Plan  BC F G internal repl</t>
  </si>
  <si>
    <t>Per AUG 2025 UHC AARP Stmt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</si>
  <si>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</si>
  <si>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</si>
  <si>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</si>
  <si>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</si>
  <si>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</si>
  <si>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</si>
  <si>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</si>
  <si>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</si>
  <si>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</si>
  <si>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</si>
  <si>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</si>
  <si>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</si>
  <si>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</si>
  <si>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</si>
  <si>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OR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</si>
  <si>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</si>
  <si>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</si>
  <si>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</si>
  <si>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</si>
  <si>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</si>
  <si>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</si>
  <si>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</si>
  <si>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</si>
  <si>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</si>
  <si>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</si>
  <si>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</si>
  <si>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</si>
  <si>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</si>
  <si>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</si>
  <si>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</si>
  <si>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</si>
  <si>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</si>
  <si>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</si>
  <si>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</si>
  <si>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</si>
  <si>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KY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</si>
  <si>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</si>
  <si>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</si>
  <si>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</si>
  <si>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</si>
  <si>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</si>
  <si>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</si>
  <si>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</si>
  <si>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</si>
  <si>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</si>
  <si>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</si>
  <si>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</si>
  <si>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</si>
  <si>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</si>
  <si>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</si>
  <si>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</si>
  <si>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</si>
  <si>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</si>
  <si>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</si>
  <si>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</si>
  <si>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</si>
  <si>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</si>
  <si>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</si>
  <si>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</si>
  <si>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</si>
  <si>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'A04135901</t>
  </si>
  <si>
    <t>CHRISTINE TILTZ</t>
  </si>
  <si>
    <t>'A04137015</t>
  </si>
  <si>
    <t>SANDRA MONDEK</t>
  </si>
  <si>
    <t>'A04137342</t>
  </si>
  <si>
    <t>RAYMOND OCHROMOWICZ</t>
  </si>
  <si>
    <t>'A04137828</t>
  </si>
  <si>
    <t>MATTHEW MONDEK</t>
  </si>
  <si>
    <t>'A04150520</t>
  </si>
  <si>
    <t>ELIZABETH RICE</t>
  </si>
  <si>
    <t>NB</t>
  </si>
  <si>
    <t>'443036276</t>
  </si>
  <si>
    <t>CHRISTOPHER ROLAND</t>
  </si>
  <si>
    <t>UHC DVH 1000/DVH 1000 Plus 2025</t>
  </si>
  <si>
    <t>'00018492763K</t>
  </si>
  <si>
    <t>DEBBIE MCKAY</t>
  </si>
  <si>
    <t>'00020774853K</t>
  </si>
  <si>
    <t>WALTER ANDRADE GOMEZ</t>
  </si>
  <si>
    <t>'00023618424K</t>
  </si>
  <si>
    <t>LARRY ARCHINAL</t>
  </si>
  <si>
    <t>'00023618508KPDP</t>
  </si>
  <si>
    <t>AMY TOMEY</t>
  </si>
  <si>
    <t>'045937</t>
  </si>
  <si>
    <t>MARSHA SANDEROCK</t>
  </si>
  <si>
    <t>Humana PDP 2019+ Level 15- 15/0</t>
  </si>
  <si>
    <t>'00023618712KPDP</t>
  </si>
  <si>
    <t>LINDA CRITSER</t>
  </si>
  <si>
    <t>'00023621536K</t>
  </si>
  <si>
    <t>JOHN MENDENHALL</t>
  </si>
  <si>
    <t>LA</t>
  </si>
  <si>
    <t>'00023622344K</t>
  </si>
  <si>
    <t>WILLIAM YOUNG</t>
  </si>
  <si>
    <t>'00023622537K</t>
  </si>
  <si>
    <t>DONALD SCHILL</t>
  </si>
  <si>
    <t>'00023623847K</t>
  </si>
  <si>
    <t>JOYCE COLBY</t>
  </si>
  <si>
    <t>'00023626937K</t>
  </si>
  <si>
    <t>KEVIN LUKSIK</t>
  </si>
  <si>
    <t>'00023626943K</t>
  </si>
  <si>
    <t>KURT RINKER</t>
  </si>
  <si>
    <t>'00023627144K</t>
  </si>
  <si>
    <t>LISA AURAND</t>
  </si>
  <si>
    <t>'00023631968K</t>
  </si>
  <si>
    <t>GLENN WILKE</t>
  </si>
  <si>
    <t>'00023634221K</t>
  </si>
  <si>
    <t>JOHN FOOTS</t>
  </si>
  <si>
    <t>'00023635595K</t>
  </si>
  <si>
    <t>JOHN ROKEN</t>
  </si>
  <si>
    <t>'101825784200</t>
  </si>
  <si>
    <t>4/12 PRORATE</t>
  </si>
  <si>
    <t>'101948431000</t>
  </si>
  <si>
    <t>EDMUND DIGIULIO</t>
  </si>
  <si>
    <t>'102192327300</t>
  </si>
  <si>
    <t>MARK DYE</t>
  </si>
  <si>
    <t>'045684</t>
  </si>
  <si>
    <t>JILL SHEPARD</t>
  </si>
  <si>
    <t>2/12 PRORATE</t>
  </si>
  <si>
    <t>'102192330700</t>
  </si>
  <si>
    <t>LEE BABIC</t>
  </si>
  <si>
    <t>'102193141200</t>
  </si>
  <si>
    <t>JANE GOLD</t>
  </si>
  <si>
    <t>'043832</t>
  </si>
  <si>
    <t>CAROL FRITZ</t>
  </si>
  <si>
    <t>'102193288000</t>
  </si>
  <si>
    <t>MICHAEL GRASSIA</t>
  </si>
  <si>
    <t>'043867</t>
  </si>
  <si>
    <t>RYAN STOCKER</t>
  </si>
  <si>
    <t>'102193378500</t>
  </si>
  <si>
    <t>CURT HAGEMEIER</t>
  </si>
  <si>
    <t>3/12 PRORATE</t>
  </si>
  <si>
    <t>'102193425800</t>
  </si>
  <si>
    <t>KAREN MCFADDEN</t>
  </si>
  <si>
    <t>'102193606100</t>
  </si>
  <si>
    <t>ELIZABETH JONES</t>
  </si>
  <si>
    <t>1/12 PRORATE</t>
  </si>
  <si>
    <t>'18R5U3H94</t>
  </si>
  <si>
    <t>LUCYANN GREGGO</t>
  </si>
  <si>
    <t>Cigna MAPD FMO to GA 1-1-19+ - New</t>
  </si>
  <si>
    <t>'32F8A3X71</t>
  </si>
  <si>
    <t>DAVID ARMS</t>
  </si>
  <si>
    <t>'35X3H1X41</t>
  </si>
  <si>
    <t>KATHLEEN PEERA</t>
  </si>
  <si>
    <t>'36F8L5X89</t>
  </si>
  <si>
    <t>RAY STOVALL</t>
  </si>
  <si>
    <t>'59H7H1X37</t>
  </si>
  <si>
    <t>ADOLFO ARTEAGA CARRILLO</t>
  </si>
  <si>
    <t>'902277837</t>
  </si>
  <si>
    <t>PEGGY LANG</t>
  </si>
  <si>
    <t>UHC MAPD Street payable to upline- 2025 Replace</t>
  </si>
  <si>
    <t>'902277837OV</t>
  </si>
  <si>
    <t>UHC MA Direct 2025 New Initial Prorated</t>
  </si>
  <si>
    <t>'938197847</t>
  </si>
  <si>
    <t>GEORGE LANG</t>
  </si>
  <si>
    <t>'938197847OV</t>
  </si>
  <si>
    <t>UHC MA Direct 2025 New Full</t>
  </si>
  <si>
    <t>'960245270</t>
  </si>
  <si>
    <t>MARSHA KURTH</t>
  </si>
  <si>
    <t>10/12 PRORATE</t>
  </si>
  <si>
    <t>'A04320148</t>
  </si>
  <si>
    <t>UHC AARP Med Supp 2025+ IN All Plans</t>
  </si>
  <si>
    <t>'A04326234</t>
  </si>
  <si>
    <t>RHONDA HARRIS</t>
  </si>
  <si>
    <t>'A04327352</t>
  </si>
  <si>
    <t>LINDA TREADWAY</t>
  </si>
  <si>
    <t>'A04327478</t>
  </si>
  <si>
    <t>JUSTIN TREADWAY</t>
  </si>
  <si>
    <t>'A04329303</t>
  </si>
  <si>
    <t>'A04329571</t>
  </si>
  <si>
    <t>RICHARD IRWIN</t>
  </si>
  <si>
    <t>UHC AARP Med Supp 2025+ IL Area 2 Plan B C F G</t>
  </si>
  <si>
    <t>'A04330529</t>
  </si>
  <si>
    <t>DAVID WALDEN</t>
  </si>
  <si>
    <t>'A04330623</t>
  </si>
  <si>
    <t>SOCORRO LOPEZ</t>
  </si>
  <si>
    <t>'043718</t>
  </si>
  <si>
    <t>CHAD YALE</t>
  </si>
  <si>
    <t>UHC AARP Med Supp 2025+ TX Area 2 Plan B C F G</t>
  </si>
  <si>
    <t>'A04331269</t>
  </si>
  <si>
    <t>ROBIN FEATHERCASTRIANO</t>
  </si>
  <si>
    <t>UHC AARP Med Supp 2025+ IL Area 1 Plan B C F G</t>
  </si>
  <si>
    <t>CB</t>
  </si>
  <si>
    <t>'00018927296KPC</t>
  </si>
  <si>
    <t>VALERIE MILLER</t>
  </si>
  <si>
    <t>CHARGEBACK</t>
  </si>
  <si>
    <t>'00019922531KPC</t>
  </si>
  <si>
    <t>JAMES PRICE</t>
  </si>
  <si>
    <t>'043739</t>
  </si>
  <si>
    <t>ANDREA PETRUNGARO</t>
  </si>
  <si>
    <t>'101825784200CB</t>
  </si>
  <si>
    <t>'102091967400PC</t>
  </si>
  <si>
    <t>LITHIA PAVALON</t>
  </si>
  <si>
    <t>'102137272900PC</t>
  </si>
  <si>
    <t>JOHN GALIOTO</t>
  </si>
  <si>
    <t>'992296804OVPC</t>
  </si>
  <si>
    <t>JIMMIE PERKINS</t>
  </si>
  <si>
    <t>'992296804PC</t>
  </si>
  <si>
    <t>UHC MAPD Street payable to upline- 2025 Pro New</t>
  </si>
  <si>
    <t>00000076874F</t>
  </si>
  <si>
    <t>00001672119K</t>
  </si>
  <si>
    <t>00010066661K</t>
  </si>
  <si>
    <t>00011182221K</t>
  </si>
  <si>
    <t>00011519472K</t>
  </si>
  <si>
    <t>00012290150KPC</t>
  </si>
  <si>
    <t>00013131759K</t>
  </si>
  <si>
    <t>00017505325K</t>
  </si>
  <si>
    <t>00017632868K</t>
  </si>
  <si>
    <t>00018671925K</t>
  </si>
  <si>
    <t>00020054580K</t>
  </si>
  <si>
    <t>00020054580KOV</t>
  </si>
  <si>
    <t>00020195670K</t>
  </si>
  <si>
    <t>00021641743K</t>
  </si>
  <si>
    <t>00021686716K</t>
  </si>
  <si>
    <t>00021695147K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</si>
  <si>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</si>
  <si>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</si>
  <si>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</si>
  <si>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</si>
  <si>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</si>
  <si>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</si>
  <si>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</si>
  <si>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</t>
  </si>
  <si>
    <t>00021812164KOV</t>
  </si>
  <si>
    <t>00021819613K</t>
  </si>
  <si>
    <t>00021819613KOV</t>
  </si>
  <si>
    <t>00021836561K</t>
  </si>
  <si>
    <t>00021836561KOV</t>
  </si>
  <si>
    <t>00021836597K</t>
  </si>
  <si>
    <t>00021836597KOV</t>
  </si>
  <si>
    <t>00021852153K</t>
  </si>
  <si>
    <t>00021852153KOV</t>
  </si>
  <si>
    <t>00021853327K</t>
  </si>
  <si>
    <t>00021853327KOV</t>
  </si>
  <si>
    <t>00021853815K</t>
  </si>
  <si>
    <t>00021853815KOV</t>
  </si>
  <si>
    <t>00021859258K</t>
  </si>
  <si>
    <t>00021859258KOV</t>
  </si>
  <si>
    <t>00021865984K</t>
  </si>
  <si>
    <t>00021865984KOV</t>
  </si>
  <si>
    <t>00021876313K</t>
  </si>
  <si>
    <t>00021876763K</t>
  </si>
  <si>
    <t>00021878864K</t>
  </si>
  <si>
    <t>00021881964K</t>
  </si>
  <si>
    <t>00021882434K</t>
  </si>
  <si>
    <t>00021882434KOV</t>
  </si>
  <si>
    <t>00021883797K</t>
  </si>
  <si>
    <t>00021883866K</t>
  </si>
  <si>
    <t>00021884516K</t>
  </si>
  <si>
    <t>00021884516KOV</t>
  </si>
  <si>
    <t>00021892187K</t>
  </si>
  <si>
    <t>00021895596K</t>
  </si>
  <si>
    <t>00021895977K</t>
  </si>
  <si>
    <t>00021895977KOV</t>
  </si>
  <si>
    <t>00021906634K</t>
  </si>
  <si>
    <t>00021908647K</t>
  </si>
  <si>
    <t>00021915889K</t>
  </si>
  <si>
    <t>00021917176K</t>
  </si>
  <si>
    <t>00021917176KOV</t>
  </si>
  <si>
    <t>00021918216K</t>
  </si>
  <si>
    <t>00021920479K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</si>
  <si>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</si>
  <si>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</si>
  <si>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</si>
  <si>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</si>
  <si>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</si>
  <si>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</si>
  <si>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</si>
  <si>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</si>
  <si>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</si>
  <si>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</si>
  <si>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00021973839K</t>
  </si>
  <si>
    <t>00021973839KOV</t>
  </si>
  <si>
    <t>00021996169K</t>
  </si>
  <si>
    <t>00021999707K</t>
  </si>
  <si>
    <t>00022004915K</t>
  </si>
  <si>
    <t>00022004915KOV</t>
  </si>
  <si>
    <t>00022011876K</t>
  </si>
  <si>
    <t>00022014220K</t>
  </si>
  <si>
    <t>00022021737K</t>
  </si>
  <si>
    <t>00022023339K</t>
  </si>
  <si>
    <t>00022025150K</t>
  </si>
  <si>
    <t>00022025150KOV</t>
  </si>
  <si>
    <t>00022026537K</t>
  </si>
  <si>
    <t>00022031158K</t>
  </si>
  <si>
    <t>00022031158KOV</t>
  </si>
  <si>
    <t>00022032935K</t>
  </si>
  <si>
    <t>00022032935KOV</t>
  </si>
  <si>
    <t>00022033067K</t>
  </si>
  <si>
    <t>00022033172K</t>
  </si>
  <si>
    <t>00022035242K</t>
  </si>
  <si>
    <t>00022035242KOV</t>
  </si>
  <si>
    <t>00022040894K</t>
  </si>
  <si>
    <t>00022040894KOV</t>
  </si>
  <si>
    <t>00022049020K</t>
  </si>
  <si>
    <t>00022052067K</t>
  </si>
  <si>
    <t>00022052067KOV</t>
  </si>
  <si>
    <t>00022063091K</t>
  </si>
  <si>
    <t>00022063543K</t>
  </si>
  <si>
    <t>00022070044K</t>
  </si>
  <si>
    <t>00022074715K</t>
  </si>
  <si>
    <t>00022077041K</t>
  </si>
  <si>
    <t>00022077130K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</si>
  <si>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</si>
  <si>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</si>
  <si>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</si>
  <si>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</si>
  <si>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</si>
  <si>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</si>
  <si>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</si>
  <si>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</si>
  <si>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</si>
  <si>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</si>
  <si>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00022094729K</t>
  </si>
  <si>
    <t>00022094729KOV</t>
  </si>
  <si>
    <t>00022094985K</t>
  </si>
  <si>
    <t>00022094985KOV</t>
  </si>
  <si>
    <t>00022094990K</t>
  </si>
  <si>
    <t>00022095955K</t>
  </si>
  <si>
    <t>00022095955KOV</t>
  </si>
  <si>
    <t>00022096948K</t>
  </si>
  <si>
    <t>00022096948KOV</t>
  </si>
  <si>
    <t>00022097947K</t>
  </si>
  <si>
    <t>00022097947KOV</t>
  </si>
  <si>
    <t>00022106958K</t>
  </si>
  <si>
    <t>00022107554K</t>
  </si>
  <si>
    <t>00022112017K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</si>
  <si>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</si>
  <si>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</si>
  <si>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</si>
  <si>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</si>
  <si>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</si>
  <si>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</si>
  <si>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</si>
  <si>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</si>
  <si>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</si>
  <si>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</si>
  <si>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</si>
  <si>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</si>
  <si>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</si>
  <si>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</si>
  <si>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</si>
  <si>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</si>
  <si>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</si>
  <si>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</si>
  <si>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</si>
  <si>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</si>
  <si>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</si>
  <si>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</si>
  <si>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</si>
  <si>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</si>
  <si>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</si>
  <si>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</si>
  <si>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</si>
  <si>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</si>
  <si>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</si>
  <si>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130273314OV</t>
  </si>
  <si>
    <t>130524428OV</t>
  </si>
  <si>
    <t>130625781OV</t>
  </si>
  <si>
    <t>140W10931</t>
  </si>
  <si>
    <t>283W17578</t>
  </si>
  <si>
    <t>614W13756</t>
  </si>
  <si>
    <t>829W21544</t>
  </si>
  <si>
    <t>8JY2HT0WT21</t>
  </si>
  <si>
    <t>906051412OV</t>
  </si>
  <si>
    <t>948W21216</t>
  </si>
  <si>
    <t>967561705OV</t>
  </si>
  <si>
    <t>970181792OV</t>
  </si>
  <si>
    <t>981141937OV</t>
  </si>
  <si>
    <t>992088421OV</t>
  </si>
  <si>
    <t>992248315OV</t>
  </si>
  <si>
    <t>992426853OV</t>
  </si>
  <si>
    <t>993708991OV</t>
  </si>
  <si>
    <t>A03722685</t>
  </si>
  <si>
    <t>A03755145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</si>
  <si>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</si>
  <si>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</si>
  <si>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</si>
  <si>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</si>
  <si>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</si>
  <si>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</si>
  <si>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</si>
  <si>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</si>
  <si>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</si>
  <si>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</si>
  <si>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</si>
  <si>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</si>
  <si>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</si>
  <si>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A04111744</t>
  </si>
  <si>
    <t>A04112278</t>
  </si>
  <si>
    <t>A04113627</t>
  </si>
  <si>
    <t>A04115541</t>
  </si>
  <si>
    <t>A04120363</t>
  </si>
  <si>
    <t>A04125735</t>
  </si>
  <si>
    <t>A04127140</t>
  </si>
  <si>
    <t>A04127176</t>
  </si>
  <si>
    <t>A04127325</t>
  </si>
  <si>
    <t>A04135901</t>
  </si>
  <si>
    <t>A04137015</t>
  </si>
  <si>
    <t>A04137342</t>
  </si>
  <si>
    <t>A04137828</t>
  </si>
  <si>
    <t>A04150520</t>
  </si>
  <si>
    <t>00018492763K</t>
  </si>
  <si>
    <t>00020774853K</t>
  </si>
  <si>
    <t>00023618424K</t>
  </si>
  <si>
    <t>00023618508KPDP</t>
  </si>
  <si>
    <t>00023618712KPDP</t>
  </si>
  <si>
    <t>00023621536K</t>
  </si>
  <si>
    <t>00023622344K</t>
  </si>
  <si>
    <t>00023622537K</t>
  </si>
  <si>
    <t>00023623847K</t>
  </si>
  <si>
    <t>00023626937K</t>
  </si>
  <si>
    <t>00023626943K</t>
  </si>
  <si>
    <t>00023627144K</t>
  </si>
  <si>
    <t>00023631968K</t>
  </si>
  <si>
    <t>00023634221K</t>
  </si>
  <si>
    <t>00023635595K</t>
  </si>
  <si>
    <t>18R5U3H94</t>
  </si>
  <si>
    <t>32F8A3X71</t>
  </si>
  <si>
    <t>35X3H1X41</t>
  </si>
  <si>
    <t>36F8L5X89</t>
  </si>
  <si>
    <t>59H7H1X37</t>
  </si>
  <si>
    <t>902277837OV</t>
  </si>
  <si>
    <t>938197847OV</t>
  </si>
  <si>
    <t>A04320148</t>
  </si>
  <si>
    <t>A04326234</t>
  </si>
  <si>
    <t>A04327352</t>
  </si>
  <si>
    <t>A04327478</t>
  </si>
  <si>
    <t>A04329303</t>
  </si>
  <si>
    <t>A04329571</t>
  </si>
  <si>
    <t>A04330529</t>
  </si>
  <si>
    <t>A04330623</t>
  </si>
  <si>
    <t>A04331269</t>
  </si>
  <si>
    <t>Aetna MAPD OVR 2025</t>
  </si>
  <si>
    <t>Anthem MAPD 2025 OVR</t>
  </si>
  <si>
    <t>Cigna MAPD 2025 Ovr</t>
  </si>
  <si>
    <t>Humana MAPD OVR 2025</t>
  </si>
  <si>
    <t>Humana MAPD NATIONAL 2024!</t>
  </si>
  <si>
    <t>Humana PDP 2025!</t>
  </si>
  <si>
    <t>UHC AARP MS IL Area 1 - Plan B C F G</t>
  </si>
  <si>
    <t>UHC AARP MS OR - Plan N</t>
  </si>
  <si>
    <t>UHC AARP MS PA Area 1 2024- Plan N</t>
  </si>
  <si>
    <t>UHC AARP MS FL Area 4- Plan B C F G</t>
  </si>
  <si>
    <t>UHC AARP MS IL Area 1- Plan B C F G(90%)</t>
  </si>
  <si>
    <t>UHC AARP MS KY - Plan B C D F G</t>
  </si>
  <si>
    <t>UHC AARP MS MD - Plan B C D F G</t>
  </si>
  <si>
    <t>UHC AARP MS PA Area 3- Plan N</t>
  </si>
  <si>
    <t>UHC AARP MS PA Area 1 2024- Plan B F G</t>
  </si>
  <si>
    <t>UHC AARP MS PA Area 2- Plan N</t>
  </si>
  <si>
    <t>UHC AARP MS PA Area 3 2024- Plan BC F G(90%)</t>
  </si>
  <si>
    <t>UHC MAPD Ovr 2025</t>
  </si>
  <si>
    <t>UHC MAPD Nat 2024!</t>
  </si>
  <si>
    <t>UHC MAPD 2025*</t>
  </si>
  <si>
    <t>UHC MAPD CT, PA, DC 2024!</t>
  </si>
  <si>
    <t>UHC PDP 2024</t>
  </si>
  <si>
    <t>Wellcare MAPD Ovr</t>
  </si>
  <si>
    <t>UHC AARP MS PA Area 1- Plan B C F G 2024</t>
  </si>
  <si>
    <t>Main Line Benefits</t>
  </si>
  <si>
    <t>A043201481</t>
  </si>
  <si>
    <t>A043262341</t>
  </si>
  <si>
    <t>A043273521</t>
  </si>
  <si>
    <t>A043274781</t>
  </si>
  <si>
    <t>A043293031</t>
  </si>
  <si>
    <t>A043305291</t>
  </si>
  <si>
    <t>9922483151</t>
  </si>
  <si>
    <t>A041136271</t>
  </si>
  <si>
    <t>00021819613K1</t>
  </si>
  <si>
    <t>A043295711</t>
  </si>
  <si>
    <t>A040923891</t>
  </si>
  <si>
    <t>00021859258K1</t>
  </si>
  <si>
    <t>A041203631</t>
  </si>
  <si>
    <t>1306257811</t>
  </si>
  <si>
    <t>9602452701</t>
  </si>
  <si>
    <t>00021836561K1</t>
  </si>
  <si>
    <t>00021836597K1</t>
  </si>
  <si>
    <t>00021865984K1</t>
  </si>
  <si>
    <t>00021882434K1</t>
  </si>
  <si>
    <t>00021895977K1</t>
  </si>
  <si>
    <t>00021917176K1</t>
  </si>
  <si>
    <t>00021973839K1</t>
  </si>
  <si>
    <t>00022004915K1</t>
  </si>
  <si>
    <t>00022025150K1</t>
  </si>
  <si>
    <t>00022031158K1</t>
  </si>
  <si>
    <t>00022032935K1</t>
  </si>
  <si>
    <t>00022035242K1</t>
  </si>
  <si>
    <t>00022040894K1</t>
  </si>
  <si>
    <t>00022052067K1</t>
  </si>
  <si>
    <t>00022094729K1</t>
  </si>
  <si>
    <t>00022094985K1</t>
  </si>
  <si>
    <t>00022095955K1</t>
  </si>
  <si>
    <t>00022096948K1</t>
  </si>
  <si>
    <t>00022097947K1</t>
  </si>
  <si>
    <t>00020054580K1</t>
  </si>
  <si>
    <t>00021884516K1</t>
  </si>
  <si>
    <t>A041028101</t>
  </si>
  <si>
    <t>A040749091</t>
  </si>
  <si>
    <t>A041112521</t>
  </si>
  <si>
    <t>A041117441</t>
  </si>
  <si>
    <t>A041257351</t>
  </si>
  <si>
    <t>A040865931</t>
  </si>
  <si>
    <t>A041122781</t>
  </si>
  <si>
    <t>A037226851</t>
  </si>
  <si>
    <t>00021853815K1</t>
  </si>
  <si>
    <t>00021852153K1</t>
  </si>
  <si>
    <t>A040829491</t>
  </si>
  <si>
    <t>A041273251</t>
  </si>
  <si>
    <t>A040814131</t>
  </si>
  <si>
    <t>A037778171</t>
  </si>
  <si>
    <t>A043306231</t>
  </si>
  <si>
    <t>A041155411</t>
  </si>
  <si>
    <t>A041271401</t>
  </si>
  <si>
    <t>A041271761</t>
  </si>
  <si>
    <t>A041370151</t>
  </si>
  <si>
    <t>A041373421</t>
  </si>
  <si>
    <t>A041378281</t>
  </si>
  <si>
    <t>A041505201</t>
  </si>
  <si>
    <t>A037551451</t>
  </si>
  <si>
    <t>A040787281</t>
  </si>
  <si>
    <t>00021853327K1</t>
  </si>
  <si>
    <t>A041071511</t>
  </si>
  <si>
    <t>00021812164K1</t>
  </si>
  <si>
    <t>A043312691</t>
  </si>
  <si>
    <t>A040892061</t>
  </si>
  <si>
    <t>A041109701</t>
  </si>
  <si>
    <t>A041359011</t>
  </si>
  <si>
    <t>A041081521</t>
  </si>
  <si>
    <t>00019922531K</t>
  </si>
  <si>
    <t>00012290150KOVR</t>
  </si>
  <si>
    <t>00018927296K9</t>
  </si>
  <si>
    <t>992296804OV</t>
  </si>
  <si>
    <t>[%/$=313][prorate=6/12]</t>
  </si>
  <si>
    <t>9922968041</t>
  </si>
  <si>
    <t>[%/$=306][prorate=1/12]</t>
  </si>
  <si>
    <t>[%/$=313][prorate=3/12]</t>
  </si>
  <si>
    <t>[%/$=313][prorate=10/12]</t>
  </si>
  <si>
    <t>[%/$=345][prorate=1/12]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</si>
</sst>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2" fontId="0" fillId="33" borderId="0" xfId="0" applyNumberFormat="1" applyFill="1"/>
    <xf numFmtId="0" fontId="0" fillId="33" borderId="0" xfId="0" applyFill="1" applyAlignment="1">
      <alignment horizontal="left"/>
    </xf>
    <xf numFmtId="1" fontId="0" fillId="34" borderId="0" xfId="0" applyNumberForma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EA27-DA66-4C18-9C96-EBB06E73BFBE}">
  <dimension ref="A1:AL615"/>
  <sheetViews>
    <sheetView tabSelected="1" topLeftCell="J1" workbookViewId="0">
      <selection activeCell="R2" sqref="R2"/>
    </sheetView>
  </sheetViews>
  <sheetFormatPr defaultRowHeight="15" x14ac:dyDescent="0.25"/>
  <cols>
    <col min="1" max="1" width="10.28515625" bestFit="1" customWidth="1"/>
    <col min="2" max="2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45918</v>
      </c>
      <c r="B2" s="1">
        <v>45918</v>
      </c>
      <c r="C2" t="s">
        <v>1278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1279</v>
      </c>
      <c r="J2" t="s">
        <v>1280</v>
      </c>
      <c r="O2" t="s">
        <v>220</v>
      </c>
      <c r="P2" t="s">
        <v>221</v>
      </c>
      <c r="Q2" t="s">
        <v>58</v>
      </c>
      <c r="R2" t="s">
        <v>1281</v>
      </c>
      <c r="S2" s="1">
        <v>45658</v>
      </c>
      <c r="U2" t="s">
        <v>51</v>
      </c>
      <c r="X2" t="s">
        <v>52</v>
      </c>
      <c r="Y2" s="2">
        <v>110.07</v>
      </c>
      <c r="Z2" s="2">
        <v>110.07</v>
      </c>
      <c r="AA2">
        <v>1</v>
      </c>
      <c r="AB2" s="3">
        <v>0.49</v>
      </c>
      <c r="AC2" s="2">
        <v>53.93</v>
      </c>
      <c r="AD2" s="3">
        <v>0</v>
      </c>
      <c r="AE2" s="2">
        <v>0</v>
      </c>
      <c r="AF2" s="2">
        <v>53.93</v>
      </c>
      <c r="AK2">
        <v>5866609</v>
      </c>
    </row>
    <row r="5" spans="1:38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</row>
    <row r="6" spans="1:38" x14ac:dyDescent="0.25">
      <c r="A6" s="1">
        <v>45918</v>
      </c>
      <c r="B6" s="1">
        <v>45915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M6" t="s">
        <v>46</v>
      </c>
      <c r="O6" t="s">
        <v>47</v>
      </c>
      <c r="P6" t="s">
        <v>48</v>
      </c>
      <c r="Q6" t="s">
        <v>49</v>
      </c>
      <c r="R6" t="s">
        <v>50</v>
      </c>
      <c r="S6" s="1">
        <v>45597</v>
      </c>
      <c r="T6" s="1">
        <v>45945</v>
      </c>
      <c r="U6" t="s">
        <v>51</v>
      </c>
      <c r="V6">
        <v>1</v>
      </c>
      <c r="W6" s="1">
        <v>45917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5847910</v>
      </c>
      <c r="AL6" t="s">
        <v>53</v>
      </c>
    </row>
    <row r="7" spans="1:38" x14ac:dyDescent="0.25">
      <c r="A7" s="1">
        <v>45918</v>
      </c>
      <c r="B7" s="1">
        <v>45915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54</v>
      </c>
      <c r="J7" t="s">
        <v>55</v>
      </c>
      <c r="M7" t="s">
        <v>46</v>
      </c>
      <c r="O7" t="s">
        <v>56</v>
      </c>
      <c r="P7" t="s">
        <v>57</v>
      </c>
      <c r="Q7" t="s">
        <v>58</v>
      </c>
      <c r="R7" t="s">
        <v>59</v>
      </c>
      <c r="S7" s="1">
        <v>45536</v>
      </c>
      <c r="T7" s="1">
        <v>45945</v>
      </c>
      <c r="U7" t="s">
        <v>51</v>
      </c>
      <c r="V7">
        <v>1</v>
      </c>
      <c r="W7" s="1">
        <v>45917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5849122</v>
      </c>
      <c r="AL7" t="s">
        <v>53</v>
      </c>
    </row>
    <row r="8" spans="1:38" x14ac:dyDescent="0.25">
      <c r="A8" s="1">
        <v>45918</v>
      </c>
      <c r="B8" s="1">
        <v>45915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60</v>
      </c>
      <c r="J8" t="s">
        <v>61</v>
      </c>
      <c r="M8" t="s">
        <v>46</v>
      </c>
      <c r="O8" t="s">
        <v>62</v>
      </c>
      <c r="P8" t="s">
        <v>63</v>
      </c>
      <c r="Q8" t="s">
        <v>58</v>
      </c>
      <c r="R8" t="s">
        <v>50</v>
      </c>
      <c r="S8" s="1">
        <v>45505</v>
      </c>
      <c r="T8" s="1">
        <v>45945</v>
      </c>
      <c r="U8" t="s">
        <v>51</v>
      </c>
      <c r="V8">
        <v>1</v>
      </c>
      <c r="W8" s="1">
        <v>45917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5851575</v>
      </c>
      <c r="AL8" t="s">
        <v>53</v>
      </c>
    </row>
    <row r="9" spans="1:38" x14ac:dyDescent="0.25">
      <c r="A9" s="1">
        <v>45918</v>
      </c>
      <c r="B9" s="1">
        <v>45915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64</v>
      </c>
      <c r="J9" t="s">
        <v>65</v>
      </c>
      <c r="M9" t="s">
        <v>46</v>
      </c>
      <c r="O9" t="s">
        <v>66</v>
      </c>
      <c r="P9" t="s">
        <v>67</v>
      </c>
      <c r="Q9" t="s">
        <v>58</v>
      </c>
      <c r="R9" t="s">
        <v>50</v>
      </c>
      <c r="S9" s="1">
        <v>45566</v>
      </c>
      <c r="T9" s="1">
        <v>45945</v>
      </c>
      <c r="U9" t="s">
        <v>51</v>
      </c>
      <c r="V9">
        <v>1</v>
      </c>
      <c r="W9" s="1">
        <v>45917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5851938</v>
      </c>
      <c r="AL9" t="s">
        <v>53</v>
      </c>
    </row>
    <row r="10" spans="1:38" x14ac:dyDescent="0.25">
      <c r="A10" s="1">
        <v>45918</v>
      </c>
      <c r="B10" s="1">
        <v>45915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68</v>
      </c>
      <c r="J10" t="s">
        <v>69</v>
      </c>
      <c r="M10" t="s">
        <v>46</v>
      </c>
      <c r="O10" t="s">
        <v>70</v>
      </c>
      <c r="P10" t="s">
        <v>71</v>
      </c>
      <c r="Q10" t="s">
        <v>49</v>
      </c>
      <c r="R10" t="s">
        <v>50</v>
      </c>
      <c r="S10" s="1">
        <v>45597</v>
      </c>
      <c r="T10" s="1">
        <v>45945</v>
      </c>
      <c r="U10" t="s">
        <v>51</v>
      </c>
      <c r="V10">
        <v>1</v>
      </c>
      <c r="W10" s="1">
        <v>45917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5852065</v>
      </c>
      <c r="AL10" t="s">
        <v>53</v>
      </c>
    </row>
    <row r="11" spans="1:38" x14ac:dyDescent="0.25">
      <c r="A11" s="1">
        <v>45918</v>
      </c>
      <c r="B11" s="1">
        <v>45915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72</v>
      </c>
      <c r="J11" t="s">
        <v>73</v>
      </c>
      <c r="M11" t="s">
        <v>46</v>
      </c>
      <c r="O11" t="s">
        <v>74</v>
      </c>
      <c r="P11" t="s">
        <v>75</v>
      </c>
      <c r="Q11" t="s">
        <v>58</v>
      </c>
      <c r="R11" t="s">
        <v>59</v>
      </c>
      <c r="S11" s="1">
        <v>45658</v>
      </c>
      <c r="U11" t="s">
        <v>51</v>
      </c>
      <c r="X11" t="s">
        <v>52</v>
      </c>
      <c r="Y11" s="2">
        <v>0</v>
      </c>
      <c r="Z11" s="2">
        <v>0</v>
      </c>
      <c r="AB11" s="3">
        <v>1</v>
      </c>
      <c r="AC11" s="2">
        <v>-35.64</v>
      </c>
      <c r="AG11" s="2">
        <v>0</v>
      </c>
      <c r="AH11" s="2">
        <v>-35.64</v>
      </c>
      <c r="AI11" s="2">
        <v>0</v>
      </c>
      <c r="AK11">
        <v>0</v>
      </c>
      <c r="AL11" t="s">
        <v>76</v>
      </c>
    </row>
    <row r="12" spans="1:38" x14ac:dyDescent="0.25">
      <c r="A12" s="1">
        <v>45918</v>
      </c>
      <c r="B12" s="1">
        <v>45915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77</v>
      </c>
      <c r="J12" t="s">
        <v>78</v>
      </c>
      <c r="M12" t="s">
        <v>46</v>
      </c>
      <c r="O12" t="s">
        <v>56</v>
      </c>
      <c r="P12" t="s">
        <v>57</v>
      </c>
      <c r="Q12" t="s">
        <v>58</v>
      </c>
      <c r="R12" t="s">
        <v>50</v>
      </c>
      <c r="S12" s="1">
        <v>45505</v>
      </c>
      <c r="T12" s="1">
        <v>45945</v>
      </c>
      <c r="U12" t="s">
        <v>51</v>
      </c>
      <c r="V12">
        <v>1</v>
      </c>
      <c r="W12" s="1">
        <v>45917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5852913</v>
      </c>
      <c r="AL12" t="s">
        <v>53</v>
      </c>
    </row>
    <row r="13" spans="1:38" x14ac:dyDescent="0.25">
      <c r="A13" s="1">
        <v>45918</v>
      </c>
      <c r="B13" s="1">
        <v>45915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79</v>
      </c>
      <c r="J13" t="s">
        <v>80</v>
      </c>
      <c r="M13" t="s">
        <v>46</v>
      </c>
      <c r="O13" t="s">
        <v>81</v>
      </c>
      <c r="P13" t="s">
        <v>82</v>
      </c>
      <c r="Q13" t="s">
        <v>58</v>
      </c>
      <c r="R13" t="s">
        <v>59</v>
      </c>
      <c r="S13" s="1">
        <v>45474</v>
      </c>
      <c r="T13" s="1">
        <v>45945</v>
      </c>
      <c r="U13" t="s">
        <v>51</v>
      </c>
      <c r="V13">
        <v>1</v>
      </c>
      <c r="W13" s="1">
        <v>45917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5856822</v>
      </c>
      <c r="AL13" t="s">
        <v>53</v>
      </c>
    </row>
    <row r="14" spans="1:38" x14ac:dyDescent="0.25">
      <c r="A14" s="1">
        <v>45918</v>
      </c>
      <c r="B14" s="1">
        <v>45915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83</v>
      </c>
      <c r="J14" t="s">
        <v>84</v>
      </c>
      <c r="M14" t="s">
        <v>46</v>
      </c>
      <c r="O14" t="s">
        <v>70</v>
      </c>
      <c r="P14" t="s">
        <v>71</v>
      </c>
      <c r="Q14" t="s">
        <v>49</v>
      </c>
      <c r="R14" t="s">
        <v>50</v>
      </c>
      <c r="S14" s="1">
        <v>45627</v>
      </c>
      <c r="T14" s="1">
        <v>45945</v>
      </c>
      <c r="U14" t="s">
        <v>51</v>
      </c>
      <c r="V14">
        <v>1</v>
      </c>
      <c r="W14" s="1">
        <v>45917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5856929</v>
      </c>
      <c r="AL14" t="s">
        <v>53</v>
      </c>
    </row>
    <row r="15" spans="1:38" x14ac:dyDescent="0.25">
      <c r="A15" s="1">
        <v>45918</v>
      </c>
      <c r="B15" s="1">
        <v>45915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85</v>
      </c>
      <c r="J15" t="s">
        <v>86</v>
      </c>
      <c r="M15" t="s">
        <v>46</v>
      </c>
      <c r="O15" t="s">
        <v>87</v>
      </c>
      <c r="P15" t="s">
        <v>88</v>
      </c>
      <c r="Q15" t="s">
        <v>49</v>
      </c>
      <c r="R15" t="s">
        <v>50</v>
      </c>
      <c r="S15" s="1">
        <v>45597</v>
      </c>
      <c r="T15" s="1">
        <v>45945</v>
      </c>
      <c r="U15" t="s">
        <v>51</v>
      </c>
      <c r="V15">
        <v>1</v>
      </c>
      <c r="W15" s="1">
        <v>45917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5857857</v>
      </c>
      <c r="AL15" t="s">
        <v>53</v>
      </c>
    </row>
    <row r="16" spans="1:38" x14ac:dyDescent="0.25">
      <c r="A16" s="1">
        <v>45918</v>
      </c>
      <c r="B16" s="1">
        <v>45915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89</v>
      </c>
      <c r="J16" t="s">
        <v>90</v>
      </c>
      <c r="M16" t="s">
        <v>46</v>
      </c>
      <c r="O16" t="s">
        <v>91</v>
      </c>
      <c r="P16" t="s">
        <v>92</v>
      </c>
      <c r="Q16" t="s">
        <v>49</v>
      </c>
      <c r="R16" t="s">
        <v>93</v>
      </c>
      <c r="S16" s="1">
        <v>45505</v>
      </c>
      <c r="T16" s="1">
        <v>45945</v>
      </c>
      <c r="U16" t="s">
        <v>51</v>
      </c>
      <c r="V16">
        <v>1</v>
      </c>
      <c r="W16" s="1">
        <v>45917</v>
      </c>
      <c r="X16" t="s">
        <v>52</v>
      </c>
      <c r="Y16" s="2">
        <v>1</v>
      </c>
      <c r="Z16" s="2">
        <v>1</v>
      </c>
      <c r="AB16" s="3">
        <v>1</v>
      </c>
      <c r="AC16" s="2">
        <v>25.5</v>
      </c>
      <c r="AG16" s="2">
        <v>0</v>
      </c>
      <c r="AH16" s="2">
        <v>25.5</v>
      </c>
      <c r="AI16" s="2">
        <v>0</v>
      </c>
      <c r="AK16">
        <v>5824103</v>
      </c>
      <c r="AL16" t="s">
        <v>94</v>
      </c>
    </row>
    <row r="17" spans="1:38" x14ac:dyDescent="0.25">
      <c r="A17" s="1">
        <v>45918</v>
      </c>
      <c r="B17" s="1">
        <v>45915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95</v>
      </c>
      <c r="J17" t="s">
        <v>90</v>
      </c>
      <c r="M17" t="s">
        <v>46</v>
      </c>
      <c r="O17" t="s">
        <v>91</v>
      </c>
      <c r="P17" t="s">
        <v>92</v>
      </c>
      <c r="Q17" t="s">
        <v>49</v>
      </c>
      <c r="R17" t="s">
        <v>59</v>
      </c>
      <c r="S17" s="1">
        <v>45505</v>
      </c>
      <c r="T17" s="1">
        <v>45945</v>
      </c>
      <c r="U17" t="s">
        <v>51</v>
      </c>
      <c r="V17">
        <v>1</v>
      </c>
      <c r="W17" s="1">
        <v>45917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5824102</v>
      </c>
      <c r="AL17" t="s">
        <v>94</v>
      </c>
    </row>
    <row r="18" spans="1:38" x14ac:dyDescent="0.25">
      <c r="A18" s="1">
        <v>45918</v>
      </c>
      <c r="B18" s="1">
        <v>45915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96</v>
      </c>
      <c r="J18" t="s">
        <v>97</v>
      </c>
      <c r="M18" t="s">
        <v>46</v>
      </c>
      <c r="O18" t="s">
        <v>66</v>
      </c>
      <c r="P18" t="s">
        <v>67</v>
      </c>
      <c r="Q18" t="s">
        <v>49</v>
      </c>
      <c r="R18" t="s">
        <v>50</v>
      </c>
      <c r="S18" s="1">
        <v>45566</v>
      </c>
      <c r="T18" s="1">
        <v>45945</v>
      </c>
      <c r="U18" t="s">
        <v>51</v>
      </c>
      <c r="V18">
        <v>1</v>
      </c>
      <c r="W18" s="1">
        <v>45917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5860028</v>
      </c>
      <c r="AL18" t="s">
        <v>53</v>
      </c>
    </row>
    <row r="19" spans="1:38" x14ac:dyDescent="0.25">
      <c r="A19" s="1">
        <v>45918</v>
      </c>
      <c r="B19" s="1">
        <v>45915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98</v>
      </c>
      <c r="J19" t="s">
        <v>99</v>
      </c>
      <c r="M19" t="s">
        <v>46</v>
      </c>
      <c r="O19" t="s">
        <v>100</v>
      </c>
      <c r="P19" t="s">
        <v>101</v>
      </c>
      <c r="Q19" t="s">
        <v>58</v>
      </c>
      <c r="R19" t="s">
        <v>50</v>
      </c>
      <c r="S19" s="1">
        <v>45444</v>
      </c>
      <c r="T19" s="1">
        <v>45945</v>
      </c>
      <c r="U19" t="s">
        <v>51</v>
      </c>
      <c r="V19">
        <v>1</v>
      </c>
      <c r="W19" s="1">
        <v>45917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5862778</v>
      </c>
      <c r="AL19" t="s">
        <v>53</v>
      </c>
    </row>
    <row r="20" spans="1:38" x14ac:dyDescent="0.25">
      <c r="A20" s="1">
        <v>45918</v>
      </c>
      <c r="B20" s="1">
        <v>45915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102</v>
      </c>
      <c r="J20" t="s">
        <v>103</v>
      </c>
      <c r="M20" t="s">
        <v>46</v>
      </c>
      <c r="O20" t="s">
        <v>100</v>
      </c>
      <c r="P20" t="s">
        <v>101</v>
      </c>
      <c r="Q20" t="s">
        <v>58</v>
      </c>
      <c r="R20" t="s">
        <v>50</v>
      </c>
      <c r="S20" s="1">
        <v>45444</v>
      </c>
      <c r="T20" s="1">
        <v>45945</v>
      </c>
      <c r="U20" t="s">
        <v>51</v>
      </c>
      <c r="V20">
        <v>1</v>
      </c>
      <c r="W20" s="1">
        <v>45917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5862887</v>
      </c>
      <c r="AL20" t="s">
        <v>53</v>
      </c>
    </row>
    <row r="21" spans="1:38" x14ac:dyDescent="0.25">
      <c r="A21" s="1">
        <v>45918</v>
      </c>
      <c r="B21" s="1">
        <v>45915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104</v>
      </c>
      <c r="J21" t="s">
        <v>105</v>
      </c>
      <c r="M21" t="s">
        <v>46</v>
      </c>
      <c r="O21" t="s">
        <v>106</v>
      </c>
      <c r="P21" t="s">
        <v>107</v>
      </c>
      <c r="Q21" t="s">
        <v>58</v>
      </c>
      <c r="R21" t="s">
        <v>50</v>
      </c>
      <c r="S21" s="1">
        <v>45474</v>
      </c>
      <c r="T21" s="1">
        <v>45945</v>
      </c>
      <c r="U21" t="s">
        <v>51</v>
      </c>
      <c r="V21">
        <v>1</v>
      </c>
      <c r="W21" s="1">
        <v>45917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5862915</v>
      </c>
      <c r="AL21" t="s">
        <v>53</v>
      </c>
    </row>
    <row r="22" spans="1:38" x14ac:dyDescent="0.25">
      <c r="A22" s="1">
        <v>45918</v>
      </c>
      <c r="B22" s="1">
        <v>45915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108</v>
      </c>
      <c r="J22" t="s">
        <v>109</v>
      </c>
      <c r="M22" t="s">
        <v>46</v>
      </c>
      <c r="O22" t="s">
        <v>100</v>
      </c>
      <c r="P22" t="s">
        <v>101</v>
      </c>
      <c r="Q22" t="s">
        <v>58</v>
      </c>
      <c r="R22" t="s">
        <v>50</v>
      </c>
      <c r="S22" s="1">
        <v>45474</v>
      </c>
      <c r="T22" s="1">
        <v>45945</v>
      </c>
      <c r="U22" t="s">
        <v>51</v>
      </c>
      <c r="V22">
        <v>1</v>
      </c>
      <c r="W22" s="1">
        <v>45917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5863127</v>
      </c>
      <c r="AL22" t="s">
        <v>53</v>
      </c>
    </row>
    <row r="23" spans="1:38" x14ac:dyDescent="0.25">
      <c r="A23" s="1">
        <v>45918</v>
      </c>
      <c r="B23" s="1">
        <v>45915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110</v>
      </c>
      <c r="J23" t="s">
        <v>111</v>
      </c>
      <c r="M23" t="s">
        <v>46</v>
      </c>
      <c r="O23" t="s">
        <v>106</v>
      </c>
      <c r="P23" t="s">
        <v>107</v>
      </c>
      <c r="Q23" t="s">
        <v>58</v>
      </c>
      <c r="R23" t="s">
        <v>50</v>
      </c>
      <c r="S23" s="1">
        <v>45505</v>
      </c>
      <c r="T23" s="1">
        <v>45945</v>
      </c>
      <c r="U23" t="s">
        <v>51</v>
      </c>
      <c r="V23">
        <v>1</v>
      </c>
      <c r="W23" s="1">
        <v>45917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5863198</v>
      </c>
      <c r="AL23" t="s">
        <v>53</v>
      </c>
    </row>
    <row r="24" spans="1:38" x14ac:dyDescent="0.25">
      <c r="A24" s="1">
        <v>45918</v>
      </c>
      <c r="B24" s="1">
        <v>45915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112</v>
      </c>
      <c r="J24" t="s">
        <v>113</v>
      </c>
      <c r="M24" t="s">
        <v>46</v>
      </c>
      <c r="O24" t="s">
        <v>100</v>
      </c>
      <c r="P24" t="s">
        <v>101</v>
      </c>
      <c r="Q24" t="s">
        <v>58</v>
      </c>
      <c r="R24" t="s">
        <v>50</v>
      </c>
      <c r="S24" s="1">
        <v>45444</v>
      </c>
      <c r="T24" s="1">
        <v>45945</v>
      </c>
      <c r="U24" t="s">
        <v>51</v>
      </c>
      <c r="V24">
        <v>1</v>
      </c>
      <c r="W24" s="1">
        <v>45917</v>
      </c>
      <c r="X24" t="s">
        <v>52</v>
      </c>
      <c r="Y24" s="2">
        <v>1</v>
      </c>
      <c r="Z24" s="2">
        <v>1</v>
      </c>
      <c r="AB24" s="3">
        <v>1</v>
      </c>
      <c r="AC24" s="2">
        <v>9</v>
      </c>
      <c r="AG24" s="2">
        <v>0</v>
      </c>
      <c r="AH24" s="2">
        <v>9</v>
      </c>
      <c r="AI24" s="2">
        <v>0</v>
      </c>
      <c r="AK24">
        <v>5863201</v>
      </c>
      <c r="AL24" t="s">
        <v>53</v>
      </c>
    </row>
    <row r="25" spans="1:38" x14ac:dyDescent="0.25">
      <c r="A25" s="1">
        <v>45918</v>
      </c>
      <c r="B25" s="1">
        <v>45915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114</v>
      </c>
      <c r="J25" t="s">
        <v>115</v>
      </c>
      <c r="M25" t="s">
        <v>46</v>
      </c>
      <c r="O25" t="s">
        <v>116</v>
      </c>
      <c r="P25" t="s">
        <v>117</v>
      </c>
      <c r="Q25" t="s">
        <v>58</v>
      </c>
      <c r="R25" t="s">
        <v>50</v>
      </c>
      <c r="S25" s="1">
        <v>45474</v>
      </c>
      <c r="T25" s="1">
        <v>45945</v>
      </c>
      <c r="U25" t="s">
        <v>51</v>
      </c>
      <c r="V25">
        <v>1</v>
      </c>
      <c r="W25" s="1">
        <v>45917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5863222</v>
      </c>
      <c r="AL25" t="s">
        <v>53</v>
      </c>
    </row>
    <row r="26" spans="1:38" x14ac:dyDescent="0.25">
      <c r="A26" s="1">
        <v>45918</v>
      </c>
      <c r="B26" s="1">
        <v>45915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118</v>
      </c>
      <c r="J26" t="s">
        <v>119</v>
      </c>
      <c r="M26" t="s">
        <v>46</v>
      </c>
      <c r="O26" t="s">
        <v>116</v>
      </c>
      <c r="P26" t="s">
        <v>117</v>
      </c>
      <c r="Q26" t="s">
        <v>58</v>
      </c>
      <c r="R26" t="s">
        <v>50</v>
      </c>
      <c r="S26" s="1">
        <v>45444</v>
      </c>
      <c r="T26" s="1">
        <v>45945</v>
      </c>
      <c r="U26" t="s">
        <v>51</v>
      </c>
      <c r="V26">
        <v>1</v>
      </c>
      <c r="W26" s="1">
        <v>45917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5863228</v>
      </c>
      <c r="AL26" t="s">
        <v>53</v>
      </c>
    </row>
    <row r="27" spans="1:38" x14ac:dyDescent="0.25">
      <c r="A27" s="1">
        <v>45918</v>
      </c>
      <c r="B27" s="1">
        <v>45915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120</v>
      </c>
      <c r="J27" t="s">
        <v>121</v>
      </c>
      <c r="M27" t="s">
        <v>46</v>
      </c>
      <c r="O27" t="s">
        <v>100</v>
      </c>
      <c r="P27" t="s">
        <v>101</v>
      </c>
      <c r="Q27" t="s">
        <v>58</v>
      </c>
      <c r="R27" t="s">
        <v>50</v>
      </c>
      <c r="S27" s="1">
        <v>45505</v>
      </c>
      <c r="T27" s="1">
        <v>45945</v>
      </c>
      <c r="U27" t="s">
        <v>51</v>
      </c>
      <c r="V27">
        <v>1</v>
      </c>
      <c r="W27" s="1">
        <v>45917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5863258</v>
      </c>
      <c r="AL27" t="s">
        <v>53</v>
      </c>
    </row>
    <row r="28" spans="1:38" x14ac:dyDescent="0.25">
      <c r="A28" s="1">
        <v>45918</v>
      </c>
      <c r="B28" s="1">
        <v>45915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122</v>
      </c>
      <c r="J28" t="s">
        <v>123</v>
      </c>
      <c r="M28" t="s">
        <v>46</v>
      </c>
      <c r="O28" t="s">
        <v>41</v>
      </c>
      <c r="P28" t="s">
        <v>43</v>
      </c>
      <c r="Q28" t="s">
        <v>58</v>
      </c>
      <c r="R28" t="s">
        <v>50</v>
      </c>
      <c r="S28" s="1">
        <v>45444</v>
      </c>
      <c r="T28" s="1">
        <v>45945</v>
      </c>
      <c r="U28" t="s">
        <v>51</v>
      </c>
      <c r="V28">
        <v>1</v>
      </c>
      <c r="W28" s="1">
        <v>45917</v>
      </c>
      <c r="X28" t="s">
        <v>52</v>
      </c>
      <c r="Y28" s="2">
        <v>1</v>
      </c>
      <c r="Z28" s="2">
        <v>1</v>
      </c>
      <c r="AB28" s="3">
        <v>1</v>
      </c>
      <c r="AC28" s="2">
        <v>9</v>
      </c>
      <c r="AG28" s="2">
        <v>0</v>
      </c>
      <c r="AH28" s="2">
        <v>9</v>
      </c>
      <c r="AI28" s="2">
        <v>0</v>
      </c>
      <c r="AK28">
        <v>5863286</v>
      </c>
      <c r="AL28" t="s">
        <v>53</v>
      </c>
    </row>
    <row r="29" spans="1:38" x14ac:dyDescent="0.25">
      <c r="A29" s="1">
        <v>45918</v>
      </c>
      <c r="B29" s="1">
        <v>45915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124</v>
      </c>
      <c r="J29" t="s">
        <v>125</v>
      </c>
      <c r="M29" t="s">
        <v>46</v>
      </c>
      <c r="O29" t="s">
        <v>74</v>
      </c>
      <c r="P29" t="s">
        <v>75</v>
      </c>
      <c r="Q29" t="s">
        <v>49</v>
      </c>
      <c r="R29" t="s">
        <v>126</v>
      </c>
      <c r="S29" s="1">
        <v>45444</v>
      </c>
      <c r="T29" s="1">
        <v>45945</v>
      </c>
      <c r="U29" t="s">
        <v>51</v>
      </c>
      <c r="V29">
        <v>1</v>
      </c>
      <c r="W29" s="1">
        <v>45917</v>
      </c>
      <c r="X29" t="s">
        <v>52</v>
      </c>
      <c r="Y29" s="2">
        <v>1</v>
      </c>
      <c r="Z29" s="2">
        <v>1</v>
      </c>
      <c r="AB29" s="3">
        <v>1</v>
      </c>
      <c r="AC29" s="2">
        <v>25.5</v>
      </c>
      <c r="AG29" s="2">
        <v>0</v>
      </c>
      <c r="AH29" s="2">
        <v>25.5</v>
      </c>
      <c r="AI29" s="2">
        <v>0</v>
      </c>
      <c r="AK29">
        <v>5824270</v>
      </c>
      <c r="AL29" t="s">
        <v>94</v>
      </c>
    </row>
    <row r="30" spans="1:38" x14ac:dyDescent="0.25">
      <c r="A30" s="1">
        <v>45918</v>
      </c>
      <c r="B30" s="1">
        <v>45915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127</v>
      </c>
      <c r="J30" t="s">
        <v>125</v>
      </c>
      <c r="M30" t="s">
        <v>46</v>
      </c>
      <c r="O30" t="s">
        <v>74</v>
      </c>
      <c r="P30" t="s">
        <v>75</v>
      </c>
      <c r="Q30" t="s">
        <v>49</v>
      </c>
      <c r="R30" t="s">
        <v>50</v>
      </c>
      <c r="S30" s="1">
        <v>45444</v>
      </c>
      <c r="T30" s="1">
        <v>45945</v>
      </c>
      <c r="U30" t="s">
        <v>51</v>
      </c>
      <c r="V30">
        <v>1</v>
      </c>
      <c r="W30" s="1">
        <v>45917</v>
      </c>
      <c r="X30" t="s">
        <v>52</v>
      </c>
      <c r="Y30" s="2">
        <v>1</v>
      </c>
      <c r="Z30" s="2">
        <v>1</v>
      </c>
      <c r="AB30" s="3">
        <v>1</v>
      </c>
      <c r="AC30" s="2">
        <v>9</v>
      </c>
      <c r="AG30" s="2">
        <v>0</v>
      </c>
      <c r="AH30" s="2">
        <v>9</v>
      </c>
      <c r="AI30" s="2">
        <v>0</v>
      </c>
      <c r="AK30">
        <v>5824269</v>
      </c>
      <c r="AL30" t="s">
        <v>94</v>
      </c>
    </row>
    <row r="31" spans="1:38" x14ac:dyDescent="0.25">
      <c r="A31" s="1">
        <v>45918</v>
      </c>
      <c r="B31" s="1">
        <v>45915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128</v>
      </c>
      <c r="J31" t="s">
        <v>129</v>
      </c>
      <c r="M31" t="s">
        <v>46</v>
      </c>
      <c r="O31" t="s">
        <v>130</v>
      </c>
      <c r="P31" t="s">
        <v>131</v>
      </c>
      <c r="Q31" t="s">
        <v>49</v>
      </c>
      <c r="R31" t="s">
        <v>126</v>
      </c>
      <c r="S31" s="1">
        <v>45444</v>
      </c>
      <c r="T31" s="1">
        <v>45945</v>
      </c>
      <c r="U31" t="s">
        <v>51</v>
      </c>
      <c r="V31">
        <v>1</v>
      </c>
      <c r="W31" s="1">
        <v>45917</v>
      </c>
      <c r="X31" t="s">
        <v>52</v>
      </c>
      <c r="Y31" s="2">
        <v>1</v>
      </c>
      <c r="Z31" s="2">
        <v>1</v>
      </c>
      <c r="AB31" s="3">
        <v>1</v>
      </c>
      <c r="AC31" s="2">
        <v>25.5</v>
      </c>
      <c r="AG31" s="2">
        <v>0</v>
      </c>
      <c r="AH31" s="2">
        <v>25.5</v>
      </c>
      <c r="AI31" s="2">
        <v>0</v>
      </c>
      <c r="AK31">
        <v>5824272</v>
      </c>
      <c r="AL31" t="s">
        <v>94</v>
      </c>
    </row>
    <row r="32" spans="1:38" x14ac:dyDescent="0.25">
      <c r="A32" s="1">
        <v>45918</v>
      </c>
      <c r="B32" s="1">
        <v>45915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132</v>
      </c>
      <c r="J32" t="s">
        <v>129</v>
      </c>
      <c r="M32" t="s">
        <v>46</v>
      </c>
      <c r="O32" t="s">
        <v>130</v>
      </c>
      <c r="P32" t="s">
        <v>131</v>
      </c>
      <c r="Q32" t="s">
        <v>49</v>
      </c>
      <c r="R32" t="s">
        <v>50</v>
      </c>
      <c r="S32" s="1">
        <v>45444</v>
      </c>
      <c r="T32" s="1">
        <v>45945</v>
      </c>
      <c r="U32" t="s">
        <v>51</v>
      </c>
      <c r="V32">
        <v>1</v>
      </c>
      <c r="W32" s="1">
        <v>45917</v>
      </c>
      <c r="X32" t="s">
        <v>52</v>
      </c>
      <c r="Y32" s="2">
        <v>1</v>
      </c>
      <c r="Z32" s="2">
        <v>1</v>
      </c>
      <c r="AB32" s="3">
        <v>1</v>
      </c>
      <c r="AC32" s="2">
        <v>9</v>
      </c>
      <c r="AG32" s="2">
        <v>0</v>
      </c>
      <c r="AH32" s="2">
        <v>9</v>
      </c>
      <c r="AI32" s="2">
        <v>0</v>
      </c>
      <c r="AK32">
        <v>5824271</v>
      </c>
      <c r="AL32" t="s">
        <v>94</v>
      </c>
    </row>
    <row r="33" spans="1:38" x14ac:dyDescent="0.25">
      <c r="A33" s="1">
        <v>45918</v>
      </c>
      <c r="B33" s="1">
        <v>45915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133</v>
      </c>
      <c r="J33" t="s">
        <v>134</v>
      </c>
      <c r="M33" t="s">
        <v>46</v>
      </c>
      <c r="O33" t="s">
        <v>91</v>
      </c>
      <c r="P33" t="s">
        <v>92</v>
      </c>
      <c r="Q33" t="s">
        <v>49</v>
      </c>
      <c r="R33" t="s">
        <v>126</v>
      </c>
      <c r="S33" s="1">
        <v>45474</v>
      </c>
      <c r="T33" s="1">
        <v>45945</v>
      </c>
      <c r="U33" t="s">
        <v>51</v>
      </c>
      <c r="V33">
        <v>1</v>
      </c>
      <c r="W33" s="1">
        <v>45917</v>
      </c>
      <c r="X33" t="s">
        <v>52</v>
      </c>
      <c r="Y33" s="2">
        <v>1</v>
      </c>
      <c r="Z33" s="2">
        <v>1</v>
      </c>
      <c r="AB33" s="3">
        <v>1</v>
      </c>
      <c r="AC33" s="2">
        <v>25.5</v>
      </c>
      <c r="AG33" s="2">
        <v>0</v>
      </c>
      <c r="AH33" s="2">
        <v>25.5</v>
      </c>
      <c r="AI33" s="2">
        <v>0</v>
      </c>
      <c r="AK33">
        <v>5824278</v>
      </c>
      <c r="AL33" t="s">
        <v>94</v>
      </c>
    </row>
    <row r="34" spans="1:38" x14ac:dyDescent="0.25">
      <c r="A34" s="1">
        <v>45918</v>
      </c>
      <c r="B34" s="1">
        <v>45915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135</v>
      </c>
      <c r="J34" t="s">
        <v>134</v>
      </c>
      <c r="M34" t="s">
        <v>46</v>
      </c>
      <c r="O34" t="s">
        <v>91</v>
      </c>
      <c r="P34" t="s">
        <v>92</v>
      </c>
      <c r="Q34" t="s">
        <v>49</v>
      </c>
      <c r="R34" t="s">
        <v>50</v>
      </c>
      <c r="S34" s="1">
        <v>45474</v>
      </c>
      <c r="T34" s="1">
        <v>45945</v>
      </c>
      <c r="U34" t="s">
        <v>51</v>
      </c>
      <c r="V34">
        <v>1</v>
      </c>
      <c r="W34" s="1">
        <v>45917</v>
      </c>
      <c r="X34" t="s">
        <v>52</v>
      </c>
      <c r="Y34" s="2">
        <v>1</v>
      </c>
      <c r="Z34" s="2">
        <v>1</v>
      </c>
      <c r="AB34" s="3">
        <v>1</v>
      </c>
      <c r="AC34" s="2">
        <v>9</v>
      </c>
      <c r="AG34" s="2">
        <v>0</v>
      </c>
      <c r="AH34" s="2">
        <v>9</v>
      </c>
      <c r="AI34" s="2">
        <v>0</v>
      </c>
      <c r="AK34">
        <v>5824277</v>
      </c>
      <c r="AL34" t="s">
        <v>94</v>
      </c>
    </row>
    <row r="35" spans="1:38" x14ac:dyDescent="0.25">
      <c r="A35" s="1">
        <v>45918</v>
      </c>
      <c r="B35" s="1">
        <v>45915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136</v>
      </c>
      <c r="J35" t="s">
        <v>137</v>
      </c>
      <c r="M35" t="s">
        <v>46</v>
      </c>
      <c r="O35" t="s">
        <v>91</v>
      </c>
      <c r="P35" t="s">
        <v>92</v>
      </c>
      <c r="Q35" t="s">
        <v>49</v>
      </c>
      <c r="R35" t="s">
        <v>126</v>
      </c>
      <c r="S35" s="1">
        <v>45474</v>
      </c>
      <c r="T35" s="1">
        <v>45945</v>
      </c>
      <c r="U35" t="s">
        <v>51</v>
      </c>
      <c r="V35">
        <v>1</v>
      </c>
      <c r="W35" s="1">
        <v>45917</v>
      </c>
      <c r="X35" t="s">
        <v>52</v>
      </c>
      <c r="Y35" s="2">
        <v>1</v>
      </c>
      <c r="Z35" s="2">
        <v>1</v>
      </c>
      <c r="AB35" s="3">
        <v>1</v>
      </c>
      <c r="AC35" s="2">
        <v>25.5</v>
      </c>
      <c r="AG35" s="2">
        <v>0</v>
      </c>
      <c r="AH35" s="2">
        <v>25.5</v>
      </c>
      <c r="AI35" s="2">
        <v>0</v>
      </c>
      <c r="AK35">
        <v>5824280</v>
      </c>
      <c r="AL35" t="s">
        <v>94</v>
      </c>
    </row>
    <row r="36" spans="1:38" x14ac:dyDescent="0.25">
      <c r="A36" s="1">
        <v>45918</v>
      </c>
      <c r="B36" s="1">
        <v>45915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138</v>
      </c>
      <c r="J36" t="s">
        <v>137</v>
      </c>
      <c r="M36" t="s">
        <v>46</v>
      </c>
      <c r="O36" t="s">
        <v>91</v>
      </c>
      <c r="P36" t="s">
        <v>92</v>
      </c>
      <c r="Q36" t="s">
        <v>49</v>
      </c>
      <c r="R36" t="s">
        <v>50</v>
      </c>
      <c r="S36" s="1">
        <v>45474</v>
      </c>
      <c r="T36" s="1">
        <v>45945</v>
      </c>
      <c r="U36" t="s">
        <v>51</v>
      </c>
      <c r="V36">
        <v>1</v>
      </c>
      <c r="W36" s="1">
        <v>45917</v>
      </c>
      <c r="X36" t="s">
        <v>52</v>
      </c>
      <c r="Y36" s="2">
        <v>1</v>
      </c>
      <c r="Z36" s="2">
        <v>1</v>
      </c>
      <c r="AB36" s="3">
        <v>1</v>
      </c>
      <c r="AC36" s="2">
        <v>9</v>
      </c>
      <c r="AG36" s="2">
        <v>0</v>
      </c>
      <c r="AH36" s="2">
        <v>9</v>
      </c>
      <c r="AI36" s="2">
        <v>0</v>
      </c>
      <c r="AK36">
        <v>5824279</v>
      </c>
      <c r="AL36" t="s">
        <v>94</v>
      </c>
    </row>
    <row r="37" spans="1:38" x14ac:dyDescent="0.25">
      <c r="A37" s="1">
        <v>45918</v>
      </c>
      <c r="B37" s="1">
        <v>45915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139</v>
      </c>
      <c r="J37" t="s">
        <v>140</v>
      </c>
      <c r="M37" t="s">
        <v>46</v>
      </c>
      <c r="O37" t="s">
        <v>62</v>
      </c>
      <c r="P37" t="s">
        <v>63</v>
      </c>
      <c r="Q37" t="s">
        <v>49</v>
      </c>
      <c r="R37" t="s">
        <v>141</v>
      </c>
      <c r="S37" s="1">
        <v>45474</v>
      </c>
      <c r="T37" s="1">
        <v>45945</v>
      </c>
      <c r="U37" t="s">
        <v>51</v>
      </c>
      <c r="V37">
        <v>1</v>
      </c>
      <c r="W37" s="1">
        <v>45917</v>
      </c>
      <c r="X37" t="s">
        <v>52</v>
      </c>
      <c r="Y37" s="2">
        <v>1</v>
      </c>
      <c r="Z37" s="2">
        <v>1</v>
      </c>
      <c r="AB37" s="3">
        <v>1</v>
      </c>
      <c r="AC37" s="2">
        <v>25.5</v>
      </c>
      <c r="AG37" s="2">
        <v>0</v>
      </c>
      <c r="AH37" s="2">
        <v>25.5</v>
      </c>
      <c r="AI37" s="2">
        <v>0</v>
      </c>
      <c r="AK37">
        <v>5824282</v>
      </c>
      <c r="AL37" t="s">
        <v>94</v>
      </c>
    </row>
    <row r="38" spans="1:38" x14ac:dyDescent="0.25">
      <c r="A38" s="1">
        <v>45918</v>
      </c>
      <c r="B38" s="1">
        <v>45915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142</v>
      </c>
      <c r="J38" t="s">
        <v>140</v>
      </c>
      <c r="M38" t="s">
        <v>46</v>
      </c>
      <c r="O38" t="s">
        <v>62</v>
      </c>
      <c r="P38" t="s">
        <v>63</v>
      </c>
      <c r="Q38" t="s">
        <v>49</v>
      </c>
      <c r="R38" t="s">
        <v>50</v>
      </c>
      <c r="S38" s="1">
        <v>45474</v>
      </c>
      <c r="T38" s="1">
        <v>45945</v>
      </c>
      <c r="U38" t="s">
        <v>51</v>
      </c>
      <c r="V38">
        <v>1</v>
      </c>
      <c r="W38" s="1">
        <v>45917</v>
      </c>
      <c r="X38" t="s">
        <v>52</v>
      </c>
      <c r="Y38" s="2">
        <v>1</v>
      </c>
      <c r="Z38" s="2">
        <v>1</v>
      </c>
      <c r="AB38" s="3">
        <v>1</v>
      </c>
      <c r="AC38" s="2">
        <v>9</v>
      </c>
      <c r="AG38" s="2">
        <v>0</v>
      </c>
      <c r="AH38" s="2">
        <v>9</v>
      </c>
      <c r="AI38" s="2">
        <v>0</v>
      </c>
      <c r="AK38">
        <v>5824281</v>
      </c>
      <c r="AL38" t="s">
        <v>94</v>
      </c>
    </row>
    <row r="39" spans="1:38" x14ac:dyDescent="0.25">
      <c r="A39" s="1">
        <v>45918</v>
      </c>
      <c r="B39" s="1">
        <v>45915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143</v>
      </c>
      <c r="J39" t="s">
        <v>144</v>
      </c>
      <c r="M39" t="s">
        <v>46</v>
      </c>
      <c r="O39" t="s">
        <v>145</v>
      </c>
      <c r="P39" t="s">
        <v>146</v>
      </c>
      <c r="Q39" t="s">
        <v>49</v>
      </c>
      <c r="R39" t="s">
        <v>126</v>
      </c>
      <c r="S39" s="1">
        <v>45474</v>
      </c>
      <c r="T39" s="1">
        <v>45945</v>
      </c>
      <c r="U39" t="s">
        <v>51</v>
      </c>
      <c r="V39">
        <v>1</v>
      </c>
      <c r="W39" s="1">
        <v>45917</v>
      </c>
      <c r="X39" t="s">
        <v>52</v>
      </c>
      <c r="Y39" s="2">
        <v>1</v>
      </c>
      <c r="Z39" s="2">
        <v>1</v>
      </c>
      <c r="AB39" s="3">
        <v>1</v>
      </c>
      <c r="AC39" s="2">
        <v>25.5</v>
      </c>
      <c r="AG39" s="2">
        <v>0</v>
      </c>
      <c r="AH39" s="2">
        <v>25.5</v>
      </c>
      <c r="AI39" s="2">
        <v>0</v>
      </c>
      <c r="AK39">
        <v>5824284</v>
      </c>
      <c r="AL39" t="s">
        <v>94</v>
      </c>
    </row>
    <row r="40" spans="1:38" x14ac:dyDescent="0.25">
      <c r="A40" s="1">
        <v>45918</v>
      </c>
      <c r="B40" s="1">
        <v>45915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147</v>
      </c>
      <c r="J40" t="s">
        <v>144</v>
      </c>
      <c r="M40" t="s">
        <v>46</v>
      </c>
      <c r="O40" t="s">
        <v>145</v>
      </c>
      <c r="P40" t="s">
        <v>146</v>
      </c>
      <c r="Q40" t="s">
        <v>49</v>
      </c>
      <c r="R40" t="s">
        <v>50</v>
      </c>
      <c r="S40" s="1">
        <v>45474</v>
      </c>
      <c r="T40" s="1">
        <v>45945</v>
      </c>
      <c r="U40" t="s">
        <v>51</v>
      </c>
      <c r="V40">
        <v>1</v>
      </c>
      <c r="W40" s="1">
        <v>45917</v>
      </c>
      <c r="X40" t="s">
        <v>52</v>
      </c>
      <c r="Y40" s="2">
        <v>1</v>
      </c>
      <c r="Z40" s="2">
        <v>1</v>
      </c>
      <c r="AB40" s="3">
        <v>1</v>
      </c>
      <c r="AC40" s="2">
        <v>9</v>
      </c>
      <c r="AG40" s="2">
        <v>0</v>
      </c>
      <c r="AH40" s="2">
        <v>9</v>
      </c>
      <c r="AI40" s="2">
        <v>0</v>
      </c>
      <c r="AK40">
        <v>5824283</v>
      </c>
      <c r="AL40" t="s">
        <v>94</v>
      </c>
    </row>
    <row r="41" spans="1:38" x14ac:dyDescent="0.25">
      <c r="A41" s="1">
        <v>45918</v>
      </c>
      <c r="B41" s="1">
        <v>45915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148</v>
      </c>
      <c r="J41" t="s">
        <v>149</v>
      </c>
      <c r="M41" t="s">
        <v>46</v>
      </c>
      <c r="O41" t="s">
        <v>62</v>
      </c>
      <c r="P41" t="s">
        <v>63</v>
      </c>
      <c r="Q41" t="s">
        <v>49</v>
      </c>
      <c r="R41" t="s">
        <v>126</v>
      </c>
      <c r="S41" s="1">
        <v>45474</v>
      </c>
      <c r="T41" s="1">
        <v>45945</v>
      </c>
      <c r="U41" t="s">
        <v>51</v>
      </c>
      <c r="V41">
        <v>1</v>
      </c>
      <c r="W41" s="1">
        <v>45917</v>
      </c>
      <c r="X41" t="s">
        <v>52</v>
      </c>
      <c r="Y41" s="2">
        <v>1</v>
      </c>
      <c r="Z41" s="2">
        <v>1</v>
      </c>
      <c r="AB41" s="3">
        <v>1</v>
      </c>
      <c r="AC41" s="2">
        <v>25.5</v>
      </c>
      <c r="AG41" s="2">
        <v>0</v>
      </c>
      <c r="AH41" s="2">
        <v>25.5</v>
      </c>
      <c r="AI41" s="2">
        <v>0</v>
      </c>
      <c r="AK41">
        <v>5824286</v>
      </c>
      <c r="AL41" t="s">
        <v>94</v>
      </c>
    </row>
    <row r="42" spans="1:38" x14ac:dyDescent="0.25">
      <c r="A42" s="1">
        <v>45918</v>
      </c>
      <c r="B42" s="1">
        <v>45915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150</v>
      </c>
      <c r="J42" t="s">
        <v>149</v>
      </c>
      <c r="M42" t="s">
        <v>46</v>
      </c>
      <c r="O42" t="s">
        <v>62</v>
      </c>
      <c r="P42" t="s">
        <v>63</v>
      </c>
      <c r="Q42" t="s">
        <v>49</v>
      </c>
      <c r="R42" t="s">
        <v>50</v>
      </c>
      <c r="S42" s="1">
        <v>45474</v>
      </c>
      <c r="T42" s="1">
        <v>45945</v>
      </c>
      <c r="U42" t="s">
        <v>51</v>
      </c>
      <c r="V42">
        <v>1</v>
      </c>
      <c r="W42" s="1">
        <v>45917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5824285</v>
      </c>
      <c r="AL42" t="s">
        <v>94</v>
      </c>
    </row>
    <row r="43" spans="1:38" x14ac:dyDescent="0.25">
      <c r="A43" s="1">
        <v>45918</v>
      </c>
      <c r="B43" s="1">
        <v>45915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151</v>
      </c>
      <c r="J43" t="s">
        <v>152</v>
      </c>
      <c r="M43" t="s">
        <v>46</v>
      </c>
      <c r="O43" t="s">
        <v>153</v>
      </c>
      <c r="P43" t="s">
        <v>154</v>
      </c>
      <c r="Q43" t="s">
        <v>49</v>
      </c>
      <c r="R43" t="s">
        <v>126</v>
      </c>
      <c r="S43" s="1">
        <v>45474</v>
      </c>
      <c r="T43" s="1">
        <v>45945</v>
      </c>
      <c r="U43" t="s">
        <v>51</v>
      </c>
      <c r="V43">
        <v>1</v>
      </c>
      <c r="W43" s="1">
        <v>45917</v>
      </c>
      <c r="X43" t="s">
        <v>52</v>
      </c>
      <c r="Y43" s="2">
        <v>1</v>
      </c>
      <c r="Z43" s="2">
        <v>1</v>
      </c>
      <c r="AB43" s="3">
        <v>1</v>
      </c>
      <c r="AC43" s="2">
        <v>25.5</v>
      </c>
      <c r="AG43" s="2">
        <v>0</v>
      </c>
      <c r="AH43" s="2">
        <v>25.5</v>
      </c>
      <c r="AI43" s="2">
        <v>0</v>
      </c>
      <c r="AK43">
        <v>5824289</v>
      </c>
      <c r="AL43" t="s">
        <v>94</v>
      </c>
    </row>
    <row r="44" spans="1:38" x14ac:dyDescent="0.25">
      <c r="A44" s="1">
        <v>45918</v>
      </c>
      <c r="B44" s="1">
        <v>45915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155</v>
      </c>
      <c r="J44" t="s">
        <v>152</v>
      </c>
      <c r="M44" t="s">
        <v>46</v>
      </c>
      <c r="O44" t="s">
        <v>153</v>
      </c>
      <c r="P44" t="s">
        <v>154</v>
      </c>
      <c r="Q44" t="s">
        <v>49</v>
      </c>
      <c r="R44" t="s">
        <v>50</v>
      </c>
      <c r="S44" s="1">
        <v>45474</v>
      </c>
      <c r="T44" s="1">
        <v>45945</v>
      </c>
      <c r="U44" t="s">
        <v>51</v>
      </c>
      <c r="V44">
        <v>1</v>
      </c>
      <c r="W44" s="1">
        <v>45917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5824288</v>
      </c>
      <c r="AL44" t="s">
        <v>94</v>
      </c>
    </row>
    <row r="45" spans="1:38" x14ac:dyDescent="0.25">
      <c r="A45" s="1">
        <v>45918</v>
      </c>
      <c r="B45" s="1">
        <v>45915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156</v>
      </c>
      <c r="J45" t="s">
        <v>157</v>
      </c>
      <c r="O45" t="s">
        <v>91</v>
      </c>
      <c r="P45" t="s">
        <v>92</v>
      </c>
      <c r="Q45" t="s">
        <v>49</v>
      </c>
      <c r="R45" t="s">
        <v>126</v>
      </c>
      <c r="S45" s="1">
        <v>45474</v>
      </c>
      <c r="T45" s="1">
        <v>45945</v>
      </c>
      <c r="U45" t="s">
        <v>51</v>
      </c>
      <c r="V45">
        <v>1</v>
      </c>
      <c r="W45" s="1">
        <v>45917</v>
      </c>
      <c r="X45" t="s">
        <v>52</v>
      </c>
      <c r="Y45" s="2">
        <v>1</v>
      </c>
      <c r="Z45" s="2">
        <v>1</v>
      </c>
      <c r="AB45" s="3">
        <v>1</v>
      </c>
      <c r="AC45" s="2">
        <v>25.5</v>
      </c>
      <c r="AG45" s="2">
        <v>0</v>
      </c>
      <c r="AH45" s="2">
        <v>25.5</v>
      </c>
      <c r="AI45" s="2">
        <v>0</v>
      </c>
      <c r="AK45">
        <v>5824292</v>
      </c>
      <c r="AL45" t="s">
        <v>94</v>
      </c>
    </row>
    <row r="46" spans="1:38" x14ac:dyDescent="0.25">
      <c r="A46" s="1">
        <v>45918</v>
      </c>
      <c r="B46" s="1">
        <v>45915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158</v>
      </c>
      <c r="J46" t="s">
        <v>157</v>
      </c>
      <c r="O46" t="s">
        <v>91</v>
      </c>
      <c r="P46" t="s">
        <v>92</v>
      </c>
      <c r="Q46" t="s">
        <v>58</v>
      </c>
      <c r="R46" t="s">
        <v>50</v>
      </c>
      <c r="S46" s="1">
        <v>45474</v>
      </c>
      <c r="T46" s="1">
        <v>45945</v>
      </c>
      <c r="U46" t="s">
        <v>51</v>
      </c>
      <c r="V46">
        <v>1</v>
      </c>
      <c r="W46" s="1">
        <v>45917</v>
      </c>
      <c r="X46" t="s">
        <v>52</v>
      </c>
      <c r="Y46" s="2">
        <v>1</v>
      </c>
      <c r="Z46" s="2">
        <v>1</v>
      </c>
      <c r="AB46" s="3">
        <v>1</v>
      </c>
      <c r="AC46" s="2">
        <v>9</v>
      </c>
      <c r="AG46" s="2">
        <v>0</v>
      </c>
      <c r="AH46" s="2">
        <v>9</v>
      </c>
      <c r="AI46" s="2">
        <v>0</v>
      </c>
      <c r="AK46">
        <v>5824291</v>
      </c>
      <c r="AL46" t="s">
        <v>94</v>
      </c>
    </row>
    <row r="47" spans="1:38" x14ac:dyDescent="0.25">
      <c r="A47" s="1">
        <v>45918</v>
      </c>
      <c r="B47" s="1">
        <v>45915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159</v>
      </c>
      <c r="J47" t="s">
        <v>160</v>
      </c>
      <c r="M47" t="s">
        <v>46</v>
      </c>
      <c r="O47" t="s">
        <v>62</v>
      </c>
      <c r="P47" t="s">
        <v>63</v>
      </c>
      <c r="Q47" t="s">
        <v>58</v>
      </c>
      <c r="R47" t="s">
        <v>50</v>
      </c>
      <c r="S47" s="1">
        <v>45474</v>
      </c>
      <c r="T47" s="1">
        <v>45945</v>
      </c>
      <c r="U47" t="s">
        <v>51</v>
      </c>
      <c r="V47">
        <v>1</v>
      </c>
      <c r="W47" s="1">
        <v>45917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5863502</v>
      </c>
      <c r="AL47" t="s">
        <v>53</v>
      </c>
    </row>
    <row r="48" spans="1:38" x14ac:dyDescent="0.25">
      <c r="A48" s="1">
        <v>45918</v>
      </c>
      <c r="B48" s="1">
        <v>45915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161</v>
      </c>
      <c r="J48" t="s">
        <v>162</v>
      </c>
      <c r="M48" t="s">
        <v>46</v>
      </c>
      <c r="O48" t="s">
        <v>74</v>
      </c>
      <c r="P48" t="s">
        <v>75</v>
      </c>
      <c r="Q48" t="s">
        <v>58</v>
      </c>
      <c r="R48" t="s">
        <v>50</v>
      </c>
      <c r="S48" s="1">
        <v>45505</v>
      </c>
      <c r="T48" s="1">
        <v>45945</v>
      </c>
      <c r="U48" t="s">
        <v>51</v>
      </c>
      <c r="V48">
        <v>1</v>
      </c>
      <c r="W48" s="1">
        <v>45917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5863505</v>
      </c>
      <c r="AL48" t="s">
        <v>53</v>
      </c>
    </row>
    <row r="49" spans="1:38" x14ac:dyDescent="0.25">
      <c r="A49" s="1">
        <v>45918</v>
      </c>
      <c r="B49" s="1">
        <v>45915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163</v>
      </c>
      <c r="J49" t="s">
        <v>164</v>
      </c>
      <c r="M49" t="s">
        <v>46</v>
      </c>
      <c r="O49" t="s">
        <v>74</v>
      </c>
      <c r="P49" t="s">
        <v>75</v>
      </c>
      <c r="Q49" t="s">
        <v>58</v>
      </c>
      <c r="R49" t="s">
        <v>50</v>
      </c>
      <c r="S49" s="1">
        <v>45474</v>
      </c>
      <c r="T49" s="1">
        <v>45945</v>
      </c>
      <c r="U49" t="s">
        <v>51</v>
      </c>
      <c r="V49">
        <v>1</v>
      </c>
      <c r="W49" s="1">
        <v>45917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5863512</v>
      </c>
      <c r="AL49" t="s">
        <v>53</v>
      </c>
    </row>
    <row r="50" spans="1:38" x14ac:dyDescent="0.25">
      <c r="A50" s="1">
        <v>45918</v>
      </c>
      <c r="B50" s="1">
        <v>45915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165</v>
      </c>
      <c r="J50" t="s">
        <v>166</v>
      </c>
      <c r="M50" t="s">
        <v>46</v>
      </c>
      <c r="O50" t="s">
        <v>167</v>
      </c>
      <c r="P50" t="s">
        <v>168</v>
      </c>
      <c r="Q50" t="s">
        <v>58</v>
      </c>
      <c r="R50" t="s">
        <v>50</v>
      </c>
      <c r="S50" s="1">
        <v>45505</v>
      </c>
      <c r="T50" s="1">
        <v>45945</v>
      </c>
      <c r="U50" t="s">
        <v>51</v>
      </c>
      <c r="V50">
        <v>1</v>
      </c>
      <c r="W50" s="1">
        <v>45917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5863521</v>
      </c>
      <c r="AL50" t="s">
        <v>53</v>
      </c>
    </row>
    <row r="51" spans="1:38" x14ac:dyDescent="0.25">
      <c r="A51" s="1">
        <v>45918</v>
      </c>
      <c r="B51" s="1">
        <v>45915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169</v>
      </c>
      <c r="J51" t="s">
        <v>170</v>
      </c>
      <c r="M51" t="s">
        <v>46</v>
      </c>
      <c r="O51" t="s">
        <v>91</v>
      </c>
      <c r="P51" t="s">
        <v>92</v>
      </c>
      <c r="Q51" t="s">
        <v>49</v>
      </c>
      <c r="R51" t="s">
        <v>126</v>
      </c>
      <c r="S51" s="1">
        <v>45474</v>
      </c>
      <c r="T51" s="1">
        <v>45945</v>
      </c>
      <c r="U51" t="s">
        <v>51</v>
      </c>
      <c r="V51">
        <v>1</v>
      </c>
      <c r="W51" s="1">
        <v>45917</v>
      </c>
      <c r="X51" t="s">
        <v>52</v>
      </c>
      <c r="Y51" s="2">
        <v>1</v>
      </c>
      <c r="Z51" s="2">
        <v>1</v>
      </c>
      <c r="AB51" s="3">
        <v>1</v>
      </c>
      <c r="AC51" s="2">
        <v>25.5</v>
      </c>
      <c r="AG51" s="2">
        <v>0</v>
      </c>
      <c r="AH51" s="2">
        <v>25.5</v>
      </c>
      <c r="AI51" s="2">
        <v>0</v>
      </c>
      <c r="AK51">
        <v>5824294</v>
      </c>
      <c r="AL51" t="s">
        <v>94</v>
      </c>
    </row>
    <row r="52" spans="1:38" x14ac:dyDescent="0.25">
      <c r="A52" s="1">
        <v>45918</v>
      </c>
      <c r="B52" s="1">
        <v>45915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171</v>
      </c>
      <c r="J52" t="s">
        <v>170</v>
      </c>
      <c r="M52" t="s">
        <v>46</v>
      </c>
      <c r="O52" t="s">
        <v>91</v>
      </c>
      <c r="P52" t="s">
        <v>92</v>
      </c>
      <c r="Q52" t="s">
        <v>49</v>
      </c>
      <c r="R52" t="s">
        <v>50</v>
      </c>
      <c r="S52" s="1">
        <v>45474</v>
      </c>
      <c r="T52" s="1">
        <v>45945</v>
      </c>
      <c r="U52" t="s">
        <v>51</v>
      </c>
      <c r="V52">
        <v>1</v>
      </c>
      <c r="W52" s="1">
        <v>45917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5824293</v>
      </c>
      <c r="AL52" t="s">
        <v>94</v>
      </c>
    </row>
    <row r="53" spans="1:38" x14ac:dyDescent="0.25">
      <c r="A53" s="1">
        <v>45918</v>
      </c>
      <c r="B53" s="1">
        <v>45915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172</v>
      </c>
      <c r="J53" t="s">
        <v>173</v>
      </c>
      <c r="M53" t="s">
        <v>46</v>
      </c>
      <c r="O53" t="s">
        <v>153</v>
      </c>
      <c r="P53" t="s">
        <v>154</v>
      </c>
      <c r="Q53" t="s">
        <v>58</v>
      </c>
      <c r="R53" t="s">
        <v>50</v>
      </c>
      <c r="S53" s="1">
        <v>45474</v>
      </c>
      <c r="T53" s="1">
        <v>45945</v>
      </c>
      <c r="U53" t="s">
        <v>51</v>
      </c>
      <c r="V53">
        <v>1</v>
      </c>
      <c r="W53" s="1">
        <v>45917</v>
      </c>
      <c r="X53" t="s">
        <v>52</v>
      </c>
      <c r="Y53" s="2">
        <v>1</v>
      </c>
      <c r="Z53" s="2">
        <v>1</v>
      </c>
      <c r="AB53" s="3">
        <v>1</v>
      </c>
      <c r="AC53" s="2">
        <v>9</v>
      </c>
      <c r="AG53" s="2">
        <v>0</v>
      </c>
      <c r="AH53" s="2">
        <v>9</v>
      </c>
      <c r="AI53" s="2">
        <v>0</v>
      </c>
      <c r="AK53">
        <v>5863528</v>
      </c>
      <c r="AL53" t="s">
        <v>53</v>
      </c>
    </row>
    <row r="54" spans="1:38" x14ac:dyDescent="0.25">
      <c r="A54" s="1">
        <v>45918</v>
      </c>
      <c r="B54" s="1">
        <v>45915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174</v>
      </c>
      <c r="J54" t="s">
        <v>175</v>
      </c>
      <c r="M54" t="s">
        <v>46</v>
      </c>
      <c r="O54" t="s">
        <v>100</v>
      </c>
      <c r="P54" t="s">
        <v>101</v>
      </c>
      <c r="Q54" t="s">
        <v>58</v>
      </c>
      <c r="R54" t="s">
        <v>50</v>
      </c>
      <c r="S54" s="1">
        <v>45444</v>
      </c>
      <c r="T54" s="1">
        <v>45945</v>
      </c>
      <c r="U54" t="s">
        <v>51</v>
      </c>
      <c r="V54">
        <v>1</v>
      </c>
      <c r="W54" s="1">
        <v>45917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5863530</v>
      </c>
      <c r="AL54" t="s">
        <v>53</v>
      </c>
    </row>
    <row r="55" spans="1:38" x14ac:dyDescent="0.25">
      <c r="A55" s="1">
        <v>45918</v>
      </c>
      <c r="B55" s="1">
        <v>45915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176</v>
      </c>
      <c r="J55" t="s">
        <v>177</v>
      </c>
      <c r="M55" t="s">
        <v>46</v>
      </c>
      <c r="O55" t="s">
        <v>91</v>
      </c>
      <c r="P55" t="s">
        <v>92</v>
      </c>
      <c r="Q55" t="s">
        <v>49</v>
      </c>
      <c r="R55" t="s">
        <v>93</v>
      </c>
      <c r="S55" s="1">
        <v>45474</v>
      </c>
      <c r="T55" s="1">
        <v>45945</v>
      </c>
      <c r="U55" t="s">
        <v>51</v>
      </c>
      <c r="V55">
        <v>1</v>
      </c>
      <c r="W55" s="1">
        <v>45917</v>
      </c>
      <c r="X55" t="s">
        <v>52</v>
      </c>
      <c r="Y55" s="2">
        <v>1</v>
      </c>
      <c r="Z55" s="2">
        <v>1</v>
      </c>
      <c r="AB55" s="3">
        <v>1</v>
      </c>
      <c r="AC55" s="2">
        <v>25.5</v>
      </c>
      <c r="AG55" s="2">
        <v>0</v>
      </c>
      <c r="AH55" s="2">
        <v>25.5</v>
      </c>
      <c r="AI55" s="2">
        <v>0</v>
      </c>
      <c r="AK55">
        <v>5824296</v>
      </c>
      <c r="AL55" t="s">
        <v>94</v>
      </c>
    </row>
    <row r="56" spans="1:38" x14ac:dyDescent="0.25">
      <c r="A56" s="1">
        <v>45918</v>
      </c>
      <c r="B56" s="1">
        <v>45915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178</v>
      </c>
      <c r="J56" t="s">
        <v>177</v>
      </c>
      <c r="M56" t="s">
        <v>46</v>
      </c>
      <c r="O56" t="s">
        <v>91</v>
      </c>
      <c r="P56" t="s">
        <v>92</v>
      </c>
      <c r="Q56" t="s">
        <v>49</v>
      </c>
      <c r="R56" t="s">
        <v>50</v>
      </c>
      <c r="S56" s="1">
        <v>45474</v>
      </c>
      <c r="T56" s="1">
        <v>45945</v>
      </c>
      <c r="U56" t="s">
        <v>51</v>
      </c>
      <c r="V56">
        <v>1</v>
      </c>
      <c r="W56" s="1">
        <v>45917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5824295</v>
      </c>
      <c r="AL56" t="s">
        <v>94</v>
      </c>
    </row>
    <row r="57" spans="1:38" x14ac:dyDescent="0.25">
      <c r="A57" s="1">
        <v>45918</v>
      </c>
      <c r="B57" s="1">
        <v>45915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179</v>
      </c>
      <c r="J57" t="s">
        <v>180</v>
      </c>
      <c r="M57" t="s">
        <v>46</v>
      </c>
      <c r="O57" t="s">
        <v>181</v>
      </c>
      <c r="P57" t="s">
        <v>182</v>
      </c>
      <c r="Q57" t="s">
        <v>49</v>
      </c>
      <c r="R57" t="s">
        <v>183</v>
      </c>
      <c r="S57" s="1">
        <v>45474</v>
      </c>
      <c r="T57" s="1">
        <v>45945</v>
      </c>
      <c r="U57" t="s">
        <v>51</v>
      </c>
      <c r="V57">
        <v>1</v>
      </c>
      <c r="W57" s="1">
        <v>45917</v>
      </c>
      <c r="X57" t="s">
        <v>52</v>
      </c>
      <c r="Y57" s="2">
        <v>1</v>
      </c>
      <c r="Z57" s="2">
        <v>1</v>
      </c>
      <c r="AB57" s="3">
        <v>1</v>
      </c>
      <c r="AC57" s="2">
        <v>7</v>
      </c>
      <c r="AG57" s="2">
        <v>0</v>
      </c>
      <c r="AH57" s="2">
        <v>7</v>
      </c>
      <c r="AI57" s="2">
        <v>0</v>
      </c>
      <c r="AK57">
        <v>5863566</v>
      </c>
      <c r="AL57" t="s">
        <v>53</v>
      </c>
    </row>
    <row r="58" spans="1:38" x14ac:dyDescent="0.25">
      <c r="A58" s="1">
        <v>45918</v>
      </c>
      <c r="B58" s="1">
        <v>45915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184</v>
      </c>
      <c r="J58" t="s">
        <v>185</v>
      </c>
      <c r="M58" t="s">
        <v>46</v>
      </c>
      <c r="O58" t="s">
        <v>74</v>
      </c>
      <c r="P58" t="s">
        <v>75</v>
      </c>
      <c r="Q58" t="s">
        <v>58</v>
      </c>
      <c r="R58" t="s">
        <v>50</v>
      </c>
      <c r="S58" s="1">
        <v>45474</v>
      </c>
      <c r="T58" s="1">
        <v>45945</v>
      </c>
      <c r="U58" t="s">
        <v>51</v>
      </c>
      <c r="V58">
        <v>1</v>
      </c>
      <c r="W58" s="1">
        <v>45917</v>
      </c>
      <c r="X58" t="s">
        <v>52</v>
      </c>
      <c r="Y58" s="2">
        <v>1</v>
      </c>
      <c r="Z58" s="2">
        <v>1</v>
      </c>
      <c r="AB58" s="3">
        <v>1</v>
      </c>
      <c r="AC58" s="2">
        <v>9</v>
      </c>
      <c r="AG58" s="2">
        <v>0</v>
      </c>
      <c r="AH58" s="2">
        <v>9</v>
      </c>
      <c r="AI58" s="2">
        <v>0</v>
      </c>
      <c r="AK58">
        <v>5863583</v>
      </c>
      <c r="AL58" t="s">
        <v>53</v>
      </c>
    </row>
    <row r="59" spans="1:38" x14ac:dyDescent="0.25">
      <c r="A59" s="1">
        <v>45918</v>
      </c>
      <c r="B59" s="1">
        <v>45915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186</v>
      </c>
      <c r="J59" t="s">
        <v>187</v>
      </c>
      <c r="M59" t="s">
        <v>46</v>
      </c>
      <c r="O59" t="s">
        <v>91</v>
      </c>
      <c r="P59" t="s">
        <v>92</v>
      </c>
      <c r="Q59" t="s">
        <v>49</v>
      </c>
      <c r="R59" t="s">
        <v>126</v>
      </c>
      <c r="S59" s="1">
        <v>45505</v>
      </c>
      <c r="T59" s="1">
        <v>45945</v>
      </c>
      <c r="U59" t="s">
        <v>51</v>
      </c>
      <c r="V59">
        <v>1</v>
      </c>
      <c r="W59" s="1">
        <v>45917</v>
      </c>
      <c r="X59" t="s">
        <v>52</v>
      </c>
      <c r="Y59" s="2">
        <v>1</v>
      </c>
      <c r="Z59" s="2">
        <v>1</v>
      </c>
      <c r="AB59" s="3">
        <v>1</v>
      </c>
      <c r="AC59" s="2">
        <v>25.5</v>
      </c>
      <c r="AG59" s="2">
        <v>0</v>
      </c>
      <c r="AH59" s="2">
        <v>25.5</v>
      </c>
      <c r="AI59" s="2">
        <v>0</v>
      </c>
      <c r="AK59">
        <v>5824298</v>
      </c>
      <c r="AL59" t="s">
        <v>94</v>
      </c>
    </row>
    <row r="60" spans="1:38" x14ac:dyDescent="0.25">
      <c r="A60" s="1">
        <v>45918</v>
      </c>
      <c r="B60" s="1">
        <v>45915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188</v>
      </c>
      <c r="J60" t="s">
        <v>187</v>
      </c>
      <c r="M60" t="s">
        <v>46</v>
      </c>
      <c r="O60" t="s">
        <v>91</v>
      </c>
      <c r="P60" t="s">
        <v>92</v>
      </c>
      <c r="Q60" t="s">
        <v>49</v>
      </c>
      <c r="R60" t="s">
        <v>50</v>
      </c>
      <c r="S60" s="1">
        <v>45505</v>
      </c>
      <c r="T60" s="1">
        <v>45945</v>
      </c>
      <c r="U60" t="s">
        <v>51</v>
      </c>
      <c r="V60">
        <v>1</v>
      </c>
      <c r="W60" s="1">
        <v>45917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5824297</v>
      </c>
      <c r="AL60" t="s">
        <v>94</v>
      </c>
    </row>
    <row r="61" spans="1:38" x14ac:dyDescent="0.25">
      <c r="A61" s="1">
        <v>45918</v>
      </c>
      <c r="B61" s="1">
        <v>45915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189</v>
      </c>
      <c r="J61" t="s">
        <v>190</v>
      </c>
      <c r="M61" t="s">
        <v>46</v>
      </c>
      <c r="O61" t="s">
        <v>74</v>
      </c>
      <c r="P61" t="s">
        <v>75</v>
      </c>
      <c r="Q61" t="s">
        <v>58</v>
      </c>
      <c r="R61" t="s">
        <v>50</v>
      </c>
      <c r="S61" s="1">
        <v>45536</v>
      </c>
      <c r="T61" s="1">
        <v>45945</v>
      </c>
      <c r="U61" t="s">
        <v>51</v>
      </c>
      <c r="V61">
        <v>1</v>
      </c>
      <c r="W61" s="1">
        <v>45917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5863609</v>
      </c>
      <c r="AL61" t="s">
        <v>53</v>
      </c>
    </row>
    <row r="62" spans="1:38" x14ac:dyDescent="0.25">
      <c r="A62" s="1">
        <v>45918</v>
      </c>
      <c r="B62" s="1">
        <v>45915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191</v>
      </c>
      <c r="J62" t="s">
        <v>192</v>
      </c>
      <c r="M62" t="s">
        <v>46</v>
      </c>
      <c r="O62" t="s">
        <v>181</v>
      </c>
      <c r="P62" t="s">
        <v>182</v>
      </c>
      <c r="Q62" t="s">
        <v>49</v>
      </c>
      <c r="R62" t="s">
        <v>183</v>
      </c>
      <c r="S62" s="1">
        <v>45505</v>
      </c>
      <c r="T62" s="1">
        <v>45945</v>
      </c>
      <c r="U62" t="s">
        <v>51</v>
      </c>
      <c r="V62">
        <v>1</v>
      </c>
      <c r="W62" s="1">
        <v>45917</v>
      </c>
      <c r="X62" t="s">
        <v>52</v>
      </c>
      <c r="Y62" s="2">
        <v>1</v>
      </c>
      <c r="Z62" s="2">
        <v>1</v>
      </c>
      <c r="AB62" s="3">
        <v>1</v>
      </c>
      <c r="AC62" s="2">
        <v>7</v>
      </c>
      <c r="AG62" s="2">
        <v>0</v>
      </c>
      <c r="AH62" s="2">
        <v>7</v>
      </c>
      <c r="AI62" s="2">
        <v>0</v>
      </c>
      <c r="AK62">
        <v>5863616</v>
      </c>
      <c r="AL62" t="s">
        <v>53</v>
      </c>
    </row>
    <row r="63" spans="1:38" x14ac:dyDescent="0.25">
      <c r="A63" s="1">
        <v>45918</v>
      </c>
      <c r="B63" s="1">
        <v>45915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193</v>
      </c>
      <c r="J63" t="s">
        <v>194</v>
      </c>
      <c r="M63" t="s">
        <v>46</v>
      </c>
      <c r="O63" t="s">
        <v>62</v>
      </c>
      <c r="P63" t="s">
        <v>63</v>
      </c>
      <c r="Q63" t="s">
        <v>58</v>
      </c>
      <c r="R63" t="s">
        <v>50</v>
      </c>
      <c r="S63" s="1">
        <v>45536</v>
      </c>
      <c r="T63" s="1">
        <v>45945</v>
      </c>
      <c r="U63" t="s">
        <v>51</v>
      </c>
      <c r="V63">
        <v>1</v>
      </c>
      <c r="W63" s="1">
        <v>45917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5863637</v>
      </c>
      <c r="AL63" t="s">
        <v>53</v>
      </c>
    </row>
    <row r="64" spans="1:38" x14ac:dyDescent="0.25">
      <c r="A64" s="1">
        <v>45918</v>
      </c>
      <c r="B64" s="1">
        <v>45915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195</v>
      </c>
      <c r="J64" t="s">
        <v>196</v>
      </c>
      <c r="M64" t="s">
        <v>46</v>
      </c>
      <c r="O64" t="s">
        <v>91</v>
      </c>
      <c r="P64" t="s">
        <v>92</v>
      </c>
      <c r="Q64" t="s">
        <v>49</v>
      </c>
      <c r="R64" t="s">
        <v>126</v>
      </c>
      <c r="S64" s="1">
        <v>45505</v>
      </c>
      <c r="T64" s="1">
        <v>45945</v>
      </c>
      <c r="U64" t="s">
        <v>51</v>
      </c>
      <c r="V64">
        <v>1</v>
      </c>
      <c r="W64" s="1">
        <v>45917</v>
      </c>
      <c r="X64" t="s">
        <v>52</v>
      </c>
      <c r="Y64" s="2">
        <v>1</v>
      </c>
      <c r="Z64" s="2">
        <v>1</v>
      </c>
      <c r="AB64" s="3">
        <v>1</v>
      </c>
      <c r="AC64" s="2">
        <v>25.5</v>
      </c>
      <c r="AG64" s="2">
        <v>0</v>
      </c>
      <c r="AH64" s="2">
        <v>25.5</v>
      </c>
      <c r="AI64" s="2">
        <v>0</v>
      </c>
      <c r="AK64">
        <v>5824300</v>
      </c>
      <c r="AL64" t="s">
        <v>94</v>
      </c>
    </row>
    <row r="65" spans="1:38" x14ac:dyDescent="0.25">
      <c r="A65" s="1">
        <v>45918</v>
      </c>
      <c r="B65" s="1">
        <v>45915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197</v>
      </c>
      <c r="J65" t="s">
        <v>196</v>
      </c>
      <c r="M65" t="s">
        <v>46</v>
      </c>
      <c r="O65" t="s">
        <v>91</v>
      </c>
      <c r="P65" t="s">
        <v>92</v>
      </c>
      <c r="Q65" t="s">
        <v>49</v>
      </c>
      <c r="R65" t="s">
        <v>50</v>
      </c>
      <c r="S65" s="1">
        <v>45505</v>
      </c>
      <c r="T65" s="1">
        <v>45945</v>
      </c>
      <c r="U65" t="s">
        <v>51</v>
      </c>
      <c r="V65">
        <v>1</v>
      </c>
      <c r="W65" s="1">
        <v>45917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5824299</v>
      </c>
      <c r="AL65" t="s">
        <v>94</v>
      </c>
    </row>
    <row r="66" spans="1:38" x14ac:dyDescent="0.25">
      <c r="A66" s="1">
        <v>45918</v>
      </c>
      <c r="B66" s="1">
        <v>45915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198</v>
      </c>
      <c r="J66" t="s">
        <v>199</v>
      </c>
      <c r="M66" t="s">
        <v>46</v>
      </c>
      <c r="O66" t="s">
        <v>62</v>
      </c>
      <c r="P66" t="s">
        <v>63</v>
      </c>
      <c r="Q66" t="s">
        <v>58</v>
      </c>
      <c r="R66" t="s">
        <v>50</v>
      </c>
      <c r="S66" s="1">
        <v>45505</v>
      </c>
      <c r="T66" s="1">
        <v>45945</v>
      </c>
      <c r="U66" t="s">
        <v>51</v>
      </c>
      <c r="V66">
        <v>1</v>
      </c>
      <c r="W66" s="1">
        <v>45917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5863645</v>
      </c>
      <c r="AL66" t="s">
        <v>53</v>
      </c>
    </row>
    <row r="67" spans="1:38" x14ac:dyDescent="0.25">
      <c r="A67" s="1">
        <v>45918</v>
      </c>
      <c r="B67" s="1">
        <v>45915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200</v>
      </c>
      <c r="J67" t="s">
        <v>201</v>
      </c>
      <c r="M67" t="s">
        <v>46</v>
      </c>
      <c r="O67" t="s">
        <v>87</v>
      </c>
      <c r="P67" t="s">
        <v>88</v>
      </c>
      <c r="Q67" t="s">
        <v>58</v>
      </c>
      <c r="R67" t="s">
        <v>50</v>
      </c>
      <c r="S67" s="1">
        <v>45505</v>
      </c>
      <c r="T67" s="1">
        <v>45945</v>
      </c>
      <c r="U67" t="s">
        <v>51</v>
      </c>
      <c r="V67">
        <v>1</v>
      </c>
      <c r="W67" s="1">
        <v>45917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5863653</v>
      </c>
      <c r="AL67" t="s">
        <v>53</v>
      </c>
    </row>
    <row r="68" spans="1:38" x14ac:dyDescent="0.25">
      <c r="A68" s="1">
        <v>45918</v>
      </c>
      <c r="B68" s="1">
        <v>45915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202</v>
      </c>
      <c r="J68" t="s">
        <v>203</v>
      </c>
      <c r="M68" t="s">
        <v>46</v>
      </c>
      <c r="O68" t="s">
        <v>74</v>
      </c>
      <c r="P68" t="s">
        <v>75</v>
      </c>
      <c r="Q68" t="s">
        <v>58</v>
      </c>
      <c r="R68" t="s">
        <v>50</v>
      </c>
      <c r="S68" s="1">
        <v>45505</v>
      </c>
      <c r="T68" s="1">
        <v>45945</v>
      </c>
      <c r="U68" t="s">
        <v>51</v>
      </c>
      <c r="V68">
        <v>1</v>
      </c>
      <c r="W68" s="1">
        <v>45917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5863657</v>
      </c>
      <c r="AL68" t="s">
        <v>53</v>
      </c>
    </row>
    <row r="69" spans="1:38" x14ac:dyDescent="0.25">
      <c r="A69" s="1">
        <v>45918</v>
      </c>
      <c r="B69" s="1">
        <v>45915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204</v>
      </c>
      <c r="J69" t="s">
        <v>205</v>
      </c>
      <c r="M69" t="s">
        <v>46</v>
      </c>
      <c r="O69" t="s">
        <v>74</v>
      </c>
      <c r="P69" t="s">
        <v>75</v>
      </c>
      <c r="Q69" t="s">
        <v>58</v>
      </c>
      <c r="R69" t="s">
        <v>50</v>
      </c>
      <c r="S69" s="1">
        <v>45505</v>
      </c>
      <c r="T69" s="1">
        <v>45945</v>
      </c>
      <c r="U69" t="s">
        <v>51</v>
      </c>
      <c r="V69">
        <v>1</v>
      </c>
      <c r="W69" s="1">
        <v>45917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5863659</v>
      </c>
      <c r="AL69" t="s">
        <v>53</v>
      </c>
    </row>
    <row r="70" spans="1:38" x14ac:dyDescent="0.25">
      <c r="A70" s="1">
        <v>45918</v>
      </c>
      <c r="B70" s="1">
        <v>45915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206</v>
      </c>
      <c r="J70" t="s">
        <v>207</v>
      </c>
      <c r="M70" t="s">
        <v>46</v>
      </c>
      <c r="O70" t="s">
        <v>62</v>
      </c>
      <c r="P70" t="s">
        <v>63</v>
      </c>
      <c r="Q70" t="s">
        <v>58</v>
      </c>
      <c r="R70" t="s">
        <v>50</v>
      </c>
      <c r="S70" s="1">
        <v>45505</v>
      </c>
      <c r="T70" s="1">
        <v>45945</v>
      </c>
      <c r="U70" t="s">
        <v>51</v>
      </c>
      <c r="V70">
        <v>1</v>
      </c>
      <c r="W70" s="1">
        <v>45917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5863677</v>
      </c>
      <c r="AL70" t="s">
        <v>53</v>
      </c>
    </row>
    <row r="71" spans="1:38" x14ac:dyDescent="0.25">
      <c r="A71" s="1">
        <v>45918</v>
      </c>
      <c r="B71" s="1">
        <v>45915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208</v>
      </c>
      <c r="J71" t="s">
        <v>209</v>
      </c>
      <c r="M71" t="s">
        <v>46</v>
      </c>
      <c r="O71" t="s">
        <v>181</v>
      </c>
      <c r="P71" t="s">
        <v>182</v>
      </c>
      <c r="Q71" t="s">
        <v>49</v>
      </c>
      <c r="R71" t="s">
        <v>50</v>
      </c>
      <c r="S71" s="1">
        <v>45505</v>
      </c>
      <c r="T71" s="1">
        <v>45945</v>
      </c>
      <c r="U71" t="s">
        <v>51</v>
      </c>
      <c r="V71">
        <v>1</v>
      </c>
      <c r="W71" s="1">
        <v>45917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5863705</v>
      </c>
      <c r="AL71" t="s">
        <v>53</v>
      </c>
    </row>
    <row r="72" spans="1:38" x14ac:dyDescent="0.25">
      <c r="A72" s="1">
        <v>45918</v>
      </c>
      <c r="B72" s="1">
        <v>45915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210</v>
      </c>
      <c r="J72" t="s">
        <v>211</v>
      </c>
      <c r="M72" t="s">
        <v>46</v>
      </c>
      <c r="O72" t="s">
        <v>66</v>
      </c>
      <c r="P72" t="s">
        <v>67</v>
      </c>
      <c r="Q72" t="s">
        <v>58</v>
      </c>
      <c r="R72" t="s">
        <v>50</v>
      </c>
      <c r="S72" s="1">
        <v>45505</v>
      </c>
      <c r="T72" s="1">
        <v>45945</v>
      </c>
      <c r="U72" t="s">
        <v>51</v>
      </c>
      <c r="V72">
        <v>1</v>
      </c>
      <c r="W72" s="1">
        <v>45917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5863709</v>
      </c>
      <c r="AL72" t="s">
        <v>53</v>
      </c>
    </row>
    <row r="73" spans="1:38" x14ac:dyDescent="0.25">
      <c r="A73" s="1">
        <v>45918</v>
      </c>
      <c r="B73" s="1">
        <v>45915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212</v>
      </c>
      <c r="J73" t="s">
        <v>213</v>
      </c>
      <c r="M73" t="s">
        <v>46</v>
      </c>
      <c r="O73" t="s">
        <v>62</v>
      </c>
      <c r="P73" t="s">
        <v>63</v>
      </c>
      <c r="Q73" t="s">
        <v>49</v>
      </c>
      <c r="R73" t="s">
        <v>50</v>
      </c>
      <c r="S73" s="1">
        <v>45536</v>
      </c>
      <c r="T73" s="1">
        <v>45945</v>
      </c>
      <c r="U73" t="s">
        <v>51</v>
      </c>
      <c r="V73">
        <v>1</v>
      </c>
      <c r="W73" s="1">
        <v>45917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5863710</v>
      </c>
      <c r="AL73" t="s">
        <v>53</v>
      </c>
    </row>
    <row r="74" spans="1:38" x14ac:dyDescent="0.25">
      <c r="A74" s="1">
        <v>45918</v>
      </c>
      <c r="B74" s="1">
        <v>45915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214</v>
      </c>
      <c r="J74" t="s">
        <v>215</v>
      </c>
      <c r="M74" t="s">
        <v>46</v>
      </c>
      <c r="O74" t="s">
        <v>216</v>
      </c>
      <c r="P74" t="s">
        <v>217</v>
      </c>
      <c r="Q74" t="s">
        <v>58</v>
      </c>
      <c r="R74" t="s">
        <v>50</v>
      </c>
      <c r="S74" s="1">
        <v>45505</v>
      </c>
      <c r="T74" s="1">
        <v>45945</v>
      </c>
      <c r="U74" t="s">
        <v>51</v>
      </c>
      <c r="V74">
        <v>1</v>
      </c>
      <c r="W74" s="1">
        <v>45917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5863724</v>
      </c>
      <c r="AL74" t="s">
        <v>53</v>
      </c>
    </row>
    <row r="75" spans="1:38" x14ac:dyDescent="0.25">
      <c r="A75" s="1">
        <v>45918</v>
      </c>
      <c r="B75" s="1">
        <v>45915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218</v>
      </c>
      <c r="J75" t="s">
        <v>219</v>
      </c>
      <c r="M75" t="s">
        <v>46</v>
      </c>
      <c r="O75" t="s">
        <v>220</v>
      </c>
      <c r="P75" t="s">
        <v>221</v>
      </c>
      <c r="Q75" t="s">
        <v>49</v>
      </c>
      <c r="R75" t="s">
        <v>50</v>
      </c>
      <c r="S75" s="1">
        <v>45566</v>
      </c>
      <c r="T75" s="1">
        <v>45945</v>
      </c>
      <c r="U75" t="s">
        <v>51</v>
      </c>
      <c r="V75">
        <v>1</v>
      </c>
      <c r="W75" s="1">
        <v>45917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5863740</v>
      </c>
      <c r="AL75" t="s">
        <v>53</v>
      </c>
    </row>
    <row r="76" spans="1:38" x14ac:dyDescent="0.25">
      <c r="A76" s="1">
        <v>45918</v>
      </c>
      <c r="B76" s="1">
        <v>45915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222</v>
      </c>
      <c r="J76" t="s">
        <v>223</v>
      </c>
      <c r="M76" t="s">
        <v>46</v>
      </c>
      <c r="O76" t="s">
        <v>224</v>
      </c>
      <c r="P76" t="s">
        <v>225</v>
      </c>
      <c r="Q76" t="s">
        <v>58</v>
      </c>
      <c r="R76" t="s">
        <v>50</v>
      </c>
      <c r="S76" s="1">
        <v>45536</v>
      </c>
      <c r="T76" s="1">
        <v>45945</v>
      </c>
      <c r="U76" t="s">
        <v>51</v>
      </c>
      <c r="V76">
        <v>1</v>
      </c>
      <c r="W76" s="1">
        <v>45917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5863753</v>
      </c>
      <c r="AL76" t="s">
        <v>53</v>
      </c>
    </row>
    <row r="77" spans="1:38" x14ac:dyDescent="0.25">
      <c r="A77" s="1">
        <v>45918</v>
      </c>
      <c r="B77" s="1">
        <v>45915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226</v>
      </c>
      <c r="J77" t="s">
        <v>227</v>
      </c>
      <c r="M77" t="s">
        <v>46</v>
      </c>
      <c r="O77" t="s">
        <v>167</v>
      </c>
      <c r="P77" t="s">
        <v>168</v>
      </c>
      <c r="Q77" t="s">
        <v>58</v>
      </c>
      <c r="R77" t="s">
        <v>50</v>
      </c>
      <c r="S77" s="1">
        <v>45505</v>
      </c>
      <c r="T77" s="1">
        <v>45945</v>
      </c>
      <c r="U77" t="s">
        <v>51</v>
      </c>
      <c r="V77">
        <v>1</v>
      </c>
      <c r="W77" s="1">
        <v>45917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5863778</v>
      </c>
      <c r="AL77" t="s">
        <v>53</v>
      </c>
    </row>
    <row r="78" spans="1:38" x14ac:dyDescent="0.25">
      <c r="A78" s="1">
        <v>45918</v>
      </c>
      <c r="B78" s="1">
        <v>45915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228</v>
      </c>
      <c r="J78" t="s">
        <v>229</v>
      </c>
      <c r="M78" t="s">
        <v>46</v>
      </c>
      <c r="O78" t="s">
        <v>91</v>
      </c>
      <c r="P78" t="s">
        <v>92</v>
      </c>
      <c r="Q78" t="s">
        <v>49</v>
      </c>
      <c r="R78" t="s">
        <v>126</v>
      </c>
      <c r="S78" s="1">
        <v>45536</v>
      </c>
      <c r="T78" s="1">
        <v>45945</v>
      </c>
      <c r="U78" t="s">
        <v>51</v>
      </c>
      <c r="V78">
        <v>1</v>
      </c>
      <c r="W78" s="1">
        <v>45917</v>
      </c>
      <c r="X78" t="s">
        <v>52</v>
      </c>
      <c r="Y78" s="2">
        <v>1</v>
      </c>
      <c r="Z78" s="2">
        <v>1</v>
      </c>
      <c r="AB78" s="3">
        <v>1</v>
      </c>
      <c r="AC78" s="2">
        <v>25.5</v>
      </c>
      <c r="AG78" s="2">
        <v>0</v>
      </c>
      <c r="AH78" s="2">
        <v>25.5</v>
      </c>
      <c r="AI78" s="2">
        <v>0</v>
      </c>
      <c r="AK78">
        <v>5824302</v>
      </c>
      <c r="AL78" t="s">
        <v>94</v>
      </c>
    </row>
    <row r="79" spans="1:38" x14ac:dyDescent="0.25">
      <c r="A79" s="1">
        <v>45918</v>
      </c>
      <c r="B79" s="1">
        <v>45915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230</v>
      </c>
      <c r="J79" t="s">
        <v>229</v>
      </c>
      <c r="M79" t="s">
        <v>46</v>
      </c>
      <c r="O79" t="s">
        <v>91</v>
      </c>
      <c r="P79" t="s">
        <v>92</v>
      </c>
      <c r="Q79" t="s">
        <v>49</v>
      </c>
      <c r="R79" t="s">
        <v>50</v>
      </c>
      <c r="S79" s="1">
        <v>45536</v>
      </c>
      <c r="T79" s="1">
        <v>45945</v>
      </c>
      <c r="U79" t="s">
        <v>51</v>
      </c>
      <c r="V79">
        <v>1</v>
      </c>
      <c r="W79" s="1">
        <v>45917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5824301</v>
      </c>
      <c r="AL79" t="s">
        <v>94</v>
      </c>
    </row>
    <row r="80" spans="1:38" x14ac:dyDescent="0.25">
      <c r="A80" s="1">
        <v>45918</v>
      </c>
      <c r="B80" s="1">
        <v>45915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231</v>
      </c>
      <c r="J80" t="s">
        <v>232</v>
      </c>
      <c r="M80" t="s">
        <v>46</v>
      </c>
      <c r="O80" t="s">
        <v>62</v>
      </c>
      <c r="P80" t="s">
        <v>63</v>
      </c>
      <c r="Q80" t="s">
        <v>58</v>
      </c>
      <c r="R80" t="s">
        <v>50</v>
      </c>
      <c r="S80" s="1">
        <v>45536</v>
      </c>
      <c r="T80" s="1">
        <v>45945</v>
      </c>
      <c r="U80" t="s">
        <v>51</v>
      </c>
      <c r="V80">
        <v>1</v>
      </c>
      <c r="W80" s="1">
        <v>45917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5863851</v>
      </c>
      <c r="AL80" t="s">
        <v>53</v>
      </c>
    </row>
    <row r="81" spans="1:38" x14ac:dyDescent="0.25">
      <c r="A81" s="1">
        <v>45918</v>
      </c>
      <c r="B81" s="1">
        <v>45915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233</v>
      </c>
      <c r="J81" t="s">
        <v>234</v>
      </c>
      <c r="M81" t="s">
        <v>46</v>
      </c>
      <c r="O81" t="s">
        <v>100</v>
      </c>
      <c r="P81" t="s">
        <v>101</v>
      </c>
      <c r="Q81" t="s">
        <v>58</v>
      </c>
      <c r="R81" t="s">
        <v>50</v>
      </c>
      <c r="S81" s="1">
        <v>45597</v>
      </c>
      <c r="T81" s="1">
        <v>45945</v>
      </c>
      <c r="U81" t="s">
        <v>51</v>
      </c>
      <c r="V81">
        <v>1</v>
      </c>
      <c r="W81" s="1">
        <v>45917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5863860</v>
      </c>
      <c r="AL81" t="s">
        <v>53</v>
      </c>
    </row>
    <row r="82" spans="1:38" x14ac:dyDescent="0.25">
      <c r="A82" s="1">
        <v>45918</v>
      </c>
      <c r="B82" s="1">
        <v>45915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235</v>
      </c>
      <c r="J82" t="s">
        <v>236</v>
      </c>
      <c r="M82" t="s">
        <v>46</v>
      </c>
      <c r="O82" t="s">
        <v>91</v>
      </c>
      <c r="P82" t="s">
        <v>92</v>
      </c>
      <c r="Q82" t="s">
        <v>49</v>
      </c>
      <c r="R82" t="s">
        <v>126</v>
      </c>
      <c r="S82" s="1">
        <v>45536</v>
      </c>
      <c r="T82" s="1">
        <v>45945</v>
      </c>
      <c r="U82" t="s">
        <v>51</v>
      </c>
      <c r="V82">
        <v>1</v>
      </c>
      <c r="W82" s="1">
        <v>45917</v>
      </c>
      <c r="X82" t="s">
        <v>52</v>
      </c>
      <c r="Y82" s="2">
        <v>1</v>
      </c>
      <c r="Z82" s="2">
        <v>1</v>
      </c>
      <c r="AB82" s="3">
        <v>1</v>
      </c>
      <c r="AC82" s="2">
        <v>25.5</v>
      </c>
      <c r="AG82" s="2">
        <v>0</v>
      </c>
      <c r="AH82" s="2">
        <v>25.5</v>
      </c>
      <c r="AI82" s="2">
        <v>0</v>
      </c>
      <c r="AK82">
        <v>5824304</v>
      </c>
      <c r="AL82" t="s">
        <v>94</v>
      </c>
    </row>
    <row r="83" spans="1:38" x14ac:dyDescent="0.25">
      <c r="A83" s="1">
        <v>45918</v>
      </c>
      <c r="B83" s="1">
        <v>45915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237</v>
      </c>
      <c r="J83" t="s">
        <v>236</v>
      </c>
      <c r="M83" t="s">
        <v>46</v>
      </c>
      <c r="O83" t="s">
        <v>91</v>
      </c>
      <c r="P83" t="s">
        <v>92</v>
      </c>
      <c r="Q83" t="s">
        <v>49</v>
      </c>
      <c r="R83" t="s">
        <v>50</v>
      </c>
      <c r="S83" s="1">
        <v>45536</v>
      </c>
      <c r="T83" s="1">
        <v>45945</v>
      </c>
      <c r="U83" t="s">
        <v>51</v>
      </c>
      <c r="V83">
        <v>1</v>
      </c>
      <c r="W83" s="1">
        <v>45917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5824303</v>
      </c>
      <c r="AL83" t="s">
        <v>94</v>
      </c>
    </row>
    <row r="84" spans="1:38" x14ac:dyDescent="0.25">
      <c r="A84" s="1">
        <v>45918</v>
      </c>
      <c r="B84" s="1">
        <v>45915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238</v>
      </c>
      <c r="J84" t="s">
        <v>239</v>
      </c>
      <c r="M84" t="s">
        <v>46</v>
      </c>
      <c r="O84" t="s">
        <v>240</v>
      </c>
      <c r="P84" t="s">
        <v>241</v>
      </c>
      <c r="Q84" t="s">
        <v>58</v>
      </c>
      <c r="R84" t="s">
        <v>50</v>
      </c>
      <c r="S84" s="1">
        <v>45536</v>
      </c>
      <c r="T84" s="1">
        <v>45945</v>
      </c>
      <c r="U84" t="s">
        <v>51</v>
      </c>
      <c r="V84">
        <v>1</v>
      </c>
      <c r="W84" s="1">
        <v>45917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5863896</v>
      </c>
      <c r="AL84" t="s">
        <v>53</v>
      </c>
    </row>
    <row r="85" spans="1:38" x14ac:dyDescent="0.25">
      <c r="A85" s="1">
        <v>45918</v>
      </c>
      <c r="B85" s="1">
        <v>45915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242</v>
      </c>
      <c r="J85" t="s">
        <v>243</v>
      </c>
      <c r="M85" t="s">
        <v>46</v>
      </c>
      <c r="O85" t="s">
        <v>74</v>
      </c>
      <c r="P85" t="s">
        <v>75</v>
      </c>
      <c r="Q85" t="s">
        <v>58</v>
      </c>
      <c r="R85" t="s">
        <v>50</v>
      </c>
      <c r="S85" s="1">
        <v>45536</v>
      </c>
      <c r="T85" s="1">
        <v>45945</v>
      </c>
      <c r="U85" t="s">
        <v>51</v>
      </c>
      <c r="V85">
        <v>1</v>
      </c>
      <c r="W85" s="1">
        <v>45917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5863903</v>
      </c>
      <c r="AL85" t="s">
        <v>53</v>
      </c>
    </row>
    <row r="86" spans="1:38" x14ac:dyDescent="0.25">
      <c r="A86" s="1">
        <v>45918</v>
      </c>
      <c r="B86" s="1">
        <v>45915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244</v>
      </c>
      <c r="J86" t="s">
        <v>245</v>
      </c>
      <c r="M86" t="s">
        <v>46</v>
      </c>
      <c r="O86" t="s">
        <v>62</v>
      </c>
      <c r="P86" t="s">
        <v>63</v>
      </c>
      <c r="Q86" t="s">
        <v>58</v>
      </c>
      <c r="R86" t="s">
        <v>50</v>
      </c>
      <c r="S86" s="1">
        <v>45566</v>
      </c>
      <c r="T86" s="1">
        <v>45945</v>
      </c>
      <c r="U86" t="s">
        <v>51</v>
      </c>
      <c r="V86">
        <v>1</v>
      </c>
      <c r="W86" s="1">
        <v>45917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5863917</v>
      </c>
      <c r="AL86" t="s">
        <v>53</v>
      </c>
    </row>
    <row r="87" spans="1:38" x14ac:dyDescent="0.25">
      <c r="A87" s="1">
        <v>45918</v>
      </c>
      <c r="B87" s="1">
        <v>45915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246</v>
      </c>
      <c r="J87" t="s">
        <v>247</v>
      </c>
      <c r="M87" t="s">
        <v>46</v>
      </c>
      <c r="O87" t="s">
        <v>62</v>
      </c>
      <c r="P87" t="s">
        <v>63</v>
      </c>
      <c r="Q87" t="s">
        <v>58</v>
      </c>
      <c r="R87" t="s">
        <v>50</v>
      </c>
      <c r="S87" s="1">
        <v>45536</v>
      </c>
      <c r="T87" s="1">
        <v>45945</v>
      </c>
      <c r="U87" t="s">
        <v>51</v>
      </c>
      <c r="V87">
        <v>1</v>
      </c>
      <c r="W87" s="1">
        <v>45917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5863922</v>
      </c>
      <c r="AL87" t="s">
        <v>53</v>
      </c>
    </row>
    <row r="88" spans="1:38" x14ac:dyDescent="0.25">
      <c r="A88" s="1">
        <v>45918</v>
      </c>
      <c r="B88" s="1">
        <v>45915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248</v>
      </c>
      <c r="J88" t="s">
        <v>249</v>
      </c>
      <c r="M88" t="s">
        <v>46</v>
      </c>
      <c r="O88" t="s">
        <v>91</v>
      </c>
      <c r="P88" t="s">
        <v>92</v>
      </c>
      <c r="Q88" t="s">
        <v>58</v>
      </c>
      <c r="R88" t="s">
        <v>126</v>
      </c>
      <c r="S88" s="1">
        <v>45566</v>
      </c>
      <c r="T88" s="1">
        <v>45945</v>
      </c>
      <c r="U88" t="s">
        <v>51</v>
      </c>
      <c r="V88">
        <v>1</v>
      </c>
      <c r="W88" s="1">
        <v>45917</v>
      </c>
      <c r="X88" t="s">
        <v>52</v>
      </c>
      <c r="Y88" s="2">
        <v>1</v>
      </c>
      <c r="Z88" s="2">
        <v>1</v>
      </c>
      <c r="AB88" s="3">
        <v>1</v>
      </c>
      <c r="AC88" s="2">
        <v>25.5</v>
      </c>
      <c r="AG88" s="2">
        <v>0</v>
      </c>
      <c r="AH88" s="2">
        <v>25.5</v>
      </c>
      <c r="AI88" s="2">
        <v>0</v>
      </c>
      <c r="AK88">
        <v>5824308</v>
      </c>
      <c r="AL88" t="s">
        <v>94</v>
      </c>
    </row>
    <row r="89" spans="1:38" x14ac:dyDescent="0.25">
      <c r="A89" s="1">
        <v>45918</v>
      </c>
      <c r="B89" s="1">
        <v>45915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250</v>
      </c>
      <c r="J89" t="s">
        <v>249</v>
      </c>
      <c r="M89" t="s">
        <v>46</v>
      </c>
      <c r="O89" t="s">
        <v>91</v>
      </c>
      <c r="P89" t="s">
        <v>92</v>
      </c>
      <c r="Q89" t="s">
        <v>49</v>
      </c>
      <c r="R89" t="s">
        <v>50</v>
      </c>
      <c r="S89" s="1">
        <v>45566</v>
      </c>
      <c r="T89" s="1">
        <v>45945</v>
      </c>
      <c r="U89" t="s">
        <v>51</v>
      </c>
      <c r="V89">
        <v>1</v>
      </c>
      <c r="W89" s="1">
        <v>45917</v>
      </c>
      <c r="X89" t="s">
        <v>52</v>
      </c>
      <c r="Y89" s="2">
        <v>1</v>
      </c>
      <c r="Z89" s="2">
        <v>1</v>
      </c>
      <c r="AB89" s="3">
        <v>1</v>
      </c>
      <c r="AC89" s="2">
        <v>9</v>
      </c>
      <c r="AG89" s="2">
        <v>0</v>
      </c>
      <c r="AH89" s="2">
        <v>9</v>
      </c>
      <c r="AI89" s="2">
        <v>0</v>
      </c>
      <c r="AK89">
        <v>5824307</v>
      </c>
      <c r="AL89" t="s">
        <v>94</v>
      </c>
    </row>
    <row r="90" spans="1:38" x14ac:dyDescent="0.25">
      <c r="A90" s="1">
        <v>45918</v>
      </c>
      <c r="B90" s="1">
        <v>45915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251</v>
      </c>
      <c r="J90" t="s">
        <v>252</v>
      </c>
      <c r="M90" t="s">
        <v>46</v>
      </c>
      <c r="O90" t="s">
        <v>74</v>
      </c>
      <c r="P90" t="s">
        <v>75</v>
      </c>
      <c r="Q90" t="s">
        <v>58</v>
      </c>
      <c r="R90" t="s">
        <v>50</v>
      </c>
      <c r="S90" s="1">
        <v>45536</v>
      </c>
      <c r="T90" s="1">
        <v>45945</v>
      </c>
      <c r="U90" t="s">
        <v>51</v>
      </c>
      <c r="V90">
        <v>1</v>
      </c>
      <c r="W90" s="1">
        <v>45917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5863942</v>
      </c>
      <c r="AL90" t="s">
        <v>53</v>
      </c>
    </row>
    <row r="91" spans="1:38" x14ac:dyDescent="0.25">
      <c r="A91" s="1">
        <v>45918</v>
      </c>
      <c r="B91" s="1">
        <v>45915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253</v>
      </c>
      <c r="J91" t="s">
        <v>254</v>
      </c>
      <c r="M91" t="s">
        <v>46</v>
      </c>
      <c r="O91" t="s">
        <v>91</v>
      </c>
      <c r="P91" t="s">
        <v>92</v>
      </c>
      <c r="Q91" t="s">
        <v>58</v>
      </c>
      <c r="R91" t="s">
        <v>126</v>
      </c>
      <c r="S91" s="1">
        <v>45566</v>
      </c>
      <c r="T91" s="1">
        <v>45945</v>
      </c>
      <c r="U91" t="s">
        <v>51</v>
      </c>
      <c r="V91">
        <v>1</v>
      </c>
      <c r="W91" s="1">
        <v>45917</v>
      </c>
      <c r="X91" t="s">
        <v>52</v>
      </c>
      <c r="Y91" s="2">
        <v>1</v>
      </c>
      <c r="Z91" s="2">
        <v>1</v>
      </c>
      <c r="AB91" s="3">
        <v>1</v>
      </c>
      <c r="AC91" s="2">
        <v>25.5</v>
      </c>
      <c r="AG91" s="2">
        <v>0</v>
      </c>
      <c r="AH91" s="2">
        <v>25.5</v>
      </c>
      <c r="AI91" s="2">
        <v>0</v>
      </c>
      <c r="AK91">
        <v>5824310</v>
      </c>
      <c r="AL91" t="s">
        <v>94</v>
      </c>
    </row>
    <row r="92" spans="1:38" x14ac:dyDescent="0.25">
      <c r="A92" s="1">
        <v>45918</v>
      </c>
      <c r="B92" s="1">
        <v>45915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255</v>
      </c>
      <c r="J92" t="s">
        <v>254</v>
      </c>
      <c r="M92" t="s">
        <v>46</v>
      </c>
      <c r="O92" t="s">
        <v>91</v>
      </c>
      <c r="P92" t="s">
        <v>92</v>
      </c>
      <c r="Q92" t="s">
        <v>49</v>
      </c>
      <c r="R92" t="s">
        <v>50</v>
      </c>
      <c r="S92" s="1">
        <v>45566</v>
      </c>
      <c r="T92" s="1">
        <v>45945</v>
      </c>
      <c r="U92" t="s">
        <v>51</v>
      </c>
      <c r="V92">
        <v>1</v>
      </c>
      <c r="W92" s="1">
        <v>45917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5824309</v>
      </c>
      <c r="AL92" t="s">
        <v>94</v>
      </c>
    </row>
    <row r="93" spans="1:38" x14ac:dyDescent="0.25">
      <c r="A93" s="1">
        <v>45918</v>
      </c>
      <c r="B93" s="1">
        <v>45915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256</v>
      </c>
      <c r="J93" t="s">
        <v>257</v>
      </c>
      <c r="M93" t="s">
        <v>46</v>
      </c>
      <c r="O93" t="s">
        <v>91</v>
      </c>
      <c r="P93" t="s">
        <v>92</v>
      </c>
      <c r="Q93" t="s">
        <v>58</v>
      </c>
      <c r="R93" t="s">
        <v>126</v>
      </c>
      <c r="S93" s="1">
        <v>45566</v>
      </c>
      <c r="T93" s="1">
        <v>45945</v>
      </c>
      <c r="U93" t="s">
        <v>51</v>
      </c>
      <c r="V93">
        <v>1</v>
      </c>
      <c r="W93" s="1">
        <v>45917</v>
      </c>
      <c r="X93" t="s">
        <v>52</v>
      </c>
      <c r="Y93" s="2">
        <v>1</v>
      </c>
      <c r="Z93" s="2">
        <v>1</v>
      </c>
      <c r="AB93" s="3">
        <v>1</v>
      </c>
      <c r="AC93" s="2">
        <v>25.5</v>
      </c>
      <c r="AG93" s="2">
        <v>0</v>
      </c>
      <c r="AH93" s="2">
        <v>25.5</v>
      </c>
      <c r="AI93" s="2">
        <v>0</v>
      </c>
      <c r="AK93">
        <v>5824312</v>
      </c>
      <c r="AL93" t="s">
        <v>94</v>
      </c>
    </row>
    <row r="94" spans="1:38" x14ac:dyDescent="0.25">
      <c r="A94" s="1">
        <v>45918</v>
      </c>
      <c r="B94" s="1">
        <v>45915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258</v>
      </c>
      <c r="J94" t="s">
        <v>257</v>
      </c>
      <c r="M94" t="s">
        <v>46</v>
      </c>
      <c r="O94" t="s">
        <v>91</v>
      </c>
      <c r="P94" t="s">
        <v>92</v>
      </c>
      <c r="Q94" t="s">
        <v>49</v>
      </c>
      <c r="R94" t="s">
        <v>50</v>
      </c>
      <c r="S94" s="1">
        <v>45566</v>
      </c>
      <c r="T94" s="1">
        <v>45945</v>
      </c>
      <c r="U94" t="s">
        <v>51</v>
      </c>
      <c r="V94">
        <v>1</v>
      </c>
      <c r="W94" s="1">
        <v>45917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5824311</v>
      </c>
      <c r="AL94" t="s">
        <v>94</v>
      </c>
    </row>
    <row r="95" spans="1:38" x14ac:dyDescent="0.25">
      <c r="A95" s="1">
        <v>45918</v>
      </c>
      <c r="B95" s="1">
        <v>45915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259</v>
      </c>
      <c r="J95" t="s">
        <v>260</v>
      </c>
      <c r="M95" t="s">
        <v>46</v>
      </c>
      <c r="O95" t="s">
        <v>100</v>
      </c>
      <c r="P95" t="s">
        <v>101</v>
      </c>
      <c r="Q95" t="s">
        <v>58</v>
      </c>
      <c r="R95" t="s">
        <v>50</v>
      </c>
      <c r="S95" s="1">
        <v>45566</v>
      </c>
      <c r="T95" s="1">
        <v>45945</v>
      </c>
      <c r="U95" t="s">
        <v>51</v>
      </c>
      <c r="V95">
        <v>1</v>
      </c>
      <c r="W95" s="1">
        <v>45917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5863957</v>
      </c>
      <c r="AL95" t="s">
        <v>53</v>
      </c>
    </row>
    <row r="96" spans="1:38" x14ac:dyDescent="0.25">
      <c r="A96" s="1">
        <v>45918</v>
      </c>
      <c r="B96" s="1">
        <v>45915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261</v>
      </c>
      <c r="J96" t="s">
        <v>262</v>
      </c>
      <c r="M96" t="s">
        <v>46</v>
      </c>
      <c r="O96" t="s">
        <v>263</v>
      </c>
      <c r="P96" t="s">
        <v>264</v>
      </c>
      <c r="Q96" t="s">
        <v>58</v>
      </c>
      <c r="R96" t="s">
        <v>50</v>
      </c>
      <c r="S96" s="1">
        <v>45566</v>
      </c>
      <c r="T96" s="1">
        <v>45945</v>
      </c>
      <c r="U96" t="s">
        <v>51</v>
      </c>
      <c r="V96">
        <v>1</v>
      </c>
      <c r="W96" s="1">
        <v>45917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5863958</v>
      </c>
      <c r="AL96" t="s">
        <v>53</v>
      </c>
    </row>
    <row r="97" spans="1:38" x14ac:dyDescent="0.25">
      <c r="A97" s="1">
        <v>45918</v>
      </c>
      <c r="B97" s="1">
        <v>45915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265</v>
      </c>
      <c r="J97" t="s">
        <v>266</v>
      </c>
      <c r="M97" t="s">
        <v>46</v>
      </c>
      <c r="O97" t="s">
        <v>91</v>
      </c>
      <c r="P97" t="s">
        <v>92</v>
      </c>
      <c r="Q97" t="s">
        <v>58</v>
      </c>
      <c r="R97" t="s">
        <v>126</v>
      </c>
      <c r="S97" s="1">
        <v>45566</v>
      </c>
      <c r="T97" s="1">
        <v>45945</v>
      </c>
      <c r="U97" t="s">
        <v>51</v>
      </c>
      <c r="V97">
        <v>1</v>
      </c>
      <c r="W97" s="1">
        <v>45917</v>
      </c>
      <c r="X97" t="s">
        <v>52</v>
      </c>
      <c r="Y97" s="2">
        <v>1</v>
      </c>
      <c r="Z97" s="2">
        <v>1</v>
      </c>
      <c r="AB97" s="3">
        <v>1</v>
      </c>
      <c r="AC97" s="2">
        <v>25.5</v>
      </c>
      <c r="AG97" s="2">
        <v>0</v>
      </c>
      <c r="AH97" s="2">
        <v>25.5</v>
      </c>
      <c r="AI97" s="2">
        <v>0</v>
      </c>
      <c r="AK97">
        <v>5824314</v>
      </c>
      <c r="AL97" t="s">
        <v>94</v>
      </c>
    </row>
    <row r="98" spans="1:38" x14ac:dyDescent="0.25">
      <c r="A98" s="1">
        <v>45918</v>
      </c>
      <c r="B98" s="1">
        <v>45915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267</v>
      </c>
      <c r="J98" t="s">
        <v>266</v>
      </c>
      <c r="M98" t="s">
        <v>46</v>
      </c>
      <c r="O98" t="s">
        <v>91</v>
      </c>
      <c r="P98" t="s">
        <v>92</v>
      </c>
      <c r="Q98" t="s">
        <v>49</v>
      </c>
      <c r="R98" t="s">
        <v>50</v>
      </c>
      <c r="S98" s="1">
        <v>45566</v>
      </c>
      <c r="T98" s="1">
        <v>45945</v>
      </c>
      <c r="U98" t="s">
        <v>51</v>
      </c>
      <c r="V98">
        <v>1</v>
      </c>
      <c r="W98" s="1">
        <v>45917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5824313</v>
      </c>
      <c r="AL98" t="s">
        <v>94</v>
      </c>
    </row>
    <row r="99" spans="1:38" x14ac:dyDescent="0.25">
      <c r="A99" s="1">
        <v>45918</v>
      </c>
      <c r="B99" s="1">
        <v>45915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268</v>
      </c>
      <c r="J99" t="s">
        <v>269</v>
      </c>
      <c r="M99" t="s">
        <v>46</v>
      </c>
      <c r="O99" t="s">
        <v>91</v>
      </c>
      <c r="P99" t="s">
        <v>92</v>
      </c>
      <c r="Q99" t="s">
        <v>58</v>
      </c>
      <c r="R99" t="s">
        <v>126</v>
      </c>
      <c r="S99" s="1">
        <v>45566</v>
      </c>
      <c r="T99" s="1">
        <v>45945</v>
      </c>
      <c r="U99" t="s">
        <v>51</v>
      </c>
      <c r="V99">
        <v>1</v>
      </c>
      <c r="W99" s="1">
        <v>45917</v>
      </c>
      <c r="X99" t="s">
        <v>52</v>
      </c>
      <c r="Y99" s="2">
        <v>1</v>
      </c>
      <c r="Z99" s="2">
        <v>1</v>
      </c>
      <c r="AB99" s="3">
        <v>1</v>
      </c>
      <c r="AC99" s="2">
        <v>25.5</v>
      </c>
      <c r="AG99" s="2">
        <v>0</v>
      </c>
      <c r="AH99" s="2">
        <v>25.5</v>
      </c>
      <c r="AI99" s="2">
        <v>0</v>
      </c>
      <c r="AK99">
        <v>5824316</v>
      </c>
      <c r="AL99" t="s">
        <v>94</v>
      </c>
    </row>
    <row r="100" spans="1:38" x14ac:dyDescent="0.25">
      <c r="A100" s="1">
        <v>45918</v>
      </c>
      <c r="B100" s="1">
        <v>45915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270</v>
      </c>
      <c r="J100" t="s">
        <v>269</v>
      </c>
      <c r="M100" t="s">
        <v>46</v>
      </c>
      <c r="O100" t="s">
        <v>91</v>
      </c>
      <c r="P100" t="s">
        <v>92</v>
      </c>
      <c r="Q100" t="s">
        <v>49</v>
      </c>
      <c r="R100" t="s">
        <v>50</v>
      </c>
      <c r="S100" s="1">
        <v>45566</v>
      </c>
      <c r="T100" s="1">
        <v>45945</v>
      </c>
      <c r="U100" t="s">
        <v>51</v>
      </c>
      <c r="V100">
        <v>1</v>
      </c>
      <c r="W100" s="1">
        <v>45917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5824315</v>
      </c>
      <c r="AL100" t="s">
        <v>94</v>
      </c>
    </row>
    <row r="101" spans="1:38" x14ac:dyDescent="0.25">
      <c r="A101" s="1">
        <v>45918</v>
      </c>
      <c r="B101" s="1">
        <v>45915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271</v>
      </c>
      <c r="J101" t="s">
        <v>272</v>
      </c>
      <c r="M101" t="s">
        <v>46</v>
      </c>
      <c r="O101" t="s">
        <v>100</v>
      </c>
      <c r="P101" t="s">
        <v>101</v>
      </c>
      <c r="Q101" t="s">
        <v>49</v>
      </c>
      <c r="R101" t="s">
        <v>50</v>
      </c>
      <c r="S101" s="1">
        <v>45627</v>
      </c>
      <c r="T101" s="1">
        <v>45945</v>
      </c>
      <c r="U101" t="s">
        <v>51</v>
      </c>
      <c r="V101">
        <v>1</v>
      </c>
      <c r="W101" s="1">
        <v>45917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5863998</v>
      </c>
      <c r="AL101" t="s">
        <v>53</v>
      </c>
    </row>
    <row r="102" spans="1:38" x14ac:dyDescent="0.25">
      <c r="A102" s="1">
        <v>45918</v>
      </c>
      <c r="B102" s="1">
        <v>45915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273</v>
      </c>
      <c r="J102" t="s">
        <v>274</v>
      </c>
      <c r="M102" t="s">
        <v>46</v>
      </c>
      <c r="O102" t="s">
        <v>91</v>
      </c>
      <c r="P102" t="s">
        <v>92</v>
      </c>
      <c r="Q102" t="s">
        <v>58</v>
      </c>
      <c r="R102" t="s">
        <v>126</v>
      </c>
      <c r="S102" s="1">
        <v>45566</v>
      </c>
      <c r="T102" s="1">
        <v>45945</v>
      </c>
      <c r="U102" t="s">
        <v>51</v>
      </c>
      <c r="V102">
        <v>1</v>
      </c>
      <c r="W102" s="1">
        <v>45917</v>
      </c>
      <c r="X102" t="s">
        <v>52</v>
      </c>
      <c r="Y102" s="2">
        <v>1</v>
      </c>
      <c r="Z102" s="2">
        <v>1</v>
      </c>
      <c r="AB102" s="3">
        <v>1</v>
      </c>
      <c r="AC102" s="2">
        <v>25.5</v>
      </c>
      <c r="AG102" s="2">
        <v>0</v>
      </c>
      <c r="AH102" s="2">
        <v>25.5</v>
      </c>
      <c r="AI102" s="2">
        <v>0</v>
      </c>
      <c r="AK102">
        <v>5824318</v>
      </c>
      <c r="AL102" t="s">
        <v>94</v>
      </c>
    </row>
    <row r="103" spans="1:38" x14ac:dyDescent="0.25">
      <c r="A103" s="1">
        <v>45918</v>
      </c>
      <c r="B103" s="1">
        <v>45915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275</v>
      </c>
      <c r="J103" t="s">
        <v>274</v>
      </c>
      <c r="M103" t="s">
        <v>46</v>
      </c>
      <c r="O103" t="s">
        <v>91</v>
      </c>
      <c r="P103" t="s">
        <v>92</v>
      </c>
      <c r="Q103" t="s">
        <v>49</v>
      </c>
      <c r="R103" t="s">
        <v>50</v>
      </c>
      <c r="S103" s="1">
        <v>45566</v>
      </c>
      <c r="T103" s="1">
        <v>45945</v>
      </c>
      <c r="U103" t="s">
        <v>51</v>
      </c>
      <c r="V103">
        <v>1</v>
      </c>
      <c r="W103" s="1">
        <v>45917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5824317</v>
      </c>
      <c r="AL103" t="s">
        <v>94</v>
      </c>
    </row>
    <row r="104" spans="1:38" x14ac:dyDescent="0.25">
      <c r="A104" s="1">
        <v>45918</v>
      </c>
      <c r="B104" s="1">
        <v>45915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276</v>
      </c>
      <c r="J104" t="s">
        <v>277</v>
      </c>
      <c r="M104" t="s">
        <v>46</v>
      </c>
      <c r="O104" t="s">
        <v>70</v>
      </c>
      <c r="P104" t="s">
        <v>71</v>
      </c>
      <c r="Q104" t="s">
        <v>49</v>
      </c>
      <c r="R104" t="s">
        <v>50</v>
      </c>
      <c r="S104" s="1">
        <v>45566</v>
      </c>
      <c r="T104" s="1">
        <v>45945</v>
      </c>
      <c r="U104" t="s">
        <v>51</v>
      </c>
      <c r="V104">
        <v>1</v>
      </c>
      <c r="W104" s="1">
        <v>45917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5864031</v>
      </c>
      <c r="AL104" t="s">
        <v>53</v>
      </c>
    </row>
    <row r="105" spans="1:38" x14ac:dyDescent="0.25">
      <c r="A105" s="1">
        <v>45918</v>
      </c>
      <c r="B105" s="1">
        <v>45915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278</v>
      </c>
      <c r="J105" t="s">
        <v>279</v>
      </c>
      <c r="M105" t="s">
        <v>46</v>
      </c>
      <c r="O105" t="s">
        <v>280</v>
      </c>
      <c r="P105" t="s">
        <v>281</v>
      </c>
      <c r="Q105" t="s">
        <v>49</v>
      </c>
      <c r="R105" t="s">
        <v>50</v>
      </c>
      <c r="S105" s="1">
        <v>45566</v>
      </c>
      <c r="T105" s="1">
        <v>45945</v>
      </c>
      <c r="U105" t="s">
        <v>51</v>
      </c>
      <c r="V105">
        <v>1</v>
      </c>
      <c r="W105" s="1">
        <v>45917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5864033</v>
      </c>
      <c r="AL105" t="s">
        <v>53</v>
      </c>
    </row>
    <row r="106" spans="1:38" x14ac:dyDescent="0.25">
      <c r="A106" s="1">
        <v>45918</v>
      </c>
      <c r="B106" s="1">
        <v>45915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282</v>
      </c>
      <c r="J106" t="s">
        <v>283</v>
      </c>
      <c r="M106" t="s">
        <v>46</v>
      </c>
      <c r="O106" t="s">
        <v>100</v>
      </c>
      <c r="P106" t="s">
        <v>101</v>
      </c>
      <c r="Q106" t="s">
        <v>49</v>
      </c>
      <c r="R106" t="s">
        <v>50</v>
      </c>
      <c r="S106" s="1">
        <v>45597</v>
      </c>
      <c r="T106" s="1">
        <v>45945</v>
      </c>
      <c r="U106" t="s">
        <v>51</v>
      </c>
      <c r="V106">
        <v>1</v>
      </c>
      <c r="W106" s="1">
        <v>45917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5864052</v>
      </c>
      <c r="AL106" t="s">
        <v>53</v>
      </c>
    </row>
    <row r="107" spans="1:38" x14ac:dyDescent="0.25">
      <c r="A107" s="1">
        <v>45918</v>
      </c>
      <c r="B107" s="1">
        <v>45915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284</v>
      </c>
      <c r="J107" t="s">
        <v>285</v>
      </c>
      <c r="M107" t="s">
        <v>46</v>
      </c>
      <c r="O107" t="s">
        <v>100</v>
      </c>
      <c r="P107" t="s">
        <v>101</v>
      </c>
      <c r="Q107" t="s">
        <v>49</v>
      </c>
      <c r="R107" t="s">
        <v>50</v>
      </c>
      <c r="S107" s="1">
        <v>45627</v>
      </c>
      <c r="T107" s="1">
        <v>45945</v>
      </c>
      <c r="U107" t="s">
        <v>51</v>
      </c>
      <c r="V107">
        <v>1</v>
      </c>
      <c r="W107" s="1">
        <v>45917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5864069</v>
      </c>
      <c r="AL107" t="s">
        <v>53</v>
      </c>
    </row>
    <row r="108" spans="1:38" x14ac:dyDescent="0.25">
      <c r="A108" s="1">
        <v>45918</v>
      </c>
      <c r="B108" s="1">
        <v>45915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286</v>
      </c>
      <c r="J108" t="s">
        <v>287</v>
      </c>
      <c r="M108" t="s">
        <v>46</v>
      </c>
      <c r="O108" t="s">
        <v>153</v>
      </c>
      <c r="P108" t="s">
        <v>154</v>
      </c>
      <c r="Q108" t="s">
        <v>49</v>
      </c>
      <c r="R108" t="s">
        <v>50</v>
      </c>
      <c r="S108" s="1">
        <v>45566</v>
      </c>
      <c r="T108" s="1">
        <v>45945</v>
      </c>
      <c r="U108" t="s">
        <v>51</v>
      </c>
      <c r="V108">
        <v>1</v>
      </c>
      <c r="W108" s="1">
        <v>45917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5864076</v>
      </c>
      <c r="AL108" t="s">
        <v>53</v>
      </c>
    </row>
    <row r="109" spans="1:38" x14ac:dyDescent="0.25">
      <c r="A109" s="1">
        <v>45918</v>
      </c>
      <c r="B109" s="1">
        <v>45915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288</v>
      </c>
      <c r="J109" t="s">
        <v>289</v>
      </c>
      <c r="M109" t="s">
        <v>46</v>
      </c>
      <c r="O109" t="s">
        <v>100</v>
      </c>
      <c r="P109" t="s">
        <v>101</v>
      </c>
      <c r="Q109" t="s">
        <v>49</v>
      </c>
      <c r="R109" t="s">
        <v>50</v>
      </c>
      <c r="S109" s="1">
        <v>45597</v>
      </c>
      <c r="T109" s="1">
        <v>45945</v>
      </c>
      <c r="U109" t="s">
        <v>51</v>
      </c>
      <c r="V109">
        <v>-4</v>
      </c>
      <c r="W109" s="1">
        <v>45917</v>
      </c>
      <c r="X109" t="s">
        <v>52</v>
      </c>
      <c r="Y109" s="2">
        <v>-4</v>
      </c>
      <c r="Z109" s="2">
        <v>-4</v>
      </c>
      <c r="AB109" s="3">
        <v>1</v>
      </c>
      <c r="AC109" s="2">
        <v>-36</v>
      </c>
      <c r="AG109" s="2">
        <v>0</v>
      </c>
      <c r="AH109" s="2">
        <v>-36</v>
      </c>
      <c r="AI109" s="2">
        <v>0</v>
      </c>
      <c r="AK109">
        <v>5864077</v>
      </c>
      <c r="AL109" t="s">
        <v>53</v>
      </c>
    </row>
    <row r="110" spans="1:38" x14ac:dyDescent="0.25">
      <c r="A110" s="1">
        <v>45918</v>
      </c>
      <c r="B110" s="1">
        <v>45915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290</v>
      </c>
      <c r="J110" t="s">
        <v>291</v>
      </c>
      <c r="M110" t="s">
        <v>46</v>
      </c>
      <c r="O110" t="s">
        <v>145</v>
      </c>
      <c r="P110" t="s">
        <v>146</v>
      </c>
      <c r="Q110" t="s">
        <v>49</v>
      </c>
      <c r="R110" t="s">
        <v>50</v>
      </c>
      <c r="S110" s="1">
        <v>45566</v>
      </c>
      <c r="T110" s="1">
        <v>45945</v>
      </c>
      <c r="U110" t="s">
        <v>51</v>
      </c>
      <c r="V110">
        <v>1</v>
      </c>
      <c r="W110" s="1">
        <v>45917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5864078</v>
      </c>
      <c r="AL110" t="s">
        <v>53</v>
      </c>
    </row>
    <row r="111" spans="1:38" x14ac:dyDescent="0.25">
      <c r="A111" s="1">
        <v>45918</v>
      </c>
      <c r="B111" s="1">
        <v>45915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292</v>
      </c>
      <c r="J111" t="s">
        <v>293</v>
      </c>
      <c r="M111" t="s">
        <v>46</v>
      </c>
      <c r="O111" t="s">
        <v>100</v>
      </c>
      <c r="P111" t="s">
        <v>101</v>
      </c>
      <c r="Q111" t="s">
        <v>49</v>
      </c>
      <c r="R111" t="s">
        <v>50</v>
      </c>
      <c r="S111" s="1">
        <v>45627</v>
      </c>
      <c r="T111" s="1">
        <v>45945</v>
      </c>
      <c r="U111" t="s">
        <v>51</v>
      </c>
      <c r="V111">
        <v>1</v>
      </c>
      <c r="W111" s="1">
        <v>45917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5864084</v>
      </c>
      <c r="AL111" t="s">
        <v>53</v>
      </c>
    </row>
    <row r="112" spans="1:38" x14ac:dyDescent="0.25">
      <c r="A112" s="1">
        <v>45918</v>
      </c>
      <c r="B112" s="1">
        <v>45915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294</v>
      </c>
      <c r="J112" t="s">
        <v>295</v>
      </c>
      <c r="M112" t="s">
        <v>46</v>
      </c>
      <c r="O112" t="s">
        <v>181</v>
      </c>
      <c r="P112" t="s">
        <v>182</v>
      </c>
      <c r="Q112" t="s">
        <v>49</v>
      </c>
      <c r="R112" t="s">
        <v>50</v>
      </c>
      <c r="S112" s="1">
        <v>45566</v>
      </c>
      <c r="T112" s="1">
        <v>45945</v>
      </c>
      <c r="U112" t="s">
        <v>51</v>
      </c>
      <c r="V112">
        <v>1</v>
      </c>
      <c r="W112" s="1">
        <v>45917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5864094</v>
      </c>
      <c r="AL112" t="s">
        <v>53</v>
      </c>
    </row>
    <row r="113" spans="1:38" x14ac:dyDescent="0.25">
      <c r="A113" s="1">
        <v>45918</v>
      </c>
      <c r="B113" s="1">
        <v>45915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296</v>
      </c>
      <c r="J113" t="s">
        <v>297</v>
      </c>
      <c r="M113" t="s">
        <v>46</v>
      </c>
      <c r="O113" t="s">
        <v>298</v>
      </c>
      <c r="P113" t="s">
        <v>299</v>
      </c>
      <c r="Q113" t="s">
        <v>49</v>
      </c>
      <c r="R113" t="s">
        <v>50</v>
      </c>
      <c r="S113" s="1">
        <v>45566</v>
      </c>
      <c r="T113" s="1">
        <v>45945</v>
      </c>
      <c r="U113" t="s">
        <v>51</v>
      </c>
      <c r="V113">
        <v>1</v>
      </c>
      <c r="W113" s="1">
        <v>45917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5864097</v>
      </c>
      <c r="AL113" t="s">
        <v>53</v>
      </c>
    </row>
    <row r="114" spans="1:38" x14ac:dyDescent="0.25">
      <c r="A114" s="1">
        <v>45918</v>
      </c>
      <c r="B114" s="1">
        <v>45915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300</v>
      </c>
      <c r="J114" t="s">
        <v>301</v>
      </c>
      <c r="M114" t="s">
        <v>46</v>
      </c>
      <c r="O114" t="s">
        <v>167</v>
      </c>
      <c r="P114" t="s">
        <v>168</v>
      </c>
      <c r="Q114" t="s">
        <v>49</v>
      </c>
      <c r="R114" t="s">
        <v>50</v>
      </c>
      <c r="S114" s="1">
        <v>45566</v>
      </c>
      <c r="T114" s="1">
        <v>45945</v>
      </c>
      <c r="U114" t="s">
        <v>51</v>
      </c>
      <c r="V114">
        <v>1</v>
      </c>
      <c r="W114" s="1">
        <v>45917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5864102</v>
      </c>
      <c r="AL114" t="s">
        <v>53</v>
      </c>
    </row>
    <row r="115" spans="1:38" x14ac:dyDescent="0.25">
      <c r="A115" s="1">
        <v>45918</v>
      </c>
      <c r="B115" s="1">
        <v>45915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302</v>
      </c>
      <c r="J115" t="s">
        <v>303</v>
      </c>
      <c r="M115" t="s">
        <v>46</v>
      </c>
      <c r="O115" t="s">
        <v>66</v>
      </c>
      <c r="P115" t="s">
        <v>67</v>
      </c>
      <c r="Q115" t="s">
        <v>49</v>
      </c>
      <c r="R115" t="s">
        <v>50</v>
      </c>
      <c r="S115" s="1">
        <v>45597</v>
      </c>
      <c r="T115" s="1">
        <v>45945</v>
      </c>
      <c r="U115" t="s">
        <v>51</v>
      </c>
      <c r="V115">
        <v>1</v>
      </c>
      <c r="W115" s="1">
        <v>45917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5864107</v>
      </c>
      <c r="AL115" t="s">
        <v>53</v>
      </c>
    </row>
    <row r="116" spans="1:38" x14ac:dyDescent="0.25">
      <c r="A116" s="1">
        <v>45918</v>
      </c>
      <c r="B116" s="1">
        <v>45915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304</v>
      </c>
      <c r="J116" t="s">
        <v>305</v>
      </c>
      <c r="M116" t="s">
        <v>46</v>
      </c>
      <c r="O116" t="s">
        <v>153</v>
      </c>
      <c r="P116" t="s">
        <v>154</v>
      </c>
      <c r="Q116" t="s">
        <v>49</v>
      </c>
      <c r="R116" t="s">
        <v>50</v>
      </c>
      <c r="S116" s="1">
        <v>45566</v>
      </c>
      <c r="T116" s="1">
        <v>45945</v>
      </c>
      <c r="U116" t="s">
        <v>51</v>
      </c>
      <c r="V116">
        <v>1</v>
      </c>
      <c r="W116" s="1">
        <v>45917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5864110</v>
      </c>
      <c r="AL116" t="s">
        <v>53</v>
      </c>
    </row>
    <row r="117" spans="1:38" x14ac:dyDescent="0.25">
      <c r="A117" s="1">
        <v>45918</v>
      </c>
      <c r="B117" s="1">
        <v>45915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306</v>
      </c>
      <c r="J117" t="s">
        <v>307</v>
      </c>
      <c r="M117" t="s">
        <v>46</v>
      </c>
      <c r="O117" t="s">
        <v>62</v>
      </c>
      <c r="P117" t="s">
        <v>63</v>
      </c>
      <c r="Q117" t="s">
        <v>49</v>
      </c>
      <c r="R117" t="s">
        <v>50</v>
      </c>
      <c r="S117" s="1">
        <v>45566</v>
      </c>
      <c r="T117" s="1">
        <v>45945</v>
      </c>
      <c r="U117" t="s">
        <v>51</v>
      </c>
      <c r="V117">
        <v>1</v>
      </c>
      <c r="W117" s="1">
        <v>45917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5864113</v>
      </c>
      <c r="AL117" t="s">
        <v>53</v>
      </c>
    </row>
    <row r="118" spans="1:38" x14ac:dyDescent="0.25">
      <c r="A118" s="1">
        <v>45918</v>
      </c>
      <c r="B118" s="1">
        <v>45915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308</v>
      </c>
      <c r="J118" t="s">
        <v>309</v>
      </c>
      <c r="M118" t="s">
        <v>46</v>
      </c>
      <c r="O118" t="s">
        <v>62</v>
      </c>
      <c r="P118" t="s">
        <v>63</v>
      </c>
      <c r="Q118" t="s">
        <v>49</v>
      </c>
      <c r="R118" t="s">
        <v>50</v>
      </c>
      <c r="S118" s="1">
        <v>45566</v>
      </c>
      <c r="T118" s="1">
        <v>45945</v>
      </c>
      <c r="U118" t="s">
        <v>51</v>
      </c>
      <c r="V118">
        <v>1</v>
      </c>
      <c r="W118" s="1">
        <v>45917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5864114</v>
      </c>
      <c r="AL118" t="s">
        <v>53</v>
      </c>
    </row>
    <row r="119" spans="1:38" x14ac:dyDescent="0.25">
      <c r="A119" s="1">
        <v>45918</v>
      </c>
      <c r="B119" s="1">
        <v>45915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310</v>
      </c>
      <c r="J119" t="s">
        <v>311</v>
      </c>
      <c r="M119" t="s">
        <v>46</v>
      </c>
      <c r="O119" t="s">
        <v>153</v>
      </c>
      <c r="P119" t="s">
        <v>154</v>
      </c>
      <c r="Q119" t="s">
        <v>49</v>
      </c>
      <c r="R119" t="s">
        <v>50</v>
      </c>
      <c r="S119" s="1">
        <v>45566</v>
      </c>
      <c r="T119" s="1">
        <v>45945</v>
      </c>
      <c r="U119" t="s">
        <v>51</v>
      </c>
      <c r="V119">
        <v>1</v>
      </c>
      <c r="W119" s="1">
        <v>45917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5864127</v>
      </c>
      <c r="AL119" t="s">
        <v>53</v>
      </c>
    </row>
    <row r="120" spans="1:38" x14ac:dyDescent="0.25">
      <c r="A120" s="1">
        <v>45918</v>
      </c>
      <c r="B120" s="1">
        <v>45915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312</v>
      </c>
      <c r="J120" t="s">
        <v>313</v>
      </c>
      <c r="M120" t="s">
        <v>46</v>
      </c>
      <c r="O120" t="s">
        <v>91</v>
      </c>
      <c r="P120" t="s">
        <v>92</v>
      </c>
      <c r="Q120" t="s">
        <v>49</v>
      </c>
      <c r="R120" t="s">
        <v>126</v>
      </c>
      <c r="S120" s="1">
        <v>45597</v>
      </c>
      <c r="T120" s="1">
        <v>45945</v>
      </c>
      <c r="U120" t="s">
        <v>51</v>
      </c>
      <c r="V120">
        <v>1</v>
      </c>
      <c r="W120" s="1">
        <v>45917</v>
      </c>
      <c r="X120" t="s">
        <v>52</v>
      </c>
      <c r="Y120" s="2">
        <v>1</v>
      </c>
      <c r="Z120" s="2">
        <v>1</v>
      </c>
      <c r="AB120" s="3">
        <v>1</v>
      </c>
      <c r="AC120" s="2">
        <v>25.5</v>
      </c>
      <c r="AG120" s="2">
        <v>0</v>
      </c>
      <c r="AH120" s="2">
        <v>25.5</v>
      </c>
      <c r="AI120" s="2">
        <v>0</v>
      </c>
      <c r="AK120">
        <v>5824320</v>
      </c>
      <c r="AL120" t="s">
        <v>94</v>
      </c>
    </row>
    <row r="121" spans="1:38" x14ac:dyDescent="0.25">
      <c r="A121" s="1">
        <v>45918</v>
      </c>
      <c r="B121" s="1">
        <v>45915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314</v>
      </c>
      <c r="J121" t="s">
        <v>313</v>
      </c>
      <c r="M121" t="s">
        <v>46</v>
      </c>
      <c r="O121" t="s">
        <v>91</v>
      </c>
      <c r="P121" t="s">
        <v>92</v>
      </c>
      <c r="Q121" t="s">
        <v>49</v>
      </c>
      <c r="R121" t="s">
        <v>50</v>
      </c>
      <c r="S121" s="1">
        <v>45597</v>
      </c>
      <c r="T121" s="1">
        <v>45945</v>
      </c>
      <c r="U121" t="s">
        <v>51</v>
      </c>
      <c r="V121">
        <v>1</v>
      </c>
      <c r="W121" s="1">
        <v>45917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5824319</v>
      </c>
      <c r="AL121" t="s">
        <v>94</v>
      </c>
    </row>
    <row r="122" spans="1:38" x14ac:dyDescent="0.25">
      <c r="A122" s="1">
        <v>45918</v>
      </c>
      <c r="B122" s="1">
        <v>45915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315</v>
      </c>
      <c r="J122" t="s">
        <v>316</v>
      </c>
      <c r="M122" t="s">
        <v>46</v>
      </c>
      <c r="O122" t="s">
        <v>91</v>
      </c>
      <c r="P122" t="s">
        <v>92</v>
      </c>
      <c r="Q122" t="s">
        <v>49</v>
      </c>
      <c r="R122" t="s">
        <v>126</v>
      </c>
      <c r="S122" s="1">
        <v>45597</v>
      </c>
      <c r="T122" s="1">
        <v>45945</v>
      </c>
      <c r="U122" t="s">
        <v>51</v>
      </c>
      <c r="V122">
        <v>1</v>
      </c>
      <c r="W122" s="1">
        <v>45917</v>
      </c>
      <c r="X122" t="s">
        <v>52</v>
      </c>
      <c r="Y122" s="2">
        <v>1</v>
      </c>
      <c r="Z122" s="2">
        <v>1</v>
      </c>
      <c r="AB122" s="3">
        <v>1</v>
      </c>
      <c r="AC122" s="2">
        <v>25.5</v>
      </c>
      <c r="AG122" s="2">
        <v>0</v>
      </c>
      <c r="AH122" s="2">
        <v>25.5</v>
      </c>
      <c r="AI122" s="2">
        <v>0</v>
      </c>
      <c r="AK122">
        <v>5824322</v>
      </c>
      <c r="AL122" t="s">
        <v>94</v>
      </c>
    </row>
    <row r="123" spans="1:38" x14ac:dyDescent="0.25">
      <c r="A123" s="1">
        <v>45918</v>
      </c>
      <c r="B123" s="1">
        <v>45915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317</v>
      </c>
      <c r="J123" t="s">
        <v>316</v>
      </c>
      <c r="M123" t="s">
        <v>46</v>
      </c>
      <c r="O123" t="s">
        <v>91</v>
      </c>
      <c r="P123" t="s">
        <v>92</v>
      </c>
      <c r="Q123" t="s">
        <v>49</v>
      </c>
      <c r="R123" t="s">
        <v>50</v>
      </c>
      <c r="S123" s="1">
        <v>45597</v>
      </c>
      <c r="T123" s="1">
        <v>45945</v>
      </c>
      <c r="U123" t="s">
        <v>51</v>
      </c>
      <c r="V123">
        <v>1</v>
      </c>
      <c r="W123" s="1">
        <v>45917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5824321</v>
      </c>
      <c r="AL123" t="s">
        <v>94</v>
      </c>
    </row>
    <row r="124" spans="1:38" x14ac:dyDescent="0.25">
      <c r="A124" s="1">
        <v>45918</v>
      </c>
      <c r="B124" s="1">
        <v>45915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318</v>
      </c>
      <c r="J124" t="s">
        <v>319</v>
      </c>
      <c r="M124" t="s">
        <v>46</v>
      </c>
      <c r="O124" t="s">
        <v>153</v>
      </c>
      <c r="P124" t="s">
        <v>154</v>
      </c>
      <c r="Q124" t="s">
        <v>49</v>
      </c>
      <c r="R124" t="s">
        <v>50</v>
      </c>
      <c r="S124" s="1">
        <v>45566</v>
      </c>
      <c r="T124" s="1">
        <v>45945</v>
      </c>
      <c r="U124" t="s">
        <v>51</v>
      </c>
      <c r="V124">
        <v>1</v>
      </c>
      <c r="W124" s="1">
        <v>45917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5864131</v>
      </c>
      <c r="AL124" t="s">
        <v>53</v>
      </c>
    </row>
    <row r="125" spans="1:38" x14ac:dyDescent="0.25">
      <c r="A125" s="1">
        <v>45918</v>
      </c>
      <c r="B125" s="1">
        <v>45915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320</v>
      </c>
      <c r="J125" t="s">
        <v>321</v>
      </c>
      <c r="M125" t="s">
        <v>46</v>
      </c>
      <c r="O125" t="s">
        <v>91</v>
      </c>
      <c r="P125" t="s">
        <v>92</v>
      </c>
      <c r="Q125" t="s">
        <v>49</v>
      </c>
      <c r="R125" t="s">
        <v>126</v>
      </c>
      <c r="S125" s="1">
        <v>45597</v>
      </c>
      <c r="T125" s="1">
        <v>45945</v>
      </c>
      <c r="U125" t="s">
        <v>51</v>
      </c>
      <c r="V125">
        <v>1</v>
      </c>
      <c r="W125" s="1">
        <v>45917</v>
      </c>
      <c r="X125" t="s">
        <v>52</v>
      </c>
      <c r="Y125" s="2">
        <v>1</v>
      </c>
      <c r="Z125" s="2">
        <v>1</v>
      </c>
      <c r="AB125" s="3">
        <v>1</v>
      </c>
      <c r="AC125" s="2">
        <v>25.5</v>
      </c>
      <c r="AG125" s="2">
        <v>0</v>
      </c>
      <c r="AH125" s="2">
        <v>25.5</v>
      </c>
      <c r="AI125" s="2">
        <v>0</v>
      </c>
      <c r="AK125">
        <v>5824324</v>
      </c>
      <c r="AL125" t="s">
        <v>94</v>
      </c>
    </row>
    <row r="126" spans="1:38" x14ac:dyDescent="0.25">
      <c r="A126" s="1">
        <v>45918</v>
      </c>
      <c r="B126" s="1">
        <v>45915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322</v>
      </c>
      <c r="J126" t="s">
        <v>321</v>
      </c>
      <c r="M126" t="s">
        <v>46</v>
      </c>
      <c r="O126" t="s">
        <v>91</v>
      </c>
      <c r="P126" t="s">
        <v>92</v>
      </c>
      <c r="Q126" t="s">
        <v>49</v>
      </c>
      <c r="R126" t="s">
        <v>50</v>
      </c>
      <c r="S126" s="1">
        <v>45597</v>
      </c>
      <c r="T126" s="1">
        <v>45945</v>
      </c>
      <c r="U126" t="s">
        <v>51</v>
      </c>
      <c r="V126">
        <v>1</v>
      </c>
      <c r="W126" s="1">
        <v>45917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5824323</v>
      </c>
      <c r="AL126" t="s">
        <v>94</v>
      </c>
    </row>
    <row r="127" spans="1:38" x14ac:dyDescent="0.25">
      <c r="A127" s="1">
        <v>45918</v>
      </c>
      <c r="B127" s="1">
        <v>45915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323</v>
      </c>
      <c r="J127" t="s">
        <v>324</v>
      </c>
      <c r="M127" t="s">
        <v>46</v>
      </c>
      <c r="O127" t="s">
        <v>91</v>
      </c>
      <c r="P127" t="s">
        <v>92</v>
      </c>
      <c r="Q127" t="s">
        <v>49</v>
      </c>
      <c r="R127" t="s">
        <v>126</v>
      </c>
      <c r="S127" s="1">
        <v>45597</v>
      </c>
      <c r="T127" s="1">
        <v>45945</v>
      </c>
      <c r="U127" t="s">
        <v>51</v>
      </c>
      <c r="V127">
        <v>1</v>
      </c>
      <c r="W127" s="1">
        <v>45917</v>
      </c>
      <c r="X127" t="s">
        <v>52</v>
      </c>
      <c r="Y127" s="2">
        <v>1</v>
      </c>
      <c r="Z127" s="2">
        <v>1</v>
      </c>
      <c r="AB127" s="3">
        <v>1</v>
      </c>
      <c r="AC127" s="2">
        <v>25.5</v>
      </c>
      <c r="AG127" s="2">
        <v>0</v>
      </c>
      <c r="AH127" s="2">
        <v>25.5</v>
      </c>
      <c r="AI127" s="2">
        <v>0</v>
      </c>
      <c r="AK127">
        <v>5824326</v>
      </c>
      <c r="AL127" t="s">
        <v>94</v>
      </c>
    </row>
    <row r="128" spans="1:38" x14ac:dyDescent="0.25">
      <c r="A128" s="1">
        <v>45918</v>
      </c>
      <c r="B128" s="1">
        <v>45915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325</v>
      </c>
      <c r="J128" t="s">
        <v>324</v>
      </c>
      <c r="M128" t="s">
        <v>46</v>
      </c>
      <c r="O128" t="s">
        <v>91</v>
      </c>
      <c r="P128" t="s">
        <v>92</v>
      </c>
      <c r="Q128" t="s">
        <v>49</v>
      </c>
      <c r="R128" t="s">
        <v>50</v>
      </c>
      <c r="S128" s="1">
        <v>45597</v>
      </c>
      <c r="T128" s="1">
        <v>45945</v>
      </c>
      <c r="U128" t="s">
        <v>51</v>
      </c>
      <c r="V128">
        <v>1</v>
      </c>
      <c r="W128" s="1">
        <v>45917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5824325</v>
      </c>
      <c r="AL128" t="s">
        <v>94</v>
      </c>
    </row>
    <row r="129" spans="1:38" x14ac:dyDescent="0.25">
      <c r="A129" s="1">
        <v>45918</v>
      </c>
      <c r="B129" s="1">
        <v>45915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326</v>
      </c>
      <c r="J129" t="s">
        <v>327</v>
      </c>
      <c r="M129" t="s">
        <v>46</v>
      </c>
      <c r="O129" t="s">
        <v>91</v>
      </c>
      <c r="P129" t="s">
        <v>92</v>
      </c>
      <c r="Q129" t="s">
        <v>49</v>
      </c>
      <c r="R129" t="s">
        <v>126</v>
      </c>
      <c r="S129" s="1">
        <v>45597</v>
      </c>
      <c r="T129" s="1">
        <v>45945</v>
      </c>
      <c r="U129" t="s">
        <v>51</v>
      </c>
      <c r="V129">
        <v>1</v>
      </c>
      <c r="W129" s="1">
        <v>45917</v>
      </c>
      <c r="X129" t="s">
        <v>52</v>
      </c>
      <c r="Y129" s="2">
        <v>1</v>
      </c>
      <c r="Z129" s="2">
        <v>1</v>
      </c>
      <c r="AB129" s="3">
        <v>1</v>
      </c>
      <c r="AC129" s="2">
        <v>25.5</v>
      </c>
      <c r="AG129" s="2">
        <v>0</v>
      </c>
      <c r="AH129" s="2">
        <v>25.5</v>
      </c>
      <c r="AI129" s="2">
        <v>0</v>
      </c>
      <c r="AK129">
        <v>5824328</v>
      </c>
      <c r="AL129" t="s">
        <v>94</v>
      </c>
    </row>
    <row r="130" spans="1:38" x14ac:dyDescent="0.25">
      <c r="A130" s="1">
        <v>45918</v>
      </c>
      <c r="B130" s="1">
        <v>45915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328</v>
      </c>
      <c r="J130" t="s">
        <v>327</v>
      </c>
      <c r="M130" t="s">
        <v>46</v>
      </c>
      <c r="O130" t="s">
        <v>91</v>
      </c>
      <c r="P130" t="s">
        <v>92</v>
      </c>
      <c r="Q130" t="s">
        <v>49</v>
      </c>
      <c r="R130" t="s">
        <v>50</v>
      </c>
      <c r="S130" s="1">
        <v>45597</v>
      </c>
      <c r="T130" s="1">
        <v>45945</v>
      </c>
      <c r="U130" t="s">
        <v>51</v>
      </c>
      <c r="V130">
        <v>1</v>
      </c>
      <c r="W130" s="1">
        <v>45917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5824327</v>
      </c>
      <c r="AL130" t="s">
        <v>94</v>
      </c>
    </row>
    <row r="131" spans="1:38" x14ac:dyDescent="0.25">
      <c r="A131" s="1">
        <v>45918</v>
      </c>
      <c r="B131" s="1">
        <v>45915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329</v>
      </c>
      <c r="J131" t="s">
        <v>330</v>
      </c>
      <c r="M131" t="s">
        <v>46</v>
      </c>
      <c r="O131" t="s">
        <v>181</v>
      </c>
      <c r="P131" t="s">
        <v>182</v>
      </c>
      <c r="Q131" t="s">
        <v>49</v>
      </c>
      <c r="R131" t="s">
        <v>50</v>
      </c>
      <c r="S131" s="1">
        <v>45627</v>
      </c>
      <c r="T131" s="1">
        <v>45945</v>
      </c>
      <c r="U131" t="s">
        <v>51</v>
      </c>
      <c r="V131">
        <v>1</v>
      </c>
      <c r="W131" s="1">
        <v>45917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5864171</v>
      </c>
      <c r="AL131" t="s">
        <v>53</v>
      </c>
    </row>
    <row r="132" spans="1:38" x14ac:dyDescent="0.25">
      <c r="A132" s="1">
        <v>45918</v>
      </c>
      <c r="B132" s="1">
        <v>45915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331</v>
      </c>
      <c r="J132" t="s">
        <v>332</v>
      </c>
      <c r="M132" t="s">
        <v>46</v>
      </c>
      <c r="O132" t="s">
        <v>145</v>
      </c>
      <c r="P132" t="s">
        <v>146</v>
      </c>
      <c r="Q132" t="s">
        <v>49</v>
      </c>
      <c r="R132" t="s">
        <v>50</v>
      </c>
      <c r="S132" s="1">
        <v>45566</v>
      </c>
      <c r="T132" s="1">
        <v>45945</v>
      </c>
      <c r="U132" t="s">
        <v>51</v>
      </c>
      <c r="V132">
        <v>1</v>
      </c>
      <c r="W132" s="1">
        <v>45917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5864177</v>
      </c>
      <c r="AL132" t="s">
        <v>53</v>
      </c>
    </row>
    <row r="133" spans="1:38" x14ac:dyDescent="0.25">
      <c r="A133" s="1">
        <v>45918</v>
      </c>
      <c r="B133" s="1">
        <v>45915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333</v>
      </c>
      <c r="J133" t="s">
        <v>334</v>
      </c>
      <c r="M133" t="s">
        <v>46</v>
      </c>
      <c r="O133" t="s">
        <v>106</v>
      </c>
      <c r="P133" t="s">
        <v>107</v>
      </c>
      <c r="Q133" t="s">
        <v>49</v>
      </c>
      <c r="R133" t="s">
        <v>50</v>
      </c>
      <c r="S133" s="1">
        <v>45597</v>
      </c>
      <c r="T133" s="1">
        <v>45945</v>
      </c>
      <c r="U133" t="s">
        <v>51</v>
      </c>
      <c r="V133">
        <v>1</v>
      </c>
      <c r="W133" s="1">
        <v>45917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5864192</v>
      </c>
      <c r="AL133" t="s">
        <v>53</v>
      </c>
    </row>
    <row r="134" spans="1:38" x14ac:dyDescent="0.25">
      <c r="A134" s="1">
        <v>45918</v>
      </c>
      <c r="B134" s="1">
        <v>45915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335</v>
      </c>
      <c r="J134" t="s">
        <v>336</v>
      </c>
      <c r="M134" t="s">
        <v>46</v>
      </c>
      <c r="O134" t="s">
        <v>66</v>
      </c>
      <c r="P134" t="s">
        <v>67</v>
      </c>
      <c r="Q134" t="s">
        <v>49</v>
      </c>
      <c r="R134" t="s">
        <v>50</v>
      </c>
      <c r="S134" s="1">
        <v>45597</v>
      </c>
      <c r="T134" s="1">
        <v>45945</v>
      </c>
      <c r="U134" t="s">
        <v>51</v>
      </c>
      <c r="V134">
        <v>1</v>
      </c>
      <c r="W134" s="1">
        <v>45917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5864199</v>
      </c>
      <c r="AL134" t="s">
        <v>53</v>
      </c>
    </row>
    <row r="135" spans="1:38" x14ac:dyDescent="0.25">
      <c r="A135" s="1">
        <v>45918</v>
      </c>
      <c r="B135" s="1">
        <v>45915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337</v>
      </c>
      <c r="J135" t="s">
        <v>338</v>
      </c>
      <c r="M135" t="s">
        <v>46</v>
      </c>
      <c r="O135" t="s">
        <v>153</v>
      </c>
      <c r="P135" t="s">
        <v>154</v>
      </c>
      <c r="Q135" t="s">
        <v>49</v>
      </c>
      <c r="R135" t="s">
        <v>50</v>
      </c>
      <c r="S135" s="1">
        <v>45597</v>
      </c>
      <c r="T135" s="1">
        <v>45945</v>
      </c>
      <c r="U135" t="s">
        <v>51</v>
      </c>
      <c r="V135">
        <v>1</v>
      </c>
      <c r="W135" s="1">
        <v>45917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5864202</v>
      </c>
      <c r="AL135" t="s">
        <v>53</v>
      </c>
    </row>
    <row r="136" spans="1:38" x14ac:dyDescent="0.25">
      <c r="A136" s="1">
        <v>45918</v>
      </c>
      <c r="B136" s="1">
        <v>45915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339</v>
      </c>
      <c r="J136" t="s">
        <v>340</v>
      </c>
      <c r="M136" t="s">
        <v>46</v>
      </c>
      <c r="O136" t="s">
        <v>91</v>
      </c>
      <c r="P136" t="s">
        <v>92</v>
      </c>
      <c r="Q136" t="s">
        <v>49</v>
      </c>
      <c r="R136" t="s">
        <v>50</v>
      </c>
      <c r="S136" s="1">
        <v>45627</v>
      </c>
      <c r="T136" s="1">
        <v>45945</v>
      </c>
      <c r="U136" t="s">
        <v>51</v>
      </c>
      <c r="V136">
        <v>1</v>
      </c>
      <c r="W136" s="1">
        <v>45917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5864235</v>
      </c>
      <c r="AL136" t="s">
        <v>53</v>
      </c>
    </row>
    <row r="137" spans="1:38" x14ac:dyDescent="0.25">
      <c r="A137" s="1">
        <v>45918</v>
      </c>
      <c r="B137" s="1">
        <v>45915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341</v>
      </c>
      <c r="J137" t="s">
        <v>342</v>
      </c>
      <c r="M137" t="s">
        <v>46</v>
      </c>
      <c r="O137" t="s">
        <v>280</v>
      </c>
      <c r="P137" t="s">
        <v>281</v>
      </c>
      <c r="Q137" t="s">
        <v>49</v>
      </c>
      <c r="R137" t="s">
        <v>50</v>
      </c>
      <c r="S137" s="1">
        <v>45597</v>
      </c>
      <c r="T137" s="1">
        <v>45945</v>
      </c>
      <c r="U137" t="s">
        <v>51</v>
      </c>
      <c r="V137">
        <v>1</v>
      </c>
      <c r="W137" s="1">
        <v>45917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5864240</v>
      </c>
      <c r="AL137" t="s">
        <v>53</v>
      </c>
    </row>
    <row r="138" spans="1:38" x14ac:dyDescent="0.25">
      <c r="A138" s="1">
        <v>45918</v>
      </c>
      <c r="B138" s="1">
        <v>45915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343</v>
      </c>
      <c r="J138" t="s">
        <v>344</v>
      </c>
      <c r="M138" t="s">
        <v>46</v>
      </c>
      <c r="O138" t="s">
        <v>280</v>
      </c>
      <c r="P138" t="s">
        <v>281</v>
      </c>
      <c r="Q138" t="s">
        <v>49</v>
      </c>
      <c r="R138" t="s">
        <v>50</v>
      </c>
      <c r="S138" s="1">
        <v>45597</v>
      </c>
      <c r="T138" s="1">
        <v>45945</v>
      </c>
      <c r="U138" t="s">
        <v>51</v>
      </c>
      <c r="V138">
        <v>1</v>
      </c>
      <c r="W138" s="1">
        <v>45917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5864246</v>
      </c>
      <c r="AL138" t="s">
        <v>53</v>
      </c>
    </row>
    <row r="139" spans="1:38" x14ac:dyDescent="0.25">
      <c r="A139" s="1">
        <v>45918</v>
      </c>
      <c r="B139" s="1">
        <v>45915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345</v>
      </c>
      <c r="J139" t="s">
        <v>346</v>
      </c>
      <c r="M139" t="s">
        <v>46</v>
      </c>
      <c r="O139" t="s">
        <v>347</v>
      </c>
      <c r="P139" t="s">
        <v>348</v>
      </c>
      <c r="Q139" t="s">
        <v>49</v>
      </c>
      <c r="R139" t="s">
        <v>50</v>
      </c>
      <c r="S139" s="1">
        <v>45566</v>
      </c>
      <c r="T139" s="1">
        <v>45945</v>
      </c>
      <c r="U139" t="s">
        <v>51</v>
      </c>
      <c r="V139">
        <v>1</v>
      </c>
      <c r="W139" s="1">
        <v>45917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5864253</v>
      </c>
      <c r="AL139" t="s">
        <v>53</v>
      </c>
    </row>
    <row r="140" spans="1:38" x14ac:dyDescent="0.25">
      <c r="A140" s="1">
        <v>45918</v>
      </c>
      <c r="B140" s="1">
        <v>45915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349</v>
      </c>
      <c r="J140" t="s">
        <v>350</v>
      </c>
      <c r="M140" t="s">
        <v>46</v>
      </c>
      <c r="O140" t="s">
        <v>298</v>
      </c>
      <c r="P140" t="s">
        <v>299</v>
      </c>
      <c r="Q140" t="s">
        <v>49</v>
      </c>
      <c r="R140" t="s">
        <v>50</v>
      </c>
      <c r="S140" s="1">
        <v>45627</v>
      </c>
      <c r="T140" s="1">
        <v>45945</v>
      </c>
      <c r="U140" t="s">
        <v>51</v>
      </c>
      <c r="V140">
        <v>1</v>
      </c>
      <c r="W140" s="1">
        <v>45917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5864266</v>
      </c>
      <c r="AL140" t="s">
        <v>53</v>
      </c>
    </row>
    <row r="141" spans="1:38" x14ac:dyDescent="0.25">
      <c r="A141" s="1">
        <v>45918</v>
      </c>
      <c r="B141" s="1">
        <v>45915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351</v>
      </c>
      <c r="J141" t="s">
        <v>352</v>
      </c>
      <c r="M141" t="s">
        <v>46</v>
      </c>
      <c r="O141" t="s">
        <v>167</v>
      </c>
      <c r="P141" t="s">
        <v>168</v>
      </c>
      <c r="Q141" t="s">
        <v>49</v>
      </c>
      <c r="R141" t="s">
        <v>50</v>
      </c>
      <c r="S141" s="1">
        <v>45597</v>
      </c>
      <c r="T141" s="1">
        <v>45945</v>
      </c>
      <c r="U141" t="s">
        <v>51</v>
      </c>
      <c r="V141">
        <v>1</v>
      </c>
      <c r="W141" s="1">
        <v>45917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5864269</v>
      </c>
      <c r="AL141" t="s">
        <v>53</v>
      </c>
    </row>
    <row r="142" spans="1:38" x14ac:dyDescent="0.25">
      <c r="A142" s="1">
        <v>45918</v>
      </c>
      <c r="B142" s="1">
        <v>45915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353</v>
      </c>
      <c r="J142" t="s">
        <v>354</v>
      </c>
      <c r="M142" t="s">
        <v>46</v>
      </c>
      <c r="O142" t="s">
        <v>220</v>
      </c>
      <c r="P142" t="s">
        <v>221</v>
      </c>
      <c r="Q142" t="s">
        <v>49</v>
      </c>
      <c r="R142" t="s">
        <v>50</v>
      </c>
      <c r="S142" s="1">
        <v>45597</v>
      </c>
      <c r="T142" s="1">
        <v>45945</v>
      </c>
      <c r="U142" t="s">
        <v>51</v>
      </c>
      <c r="V142">
        <v>1</v>
      </c>
      <c r="W142" s="1">
        <v>45917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5864279</v>
      </c>
      <c r="AL142" t="s">
        <v>53</v>
      </c>
    </row>
    <row r="143" spans="1:38" x14ac:dyDescent="0.25">
      <c r="A143" s="1">
        <v>45918</v>
      </c>
      <c r="B143" s="1">
        <v>45915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355</v>
      </c>
      <c r="J143" t="s">
        <v>356</v>
      </c>
      <c r="M143" t="s">
        <v>46</v>
      </c>
      <c r="O143" t="s">
        <v>100</v>
      </c>
      <c r="P143" t="s">
        <v>101</v>
      </c>
      <c r="Q143" t="s">
        <v>49</v>
      </c>
      <c r="R143" t="s">
        <v>50</v>
      </c>
      <c r="S143" s="1">
        <v>45597</v>
      </c>
      <c r="T143" s="1">
        <v>45945</v>
      </c>
      <c r="U143" t="s">
        <v>51</v>
      </c>
      <c r="V143">
        <v>1</v>
      </c>
      <c r="W143" s="1">
        <v>45917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5864295</v>
      </c>
      <c r="AL143" t="s">
        <v>53</v>
      </c>
    </row>
    <row r="144" spans="1:38" x14ac:dyDescent="0.25">
      <c r="A144" s="1">
        <v>45918</v>
      </c>
      <c r="B144" s="1">
        <v>45915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357</v>
      </c>
      <c r="J144" t="s">
        <v>358</v>
      </c>
      <c r="M144" t="s">
        <v>46</v>
      </c>
      <c r="O144" t="s">
        <v>359</v>
      </c>
      <c r="P144" t="s">
        <v>360</v>
      </c>
      <c r="Q144" t="s">
        <v>49</v>
      </c>
      <c r="R144" t="s">
        <v>50</v>
      </c>
      <c r="S144" s="1">
        <v>45597</v>
      </c>
      <c r="T144" s="1">
        <v>45945</v>
      </c>
      <c r="U144" t="s">
        <v>51</v>
      </c>
      <c r="V144">
        <v>1</v>
      </c>
      <c r="W144" s="1">
        <v>45917</v>
      </c>
      <c r="X144" t="s">
        <v>52</v>
      </c>
      <c r="Y144" s="2">
        <v>1</v>
      </c>
      <c r="Z144" s="2">
        <v>1</v>
      </c>
      <c r="AB144" s="3">
        <v>1</v>
      </c>
      <c r="AC144" s="2">
        <v>4</v>
      </c>
      <c r="AG144" s="2">
        <v>0</v>
      </c>
      <c r="AH144" s="2">
        <v>4</v>
      </c>
      <c r="AI144" s="2">
        <v>0</v>
      </c>
      <c r="AK144">
        <v>5864307</v>
      </c>
      <c r="AL144" t="s">
        <v>53</v>
      </c>
    </row>
    <row r="145" spans="1:38" x14ac:dyDescent="0.25">
      <c r="A145" s="1">
        <v>45918</v>
      </c>
      <c r="B145" s="1">
        <v>45915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361</v>
      </c>
      <c r="J145" t="s">
        <v>362</v>
      </c>
      <c r="M145" t="s">
        <v>46</v>
      </c>
      <c r="O145" t="s">
        <v>70</v>
      </c>
      <c r="P145" t="s">
        <v>71</v>
      </c>
      <c r="Q145" t="s">
        <v>49</v>
      </c>
      <c r="R145" t="s">
        <v>50</v>
      </c>
      <c r="S145" s="1">
        <v>45597</v>
      </c>
      <c r="T145" s="1">
        <v>45945</v>
      </c>
      <c r="U145" t="s">
        <v>51</v>
      </c>
      <c r="V145">
        <v>1</v>
      </c>
      <c r="W145" s="1">
        <v>45917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5864318</v>
      </c>
      <c r="AL145" t="s">
        <v>53</v>
      </c>
    </row>
    <row r="146" spans="1:38" x14ac:dyDescent="0.25">
      <c r="A146" s="1">
        <v>45918</v>
      </c>
      <c r="B146" s="1">
        <v>45915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363</v>
      </c>
      <c r="J146" t="s">
        <v>364</v>
      </c>
      <c r="M146" t="s">
        <v>46</v>
      </c>
      <c r="O146" t="s">
        <v>153</v>
      </c>
      <c r="P146" t="s">
        <v>154</v>
      </c>
      <c r="Q146" t="s">
        <v>49</v>
      </c>
      <c r="R146" t="s">
        <v>50</v>
      </c>
      <c r="S146" s="1">
        <v>45627</v>
      </c>
      <c r="T146" s="1">
        <v>45945</v>
      </c>
      <c r="U146" t="s">
        <v>51</v>
      </c>
      <c r="V146">
        <v>1</v>
      </c>
      <c r="W146" s="1">
        <v>45917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5864329</v>
      </c>
      <c r="AL146" t="s">
        <v>53</v>
      </c>
    </row>
    <row r="147" spans="1:38" x14ac:dyDescent="0.25">
      <c r="A147" s="1">
        <v>45918</v>
      </c>
      <c r="B147" s="1">
        <v>45915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365</v>
      </c>
      <c r="J147" t="s">
        <v>366</v>
      </c>
      <c r="M147" t="s">
        <v>46</v>
      </c>
      <c r="O147" t="s">
        <v>367</v>
      </c>
      <c r="P147" t="s">
        <v>368</v>
      </c>
      <c r="Q147" t="s">
        <v>49</v>
      </c>
      <c r="R147" t="s">
        <v>50</v>
      </c>
      <c r="S147" s="1">
        <v>45627</v>
      </c>
      <c r="T147" s="1">
        <v>45945</v>
      </c>
      <c r="U147" t="s">
        <v>51</v>
      </c>
      <c r="V147">
        <v>1</v>
      </c>
      <c r="W147" s="1">
        <v>45917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5864332</v>
      </c>
      <c r="AL147" t="s">
        <v>53</v>
      </c>
    </row>
    <row r="148" spans="1:38" x14ac:dyDescent="0.25">
      <c r="A148" s="1">
        <v>45918</v>
      </c>
      <c r="B148" s="1">
        <v>45915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369</v>
      </c>
      <c r="J148" t="s">
        <v>370</v>
      </c>
      <c r="M148" t="s">
        <v>46</v>
      </c>
      <c r="O148" t="s">
        <v>153</v>
      </c>
      <c r="P148" t="s">
        <v>154</v>
      </c>
      <c r="Q148" t="s">
        <v>49</v>
      </c>
      <c r="R148" t="s">
        <v>50</v>
      </c>
      <c r="S148" s="1">
        <v>45627</v>
      </c>
      <c r="T148" s="1">
        <v>45945</v>
      </c>
      <c r="U148" t="s">
        <v>51</v>
      </c>
      <c r="V148">
        <v>1</v>
      </c>
      <c r="W148" s="1">
        <v>45917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5864356</v>
      </c>
      <c r="AL148" t="s">
        <v>53</v>
      </c>
    </row>
    <row r="149" spans="1:38" x14ac:dyDescent="0.25">
      <c r="A149" s="1">
        <v>45918</v>
      </c>
      <c r="B149" s="1">
        <v>45915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371</v>
      </c>
      <c r="J149" t="s">
        <v>372</v>
      </c>
      <c r="M149" t="s">
        <v>46</v>
      </c>
      <c r="O149" t="s">
        <v>66</v>
      </c>
      <c r="P149" t="s">
        <v>67</v>
      </c>
      <c r="Q149" t="s">
        <v>49</v>
      </c>
      <c r="R149" t="s">
        <v>50</v>
      </c>
      <c r="S149" s="1">
        <v>45627</v>
      </c>
      <c r="T149" s="1">
        <v>45945</v>
      </c>
      <c r="U149" t="s">
        <v>51</v>
      </c>
      <c r="V149">
        <v>1</v>
      </c>
      <c r="W149" s="1">
        <v>45917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5864359</v>
      </c>
      <c r="AL149" t="s">
        <v>53</v>
      </c>
    </row>
    <row r="150" spans="1:38" x14ac:dyDescent="0.25">
      <c r="A150" s="1">
        <v>45918</v>
      </c>
      <c r="B150" s="1">
        <v>45915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373</v>
      </c>
      <c r="J150" t="s">
        <v>374</v>
      </c>
      <c r="M150" t="s">
        <v>46</v>
      </c>
      <c r="O150" t="s">
        <v>62</v>
      </c>
      <c r="P150" t="s">
        <v>63</v>
      </c>
      <c r="Q150" t="s">
        <v>49</v>
      </c>
      <c r="R150" t="s">
        <v>50</v>
      </c>
      <c r="S150" s="1">
        <v>45627</v>
      </c>
      <c r="T150" s="1">
        <v>45945</v>
      </c>
      <c r="U150" t="s">
        <v>51</v>
      </c>
      <c r="V150">
        <v>1</v>
      </c>
      <c r="W150" s="1">
        <v>45917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5864369</v>
      </c>
      <c r="AL150" t="s">
        <v>53</v>
      </c>
    </row>
    <row r="151" spans="1:38" x14ac:dyDescent="0.25">
      <c r="A151" s="1">
        <v>45918</v>
      </c>
      <c r="B151" s="1">
        <v>45915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375</v>
      </c>
      <c r="J151" t="s">
        <v>376</v>
      </c>
      <c r="M151" t="s">
        <v>46</v>
      </c>
      <c r="O151" t="s">
        <v>347</v>
      </c>
      <c r="P151" t="s">
        <v>348</v>
      </c>
      <c r="Q151" t="s">
        <v>49</v>
      </c>
      <c r="R151" t="s">
        <v>50</v>
      </c>
      <c r="S151" s="1">
        <v>45627</v>
      </c>
      <c r="T151" s="1">
        <v>45945</v>
      </c>
      <c r="U151" t="s">
        <v>51</v>
      </c>
      <c r="V151">
        <v>1</v>
      </c>
      <c r="W151" s="1">
        <v>45917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5864375</v>
      </c>
      <c r="AL151" t="s">
        <v>53</v>
      </c>
    </row>
    <row r="152" spans="1:38" x14ac:dyDescent="0.25">
      <c r="A152" s="1">
        <v>45918</v>
      </c>
      <c r="B152" s="1">
        <v>45915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377</v>
      </c>
      <c r="J152" t="s">
        <v>378</v>
      </c>
      <c r="M152" t="s">
        <v>46</v>
      </c>
      <c r="O152" t="s">
        <v>62</v>
      </c>
      <c r="P152" t="s">
        <v>63</v>
      </c>
      <c r="Q152" t="s">
        <v>49</v>
      </c>
      <c r="R152" t="s">
        <v>50</v>
      </c>
      <c r="S152" s="1">
        <v>45627</v>
      </c>
      <c r="T152" s="1">
        <v>45945</v>
      </c>
      <c r="U152" t="s">
        <v>51</v>
      </c>
      <c r="V152">
        <v>1</v>
      </c>
      <c r="W152" s="1">
        <v>45917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5864392</v>
      </c>
      <c r="AL152" t="s">
        <v>53</v>
      </c>
    </row>
    <row r="153" spans="1:38" x14ac:dyDescent="0.25">
      <c r="A153" s="1">
        <v>45918</v>
      </c>
      <c r="B153" s="1">
        <v>45915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379</v>
      </c>
      <c r="J153" t="s">
        <v>380</v>
      </c>
      <c r="M153" t="s">
        <v>46</v>
      </c>
      <c r="O153" t="s">
        <v>100</v>
      </c>
      <c r="P153" t="s">
        <v>101</v>
      </c>
      <c r="Q153" t="s">
        <v>49</v>
      </c>
      <c r="R153" t="s">
        <v>50</v>
      </c>
      <c r="S153" s="1">
        <v>45627</v>
      </c>
      <c r="T153" s="1">
        <v>45945</v>
      </c>
      <c r="U153" t="s">
        <v>51</v>
      </c>
      <c r="V153">
        <v>1</v>
      </c>
      <c r="W153" s="1">
        <v>45917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5864410</v>
      </c>
      <c r="AL153" t="s">
        <v>53</v>
      </c>
    </row>
    <row r="154" spans="1:38" x14ac:dyDescent="0.25">
      <c r="A154" s="1">
        <v>45918</v>
      </c>
      <c r="B154" s="1">
        <v>45915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381</v>
      </c>
      <c r="J154" t="s">
        <v>382</v>
      </c>
      <c r="M154" t="s">
        <v>46</v>
      </c>
      <c r="O154" t="s">
        <v>70</v>
      </c>
      <c r="P154" t="s">
        <v>71</v>
      </c>
      <c r="Q154" t="s">
        <v>49</v>
      </c>
      <c r="R154" t="s">
        <v>50</v>
      </c>
      <c r="S154" s="1">
        <v>45627</v>
      </c>
      <c r="T154" s="1">
        <v>45945</v>
      </c>
      <c r="U154" t="s">
        <v>51</v>
      </c>
      <c r="V154">
        <v>1</v>
      </c>
      <c r="W154" s="1">
        <v>45917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5864420</v>
      </c>
      <c r="AL154" t="s">
        <v>53</v>
      </c>
    </row>
    <row r="155" spans="1:38" x14ac:dyDescent="0.25">
      <c r="A155" s="1">
        <v>45918</v>
      </c>
      <c r="B155" s="1">
        <v>45915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383</v>
      </c>
      <c r="J155" t="s">
        <v>384</v>
      </c>
      <c r="M155" t="s">
        <v>46</v>
      </c>
      <c r="O155" t="s">
        <v>181</v>
      </c>
      <c r="P155" t="s">
        <v>182</v>
      </c>
      <c r="Q155" t="s">
        <v>49</v>
      </c>
      <c r="R155" t="s">
        <v>50</v>
      </c>
      <c r="S155" s="1">
        <v>45627</v>
      </c>
      <c r="T155" s="1">
        <v>45945</v>
      </c>
      <c r="U155" t="s">
        <v>51</v>
      </c>
      <c r="V155">
        <v>1</v>
      </c>
      <c r="W155" s="1">
        <v>45917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5864427</v>
      </c>
      <c r="AL155" t="s">
        <v>53</v>
      </c>
    </row>
    <row r="156" spans="1:38" x14ac:dyDescent="0.25">
      <c r="A156" s="1">
        <v>45918</v>
      </c>
      <c r="B156" s="1">
        <v>45915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385</v>
      </c>
      <c r="J156" t="s">
        <v>386</v>
      </c>
      <c r="M156" t="s">
        <v>46</v>
      </c>
      <c r="O156" t="s">
        <v>74</v>
      </c>
      <c r="P156" t="s">
        <v>75</v>
      </c>
      <c r="Q156" t="s">
        <v>49</v>
      </c>
      <c r="R156" t="s">
        <v>50</v>
      </c>
      <c r="S156" s="1">
        <v>45627</v>
      </c>
      <c r="T156" s="1">
        <v>45945</v>
      </c>
      <c r="U156" t="s">
        <v>51</v>
      </c>
      <c r="V156">
        <v>1</v>
      </c>
      <c r="W156" s="1">
        <v>45917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5864428</v>
      </c>
      <c r="AL156" t="s">
        <v>53</v>
      </c>
    </row>
    <row r="157" spans="1:38" x14ac:dyDescent="0.25">
      <c r="A157" s="1">
        <v>45918</v>
      </c>
      <c r="B157" s="1">
        <v>45915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387</v>
      </c>
      <c r="J157" t="s">
        <v>388</v>
      </c>
      <c r="M157" t="s">
        <v>46</v>
      </c>
      <c r="O157" t="s">
        <v>153</v>
      </c>
      <c r="P157" t="s">
        <v>154</v>
      </c>
      <c r="Q157" t="s">
        <v>49</v>
      </c>
      <c r="R157" t="s">
        <v>50</v>
      </c>
      <c r="S157" s="1">
        <v>45627</v>
      </c>
      <c r="T157" s="1">
        <v>45945</v>
      </c>
      <c r="U157" t="s">
        <v>51</v>
      </c>
      <c r="V157">
        <v>1</v>
      </c>
      <c r="W157" s="1">
        <v>45917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5864432</v>
      </c>
      <c r="AL157" t="s">
        <v>53</v>
      </c>
    </row>
    <row r="158" spans="1:38" x14ac:dyDescent="0.25">
      <c r="A158" s="1">
        <v>45918</v>
      </c>
      <c r="B158" s="1">
        <v>45915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389</v>
      </c>
      <c r="J158" t="s">
        <v>390</v>
      </c>
      <c r="M158" t="s">
        <v>46</v>
      </c>
      <c r="O158" t="s">
        <v>56</v>
      </c>
      <c r="P158" t="s">
        <v>57</v>
      </c>
      <c r="Q158" t="s">
        <v>49</v>
      </c>
      <c r="R158" t="s">
        <v>50</v>
      </c>
      <c r="S158" s="1">
        <v>45627</v>
      </c>
      <c r="T158" s="1">
        <v>45945</v>
      </c>
      <c r="U158" t="s">
        <v>51</v>
      </c>
      <c r="V158">
        <v>1</v>
      </c>
      <c r="W158" s="1">
        <v>45917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5864437</v>
      </c>
      <c r="AL158" t="s">
        <v>53</v>
      </c>
    </row>
    <row r="159" spans="1:38" x14ac:dyDescent="0.25">
      <c r="A159" s="1">
        <v>45918</v>
      </c>
      <c r="B159" s="1">
        <v>45915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391</v>
      </c>
      <c r="J159" t="s">
        <v>392</v>
      </c>
      <c r="M159" t="s">
        <v>46</v>
      </c>
      <c r="O159" t="s">
        <v>81</v>
      </c>
      <c r="P159" t="s">
        <v>82</v>
      </c>
      <c r="Q159" t="s">
        <v>49</v>
      </c>
      <c r="R159" t="s">
        <v>50</v>
      </c>
      <c r="S159" s="1">
        <v>45627</v>
      </c>
      <c r="T159" s="1">
        <v>45945</v>
      </c>
      <c r="U159" t="s">
        <v>51</v>
      </c>
      <c r="V159">
        <v>1</v>
      </c>
      <c r="W159" s="1">
        <v>45917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5864438</v>
      </c>
      <c r="AL159" t="s">
        <v>53</v>
      </c>
    </row>
    <row r="160" spans="1:38" x14ac:dyDescent="0.25">
      <c r="A160" s="1">
        <v>45918</v>
      </c>
      <c r="B160" s="1">
        <v>45915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393</v>
      </c>
      <c r="J160" t="s">
        <v>394</v>
      </c>
      <c r="M160" t="s">
        <v>46</v>
      </c>
      <c r="O160" t="s">
        <v>66</v>
      </c>
      <c r="P160" t="s">
        <v>67</v>
      </c>
      <c r="Q160" t="s">
        <v>58</v>
      </c>
      <c r="R160" t="s">
        <v>50</v>
      </c>
      <c r="S160" s="1">
        <v>45627</v>
      </c>
      <c r="T160" s="1">
        <v>45945</v>
      </c>
      <c r="U160" t="s">
        <v>51</v>
      </c>
      <c r="V160">
        <v>1</v>
      </c>
      <c r="W160" s="1">
        <v>45917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5864446</v>
      </c>
      <c r="AL160" t="s">
        <v>53</v>
      </c>
    </row>
    <row r="161" spans="1:38" x14ac:dyDescent="0.25">
      <c r="A161" s="1">
        <v>45918</v>
      </c>
      <c r="B161" s="1">
        <v>45915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395</v>
      </c>
      <c r="J161" t="s">
        <v>396</v>
      </c>
      <c r="M161" t="s">
        <v>46</v>
      </c>
      <c r="O161" t="s">
        <v>81</v>
      </c>
      <c r="P161" t="s">
        <v>82</v>
      </c>
      <c r="Q161" t="s">
        <v>49</v>
      </c>
      <c r="R161" t="s">
        <v>50</v>
      </c>
      <c r="S161" s="1">
        <v>45627</v>
      </c>
      <c r="T161" s="1">
        <v>45945</v>
      </c>
      <c r="U161" t="s">
        <v>51</v>
      </c>
      <c r="V161">
        <v>1</v>
      </c>
      <c r="W161" s="1">
        <v>45917</v>
      </c>
      <c r="X161" t="s">
        <v>52</v>
      </c>
      <c r="Y161" s="2">
        <v>1</v>
      </c>
      <c r="Z161" s="2">
        <v>1</v>
      </c>
      <c r="AB161" s="3">
        <v>1</v>
      </c>
      <c r="AC161" s="2">
        <v>9</v>
      </c>
      <c r="AG161" s="2">
        <v>0</v>
      </c>
      <c r="AH161" s="2">
        <v>9</v>
      </c>
      <c r="AI161" s="2">
        <v>0</v>
      </c>
      <c r="AK161">
        <v>5864451</v>
      </c>
      <c r="AL161" t="s">
        <v>53</v>
      </c>
    </row>
    <row r="162" spans="1:38" x14ac:dyDescent="0.25">
      <c r="A162" s="1">
        <v>45918</v>
      </c>
      <c r="B162" s="1">
        <v>45915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397</v>
      </c>
      <c r="J162" t="s">
        <v>398</v>
      </c>
      <c r="M162" t="s">
        <v>46</v>
      </c>
      <c r="O162" t="s">
        <v>298</v>
      </c>
      <c r="P162" t="s">
        <v>299</v>
      </c>
      <c r="Q162" t="s">
        <v>49</v>
      </c>
      <c r="R162" t="s">
        <v>50</v>
      </c>
      <c r="S162" s="1">
        <v>45627</v>
      </c>
      <c r="T162" s="1">
        <v>45945</v>
      </c>
      <c r="U162" t="s">
        <v>51</v>
      </c>
      <c r="V162">
        <v>1</v>
      </c>
      <c r="W162" s="1">
        <v>45917</v>
      </c>
      <c r="X162" t="s">
        <v>52</v>
      </c>
      <c r="Y162" s="2">
        <v>1</v>
      </c>
      <c r="Z162" s="2">
        <v>1</v>
      </c>
      <c r="AB162" s="3">
        <v>1</v>
      </c>
      <c r="AC162" s="2">
        <v>9</v>
      </c>
      <c r="AG162" s="2">
        <v>0</v>
      </c>
      <c r="AH162" s="2">
        <v>9</v>
      </c>
      <c r="AI162" s="2">
        <v>0</v>
      </c>
      <c r="AK162">
        <v>5864452</v>
      </c>
      <c r="AL162" t="s">
        <v>53</v>
      </c>
    </row>
    <row r="163" spans="1:38" x14ac:dyDescent="0.25">
      <c r="A163" s="1">
        <v>45918</v>
      </c>
      <c r="B163" s="1">
        <v>45915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399</v>
      </c>
      <c r="J163" t="s">
        <v>400</v>
      </c>
      <c r="M163" t="s">
        <v>401</v>
      </c>
      <c r="O163" t="s">
        <v>74</v>
      </c>
      <c r="P163" t="s">
        <v>75</v>
      </c>
      <c r="Q163" t="s">
        <v>58</v>
      </c>
      <c r="R163" t="s">
        <v>402</v>
      </c>
      <c r="S163" s="1">
        <v>45627</v>
      </c>
      <c r="T163" s="1">
        <v>45945</v>
      </c>
      <c r="U163" t="s">
        <v>51</v>
      </c>
      <c r="V163">
        <v>1</v>
      </c>
      <c r="W163" s="1">
        <v>45917</v>
      </c>
      <c r="X163" t="s">
        <v>52</v>
      </c>
      <c r="Y163" s="2">
        <v>1</v>
      </c>
      <c r="Z163" s="2">
        <v>1</v>
      </c>
      <c r="AB163" s="3">
        <v>1</v>
      </c>
      <c r="AC163" s="2">
        <v>4.17</v>
      </c>
      <c r="AG163" s="2">
        <v>0</v>
      </c>
      <c r="AH163" s="2">
        <v>4.17</v>
      </c>
      <c r="AI163" s="2">
        <v>0</v>
      </c>
      <c r="AK163">
        <v>5826244</v>
      </c>
      <c r="AL163" t="s">
        <v>403</v>
      </c>
    </row>
    <row r="164" spans="1:38" x14ac:dyDescent="0.25">
      <c r="A164" s="1">
        <v>45918</v>
      </c>
      <c r="B164" s="1">
        <v>45915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404</v>
      </c>
      <c r="J164" t="s">
        <v>405</v>
      </c>
      <c r="M164" t="s">
        <v>406</v>
      </c>
      <c r="O164" t="s">
        <v>407</v>
      </c>
      <c r="P164" t="s">
        <v>408</v>
      </c>
      <c r="Q164" t="s">
        <v>58</v>
      </c>
      <c r="R164" t="s">
        <v>402</v>
      </c>
      <c r="S164" s="1">
        <v>45627</v>
      </c>
      <c r="T164" s="1">
        <v>45945</v>
      </c>
      <c r="U164" t="s">
        <v>51</v>
      </c>
      <c r="V164">
        <v>1</v>
      </c>
      <c r="W164" s="1">
        <v>45917</v>
      </c>
      <c r="X164" t="s">
        <v>52</v>
      </c>
      <c r="Y164" s="2">
        <v>1</v>
      </c>
      <c r="Z164" s="2">
        <v>1</v>
      </c>
      <c r="AB164" s="3">
        <v>1</v>
      </c>
      <c r="AC164" s="2">
        <v>4.17</v>
      </c>
      <c r="AG164" s="2">
        <v>0</v>
      </c>
      <c r="AH164" s="2">
        <v>4.17</v>
      </c>
      <c r="AI164" s="2">
        <v>0</v>
      </c>
      <c r="AK164">
        <v>5826245</v>
      </c>
      <c r="AL164" t="s">
        <v>403</v>
      </c>
    </row>
    <row r="165" spans="1:38" x14ac:dyDescent="0.25">
      <c r="A165" s="1">
        <v>45918</v>
      </c>
      <c r="B165" s="1">
        <v>45915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409</v>
      </c>
      <c r="J165" t="s">
        <v>410</v>
      </c>
      <c r="M165" t="s">
        <v>401</v>
      </c>
      <c r="O165" t="s">
        <v>87</v>
      </c>
      <c r="P165" t="s">
        <v>88</v>
      </c>
      <c r="Q165" t="s">
        <v>58</v>
      </c>
      <c r="R165" t="s">
        <v>402</v>
      </c>
      <c r="S165" s="1">
        <v>45627</v>
      </c>
      <c r="T165" s="1">
        <v>45945</v>
      </c>
      <c r="U165" t="s">
        <v>51</v>
      </c>
      <c r="V165">
        <v>1</v>
      </c>
      <c r="W165" s="1">
        <v>45917</v>
      </c>
      <c r="X165" t="s">
        <v>52</v>
      </c>
      <c r="Y165" s="2">
        <v>1</v>
      </c>
      <c r="Z165" s="2">
        <v>1</v>
      </c>
      <c r="AB165" s="3">
        <v>1</v>
      </c>
      <c r="AC165" s="2">
        <v>4.17</v>
      </c>
      <c r="AG165" s="2">
        <v>0</v>
      </c>
      <c r="AH165" s="2">
        <v>4.17</v>
      </c>
      <c r="AI165" s="2">
        <v>0</v>
      </c>
      <c r="AK165">
        <v>5826249</v>
      </c>
      <c r="AL165" t="s">
        <v>403</v>
      </c>
    </row>
    <row r="166" spans="1:38" x14ac:dyDescent="0.25">
      <c r="A166" s="1">
        <v>45918</v>
      </c>
      <c r="B166" s="1">
        <v>45915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411</v>
      </c>
      <c r="J166" t="s">
        <v>412</v>
      </c>
      <c r="M166" t="s">
        <v>406</v>
      </c>
      <c r="O166" t="s">
        <v>413</v>
      </c>
      <c r="P166" t="s">
        <v>414</v>
      </c>
      <c r="Q166" t="s">
        <v>49</v>
      </c>
      <c r="R166" t="s">
        <v>415</v>
      </c>
      <c r="S166" s="1">
        <v>43466</v>
      </c>
      <c r="T166" s="1">
        <v>45945</v>
      </c>
      <c r="U166" t="s">
        <v>51</v>
      </c>
      <c r="V166">
        <v>1</v>
      </c>
      <c r="W166" s="1">
        <v>45916</v>
      </c>
      <c r="X166" t="s">
        <v>52</v>
      </c>
      <c r="Y166" s="2">
        <v>1</v>
      </c>
      <c r="Z166" s="2">
        <v>1</v>
      </c>
      <c r="AB166" s="3">
        <v>1</v>
      </c>
      <c r="AC166" s="2">
        <v>2</v>
      </c>
      <c r="AG166" s="2">
        <v>0</v>
      </c>
      <c r="AH166" s="2">
        <v>2</v>
      </c>
      <c r="AI166" s="2">
        <v>0</v>
      </c>
      <c r="AK166">
        <v>5785278</v>
      </c>
      <c r="AL166" t="s">
        <v>416</v>
      </c>
    </row>
    <row r="167" spans="1:38" x14ac:dyDescent="0.25">
      <c r="A167" s="1">
        <v>45918</v>
      </c>
      <c r="B167" s="1">
        <v>45915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417</v>
      </c>
      <c r="J167" t="s">
        <v>418</v>
      </c>
      <c r="M167" t="s">
        <v>406</v>
      </c>
      <c r="O167" t="s">
        <v>413</v>
      </c>
      <c r="P167" t="s">
        <v>414</v>
      </c>
      <c r="Q167" t="s">
        <v>49</v>
      </c>
      <c r="R167" t="s">
        <v>415</v>
      </c>
      <c r="S167" s="1">
        <v>44562</v>
      </c>
      <c r="T167" s="1">
        <v>45945</v>
      </c>
      <c r="U167" t="s">
        <v>51</v>
      </c>
      <c r="V167">
        <v>1</v>
      </c>
      <c r="W167" s="1">
        <v>45916</v>
      </c>
      <c r="X167" t="s">
        <v>52</v>
      </c>
      <c r="Y167" s="2">
        <v>1</v>
      </c>
      <c r="Z167" s="2">
        <v>1</v>
      </c>
      <c r="AB167" s="3">
        <v>1</v>
      </c>
      <c r="AC167" s="2">
        <v>2</v>
      </c>
      <c r="AG167" s="2">
        <v>0</v>
      </c>
      <c r="AH167" s="2">
        <v>2</v>
      </c>
      <c r="AI167" s="2">
        <v>0</v>
      </c>
      <c r="AK167">
        <v>5785306</v>
      </c>
      <c r="AL167" t="s">
        <v>416</v>
      </c>
    </row>
    <row r="168" spans="1:38" x14ac:dyDescent="0.25">
      <c r="A168" s="1">
        <v>45918</v>
      </c>
      <c r="B168" s="1">
        <v>45915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419</v>
      </c>
      <c r="J168" t="s">
        <v>420</v>
      </c>
      <c r="M168" t="s">
        <v>421</v>
      </c>
      <c r="O168" t="s">
        <v>74</v>
      </c>
      <c r="P168" t="s">
        <v>75</v>
      </c>
      <c r="Q168" t="s">
        <v>49</v>
      </c>
      <c r="R168" t="s">
        <v>415</v>
      </c>
      <c r="S168" s="1">
        <v>45444</v>
      </c>
      <c r="T168" s="1">
        <v>45945</v>
      </c>
      <c r="U168" t="s">
        <v>51</v>
      </c>
      <c r="V168">
        <v>1</v>
      </c>
      <c r="W168" s="1">
        <v>45916</v>
      </c>
      <c r="X168" t="s">
        <v>52</v>
      </c>
      <c r="Y168" s="2">
        <v>1</v>
      </c>
      <c r="Z168" s="2">
        <v>1</v>
      </c>
      <c r="AB168" s="3">
        <v>1</v>
      </c>
      <c r="AC168" s="2">
        <v>2</v>
      </c>
      <c r="AG168" s="2">
        <v>0</v>
      </c>
      <c r="AH168" s="2">
        <v>2</v>
      </c>
      <c r="AI168" s="2">
        <v>0</v>
      </c>
      <c r="AK168">
        <v>5785314</v>
      </c>
      <c r="AL168" t="s">
        <v>416</v>
      </c>
    </row>
    <row r="169" spans="1:38" x14ac:dyDescent="0.25">
      <c r="A169" s="1">
        <v>45918</v>
      </c>
      <c r="B169" s="1">
        <v>45915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422</v>
      </c>
      <c r="J169" t="s">
        <v>423</v>
      </c>
      <c r="M169" t="s">
        <v>406</v>
      </c>
      <c r="O169" t="s">
        <v>413</v>
      </c>
      <c r="P169" t="s">
        <v>414</v>
      </c>
      <c r="Q169" t="s">
        <v>49</v>
      </c>
      <c r="R169" t="s">
        <v>415</v>
      </c>
      <c r="S169" s="1">
        <v>45658</v>
      </c>
      <c r="T169" s="1">
        <v>45945</v>
      </c>
      <c r="U169" t="s">
        <v>51</v>
      </c>
      <c r="V169">
        <v>1</v>
      </c>
      <c r="W169" s="1">
        <v>45916</v>
      </c>
      <c r="X169" t="s">
        <v>52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5785318</v>
      </c>
      <c r="AL169" t="s">
        <v>416</v>
      </c>
    </row>
    <row r="170" spans="1:38" x14ac:dyDescent="0.25">
      <c r="A170" s="1">
        <v>45918</v>
      </c>
      <c r="B170" s="1">
        <v>45915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424</v>
      </c>
      <c r="J170" t="s">
        <v>425</v>
      </c>
      <c r="M170" t="s">
        <v>406</v>
      </c>
      <c r="O170" t="s">
        <v>359</v>
      </c>
      <c r="P170" t="s">
        <v>360</v>
      </c>
      <c r="Q170" t="s">
        <v>49</v>
      </c>
      <c r="R170" t="s">
        <v>415</v>
      </c>
      <c r="S170" s="1">
        <v>40909</v>
      </c>
      <c r="T170" s="1">
        <v>45945</v>
      </c>
      <c r="U170" t="s">
        <v>51</v>
      </c>
      <c r="V170">
        <v>1</v>
      </c>
      <c r="W170" s="1">
        <v>45916</v>
      </c>
      <c r="X170" t="s">
        <v>52</v>
      </c>
      <c r="Y170" s="2">
        <v>1</v>
      </c>
      <c r="Z170" s="2">
        <v>1</v>
      </c>
      <c r="AB170" s="3">
        <v>1</v>
      </c>
      <c r="AC170" s="2">
        <v>2</v>
      </c>
      <c r="AG170" s="2">
        <v>0</v>
      </c>
      <c r="AH170" s="2">
        <v>2</v>
      </c>
      <c r="AI170" s="2">
        <v>0</v>
      </c>
      <c r="AK170">
        <v>5785325</v>
      </c>
      <c r="AL170" t="s">
        <v>416</v>
      </c>
    </row>
    <row r="171" spans="1:38" x14ac:dyDescent="0.25">
      <c r="A171" s="1">
        <v>45918</v>
      </c>
      <c r="B171" s="1">
        <v>45915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426</v>
      </c>
      <c r="J171" t="s">
        <v>427</v>
      </c>
      <c r="M171" t="s">
        <v>406</v>
      </c>
      <c r="O171" t="s">
        <v>413</v>
      </c>
      <c r="P171" t="s">
        <v>414</v>
      </c>
      <c r="Q171" t="s">
        <v>49</v>
      </c>
      <c r="R171" t="s">
        <v>415</v>
      </c>
      <c r="S171" s="1">
        <v>43862</v>
      </c>
      <c r="T171" s="1">
        <v>45945</v>
      </c>
      <c r="U171" t="s">
        <v>51</v>
      </c>
      <c r="V171">
        <v>1</v>
      </c>
      <c r="W171" s="1">
        <v>45916</v>
      </c>
      <c r="X171" t="s">
        <v>52</v>
      </c>
      <c r="Y171" s="2">
        <v>1</v>
      </c>
      <c r="Z171" s="2">
        <v>1</v>
      </c>
      <c r="AB171" s="3">
        <v>1</v>
      </c>
      <c r="AC171" s="2">
        <v>2</v>
      </c>
      <c r="AG171" s="2">
        <v>0</v>
      </c>
      <c r="AH171" s="2">
        <v>2</v>
      </c>
      <c r="AI171" s="2">
        <v>0</v>
      </c>
      <c r="AK171">
        <v>5785349</v>
      </c>
      <c r="AL171" t="s">
        <v>416</v>
      </c>
    </row>
    <row r="172" spans="1:38" x14ac:dyDescent="0.25">
      <c r="A172" s="1">
        <v>45918</v>
      </c>
      <c r="B172" s="1">
        <v>45915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428</v>
      </c>
      <c r="J172" t="s">
        <v>429</v>
      </c>
      <c r="M172" t="s">
        <v>406</v>
      </c>
      <c r="O172" t="s">
        <v>359</v>
      </c>
      <c r="P172" t="s">
        <v>360</v>
      </c>
      <c r="Q172" t="s">
        <v>49</v>
      </c>
      <c r="R172" t="s">
        <v>415</v>
      </c>
      <c r="S172" s="1">
        <v>43678</v>
      </c>
      <c r="T172" s="1">
        <v>45945</v>
      </c>
      <c r="U172" t="s">
        <v>51</v>
      </c>
      <c r="V172">
        <v>1</v>
      </c>
      <c r="W172" s="1">
        <v>45916</v>
      </c>
      <c r="X172" t="s">
        <v>52</v>
      </c>
      <c r="Y172" s="2">
        <v>1</v>
      </c>
      <c r="Z172" s="2">
        <v>1</v>
      </c>
      <c r="AB172" s="3">
        <v>1</v>
      </c>
      <c r="AC172" s="2">
        <v>2</v>
      </c>
      <c r="AG172" s="2">
        <v>0</v>
      </c>
      <c r="AH172" s="2">
        <v>2</v>
      </c>
      <c r="AI172" s="2">
        <v>0</v>
      </c>
      <c r="AK172">
        <v>5785367</v>
      </c>
      <c r="AL172" t="s">
        <v>416</v>
      </c>
    </row>
    <row r="173" spans="1:38" x14ac:dyDescent="0.25">
      <c r="A173" s="1">
        <v>45918</v>
      </c>
      <c r="B173" s="1">
        <v>45915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430</v>
      </c>
      <c r="J173" t="s">
        <v>431</v>
      </c>
      <c r="M173" t="s">
        <v>406</v>
      </c>
      <c r="O173" t="s">
        <v>413</v>
      </c>
      <c r="P173" t="s">
        <v>414</v>
      </c>
      <c r="Q173" t="s">
        <v>49</v>
      </c>
      <c r="R173" t="s">
        <v>415</v>
      </c>
      <c r="S173" s="1">
        <v>43466</v>
      </c>
      <c r="T173" s="1">
        <v>45945</v>
      </c>
      <c r="U173" t="s">
        <v>51</v>
      </c>
      <c r="V173">
        <v>1</v>
      </c>
      <c r="W173" s="1">
        <v>45916</v>
      </c>
      <c r="X173" t="s">
        <v>52</v>
      </c>
      <c r="Y173" s="2">
        <v>1</v>
      </c>
      <c r="Z173" s="2">
        <v>1</v>
      </c>
      <c r="AB173" s="3">
        <v>1</v>
      </c>
      <c r="AC173" s="2">
        <v>2</v>
      </c>
      <c r="AG173" s="2">
        <v>0</v>
      </c>
      <c r="AH173" s="2">
        <v>2</v>
      </c>
      <c r="AI173" s="2">
        <v>0</v>
      </c>
      <c r="AK173">
        <v>5785377</v>
      </c>
      <c r="AL173" t="s">
        <v>416</v>
      </c>
    </row>
    <row r="174" spans="1:38" x14ac:dyDescent="0.25">
      <c r="A174" s="1">
        <v>45918</v>
      </c>
      <c r="B174" s="1">
        <v>45915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432</v>
      </c>
      <c r="J174" t="s">
        <v>433</v>
      </c>
      <c r="M174" t="s">
        <v>406</v>
      </c>
      <c r="O174" t="s">
        <v>413</v>
      </c>
      <c r="P174" t="s">
        <v>414</v>
      </c>
      <c r="Q174" t="s">
        <v>49</v>
      </c>
      <c r="R174" t="s">
        <v>415</v>
      </c>
      <c r="S174" s="1">
        <v>43466</v>
      </c>
      <c r="T174" s="1">
        <v>45945</v>
      </c>
      <c r="U174" t="s">
        <v>51</v>
      </c>
      <c r="V174">
        <v>1</v>
      </c>
      <c r="W174" s="1">
        <v>45916</v>
      </c>
      <c r="X174" t="s">
        <v>52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5785402</v>
      </c>
      <c r="AL174" t="s">
        <v>416</v>
      </c>
    </row>
    <row r="175" spans="1:38" x14ac:dyDescent="0.25">
      <c r="A175" s="1">
        <v>45918</v>
      </c>
      <c r="B175" s="1">
        <v>45915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434</v>
      </c>
      <c r="J175" t="s">
        <v>435</v>
      </c>
      <c r="M175" t="s">
        <v>406</v>
      </c>
      <c r="O175" t="s">
        <v>413</v>
      </c>
      <c r="P175" t="s">
        <v>414</v>
      </c>
      <c r="Q175" t="s">
        <v>49</v>
      </c>
      <c r="R175" t="s">
        <v>415</v>
      </c>
      <c r="S175" s="1">
        <v>43466</v>
      </c>
      <c r="T175" s="1">
        <v>45945</v>
      </c>
      <c r="U175" t="s">
        <v>51</v>
      </c>
      <c r="V175">
        <v>1</v>
      </c>
      <c r="W175" s="1">
        <v>45916</v>
      </c>
      <c r="X175" t="s">
        <v>52</v>
      </c>
      <c r="Y175" s="2">
        <v>1</v>
      </c>
      <c r="Z175" s="2">
        <v>1</v>
      </c>
      <c r="AB175" s="3">
        <v>1</v>
      </c>
      <c r="AC175" s="2">
        <v>2</v>
      </c>
      <c r="AG175" s="2">
        <v>0</v>
      </c>
      <c r="AH175" s="2">
        <v>2</v>
      </c>
      <c r="AI175" s="2">
        <v>0</v>
      </c>
      <c r="AK175">
        <v>5785417</v>
      </c>
      <c r="AL175" t="s">
        <v>416</v>
      </c>
    </row>
    <row r="176" spans="1:38" x14ac:dyDescent="0.25">
      <c r="A176" s="1">
        <v>45918</v>
      </c>
      <c r="B176" s="1">
        <v>45915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436</v>
      </c>
      <c r="J176" t="s">
        <v>437</v>
      </c>
      <c r="M176" t="s">
        <v>406</v>
      </c>
      <c r="O176" t="s">
        <v>413</v>
      </c>
      <c r="P176" t="s">
        <v>414</v>
      </c>
      <c r="Q176" t="s">
        <v>49</v>
      </c>
      <c r="R176" t="s">
        <v>415</v>
      </c>
      <c r="S176" s="1">
        <v>44562</v>
      </c>
      <c r="T176" s="1">
        <v>45945</v>
      </c>
      <c r="U176" t="s">
        <v>51</v>
      </c>
      <c r="V176">
        <v>1</v>
      </c>
      <c r="W176" s="1">
        <v>45916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5785421</v>
      </c>
      <c r="AL176" t="s">
        <v>416</v>
      </c>
    </row>
    <row r="177" spans="1:38" x14ac:dyDescent="0.25">
      <c r="A177" s="1">
        <v>45918</v>
      </c>
      <c r="B177" s="1">
        <v>45915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438</v>
      </c>
      <c r="J177" t="s">
        <v>439</v>
      </c>
      <c r="M177" t="s">
        <v>406</v>
      </c>
      <c r="O177" t="s">
        <v>413</v>
      </c>
      <c r="P177" t="s">
        <v>414</v>
      </c>
      <c r="Q177" t="s">
        <v>49</v>
      </c>
      <c r="R177" t="s">
        <v>415</v>
      </c>
      <c r="S177" s="1">
        <v>43466</v>
      </c>
      <c r="T177" s="1">
        <v>45945</v>
      </c>
      <c r="U177" t="s">
        <v>51</v>
      </c>
      <c r="V177">
        <v>1</v>
      </c>
      <c r="W177" s="1">
        <v>45916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5785432</v>
      </c>
      <c r="AL177" t="s">
        <v>416</v>
      </c>
    </row>
    <row r="178" spans="1:38" x14ac:dyDescent="0.25">
      <c r="A178" s="1">
        <v>45918</v>
      </c>
      <c r="B178" s="1">
        <v>45915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440</v>
      </c>
      <c r="J178" t="s">
        <v>441</v>
      </c>
      <c r="M178" t="s">
        <v>406</v>
      </c>
      <c r="O178" t="s">
        <v>359</v>
      </c>
      <c r="P178" t="s">
        <v>360</v>
      </c>
      <c r="Q178" t="s">
        <v>49</v>
      </c>
      <c r="R178" t="s">
        <v>415</v>
      </c>
      <c r="S178" s="1">
        <v>43678</v>
      </c>
      <c r="T178" s="1">
        <v>45945</v>
      </c>
      <c r="U178" t="s">
        <v>51</v>
      </c>
      <c r="V178">
        <v>1</v>
      </c>
      <c r="W178" s="1">
        <v>45916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5785458</v>
      </c>
      <c r="AL178" t="s">
        <v>416</v>
      </c>
    </row>
    <row r="179" spans="1:38" x14ac:dyDescent="0.25">
      <c r="A179" s="1">
        <v>45918</v>
      </c>
      <c r="B179" s="1">
        <v>45915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442</v>
      </c>
      <c r="J179" t="s">
        <v>443</v>
      </c>
      <c r="M179" t="s">
        <v>406</v>
      </c>
      <c r="O179" t="s">
        <v>413</v>
      </c>
      <c r="P179" t="s">
        <v>414</v>
      </c>
      <c r="Q179" t="s">
        <v>49</v>
      </c>
      <c r="R179" t="s">
        <v>415</v>
      </c>
      <c r="S179" s="1">
        <v>43466</v>
      </c>
      <c r="T179" s="1">
        <v>45945</v>
      </c>
      <c r="U179" t="s">
        <v>51</v>
      </c>
      <c r="V179">
        <v>1</v>
      </c>
      <c r="W179" s="1">
        <v>45916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5785463</v>
      </c>
      <c r="AL179" t="s">
        <v>416</v>
      </c>
    </row>
    <row r="180" spans="1:38" x14ac:dyDescent="0.25">
      <c r="A180" s="1">
        <v>45918</v>
      </c>
      <c r="B180" s="1">
        <v>45915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444</v>
      </c>
      <c r="J180" t="s">
        <v>445</v>
      </c>
      <c r="M180" t="s">
        <v>406</v>
      </c>
      <c r="O180" t="s">
        <v>359</v>
      </c>
      <c r="P180" t="s">
        <v>360</v>
      </c>
      <c r="Q180" t="s">
        <v>49</v>
      </c>
      <c r="R180" t="s">
        <v>415</v>
      </c>
      <c r="S180" s="1">
        <v>45658</v>
      </c>
      <c r="T180" s="1">
        <v>45945</v>
      </c>
      <c r="U180" t="s">
        <v>51</v>
      </c>
      <c r="V180">
        <v>1</v>
      </c>
      <c r="W180" s="1">
        <v>45916</v>
      </c>
      <c r="X180" t="s">
        <v>52</v>
      </c>
      <c r="Y180" s="2">
        <v>1</v>
      </c>
      <c r="Z180" s="2">
        <v>1</v>
      </c>
      <c r="AB180" s="3">
        <v>1</v>
      </c>
      <c r="AC180" s="2">
        <v>2</v>
      </c>
      <c r="AG180" s="2">
        <v>0</v>
      </c>
      <c r="AH180" s="2">
        <v>2</v>
      </c>
      <c r="AI180" s="2">
        <v>0</v>
      </c>
      <c r="AK180">
        <v>5785491</v>
      </c>
      <c r="AL180" t="s">
        <v>416</v>
      </c>
    </row>
    <row r="181" spans="1:38" x14ac:dyDescent="0.25">
      <c r="A181" s="1">
        <v>45918</v>
      </c>
      <c r="B181" s="1">
        <v>45915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446</v>
      </c>
      <c r="J181" t="s">
        <v>447</v>
      </c>
      <c r="M181" t="s">
        <v>406</v>
      </c>
      <c r="O181" t="s">
        <v>413</v>
      </c>
      <c r="P181" t="s">
        <v>414</v>
      </c>
      <c r="Q181" t="s">
        <v>49</v>
      </c>
      <c r="R181" t="s">
        <v>415</v>
      </c>
      <c r="S181" s="1">
        <v>44562</v>
      </c>
      <c r="T181" s="1">
        <v>45945</v>
      </c>
      <c r="U181" t="s">
        <v>51</v>
      </c>
      <c r="V181">
        <v>1</v>
      </c>
      <c r="W181" s="1">
        <v>45916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5785506</v>
      </c>
      <c r="AL181" t="s">
        <v>416</v>
      </c>
    </row>
    <row r="182" spans="1:38" x14ac:dyDescent="0.25">
      <c r="A182" s="1">
        <v>45918</v>
      </c>
      <c r="B182" s="1">
        <v>45915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448</v>
      </c>
      <c r="J182" t="s">
        <v>449</v>
      </c>
      <c r="M182" t="s">
        <v>406</v>
      </c>
      <c r="O182" t="s">
        <v>359</v>
      </c>
      <c r="P182" t="s">
        <v>360</v>
      </c>
      <c r="Q182" t="s">
        <v>49</v>
      </c>
      <c r="R182" t="s">
        <v>415</v>
      </c>
      <c r="S182" s="1">
        <v>44927</v>
      </c>
      <c r="T182" s="1">
        <v>45945</v>
      </c>
      <c r="U182" t="s">
        <v>51</v>
      </c>
      <c r="V182">
        <v>1</v>
      </c>
      <c r="W182" s="1">
        <v>45916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5785534</v>
      </c>
      <c r="AL182" t="s">
        <v>416</v>
      </c>
    </row>
    <row r="183" spans="1:38" x14ac:dyDescent="0.25">
      <c r="A183" s="1">
        <v>45918</v>
      </c>
      <c r="B183" s="1">
        <v>45915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450</v>
      </c>
      <c r="J183" t="s">
        <v>451</v>
      </c>
      <c r="M183" t="s">
        <v>406</v>
      </c>
      <c r="O183" t="s">
        <v>413</v>
      </c>
      <c r="P183" t="s">
        <v>414</v>
      </c>
      <c r="Q183" t="s">
        <v>49</v>
      </c>
      <c r="R183" t="s">
        <v>415</v>
      </c>
      <c r="S183" s="1">
        <v>43891</v>
      </c>
      <c r="T183" s="1">
        <v>45945</v>
      </c>
      <c r="U183" t="s">
        <v>51</v>
      </c>
      <c r="V183">
        <v>1</v>
      </c>
      <c r="W183" s="1">
        <v>45916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5785549</v>
      </c>
      <c r="AL183" t="s">
        <v>416</v>
      </c>
    </row>
    <row r="184" spans="1:38" x14ac:dyDescent="0.25">
      <c r="A184" s="1">
        <v>45918</v>
      </c>
      <c r="B184" s="1">
        <v>45915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452</v>
      </c>
      <c r="J184" t="s">
        <v>453</v>
      </c>
      <c r="M184" t="s">
        <v>406</v>
      </c>
      <c r="O184" t="s">
        <v>407</v>
      </c>
      <c r="P184" t="s">
        <v>408</v>
      </c>
      <c r="Q184" t="s">
        <v>49</v>
      </c>
      <c r="R184" t="s">
        <v>415</v>
      </c>
      <c r="S184" s="1">
        <v>45292</v>
      </c>
      <c r="T184" s="1">
        <v>45945</v>
      </c>
      <c r="U184" t="s">
        <v>51</v>
      </c>
      <c r="V184">
        <v>1</v>
      </c>
      <c r="W184" s="1">
        <v>45916</v>
      </c>
      <c r="X184" t="s">
        <v>52</v>
      </c>
      <c r="Y184" s="2">
        <v>1</v>
      </c>
      <c r="Z184" s="2">
        <v>1</v>
      </c>
      <c r="AB184" s="3">
        <v>1</v>
      </c>
      <c r="AC184" s="2">
        <v>2</v>
      </c>
      <c r="AG184" s="2">
        <v>0</v>
      </c>
      <c r="AH184" s="2">
        <v>2</v>
      </c>
      <c r="AI184" s="2">
        <v>0</v>
      </c>
      <c r="AK184">
        <v>5785576</v>
      </c>
      <c r="AL184" t="s">
        <v>416</v>
      </c>
    </row>
    <row r="185" spans="1:38" x14ac:dyDescent="0.25">
      <c r="A185" s="1">
        <v>45918</v>
      </c>
      <c r="B185" s="1">
        <v>45915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454</v>
      </c>
      <c r="J185" t="s">
        <v>455</v>
      </c>
      <c r="M185" t="s">
        <v>406</v>
      </c>
      <c r="O185" t="s">
        <v>359</v>
      </c>
      <c r="P185" t="s">
        <v>360</v>
      </c>
      <c r="Q185" t="s">
        <v>49</v>
      </c>
      <c r="R185" t="s">
        <v>415</v>
      </c>
      <c r="S185" s="1">
        <v>41640</v>
      </c>
      <c r="T185" s="1">
        <v>45945</v>
      </c>
      <c r="U185" t="s">
        <v>51</v>
      </c>
      <c r="V185">
        <v>1</v>
      </c>
      <c r="W185" s="1">
        <v>45916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5785591</v>
      </c>
      <c r="AL185" t="s">
        <v>416</v>
      </c>
    </row>
    <row r="186" spans="1:38" x14ac:dyDescent="0.25">
      <c r="A186" s="1">
        <v>45918</v>
      </c>
      <c r="B186" s="1">
        <v>45915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456</v>
      </c>
      <c r="J186" t="s">
        <v>457</v>
      </c>
      <c r="M186" t="s">
        <v>406</v>
      </c>
      <c r="O186" t="s">
        <v>407</v>
      </c>
      <c r="P186" t="s">
        <v>408</v>
      </c>
      <c r="Q186" t="s">
        <v>49</v>
      </c>
      <c r="R186" t="s">
        <v>415</v>
      </c>
      <c r="S186" s="1">
        <v>43647</v>
      </c>
      <c r="T186" s="1">
        <v>45945</v>
      </c>
      <c r="U186" t="s">
        <v>51</v>
      </c>
      <c r="V186">
        <v>1</v>
      </c>
      <c r="W186" s="1">
        <v>45916</v>
      </c>
      <c r="X186" t="s">
        <v>52</v>
      </c>
      <c r="Y186" s="2">
        <v>1</v>
      </c>
      <c r="Z186" s="2">
        <v>1</v>
      </c>
      <c r="AB186" s="3">
        <v>1</v>
      </c>
      <c r="AC186" s="2">
        <v>2</v>
      </c>
      <c r="AG186" s="2">
        <v>0</v>
      </c>
      <c r="AH186" s="2">
        <v>2</v>
      </c>
      <c r="AI186" s="2">
        <v>0</v>
      </c>
      <c r="AK186">
        <v>5785696</v>
      </c>
      <c r="AL186" t="s">
        <v>416</v>
      </c>
    </row>
    <row r="187" spans="1:38" x14ac:dyDescent="0.25">
      <c r="A187" s="1">
        <v>45918</v>
      </c>
      <c r="B187" s="1">
        <v>45915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458</v>
      </c>
      <c r="J187" t="s">
        <v>459</v>
      </c>
      <c r="M187" t="s">
        <v>406</v>
      </c>
      <c r="O187" t="s">
        <v>407</v>
      </c>
      <c r="P187" t="s">
        <v>408</v>
      </c>
      <c r="Q187" t="s">
        <v>58</v>
      </c>
      <c r="R187" t="s">
        <v>415</v>
      </c>
      <c r="S187" s="1">
        <v>44044</v>
      </c>
      <c r="T187" s="1">
        <v>45945</v>
      </c>
      <c r="U187" t="s">
        <v>51</v>
      </c>
      <c r="V187">
        <v>1</v>
      </c>
      <c r="W187" s="1">
        <v>45916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5785724</v>
      </c>
      <c r="AL187" t="s">
        <v>416</v>
      </c>
    </row>
    <row r="188" spans="1:38" x14ac:dyDescent="0.25">
      <c r="A188" s="1">
        <v>45918</v>
      </c>
      <c r="B188" s="1">
        <v>45915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460</v>
      </c>
      <c r="J188" t="s">
        <v>461</v>
      </c>
      <c r="M188" t="s">
        <v>406</v>
      </c>
      <c r="O188" t="s">
        <v>359</v>
      </c>
      <c r="P188" t="s">
        <v>360</v>
      </c>
      <c r="Q188" t="s">
        <v>49</v>
      </c>
      <c r="R188" t="s">
        <v>415</v>
      </c>
      <c r="S188" s="1">
        <v>40909</v>
      </c>
      <c r="T188" s="1">
        <v>45945</v>
      </c>
      <c r="U188" t="s">
        <v>51</v>
      </c>
      <c r="V188">
        <v>1</v>
      </c>
      <c r="W188" s="1">
        <v>45916</v>
      </c>
      <c r="X188" t="s">
        <v>52</v>
      </c>
      <c r="Y188" s="2">
        <v>1</v>
      </c>
      <c r="Z188" s="2">
        <v>1</v>
      </c>
      <c r="AB188" s="3">
        <v>1</v>
      </c>
      <c r="AC188" s="2">
        <v>2</v>
      </c>
      <c r="AG188" s="2">
        <v>0</v>
      </c>
      <c r="AH188" s="2">
        <v>2</v>
      </c>
      <c r="AI188" s="2">
        <v>0</v>
      </c>
      <c r="AK188">
        <v>5785749</v>
      </c>
      <c r="AL188" t="s">
        <v>416</v>
      </c>
    </row>
    <row r="189" spans="1:38" x14ac:dyDescent="0.25">
      <c r="A189" s="1">
        <v>45918</v>
      </c>
      <c r="B189" s="1">
        <v>45915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462</v>
      </c>
      <c r="J189" t="s">
        <v>463</v>
      </c>
      <c r="M189" t="s">
        <v>406</v>
      </c>
      <c r="O189" t="s">
        <v>359</v>
      </c>
      <c r="P189" t="s">
        <v>360</v>
      </c>
      <c r="Q189" t="s">
        <v>49</v>
      </c>
      <c r="R189" t="s">
        <v>415</v>
      </c>
      <c r="S189" s="1">
        <v>40909</v>
      </c>
      <c r="T189" s="1">
        <v>45945</v>
      </c>
      <c r="U189" t="s">
        <v>51</v>
      </c>
      <c r="V189">
        <v>1</v>
      </c>
      <c r="W189" s="1">
        <v>45916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5785768</v>
      </c>
      <c r="AL189" t="s">
        <v>416</v>
      </c>
    </row>
    <row r="190" spans="1:38" x14ac:dyDescent="0.25">
      <c r="A190" s="1">
        <v>45918</v>
      </c>
      <c r="B190" s="1">
        <v>45915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464</v>
      </c>
      <c r="J190" t="s">
        <v>465</v>
      </c>
      <c r="M190" t="s">
        <v>406</v>
      </c>
      <c r="O190" t="s">
        <v>413</v>
      </c>
      <c r="P190" t="s">
        <v>414</v>
      </c>
      <c r="Q190" t="s">
        <v>49</v>
      </c>
      <c r="R190" t="s">
        <v>415</v>
      </c>
      <c r="S190" s="1">
        <v>44562</v>
      </c>
      <c r="T190" s="1">
        <v>45945</v>
      </c>
      <c r="U190" t="s">
        <v>51</v>
      </c>
      <c r="V190">
        <v>1</v>
      </c>
      <c r="W190" s="1">
        <v>45916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5785847</v>
      </c>
      <c r="AL190" t="s">
        <v>416</v>
      </c>
    </row>
    <row r="191" spans="1:38" x14ac:dyDescent="0.25">
      <c r="A191" s="1">
        <v>45918</v>
      </c>
      <c r="B191" s="1">
        <v>45915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466</v>
      </c>
      <c r="J191" t="s">
        <v>467</v>
      </c>
      <c r="M191" t="s">
        <v>406</v>
      </c>
      <c r="O191" t="s">
        <v>407</v>
      </c>
      <c r="P191" t="s">
        <v>408</v>
      </c>
      <c r="Q191" t="s">
        <v>49</v>
      </c>
      <c r="R191" t="s">
        <v>415</v>
      </c>
      <c r="S191" s="1">
        <v>40909</v>
      </c>
      <c r="T191" s="1">
        <v>45945</v>
      </c>
      <c r="U191" t="s">
        <v>51</v>
      </c>
      <c r="V191">
        <v>1</v>
      </c>
      <c r="W191" s="1">
        <v>45916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5785887</v>
      </c>
      <c r="AL191" t="s">
        <v>416</v>
      </c>
    </row>
    <row r="192" spans="1:38" x14ac:dyDescent="0.25">
      <c r="A192" s="1">
        <v>45918</v>
      </c>
      <c r="B192" s="1">
        <v>45915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468</v>
      </c>
      <c r="J192" t="s">
        <v>469</v>
      </c>
      <c r="M192" t="s">
        <v>406</v>
      </c>
      <c r="O192" t="s">
        <v>413</v>
      </c>
      <c r="P192" t="s">
        <v>414</v>
      </c>
      <c r="Q192" t="s">
        <v>49</v>
      </c>
      <c r="R192" t="s">
        <v>415</v>
      </c>
      <c r="S192" s="1">
        <v>44562</v>
      </c>
      <c r="T192" s="1">
        <v>45945</v>
      </c>
      <c r="U192" t="s">
        <v>51</v>
      </c>
      <c r="V192">
        <v>1</v>
      </c>
      <c r="W192" s="1">
        <v>45916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5785933</v>
      </c>
      <c r="AL192" t="s">
        <v>416</v>
      </c>
    </row>
    <row r="193" spans="1:38" x14ac:dyDescent="0.25">
      <c r="A193" s="1">
        <v>45918</v>
      </c>
      <c r="B193" s="1">
        <v>45915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470</v>
      </c>
      <c r="J193" t="s">
        <v>471</v>
      </c>
      <c r="M193" t="s">
        <v>406</v>
      </c>
      <c r="O193" t="s">
        <v>359</v>
      </c>
      <c r="P193" t="s">
        <v>360</v>
      </c>
      <c r="Q193" t="s">
        <v>49</v>
      </c>
      <c r="R193" t="s">
        <v>415</v>
      </c>
      <c r="S193" s="1">
        <v>45658</v>
      </c>
      <c r="T193" s="1">
        <v>45945</v>
      </c>
      <c r="U193" t="s">
        <v>51</v>
      </c>
      <c r="V193">
        <v>1</v>
      </c>
      <c r="W193" s="1">
        <v>45916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5785985</v>
      </c>
      <c r="AL193" t="s">
        <v>416</v>
      </c>
    </row>
    <row r="194" spans="1:38" x14ac:dyDescent="0.25">
      <c r="A194" s="1">
        <v>45918</v>
      </c>
      <c r="B194" s="1">
        <v>45915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472</v>
      </c>
      <c r="J194" t="s">
        <v>473</v>
      </c>
      <c r="M194" t="s">
        <v>406</v>
      </c>
      <c r="O194" t="s">
        <v>407</v>
      </c>
      <c r="P194" t="s">
        <v>408</v>
      </c>
      <c r="Q194" t="s">
        <v>49</v>
      </c>
      <c r="R194" t="s">
        <v>415</v>
      </c>
      <c r="S194" s="1">
        <v>44562</v>
      </c>
      <c r="T194" s="1">
        <v>45945</v>
      </c>
      <c r="U194" t="s">
        <v>51</v>
      </c>
      <c r="V194">
        <v>1</v>
      </c>
      <c r="W194" s="1">
        <v>45916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5786008</v>
      </c>
      <c r="AL194" t="s">
        <v>416</v>
      </c>
    </row>
    <row r="195" spans="1:38" x14ac:dyDescent="0.25">
      <c r="A195" s="1">
        <v>45918</v>
      </c>
      <c r="B195" s="1">
        <v>45915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474</v>
      </c>
      <c r="J195" t="s">
        <v>475</v>
      </c>
      <c r="M195" t="s">
        <v>406</v>
      </c>
      <c r="O195" t="s">
        <v>413</v>
      </c>
      <c r="P195" t="s">
        <v>414</v>
      </c>
      <c r="Q195" t="s">
        <v>49</v>
      </c>
      <c r="R195" t="s">
        <v>415</v>
      </c>
      <c r="S195" s="1">
        <v>43831</v>
      </c>
      <c r="T195" s="1">
        <v>45945</v>
      </c>
      <c r="U195" t="s">
        <v>51</v>
      </c>
      <c r="V195">
        <v>1</v>
      </c>
      <c r="W195" s="1">
        <v>45916</v>
      </c>
      <c r="X195" t="s">
        <v>52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5786045</v>
      </c>
      <c r="AL195" t="s">
        <v>416</v>
      </c>
    </row>
    <row r="196" spans="1:38" x14ac:dyDescent="0.25">
      <c r="A196" s="1">
        <v>45918</v>
      </c>
      <c r="B196" s="1">
        <v>45915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476</v>
      </c>
      <c r="J196" t="s">
        <v>477</v>
      </c>
      <c r="M196" t="s">
        <v>406</v>
      </c>
      <c r="O196" t="s">
        <v>413</v>
      </c>
      <c r="P196" t="s">
        <v>414</v>
      </c>
      <c r="Q196" t="s">
        <v>49</v>
      </c>
      <c r="R196" t="s">
        <v>415</v>
      </c>
      <c r="S196" s="1">
        <v>44562</v>
      </c>
      <c r="T196" s="1">
        <v>45945</v>
      </c>
      <c r="U196" t="s">
        <v>51</v>
      </c>
      <c r="V196">
        <v>1</v>
      </c>
      <c r="W196" s="1">
        <v>45916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5786091</v>
      </c>
      <c r="AL196" t="s">
        <v>416</v>
      </c>
    </row>
    <row r="197" spans="1:38" x14ac:dyDescent="0.25">
      <c r="A197" s="1">
        <v>45918</v>
      </c>
      <c r="B197" s="1">
        <v>45915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478</v>
      </c>
      <c r="J197" t="s">
        <v>479</v>
      </c>
      <c r="M197" t="s">
        <v>406</v>
      </c>
      <c r="O197" t="s">
        <v>413</v>
      </c>
      <c r="P197" t="s">
        <v>414</v>
      </c>
      <c r="Q197" t="s">
        <v>49</v>
      </c>
      <c r="R197" t="s">
        <v>415</v>
      </c>
      <c r="S197" s="1">
        <v>43831</v>
      </c>
      <c r="T197" s="1">
        <v>45945</v>
      </c>
      <c r="U197" t="s">
        <v>51</v>
      </c>
      <c r="V197">
        <v>1</v>
      </c>
      <c r="W197" s="1">
        <v>45916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5786130</v>
      </c>
      <c r="AL197" t="s">
        <v>416</v>
      </c>
    </row>
    <row r="198" spans="1:38" x14ac:dyDescent="0.25">
      <c r="A198" s="1">
        <v>45918</v>
      </c>
      <c r="B198" s="1">
        <v>45915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480</v>
      </c>
      <c r="J198" t="s">
        <v>481</v>
      </c>
      <c r="M198" t="s">
        <v>406</v>
      </c>
      <c r="O198" t="s">
        <v>413</v>
      </c>
      <c r="P198" t="s">
        <v>414</v>
      </c>
      <c r="Q198" t="s">
        <v>49</v>
      </c>
      <c r="R198" t="s">
        <v>415</v>
      </c>
      <c r="S198" s="1">
        <v>43831</v>
      </c>
      <c r="T198" s="1">
        <v>45945</v>
      </c>
      <c r="U198" t="s">
        <v>51</v>
      </c>
      <c r="V198">
        <v>1</v>
      </c>
      <c r="W198" s="1">
        <v>45916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5786136</v>
      </c>
      <c r="AL198" t="s">
        <v>416</v>
      </c>
    </row>
    <row r="199" spans="1:38" x14ac:dyDescent="0.25">
      <c r="A199" s="1">
        <v>45918</v>
      </c>
      <c r="B199" s="1">
        <v>45915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482</v>
      </c>
      <c r="J199" t="s">
        <v>483</v>
      </c>
      <c r="M199" t="s">
        <v>406</v>
      </c>
      <c r="O199" t="s">
        <v>413</v>
      </c>
      <c r="P199" t="s">
        <v>414</v>
      </c>
      <c r="Q199" t="s">
        <v>49</v>
      </c>
      <c r="R199" t="s">
        <v>415</v>
      </c>
      <c r="S199" s="1">
        <v>43831</v>
      </c>
      <c r="T199" s="1">
        <v>45945</v>
      </c>
      <c r="U199" t="s">
        <v>51</v>
      </c>
      <c r="V199">
        <v>1</v>
      </c>
      <c r="W199" s="1">
        <v>45916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5786214</v>
      </c>
      <c r="AL199" t="s">
        <v>416</v>
      </c>
    </row>
    <row r="200" spans="1:38" x14ac:dyDescent="0.25">
      <c r="A200" s="1">
        <v>45918</v>
      </c>
      <c r="B200" s="1">
        <v>45915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484</v>
      </c>
      <c r="J200" t="s">
        <v>485</v>
      </c>
      <c r="M200" t="s">
        <v>406</v>
      </c>
      <c r="O200" t="s">
        <v>413</v>
      </c>
      <c r="P200" t="s">
        <v>414</v>
      </c>
      <c r="Q200" t="s">
        <v>49</v>
      </c>
      <c r="R200" t="s">
        <v>415</v>
      </c>
      <c r="S200" s="1">
        <v>43862</v>
      </c>
      <c r="T200" s="1">
        <v>45945</v>
      </c>
      <c r="U200" t="s">
        <v>51</v>
      </c>
      <c r="V200">
        <v>1</v>
      </c>
      <c r="W200" s="1">
        <v>45916</v>
      </c>
      <c r="X200" t="s">
        <v>52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5786275</v>
      </c>
      <c r="AL200" t="s">
        <v>416</v>
      </c>
    </row>
    <row r="201" spans="1:38" x14ac:dyDescent="0.25">
      <c r="A201" s="1">
        <v>45918</v>
      </c>
      <c r="B201" s="1">
        <v>45915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486</v>
      </c>
      <c r="J201" t="s">
        <v>487</v>
      </c>
      <c r="M201" t="s">
        <v>406</v>
      </c>
      <c r="O201" t="s">
        <v>488</v>
      </c>
      <c r="P201" t="s">
        <v>489</v>
      </c>
      <c r="Q201" t="s">
        <v>49</v>
      </c>
      <c r="R201" t="s">
        <v>415</v>
      </c>
      <c r="S201" s="1">
        <v>45292</v>
      </c>
      <c r="T201" s="1">
        <v>45945</v>
      </c>
      <c r="U201" t="s">
        <v>51</v>
      </c>
      <c r="V201">
        <v>1</v>
      </c>
      <c r="W201" s="1">
        <v>45916</v>
      </c>
      <c r="X201" t="s">
        <v>52</v>
      </c>
      <c r="Y201" s="2">
        <v>1</v>
      </c>
      <c r="Z201" s="2">
        <v>1</v>
      </c>
      <c r="AB201" s="3">
        <v>1</v>
      </c>
      <c r="AC201" s="2">
        <v>2</v>
      </c>
      <c r="AG201" s="2">
        <v>0</v>
      </c>
      <c r="AH201" s="2">
        <v>2</v>
      </c>
      <c r="AI201" s="2">
        <v>0</v>
      </c>
      <c r="AK201">
        <v>5786285</v>
      </c>
      <c r="AL201" t="s">
        <v>416</v>
      </c>
    </row>
    <row r="202" spans="1:38" x14ac:dyDescent="0.25">
      <c r="A202" s="1">
        <v>45918</v>
      </c>
      <c r="B202" s="1">
        <v>45915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490</v>
      </c>
      <c r="J202" t="s">
        <v>491</v>
      </c>
      <c r="M202" t="s">
        <v>406</v>
      </c>
      <c r="O202" t="s">
        <v>413</v>
      </c>
      <c r="P202" t="s">
        <v>414</v>
      </c>
      <c r="Q202" t="s">
        <v>49</v>
      </c>
      <c r="R202" t="s">
        <v>415</v>
      </c>
      <c r="S202" s="1">
        <v>45658</v>
      </c>
      <c r="T202" s="1">
        <v>45945</v>
      </c>
      <c r="U202" t="s">
        <v>51</v>
      </c>
      <c r="V202">
        <v>1</v>
      </c>
      <c r="W202" s="1">
        <v>45916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5786374</v>
      </c>
      <c r="AL202" t="s">
        <v>416</v>
      </c>
    </row>
    <row r="203" spans="1:38" x14ac:dyDescent="0.25">
      <c r="A203" s="1">
        <v>45918</v>
      </c>
      <c r="B203" s="1">
        <v>45915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492</v>
      </c>
      <c r="J203" t="s">
        <v>493</v>
      </c>
      <c r="M203" t="s">
        <v>406</v>
      </c>
      <c r="O203" t="s">
        <v>413</v>
      </c>
      <c r="P203" t="s">
        <v>414</v>
      </c>
      <c r="Q203" t="s">
        <v>49</v>
      </c>
      <c r="R203" t="s">
        <v>415</v>
      </c>
      <c r="S203" s="1">
        <v>44197</v>
      </c>
      <c r="T203" s="1">
        <v>45945</v>
      </c>
      <c r="U203" t="s">
        <v>51</v>
      </c>
      <c r="V203">
        <v>1</v>
      </c>
      <c r="W203" s="1">
        <v>45916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5786422</v>
      </c>
      <c r="AL203" t="s">
        <v>416</v>
      </c>
    </row>
    <row r="204" spans="1:38" x14ac:dyDescent="0.25">
      <c r="A204" s="1">
        <v>45918</v>
      </c>
      <c r="B204" s="1">
        <v>45915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494</v>
      </c>
      <c r="J204" t="s">
        <v>495</v>
      </c>
      <c r="M204" t="s">
        <v>406</v>
      </c>
      <c r="O204" t="s">
        <v>413</v>
      </c>
      <c r="P204" t="s">
        <v>414</v>
      </c>
      <c r="Q204" t="s">
        <v>49</v>
      </c>
      <c r="R204" t="s">
        <v>415</v>
      </c>
      <c r="S204" s="1">
        <v>44562</v>
      </c>
      <c r="T204" s="1">
        <v>45945</v>
      </c>
      <c r="U204" t="s">
        <v>51</v>
      </c>
      <c r="V204">
        <v>1</v>
      </c>
      <c r="W204" s="1">
        <v>45916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5786491</v>
      </c>
      <c r="AL204" t="s">
        <v>416</v>
      </c>
    </row>
    <row r="205" spans="1:38" x14ac:dyDescent="0.25">
      <c r="A205" s="1">
        <v>45918</v>
      </c>
      <c r="B205" s="1">
        <v>45915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496</v>
      </c>
      <c r="J205" t="s">
        <v>497</v>
      </c>
      <c r="M205" t="s">
        <v>406</v>
      </c>
      <c r="O205" t="s">
        <v>413</v>
      </c>
      <c r="P205" t="s">
        <v>414</v>
      </c>
      <c r="Q205" t="s">
        <v>49</v>
      </c>
      <c r="R205" t="s">
        <v>415</v>
      </c>
      <c r="S205" s="1">
        <v>44562</v>
      </c>
      <c r="T205" s="1">
        <v>45945</v>
      </c>
      <c r="U205" t="s">
        <v>51</v>
      </c>
      <c r="V205">
        <v>1</v>
      </c>
      <c r="W205" s="1">
        <v>45916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5786492</v>
      </c>
      <c r="AL205" t="s">
        <v>416</v>
      </c>
    </row>
    <row r="206" spans="1:38" x14ac:dyDescent="0.25">
      <c r="A206" s="1">
        <v>45918</v>
      </c>
      <c r="B206" s="1">
        <v>45915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498</v>
      </c>
      <c r="J206" t="s">
        <v>499</v>
      </c>
      <c r="M206" t="s">
        <v>406</v>
      </c>
      <c r="O206" t="s">
        <v>413</v>
      </c>
      <c r="P206" t="s">
        <v>414</v>
      </c>
      <c r="Q206" t="s">
        <v>49</v>
      </c>
      <c r="R206" t="s">
        <v>415</v>
      </c>
      <c r="S206" s="1">
        <v>44197</v>
      </c>
      <c r="T206" s="1">
        <v>45945</v>
      </c>
      <c r="U206" t="s">
        <v>51</v>
      </c>
      <c r="V206">
        <v>1</v>
      </c>
      <c r="W206" s="1">
        <v>45916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5786541</v>
      </c>
      <c r="AL206" t="s">
        <v>416</v>
      </c>
    </row>
    <row r="207" spans="1:38" x14ac:dyDescent="0.25">
      <c r="A207" s="1">
        <v>45918</v>
      </c>
      <c r="B207" s="1">
        <v>45915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500</v>
      </c>
      <c r="J207" t="s">
        <v>501</v>
      </c>
      <c r="M207" t="s">
        <v>406</v>
      </c>
      <c r="O207" t="s">
        <v>413</v>
      </c>
      <c r="P207" t="s">
        <v>414</v>
      </c>
      <c r="Q207" t="s">
        <v>49</v>
      </c>
      <c r="R207" t="s">
        <v>415</v>
      </c>
      <c r="S207" s="1">
        <v>44197</v>
      </c>
      <c r="T207" s="1">
        <v>45945</v>
      </c>
      <c r="U207" t="s">
        <v>51</v>
      </c>
      <c r="V207">
        <v>1</v>
      </c>
      <c r="W207" s="1">
        <v>45916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5786542</v>
      </c>
      <c r="AL207" t="s">
        <v>416</v>
      </c>
    </row>
    <row r="208" spans="1:38" x14ac:dyDescent="0.25">
      <c r="A208" s="1">
        <v>45918</v>
      </c>
      <c r="B208" s="1">
        <v>45915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502</v>
      </c>
      <c r="J208" t="s">
        <v>503</v>
      </c>
      <c r="M208" t="s">
        <v>406</v>
      </c>
      <c r="O208" t="s">
        <v>413</v>
      </c>
      <c r="P208" t="s">
        <v>414</v>
      </c>
      <c r="Q208" t="s">
        <v>49</v>
      </c>
      <c r="R208" t="s">
        <v>415</v>
      </c>
      <c r="S208" s="1">
        <v>44166</v>
      </c>
      <c r="T208" s="1">
        <v>45945</v>
      </c>
      <c r="U208" t="s">
        <v>51</v>
      </c>
      <c r="V208">
        <v>1</v>
      </c>
      <c r="W208" s="1">
        <v>45916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5786547</v>
      </c>
      <c r="AL208" t="s">
        <v>416</v>
      </c>
    </row>
    <row r="209" spans="1:38" x14ac:dyDescent="0.25">
      <c r="A209" s="1">
        <v>45918</v>
      </c>
      <c r="B209" s="1">
        <v>45915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504</v>
      </c>
      <c r="J209" t="s">
        <v>505</v>
      </c>
      <c r="M209" t="s">
        <v>406</v>
      </c>
      <c r="O209" t="s">
        <v>413</v>
      </c>
      <c r="P209" t="s">
        <v>414</v>
      </c>
      <c r="Q209" t="s">
        <v>49</v>
      </c>
      <c r="R209" t="s">
        <v>415</v>
      </c>
      <c r="S209" s="1">
        <v>44197</v>
      </c>
      <c r="T209" s="1">
        <v>45945</v>
      </c>
      <c r="U209" t="s">
        <v>51</v>
      </c>
      <c r="V209">
        <v>1</v>
      </c>
      <c r="W209" s="1">
        <v>45916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5786557</v>
      </c>
      <c r="AL209" t="s">
        <v>416</v>
      </c>
    </row>
    <row r="210" spans="1:38" x14ac:dyDescent="0.25">
      <c r="A210" s="1">
        <v>45918</v>
      </c>
      <c r="B210" s="1">
        <v>45915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506</v>
      </c>
      <c r="J210" t="s">
        <v>507</v>
      </c>
      <c r="M210" t="s">
        <v>406</v>
      </c>
      <c r="O210" t="s">
        <v>413</v>
      </c>
      <c r="P210" t="s">
        <v>414</v>
      </c>
      <c r="Q210" t="s">
        <v>49</v>
      </c>
      <c r="R210" t="s">
        <v>415</v>
      </c>
      <c r="S210" s="1">
        <v>44197</v>
      </c>
      <c r="T210" s="1">
        <v>45945</v>
      </c>
      <c r="U210" t="s">
        <v>51</v>
      </c>
      <c r="V210">
        <v>1</v>
      </c>
      <c r="W210" s="1">
        <v>45916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5786558</v>
      </c>
      <c r="AL210" t="s">
        <v>416</v>
      </c>
    </row>
    <row r="211" spans="1:38" x14ac:dyDescent="0.25">
      <c r="A211" s="1">
        <v>45918</v>
      </c>
      <c r="B211" s="1">
        <v>45915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508</v>
      </c>
      <c r="J211" t="s">
        <v>509</v>
      </c>
      <c r="M211" t="s">
        <v>406</v>
      </c>
      <c r="O211" t="s">
        <v>413</v>
      </c>
      <c r="P211" t="s">
        <v>414</v>
      </c>
      <c r="Q211" t="s">
        <v>49</v>
      </c>
      <c r="R211" t="s">
        <v>415</v>
      </c>
      <c r="S211" s="1">
        <v>44197</v>
      </c>
      <c r="T211" s="1">
        <v>45945</v>
      </c>
      <c r="U211" t="s">
        <v>51</v>
      </c>
      <c r="V211">
        <v>1</v>
      </c>
      <c r="W211" s="1">
        <v>45916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5786567</v>
      </c>
      <c r="AL211" t="s">
        <v>416</v>
      </c>
    </row>
    <row r="212" spans="1:38" x14ac:dyDescent="0.25">
      <c r="A212" s="1">
        <v>45918</v>
      </c>
      <c r="B212" s="1">
        <v>45915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510</v>
      </c>
      <c r="J212" t="s">
        <v>511</v>
      </c>
      <c r="M212" t="s">
        <v>406</v>
      </c>
      <c r="O212" t="s">
        <v>413</v>
      </c>
      <c r="P212" t="s">
        <v>414</v>
      </c>
      <c r="Q212" t="s">
        <v>49</v>
      </c>
      <c r="R212" t="s">
        <v>415</v>
      </c>
      <c r="S212" s="1">
        <v>44197</v>
      </c>
      <c r="T212" s="1">
        <v>45945</v>
      </c>
      <c r="U212" t="s">
        <v>51</v>
      </c>
      <c r="V212">
        <v>1</v>
      </c>
      <c r="W212" s="1">
        <v>45916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5786571</v>
      </c>
      <c r="AL212" t="s">
        <v>416</v>
      </c>
    </row>
    <row r="213" spans="1:38" x14ac:dyDescent="0.25">
      <c r="A213" s="1">
        <v>45918</v>
      </c>
      <c r="B213" s="1">
        <v>45915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512</v>
      </c>
      <c r="J213" t="s">
        <v>513</v>
      </c>
      <c r="M213" t="s">
        <v>406</v>
      </c>
      <c r="O213" t="s">
        <v>413</v>
      </c>
      <c r="P213" t="s">
        <v>414</v>
      </c>
      <c r="Q213" t="s">
        <v>49</v>
      </c>
      <c r="R213" t="s">
        <v>415</v>
      </c>
      <c r="S213" s="1">
        <v>45658</v>
      </c>
      <c r="T213" s="1">
        <v>45945</v>
      </c>
      <c r="U213" t="s">
        <v>51</v>
      </c>
      <c r="V213">
        <v>1</v>
      </c>
      <c r="W213" s="1">
        <v>45916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5786589</v>
      </c>
      <c r="AL213" t="s">
        <v>416</v>
      </c>
    </row>
    <row r="214" spans="1:38" x14ac:dyDescent="0.25">
      <c r="A214" s="1">
        <v>45918</v>
      </c>
      <c r="B214" s="1">
        <v>45915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514</v>
      </c>
      <c r="J214" t="s">
        <v>515</v>
      </c>
      <c r="M214" t="s">
        <v>406</v>
      </c>
      <c r="O214" t="s">
        <v>413</v>
      </c>
      <c r="P214" t="s">
        <v>414</v>
      </c>
      <c r="Q214" t="s">
        <v>49</v>
      </c>
      <c r="R214" t="s">
        <v>415</v>
      </c>
      <c r="S214" s="1">
        <v>44256</v>
      </c>
      <c r="T214" s="1">
        <v>45945</v>
      </c>
      <c r="U214" t="s">
        <v>51</v>
      </c>
      <c r="V214">
        <v>1</v>
      </c>
      <c r="W214" s="1">
        <v>45916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5786590</v>
      </c>
      <c r="AL214" t="s">
        <v>416</v>
      </c>
    </row>
    <row r="215" spans="1:38" x14ac:dyDescent="0.25">
      <c r="A215" s="1">
        <v>45918</v>
      </c>
      <c r="B215" s="1">
        <v>45915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516</v>
      </c>
      <c r="J215" t="s">
        <v>517</v>
      </c>
      <c r="M215" t="s">
        <v>406</v>
      </c>
      <c r="O215" t="s">
        <v>407</v>
      </c>
      <c r="P215" t="s">
        <v>408</v>
      </c>
      <c r="Q215" t="s">
        <v>49</v>
      </c>
      <c r="R215" t="s">
        <v>415</v>
      </c>
      <c r="S215" s="1">
        <v>44927</v>
      </c>
      <c r="T215" s="1">
        <v>45945</v>
      </c>
      <c r="U215" t="s">
        <v>51</v>
      </c>
      <c r="V215">
        <v>1</v>
      </c>
      <c r="W215" s="1">
        <v>45916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5786593</v>
      </c>
      <c r="AL215" t="s">
        <v>416</v>
      </c>
    </row>
    <row r="216" spans="1:38" x14ac:dyDescent="0.25">
      <c r="A216" s="1">
        <v>45918</v>
      </c>
      <c r="B216" s="1">
        <v>45915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518</v>
      </c>
      <c r="J216" t="s">
        <v>519</v>
      </c>
      <c r="M216" t="s">
        <v>406</v>
      </c>
      <c r="O216" t="s">
        <v>413</v>
      </c>
      <c r="P216" t="s">
        <v>414</v>
      </c>
      <c r="Q216" t="s">
        <v>49</v>
      </c>
      <c r="R216" t="s">
        <v>415</v>
      </c>
      <c r="S216" s="1">
        <v>45658</v>
      </c>
      <c r="T216" s="1">
        <v>45945</v>
      </c>
      <c r="U216" t="s">
        <v>51</v>
      </c>
      <c r="V216">
        <v>1</v>
      </c>
      <c r="W216" s="1">
        <v>45916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5786594</v>
      </c>
      <c r="AL216" t="s">
        <v>416</v>
      </c>
    </row>
    <row r="217" spans="1:38" x14ac:dyDescent="0.25">
      <c r="A217" s="1">
        <v>45918</v>
      </c>
      <c r="B217" s="1">
        <v>45915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520</v>
      </c>
      <c r="J217" t="s">
        <v>521</v>
      </c>
      <c r="M217" t="s">
        <v>406</v>
      </c>
      <c r="O217" t="s">
        <v>413</v>
      </c>
      <c r="P217" t="s">
        <v>414</v>
      </c>
      <c r="Q217" t="s">
        <v>49</v>
      </c>
      <c r="R217" t="s">
        <v>415</v>
      </c>
      <c r="S217" s="1">
        <v>45658</v>
      </c>
      <c r="T217" s="1">
        <v>45945</v>
      </c>
      <c r="U217" t="s">
        <v>51</v>
      </c>
      <c r="V217">
        <v>1</v>
      </c>
      <c r="W217" s="1">
        <v>45916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5786596</v>
      </c>
      <c r="AL217" t="s">
        <v>416</v>
      </c>
    </row>
    <row r="218" spans="1:38" x14ac:dyDescent="0.25">
      <c r="A218" s="1">
        <v>45918</v>
      </c>
      <c r="B218" s="1">
        <v>45915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522</v>
      </c>
      <c r="J218" t="s">
        <v>523</v>
      </c>
      <c r="M218" t="s">
        <v>406</v>
      </c>
      <c r="O218" t="s">
        <v>413</v>
      </c>
      <c r="P218" t="s">
        <v>414</v>
      </c>
      <c r="Q218" t="s">
        <v>49</v>
      </c>
      <c r="R218" t="s">
        <v>415</v>
      </c>
      <c r="S218" s="1">
        <v>44562</v>
      </c>
      <c r="T218" s="1">
        <v>45945</v>
      </c>
      <c r="U218" t="s">
        <v>51</v>
      </c>
      <c r="V218">
        <v>1</v>
      </c>
      <c r="W218" s="1">
        <v>45916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5786608</v>
      </c>
      <c r="AL218" t="s">
        <v>416</v>
      </c>
    </row>
    <row r="219" spans="1:38" x14ac:dyDescent="0.25">
      <c r="A219" s="1">
        <v>45918</v>
      </c>
      <c r="B219" s="1">
        <v>45915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524</v>
      </c>
      <c r="J219" t="s">
        <v>525</v>
      </c>
      <c r="M219" t="s">
        <v>406</v>
      </c>
      <c r="O219" t="s">
        <v>413</v>
      </c>
      <c r="P219" t="s">
        <v>414</v>
      </c>
      <c r="Q219" t="s">
        <v>49</v>
      </c>
      <c r="R219" t="s">
        <v>415</v>
      </c>
      <c r="S219" s="1">
        <v>44562</v>
      </c>
      <c r="T219" s="1">
        <v>45945</v>
      </c>
      <c r="U219" t="s">
        <v>51</v>
      </c>
      <c r="V219">
        <v>1</v>
      </c>
      <c r="W219" s="1">
        <v>45916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5786612</v>
      </c>
      <c r="AL219" t="s">
        <v>416</v>
      </c>
    </row>
    <row r="220" spans="1:38" x14ac:dyDescent="0.25">
      <c r="A220" s="1">
        <v>45918</v>
      </c>
      <c r="B220" s="1">
        <v>45915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526</v>
      </c>
      <c r="J220" t="s">
        <v>527</v>
      </c>
      <c r="M220" t="s">
        <v>406</v>
      </c>
      <c r="O220" t="s">
        <v>413</v>
      </c>
      <c r="P220" t="s">
        <v>414</v>
      </c>
      <c r="Q220" t="s">
        <v>49</v>
      </c>
      <c r="R220" t="s">
        <v>415</v>
      </c>
      <c r="S220" s="1">
        <v>44317</v>
      </c>
      <c r="T220" s="1">
        <v>45945</v>
      </c>
      <c r="U220" t="s">
        <v>51</v>
      </c>
      <c r="V220">
        <v>1</v>
      </c>
      <c r="W220" s="1">
        <v>45916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5786613</v>
      </c>
      <c r="AL220" t="s">
        <v>416</v>
      </c>
    </row>
    <row r="221" spans="1:38" x14ac:dyDescent="0.25">
      <c r="A221" s="1">
        <v>45918</v>
      </c>
      <c r="B221" s="1">
        <v>45915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528</v>
      </c>
      <c r="J221" t="s">
        <v>529</v>
      </c>
      <c r="M221" t="s">
        <v>401</v>
      </c>
      <c r="O221" t="s">
        <v>74</v>
      </c>
      <c r="P221" t="s">
        <v>75</v>
      </c>
      <c r="Q221" t="s">
        <v>49</v>
      </c>
      <c r="R221" t="s">
        <v>415</v>
      </c>
      <c r="S221" s="1">
        <v>44256</v>
      </c>
      <c r="T221" s="1">
        <v>45945</v>
      </c>
      <c r="U221" t="s">
        <v>51</v>
      </c>
      <c r="V221">
        <v>1</v>
      </c>
      <c r="W221" s="1">
        <v>45916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5786710</v>
      </c>
      <c r="AL221" t="s">
        <v>416</v>
      </c>
    </row>
    <row r="222" spans="1:38" x14ac:dyDescent="0.25">
      <c r="A222" s="1">
        <v>45918</v>
      </c>
      <c r="B222" s="1">
        <v>45915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530</v>
      </c>
      <c r="J222" t="s">
        <v>531</v>
      </c>
      <c r="M222" t="s">
        <v>406</v>
      </c>
      <c r="O222" t="s">
        <v>407</v>
      </c>
      <c r="P222" t="s">
        <v>408</v>
      </c>
      <c r="Q222" t="s">
        <v>49</v>
      </c>
      <c r="R222" t="s">
        <v>415</v>
      </c>
      <c r="S222" s="1">
        <v>43466</v>
      </c>
      <c r="T222" s="1">
        <v>45945</v>
      </c>
      <c r="U222" t="s">
        <v>51</v>
      </c>
      <c r="V222">
        <v>1</v>
      </c>
      <c r="W222" s="1">
        <v>45916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5786749</v>
      </c>
      <c r="AL222" t="s">
        <v>416</v>
      </c>
    </row>
    <row r="223" spans="1:38" x14ac:dyDescent="0.25">
      <c r="A223" s="1">
        <v>45918</v>
      </c>
      <c r="B223" s="1">
        <v>45915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532</v>
      </c>
      <c r="J223" t="s">
        <v>533</v>
      </c>
      <c r="M223" t="s">
        <v>401</v>
      </c>
      <c r="O223" t="s">
        <v>74</v>
      </c>
      <c r="P223" t="s">
        <v>75</v>
      </c>
      <c r="Q223" t="s">
        <v>49</v>
      </c>
      <c r="R223" t="s">
        <v>415</v>
      </c>
      <c r="S223" s="1">
        <v>45292</v>
      </c>
      <c r="T223" s="1">
        <v>45945</v>
      </c>
      <c r="U223" t="s">
        <v>51</v>
      </c>
      <c r="V223">
        <v>1</v>
      </c>
      <c r="W223" s="1">
        <v>45916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5786783</v>
      </c>
      <c r="AL223" t="s">
        <v>416</v>
      </c>
    </row>
    <row r="224" spans="1:38" x14ac:dyDescent="0.25">
      <c r="A224" s="1">
        <v>45918</v>
      </c>
      <c r="B224" s="1">
        <v>45915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534</v>
      </c>
      <c r="J224" t="s">
        <v>535</v>
      </c>
      <c r="M224" t="s">
        <v>406</v>
      </c>
      <c r="O224" t="s">
        <v>407</v>
      </c>
      <c r="P224" t="s">
        <v>408</v>
      </c>
      <c r="Q224" t="s">
        <v>49</v>
      </c>
      <c r="R224" t="s">
        <v>536</v>
      </c>
      <c r="S224" s="1">
        <v>45566</v>
      </c>
      <c r="T224" s="1">
        <v>45945</v>
      </c>
      <c r="U224" t="s">
        <v>51</v>
      </c>
      <c r="V224">
        <v>1</v>
      </c>
      <c r="W224" s="1">
        <v>45916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5786790</v>
      </c>
      <c r="AL224" t="s">
        <v>416</v>
      </c>
    </row>
    <row r="225" spans="1:38" x14ac:dyDescent="0.25">
      <c r="A225" s="1">
        <v>45918</v>
      </c>
      <c r="B225" s="1">
        <v>45915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537</v>
      </c>
      <c r="J225" t="s">
        <v>538</v>
      </c>
      <c r="M225" t="s">
        <v>406</v>
      </c>
      <c r="O225" t="s">
        <v>413</v>
      </c>
      <c r="P225" t="s">
        <v>414</v>
      </c>
      <c r="Q225" t="s">
        <v>49</v>
      </c>
      <c r="R225" t="s">
        <v>415</v>
      </c>
      <c r="S225" s="1">
        <v>43800</v>
      </c>
      <c r="T225" s="1">
        <v>45945</v>
      </c>
      <c r="U225" t="s">
        <v>51</v>
      </c>
      <c r="V225">
        <v>1</v>
      </c>
      <c r="W225" s="1">
        <v>45916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5786819</v>
      </c>
      <c r="AL225" t="s">
        <v>416</v>
      </c>
    </row>
    <row r="226" spans="1:38" x14ac:dyDescent="0.25">
      <c r="A226" s="1">
        <v>45918</v>
      </c>
      <c r="B226" s="1">
        <v>45915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539</v>
      </c>
      <c r="J226" t="s">
        <v>540</v>
      </c>
      <c r="M226" t="s">
        <v>406</v>
      </c>
      <c r="O226" t="s">
        <v>407</v>
      </c>
      <c r="P226" t="s">
        <v>408</v>
      </c>
      <c r="Q226" t="s">
        <v>49</v>
      </c>
      <c r="R226" t="s">
        <v>415</v>
      </c>
      <c r="S226" s="1">
        <v>43466</v>
      </c>
      <c r="T226" s="1">
        <v>45945</v>
      </c>
      <c r="U226" t="s">
        <v>51</v>
      </c>
      <c r="V226">
        <v>1</v>
      </c>
      <c r="W226" s="1">
        <v>45916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5786876</v>
      </c>
      <c r="AL226" t="s">
        <v>416</v>
      </c>
    </row>
    <row r="227" spans="1:38" x14ac:dyDescent="0.25">
      <c r="A227" s="1">
        <v>45918</v>
      </c>
      <c r="B227" s="1">
        <v>45915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541</v>
      </c>
      <c r="J227" t="s">
        <v>542</v>
      </c>
      <c r="M227" t="s">
        <v>46</v>
      </c>
      <c r="O227" t="s">
        <v>62</v>
      </c>
      <c r="P227" t="s">
        <v>63</v>
      </c>
      <c r="Q227" t="s">
        <v>49</v>
      </c>
      <c r="R227" t="s">
        <v>415</v>
      </c>
      <c r="S227" s="1">
        <v>45536</v>
      </c>
      <c r="T227" s="1">
        <v>45945</v>
      </c>
      <c r="U227" t="s">
        <v>51</v>
      </c>
      <c r="V227">
        <v>1</v>
      </c>
      <c r="W227" s="1">
        <v>45916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5786880</v>
      </c>
      <c r="AL227" t="s">
        <v>416</v>
      </c>
    </row>
    <row r="228" spans="1:38" x14ac:dyDescent="0.25">
      <c r="A228" s="1">
        <v>45918</v>
      </c>
      <c r="B228" s="1">
        <v>45915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543</v>
      </c>
      <c r="J228" t="s">
        <v>544</v>
      </c>
      <c r="M228" t="s">
        <v>401</v>
      </c>
      <c r="O228" t="s">
        <v>153</v>
      </c>
      <c r="P228" t="s">
        <v>154</v>
      </c>
      <c r="Q228" t="s">
        <v>58</v>
      </c>
      <c r="R228" t="s">
        <v>415</v>
      </c>
      <c r="S228" s="1">
        <v>43831</v>
      </c>
      <c r="T228" s="1">
        <v>45945</v>
      </c>
      <c r="U228" t="s">
        <v>51</v>
      </c>
      <c r="V228">
        <v>1</v>
      </c>
      <c r="W228" s="1">
        <v>45916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5786902</v>
      </c>
      <c r="AL228" t="s">
        <v>416</v>
      </c>
    </row>
    <row r="229" spans="1:38" x14ac:dyDescent="0.25">
      <c r="A229" s="1">
        <v>45918</v>
      </c>
      <c r="B229" s="1">
        <v>45915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545</v>
      </c>
      <c r="J229" t="s">
        <v>546</v>
      </c>
      <c r="M229" t="s">
        <v>401</v>
      </c>
      <c r="O229" t="s">
        <v>74</v>
      </c>
      <c r="P229" t="s">
        <v>75</v>
      </c>
      <c r="Q229" t="s">
        <v>49</v>
      </c>
      <c r="R229" t="s">
        <v>415</v>
      </c>
      <c r="S229" s="1">
        <v>45292</v>
      </c>
      <c r="T229" s="1">
        <v>45945</v>
      </c>
      <c r="U229" t="s">
        <v>51</v>
      </c>
      <c r="V229">
        <v>1</v>
      </c>
      <c r="W229" s="1">
        <v>45916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5786944</v>
      </c>
      <c r="AL229" t="s">
        <v>416</v>
      </c>
    </row>
    <row r="230" spans="1:38" x14ac:dyDescent="0.25">
      <c r="A230" s="1">
        <v>45918</v>
      </c>
      <c r="B230" s="1">
        <v>45915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547</v>
      </c>
      <c r="J230" t="s">
        <v>548</v>
      </c>
      <c r="M230" t="s">
        <v>401</v>
      </c>
      <c r="O230" t="s">
        <v>74</v>
      </c>
      <c r="P230" t="s">
        <v>75</v>
      </c>
      <c r="Q230" t="s">
        <v>49</v>
      </c>
      <c r="R230" t="s">
        <v>415</v>
      </c>
      <c r="S230" s="1">
        <v>45292</v>
      </c>
      <c r="T230" s="1">
        <v>45945</v>
      </c>
      <c r="U230" t="s">
        <v>51</v>
      </c>
      <c r="V230">
        <v>1</v>
      </c>
      <c r="W230" s="1">
        <v>45916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5786958</v>
      </c>
      <c r="AL230" t="s">
        <v>416</v>
      </c>
    </row>
    <row r="231" spans="1:38" x14ac:dyDescent="0.25">
      <c r="A231" s="1">
        <v>45918</v>
      </c>
      <c r="B231" s="1">
        <v>45915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549</v>
      </c>
      <c r="J231" t="s">
        <v>550</v>
      </c>
      <c r="M231" t="s">
        <v>401</v>
      </c>
      <c r="O231" t="s">
        <v>74</v>
      </c>
      <c r="P231" t="s">
        <v>75</v>
      </c>
      <c r="Q231" t="s">
        <v>49</v>
      </c>
      <c r="R231" t="s">
        <v>415</v>
      </c>
      <c r="S231" s="1">
        <v>44136</v>
      </c>
      <c r="T231" s="1">
        <v>45945</v>
      </c>
      <c r="U231" t="s">
        <v>51</v>
      </c>
      <c r="V231">
        <v>1</v>
      </c>
      <c r="W231" s="1">
        <v>45916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5786993</v>
      </c>
      <c r="AL231" t="s">
        <v>416</v>
      </c>
    </row>
    <row r="232" spans="1:38" x14ac:dyDescent="0.25">
      <c r="A232" s="1">
        <v>45918</v>
      </c>
      <c r="B232" s="1">
        <v>45915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551</v>
      </c>
      <c r="J232" t="s">
        <v>552</v>
      </c>
      <c r="M232" t="s">
        <v>406</v>
      </c>
      <c r="O232" t="s">
        <v>413</v>
      </c>
      <c r="P232" t="s">
        <v>414</v>
      </c>
      <c r="Q232" t="s">
        <v>49</v>
      </c>
      <c r="R232" t="s">
        <v>415</v>
      </c>
      <c r="S232" s="1">
        <v>44256</v>
      </c>
      <c r="T232" s="1">
        <v>45945</v>
      </c>
      <c r="U232" t="s">
        <v>51</v>
      </c>
      <c r="V232">
        <v>1</v>
      </c>
      <c r="W232" s="1">
        <v>45916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5787008</v>
      </c>
      <c r="AL232" t="s">
        <v>416</v>
      </c>
    </row>
    <row r="233" spans="1:38" x14ac:dyDescent="0.25">
      <c r="A233" s="1">
        <v>45918</v>
      </c>
      <c r="B233" s="1">
        <v>45915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553</v>
      </c>
      <c r="J233" t="s">
        <v>554</v>
      </c>
      <c r="M233" t="s">
        <v>406</v>
      </c>
      <c r="O233" t="s">
        <v>413</v>
      </c>
      <c r="P233" t="s">
        <v>414</v>
      </c>
      <c r="Q233" t="s">
        <v>49</v>
      </c>
      <c r="R233" t="s">
        <v>415</v>
      </c>
      <c r="S233" s="1">
        <v>44287</v>
      </c>
      <c r="T233" s="1">
        <v>45945</v>
      </c>
      <c r="U233" t="s">
        <v>51</v>
      </c>
      <c r="V233">
        <v>1</v>
      </c>
      <c r="W233" s="1">
        <v>45916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5787009</v>
      </c>
      <c r="AL233" t="s">
        <v>416</v>
      </c>
    </row>
    <row r="234" spans="1:38" x14ac:dyDescent="0.25">
      <c r="A234" s="1">
        <v>45918</v>
      </c>
      <c r="B234" s="1">
        <v>45915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555</v>
      </c>
      <c r="J234" t="s">
        <v>556</v>
      </c>
      <c r="M234" t="s">
        <v>557</v>
      </c>
      <c r="O234" t="s">
        <v>407</v>
      </c>
      <c r="P234" t="s">
        <v>408</v>
      </c>
      <c r="Q234" t="s">
        <v>49</v>
      </c>
      <c r="R234" t="s">
        <v>536</v>
      </c>
      <c r="S234" s="1">
        <v>45597</v>
      </c>
      <c r="T234" s="1">
        <v>45945</v>
      </c>
      <c r="U234" t="s">
        <v>51</v>
      </c>
      <c r="V234">
        <v>1</v>
      </c>
      <c r="W234" s="1">
        <v>45916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5787045</v>
      </c>
      <c r="AL234" t="s">
        <v>416</v>
      </c>
    </row>
    <row r="235" spans="1:38" x14ac:dyDescent="0.25">
      <c r="A235" s="1">
        <v>45918</v>
      </c>
      <c r="B235" s="1">
        <v>45915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558</v>
      </c>
      <c r="J235" t="s">
        <v>559</v>
      </c>
      <c r="M235" t="s">
        <v>406</v>
      </c>
      <c r="O235" t="s">
        <v>413</v>
      </c>
      <c r="P235" t="s">
        <v>414</v>
      </c>
      <c r="Q235" t="s">
        <v>49</v>
      </c>
      <c r="R235" t="s">
        <v>415</v>
      </c>
      <c r="S235" s="1">
        <v>44317</v>
      </c>
      <c r="T235" s="1">
        <v>45945</v>
      </c>
      <c r="U235" t="s">
        <v>51</v>
      </c>
      <c r="V235">
        <v>1</v>
      </c>
      <c r="W235" s="1">
        <v>45916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5787048</v>
      </c>
      <c r="AL235" t="s">
        <v>416</v>
      </c>
    </row>
    <row r="236" spans="1:38" x14ac:dyDescent="0.25">
      <c r="A236" s="1">
        <v>45918</v>
      </c>
      <c r="B236" s="1">
        <v>45915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560</v>
      </c>
      <c r="J236" t="s">
        <v>561</v>
      </c>
      <c r="M236" t="s">
        <v>406</v>
      </c>
      <c r="O236" t="s">
        <v>413</v>
      </c>
      <c r="P236" t="s">
        <v>414</v>
      </c>
      <c r="Q236" t="s">
        <v>49</v>
      </c>
      <c r="R236" t="s">
        <v>415</v>
      </c>
      <c r="S236" s="1">
        <v>45658</v>
      </c>
      <c r="T236" s="1">
        <v>45945</v>
      </c>
      <c r="U236" t="s">
        <v>51</v>
      </c>
      <c r="V236">
        <v>1</v>
      </c>
      <c r="W236" s="1">
        <v>45916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5787049</v>
      </c>
      <c r="AL236" t="s">
        <v>416</v>
      </c>
    </row>
    <row r="237" spans="1:38" x14ac:dyDescent="0.25">
      <c r="A237" s="1">
        <v>45918</v>
      </c>
      <c r="B237" s="1">
        <v>45915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562</v>
      </c>
      <c r="J237" t="s">
        <v>563</v>
      </c>
      <c r="M237" t="s">
        <v>406</v>
      </c>
      <c r="O237" t="s">
        <v>413</v>
      </c>
      <c r="P237" t="s">
        <v>414</v>
      </c>
      <c r="Q237" t="s">
        <v>49</v>
      </c>
      <c r="R237" t="s">
        <v>415</v>
      </c>
      <c r="S237" s="1">
        <v>44501</v>
      </c>
      <c r="T237" s="1">
        <v>45945</v>
      </c>
      <c r="U237" t="s">
        <v>51</v>
      </c>
      <c r="V237">
        <v>1</v>
      </c>
      <c r="W237" s="1">
        <v>45916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5787123</v>
      </c>
      <c r="AL237" t="s">
        <v>416</v>
      </c>
    </row>
    <row r="238" spans="1:38" x14ac:dyDescent="0.25">
      <c r="A238" s="1">
        <v>45918</v>
      </c>
      <c r="B238" s="1">
        <v>45915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564</v>
      </c>
      <c r="J238" t="s">
        <v>565</v>
      </c>
      <c r="M238" t="s">
        <v>406</v>
      </c>
      <c r="O238" t="s">
        <v>413</v>
      </c>
      <c r="P238" t="s">
        <v>414</v>
      </c>
      <c r="Q238" t="s">
        <v>49</v>
      </c>
      <c r="R238" t="s">
        <v>415</v>
      </c>
      <c r="S238" s="1">
        <v>44562</v>
      </c>
      <c r="T238" s="1">
        <v>45945</v>
      </c>
      <c r="U238" t="s">
        <v>51</v>
      </c>
      <c r="V238">
        <v>1</v>
      </c>
      <c r="W238" s="1">
        <v>45916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5787129</v>
      </c>
      <c r="AL238" t="s">
        <v>416</v>
      </c>
    </row>
    <row r="239" spans="1:38" x14ac:dyDescent="0.25">
      <c r="A239" s="1">
        <v>45918</v>
      </c>
      <c r="B239" s="1">
        <v>45915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566</v>
      </c>
      <c r="J239" t="s">
        <v>567</v>
      </c>
      <c r="M239" t="s">
        <v>401</v>
      </c>
      <c r="O239" t="s">
        <v>74</v>
      </c>
      <c r="P239" t="s">
        <v>75</v>
      </c>
      <c r="Q239" t="s">
        <v>49</v>
      </c>
      <c r="R239" t="s">
        <v>415</v>
      </c>
      <c r="S239" s="1">
        <v>44562</v>
      </c>
      <c r="T239" s="1">
        <v>45945</v>
      </c>
      <c r="U239" t="s">
        <v>51</v>
      </c>
      <c r="V239">
        <v>1</v>
      </c>
      <c r="W239" s="1">
        <v>45916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5787130</v>
      </c>
      <c r="AL239" t="s">
        <v>416</v>
      </c>
    </row>
    <row r="240" spans="1:38" x14ac:dyDescent="0.25">
      <c r="A240" s="1">
        <v>45918</v>
      </c>
      <c r="B240" s="1">
        <v>45915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568</v>
      </c>
      <c r="J240" t="s">
        <v>569</v>
      </c>
      <c r="M240" t="s">
        <v>406</v>
      </c>
      <c r="O240" t="s">
        <v>413</v>
      </c>
      <c r="P240" t="s">
        <v>414</v>
      </c>
      <c r="Q240" t="s">
        <v>49</v>
      </c>
      <c r="R240" t="s">
        <v>415</v>
      </c>
      <c r="S240" s="1">
        <v>44562</v>
      </c>
      <c r="T240" s="1">
        <v>45945</v>
      </c>
      <c r="U240" t="s">
        <v>51</v>
      </c>
      <c r="V240">
        <v>1</v>
      </c>
      <c r="W240" s="1">
        <v>45916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5787133</v>
      </c>
      <c r="AL240" t="s">
        <v>416</v>
      </c>
    </row>
    <row r="241" spans="1:38" x14ac:dyDescent="0.25">
      <c r="A241" s="1">
        <v>45918</v>
      </c>
      <c r="B241" s="1">
        <v>45915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570</v>
      </c>
      <c r="J241" t="s">
        <v>571</v>
      </c>
      <c r="M241" t="s">
        <v>406</v>
      </c>
      <c r="O241" t="s">
        <v>413</v>
      </c>
      <c r="P241" t="s">
        <v>414</v>
      </c>
      <c r="Q241" t="s">
        <v>49</v>
      </c>
      <c r="R241" t="s">
        <v>415</v>
      </c>
      <c r="S241" s="1">
        <v>44562</v>
      </c>
      <c r="T241" s="1">
        <v>45945</v>
      </c>
      <c r="U241" t="s">
        <v>51</v>
      </c>
      <c r="V241">
        <v>1</v>
      </c>
      <c r="W241" s="1">
        <v>45916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5787140</v>
      </c>
      <c r="AL241" t="s">
        <v>416</v>
      </c>
    </row>
    <row r="242" spans="1:38" x14ac:dyDescent="0.25">
      <c r="A242" s="1">
        <v>45918</v>
      </c>
      <c r="B242" s="1">
        <v>45915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572</v>
      </c>
      <c r="J242" t="s">
        <v>573</v>
      </c>
      <c r="M242" t="s">
        <v>406</v>
      </c>
      <c r="O242" t="s">
        <v>413</v>
      </c>
      <c r="P242" t="s">
        <v>414</v>
      </c>
      <c r="Q242" t="s">
        <v>49</v>
      </c>
      <c r="R242" t="s">
        <v>415</v>
      </c>
      <c r="S242" s="1">
        <v>44562</v>
      </c>
      <c r="T242" s="1">
        <v>45945</v>
      </c>
      <c r="U242" t="s">
        <v>51</v>
      </c>
      <c r="V242">
        <v>1</v>
      </c>
      <c r="W242" s="1">
        <v>45916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5787145</v>
      </c>
      <c r="AL242" t="s">
        <v>416</v>
      </c>
    </row>
    <row r="243" spans="1:38" x14ac:dyDescent="0.25">
      <c r="A243" s="1">
        <v>45918</v>
      </c>
      <c r="B243" s="1">
        <v>45915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574</v>
      </c>
      <c r="J243" t="s">
        <v>575</v>
      </c>
      <c r="M243" t="s">
        <v>406</v>
      </c>
      <c r="O243" t="s">
        <v>413</v>
      </c>
      <c r="P243" t="s">
        <v>414</v>
      </c>
      <c r="Q243" t="s">
        <v>49</v>
      </c>
      <c r="R243" t="s">
        <v>415</v>
      </c>
      <c r="S243" s="1">
        <v>44562</v>
      </c>
      <c r="T243" s="1">
        <v>45945</v>
      </c>
      <c r="U243" t="s">
        <v>51</v>
      </c>
      <c r="V243">
        <v>1</v>
      </c>
      <c r="W243" s="1">
        <v>45916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5787148</v>
      </c>
      <c r="AL243" t="s">
        <v>416</v>
      </c>
    </row>
    <row r="244" spans="1:38" x14ac:dyDescent="0.25">
      <c r="A244" s="1">
        <v>45918</v>
      </c>
      <c r="B244" s="1">
        <v>45915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576</v>
      </c>
      <c r="J244" t="s">
        <v>577</v>
      </c>
      <c r="M244" t="s">
        <v>406</v>
      </c>
      <c r="O244" t="s">
        <v>413</v>
      </c>
      <c r="P244" t="s">
        <v>414</v>
      </c>
      <c r="Q244" t="s">
        <v>49</v>
      </c>
      <c r="R244" t="s">
        <v>415</v>
      </c>
      <c r="S244" s="1">
        <v>44927</v>
      </c>
      <c r="T244" s="1">
        <v>45945</v>
      </c>
      <c r="U244" t="s">
        <v>51</v>
      </c>
      <c r="V244">
        <v>1</v>
      </c>
      <c r="W244" s="1">
        <v>45916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5787150</v>
      </c>
      <c r="AL244" t="s">
        <v>416</v>
      </c>
    </row>
    <row r="245" spans="1:38" x14ac:dyDescent="0.25">
      <c r="A245" s="1">
        <v>45918</v>
      </c>
      <c r="B245" s="1">
        <v>45915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578</v>
      </c>
      <c r="J245" t="s">
        <v>579</v>
      </c>
      <c r="M245" t="s">
        <v>406</v>
      </c>
      <c r="O245" t="s">
        <v>413</v>
      </c>
      <c r="P245" t="s">
        <v>414</v>
      </c>
      <c r="Q245" t="s">
        <v>49</v>
      </c>
      <c r="R245" t="s">
        <v>415</v>
      </c>
      <c r="S245" s="1">
        <v>44562</v>
      </c>
      <c r="T245" s="1">
        <v>45945</v>
      </c>
      <c r="U245" t="s">
        <v>51</v>
      </c>
      <c r="V245">
        <v>1</v>
      </c>
      <c r="W245" s="1">
        <v>45916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5787151</v>
      </c>
      <c r="AL245" t="s">
        <v>416</v>
      </c>
    </row>
    <row r="246" spans="1:38" x14ac:dyDescent="0.25">
      <c r="A246" s="1">
        <v>45918</v>
      </c>
      <c r="B246" s="1">
        <v>45915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580</v>
      </c>
      <c r="J246" t="s">
        <v>581</v>
      </c>
      <c r="M246" t="s">
        <v>406</v>
      </c>
      <c r="O246" t="s">
        <v>413</v>
      </c>
      <c r="P246" t="s">
        <v>414</v>
      </c>
      <c r="Q246" t="s">
        <v>49</v>
      </c>
      <c r="R246" t="s">
        <v>415</v>
      </c>
      <c r="S246" s="1">
        <v>44562</v>
      </c>
      <c r="T246" s="1">
        <v>45945</v>
      </c>
      <c r="U246" t="s">
        <v>51</v>
      </c>
      <c r="V246">
        <v>1</v>
      </c>
      <c r="W246" s="1">
        <v>45916</v>
      </c>
      <c r="X246" t="s">
        <v>52</v>
      </c>
      <c r="Y246" s="2">
        <v>1</v>
      </c>
      <c r="Z246" s="2">
        <v>1</v>
      </c>
      <c r="AB246" s="3">
        <v>1</v>
      </c>
      <c r="AC246" s="2">
        <v>2</v>
      </c>
      <c r="AG246" s="2">
        <v>0</v>
      </c>
      <c r="AH246" s="2">
        <v>2</v>
      </c>
      <c r="AI246" s="2">
        <v>0</v>
      </c>
      <c r="AK246">
        <v>5787155</v>
      </c>
      <c r="AL246" t="s">
        <v>416</v>
      </c>
    </row>
    <row r="247" spans="1:38" x14ac:dyDescent="0.25">
      <c r="A247" s="1">
        <v>45918</v>
      </c>
      <c r="B247" s="1">
        <v>45915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582</v>
      </c>
      <c r="J247" t="s">
        <v>583</v>
      </c>
      <c r="M247" t="s">
        <v>406</v>
      </c>
      <c r="O247" t="s">
        <v>413</v>
      </c>
      <c r="P247" t="s">
        <v>414</v>
      </c>
      <c r="Q247" t="s">
        <v>49</v>
      </c>
      <c r="R247" t="s">
        <v>415</v>
      </c>
      <c r="S247" s="1">
        <v>44562</v>
      </c>
      <c r="T247" s="1">
        <v>45945</v>
      </c>
      <c r="U247" t="s">
        <v>51</v>
      </c>
      <c r="V247">
        <v>1</v>
      </c>
      <c r="W247" s="1">
        <v>45916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5787156</v>
      </c>
      <c r="AL247" t="s">
        <v>416</v>
      </c>
    </row>
    <row r="248" spans="1:38" x14ac:dyDescent="0.25">
      <c r="A248" s="1">
        <v>45918</v>
      </c>
      <c r="B248" s="1">
        <v>45915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584</v>
      </c>
      <c r="J248" t="s">
        <v>585</v>
      </c>
      <c r="M248" t="s">
        <v>406</v>
      </c>
      <c r="O248" t="s">
        <v>413</v>
      </c>
      <c r="P248" t="s">
        <v>414</v>
      </c>
      <c r="Q248" t="s">
        <v>49</v>
      </c>
      <c r="R248" t="s">
        <v>415</v>
      </c>
      <c r="S248" s="1">
        <v>44562</v>
      </c>
      <c r="T248" s="1">
        <v>45945</v>
      </c>
      <c r="U248" t="s">
        <v>51</v>
      </c>
      <c r="V248">
        <v>1</v>
      </c>
      <c r="W248" s="1">
        <v>45916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5787161</v>
      </c>
      <c r="AL248" t="s">
        <v>416</v>
      </c>
    </row>
    <row r="249" spans="1:38" x14ac:dyDescent="0.25">
      <c r="A249" s="1">
        <v>45918</v>
      </c>
      <c r="B249" s="1">
        <v>45915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586</v>
      </c>
      <c r="J249" t="s">
        <v>587</v>
      </c>
      <c r="M249" t="s">
        <v>406</v>
      </c>
      <c r="O249" t="s">
        <v>413</v>
      </c>
      <c r="P249" t="s">
        <v>414</v>
      </c>
      <c r="Q249" t="s">
        <v>49</v>
      </c>
      <c r="R249" t="s">
        <v>415</v>
      </c>
      <c r="S249" s="1">
        <v>44562</v>
      </c>
      <c r="T249" s="1">
        <v>45945</v>
      </c>
      <c r="U249" t="s">
        <v>51</v>
      </c>
      <c r="V249">
        <v>1</v>
      </c>
      <c r="W249" s="1">
        <v>45916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5787168</v>
      </c>
      <c r="AL249" t="s">
        <v>416</v>
      </c>
    </row>
    <row r="250" spans="1:38" x14ac:dyDescent="0.25">
      <c r="A250" s="1">
        <v>45918</v>
      </c>
      <c r="B250" s="1">
        <v>45915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588</v>
      </c>
      <c r="J250" t="s">
        <v>589</v>
      </c>
      <c r="M250" t="s">
        <v>406</v>
      </c>
      <c r="O250" t="s">
        <v>413</v>
      </c>
      <c r="P250" t="s">
        <v>414</v>
      </c>
      <c r="Q250" t="s">
        <v>49</v>
      </c>
      <c r="R250" t="s">
        <v>415</v>
      </c>
      <c r="S250" s="1">
        <v>45658</v>
      </c>
      <c r="T250" s="1">
        <v>45945</v>
      </c>
      <c r="U250" t="s">
        <v>51</v>
      </c>
      <c r="V250">
        <v>1</v>
      </c>
      <c r="W250" s="1">
        <v>45916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5787170</v>
      </c>
      <c r="AL250" t="s">
        <v>416</v>
      </c>
    </row>
    <row r="251" spans="1:38" x14ac:dyDescent="0.25">
      <c r="A251" s="1">
        <v>45918</v>
      </c>
      <c r="B251" s="1">
        <v>45915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590</v>
      </c>
      <c r="J251" t="s">
        <v>591</v>
      </c>
      <c r="M251" t="s">
        <v>406</v>
      </c>
      <c r="O251" t="s">
        <v>413</v>
      </c>
      <c r="P251" t="s">
        <v>414</v>
      </c>
      <c r="Q251" t="s">
        <v>49</v>
      </c>
      <c r="R251" t="s">
        <v>415</v>
      </c>
      <c r="S251" s="1">
        <v>44562</v>
      </c>
      <c r="T251" s="1">
        <v>45945</v>
      </c>
      <c r="U251" t="s">
        <v>51</v>
      </c>
      <c r="V251">
        <v>1</v>
      </c>
      <c r="W251" s="1">
        <v>45916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5787173</v>
      </c>
      <c r="AL251" t="s">
        <v>416</v>
      </c>
    </row>
    <row r="252" spans="1:38" x14ac:dyDescent="0.25">
      <c r="A252" s="1">
        <v>45918</v>
      </c>
      <c r="B252" s="1">
        <v>45915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592</v>
      </c>
      <c r="J252" t="s">
        <v>593</v>
      </c>
      <c r="M252" t="s">
        <v>406</v>
      </c>
      <c r="O252" t="s">
        <v>413</v>
      </c>
      <c r="P252" t="s">
        <v>414</v>
      </c>
      <c r="Q252" t="s">
        <v>49</v>
      </c>
      <c r="R252" t="s">
        <v>415</v>
      </c>
      <c r="S252" s="1">
        <v>44501</v>
      </c>
      <c r="T252" s="1">
        <v>45945</v>
      </c>
      <c r="U252" t="s">
        <v>51</v>
      </c>
      <c r="V252">
        <v>1</v>
      </c>
      <c r="W252" s="1">
        <v>45916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5787177</v>
      </c>
      <c r="AL252" t="s">
        <v>416</v>
      </c>
    </row>
    <row r="253" spans="1:38" x14ac:dyDescent="0.25">
      <c r="A253" s="1">
        <v>45918</v>
      </c>
      <c r="B253" s="1">
        <v>45915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594</v>
      </c>
      <c r="J253" t="s">
        <v>595</v>
      </c>
      <c r="M253" t="s">
        <v>406</v>
      </c>
      <c r="O253" t="s">
        <v>413</v>
      </c>
      <c r="P253" t="s">
        <v>414</v>
      </c>
      <c r="Q253" t="s">
        <v>49</v>
      </c>
      <c r="R253" t="s">
        <v>415</v>
      </c>
      <c r="S253" s="1">
        <v>44562</v>
      </c>
      <c r="T253" s="1">
        <v>45945</v>
      </c>
      <c r="U253" t="s">
        <v>51</v>
      </c>
      <c r="V253">
        <v>1</v>
      </c>
      <c r="W253" s="1">
        <v>45916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5787179</v>
      </c>
      <c r="AL253" t="s">
        <v>416</v>
      </c>
    </row>
    <row r="254" spans="1:38" x14ac:dyDescent="0.25">
      <c r="A254" s="1">
        <v>45918</v>
      </c>
      <c r="B254" s="1">
        <v>45915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596</v>
      </c>
      <c r="J254" t="s">
        <v>597</v>
      </c>
      <c r="M254" t="s">
        <v>406</v>
      </c>
      <c r="O254" t="s">
        <v>413</v>
      </c>
      <c r="P254" t="s">
        <v>414</v>
      </c>
      <c r="Q254" t="s">
        <v>49</v>
      </c>
      <c r="R254" t="s">
        <v>415</v>
      </c>
      <c r="S254" s="1">
        <v>44562</v>
      </c>
      <c r="T254" s="1">
        <v>45945</v>
      </c>
      <c r="U254" t="s">
        <v>51</v>
      </c>
      <c r="V254">
        <v>1</v>
      </c>
      <c r="W254" s="1">
        <v>45916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5787212</v>
      </c>
      <c r="AL254" t="s">
        <v>416</v>
      </c>
    </row>
    <row r="255" spans="1:38" x14ac:dyDescent="0.25">
      <c r="A255" s="1">
        <v>45918</v>
      </c>
      <c r="B255" s="1">
        <v>45915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598</v>
      </c>
      <c r="J255" t="s">
        <v>599</v>
      </c>
      <c r="M255" t="s">
        <v>406</v>
      </c>
      <c r="O255" t="s">
        <v>413</v>
      </c>
      <c r="P255" t="s">
        <v>414</v>
      </c>
      <c r="Q255" t="s">
        <v>49</v>
      </c>
      <c r="R255" t="s">
        <v>415</v>
      </c>
      <c r="S255" s="1">
        <v>44562</v>
      </c>
      <c r="T255" s="1">
        <v>45945</v>
      </c>
      <c r="U255" t="s">
        <v>51</v>
      </c>
      <c r="V255">
        <v>1</v>
      </c>
      <c r="W255" s="1">
        <v>45916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5787253</v>
      </c>
      <c r="AL255" t="s">
        <v>416</v>
      </c>
    </row>
    <row r="256" spans="1:38" x14ac:dyDescent="0.25">
      <c r="A256" s="1">
        <v>45918</v>
      </c>
      <c r="B256" s="1">
        <v>45915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600</v>
      </c>
      <c r="J256" t="s">
        <v>601</v>
      </c>
      <c r="M256" t="s">
        <v>406</v>
      </c>
      <c r="O256" t="s">
        <v>413</v>
      </c>
      <c r="P256" t="s">
        <v>414</v>
      </c>
      <c r="Q256" t="s">
        <v>49</v>
      </c>
      <c r="R256" t="s">
        <v>415</v>
      </c>
      <c r="S256" s="1">
        <v>44562</v>
      </c>
      <c r="T256" s="1">
        <v>45945</v>
      </c>
      <c r="U256" t="s">
        <v>51</v>
      </c>
      <c r="V256">
        <v>1</v>
      </c>
      <c r="W256" s="1">
        <v>45916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5787282</v>
      </c>
      <c r="AL256" t="s">
        <v>416</v>
      </c>
    </row>
    <row r="257" spans="1:38" x14ac:dyDescent="0.25">
      <c r="A257" s="1">
        <v>45918</v>
      </c>
      <c r="B257" s="1">
        <v>45915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602</v>
      </c>
      <c r="J257" t="s">
        <v>603</v>
      </c>
      <c r="M257" t="s">
        <v>406</v>
      </c>
      <c r="O257" t="s">
        <v>413</v>
      </c>
      <c r="P257" t="s">
        <v>414</v>
      </c>
      <c r="Q257" t="s">
        <v>49</v>
      </c>
      <c r="R257" t="s">
        <v>415</v>
      </c>
      <c r="S257" s="1">
        <v>44562</v>
      </c>
      <c r="T257" s="1">
        <v>45945</v>
      </c>
      <c r="U257" t="s">
        <v>51</v>
      </c>
      <c r="V257">
        <v>1</v>
      </c>
      <c r="W257" s="1">
        <v>45916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5787284</v>
      </c>
      <c r="AL257" t="s">
        <v>416</v>
      </c>
    </row>
    <row r="258" spans="1:38" x14ac:dyDescent="0.25">
      <c r="A258" s="1">
        <v>45918</v>
      </c>
      <c r="B258" s="1">
        <v>45915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604</v>
      </c>
      <c r="J258" t="s">
        <v>605</v>
      </c>
      <c r="M258" t="s">
        <v>406</v>
      </c>
      <c r="O258" t="s">
        <v>413</v>
      </c>
      <c r="P258" t="s">
        <v>414</v>
      </c>
      <c r="Q258" t="s">
        <v>49</v>
      </c>
      <c r="R258" t="s">
        <v>415</v>
      </c>
      <c r="S258" s="1">
        <v>44562</v>
      </c>
      <c r="T258" s="1">
        <v>45945</v>
      </c>
      <c r="U258" t="s">
        <v>51</v>
      </c>
      <c r="V258">
        <v>1</v>
      </c>
      <c r="W258" s="1">
        <v>45916</v>
      </c>
      <c r="X258" t="s">
        <v>52</v>
      </c>
      <c r="Y258" s="2">
        <v>1</v>
      </c>
      <c r="Z258" s="2">
        <v>1</v>
      </c>
      <c r="AB258" s="3">
        <v>1</v>
      </c>
      <c r="AC258" s="2">
        <v>2</v>
      </c>
      <c r="AG258" s="2">
        <v>0</v>
      </c>
      <c r="AH258" s="2">
        <v>2</v>
      </c>
      <c r="AI258" s="2">
        <v>0</v>
      </c>
      <c r="AK258">
        <v>5787294</v>
      </c>
      <c r="AL258" t="s">
        <v>416</v>
      </c>
    </row>
    <row r="259" spans="1:38" x14ac:dyDescent="0.25">
      <c r="A259" s="1">
        <v>45918</v>
      </c>
      <c r="B259" s="1">
        <v>45915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606</v>
      </c>
      <c r="J259" t="s">
        <v>607</v>
      </c>
      <c r="M259" t="s">
        <v>406</v>
      </c>
      <c r="O259" t="s">
        <v>413</v>
      </c>
      <c r="P259" t="s">
        <v>414</v>
      </c>
      <c r="Q259" t="s">
        <v>49</v>
      </c>
      <c r="R259" t="s">
        <v>415</v>
      </c>
      <c r="S259" s="1">
        <v>44562</v>
      </c>
      <c r="T259" s="1">
        <v>45945</v>
      </c>
      <c r="U259" t="s">
        <v>51</v>
      </c>
      <c r="V259">
        <v>1</v>
      </c>
      <c r="W259" s="1">
        <v>45916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5787320</v>
      </c>
      <c r="AL259" t="s">
        <v>416</v>
      </c>
    </row>
    <row r="260" spans="1:38" x14ac:dyDescent="0.25">
      <c r="A260" s="1">
        <v>45918</v>
      </c>
      <c r="B260" s="1">
        <v>45915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608</v>
      </c>
      <c r="J260" t="s">
        <v>609</v>
      </c>
      <c r="M260" t="s">
        <v>406</v>
      </c>
      <c r="O260" t="s">
        <v>610</v>
      </c>
      <c r="P260" t="s">
        <v>611</v>
      </c>
      <c r="Q260" t="s">
        <v>49</v>
      </c>
      <c r="R260" t="s">
        <v>415</v>
      </c>
      <c r="S260" s="1">
        <v>44562</v>
      </c>
      <c r="T260" s="1">
        <v>45945</v>
      </c>
      <c r="U260" t="s">
        <v>51</v>
      </c>
      <c r="V260">
        <v>1</v>
      </c>
      <c r="W260" s="1">
        <v>45916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5787388</v>
      </c>
      <c r="AL260" t="s">
        <v>416</v>
      </c>
    </row>
    <row r="261" spans="1:38" x14ac:dyDescent="0.25">
      <c r="A261" s="1">
        <v>45918</v>
      </c>
      <c r="B261" s="1">
        <v>45915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612</v>
      </c>
      <c r="J261" t="s">
        <v>613</v>
      </c>
      <c r="M261" t="s">
        <v>406</v>
      </c>
      <c r="O261" t="s">
        <v>413</v>
      </c>
      <c r="P261" t="s">
        <v>414</v>
      </c>
      <c r="Q261" t="s">
        <v>49</v>
      </c>
      <c r="R261" t="s">
        <v>415</v>
      </c>
      <c r="S261" s="1">
        <v>44562</v>
      </c>
      <c r="T261" s="1">
        <v>45945</v>
      </c>
      <c r="U261" t="s">
        <v>51</v>
      </c>
      <c r="V261">
        <v>1</v>
      </c>
      <c r="W261" s="1">
        <v>45916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5787401</v>
      </c>
      <c r="AL261" t="s">
        <v>416</v>
      </c>
    </row>
    <row r="262" spans="1:38" x14ac:dyDescent="0.25">
      <c r="A262" s="1">
        <v>45918</v>
      </c>
      <c r="B262" s="1">
        <v>45915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614</v>
      </c>
      <c r="J262" t="s">
        <v>615</v>
      </c>
      <c r="M262" t="s">
        <v>406</v>
      </c>
      <c r="O262" t="s">
        <v>413</v>
      </c>
      <c r="P262" t="s">
        <v>414</v>
      </c>
      <c r="Q262" t="s">
        <v>49</v>
      </c>
      <c r="R262" t="s">
        <v>415</v>
      </c>
      <c r="S262" s="1">
        <v>44562</v>
      </c>
      <c r="T262" s="1">
        <v>45945</v>
      </c>
      <c r="U262" t="s">
        <v>51</v>
      </c>
      <c r="V262">
        <v>1</v>
      </c>
      <c r="W262" s="1">
        <v>45916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5787402</v>
      </c>
      <c r="AL262" t="s">
        <v>416</v>
      </c>
    </row>
    <row r="263" spans="1:38" x14ac:dyDescent="0.25">
      <c r="A263" s="1">
        <v>45918</v>
      </c>
      <c r="B263" s="1">
        <v>45915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616</v>
      </c>
      <c r="J263" t="s">
        <v>617</v>
      </c>
      <c r="M263" t="s">
        <v>406</v>
      </c>
      <c r="O263" t="s">
        <v>413</v>
      </c>
      <c r="P263" t="s">
        <v>414</v>
      </c>
      <c r="Q263" t="s">
        <v>49</v>
      </c>
      <c r="R263" t="s">
        <v>415</v>
      </c>
      <c r="S263" s="1">
        <v>44562</v>
      </c>
      <c r="T263" s="1">
        <v>45945</v>
      </c>
      <c r="U263" t="s">
        <v>51</v>
      </c>
      <c r="V263">
        <v>1</v>
      </c>
      <c r="W263" s="1">
        <v>45916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5787448</v>
      </c>
      <c r="AL263" t="s">
        <v>416</v>
      </c>
    </row>
    <row r="264" spans="1:38" x14ac:dyDescent="0.25">
      <c r="A264" s="1">
        <v>45918</v>
      </c>
      <c r="B264" s="1">
        <v>45915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618</v>
      </c>
      <c r="J264" t="s">
        <v>619</v>
      </c>
      <c r="M264" t="s">
        <v>406</v>
      </c>
      <c r="O264" t="s">
        <v>413</v>
      </c>
      <c r="P264" t="s">
        <v>414</v>
      </c>
      <c r="Q264" t="s">
        <v>49</v>
      </c>
      <c r="R264" t="s">
        <v>415</v>
      </c>
      <c r="S264" s="1">
        <v>44562</v>
      </c>
      <c r="T264" s="1">
        <v>45945</v>
      </c>
      <c r="U264" t="s">
        <v>51</v>
      </c>
      <c r="V264">
        <v>1</v>
      </c>
      <c r="W264" s="1">
        <v>45916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5787478</v>
      </c>
      <c r="AL264" t="s">
        <v>416</v>
      </c>
    </row>
    <row r="265" spans="1:38" x14ac:dyDescent="0.25">
      <c r="A265" s="1">
        <v>45918</v>
      </c>
      <c r="B265" s="1">
        <v>45915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620</v>
      </c>
      <c r="J265" t="s">
        <v>621</v>
      </c>
      <c r="M265" t="s">
        <v>406</v>
      </c>
      <c r="O265" t="s">
        <v>413</v>
      </c>
      <c r="P265" t="s">
        <v>414</v>
      </c>
      <c r="Q265" t="s">
        <v>49</v>
      </c>
      <c r="R265" t="s">
        <v>415</v>
      </c>
      <c r="S265" s="1">
        <v>44562</v>
      </c>
      <c r="T265" s="1">
        <v>45945</v>
      </c>
      <c r="U265" t="s">
        <v>51</v>
      </c>
      <c r="V265">
        <v>1</v>
      </c>
      <c r="W265" s="1">
        <v>45916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5787494</v>
      </c>
      <c r="AL265" t="s">
        <v>416</v>
      </c>
    </row>
    <row r="266" spans="1:38" x14ac:dyDescent="0.25">
      <c r="A266" s="1">
        <v>45918</v>
      </c>
      <c r="B266" s="1">
        <v>45915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622</v>
      </c>
      <c r="J266" t="s">
        <v>623</v>
      </c>
      <c r="M266" t="s">
        <v>406</v>
      </c>
      <c r="O266" t="s">
        <v>413</v>
      </c>
      <c r="P266" t="s">
        <v>414</v>
      </c>
      <c r="Q266" t="s">
        <v>49</v>
      </c>
      <c r="R266" t="s">
        <v>415</v>
      </c>
      <c r="S266" s="1">
        <v>44562</v>
      </c>
      <c r="T266" s="1">
        <v>45945</v>
      </c>
      <c r="U266" t="s">
        <v>51</v>
      </c>
      <c r="V266">
        <v>1</v>
      </c>
      <c r="W266" s="1">
        <v>45916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5787509</v>
      </c>
      <c r="AL266" t="s">
        <v>416</v>
      </c>
    </row>
    <row r="267" spans="1:38" x14ac:dyDescent="0.25">
      <c r="A267" s="1">
        <v>45918</v>
      </c>
      <c r="B267" s="1">
        <v>45915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624</v>
      </c>
      <c r="J267" t="s">
        <v>625</v>
      </c>
      <c r="M267" t="s">
        <v>406</v>
      </c>
      <c r="O267" t="s">
        <v>413</v>
      </c>
      <c r="P267" t="s">
        <v>414</v>
      </c>
      <c r="Q267" t="s">
        <v>49</v>
      </c>
      <c r="R267" t="s">
        <v>415</v>
      </c>
      <c r="S267" s="1">
        <v>44562</v>
      </c>
      <c r="T267" s="1">
        <v>45945</v>
      </c>
      <c r="U267" t="s">
        <v>51</v>
      </c>
      <c r="V267">
        <v>1</v>
      </c>
      <c r="W267" s="1">
        <v>45916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5787516</v>
      </c>
      <c r="AL267" t="s">
        <v>416</v>
      </c>
    </row>
    <row r="268" spans="1:38" x14ac:dyDescent="0.25">
      <c r="A268" s="1">
        <v>45918</v>
      </c>
      <c r="B268" s="1">
        <v>45915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626</v>
      </c>
      <c r="J268" t="s">
        <v>627</v>
      </c>
      <c r="M268" t="s">
        <v>406</v>
      </c>
      <c r="O268" t="s">
        <v>413</v>
      </c>
      <c r="P268" t="s">
        <v>414</v>
      </c>
      <c r="Q268" t="s">
        <v>49</v>
      </c>
      <c r="R268" t="s">
        <v>415</v>
      </c>
      <c r="S268" s="1">
        <v>44562</v>
      </c>
      <c r="T268" s="1">
        <v>45945</v>
      </c>
      <c r="U268" t="s">
        <v>51</v>
      </c>
      <c r="V268">
        <v>1</v>
      </c>
      <c r="W268" s="1">
        <v>45916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5787518</v>
      </c>
      <c r="AL268" t="s">
        <v>416</v>
      </c>
    </row>
    <row r="269" spans="1:38" x14ac:dyDescent="0.25">
      <c r="A269" s="1">
        <v>45918</v>
      </c>
      <c r="B269" s="1">
        <v>45915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628</v>
      </c>
      <c r="J269" t="s">
        <v>629</v>
      </c>
      <c r="M269" t="s">
        <v>406</v>
      </c>
      <c r="O269" t="s">
        <v>413</v>
      </c>
      <c r="P269" t="s">
        <v>414</v>
      </c>
      <c r="Q269" t="s">
        <v>49</v>
      </c>
      <c r="R269" t="s">
        <v>415</v>
      </c>
      <c r="S269" s="1">
        <v>44562</v>
      </c>
      <c r="T269" s="1">
        <v>45945</v>
      </c>
      <c r="U269" t="s">
        <v>51</v>
      </c>
      <c r="V269">
        <v>1</v>
      </c>
      <c r="W269" s="1">
        <v>45916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5787524</v>
      </c>
      <c r="AL269" t="s">
        <v>416</v>
      </c>
    </row>
    <row r="270" spans="1:38" x14ac:dyDescent="0.25">
      <c r="A270" s="1">
        <v>45918</v>
      </c>
      <c r="B270" s="1">
        <v>45915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630</v>
      </c>
      <c r="J270" t="s">
        <v>631</v>
      </c>
      <c r="M270" t="s">
        <v>406</v>
      </c>
      <c r="O270" t="s">
        <v>413</v>
      </c>
      <c r="P270" t="s">
        <v>414</v>
      </c>
      <c r="Q270" t="s">
        <v>49</v>
      </c>
      <c r="R270" t="s">
        <v>415</v>
      </c>
      <c r="S270" s="1">
        <v>44593</v>
      </c>
      <c r="T270" s="1">
        <v>45945</v>
      </c>
      <c r="U270" t="s">
        <v>51</v>
      </c>
      <c r="V270">
        <v>1</v>
      </c>
      <c r="W270" s="1">
        <v>45916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5787558</v>
      </c>
      <c r="AL270" t="s">
        <v>416</v>
      </c>
    </row>
    <row r="271" spans="1:38" x14ac:dyDescent="0.25">
      <c r="A271" s="1">
        <v>45918</v>
      </c>
      <c r="B271" s="1">
        <v>45915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632</v>
      </c>
      <c r="J271" t="s">
        <v>633</v>
      </c>
      <c r="M271" t="s">
        <v>406</v>
      </c>
      <c r="O271" t="s">
        <v>413</v>
      </c>
      <c r="P271" t="s">
        <v>414</v>
      </c>
      <c r="Q271" t="s">
        <v>49</v>
      </c>
      <c r="R271" t="s">
        <v>415</v>
      </c>
      <c r="S271" s="1">
        <v>45017</v>
      </c>
      <c r="T271" s="1">
        <v>45945</v>
      </c>
      <c r="U271" t="s">
        <v>51</v>
      </c>
      <c r="V271">
        <v>1</v>
      </c>
      <c r="W271" s="1">
        <v>45916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5787583</v>
      </c>
      <c r="AL271" t="s">
        <v>416</v>
      </c>
    </row>
    <row r="272" spans="1:38" x14ac:dyDescent="0.25">
      <c r="A272" s="1">
        <v>45918</v>
      </c>
      <c r="B272" s="1">
        <v>45915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634</v>
      </c>
      <c r="J272" t="s">
        <v>635</v>
      </c>
      <c r="M272" t="s">
        <v>406</v>
      </c>
      <c r="O272" t="s">
        <v>413</v>
      </c>
      <c r="P272" t="s">
        <v>414</v>
      </c>
      <c r="Q272" t="s">
        <v>49</v>
      </c>
      <c r="R272" t="s">
        <v>415</v>
      </c>
      <c r="S272" s="1">
        <v>44593</v>
      </c>
      <c r="T272" s="1">
        <v>45945</v>
      </c>
      <c r="U272" t="s">
        <v>51</v>
      </c>
      <c r="V272">
        <v>1</v>
      </c>
      <c r="W272" s="1">
        <v>45916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5787584</v>
      </c>
      <c r="AL272" t="s">
        <v>416</v>
      </c>
    </row>
    <row r="273" spans="1:38" x14ac:dyDescent="0.25">
      <c r="A273" s="1">
        <v>45918</v>
      </c>
      <c r="B273" s="1">
        <v>45915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636</v>
      </c>
      <c r="J273" t="s">
        <v>637</v>
      </c>
      <c r="M273" t="s">
        <v>406</v>
      </c>
      <c r="O273" t="s">
        <v>413</v>
      </c>
      <c r="P273" t="s">
        <v>414</v>
      </c>
      <c r="Q273" t="s">
        <v>49</v>
      </c>
      <c r="R273" t="s">
        <v>415</v>
      </c>
      <c r="S273" s="1">
        <v>44593</v>
      </c>
      <c r="T273" s="1">
        <v>45945</v>
      </c>
      <c r="U273" t="s">
        <v>51</v>
      </c>
      <c r="V273">
        <v>1</v>
      </c>
      <c r="W273" s="1">
        <v>45916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5787594</v>
      </c>
      <c r="AL273" t="s">
        <v>416</v>
      </c>
    </row>
    <row r="274" spans="1:38" x14ac:dyDescent="0.25">
      <c r="A274" s="1">
        <v>45918</v>
      </c>
      <c r="B274" s="1">
        <v>45915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638</v>
      </c>
      <c r="J274" t="s">
        <v>639</v>
      </c>
      <c r="M274" t="s">
        <v>406</v>
      </c>
      <c r="O274" t="s">
        <v>413</v>
      </c>
      <c r="P274" t="s">
        <v>414</v>
      </c>
      <c r="Q274" t="s">
        <v>49</v>
      </c>
      <c r="R274" t="s">
        <v>415</v>
      </c>
      <c r="S274" s="1">
        <v>44682</v>
      </c>
      <c r="T274" s="1">
        <v>45945</v>
      </c>
      <c r="U274" t="s">
        <v>51</v>
      </c>
      <c r="V274">
        <v>1</v>
      </c>
      <c r="W274" s="1">
        <v>45916</v>
      </c>
      <c r="X274" t="s">
        <v>52</v>
      </c>
      <c r="Y274" s="2">
        <v>1</v>
      </c>
      <c r="Z274" s="2">
        <v>1</v>
      </c>
      <c r="AB274" s="3">
        <v>1</v>
      </c>
      <c r="AC274" s="2">
        <v>2</v>
      </c>
      <c r="AG274" s="2">
        <v>0</v>
      </c>
      <c r="AH274" s="2">
        <v>2</v>
      </c>
      <c r="AI274" s="2">
        <v>0</v>
      </c>
      <c r="AK274">
        <v>5787624</v>
      </c>
      <c r="AL274" t="s">
        <v>416</v>
      </c>
    </row>
    <row r="275" spans="1:38" x14ac:dyDescent="0.25">
      <c r="A275" s="1">
        <v>45918</v>
      </c>
      <c r="B275" s="1">
        <v>45915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640</v>
      </c>
      <c r="J275" t="s">
        <v>641</v>
      </c>
      <c r="M275" t="s">
        <v>406</v>
      </c>
      <c r="O275" t="s">
        <v>413</v>
      </c>
      <c r="P275" t="s">
        <v>414</v>
      </c>
      <c r="Q275" t="s">
        <v>49</v>
      </c>
      <c r="R275" t="s">
        <v>415</v>
      </c>
      <c r="S275" s="1">
        <v>44682</v>
      </c>
      <c r="T275" s="1">
        <v>45945</v>
      </c>
      <c r="U275" t="s">
        <v>51</v>
      </c>
      <c r="V275">
        <v>1</v>
      </c>
      <c r="W275" s="1">
        <v>45916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5787668</v>
      </c>
      <c r="AL275" t="s">
        <v>416</v>
      </c>
    </row>
    <row r="276" spans="1:38" x14ac:dyDescent="0.25">
      <c r="A276" s="1">
        <v>45918</v>
      </c>
      <c r="B276" s="1">
        <v>45915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642</v>
      </c>
      <c r="J276" t="s">
        <v>643</v>
      </c>
      <c r="M276" t="s">
        <v>406</v>
      </c>
      <c r="O276" t="s">
        <v>413</v>
      </c>
      <c r="P276" t="s">
        <v>414</v>
      </c>
      <c r="Q276" t="s">
        <v>49</v>
      </c>
      <c r="R276" t="s">
        <v>415</v>
      </c>
      <c r="S276" s="1">
        <v>44652</v>
      </c>
      <c r="T276" s="1">
        <v>45945</v>
      </c>
      <c r="U276" t="s">
        <v>51</v>
      </c>
      <c r="V276">
        <v>1</v>
      </c>
      <c r="W276" s="1">
        <v>45916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5787680</v>
      </c>
      <c r="AL276" t="s">
        <v>416</v>
      </c>
    </row>
    <row r="277" spans="1:38" x14ac:dyDescent="0.25">
      <c r="A277" s="1">
        <v>45918</v>
      </c>
      <c r="B277" s="1">
        <v>45915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644</v>
      </c>
      <c r="J277" t="s">
        <v>645</v>
      </c>
      <c r="M277" t="s">
        <v>406</v>
      </c>
      <c r="O277" t="s">
        <v>413</v>
      </c>
      <c r="P277" t="s">
        <v>414</v>
      </c>
      <c r="Q277" t="s">
        <v>49</v>
      </c>
      <c r="R277" t="s">
        <v>415</v>
      </c>
      <c r="S277" s="1">
        <v>44652</v>
      </c>
      <c r="T277" s="1">
        <v>45945</v>
      </c>
      <c r="U277" t="s">
        <v>51</v>
      </c>
      <c r="V277">
        <v>1</v>
      </c>
      <c r="W277" s="1">
        <v>45916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5787692</v>
      </c>
      <c r="AL277" t="s">
        <v>416</v>
      </c>
    </row>
    <row r="278" spans="1:38" x14ac:dyDescent="0.25">
      <c r="A278" s="1">
        <v>45918</v>
      </c>
      <c r="B278" s="1">
        <v>45915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646</v>
      </c>
      <c r="J278" t="s">
        <v>647</v>
      </c>
      <c r="M278" t="s">
        <v>406</v>
      </c>
      <c r="O278" t="s">
        <v>413</v>
      </c>
      <c r="P278" t="s">
        <v>414</v>
      </c>
      <c r="Q278" t="s">
        <v>49</v>
      </c>
      <c r="R278" t="s">
        <v>415</v>
      </c>
      <c r="S278" s="1">
        <v>44743</v>
      </c>
      <c r="T278" s="1">
        <v>45945</v>
      </c>
      <c r="U278" t="s">
        <v>51</v>
      </c>
      <c r="V278">
        <v>1</v>
      </c>
      <c r="W278" s="1">
        <v>45916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5787714</v>
      </c>
      <c r="AL278" t="s">
        <v>416</v>
      </c>
    </row>
    <row r="279" spans="1:38" x14ac:dyDescent="0.25">
      <c r="A279" s="1">
        <v>45918</v>
      </c>
      <c r="B279" s="1">
        <v>45915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648</v>
      </c>
      <c r="J279" t="s">
        <v>649</v>
      </c>
      <c r="M279" t="s">
        <v>650</v>
      </c>
      <c r="O279" t="s">
        <v>100</v>
      </c>
      <c r="P279" t="s">
        <v>101</v>
      </c>
      <c r="Q279" t="s">
        <v>49</v>
      </c>
      <c r="R279" t="s">
        <v>536</v>
      </c>
      <c r="S279" s="1">
        <v>45536</v>
      </c>
      <c r="T279" s="1">
        <v>45945</v>
      </c>
      <c r="U279" t="s">
        <v>51</v>
      </c>
      <c r="V279">
        <v>1</v>
      </c>
      <c r="W279" s="1">
        <v>45916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5787763</v>
      </c>
      <c r="AL279" t="s">
        <v>416</v>
      </c>
    </row>
    <row r="280" spans="1:38" x14ac:dyDescent="0.25">
      <c r="A280" s="1">
        <v>45918</v>
      </c>
      <c r="B280" s="1">
        <v>45915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651</v>
      </c>
      <c r="J280" t="s">
        <v>652</v>
      </c>
      <c r="M280" t="s">
        <v>406</v>
      </c>
      <c r="O280" t="s">
        <v>413</v>
      </c>
      <c r="P280" t="s">
        <v>414</v>
      </c>
      <c r="Q280" t="s">
        <v>49</v>
      </c>
      <c r="R280" t="s">
        <v>415</v>
      </c>
      <c r="S280" s="1">
        <v>44743</v>
      </c>
      <c r="T280" s="1">
        <v>45945</v>
      </c>
      <c r="U280" t="s">
        <v>51</v>
      </c>
      <c r="V280">
        <v>1</v>
      </c>
      <c r="W280" s="1">
        <v>45916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5787765</v>
      </c>
      <c r="AL280" t="s">
        <v>416</v>
      </c>
    </row>
    <row r="281" spans="1:38" x14ac:dyDescent="0.25">
      <c r="A281" s="1">
        <v>45918</v>
      </c>
      <c r="B281" s="1">
        <v>45915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653</v>
      </c>
      <c r="J281" t="s">
        <v>654</v>
      </c>
      <c r="M281" t="s">
        <v>406</v>
      </c>
      <c r="O281" t="s">
        <v>413</v>
      </c>
      <c r="P281" t="s">
        <v>414</v>
      </c>
      <c r="Q281" t="s">
        <v>49</v>
      </c>
      <c r="R281" t="s">
        <v>415</v>
      </c>
      <c r="S281" s="1">
        <v>44774</v>
      </c>
      <c r="T281" s="1">
        <v>45945</v>
      </c>
      <c r="U281" t="s">
        <v>51</v>
      </c>
      <c r="V281">
        <v>1</v>
      </c>
      <c r="W281" s="1">
        <v>45916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5787772</v>
      </c>
      <c r="AL281" t="s">
        <v>416</v>
      </c>
    </row>
    <row r="282" spans="1:38" x14ac:dyDescent="0.25">
      <c r="A282" s="1">
        <v>45918</v>
      </c>
      <c r="B282" s="1">
        <v>45915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655</v>
      </c>
      <c r="J282" t="s">
        <v>656</v>
      </c>
      <c r="M282" t="s">
        <v>406</v>
      </c>
      <c r="O282" t="s">
        <v>413</v>
      </c>
      <c r="P282" t="s">
        <v>414</v>
      </c>
      <c r="Q282" t="s">
        <v>49</v>
      </c>
      <c r="R282" t="s">
        <v>415</v>
      </c>
      <c r="S282" s="1">
        <v>44805</v>
      </c>
      <c r="T282" s="1">
        <v>45945</v>
      </c>
      <c r="U282" t="s">
        <v>51</v>
      </c>
      <c r="V282">
        <v>1</v>
      </c>
      <c r="W282" s="1">
        <v>45916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5787775</v>
      </c>
      <c r="AL282" t="s">
        <v>416</v>
      </c>
    </row>
    <row r="283" spans="1:38" x14ac:dyDescent="0.25">
      <c r="A283" s="1">
        <v>45918</v>
      </c>
      <c r="B283" s="1">
        <v>45915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657</v>
      </c>
      <c r="J283" t="s">
        <v>658</v>
      </c>
      <c r="M283" t="s">
        <v>406</v>
      </c>
      <c r="O283" t="s">
        <v>413</v>
      </c>
      <c r="P283" t="s">
        <v>414</v>
      </c>
      <c r="Q283" t="s">
        <v>49</v>
      </c>
      <c r="R283" t="s">
        <v>415</v>
      </c>
      <c r="S283" s="1">
        <v>44743</v>
      </c>
      <c r="T283" s="1">
        <v>45945</v>
      </c>
      <c r="U283" t="s">
        <v>51</v>
      </c>
      <c r="V283">
        <v>1</v>
      </c>
      <c r="W283" s="1">
        <v>45916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5787795</v>
      </c>
      <c r="AL283" t="s">
        <v>416</v>
      </c>
    </row>
    <row r="284" spans="1:38" x14ac:dyDescent="0.25">
      <c r="A284" s="1">
        <v>45918</v>
      </c>
      <c r="B284" s="1">
        <v>45915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659</v>
      </c>
      <c r="J284" t="s">
        <v>660</v>
      </c>
      <c r="M284" t="s">
        <v>406</v>
      </c>
      <c r="O284" t="s">
        <v>413</v>
      </c>
      <c r="P284" t="s">
        <v>414</v>
      </c>
      <c r="Q284" t="s">
        <v>49</v>
      </c>
      <c r="R284" t="s">
        <v>415</v>
      </c>
      <c r="S284" s="1">
        <v>44805</v>
      </c>
      <c r="T284" s="1">
        <v>45945</v>
      </c>
      <c r="U284" t="s">
        <v>51</v>
      </c>
      <c r="V284">
        <v>1</v>
      </c>
      <c r="W284" s="1">
        <v>45916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5787798</v>
      </c>
      <c r="AL284" t="s">
        <v>416</v>
      </c>
    </row>
    <row r="285" spans="1:38" x14ac:dyDescent="0.25">
      <c r="A285" s="1">
        <v>45918</v>
      </c>
      <c r="B285" s="1">
        <v>45915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661</v>
      </c>
      <c r="J285" t="s">
        <v>662</v>
      </c>
      <c r="M285" t="s">
        <v>406</v>
      </c>
      <c r="O285" t="s">
        <v>413</v>
      </c>
      <c r="P285" t="s">
        <v>414</v>
      </c>
      <c r="Q285" t="s">
        <v>49</v>
      </c>
      <c r="R285" t="s">
        <v>415</v>
      </c>
      <c r="S285" s="1">
        <v>44805</v>
      </c>
      <c r="T285" s="1">
        <v>45945</v>
      </c>
      <c r="U285" t="s">
        <v>51</v>
      </c>
      <c r="V285">
        <v>1</v>
      </c>
      <c r="W285" s="1">
        <v>45916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5787805</v>
      </c>
      <c r="AL285" t="s">
        <v>416</v>
      </c>
    </row>
    <row r="286" spans="1:38" x14ac:dyDescent="0.25">
      <c r="A286" s="1">
        <v>45918</v>
      </c>
      <c r="B286" s="1">
        <v>45915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663</v>
      </c>
      <c r="J286" t="s">
        <v>664</v>
      </c>
      <c r="M286" t="s">
        <v>406</v>
      </c>
      <c r="O286" t="s">
        <v>413</v>
      </c>
      <c r="P286" t="s">
        <v>414</v>
      </c>
      <c r="Q286" t="s">
        <v>49</v>
      </c>
      <c r="R286" t="s">
        <v>415</v>
      </c>
      <c r="S286" s="1">
        <v>44805</v>
      </c>
      <c r="T286" s="1">
        <v>45945</v>
      </c>
      <c r="U286" t="s">
        <v>51</v>
      </c>
      <c r="V286">
        <v>1</v>
      </c>
      <c r="W286" s="1">
        <v>45916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5787810</v>
      </c>
      <c r="AL286" t="s">
        <v>416</v>
      </c>
    </row>
    <row r="287" spans="1:38" x14ac:dyDescent="0.25">
      <c r="A287" s="1">
        <v>45918</v>
      </c>
      <c r="B287" s="1">
        <v>45915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665</v>
      </c>
      <c r="J287" t="s">
        <v>666</v>
      </c>
      <c r="M287" t="s">
        <v>406</v>
      </c>
      <c r="O287" t="s">
        <v>407</v>
      </c>
      <c r="P287" t="s">
        <v>408</v>
      </c>
      <c r="Q287" t="s">
        <v>49</v>
      </c>
      <c r="R287" t="s">
        <v>415</v>
      </c>
      <c r="S287" s="1">
        <v>44835</v>
      </c>
      <c r="T287" s="1">
        <v>45945</v>
      </c>
      <c r="U287" t="s">
        <v>51</v>
      </c>
      <c r="V287">
        <v>1</v>
      </c>
      <c r="W287" s="1">
        <v>45916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5787817</v>
      </c>
      <c r="AL287" t="s">
        <v>416</v>
      </c>
    </row>
    <row r="288" spans="1:38" x14ac:dyDescent="0.25">
      <c r="A288" s="1">
        <v>45918</v>
      </c>
      <c r="B288" s="1">
        <v>45915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667</v>
      </c>
      <c r="J288" t="s">
        <v>668</v>
      </c>
      <c r="M288" t="s">
        <v>406</v>
      </c>
      <c r="O288" t="s">
        <v>413</v>
      </c>
      <c r="P288" t="s">
        <v>414</v>
      </c>
      <c r="Q288" t="s">
        <v>49</v>
      </c>
      <c r="R288" t="s">
        <v>415</v>
      </c>
      <c r="S288" s="1">
        <v>44774</v>
      </c>
      <c r="T288" s="1">
        <v>45945</v>
      </c>
      <c r="U288" t="s">
        <v>51</v>
      </c>
      <c r="V288">
        <v>1</v>
      </c>
      <c r="W288" s="1">
        <v>45916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5787821</v>
      </c>
      <c r="AL288" t="s">
        <v>416</v>
      </c>
    </row>
    <row r="289" spans="1:38" x14ac:dyDescent="0.25">
      <c r="A289" s="1">
        <v>45918</v>
      </c>
      <c r="B289" s="1">
        <v>45915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669</v>
      </c>
      <c r="J289" t="s">
        <v>670</v>
      </c>
      <c r="M289" t="s">
        <v>406</v>
      </c>
      <c r="O289" t="s">
        <v>413</v>
      </c>
      <c r="P289" t="s">
        <v>414</v>
      </c>
      <c r="Q289" t="s">
        <v>49</v>
      </c>
      <c r="R289" t="s">
        <v>415</v>
      </c>
      <c r="S289" s="1">
        <v>44774</v>
      </c>
      <c r="T289" s="1">
        <v>45945</v>
      </c>
      <c r="U289" t="s">
        <v>51</v>
      </c>
      <c r="V289">
        <v>1</v>
      </c>
      <c r="W289" s="1">
        <v>45916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5787822</v>
      </c>
      <c r="AL289" t="s">
        <v>416</v>
      </c>
    </row>
    <row r="290" spans="1:38" x14ac:dyDescent="0.25">
      <c r="A290" s="1">
        <v>45918</v>
      </c>
      <c r="B290" s="1">
        <v>45915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671</v>
      </c>
      <c r="J290" t="s">
        <v>672</v>
      </c>
      <c r="M290" t="s">
        <v>406</v>
      </c>
      <c r="O290" t="s">
        <v>413</v>
      </c>
      <c r="P290" t="s">
        <v>414</v>
      </c>
      <c r="Q290" t="s">
        <v>49</v>
      </c>
      <c r="R290" t="s">
        <v>415</v>
      </c>
      <c r="S290" s="1">
        <v>44835</v>
      </c>
      <c r="T290" s="1">
        <v>45945</v>
      </c>
      <c r="U290" t="s">
        <v>51</v>
      </c>
      <c r="V290">
        <v>1</v>
      </c>
      <c r="W290" s="1">
        <v>45916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5787829</v>
      </c>
      <c r="AL290" t="s">
        <v>416</v>
      </c>
    </row>
    <row r="291" spans="1:38" x14ac:dyDescent="0.25">
      <c r="A291" s="1">
        <v>45918</v>
      </c>
      <c r="B291" s="1">
        <v>45915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673</v>
      </c>
      <c r="J291" t="s">
        <v>674</v>
      </c>
      <c r="M291" t="s">
        <v>406</v>
      </c>
      <c r="O291" t="s">
        <v>413</v>
      </c>
      <c r="P291" t="s">
        <v>414</v>
      </c>
      <c r="Q291" t="s">
        <v>49</v>
      </c>
      <c r="R291" t="s">
        <v>415</v>
      </c>
      <c r="S291" s="1">
        <v>44866</v>
      </c>
      <c r="T291" s="1">
        <v>45945</v>
      </c>
      <c r="U291" t="s">
        <v>51</v>
      </c>
      <c r="V291">
        <v>1</v>
      </c>
      <c r="W291" s="1">
        <v>45916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5787851</v>
      </c>
      <c r="AL291" t="s">
        <v>416</v>
      </c>
    </row>
    <row r="292" spans="1:38" x14ac:dyDescent="0.25">
      <c r="A292" s="1">
        <v>45918</v>
      </c>
      <c r="B292" s="1">
        <v>45915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675</v>
      </c>
      <c r="J292" t="s">
        <v>676</v>
      </c>
      <c r="M292" t="s">
        <v>406</v>
      </c>
      <c r="O292" t="s">
        <v>413</v>
      </c>
      <c r="P292" t="s">
        <v>414</v>
      </c>
      <c r="Q292" t="s">
        <v>49</v>
      </c>
      <c r="R292" t="s">
        <v>415</v>
      </c>
      <c r="S292" s="1">
        <v>44866</v>
      </c>
      <c r="T292" s="1">
        <v>45945</v>
      </c>
      <c r="U292" t="s">
        <v>51</v>
      </c>
      <c r="V292">
        <v>1</v>
      </c>
      <c r="W292" s="1">
        <v>45916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5787864</v>
      </c>
      <c r="AL292" t="s">
        <v>416</v>
      </c>
    </row>
    <row r="293" spans="1:38" x14ac:dyDescent="0.25">
      <c r="A293" s="1">
        <v>45918</v>
      </c>
      <c r="B293" s="1">
        <v>45915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677</v>
      </c>
      <c r="J293" t="s">
        <v>678</v>
      </c>
      <c r="M293" t="s">
        <v>406</v>
      </c>
      <c r="O293" t="s">
        <v>413</v>
      </c>
      <c r="P293" t="s">
        <v>414</v>
      </c>
      <c r="Q293" t="s">
        <v>49</v>
      </c>
      <c r="R293" t="s">
        <v>415</v>
      </c>
      <c r="S293" s="1">
        <v>44835</v>
      </c>
      <c r="T293" s="1">
        <v>45945</v>
      </c>
      <c r="U293" t="s">
        <v>51</v>
      </c>
      <c r="V293">
        <v>1</v>
      </c>
      <c r="W293" s="1">
        <v>45916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5787891</v>
      </c>
      <c r="AL293" t="s">
        <v>416</v>
      </c>
    </row>
    <row r="294" spans="1:38" x14ac:dyDescent="0.25">
      <c r="A294" s="1">
        <v>45918</v>
      </c>
      <c r="B294" s="1">
        <v>45915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679</v>
      </c>
      <c r="J294" t="s">
        <v>680</v>
      </c>
      <c r="M294" t="s">
        <v>406</v>
      </c>
      <c r="O294" t="s">
        <v>413</v>
      </c>
      <c r="P294" t="s">
        <v>414</v>
      </c>
      <c r="Q294" t="s">
        <v>49</v>
      </c>
      <c r="R294" t="s">
        <v>415</v>
      </c>
      <c r="S294" s="1">
        <v>44835</v>
      </c>
      <c r="T294" s="1">
        <v>45945</v>
      </c>
      <c r="U294" t="s">
        <v>51</v>
      </c>
      <c r="V294">
        <v>1</v>
      </c>
      <c r="W294" s="1">
        <v>45916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5787892</v>
      </c>
      <c r="AL294" t="s">
        <v>416</v>
      </c>
    </row>
    <row r="295" spans="1:38" x14ac:dyDescent="0.25">
      <c r="A295" s="1">
        <v>45918</v>
      </c>
      <c r="B295" s="1">
        <v>45915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681</v>
      </c>
      <c r="J295" t="s">
        <v>682</v>
      </c>
      <c r="M295" t="s">
        <v>406</v>
      </c>
      <c r="O295" t="s">
        <v>413</v>
      </c>
      <c r="P295" t="s">
        <v>414</v>
      </c>
      <c r="Q295" t="s">
        <v>49</v>
      </c>
      <c r="R295" t="s">
        <v>415</v>
      </c>
      <c r="S295" s="1">
        <v>44896</v>
      </c>
      <c r="T295" s="1">
        <v>45945</v>
      </c>
      <c r="U295" t="s">
        <v>51</v>
      </c>
      <c r="V295">
        <v>1</v>
      </c>
      <c r="W295" s="1">
        <v>45916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5787898</v>
      </c>
      <c r="AL295" t="s">
        <v>416</v>
      </c>
    </row>
    <row r="296" spans="1:38" x14ac:dyDescent="0.25">
      <c r="A296" s="1">
        <v>45918</v>
      </c>
      <c r="B296" s="1">
        <v>45915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683</v>
      </c>
      <c r="J296" t="s">
        <v>684</v>
      </c>
      <c r="M296" t="s">
        <v>406</v>
      </c>
      <c r="O296" t="s">
        <v>413</v>
      </c>
      <c r="P296" t="s">
        <v>414</v>
      </c>
      <c r="Q296" t="s">
        <v>49</v>
      </c>
      <c r="R296" t="s">
        <v>415</v>
      </c>
      <c r="S296" s="1">
        <v>44835</v>
      </c>
      <c r="T296" s="1">
        <v>45945</v>
      </c>
      <c r="U296" t="s">
        <v>51</v>
      </c>
      <c r="V296">
        <v>1</v>
      </c>
      <c r="W296" s="1">
        <v>45916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5787906</v>
      </c>
      <c r="AL296" t="s">
        <v>416</v>
      </c>
    </row>
    <row r="297" spans="1:38" x14ac:dyDescent="0.25">
      <c r="A297" s="1">
        <v>45918</v>
      </c>
      <c r="B297" s="1">
        <v>45915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685</v>
      </c>
      <c r="J297" t="s">
        <v>686</v>
      </c>
      <c r="M297" t="s">
        <v>406</v>
      </c>
      <c r="O297" t="s">
        <v>413</v>
      </c>
      <c r="P297" t="s">
        <v>414</v>
      </c>
      <c r="Q297" t="s">
        <v>49</v>
      </c>
      <c r="R297" t="s">
        <v>415</v>
      </c>
      <c r="S297" s="1">
        <v>44835</v>
      </c>
      <c r="T297" s="1">
        <v>45945</v>
      </c>
      <c r="U297" t="s">
        <v>51</v>
      </c>
      <c r="V297">
        <v>1</v>
      </c>
      <c r="W297" s="1">
        <v>45916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5787907</v>
      </c>
      <c r="AL297" t="s">
        <v>416</v>
      </c>
    </row>
    <row r="298" spans="1:38" x14ac:dyDescent="0.25">
      <c r="A298" s="1">
        <v>45918</v>
      </c>
      <c r="B298" s="1">
        <v>45915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687</v>
      </c>
      <c r="J298" t="s">
        <v>688</v>
      </c>
      <c r="M298" t="s">
        <v>406</v>
      </c>
      <c r="O298" t="s">
        <v>413</v>
      </c>
      <c r="P298" t="s">
        <v>414</v>
      </c>
      <c r="Q298" t="s">
        <v>49</v>
      </c>
      <c r="R298" t="s">
        <v>415</v>
      </c>
      <c r="S298" s="1">
        <v>45017</v>
      </c>
      <c r="T298" s="1">
        <v>45945</v>
      </c>
      <c r="U298" t="s">
        <v>51</v>
      </c>
      <c r="V298">
        <v>1</v>
      </c>
      <c r="W298" s="1">
        <v>45916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5787925</v>
      </c>
      <c r="AL298" t="s">
        <v>416</v>
      </c>
    </row>
    <row r="299" spans="1:38" x14ac:dyDescent="0.25">
      <c r="A299" s="1">
        <v>45918</v>
      </c>
      <c r="B299" s="1">
        <v>45915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689</v>
      </c>
      <c r="J299" t="s">
        <v>690</v>
      </c>
      <c r="M299" t="s">
        <v>406</v>
      </c>
      <c r="O299" t="s">
        <v>413</v>
      </c>
      <c r="P299" t="s">
        <v>414</v>
      </c>
      <c r="Q299" t="s">
        <v>49</v>
      </c>
      <c r="R299" t="s">
        <v>415</v>
      </c>
      <c r="S299" s="1">
        <v>44927</v>
      </c>
      <c r="T299" s="1">
        <v>45945</v>
      </c>
      <c r="U299" t="s">
        <v>51</v>
      </c>
      <c r="V299">
        <v>1</v>
      </c>
      <c r="W299" s="1">
        <v>45916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5787933</v>
      </c>
      <c r="AL299" t="s">
        <v>416</v>
      </c>
    </row>
    <row r="300" spans="1:38" x14ac:dyDescent="0.25">
      <c r="A300" s="1">
        <v>45918</v>
      </c>
      <c r="B300" s="1">
        <v>45915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691</v>
      </c>
      <c r="J300" t="s">
        <v>692</v>
      </c>
      <c r="M300" t="s">
        <v>406</v>
      </c>
      <c r="O300" t="s">
        <v>413</v>
      </c>
      <c r="P300" t="s">
        <v>414</v>
      </c>
      <c r="Q300" t="s">
        <v>49</v>
      </c>
      <c r="R300" t="s">
        <v>415</v>
      </c>
      <c r="S300" s="1">
        <v>44927</v>
      </c>
      <c r="T300" s="1">
        <v>45945</v>
      </c>
      <c r="U300" t="s">
        <v>51</v>
      </c>
      <c r="V300">
        <v>1</v>
      </c>
      <c r="W300" s="1">
        <v>45916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5787941</v>
      </c>
      <c r="AL300" t="s">
        <v>416</v>
      </c>
    </row>
    <row r="301" spans="1:38" x14ac:dyDescent="0.25">
      <c r="A301" s="1">
        <v>45918</v>
      </c>
      <c r="B301" s="1">
        <v>45915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693</v>
      </c>
      <c r="J301" t="s">
        <v>694</v>
      </c>
      <c r="M301" t="s">
        <v>406</v>
      </c>
      <c r="O301" t="s">
        <v>413</v>
      </c>
      <c r="P301" t="s">
        <v>414</v>
      </c>
      <c r="Q301" t="s">
        <v>49</v>
      </c>
      <c r="R301" t="s">
        <v>415</v>
      </c>
      <c r="S301" s="1">
        <v>44927</v>
      </c>
      <c r="T301" s="1">
        <v>45945</v>
      </c>
      <c r="U301" t="s">
        <v>51</v>
      </c>
      <c r="V301">
        <v>1</v>
      </c>
      <c r="W301" s="1">
        <v>45916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5787948</v>
      </c>
      <c r="AL301" t="s">
        <v>416</v>
      </c>
    </row>
    <row r="302" spans="1:38" x14ac:dyDescent="0.25">
      <c r="A302" s="1">
        <v>45918</v>
      </c>
      <c r="B302" s="1">
        <v>45915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695</v>
      </c>
      <c r="J302" t="s">
        <v>696</v>
      </c>
      <c r="M302" t="s">
        <v>406</v>
      </c>
      <c r="O302" t="s">
        <v>413</v>
      </c>
      <c r="P302" t="s">
        <v>414</v>
      </c>
      <c r="Q302" t="s">
        <v>49</v>
      </c>
      <c r="R302" t="s">
        <v>415</v>
      </c>
      <c r="S302" s="1">
        <v>44927</v>
      </c>
      <c r="T302" s="1">
        <v>45945</v>
      </c>
      <c r="U302" t="s">
        <v>51</v>
      </c>
      <c r="V302">
        <v>1</v>
      </c>
      <c r="W302" s="1">
        <v>45916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5787951</v>
      </c>
      <c r="AL302" t="s">
        <v>416</v>
      </c>
    </row>
    <row r="303" spans="1:38" x14ac:dyDescent="0.25">
      <c r="A303" s="1">
        <v>45918</v>
      </c>
      <c r="B303" s="1">
        <v>45915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697</v>
      </c>
      <c r="J303" t="s">
        <v>698</v>
      </c>
      <c r="M303" t="s">
        <v>406</v>
      </c>
      <c r="O303" t="s">
        <v>413</v>
      </c>
      <c r="P303" t="s">
        <v>414</v>
      </c>
      <c r="Q303" t="s">
        <v>49</v>
      </c>
      <c r="R303" t="s">
        <v>415</v>
      </c>
      <c r="S303" s="1">
        <v>44927</v>
      </c>
      <c r="T303" s="1">
        <v>45945</v>
      </c>
      <c r="U303" t="s">
        <v>51</v>
      </c>
      <c r="V303">
        <v>1</v>
      </c>
      <c r="W303" s="1">
        <v>45916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5787952</v>
      </c>
      <c r="AL303" t="s">
        <v>416</v>
      </c>
    </row>
    <row r="304" spans="1:38" x14ac:dyDescent="0.25">
      <c r="A304" s="1">
        <v>45918</v>
      </c>
      <c r="B304" s="1">
        <v>45915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699</v>
      </c>
      <c r="J304" t="s">
        <v>700</v>
      </c>
      <c r="M304" t="s">
        <v>406</v>
      </c>
      <c r="O304" t="s">
        <v>413</v>
      </c>
      <c r="P304" t="s">
        <v>414</v>
      </c>
      <c r="Q304" t="s">
        <v>49</v>
      </c>
      <c r="R304" t="s">
        <v>415</v>
      </c>
      <c r="S304" s="1">
        <v>45658</v>
      </c>
      <c r="T304" s="1">
        <v>45945</v>
      </c>
      <c r="U304" t="s">
        <v>51</v>
      </c>
      <c r="V304">
        <v>1</v>
      </c>
      <c r="W304" s="1">
        <v>45916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5787955</v>
      </c>
      <c r="AL304" t="s">
        <v>416</v>
      </c>
    </row>
    <row r="305" spans="1:38" x14ac:dyDescent="0.25">
      <c r="A305" s="1">
        <v>45918</v>
      </c>
      <c r="B305" s="1">
        <v>45915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701</v>
      </c>
      <c r="J305" t="s">
        <v>702</v>
      </c>
      <c r="M305" t="s">
        <v>406</v>
      </c>
      <c r="O305" t="s">
        <v>413</v>
      </c>
      <c r="P305" t="s">
        <v>414</v>
      </c>
      <c r="Q305" t="s">
        <v>49</v>
      </c>
      <c r="R305" t="s">
        <v>415</v>
      </c>
      <c r="S305" s="1">
        <v>44927</v>
      </c>
      <c r="T305" s="1">
        <v>45945</v>
      </c>
      <c r="U305" t="s">
        <v>51</v>
      </c>
      <c r="V305">
        <v>1</v>
      </c>
      <c r="W305" s="1">
        <v>45916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5787972</v>
      </c>
      <c r="AL305" t="s">
        <v>416</v>
      </c>
    </row>
    <row r="306" spans="1:38" x14ac:dyDescent="0.25">
      <c r="A306" s="1">
        <v>45918</v>
      </c>
      <c r="B306" s="1">
        <v>45915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703</v>
      </c>
      <c r="J306" t="s">
        <v>704</v>
      </c>
      <c r="M306" t="s">
        <v>406</v>
      </c>
      <c r="O306" t="s">
        <v>413</v>
      </c>
      <c r="P306" t="s">
        <v>414</v>
      </c>
      <c r="Q306" t="s">
        <v>49</v>
      </c>
      <c r="R306" t="s">
        <v>415</v>
      </c>
      <c r="S306" s="1">
        <v>44927</v>
      </c>
      <c r="T306" s="1">
        <v>45945</v>
      </c>
      <c r="U306" t="s">
        <v>51</v>
      </c>
      <c r="V306">
        <v>1</v>
      </c>
      <c r="W306" s="1">
        <v>45916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5788015</v>
      </c>
      <c r="AL306" t="s">
        <v>416</v>
      </c>
    </row>
    <row r="307" spans="1:38" x14ac:dyDescent="0.25">
      <c r="A307" s="1">
        <v>45918</v>
      </c>
      <c r="B307" s="1">
        <v>45915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705</v>
      </c>
      <c r="J307" t="s">
        <v>706</v>
      </c>
      <c r="M307" t="s">
        <v>406</v>
      </c>
      <c r="O307" t="s">
        <v>413</v>
      </c>
      <c r="P307" t="s">
        <v>414</v>
      </c>
      <c r="Q307" t="s">
        <v>49</v>
      </c>
      <c r="R307" t="s">
        <v>415</v>
      </c>
      <c r="S307" s="1">
        <v>44958</v>
      </c>
      <c r="T307" s="1">
        <v>45945</v>
      </c>
      <c r="U307" t="s">
        <v>51</v>
      </c>
      <c r="V307">
        <v>1</v>
      </c>
      <c r="W307" s="1">
        <v>45916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5788033</v>
      </c>
      <c r="AL307" t="s">
        <v>416</v>
      </c>
    </row>
    <row r="308" spans="1:38" x14ac:dyDescent="0.25">
      <c r="A308" s="1">
        <v>45918</v>
      </c>
      <c r="B308" s="1">
        <v>45915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707</v>
      </c>
      <c r="J308" t="s">
        <v>708</v>
      </c>
      <c r="M308" t="s">
        <v>406</v>
      </c>
      <c r="O308" t="s">
        <v>413</v>
      </c>
      <c r="P308" t="s">
        <v>414</v>
      </c>
      <c r="Q308" t="s">
        <v>49</v>
      </c>
      <c r="R308" t="s">
        <v>415</v>
      </c>
      <c r="S308" s="1">
        <v>44927</v>
      </c>
      <c r="T308" s="1">
        <v>45945</v>
      </c>
      <c r="U308" t="s">
        <v>51</v>
      </c>
      <c r="V308">
        <v>1</v>
      </c>
      <c r="W308" s="1">
        <v>45916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5788039</v>
      </c>
      <c r="AL308" t="s">
        <v>416</v>
      </c>
    </row>
    <row r="309" spans="1:38" x14ac:dyDescent="0.25">
      <c r="A309" s="1">
        <v>45918</v>
      </c>
      <c r="B309" s="1">
        <v>45915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709</v>
      </c>
      <c r="J309" t="s">
        <v>710</v>
      </c>
      <c r="M309" t="s">
        <v>406</v>
      </c>
      <c r="O309" t="s">
        <v>413</v>
      </c>
      <c r="P309" t="s">
        <v>414</v>
      </c>
      <c r="Q309" t="s">
        <v>49</v>
      </c>
      <c r="R309" t="s">
        <v>415</v>
      </c>
      <c r="S309" s="1">
        <v>44927</v>
      </c>
      <c r="T309" s="1">
        <v>45945</v>
      </c>
      <c r="U309" t="s">
        <v>51</v>
      </c>
      <c r="V309">
        <v>1</v>
      </c>
      <c r="W309" s="1">
        <v>45916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5788114</v>
      </c>
      <c r="AL309" t="s">
        <v>416</v>
      </c>
    </row>
    <row r="310" spans="1:38" x14ac:dyDescent="0.25">
      <c r="A310" s="1">
        <v>45918</v>
      </c>
      <c r="B310" s="1">
        <v>45915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711</v>
      </c>
      <c r="J310" t="s">
        <v>712</v>
      </c>
      <c r="M310" t="s">
        <v>406</v>
      </c>
      <c r="O310" t="s">
        <v>413</v>
      </c>
      <c r="P310" t="s">
        <v>414</v>
      </c>
      <c r="Q310" t="s">
        <v>49</v>
      </c>
      <c r="R310" t="s">
        <v>415</v>
      </c>
      <c r="S310" s="1">
        <v>44927</v>
      </c>
      <c r="T310" s="1">
        <v>45945</v>
      </c>
      <c r="U310" t="s">
        <v>51</v>
      </c>
      <c r="V310">
        <v>1</v>
      </c>
      <c r="W310" s="1">
        <v>45916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5788158</v>
      </c>
      <c r="AL310" t="s">
        <v>416</v>
      </c>
    </row>
    <row r="311" spans="1:38" x14ac:dyDescent="0.25">
      <c r="A311" s="1">
        <v>45918</v>
      </c>
      <c r="B311" s="1">
        <v>45915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713</v>
      </c>
      <c r="J311" t="s">
        <v>714</v>
      </c>
      <c r="M311" t="s">
        <v>406</v>
      </c>
      <c r="O311" t="s">
        <v>413</v>
      </c>
      <c r="P311" t="s">
        <v>414</v>
      </c>
      <c r="Q311" t="s">
        <v>49</v>
      </c>
      <c r="R311" t="s">
        <v>415</v>
      </c>
      <c r="S311" s="1">
        <v>44927</v>
      </c>
      <c r="T311" s="1">
        <v>45945</v>
      </c>
      <c r="U311" t="s">
        <v>51</v>
      </c>
      <c r="V311">
        <v>1</v>
      </c>
      <c r="W311" s="1">
        <v>45916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5788170</v>
      </c>
      <c r="AL311" t="s">
        <v>416</v>
      </c>
    </row>
    <row r="312" spans="1:38" x14ac:dyDescent="0.25">
      <c r="A312" s="1">
        <v>45918</v>
      </c>
      <c r="B312" s="1">
        <v>45915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715</v>
      </c>
      <c r="J312" t="s">
        <v>716</v>
      </c>
      <c r="M312" t="s">
        <v>406</v>
      </c>
      <c r="O312" t="s">
        <v>413</v>
      </c>
      <c r="P312" t="s">
        <v>414</v>
      </c>
      <c r="Q312" t="s">
        <v>49</v>
      </c>
      <c r="R312" t="s">
        <v>415</v>
      </c>
      <c r="S312" s="1">
        <v>44927</v>
      </c>
      <c r="T312" s="1">
        <v>45945</v>
      </c>
      <c r="U312" t="s">
        <v>51</v>
      </c>
      <c r="V312">
        <v>1</v>
      </c>
      <c r="W312" s="1">
        <v>45916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5788199</v>
      </c>
      <c r="AL312" t="s">
        <v>416</v>
      </c>
    </row>
    <row r="313" spans="1:38" x14ac:dyDescent="0.25">
      <c r="A313" s="1">
        <v>45918</v>
      </c>
      <c r="B313" s="1">
        <v>45915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717</v>
      </c>
      <c r="J313" t="s">
        <v>718</v>
      </c>
      <c r="M313" t="s">
        <v>406</v>
      </c>
      <c r="O313" t="s">
        <v>413</v>
      </c>
      <c r="P313" t="s">
        <v>414</v>
      </c>
      <c r="Q313" t="s">
        <v>49</v>
      </c>
      <c r="R313" t="s">
        <v>415</v>
      </c>
      <c r="S313" s="1">
        <v>44927</v>
      </c>
      <c r="T313" s="1">
        <v>45945</v>
      </c>
      <c r="U313" t="s">
        <v>51</v>
      </c>
      <c r="V313">
        <v>1</v>
      </c>
      <c r="W313" s="1">
        <v>45916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5788201</v>
      </c>
      <c r="AL313" t="s">
        <v>416</v>
      </c>
    </row>
    <row r="314" spans="1:38" x14ac:dyDescent="0.25">
      <c r="A314" s="1">
        <v>45918</v>
      </c>
      <c r="B314" s="1">
        <v>45915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719</v>
      </c>
      <c r="J314" t="s">
        <v>720</v>
      </c>
      <c r="M314" t="s">
        <v>406</v>
      </c>
      <c r="O314" t="s">
        <v>413</v>
      </c>
      <c r="P314" t="s">
        <v>414</v>
      </c>
      <c r="Q314" t="s">
        <v>49</v>
      </c>
      <c r="R314" t="s">
        <v>415</v>
      </c>
      <c r="S314" s="1">
        <v>44986</v>
      </c>
      <c r="T314" s="1">
        <v>45945</v>
      </c>
      <c r="U314" t="s">
        <v>51</v>
      </c>
      <c r="V314">
        <v>1</v>
      </c>
      <c r="W314" s="1">
        <v>45916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5788204</v>
      </c>
      <c r="AL314" t="s">
        <v>416</v>
      </c>
    </row>
    <row r="315" spans="1:38" x14ac:dyDescent="0.25">
      <c r="A315" s="1">
        <v>45918</v>
      </c>
      <c r="B315" s="1">
        <v>45915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721</v>
      </c>
      <c r="J315" t="s">
        <v>722</v>
      </c>
      <c r="M315" t="s">
        <v>406</v>
      </c>
      <c r="O315" t="s">
        <v>413</v>
      </c>
      <c r="P315" t="s">
        <v>414</v>
      </c>
      <c r="Q315" t="s">
        <v>49</v>
      </c>
      <c r="R315" t="s">
        <v>415</v>
      </c>
      <c r="S315" s="1">
        <v>44927</v>
      </c>
      <c r="T315" s="1">
        <v>45945</v>
      </c>
      <c r="U315" t="s">
        <v>51</v>
      </c>
      <c r="V315">
        <v>1</v>
      </c>
      <c r="W315" s="1">
        <v>45916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5788205</v>
      </c>
      <c r="AL315" t="s">
        <v>416</v>
      </c>
    </row>
    <row r="316" spans="1:38" x14ac:dyDescent="0.25">
      <c r="A316" s="1">
        <v>45918</v>
      </c>
      <c r="B316" s="1">
        <v>45915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723</v>
      </c>
      <c r="J316" t="s">
        <v>724</v>
      </c>
      <c r="M316" t="s">
        <v>406</v>
      </c>
      <c r="O316" t="s">
        <v>413</v>
      </c>
      <c r="P316" t="s">
        <v>414</v>
      </c>
      <c r="Q316" t="s">
        <v>49</v>
      </c>
      <c r="R316" t="s">
        <v>415</v>
      </c>
      <c r="S316" s="1">
        <v>44927</v>
      </c>
      <c r="T316" s="1">
        <v>45945</v>
      </c>
      <c r="U316" t="s">
        <v>51</v>
      </c>
      <c r="V316">
        <v>1</v>
      </c>
      <c r="W316" s="1">
        <v>45916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5788207</v>
      </c>
      <c r="AL316" t="s">
        <v>416</v>
      </c>
    </row>
    <row r="317" spans="1:38" x14ac:dyDescent="0.25">
      <c r="A317" s="1">
        <v>45918</v>
      </c>
      <c r="B317" s="1">
        <v>45915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725</v>
      </c>
      <c r="J317" t="s">
        <v>726</v>
      </c>
      <c r="M317" t="s">
        <v>406</v>
      </c>
      <c r="O317" t="s">
        <v>413</v>
      </c>
      <c r="P317" t="s">
        <v>414</v>
      </c>
      <c r="Q317" t="s">
        <v>49</v>
      </c>
      <c r="R317" t="s">
        <v>415</v>
      </c>
      <c r="S317" s="1">
        <v>44927</v>
      </c>
      <c r="T317" s="1">
        <v>45945</v>
      </c>
      <c r="U317" t="s">
        <v>51</v>
      </c>
      <c r="V317">
        <v>1</v>
      </c>
      <c r="W317" s="1">
        <v>45916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5788212</v>
      </c>
      <c r="AL317" t="s">
        <v>416</v>
      </c>
    </row>
    <row r="318" spans="1:38" x14ac:dyDescent="0.25">
      <c r="A318" s="1">
        <v>45918</v>
      </c>
      <c r="B318" s="1">
        <v>45915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727</v>
      </c>
      <c r="J318" t="s">
        <v>728</v>
      </c>
      <c r="M318" t="s">
        <v>406</v>
      </c>
      <c r="O318" t="s">
        <v>413</v>
      </c>
      <c r="P318" t="s">
        <v>414</v>
      </c>
      <c r="Q318" t="s">
        <v>49</v>
      </c>
      <c r="R318" t="s">
        <v>415</v>
      </c>
      <c r="S318" s="1">
        <v>44927</v>
      </c>
      <c r="T318" s="1">
        <v>45945</v>
      </c>
      <c r="U318" t="s">
        <v>51</v>
      </c>
      <c r="V318">
        <v>1</v>
      </c>
      <c r="W318" s="1">
        <v>45916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5788213</v>
      </c>
      <c r="AL318" t="s">
        <v>416</v>
      </c>
    </row>
    <row r="319" spans="1:38" x14ac:dyDescent="0.25">
      <c r="A319" s="1">
        <v>45918</v>
      </c>
      <c r="B319" s="1">
        <v>45915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729</v>
      </c>
      <c r="J319" t="s">
        <v>730</v>
      </c>
      <c r="M319" t="s">
        <v>406</v>
      </c>
      <c r="O319" t="s">
        <v>413</v>
      </c>
      <c r="P319" t="s">
        <v>414</v>
      </c>
      <c r="Q319" t="s">
        <v>49</v>
      </c>
      <c r="R319" t="s">
        <v>415</v>
      </c>
      <c r="S319" s="1">
        <v>44927</v>
      </c>
      <c r="T319" s="1">
        <v>45945</v>
      </c>
      <c r="U319" t="s">
        <v>51</v>
      </c>
      <c r="V319">
        <v>1</v>
      </c>
      <c r="W319" s="1">
        <v>45916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5788218</v>
      </c>
      <c r="AL319" t="s">
        <v>416</v>
      </c>
    </row>
    <row r="320" spans="1:38" x14ac:dyDescent="0.25">
      <c r="A320" s="1">
        <v>45918</v>
      </c>
      <c r="B320" s="1">
        <v>45915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731</v>
      </c>
      <c r="J320" t="s">
        <v>732</v>
      </c>
      <c r="M320" t="s">
        <v>406</v>
      </c>
      <c r="O320" t="s">
        <v>413</v>
      </c>
      <c r="P320" t="s">
        <v>414</v>
      </c>
      <c r="Q320" t="s">
        <v>49</v>
      </c>
      <c r="R320" t="s">
        <v>415</v>
      </c>
      <c r="S320" s="1">
        <v>44927</v>
      </c>
      <c r="T320" s="1">
        <v>45945</v>
      </c>
      <c r="U320" t="s">
        <v>51</v>
      </c>
      <c r="V320">
        <v>1</v>
      </c>
      <c r="W320" s="1">
        <v>45916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5788228</v>
      </c>
      <c r="AL320" t="s">
        <v>416</v>
      </c>
    </row>
    <row r="321" spans="1:38" x14ac:dyDescent="0.25">
      <c r="A321" s="1">
        <v>45918</v>
      </c>
      <c r="B321" s="1">
        <v>45915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733</v>
      </c>
      <c r="J321" t="s">
        <v>734</v>
      </c>
      <c r="M321" t="s">
        <v>406</v>
      </c>
      <c r="O321" t="s">
        <v>413</v>
      </c>
      <c r="P321" t="s">
        <v>414</v>
      </c>
      <c r="Q321" t="s">
        <v>49</v>
      </c>
      <c r="R321" t="s">
        <v>415</v>
      </c>
      <c r="S321" s="1">
        <v>44927</v>
      </c>
      <c r="T321" s="1">
        <v>45945</v>
      </c>
      <c r="U321" t="s">
        <v>51</v>
      </c>
      <c r="V321">
        <v>1</v>
      </c>
      <c r="W321" s="1">
        <v>45916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5788237</v>
      </c>
      <c r="AL321" t="s">
        <v>416</v>
      </c>
    </row>
    <row r="322" spans="1:38" x14ac:dyDescent="0.25">
      <c r="A322" s="1">
        <v>45918</v>
      </c>
      <c r="B322" s="1">
        <v>45915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735</v>
      </c>
      <c r="J322" t="s">
        <v>736</v>
      </c>
      <c r="M322" t="s">
        <v>406</v>
      </c>
      <c r="O322" t="s">
        <v>413</v>
      </c>
      <c r="P322" t="s">
        <v>414</v>
      </c>
      <c r="Q322" t="s">
        <v>49</v>
      </c>
      <c r="R322" t="s">
        <v>415</v>
      </c>
      <c r="S322" s="1">
        <v>45658</v>
      </c>
      <c r="T322" s="1">
        <v>45945</v>
      </c>
      <c r="U322" t="s">
        <v>51</v>
      </c>
      <c r="V322">
        <v>1</v>
      </c>
      <c r="W322" s="1">
        <v>45916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5788239</v>
      </c>
      <c r="AL322" t="s">
        <v>416</v>
      </c>
    </row>
    <row r="323" spans="1:38" x14ac:dyDescent="0.25">
      <c r="A323" s="1">
        <v>45918</v>
      </c>
      <c r="B323" s="1">
        <v>45915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737</v>
      </c>
      <c r="J323" t="s">
        <v>738</v>
      </c>
      <c r="M323" t="s">
        <v>406</v>
      </c>
      <c r="O323" t="s">
        <v>413</v>
      </c>
      <c r="P323" t="s">
        <v>414</v>
      </c>
      <c r="Q323" t="s">
        <v>49</v>
      </c>
      <c r="R323" t="s">
        <v>415</v>
      </c>
      <c r="S323" s="1">
        <v>44958</v>
      </c>
      <c r="T323" s="1">
        <v>45945</v>
      </c>
      <c r="U323" t="s">
        <v>51</v>
      </c>
      <c r="V323">
        <v>1</v>
      </c>
      <c r="W323" s="1">
        <v>45916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5788288</v>
      </c>
      <c r="AL323" t="s">
        <v>416</v>
      </c>
    </row>
    <row r="324" spans="1:38" x14ac:dyDescent="0.25">
      <c r="A324" s="1">
        <v>45918</v>
      </c>
      <c r="B324" s="1">
        <v>45915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739</v>
      </c>
      <c r="J324" t="s">
        <v>740</v>
      </c>
      <c r="M324" t="s">
        <v>406</v>
      </c>
      <c r="O324" t="s">
        <v>413</v>
      </c>
      <c r="P324" t="s">
        <v>414</v>
      </c>
      <c r="Q324" t="s">
        <v>49</v>
      </c>
      <c r="R324" t="s">
        <v>415</v>
      </c>
      <c r="S324" s="1">
        <v>44986</v>
      </c>
      <c r="T324" s="1">
        <v>45945</v>
      </c>
      <c r="U324" t="s">
        <v>51</v>
      </c>
      <c r="V324">
        <v>1</v>
      </c>
      <c r="W324" s="1">
        <v>45916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5788289</v>
      </c>
      <c r="AL324" t="s">
        <v>416</v>
      </c>
    </row>
    <row r="325" spans="1:38" x14ac:dyDescent="0.25">
      <c r="A325" s="1">
        <v>45918</v>
      </c>
      <c r="B325" s="1">
        <v>45915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741</v>
      </c>
      <c r="J325" t="s">
        <v>742</v>
      </c>
      <c r="M325" t="s">
        <v>406</v>
      </c>
      <c r="O325" t="s">
        <v>413</v>
      </c>
      <c r="P325" t="s">
        <v>414</v>
      </c>
      <c r="Q325" t="s">
        <v>49</v>
      </c>
      <c r="R325" t="s">
        <v>415</v>
      </c>
      <c r="S325" s="1">
        <v>44958</v>
      </c>
      <c r="T325" s="1">
        <v>45945</v>
      </c>
      <c r="U325" t="s">
        <v>51</v>
      </c>
      <c r="V325">
        <v>1</v>
      </c>
      <c r="W325" s="1">
        <v>45916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5788290</v>
      </c>
      <c r="AL325" t="s">
        <v>416</v>
      </c>
    </row>
    <row r="326" spans="1:38" x14ac:dyDescent="0.25">
      <c r="A326" s="1">
        <v>45918</v>
      </c>
      <c r="B326" s="1">
        <v>45915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743</v>
      </c>
      <c r="J326" t="s">
        <v>744</v>
      </c>
      <c r="M326" t="s">
        <v>406</v>
      </c>
      <c r="O326" t="s">
        <v>413</v>
      </c>
      <c r="P326" t="s">
        <v>414</v>
      </c>
      <c r="Q326" t="s">
        <v>49</v>
      </c>
      <c r="R326" t="s">
        <v>415</v>
      </c>
      <c r="S326" s="1">
        <v>44958</v>
      </c>
      <c r="T326" s="1">
        <v>45945</v>
      </c>
      <c r="U326" t="s">
        <v>51</v>
      </c>
      <c r="V326">
        <v>1</v>
      </c>
      <c r="W326" s="1">
        <v>45916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5788298</v>
      </c>
      <c r="AL326" t="s">
        <v>416</v>
      </c>
    </row>
    <row r="327" spans="1:38" x14ac:dyDescent="0.25">
      <c r="A327" s="1">
        <v>45918</v>
      </c>
      <c r="B327" s="1">
        <v>45915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745</v>
      </c>
      <c r="J327" t="s">
        <v>746</v>
      </c>
      <c r="M327" t="s">
        <v>406</v>
      </c>
      <c r="O327" t="s">
        <v>413</v>
      </c>
      <c r="P327" t="s">
        <v>414</v>
      </c>
      <c r="Q327" t="s">
        <v>49</v>
      </c>
      <c r="R327" t="s">
        <v>415</v>
      </c>
      <c r="S327" s="1">
        <v>44958</v>
      </c>
      <c r="T327" s="1">
        <v>45945</v>
      </c>
      <c r="U327" t="s">
        <v>51</v>
      </c>
      <c r="V327">
        <v>1</v>
      </c>
      <c r="W327" s="1">
        <v>45916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5788299</v>
      </c>
      <c r="AL327" t="s">
        <v>416</v>
      </c>
    </row>
    <row r="328" spans="1:38" x14ac:dyDescent="0.25">
      <c r="A328" s="1">
        <v>45918</v>
      </c>
      <c r="B328" s="1">
        <v>45915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747</v>
      </c>
      <c r="J328" t="s">
        <v>748</v>
      </c>
      <c r="M328" t="s">
        <v>406</v>
      </c>
      <c r="O328" t="s">
        <v>413</v>
      </c>
      <c r="P328" t="s">
        <v>414</v>
      </c>
      <c r="Q328" t="s">
        <v>49</v>
      </c>
      <c r="R328" t="s">
        <v>415</v>
      </c>
      <c r="S328" s="1">
        <v>44986</v>
      </c>
      <c r="T328" s="1">
        <v>45945</v>
      </c>
      <c r="U328" t="s">
        <v>51</v>
      </c>
      <c r="V328">
        <v>1</v>
      </c>
      <c r="W328" s="1">
        <v>45916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5788319</v>
      </c>
      <c r="AL328" t="s">
        <v>416</v>
      </c>
    </row>
    <row r="329" spans="1:38" x14ac:dyDescent="0.25">
      <c r="A329" s="1">
        <v>45918</v>
      </c>
      <c r="B329" s="1">
        <v>45915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749</v>
      </c>
      <c r="J329" t="s">
        <v>750</v>
      </c>
      <c r="M329" t="s">
        <v>406</v>
      </c>
      <c r="O329" t="s">
        <v>413</v>
      </c>
      <c r="P329" t="s">
        <v>414</v>
      </c>
      <c r="Q329" t="s">
        <v>49</v>
      </c>
      <c r="R329" t="s">
        <v>415</v>
      </c>
      <c r="S329" s="1">
        <v>45047</v>
      </c>
      <c r="T329" s="1">
        <v>45945</v>
      </c>
      <c r="U329" t="s">
        <v>51</v>
      </c>
      <c r="V329">
        <v>1</v>
      </c>
      <c r="W329" s="1">
        <v>45916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5788325</v>
      </c>
      <c r="AL329" t="s">
        <v>416</v>
      </c>
    </row>
    <row r="330" spans="1:38" x14ac:dyDescent="0.25">
      <c r="A330" s="1">
        <v>45918</v>
      </c>
      <c r="B330" s="1">
        <v>45915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751</v>
      </c>
      <c r="J330" t="s">
        <v>752</v>
      </c>
      <c r="M330" t="s">
        <v>406</v>
      </c>
      <c r="O330" t="s">
        <v>413</v>
      </c>
      <c r="P330" t="s">
        <v>414</v>
      </c>
      <c r="Q330" t="s">
        <v>49</v>
      </c>
      <c r="R330" t="s">
        <v>415</v>
      </c>
      <c r="S330" s="1">
        <v>44986</v>
      </c>
      <c r="T330" s="1">
        <v>45945</v>
      </c>
      <c r="U330" t="s">
        <v>51</v>
      </c>
      <c r="V330">
        <v>1</v>
      </c>
      <c r="W330" s="1">
        <v>45916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5788332</v>
      </c>
      <c r="AL330" t="s">
        <v>416</v>
      </c>
    </row>
    <row r="331" spans="1:38" x14ac:dyDescent="0.25">
      <c r="A331" s="1">
        <v>45918</v>
      </c>
      <c r="B331" s="1">
        <v>45915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753</v>
      </c>
      <c r="J331" t="s">
        <v>754</v>
      </c>
      <c r="M331" t="s">
        <v>406</v>
      </c>
      <c r="O331" t="s">
        <v>413</v>
      </c>
      <c r="P331" t="s">
        <v>414</v>
      </c>
      <c r="Q331" t="s">
        <v>49</v>
      </c>
      <c r="R331" t="s">
        <v>415</v>
      </c>
      <c r="S331" s="1">
        <v>45658</v>
      </c>
      <c r="T331" s="1">
        <v>45945</v>
      </c>
      <c r="U331" t="s">
        <v>51</v>
      </c>
      <c r="V331">
        <v>1</v>
      </c>
      <c r="W331" s="1">
        <v>45916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5788333</v>
      </c>
      <c r="AL331" t="s">
        <v>416</v>
      </c>
    </row>
    <row r="332" spans="1:38" x14ac:dyDescent="0.25">
      <c r="A332" s="1">
        <v>45918</v>
      </c>
      <c r="B332" s="1">
        <v>45915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755</v>
      </c>
      <c r="J332" t="s">
        <v>756</v>
      </c>
      <c r="M332" t="s">
        <v>406</v>
      </c>
      <c r="O332" t="s">
        <v>413</v>
      </c>
      <c r="P332" t="s">
        <v>414</v>
      </c>
      <c r="Q332" t="s">
        <v>49</v>
      </c>
      <c r="R332" t="s">
        <v>415</v>
      </c>
      <c r="S332" s="1">
        <v>44986</v>
      </c>
      <c r="T332" s="1">
        <v>45945</v>
      </c>
      <c r="U332" t="s">
        <v>51</v>
      </c>
      <c r="V332">
        <v>1</v>
      </c>
      <c r="W332" s="1">
        <v>45916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5788337</v>
      </c>
      <c r="AL332" t="s">
        <v>416</v>
      </c>
    </row>
    <row r="333" spans="1:38" x14ac:dyDescent="0.25">
      <c r="A333" s="1">
        <v>45918</v>
      </c>
      <c r="B333" s="1">
        <v>45915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757</v>
      </c>
      <c r="J333" t="s">
        <v>758</v>
      </c>
      <c r="M333" t="s">
        <v>406</v>
      </c>
      <c r="O333" t="s">
        <v>413</v>
      </c>
      <c r="P333" t="s">
        <v>414</v>
      </c>
      <c r="Q333" t="s">
        <v>49</v>
      </c>
      <c r="R333" t="s">
        <v>415</v>
      </c>
      <c r="S333" s="1">
        <v>44986</v>
      </c>
      <c r="T333" s="1">
        <v>45945</v>
      </c>
      <c r="U333" t="s">
        <v>51</v>
      </c>
      <c r="V333">
        <v>1</v>
      </c>
      <c r="W333" s="1">
        <v>45916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5788341</v>
      </c>
      <c r="AL333" t="s">
        <v>416</v>
      </c>
    </row>
    <row r="334" spans="1:38" x14ac:dyDescent="0.25">
      <c r="A334" s="1">
        <v>45918</v>
      </c>
      <c r="B334" s="1">
        <v>45915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759</v>
      </c>
      <c r="J334" t="s">
        <v>760</v>
      </c>
      <c r="M334" t="s">
        <v>406</v>
      </c>
      <c r="O334" t="s">
        <v>413</v>
      </c>
      <c r="P334" t="s">
        <v>414</v>
      </c>
      <c r="Q334" t="s">
        <v>49</v>
      </c>
      <c r="R334" t="s">
        <v>415</v>
      </c>
      <c r="S334" s="1">
        <v>45017</v>
      </c>
      <c r="T334" s="1">
        <v>45945</v>
      </c>
      <c r="U334" t="s">
        <v>51</v>
      </c>
      <c r="V334">
        <v>1</v>
      </c>
      <c r="W334" s="1">
        <v>45916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5788359</v>
      </c>
      <c r="AL334" t="s">
        <v>416</v>
      </c>
    </row>
    <row r="335" spans="1:38" x14ac:dyDescent="0.25">
      <c r="A335" s="1">
        <v>45918</v>
      </c>
      <c r="B335" s="1">
        <v>45915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761</v>
      </c>
      <c r="J335" t="s">
        <v>762</v>
      </c>
      <c r="M335" t="s">
        <v>406</v>
      </c>
      <c r="O335" t="s">
        <v>413</v>
      </c>
      <c r="P335" t="s">
        <v>414</v>
      </c>
      <c r="Q335" t="s">
        <v>49</v>
      </c>
      <c r="R335" t="s">
        <v>415</v>
      </c>
      <c r="S335" s="1">
        <v>45017</v>
      </c>
      <c r="T335" s="1">
        <v>45945</v>
      </c>
      <c r="U335" t="s">
        <v>51</v>
      </c>
      <c r="V335">
        <v>1</v>
      </c>
      <c r="W335" s="1">
        <v>45916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5788364</v>
      </c>
      <c r="AL335" t="s">
        <v>416</v>
      </c>
    </row>
    <row r="336" spans="1:38" x14ac:dyDescent="0.25">
      <c r="A336" s="1">
        <v>45918</v>
      </c>
      <c r="B336" s="1">
        <v>45915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763</v>
      </c>
      <c r="J336" t="s">
        <v>764</v>
      </c>
      <c r="M336" t="s">
        <v>406</v>
      </c>
      <c r="O336" t="s">
        <v>413</v>
      </c>
      <c r="P336" t="s">
        <v>414</v>
      </c>
      <c r="Q336" t="s">
        <v>49</v>
      </c>
      <c r="R336" t="s">
        <v>415</v>
      </c>
      <c r="S336" s="1">
        <v>45078</v>
      </c>
      <c r="T336" s="1">
        <v>45945</v>
      </c>
      <c r="U336" t="s">
        <v>51</v>
      </c>
      <c r="V336">
        <v>1</v>
      </c>
      <c r="W336" s="1">
        <v>45916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5788368</v>
      </c>
      <c r="AL336" t="s">
        <v>416</v>
      </c>
    </row>
    <row r="337" spans="1:38" x14ac:dyDescent="0.25">
      <c r="A337" s="1">
        <v>45918</v>
      </c>
      <c r="B337" s="1">
        <v>45915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765</v>
      </c>
      <c r="J337" t="s">
        <v>766</v>
      </c>
      <c r="M337" t="s">
        <v>406</v>
      </c>
      <c r="O337" t="s">
        <v>413</v>
      </c>
      <c r="P337" t="s">
        <v>414</v>
      </c>
      <c r="Q337" t="s">
        <v>49</v>
      </c>
      <c r="R337" t="s">
        <v>415</v>
      </c>
      <c r="S337" s="1">
        <v>45078</v>
      </c>
      <c r="T337" s="1">
        <v>45945</v>
      </c>
      <c r="U337" t="s">
        <v>51</v>
      </c>
      <c r="V337">
        <v>1</v>
      </c>
      <c r="W337" s="1">
        <v>45916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5788369</v>
      </c>
      <c r="AL337" t="s">
        <v>416</v>
      </c>
    </row>
    <row r="338" spans="1:38" x14ac:dyDescent="0.25">
      <c r="A338" s="1">
        <v>45918</v>
      </c>
      <c r="B338" s="1">
        <v>45915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767</v>
      </c>
      <c r="J338" t="s">
        <v>768</v>
      </c>
      <c r="M338" t="s">
        <v>406</v>
      </c>
      <c r="O338" t="s">
        <v>413</v>
      </c>
      <c r="P338" t="s">
        <v>414</v>
      </c>
      <c r="Q338" t="s">
        <v>49</v>
      </c>
      <c r="R338" t="s">
        <v>415</v>
      </c>
      <c r="S338" s="1">
        <v>45017</v>
      </c>
      <c r="T338" s="1">
        <v>45945</v>
      </c>
      <c r="U338" t="s">
        <v>51</v>
      </c>
      <c r="V338">
        <v>1</v>
      </c>
      <c r="W338" s="1">
        <v>45916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5788374</v>
      </c>
      <c r="AL338" t="s">
        <v>416</v>
      </c>
    </row>
    <row r="339" spans="1:38" x14ac:dyDescent="0.25">
      <c r="A339" s="1">
        <v>45918</v>
      </c>
      <c r="B339" s="1">
        <v>45915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769</v>
      </c>
      <c r="J339" t="s">
        <v>770</v>
      </c>
      <c r="M339" t="s">
        <v>406</v>
      </c>
      <c r="O339" t="s">
        <v>413</v>
      </c>
      <c r="P339" t="s">
        <v>414</v>
      </c>
      <c r="Q339" t="s">
        <v>49</v>
      </c>
      <c r="R339" t="s">
        <v>415</v>
      </c>
      <c r="S339" s="1">
        <v>45017</v>
      </c>
      <c r="T339" s="1">
        <v>45945</v>
      </c>
      <c r="U339" t="s">
        <v>51</v>
      </c>
      <c r="V339">
        <v>1</v>
      </c>
      <c r="W339" s="1">
        <v>45916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5788380</v>
      </c>
      <c r="AL339" t="s">
        <v>416</v>
      </c>
    </row>
    <row r="340" spans="1:38" x14ac:dyDescent="0.25">
      <c r="A340" s="1">
        <v>45918</v>
      </c>
      <c r="B340" s="1">
        <v>45915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771</v>
      </c>
      <c r="J340" t="s">
        <v>772</v>
      </c>
      <c r="M340" t="s">
        <v>406</v>
      </c>
      <c r="O340" t="s">
        <v>413</v>
      </c>
      <c r="P340" t="s">
        <v>414</v>
      </c>
      <c r="Q340" t="s">
        <v>49</v>
      </c>
      <c r="R340" t="s">
        <v>415</v>
      </c>
      <c r="S340" s="1">
        <v>45047</v>
      </c>
      <c r="T340" s="1">
        <v>45945</v>
      </c>
      <c r="U340" t="s">
        <v>51</v>
      </c>
      <c r="V340">
        <v>1</v>
      </c>
      <c r="W340" s="1">
        <v>45916</v>
      </c>
      <c r="X340" t="s">
        <v>52</v>
      </c>
      <c r="Y340" s="2">
        <v>1</v>
      </c>
      <c r="Z340" s="2">
        <v>1</v>
      </c>
      <c r="AB340" s="3">
        <v>1</v>
      </c>
      <c r="AC340" s="2">
        <v>2</v>
      </c>
      <c r="AG340" s="2">
        <v>0</v>
      </c>
      <c r="AH340" s="2">
        <v>2</v>
      </c>
      <c r="AI340" s="2">
        <v>0</v>
      </c>
      <c r="AK340">
        <v>5788429</v>
      </c>
      <c r="AL340" t="s">
        <v>416</v>
      </c>
    </row>
    <row r="341" spans="1:38" x14ac:dyDescent="0.25">
      <c r="A341" s="1">
        <v>45918</v>
      </c>
      <c r="B341" s="1">
        <v>45915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773</v>
      </c>
      <c r="J341" t="s">
        <v>774</v>
      </c>
      <c r="M341" t="s">
        <v>775</v>
      </c>
      <c r="O341" t="s">
        <v>74</v>
      </c>
      <c r="P341" t="s">
        <v>75</v>
      </c>
      <c r="Q341" t="s">
        <v>49</v>
      </c>
      <c r="R341" t="s">
        <v>415</v>
      </c>
      <c r="S341" s="1">
        <v>45292</v>
      </c>
      <c r="T341" s="1">
        <v>45945</v>
      </c>
      <c r="U341" t="s">
        <v>51</v>
      </c>
      <c r="V341">
        <v>1</v>
      </c>
      <c r="W341" s="1">
        <v>45916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5788783</v>
      </c>
      <c r="AL341" t="s">
        <v>416</v>
      </c>
    </row>
    <row r="342" spans="1:38" x14ac:dyDescent="0.25">
      <c r="A342" s="1">
        <v>45918</v>
      </c>
      <c r="B342" s="1">
        <v>45915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776</v>
      </c>
      <c r="J342" t="s">
        <v>777</v>
      </c>
      <c r="M342" t="s">
        <v>650</v>
      </c>
      <c r="O342" t="s">
        <v>81</v>
      </c>
      <c r="P342" t="s">
        <v>82</v>
      </c>
      <c r="Q342" t="s">
        <v>58</v>
      </c>
      <c r="R342" t="s">
        <v>415</v>
      </c>
      <c r="S342" s="1">
        <v>45658</v>
      </c>
      <c r="U342" t="s">
        <v>51</v>
      </c>
      <c r="X342" t="s">
        <v>52</v>
      </c>
      <c r="Y342" s="2">
        <v>0</v>
      </c>
      <c r="Z342" s="2">
        <v>0</v>
      </c>
      <c r="AB342" s="3">
        <v>1</v>
      </c>
      <c r="AC342" s="2">
        <v>-4.17</v>
      </c>
      <c r="AG342" s="2">
        <v>0</v>
      </c>
      <c r="AH342" s="2">
        <v>-4.17</v>
      </c>
      <c r="AI342" s="2">
        <v>0</v>
      </c>
      <c r="AK342">
        <v>0</v>
      </c>
      <c r="AL342" t="s">
        <v>778</v>
      </c>
    </row>
    <row r="343" spans="1:38" x14ac:dyDescent="0.25">
      <c r="A343" s="1">
        <v>45918</v>
      </c>
      <c r="B343" s="1">
        <v>45915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779</v>
      </c>
      <c r="J343" t="s">
        <v>780</v>
      </c>
      <c r="M343" t="s">
        <v>557</v>
      </c>
      <c r="O343" t="s">
        <v>74</v>
      </c>
      <c r="P343" t="s">
        <v>75</v>
      </c>
      <c r="Q343" t="s">
        <v>49</v>
      </c>
      <c r="R343" t="s">
        <v>415</v>
      </c>
      <c r="S343" s="1">
        <v>45292</v>
      </c>
      <c r="T343" s="1">
        <v>45945</v>
      </c>
      <c r="U343" t="s">
        <v>51</v>
      </c>
      <c r="V343">
        <v>1</v>
      </c>
      <c r="W343" s="1">
        <v>45916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5789848</v>
      </c>
      <c r="AL343" t="s">
        <v>416</v>
      </c>
    </row>
    <row r="344" spans="1:38" x14ac:dyDescent="0.25">
      <c r="A344" s="1">
        <v>45918</v>
      </c>
      <c r="B344" s="1">
        <v>45915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781</v>
      </c>
      <c r="J344" t="s">
        <v>782</v>
      </c>
      <c r="M344" t="s">
        <v>46</v>
      </c>
      <c r="O344" t="s">
        <v>74</v>
      </c>
      <c r="P344" t="s">
        <v>75</v>
      </c>
      <c r="Q344" t="s">
        <v>49</v>
      </c>
      <c r="R344" t="s">
        <v>415</v>
      </c>
      <c r="S344" s="1">
        <v>45292</v>
      </c>
      <c r="T344" s="1">
        <v>45945</v>
      </c>
      <c r="U344" t="s">
        <v>51</v>
      </c>
      <c r="V344">
        <v>1</v>
      </c>
      <c r="W344" s="1">
        <v>45916</v>
      </c>
      <c r="X344" t="s">
        <v>52</v>
      </c>
      <c r="Y344" s="2">
        <v>1</v>
      </c>
      <c r="Z344" s="2">
        <v>1</v>
      </c>
      <c r="AB344" s="3">
        <v>1</v>
      </c>
      <c r="AC344" s="2">
        <v>2</v>
      </c>
      <c r="AG344" s="2">
        <v>0</v>
      </c>
      <c r="AH344" s="2">
        <v>2</v>
      </c>
      <c r="AI344" s="2">
        <v>0</v>
      </c>
      <c r="AK344">
        <v>5789852</v>
      </c>
      <c r="AL344" t="s">
        <v>416</v>
      </c>
    </row>
    <row r="345" spans="1:38" x14ac:dyDescent="0.25">
      <c r="A345" s="1">
        <v>45918</v>
      </c>
      <c r="B345" s="1">
        <v>45915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783</v>
      </c>
      <c r="J345" t="s">
        <v>784</v>
      </c>
      <c r="M345" t="s">
        <v>406</v>
      </c>
      <c r="O345" t="s">
        <v>359</v>
      </c>
      <c r="P345" t="s">
        <v>360</v>
      </c>
      <c r="Q345" t="s">
        <v>49</v>
      </c>
      <c r="R345" t="s">
        <v>536</v>
      </c>
      <c r="S345" s="1">
        <v>45474</v>
      </c>
      <c r="T345" s="1">
        <v>45945</v>
      </c>
      <c r="U345" t="s">
        <v>51</v>
      </c>
      <c r="V345">
        <v>1</v>
      </c>
      <c r="W345" s="1">
        <v>45916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5790057</v>
      </c>
      <c r="AL345" t="s">
        <v>416</v>
      </c>
    </row>
    <row r="346" spans="1:38" x14ac:dyDescent="0.25">
      <c r="A346" s="1">
        <v>45918</v>
      </c>
      <c r="B346" s="1">
        <v>45915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785</v>
      </c>
      <c r="J346" t="s">
        <v>786</v>
      </c>
      <c r="M346" t="s">
        <v>406</v>
      </c>
      <c r="O346" t="s">
        <v>407</v>
      </c>
      <c r="P346" t="s">
        <v>408</v>
      </c>
      <c r="Q346" t="s">
        <v>49</v>
      </c>
      <c r="R346" t="s">
        <v>415</v>
      </c>
      <c r="S346" s="1">
        <v>45627</v>
      </c>
      <c r="T346" s="1">
        <v>45945</v>
      </c>
      <c r="U346" t="s">
        <v>51</v>
      </c>
      <c r="V346">
        <v>1</v>
      </c>
      <c r="W346" s="1">
        <v>45916</v>
      </c>
      <c r="X346" t="s">
        <v>52</v>
      </c>
      <c r="Y346" s="2">
        <v>1</v>
      </c>
      <c r="Z346" s="2">
        <v>1</v>
      </c>
      <c r="AB346" s="3">
        <v>1</v>
      </c>
      <c r="AC346" s="2">
        <v>2</v>
      </c>
      <c r="AG346" s="2">
        <v>0</v>
      </c>
      <c r="AH346" s="2">
        <v>2</v>
      </c>
      <c r="AI346" s="2">
        <v>0</v>
      </c>
      <c r="AK346">
        <v>5790712</v>
      </c>
      <c r="AL346" t="s">
        <v>416</v>
      </c>
    </row>
    <row r="347" spans="1:38" x14ac:dyDescent="0.25">
      <c r="A347" s="1">
        <v>45918</v>
      </c>
      <c r="B347" s="1">
        <v>45915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787</v>
      </c>
      <c r="J347" t="s">
        <v>788</v>
      </c>
      <c r="M347" t="s">
        <v>789</v>
      </c>
      <c r="O347" t="s">
        <v>41</v>
      </c>
      <c r="P347" t="s">
        <v>43</v>
      </c>
      <c r="Q347" t="s">
        <v>49</v>
      </c>
      <c r="R347" t="s">
        <v>536</v>
      </c>
      <c r="S347" s="1">
        <v>45536</v>
      </c>
      <c r="T347" s="1">
        <v>45945</v>
      </c>
      <c r="U347" t="s">
        <v>51</v>
      </c>
      <c r="V347">
        <v>1</v>
      </c>
      <c r="W347" s="1">
        <v>45916</v>
      </c>
      <c r="X347" t="s">
        <v>52</v>
      </c>
      <c r="Y347" s="2">
        <v>1</v>
      </c>
      <c r="Z347" s="2">
        <v>1</v>
      </c>
      <c r="AB347" s="3">
        <v>1</v>
      </c>
      <c r="AC347" s="2">
        <v>2</v>
      </c>
      <c r="AG347" s="2">
        <v>0</v>
      </c>
      <c r="AH347" s="2">
        <v>2</v>
      </c>
      <c r="AI347" s="2">
        <v>0</v>
      </c>
      <c r="AK347">
        <v>5791082</v>
      </c>
      <c r="AL347" t="s">
        <v>416</v>
      </c>
    </row>
    <row r="348" spans="1:38" x14ac:dyDescent="0.25">
      <c r="A348" s="1">
        <v>45918</v>
      </c>
      <c r="B348" s="1">
        <v>45915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790</v>
      </c>
      <c r="J348" t="s">
        <v>791</v>
      </c>
      <c r="M348" t="s">
        <v>789</v>
      </c>
      <c r="O348" t="s">
        <v>100</v>
      </c>
      <c r="P348" t="s">
        <v>101</v>
      </c>
      <c r="Q348" t="s">
        <v>49</v>
      </c>
      <c r="R348" t="s">
        <v>415</v>
      </c>
      <c r="S348" s="1">
        <v>45444</v>
      </c>
      <c r="T348" s="1">
        <v>45945</v>
      </c>
      <c r="U348" t="s">
        <v>51</v>
      </c>
      <c r="V348">
        <v>1</v>
      </c>
      <c r="W348" s="1">
        <v>45916</v>
      </c>
      <c r="X348" t="s">
        <v>52</v>
      </c>
      <c r="Y348" s="2">
        <v>1</v>
      </c>
      <c r="Z348" s="2">
        <v>1</v>
      </c>
      <c r="AB348" s="3">
        <v>1</v>
      </c>
      <c r="AC348" s="2">
        <v>2</v>
      </c>
      <c r="AG348" s="2">
        <v>0</v>
      </c>
      <c r="AH348" s="2">
        <v>2</v>
      </c>
      <c r="AI348" s="2">
        <v>0</v>
      </c>
      <c r="AK348">
        <v>5791237</v>
      </c>
      <c r="AL348" t="s">
        <v>416</v>
      </c>
    </row>
    <row r="349" spans="1:38" x14ac:dyDescent="0.25">
      <c r="A349" s="1">
        <v>45918</v>
      </c>
      <c r="B349" s="1">
        <v>45915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792</v>
      </c>
      <c r="J349" t="s">
        <v>793</v>
      </c>
      <c r="M349" t="s">
        <v>789</v>
      </c>
      <c r="O349" t="s">
        <v>100</v>
      </c>
      <c r="P349" t="s">
        <v>101</v>
      </c>
      <c r="Q349" t="s">
        <v>49</v>
      </c>
      <c r="R349" t="s">
        <v>415</v>
      </c>
      <c r="S349" s="1">
        <v>45444</v>
      </c>
      <c r="T349" s="1">
        <v>45945</v>
      </c>
      <c r="U349" t="s">
        <v>51</v>
      </c>
      <c r="V349">
        <v>1</v>
      </c>
      <c r="W349" s="1">
        <v>45916</v>
      </c>
      <c r="X349" t="s">
        <v>52</v>
      </c>
      <c r="Y349" s="2">
        <v>1</v>
      </c>
      <c r="Z349" s="2">
        <v>1</v>
      </c>
      <c r="AB349" s="3">
        <v>1</v>
      </c>
      <c r="AC349" s="2">
        <v>2</v>
      </c>
      <c r="AG349" s="2">
        <v>0</v>
      </c>
      <c r="AH349" s="2">
        <v>2</v>
      </c>
      <c r="AI349" s="2">
        <v>0</v>
      </c>
      <c r="AK349">
        <v>5791242</v>
      </c>
      <c r="AL349" t="s">
        <v>416</v>
      </c>
    </row>
    <row r="350" spans="1:38" x14ac:dyDescent="0.25">
      <c r="A350" s="1">
        <v>45918</v>
      </c>
      <c r="B350" s="1">
        <v>45915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794</v>
      </c>
      <c r="J350" t="s">
        <v>795</v>
      </c>
      <c r="M350" t="s">
        <v>421</v>
      </c>
      <c r="O350" t="s">
        <v>100</v>
      </c>
      <c r="P350" t="s">
        <v>101</v>
      </c>
      <c r="Q350" t="s">
        <v>49</v>
      </c>
      <c r="R350" t="s">
        <v>415</v>
      </c>
      <c r="S350" s="1">
        <v>45505</v>
      </c>
      <c r="T350" s="1">
        <v>45945</v>
      </c>
      <c r="U350" t="s">
        <v>51</v>
      </c>
      <c r="V350">
        <v>1</v>
      </c>
      <c r="W350" s="1">
        <v>45916</v>
      </c>
      <c r="X350" t="s">
        <v>52</v>
      </c>
      <c r="Y350" s="2">
        <v>1</v>
      </c>
      <c r="Z350" s="2">
        <v>1</v>
      </c>
      <c r="AB350" s="3">
        <v>1</v>
      </c>
      <c r="AC350" s="2">
        <v>2</v>
      </c>
      <c r="AG350" s="2">
        <v>0</v>
      </c>
      <c r="AH350" s="2">
        <v>2</v>
      </c>
      <c r="AI350" s="2">
        <v>0</v>
      </c>
      <c r="AK350">
        <v>5791247</v>
      </c>
      <c r="AL350" t="s">
        <v>416</v>
      </c>
    </row>
    <row r="351" spans="1:38" x14ac:dyDescent="0.25">
      <c r="A351" s="1">
        <v>45918</v>
      </c>
      <c r="B351" s="1">
        <v>45915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796</v>
      </c>
      <c r="J351" t="s">
        <v>797</v>
      </c>
      <c r="M351" t="s">
        <v>650</v>
      </c>
      <c r="O351" t="s">
        <v>100</v>
      </c>
      <c r="P351" t="s">
        <v>101</v>
      </c>
      <c r="Q351" t="s">
        <v>49</v>
      </c>
      <c r="R351" t="s">
        <v>415</v>
      </c>
      <c r="S351" s="1">
        <v>45444</v>
      </c>
      <c r="T351" s="1">
        <v>45945</v>
      </c>
      <c r="U351" t="s">
        <v>51</v>
      </c>
      <c r="V351">
        <v>1</v>
      </c>
      <c r="W351" s="1">
        <v>45916</v>
      </c>
      <c r="X351" t="s">
        <v>52</v>
      </c>
      <c r="Y351" s="2">
        <v>1</v>
      </c>
      <c r="Z351" s="2">
        <v>1</v>
      </c>
      <c r="AB351" s="3">
        <v>1</v>
      </c>
      <c r="AC351" s="2">
        <v>2</v>
      </c>
      <c r="AG351" s="2">
        <v>0</v>
      </c>
      <c r="AH351" s="2">
        <v>2</v>
      </c>
      <c r="AI351" s="2">
        <v>0</v>
      </c>
      <c r="AK351">
        <v>5791253</v>
      </c>
      <c r="AL351" t="s">
        <v>416</v>
      </c>
    </row>
    <row r="352" spans="1:38" x14ac:dyDescent="0.25">
      <c r="A352" s="1">
        <v>45918</v>
      </c>
      <c r="B352" s="1">
        <v>45915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798</v>
      </c>
      <c r="J352" t="s">
        <v>799</v>
      </c>
      <c r="M352" t="s">
        <v>406</v>
      </c>
      <c r="O352" t="s">
        <v>359</v>
      </c>
      <c r="P352" t="s">
        <v>360</v>
      </c>
      <c r="Q352" t="s">
        <v>49</v>
      </c>
      <c r="R352" t="s">
        <v>415</v>
      </c>
      <c r="S352" s="1">
        <v>45444</v>
      </c>
      <c r="T352" s="1">
        <v>45945</v>
      </c>
      <c r="U352" t="s">
        <v>51</v>
      </c>
      <c r="V352">
        <v>1</v>
      </c>
      <c r="W352" s="1">
        <v>45916</v>
      </c>
      <c r="X352" t="s">
        <v>52</v>
      </c>
      <c r="Y352" s="2">
        <v>1</v>
      </c>
      <c r="Z352" s="2">
        <v>1</v>
      </c>
      <c r="AB352" s="3">
        <v>1</v>
      </c>
      <c r="AC352" s="2">
        <v>2</v>
      </c>
      <c r="AG352" s="2">
        <v>0</v>
      </c>
      <c r="AH352" s="2">
        <v>2</v>
      </c>
      <c r="AI352" s="2">
        <v>0</v>
      </c>
      <c r="AK352">
        <v>5791267</v>
      </c>
      <c r="AL352" t="s">
        <v>416</v>
      </c>
    </row>
    <row r="353" spans="1:38" x14ac:dyDescent="0.25">
      <c r="A353" s="1">
        <v>45918</v>
      </c>
      <c r="B353" s="1">
        <v>45915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800</v>
      </c>
      <c r="J353" t="s">
        <v>801</v>
      </c>
      <c r="M353" t="s">
        <v>406</v>
      </c>
      <c r="O353" t="s">
        <v>359</v>
      </c>
      <c r="P353" t="s">
        <v>360</v>
      </c>
      <c r="Q353" t="s">
        <v>49</v>
      </c>
      <c r="R353" t="s">
        <v>415</v>
      </c>
      <c r="S353" s="1">
        <v>45444</v>
      </c>
      <c r="T353" s="1">
        <v>45945</v>
      </c>
      <c r="U353" t="s">
        <v>51</v>
      </c>
      <c r="V353">
        <v>1</v>
      </c>
      <c r="W353" s="1">
        <v>45916</v>
      </c>
      <c r="X353" t="s">
        <v>52</v>
      </c>
      <c r="Y353" s="2">
        <v>1</v>
      </c>
      <c r="Z353" s="2">
        <v>1</v>
      </c>
      <c r="AB353" s="3">
        <v>1</v>
      </c>
      <c r="AC353" s="2">
        <v>2</v>
      </c>
      <c r="AG353" s="2">
        <v>0</v>
      </c>
      <c r="AH353" s="2">
        <v>2</v>
      </c>
      <c r="AI353" s="2">
        <v>0</v>
      </c>
      <c r="AK353">
        <v>5791268</v>
      </c>
      <c r="AL353" t="s">
        <v>416</v>
      </c>
    </row>
    <row r="354" spans="1:38" x14ac:dyDescent="0.25">
      <c r="A354" s="1">
        <v>45918</v>
      </c>
      <c r="B354" s="1">
        <v>45915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802</v>
      </c>
      <c r="J354" t="s">
        <v>803</v>
      </c>
      <c r="M354" t="s">
        <v>406</v>
      </c>
      <c r="O354" t="s">
        <v>359</v>
      </c>
      <c r="P354" t="s">
        <v>360</v>
      </c>
      <c r="Q354" t="s">
        <v>49</v>
      </c>
      <c r="R354" t="s">
        <v>415</v>
      </c>
      <c r="S354" s="1">
        <v>45474</v>
      </c>
      <c r="T354" s="1">
        <v>45945</v>
      </c>
      <c r="U354" t="s">
        <v>51</v>
      </c>
      <c r="V354">
        <v>1</v>
      </c>
      <c r="W354" s="1">
        <v>45916</v>
      </c>
      <c r="X354" t="s">
        <v>52</v>
      </c>
      <c r="Y354" s="2">
        <v>1</v>
      </c>
      <c r="Z354" s="2">
        <v>1</v>
      </c>
      <c r="AB354" s="3">
        <v>1</v>
      </c>
      <c r="AC354" s="2">
        <v>2</v>
      </c>
      <c r="AG354" s="2">
        <v>0</v>
      </c>
      <c r="AH354" s="2">
        <v>2</v>
      </c>
      <c r="AI354" s="2">
        <v>0</v>
      </c>
      <c r="AK354">
        <v>5791272</v>
      </c>
      <c r="AL354" t="s">
        <v>416</v>
      </c>
    </row>
    <row r="355" spans="1:38" x14ac:dyDescent="0.25">
      <c r="A355" s="1">
        <v>45918</v>
      </c>
      <c r="B355" s="1">
        <v>45915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804</v>
      </c>
      <c r="J355" t="s">
        <v>805</v>
      </c>
      <c r="M355" t="s">
        <v>806</v>
      </c>
      <c r="O355" t="s">
        <v>100</v>
      </c>
      <c r="P355" t="s">
        <v>101</v>
      </c>
      <c r="Q355" t="s">
        <v>49</v>
      </c>
      <c r="R355" t="s">
        <v>415</v>
      </c>
      <c r="S355" s="1">
        <v>45505</v>
      </c>
      <c r="T355" s="1">
        <v>45945</v>
      </c>
      <c r="U355" t="s">
        <v>51</v>
      </c>
      <c r="V355">
        <v>1</v>
      </c>
      <c r="W355" s="1">
        <v>45916</v>
      </c>
      <c r="X355" t="s">
        <v>52</v>
      </c>
      <c r="Y355" s="2">
        <v>1</v>
      </c>
      <c r="Z355" s="2">
        <v>1</v>
      </c>
      <c r="AB355" s="3">
        <v>1</v>
      </c>
      <c r="AC355" s="2">
        <v>2</v>
      </c>
      <c r="AG355" s="2">
        <v>0</v>
      </c>
      <c r="AH355" s="2">
        <v>2</v>
      </c>
      <c r="AI355" s="2">
        <v>0</v>
      </c>
      <c r="AK355">
        <v>5791296</v>
      </c>
      <c r="AL355" t="s">
        <v>416</v>
      </c>
    </row>
    <row r="356" spans="1:38" x14ac:dyDescent="0.25">
      <c r="A356" s="1">
        <v>45918</v>
      </c>
      <c r="B356" s="1">
        <v>45915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807</v>
      </c>
      <c r="J356" t="s">
        <v>808</v>
      </c>
      <c r="M356" t="s">
        <v>406</v>
      </c>
      <c r="O356" t="s">
        <v>359</v>
      </c>
      <c r="P356" t="s">
        <v>360</v>
      </c>
      <c r="Q356" t="s">
        <v>49</v>
      </c>
      <c r="R356" t="s">
        <v>415</v>
      </c>
      <c r="S356" s="1">
        <v>45505</v>
      </c>
      <c r="T356" s="1">
        <v>45945</v>
      </c>
      <c r="U356" t="s">
        <v>51</v>
      </c>
      <c r="V356">
        <v>1</v>
      </c>
      <c r="W356" s="1">
        <v>45916</v>
      </c>
      <c r="X356" t="s">
        <v>52</v>
      </c>
      <c r="Y356" s="2">
        <v>1</v>
      </c>
      <c r="Z356" s="2">
        <v>1</v>
      </c>
      <c r="AB356" s="3">
        <v>1</v>
      </c>
      <c r="AC356" s="2">
        <v>2</v>
      </c>
      <c r="AG356" s="2">
        <v>0</v>
      </c>
      <c r="AH356" s="2">
        <v>2</v>
      </c>
      <c r="AI356" s="2">
        <v>0</v>
      </c>
      <c r="AK356">
        <v>5791303</v>
      </c>
      <c r="AL356" t="s">
        <v>416</v>
      </c>
    </row>
    <row r="357" spans="1:38" x14ac:dyDescent="0.25">
      <c r="A357" s="1">
        <v>45918</v>
      </c>
      <c r="B357" s="1">
        <v>45915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809</v>
      </c>
      <c r="J357" t="s">
        <v>810</v>
      </c>
      <c r="M357" t="s">
        <v>406</v>
      </c>
      <c r="O357" t="s">
        <v>811</v>
      </c>
      <c r="P357" t="s">
        <v>812</v>
      </c>
      <c r="Q357" t="s">
        <v>49</v>
      </c>
      <c r="R357" t="s">
        <v>415</v>
      </c>
      <c r="S357" s="1">
        <v>45505</v>
      </c>
      <c r="T357" s="1">
        <v>45945</v>
      </c>
      <c r="U357" t="s">
        <v>51</v>
      </c>
      <c r="V357">
        <v>1</v>
      </c>
      <c r="W357" s="1">
        <v>45916</v>
      </c>
      <c r="X357" t="s">
        <v>52</v>
      </c>
      <c r="Y357" s="2">
        <v>1</v>
      </c>
      <c r="Z357" s="2">
        <v>1</v>
      </c>
      <c r="AB357" s="3">
        <v>1</v>
      </c>
      <c r="AC357" s="2">
        <v>2</v>
      </c>
      <c r="AG357" s="2">
        <v>0</v>
      </c>
      <c r="AH357" s="2">
        <v>2</v>
      </c>
      <c r="AI357" s="2">
        <v>0</v>
      </c>
      <c r="AK357">
        <v>5791313</v>
      </c>
      <c r="AL357" t="s">
        <v>416</v>
      </c>
    </row>
    <row r="358" spans="1:38" x14ac:dyDescent="0.25">
      <c r="A358" s="1">
        <v>45918</v>
      </c>
      <c r="B358" s="1">
        <v>45915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813</v>
      </c>
      <c r="J358" t="s">
        <v>814</v>
      </c>
      <c r="M358" t="s">
        <v>406</v>
      </c>
      <c r="O358" t="s">
        <v>815</v>
      </c>
      <c r="P358" t="s">
        <v>816</v>
      </c>
      <c r="Q358" t="s">
        <v>49</v>
      </c>
      <c r="R358" t="s">
        <v>415</v>
      </c>
      <c r="S358" s="1">
        <v>45474</v>
      </c>
      <c r="T358" s="1">
        <v>45945</v>
      </c>
      <c r="U358" t="s">
        <v>51</v>
      </c>
      <c r="V358">
        <v>1</v>
      </c>
      <c r="W358" s="1">
        <v>45916</v>
      </c>
      <c r="X358" t="s">
        <v>52</v>
      </c>
      <c r="Y358" s="2">
        <v>1</v>
      </c>
      <c r="Z358" s="2">
        <v>1</v>
      </c>
      <c r="AB358" s="3">
        <v>1</v>
      </c>
      <c r="AC358" s="2">
        <v>2</v>
      </c>
      <c r="AG358" s="2">
        <v>0</v>
      </c>
      <c r="AH358" s="2">
        <v>2</v>
      </c>
      <c r="AI358" s="2">
        <v>0</v>
      </c>
      <c r="AK358">
        <v>5791317</v>
      </c>
      <c r="AL358" t="s">
        <v>416</v>
      </c>
    </row>
    <row r="359" spans="1:38" x14ac:dyDescent="0.25">
      <c r="A359" s="1">
        <v>45918</v>
      </c>
      <c r="B359" s="1">
        <v>45915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817</v>
      </c>
      <c r="J359" t="s">
        <v>818</v>
      </c>
      <c r="M359" t="s">
        <v>406</v>
      </c>
      <c r="O359" t="s">
        <v>815</v>
      </c>
      <c r="P359" t="s">
        <v>816</v>
      </c>
      <c r="Q359" t="s">
        <v>49</v>
      </c>
      <c r="R359" t="s">
        <v>415</v>
      </c>
      <c r="S359" s="1">
        <v>45474</v>
      </c>
      <c r="T359" s="1">
        <v>45945</v>
      </c>
      <c r="U359" t="s">
        <v>51</v>
      </c>
      <c r="V359">
        <v>1</v>
      </c>
      <c r="W359" s="1">
        <v>45916</v>
      </c>
      <c r="X359" t="s">
        <v>52</v>
      </c>
      <c r="Y359" s="2">
        <v>1</v>
      </c>
      <c r="Z359" s="2">
        <v>1</v>
      </c>
      <c r="AB359" s="3">
        <v>1</v>
      </c>
      <c r="AC359" s="2">
        <v>2</v>
      </c>
      <c r="AG359" s="2">
        <v>0</v>
      </c>
      <c r="AH359" s="2">
        <v>2</v>
      </c>
      <c r="AI359" s="2">
        <v>0</v>
      </c>
      <c r="AK359">
        <v>5791325</v>
      </c>
      <c r="AL359" t="s">
        <v>416</v>
      </c>
    </row>
    <row r="360" spans="1:38" x14ac:dyDescent="0.25">
      <c r="A360" s="1">
        <v>45918</v>
      </c>
      <c r="B360" s="1">
        <v>45915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819</v>
      </c>
      <c r="J360" t="s">
        <v>820</v>
      </c>
      <c r="M360" t="s">
        <v>406</v>
      </c>
      <c r="O360" t="s">
        <v>359</v>
      </c>
      <c r="P360" t="s">
        <v>360</v>
      </c>
      <c r="Q360" t="s">
        <v>49</v>
      </c>
      <c r="R360" t="s">
        <v>415</v>
      </c>
      <c r="S360" s="1">
        <v>45474</v>
      </c>
      <c r="T360" s="1">
        <v>45945</v>
      </c>
      <c r="U360" t="s">
        <v>51</v>
      </c>
      <c r="V360">
        <v>1</v>
      </c>
      <c r="W360" s="1">
        <v>45916</v>
      </c>
      <c r="X360" t="s">
        <v>52</v>
      </c>
      <c r="Y360" s="2">
        <v>1</v>
      </c>
      <c r="Z360" s="2">
        <v>1</v>
      </c>
      <c r="AB360" s="3">
        <v>1</v>
      </c>
      <c r="AC360" s="2">
        <v>2</v>
      </c>
      <c r="AG360" s="2">
        <v>0</v>
      </c>
      <c r="AH360" s="2">
        <v>2</v>
      </c>
      <c r="AI360" s="2">
        <v>0</v>
      </c>
      <c r="AK360">
        <v>5791330</v>
      </c>
      <c r="AL360" t="s">
        <v>416</v>
      </c>
    </row>
    <row r="361" spans="1:38" x14ac:dyDescent="0.25">
      <c r="A361" s="1">
        <v>45918</v>
      </c>
      <c r="B361" s="1">
        <v>45915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821</v>
      </c>
      <c r="J361" t="s">
        <v>822</v>
      </c>
      <c r="M361" t="s">
        <v>406</v>
      </c>
      <c r="O361" t="s">
        <v>359</v>
      </c>
      <c r="P361" t="s">
        <v>360</v>
      </c>
      <c r="Q361" t="s">
        <v>49</v>
      </c>
      <c r="R361" t="s">
        <v>415</v>
      </c>
      <c r="S361" s="1">
        <v>45474</v>
      </c>
      <c r="T361" s="1">
        <v>45945</v>
      </c>
      <c r="U361" t="s">
        <v>51</v>
      </c>
      <c r="V361">
        <v>1</v>
      </c>
      <c r="W361" s="1">
        <v>45916</v>
      </c>
      <c r="X361" t="s">
        <v>52</v>
      </c>
      <c r="Y361" s="2">
        <v>1</v>
      </c>
      <c r="Z361" s="2">
        <v>1</v>
      </c>
      <c r="AB361" s="3">
        <v>1</v>
      </c>
      <c r="AC361" s="2">
        <v>2</v>
      </c>
      <c r="AG361" s="2">
        <v>0</v>
      </c>
      <c r="AH361" s="2">
        <v>2</v>
      </c>
      <c r="AI361" s="2">
        <v>0</v>
      </c>
      <c r="AK361">
        <v>5791337</v>
      </c>
      <c r="AL361" t="s">
        <v>416</v>
      </c>
    </row>
    <row r="362" spans="1:38" x14ac:dyDescent="0.25">
      <c r="A362" s="1">
        <v>45918</v>
      </c>
      <c r="B362" s="1">
        <v>45915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823</v>
      </c>
      <c r="J362" t="s">
        <v>824</v>
      </c>
      <c r="M362" t="s">
        <v>406</v>
      </c>
      <c r="O362" t="s">
        <v>359</v>
      </c>
      <c r="P362" t="s">
        <v>360</v>
      </c>
      <c r="Q362" t="s">
        <v>58</v>
      </c>
      <c r="R362" t="s">
        <v>415</v>
      </c>
      <c r="S362" s="1">
        <v>45658</v>
      </c>
      <c r="T362" s="1">
        <v>45945</v>
      </c>
      <c r="U362" t="s">
        <v>51</v>
      </c>
      <c r="V362">
        <v>1</v>
      </c>
      <c r="W362" s="1">
        <v>45916</v>
      </c>
      <c r="X362" t="s">
        <v>52</v>
      </c>
      <c r="Y362" s="2">
        <v>1</v>
      </c>
      <c r="Z362" s="2">
        <v>1</v>
      </c>
      <c r="AB362" s="3">
        <v>1</v>
      </c>
      <c r="AC362" s="2">
        <v>2</v>
      </c>
      <c r="AG362" s="2">
        <v>0</v>
      </c>
      <c r="AH362" s="2">
        <v>2</v>
      </c>
      <c r="AI362" s="2">
        <v>0</v>
      </c>
      <c r="AK362">
        <v>5791338</v>
      </c>
      <c r="AL362" t="s">
        <v>416</v>
      </c>
    </row>
    <row r="363" spans="1:38" x14ac:dyDescent="0.25">
      <c r="A363" s="1">
        <v>45918</v>
      </c>
      <c r="B363" s="1">
        <v>45915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825</v>
      </c>
      <c r="J363" t="s">
        <v>826</v>
      </c>
      <c r="M363" t="s">
        <v>406</v>
      </c>
      <c r="O363" t="s">
        <v>359</v>
      </c>
      <c r="P363" t="s">
        <v>360</v>
      </c>
      <c r="Q363" t="s">
        <v>49</v>
      </c>
      <c r="R363" t="s">
        <v>415</v>
      </c>
      <c r="S363" s="1">
        <v>45474</v>
      </c>
      <c r="T363" s="1">
        <v>45945</v>
      </c>
      <c r="U363" t="s">
        <v>51</v>
      </c>
      <c r="V363">
        <v>1</v>
      </c>
      <c r="W363" s="1">
        <v>45916</v>
      </c>
      <c r="X363" t="s">
        <v>52</v>
      </c>
      <c r="Y363" s="2">
        <v>1</v>
      </c>
      <c r="Z363" s="2">
        <v>1</v>
      </c>
      <c r="AB363" s="3">
        <v>1</v>
      </c>
      <c r="AC363" s="2">
        <v>2</v>
      </c>
      <c r="AG363" s="2">
        <v>0</v>
      </c>
      <c r="AH363" s="2">
        <v>2</v>
      </c>
      <c r="AI363" s="2">
        <v>0</v>
      </c>
      <c r="AK363">
        <v>5791339</v>
      </c>
      <c r="AL363" t="s">
        <v>416</v>
      </c>
    </row>
    <row r="364" spans="1:38" x14ac:dyDescent="0.25">
      <c r="A364" s="1">
        <v>45918</v>
      </c>
      <c r="B364" s="1">
        <v>45915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827</v>
      </c>
      <c r="J364" t="s">
        <v>828</v>
      </c>
      <c r="M364" t="s">
        <v>401</v>
      </c>
      <c r="O364" t="s">
        <v>100</v>
      </c>
      <c r="P364" t="s">
        <v>101</v>
      </c>
      <c r="Q364" t="s">
        <v>49</v>
      </c>
      <c r="R364" t="s">
        <v>415</v>
      </c>
      <c r="S364" s="1">
        <v>45474</v>
      </c>
      <c r="T364" s="1">
        <v>45945</v>
      </c>
      <c r="U364" t="s">
        <v>51</v>
      </c>
      <c r="V364">
        <v>1</v>
      </c>
      <c r="W364" s="1">
        <v>45916</v>
      </c>
      <c r="X364" t="s">
        <v>52</v>
      </c>
      <c r="Y364" s="2">
        <v>1</v>
      </c>
      <c r="Z364" s="2">
        <v>1</v>
      </c>
      <c r="AB364" s="3">
        <v>1</v>
      </c>
      <c r="AC364" s="2">
        <v>2</v>
      </c>
      <c r="AG364" s="2">
        <v>0</v>
      </c>
      <c r="AH364" s="2">
        <v>2</v>
      </c>
      <c r="AI364" s="2">
        <v>0</v>
      </c>
      <c r="AK364">
        <v>5791345</v>
      </c>
      <c r="AL364" t="s">
        <v>416</v>
      </c>
    </row>
    <row r="365" spans="1:38" x14ac:dyDescent="0.25">
      <c r="A365" s="1">
        <v>45918</v>
      </c>
      <c r="B365" s="1">
        <v>45915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829</v>
      </c>
      <c r="J365" t="s">
        <v>830</v>
      </c>
      <c r="M365" t="s">
        <v>406</v>
      </c>
      <c r="O365" t="s">
        <v>359</v>
      </c>
      <c r="P365" t="s">
        <v>360</v>
      </c>
      <c r="Q365" t="s">
        <v>49</v>
      </c>
      <c r="R365" t="s">
        <v>415</v>
      </c>
      <c r="S365" s="1">
        <v>45505</v>
      </c>
      <c r="T365" s="1">
        <v>45945</v>
      </c>
      <c r="U365" t="s">
        <v>51</v>
      </c>
      <c r="V365">
        <v>1</v>
      </c>
      <c r="W365" s="1">
        <v>45916</v>
      </c>
      <c r="X365" t="s">
        <v>52</v>
      </c>
      <c r="Y365" s="2">
        <v>1</v>
      </c>
      <c r="Z365" s="2">
        <v>1</v>
      </c>
      <c r="AB365" s="3">
        <v>1</v>
      </c>
      <c r="AC365" s="2">
        <v>2</v>
      </c>
      <c r="AG365" s="2">
        <v>0</v>
      </c>
      <c r="AH365" s="2">
        <v>2</v>
      </c>
      <c r="AI365" s="2">
        <v>0</v>
      </c>
      <c r="AK365">
        <v>5791364</v>
      </c>
      <c r="AL365" t="s">
        <v>416</v>
      </c>
    </row>
    <row r="366" spans="1:38" x14ac:dyDescent="0.25">
      <c r="A366" s="1">
        <v>45918</v>
      </c>
      <c r="B366" s="1">
        <v>45915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831</v>
      </c>
      <c r="J366" t="s">
        <v>832</v>
      </c>
      <c r="M366" t="s">
        <v>406</v>
      </c>
      <c r="O366" t="s">
        <v>359</v>
      </c>
      <c r="P366" t="s">
        <v>360</v>
      </c>
      <c r="Q366" t="s">
        <v>49</v>
      </c>
      <c r="R366" t="s">
        <v>415</v>
      </c>
      <c r="S366" s="1">
        <v>45536</v>
      </c>
      <c r="T366" s="1">
        <v>45945</v>
      </c>
      <c r="U366" t="s">
        <v>51</v>
      </c>
      <c r="V366">
        <v>1</v>
      </c>
      <c r="W366" s="1">
        <v>45916</v>
      </c>
      <c r="X366" t="s">
        <v>52</v>
      </c>
      <c r="Y366" s="2">
        <v>1</v>
      </c>
      <c r="Z366" s="2">
        <v>1</v>
      </c>
      <c r="AB366" s="3">
        <v>1</v>
      </c>
      <c r="AC366" s="2">
        <v>2</v>
      </c>
      <c r="AG366" s="2">
        <v>0</v>
      </c>
      <c r="AH366" s="2">
        <v>2</v>
      </c>
      <c r="AI366" s="2">
        <v>0</v>
      </c>
      <c r="AK366">
        <v>5791395</v>
      </c>
      <c r="AL366" t="s">
        <v>416</v>
      </c>
    </row>
    <row r="367" spans="1:38" x14ac:dyDescent="0.25">
      <c r="A367" s="1">
        <v>45918</v>
      </c>
      <c r="B367" s="1">
        <v>45915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833</v>
      </c>
      <c r="J367" t="s">
        <v>834</v>
      </c>
      <c r="M367" t="s">
        <v>406</v>
      </c>
      <c r="O367" t="s">
        <v>407</v>
      </c>
      <c r="P367" t="s">
        <v>408</v>
      </c>
      <c r="Q367" t="s">
        <v>49</v>
      </c>
      <c r="R367" t="s">
        <v>415</v>
      </c>
      <c r="S367" s="1">
        <v>45505</v>
      </c>
      <c r="T367" s="1">
        <v>45945</v>
      </c>
      <c r="U367" t="s">
        <v>51</v>
      </c>
      <c r="V367">
        <v>1</v>
      </c>
      <c r="W367" s="1">
        <v>45916</v>
      </c>
      <c r="X367" t="s">
        <v>52</v>
      </c>
      <c r="Y367" s="2">
        <v>1</v>
      </c>
      <c r="Z367" s="2">
        <v>1</v>
      </c>
      <c r="AB367" s="3">
        <v>1</v>
      </c>
      <c r="AC367" s="2">
        <v>2</v>
      </c>
      <c r="AG367" s="2">
        <v>0</v>
      </c>
      <c r="AH367" s="2">
        <v>2</v>
      </c>
      <c r="AI367" s="2">
        <v>0</v>
      </c>
      <c r="AK367">
        <v>5791399</v>
      </c>
      <c r="AL367" t="s">
        <v>416</v>
      </c>
    </row>
    <row r="368" spans="1:38" x14ac:dyDescent="0.25">
      <c r="A368" s="1">
        <v>45918</v>
      </c>
      <c r="B368" s="1">
        <v>45915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835</v>
      </c>
      <c r="J368" t="s">
        <v>836</v>
      </c>
      <c r="M368" t="s">
        <v>406</v>
      </c>
      <c r="O368" t="s">
        <v>359</v>
      </c>
      <c r="P368" t="s">
        <v>360</v>
      </c>
      <c r="Q368" t="s">
        <v>49</v>
      </c>
      <c r="R368" t="s">
        <v>415</v>
      </c>
      <c r="S368" s="1">
        <v>45536</v>
      </c>
      <c r="T368" s="1">
        <v>45945</v>
      </c>
      <c r="U368" t="s">
        <v>51</v>
      </c>
      <c r="V368">
        <v>1</v>
      </c>
      <c r="W368" s="1">
        <v>45916</v>
      </c>
      <c r="X368" t="s">
        <v>52</v>
      </c>
      <c r="Y368" s="2">
        <v>1</v>
      </c>
      <c r="Z368" s="2">
        <v>1</v>
      </c>
      <c r="AB368" s="3">
        <v>1</v>
      </c>
      <c r="AC368" s="2">
        <v>2</v>
      </c>
      <c r="AG368" s="2">
        <v>0</v>
      </c>
      <c r="AH368" s="2">
        <v>2</v>
      </c>
      <c r="AI368" s="2">
        <v>0</v>
      </c>
      <c r="AK368">
        <v>5791401</v>
      </c>
      <c r="AL368" t="s">
        <v>416</v>
      </c>
    </row>
    <row r="369" spans="1:38" x14ac:dyDescent="0.25">
      <c r="A369" s="1">
        <v>45918</v>
      </c>
      <c r="B369" s="1">
        <v>45915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837</v>
      </c>
      <c r="J369" t="s">
        <v>838</v>
      </c>
      <c r="M369" t="s">
        <v>406</v>
      </c>
      <c r="O369" t="s">
        <v>359</v>
      </c>
      <c r="P369" t="s">
        <v>360</v>
      </c>
      <c r="Q369" t="s">
        <v>49</v>
      </c>
      <c r="R369" t="s">
        <v>415</v>
      </c>
      <c r="S369" s="1">
        <v>45474</v>
      </c>
      <c r="T369" s="1">
        <v>45945</v>
      </c>
      <c r="U369" t="s">
        <v>51</v>
      </c>
      <c r="V369">
        <v>1</v>
      </c>
      <c r="W369" s="1">
        <v>45916</v>
      </c>
      <c r="X369" t="s">
        <v>52</v>
      </c>
      <c r="Y369" s="2">
        <v>1</v>
      </c>
      <c r="Z369" s="2">
        <v>1</v>
      </c>
      <c r="AB369" s="3">
        <v>1</v>
      </c>
      <c r="AC369" s="2">
        <v>2</v>
      </c>
      <c r="AG369" s="2">
        <v>0</v>
      </c>
      <c r="AH369" s="2">
        <v>2</v>
      </c>
      <c r="AI369" s="2">
        <v>0</v>
      </c>
      <c r="AK369">
        <v>5791407</v>
      </c>
      <c r="AL369" t="s">
        <v>416</v>
      </c>
    </row>
    <row r="370" spans="1:38" x14ac:dyDescent="0.25">
      <c r="A370" s="1">
        <v>45918</v>
      </c>
      <c r="B370" s="1">
        <v>45915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839</v>
      </c>
      <c r="J370" t="s">
        <v>840</v>
      </c>
      <c r="M370" t="s">
        <v>406</v>
      </c>
      <c r="O370" t="s">
        <v>811</v>
      </c>
      <c r="P370" t="s">
        <v>812</v>
      </c>
      <c r="Q370" t="s">
        <v>49</v>
      </c>
      <c r="R370" t="s">
        <v>415</v>
      </c>
      <c r="S370" s="1">
        <v>45474</v>
      </c>
      <c r="T370" s="1">
        <v>45945</v>
      </c>
      <c r="U370" t="s">
        <v>51</v>
      </c>
      <c r="V370">
        <v>1</v>
      </c>
      <c r="W370" s="1">
        <v>45916</v>
      </c>
      <c r="X370" t="s">
        <v>52</v>
      </c>
      <c r="Y370" s="2">
        <v>1</v>
      </c>
      <c r="Z370" s="2">
        <v>1</v>
      </c>
      <c r="AB370" s="3">
        <v>1</v>
      </c>
      <c r="AC370" s="2">
        <v>2</v>
      </c>
      <c r="AG370" s="2">
        <v>0</v>
      </c>
      <c r="AH370" s="2">
        <v>2</v>
      </c>
      <c r="AI370" s="2">
        <v>0</v>
      </c>
      <c r="AK370">
        <v>5791408</v>
      </c>
      <c r="AL370" t="s">
        <v>416</v>
      </c>
    </row>
    <row r="371" spans="1:38" x14ac:dyDescent="0.25">
      <c r="A371" s="1">
        <v>45918</v>
      </c>
      <c r="B371" s="1">
        <v>45915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841</v>
      </c>
      <c r="J371" t="s">
        <v>842</v>
      </c>
      <c r="M371" t="s">
        <v>406</v>
      </c>
      <c r="O371" t="s">
        <v>359</v>
      </c>
      <c r="P371" t="s">
        <v>360</v>
      </c>
      <c r="Q371" t="s">
        <v>49</v>
      </c>
      <c r="R371" t="s">
        <v>415</v>
      </c>
      <c r="S371" s="1">
        <v>45505</v>
      </c>
      <c r="T371" s="1">
        <v>45945</v>
      </c>
      <c r="U371" t="s">
        <v>51</v>
      </c>
      <c r="V371">
        <v>1</v>
      </c>
      <c r="W371" s="1">
        <v>45916</v>
      </c>
      <c r="X371" t="s">
        <v>52</v>
      </c>
      <c r="Y371" s="2">
        <v>1</v>
      </c>
      <c r="Z371" s="2">
        <v>1</v>
      </c>
      <c r="AB371" s="3">
        <v>1</v>
      </c>
      <c r="AC371" s="2">
        <v>2</v>
      </c>
      <c r="AG371" s="2">
        <v>0</v>
      </c>
      <c r="AH371" s="2">
        <v>2</v>
      </c>
      <c r="AI371" s="2">
        <v>0</v>
      </c>
      <c r="AK371">
        <v>5791415</v>
      </c>
      <c r="AL371" t="s">
        <v>416</v>
      </c>
    </row>
    <row r="372" spans="1:38" x14ac:dyDescent="0.25">
      <c r="A372" s="1">
        <v>45918</v>
      </c>
      <c r="B372" s="1">
        <v>45915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843</v>
      </c>
      <c r="J372" t="s">
        <v>844</v>
      </c>
      <c r="M372" t="s">
        <v>406</v>
      </c>
      <c r="O372" t="s">
        <v>407</v>
      </c>
      <c r="P372" t="s">
        <v>408</v>
      </c>
      <c r="Q372" t="s">
        <v>49</v>
      </c>
      <c r="R372" t="s">
        <v>536</v>
      </c>
      <c r="S372" s="1">
        <v>45474</v>
      </c>
      <c r="T372" s="1">
        <v>45945</v>
      </c>
      <c r="U372" t="s">
        <v>51</v>
      </c>
      <c r="V372">
        <v>1</v>
      </c>
      <c r="W372" s="1">
        <v>45916</v>
      </c>
      <c r="X372" t="s">
        <v>52</v>
      </c>
      <c r="Y372" s="2">
        <v>1</v>
      </c>
      <c r="Z372" s="2">
        <v>1</v>
      </c>
      <c r="AB372" s="3">
        <v>1</v>
      </c>
      <c r="AC372" s="2">
        <v>2</v>
      </c>
      <c r="AG372" s="2">
        <v>0</v>
      </c>
      <c r="AH372" s="2">
        <v>2</v>
      </c>
      <c r="AI372" s="2">
        <v>0</v>
      </c>
      <c r="AK372">
        <v>5791416</v>
      </c>
      <c r="AL372" t="s">
        <v>416</v>
      </c>
    </row>
    <row r="373" spans="1:38" x14ac:dyDescent="0.25">
      <c r="A373" s="1">
        <v>45918</v>
      </c>
      <c r="B373" s="1">
        <v>45915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845</v>
      </c>
      <c r="J373" t="s">
        <v>846</v>
      </c>
      <c r="M373" t="s">
        <v>46</v>
      </c>
      <c r="O373" t="s">
        <v>367</v>
      </c>
      <c r="P373" t="s">
        <v>368</v>
      </c>
      <c r="Q373" t="s">
        <v>49</v>
      </c>
      <c r="R373" t="s">
        <v>415</v>
      </c>
      <c r="S373" s="1">
        <v>45474</v>
      </c>
      <c r="T373" s="1">
        <v>45945</v>
      </c>
      <c r="U373" t="s">
        <v>51</v>
      </c>
      <c r="V373">
        <v>1</v>
      </c>
      <c r="W373" s="1">
        <v>45916</v>
      </c>
      <c r="X373" t="s">
        <v>52</v>
      </c>
      <c r="Y373" s="2">
        <v>1</v>
      </c>
      <c r="Z373" s="2">
        <v>1</v>
      </c>
      <c r="AB373" s="3">
        <v>1</v>
      </c>
      <c r="AC373" s="2">
        <v>2</v>
      </c>
      <c r="AG373" s="2">
        <v>0</v>
      </c>
      <c r="AH373" s="2">
        <v>2</v>
      </c>
      <c r="AI373" s="2">
        <v>0</v>
      </c>
      <c r="AK373">
        <v>5791452</v>
      </c>
      <c r="AL373" t="s">
        <v>416</v>
      </c>
    </row>
    <row r="374" spans="1:38" x14ac:dyDescent="0.25">
      <c r="A374" s="1">
        <v>45918</v>
      </c>
      <c r="B374" s="1">
        <v>45915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847</v>
      </c>
      <c r="J374" t="s">
        <v>848</v>
      </c>
      <c r="M374" t="s">
        <v>849</v>
      </c>
      <c r="O374" t="s">
        <v>100</v>
      </c>
      <c r="P374" t="s">
        <v>101</v>
      </c>
      <c r="Q374" t="s">
        <v>49</v>
      </c>
      <c r="R374" t="s">
        <v>415</v>
      </c>
      <c r="S374" s="1">
        <v>45505</v>
      </c>
      <c r="T374" s="1">
        <v>45945</v>
      </c>
      <c r="U374" t="s">
        <v>51</v>
      </c>
      <c r="V374">
        <v>1</v>
      </c>
      <c r="W374" s="1">
        <v>45916</v>
      </c>
      <c r="X374" t="s">
        <v>52</v>
      </c>
      <c r="Y374" s="2">
        <v>1</v>
      </c>
      <c r="Z374" s="2">
        <v>1</v>
      </c>
      <c r="AB374" s="3">
        <v>1</v>
      </c>
      <c r="AC374" s="2">
        <v>2</v>
      </c>
      <c r="AG374" s="2">
        <v>0</v>
      </c>
      <c r="AH374" s="2">
        <v>2</v>
      </c>
      <c r="AI374" s="2">
        <v>0</v>
      </c>
      <c r="AK374">
        <v>5791455</v>
      </c>
      <c r="AL374" t="s">
        <v>416</v>
      </c>
    </row>
    <row r="375" spans="1:38" x14ac:dyDescent="0.25">
      <c r="A375" s="1">
        <v>45918</v>
      </c>
      <c r="B375" s="1">
        <v>45915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850</v>
      </c>
      <c r="J375" t="s">
        <v>851</v>
      </c>
      <c r="M375" t="s">
        <v>852</v>
      </c>
      <c r="O375" t="s">
        <v>100</v>
      </c>
      <c r="P375" t="s">
        <v>101</v>
      </c>
      <c r="Q375" t="s">
        <v>49</v>
      </c>
      <c r="R375" t="s">
        <v>415</v>
      </c>
      <c r="S375" s="1">
        <v>45474</v>
      </c>
      <c r="T375" s="1">
        <v>45945</v>
      </c>
      <c r="U375" t="s">
        <v>51</v>
      </c>
      <c r="V375">
        <v>1</v>
      </c>
      <c r="W375" s="1">
        <v>45916</v>
      </c>
      <c r="X375" t="s">
        <v>52</v>
      </c>
      <c r="Y375" s="2">
        <v>1</v>
      </c>
      <c r="Z375" s="2">
        <v>1</v>
      </c>
      <c r="AB375" s="3">
        <v>1</v>
      </c>
      <c r="AC375" s="2">
        <v>2</v>
      </c>
      <c r="AG375" s="2">
        <v>0</v>
      </c>
      <c r="AH375" s="2">
        <v>2</v>
      </c>
      <c r="AI375" s="2">
        <v>0</v>
      </c>
      <c r="AK375">
        <v>5791469</v>
      </c>
      <c r="AL375" t="s">
        <v>416</v>
      </c>
    </row>
    <row r="376" spans="1:38" x14ac:dyDescent="0.25">
      <c r="A376" s="1">
        <v>45918</v>
      </c>
      <c r="B376" s="1">
        <v>45915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853</v>
      </c>
      <c r="J376" t="s">
        <v>854</v>
      </c>
      <c r="M376" t="s">
        <v>401</v>
      </c>
      <c r="O376" t="s">
        <v>367</v>
      </c>
      <c r="P376" t="s">
        <v>368</v>
      </c>
      <c r="Q376" t="s">
        <v>49</v>
      </c>
      <c r="R376" t="s">
        <v>415</v>
      </c>
      <c r="S376" s="1">
        <v>45474</v>
      </c>
      <c r="T376" s="1">
        <v>45945</v>
      </c>
      <c r="U376" t="s">
        <v>51</v>
      </c>
      <c r="V376">
        <v>1</v>
      </c>
      <c r="W376" s="1">
        <v>45916</v>
      </c>
      <c r="X376" t="s">
        <v>52</v>
      </c>
      <c r="Y376" s="2">
        <v>1</v>
      </c>
      <c r="Z376" s="2">
        <v>1</v>
      </c>
      <c r="AB376" s="3">
        <v>1</v>
      </c>
      <c r="AC376" s="2">
        <v>2</v>
      </c>
      <c r="AG376" s="2">
        <v>0</v>
      </c>
      <c r="AH376" s="2">
        <v>2</v>
      </c>
      <c r="AI376" s="2">
        <v>0</v>
      </c>
      <c r="AK376">
        <v>5791478</v>
      </c>
      <c r="AL376" t="s">
        <v>416</v>
      </c>
    </row>
    <row r="377" spans="1:38" x14ac:dyDescent="0.25">
      <c r="A377" s="1">
        <v>45918</v>
      </c>
      <c r="B377" s="1">
        <v>45915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855</v>
      </c>
      <c r="J377" t="s">
        <v>856</v>
      </c>
      <c r="M377" t="s">
        <v>406</v>
      </c>
      <c r="O377" t="s">
        <v>407</v>
      </c>
      <c r="P377" t="s">
        <v>408</v>
      </c>
      <c r="Q377" t="s">
        <v>49</v>
      </c>
      <c r="R377" t="s">
        <v>415</v>
      </c>
      <c r="S377" s="1">
        <v>45505</v>
      </c>
      <c r="T377" s="1">
        <v>45945</v>
      </c>
      <c r="U377" t="s">
        <v>51</v>
      </c>
      <c r="V377">
        <v>1</v>
      </c>
      <c r="W377" s="1">
        <v>45916</v>
      </c>
      <c r="X377" t="s">
        <v>52</v>
      </c>
      <c r="Y377" s="2">
        <v>1</v>
      </c>
      <c r="Z377" s="2">
        <v>1</v>
      </c>
      <c r="AB377" s="3">
        <v>1</v>
      </c>
      <c r="AC377" s="2">
        <v>2</v>
      </c>
      <c r="AG377" s="2">
        <v>0</v>
      </c>
      <c r="AH377" s="2">
        <v>2</v>
      </c>
      <c r="AI377" s="2">
        <v>0</v>
      </c>
      <c r="AK377">
        <v>5791488</v>
      </c>
      <c r="AL377" t="s">
        <v>416</v>
      </c>
    </row>
    <row r="378" spans="1:38" x14ac:dyDescent="0.25">
      <c r="A378" s="1">
        <v>45918</v>
      </c>
      <c r="B378" s="1">
        <v>45915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857</v>
      </c>
      <c r="J378" t="s">
        <v>858</v>
      </c>
      <c r="M378" t="s">
        <v>406</v>
      </c>
      <c r="O378" t="s">
        <v>100</v>
      </c>
      <c r="P378" t="s">
        <v>101</v>
      </c>
      <c r="Q378" t="s">
        <v>49</v>
      </c>
      <c r="R378" t="s">
        <v>415</v>
      </c>
      <c r="S378" s="1">
        <v>45566</v>
      </c>
      <c r="T378" s="1">
        <v>45945</v>
      </c>
      <c r="U378" t="s">
        <v>51</v>
      </c>
      <c r="V378">
        <v>1</v>
      </c>
      <c r="W378" s="1">
        <v>45916</v>
      </c>
      <c r="X378" t="s">
        <v>52</v>
      </c>
      <c r="Y378" s="2">
        <v>1</v>
      </c>
      <c r="Z378" s="2">
        <v>1</v>
      </c>
      <c r="AB378" s="3">
        <v>1</v>
      </c>
      <c r="AC378" s="2">
        <v>2</v>
      </c>
      <c r="AG378" s="2">
        <v>0</v>
      </c>
      <c r="AH378" s="2">
        <v>2</v>
      </c>
      <c r="AI378" s="2">
        <v>0</v>
      </c>
      <c r="AK378">
        <v>5791494</v>
      </c>
      <c r="AL378" t="s">
        <v>416</v>
      </c>
    </row>
    <row r="379" spans="1:38" x14ac:dyDescent="0.25">
      <c r="A379" s="1">
        <v>45918</v>
      </c>
      <c r="B379" s="1">
        <v>45915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859</v>
      </c>
      <c r="J379" t="s">
        <v>860</v>
      </c>
      <c r="M379" t="s">
        <v>401</v>
      </c>
      <c r="O379" t="s">
        <v>367</v>
      </c>
      <c r="P379" t="s">
        <v>368</v>
      </c>
      <c r="Q379" t="s">
        <v>49</v>
      </c>
      <c r="R379" t="s">
        <v>415</v>
      </c>
      <c r="S379" s="1">
        <v>45566</v>
      </c>
      <c r="T379" s="1">
        <v>45945</v>
      </c>
      <c r="U379" t="s">
        <v>51</v>
      </c>
      <c r="V379">
        <v>1</v>
      </c>
      <c r="W379" s="1">
        <v>45916</v>
      </c>
      <c r="X379" t="s">
        <v>52</v>
      </c>
      <c r="Y379" s="2">
        <v>1</v>
      </c>
      <c r="Z379" s="2">
        <v>1</v>
      </c>
      <c r="AB379" s="3">
        <v>1</v>
      </c>
      <c r="AC379" s="2">
        <v>2</v>
      </c>
      <c r="AG379" s="2">
        <v>0</v>
      </c>
      <c r="AH379" s="2">
        <v>2</v>
      </c>
      <c r="AI379" s="2">
        <v>0</v>
      </c>
      <c r="AK379">
        <v>5791504</v>
      </c>
      <c r="AL379" t="s">
        <v>416</v>
      </c>
    </row>
    <row r="380" spans="1:38" x14ac:dyDescent="0.25">
      <c r="A380" s="1">
        <v>45918</v>
      </c>
      <c r="B380" s="1">
        <v>45915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861</v>
      </c>
      <c r="J380" t="s">
        <v>862</v>
      </c>
      <c r="M380" t="s">
        <v>406</v>
      </c>
      <c r="O380" t="s">
        <v>359</v>
      </c>
      <c r="P380" t="s">
        <v>360</v>
      </c>
      <c r="Q380" t="s">
        <v>49</v>
      </c>
      <c r="R380" t="s">
        <v>415</v>
      </c>
      <c r="S380" s="1">
        <v>45505</v>
      </c>
      <c r="T380" s="1">
        <v>45945</v>
      </c>
      <c r="U380" t="s">
        <v>51</v>
      </c>
      <c r="V380">
        <v>1</v>
      </c>
      <c r="W380" s="1">
        <v>45916</v>
      </c>
      <c r="X380" t="s">
        <v>52</v>
      </c>
      <c r="Y380" s="2">
        <v>1</v>
      </c>
      <c r="Z380" s="2">
        <v>1</v>
      </c>
      <c r="AB380" s="3">
        <v>1</v>
      </c>
      <c r="AC380" s="2">
        <v>2</v>
      </c>
      <c r="AG380" s="2">
        <v>0</v>
      </c>
      <c r="AH380" s="2">
        <v>2</v>
      </c>
      <c r="AI380" s="2">
        <v>0</v>
      </c>
      <c r="AK380">
        <v>5791508</v>
      </c>
      <c r="AL380" t="s">
        <v>416</v>
      </c>
    </row>
    <row r="381" spans="1:38" x14ac:dyDescent="0.25">
      <c r="A381" s="1">
        <v>45918</v>
      </c>
      <c r="B381" s="1">
        <v>45915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863</v>
      </c>
      <c r="J381" t="s">
        <v>864</v>
      </c>
      <c r="M381" t="s">
        <v>401</v>
      </c>
      <c r="O381" t="s">
        <v>153</v>
      </c>
      <c r="P381" t="s">
        <v>154</v>
      </c>
      <c r="Q381" t="s">
        <v>49</v>
      </c>
      <c r="R381" t="s">
        <v>415</v>
      </c>
      <c r="S381" s="1">
        <v>45505</v>
      </c>
      <c r="T381" s="1">
        <v>45945</v>
      </c>
      <c r="U381" t="s">
        <v>51</v>
      </c>
      <c r="V381">
        <v>1</v>
      </c>
      <c r="W381" s="1">
        <v>45916</v>
      </c>
      <c r="X381" t="s">
        <v>52</v>
      </c>
      <c r="Y381" s="2">
        <v>1</v>
      </c>
      <c r="Z381" s="2">
        <v>1</v>
      </c>
      <c r="AB381" s="3">
        <v>1</v>
      </c>
      <c r="AC381" s="2">
        <v>2</v>
      </c>
      <c r="AG381" s="2">
        <v>0</v>
      </c>
      <c r="AH381" s="2">
        <v>2</v>
      </c>
      <c r="AI381" s="2">
        <v>0</v>
      </c>
      <c r="AK381">
        <v>5791512</v>
      </c>
      <c r="AL381" t="s">
        <v>416</v>
      </c>
    </row>
    <row r="382" spans="1:38" x14ac:dyDescent="0.25">
      <c r="A382" s="1">
        <v>45918</v>
      </c>
      <c r="B382" s="1">
        <v>45915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865</v>
      </c>
      <c r="J382" t="s">
        <v>866</v>
      </c>
      <c r="M382" t="s">
        <v>401</v>
      </c>
      <c r="O382" t="s">
        <v>220</v>
      </c>
      <c r="P382" t="s">
        <v>221</v>
      </c>
      <c r="Q382" t="s">
        <v>49</v>
      </c>
      <c r="R382" t="s">
        <v>415</v>
      </c>
      <c r="S382" s="1">
        <v>45505</v>
      </c>
      <c r="T382" s="1">
        <v>45945</v>
      </c>
      <c r="U382" t="s">
        <v>51</v>
      </c>
      <c r="V382">
        <v>1</v>
      </c>
      <c r="W382" s="1">
        <v>45916</v>
      </c>
      <c r="X382" t="s">
        <v>52</v>
      </c>
      <c r="Y382" s="2">
        <v>1</v>
      </c>
      <c r="Z382" s="2">
        <v>1</v>
      </c>
      <c r="AB382" s="3">
        <v>1</v>
      </c>
      <c r="AC382" s="2">
        <v>2</v>
      </c>
      <c r="AG382" s="2">
        <v>0</v>
      </c>
      <c r="AH382" s="2">
        <v>2</v>
      </c>
      <c r="AI382" s="2">
        <v>0</v>
      </c>
      <c r="AK382">
        <v>5791515</v>
      </c>
      <c r="AL382" t="s">
        <v>416</v>
      </c>
    </row>
    <row r="383" spans="1:38" x14ac:dyDescent="0.25">
      <c r="A383" s="1">
        <v>45918</v>
      </c>
      <c r="B383" s="1">
        <v>45915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867</v>
      </c>
      <c r="J383" t="s">
        <v>868</v>
      </c>
      <c r="M383" t="s">
        <v>401</v>
      </c>
      <c r="O383" t="s">
        <v>153</v>
      </c>
      <c r="P383" t="s">
        <v>154</v>
      </c>
      <c r="Q383" t="s">
        <v>49</v>
      </c>
      <c r="R383" t="s">
        <v>415</v>
      </c>
      <c r="S383" s="1">
        <v>45505</v>
      </c>
      <c r="T383" s="1">
        <v>45945</v>
      </c>
      <c r="U383" t="s">
        <v>51</v>
      </c>
      <c r="V383">
        <v>1</v>
      </c>
      <c r="W383" s="1">
        <v>45916</v>
      </c>
      <c r="X383" t="s">
        <v>52</v>
      </c>
      <c r="Y383" s="2">
        <v>1</v>
      </c>
      <c r="Z383" s="2">
        <v>1</v>
      </c>
      <c r="AB383" s="3">
        <v>1</v>
      </c>
      <c r="AC383" s="2">
        <v>2</v>
      </c>
      <c r="AG383" s="2">
        <v>0</v>
      </c>
      <c r="AH383" s="2">
        <v>2</v>
      </c>
      <c r="AI383" s="2">
        <v>0</v>
      </c>
      <c r="AK383">
        <v>5791516</v>
      </c>
      <c r="AL383" t="s">
        <v>416</v>
      </c>
    </row>
    <row r="384" spans="1:38" x14ac:dyDescent="0.25">
      <c r="A384" s="1">
        <v>45918</v>
      </c>
      <c r="B384" s="1">
        <v>45915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869</v>
      </c>
      <c r="J384" t="s">
        <v>870</v>
      </c>
      <c r="M384" t="s">
        <v>406</v>
      </c>
      <c r="O384" t="s">
        <v>407</v>
      </c>
      <c r="P384" t="s">
        <v>408</v>
      </c>
      <c r="Q384" t="s">
        <v>49</v>
      </c>
      <c r="R384" t="s">
        <v>415</v>
      </c>
      <c r="S384" s="1">
        <v>45505</v>
      </c>
      <c r="T384" s="1">
        <v>45945</v>
      </c>
      <c r="U384" t="s">
        <v>51</v>
      </c>
      <c r="V384">
        <v>1</v>
      </c>
      <c r="W384" s="1">
        <v>45916</v>
      </c>
      <c r="X384" t="s">
        <v>52</v>
      </c>
      <c r="Y384" s="2">
        <v>1</v>
      </c>
      <c r="Z384" s="2">
        <v>1</v>
      </c>
      <c r="AB384" s="3">
        <v>1</v>
      </c>
      <c r="AC384" s="2">
        <v>2</v>
      </c>
      <c r="AG384" s="2">
        <v>0</v>
      </c>
      <c r="AH384" s="2">
        <v>2</v>
      </c>
      <c r="AI384" s="2">
        <v>0</v>
      </c>
      <c r="AK384">
        <v>5791525</v>
      </c>
      <c r="AL384" t="s">
        <v>416</v>
      </c>
    </row>
    <row r="385" spans="1:38" x14ac:dyDescent="0.25">
      <c r="A385" s="1">
        <v>45918</v>
      </c>
      <c r="B385" s="1">
        <v>45915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871</v>
      </c>
      <c r="J385" t="s">
        <v>872</v>
      </c>
      <c r="M385" t="s">
        <v>557</v>
      </c>
      <c r="O385" t="s">
        <v>873</v>
      </c>
      <c r="P385" t="s">
        <v>874</v>
      </c>
      <c r="Q385" t="s">
        <v>49</v>
      </c>
      <c r="R385" t="s">
        <v>536</v>
      </c>
      <c r="S385" s="1">
        <v>45505</v>
      </c>
      <c r="T385" s="1">
        <v>45945</v>
      </c>
      <c r="U385" t="s">
        <v>51</v>
      </c>
      <c r="V385">
        <v>1</v>
      </c>
      <c r="W385" s="1">
        <v>45916</v>
      </c>
      <c r="X385" t="s">
        <v>52</v>
      </c>
      <c r="Y385" s="2">
        <v>1</v>
      </c>
      <c r="Z385" s="2">
        <v>1</v>
      </c>
      <c r="AB385" s="3">
        <v>1</v>
      </c>
      <c r="AC385" s="2">
        <v>2</v>
      </c>
      <c r="AG385" s="2">
        <v>0</v>
      </c>
      <c r="AH385" s="2">
        <v>2</v>
      </c>
      <c r="AI385" s="2">
        <v>0</v>
      </c>
      <c r="AK385">
        <v>5791563</v>
      </c>
      <c r="AL385" t="s">
        <v>416</v>
      </c>
    </row>
    <row r="386" spans="1:38" x14ac:dyDescent="0.25">
      <c r="A386" s="1">
        <v>45918</v>
      </c>
      <c r="B386" s="1">
        <v>45915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875</v>
      </c>
      <c r="J386" t="s">
        <v>876</v>
      </c>
      <c r="M386" t="s">
        <v>406</v>
      </c>
      <c r="O386" t="s">
        <v>359</v>
      </c>
      <c r="P386" t="s">
        <v>360</v>
      </c>
      <c r="Q386" t="s">
        <v>49</v>
      </c>
      <c r="R386" t="s">
        <v>415</v>
      </c>
      <c r="S386" s="1">
        <v>45505</v>
      </c>
      <c r="T386" s="1">
        <v>45945</v>
      </c>
      <c r="U386" t="s">
        <v>51</v>
      </c>
      <c r="V386">
        <v>1</v>
      </c>
      <c r="W386" s="1">
        <v>45916</v>
      </c>
      <c r="X386" t="s">
        <v>52</v>
      </c>
      <c r="Y386" s="2">
        <v>1</v>
      </c>
      <c r="Z386" s="2">
        <v>1</v>
      </c>
      <c r="AB386" s="3">
        <v>1</v>
      </c>
      <c r="AC386" s="2">
        <v>2</v>
      </c>
      <c r="AG386" s="2">
        <v>0</v>
      </c>
      <c r="AH386" s="2">
        <v>2</v>
      </c>
      <c r="AI386" s="2">
        <v>0</v>
      </c>
      <c r="AK386">
        <v>5791565</v>
      </c>
      <c r="AL386" t="s">
        <v>416</v>
      </c>
    </row>
    <row r="387" spans="1:38" x14ac:dyDescent="0.25">
      <c r="A387" s="1">
        <v>45918</v>
      </c>
      <c r="B387" s="1">
        <v>45915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877</v>
      </c>
      <c r="J387" t="s">
        <v>878</v>
      </c>
      <c r="M387" t="s">
        <v>406</v>
      </c>
      <c r="O387" t="s">
        <v>407</v>
      </c>
      <c r="P387" t="s">
        <v>408</v>
      </c>
      <c r="Q387" t="s">
        <v>49</v>
      </c>
      <c r="R387" t="s">
        <v>415</v>
      </c>
      <c r="S387" s="1">
        <v>45536</v>
      </c>
      <c r="T387" s="1">
        <v>45945</v>
      </c>
      <c r="U387" t="s">
        <v>51</v>
      </c>
      <c r="V387">
        <v>1</v>
      </c>
      <c r="W387" s="1">
        <v>45916</v>
      </c>
      <c r="X387" t="s">
        <v>52</v>
      </c>
      <c r="Y387" s="2">
        <v>1</v>
      </c>
      <c r="Z387" s="2">
        <v>1</v>
      </c>
      <c r="AB387" s="3">
        <v>1</v>
      </c>
      <c r="AC387" s="2">
        <v>2</v>
      </c>
      <c r="AG387" s="2">
        <v>0</v>
      </c>
      <c r="AH387" s="2">
        <v>2</v>
      </c>
      <c r="AI387" s="2">
        <v>0</v>
      </c>
      <c r="AK387">
        <v>5791581</v>
      </c>
      <c r="AL387" t="s">
        <v>416</v>
      </c>
    </row>
    <row r="388" spans="1:38" x14ac:dyDescent="0.25">
      <c r="A388" s="1">
        <v>45918</v>
      </c>
      <c r="B388" s="1">
        <v>45915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879</v>
      </c>
      <c r="J388" t="s">
        <v>880</v>
      </c>
      <c r="M388" t="s">
        <v>406</v>
      </c>
      <c r="O388" t="s">
        <v>359</v>
      </c>
      <c r="P388" t="s">
        <v>360</v>
      </c>
      <c r="Q388" t="s">
        <v>49</v>
      </c>
      <c r="R388" t="s">
        <v>415</v>
      </c>
      <c r="S388" s="1">
        <v>45536</v>
      </c>
      <c r="T388" s="1">
        <v>45945</v>
      </c>
      <c r="U388" t="s">
        <v>51</v>
      </c>
      <c r="V388">
        <v>1</v>
      </c>
      <c r="W388" s="1">
        <v>45916</v>
      </c>
      <c r="X388" t="s">
        <v>52</v>
      </c>
      <c r="Y388" s="2">
        <v>1</v>
      </c>
      <c r="Z388" s="2">
        <v>1</v>
      </c>
      <c r="AB388" s="3">
        <v>1</v>
      </c>
      <c r="AC388" s="2">
        <v>2</v>
      </c>
      <c r="AG388" s="2">
        <v>0</v>
      </c>
      <c r="AH388" s="2">
        <v>2</v>
      </c>
      <c r="AI388" s="2">
        <v>0</v>
      </c>
      <c r="AK388">
        <v>5791588</v>
      </c>
      <c r="AL388" t="s">
        <v>416</v>
      </c>
    </row>
    <row r="389" spans="1:38" x14ac:dyDescent="0.25">
      <c r="A389" s="1">
        <v>45918</v>
      </c>
      <c r="B389" s="1">
        <v>45915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881</v>
      </c>
      <c r="J389" t="s">
        <v>882</v>
      </c>
      <c r="M389" t="s">
        <v>401</v>
      </c>
      <c r="O389" t="s">
        <v>100</v>
      </c>
      <c r="P389" t="s">
        <v>101</v>
      </c>
      <c r="Q389" t="s">
        <v>49</v>
      </c>
      <c r="R389" t="s">
        <v>415</v>
      </c>
      <c r="S389" s="1">
        <v>45566</v>
      </c>
      <c r="T389" s="1">
        <v>45945</v>
      </c>
      <c r="U389" t="s">
        <v>51</v>
      </c>
      <c r="V389">
        <v>1</v>
      </c>
      <c r="W389" s="1">
        <v>45916</v>
      </c>
      <c r="X389" t="s">
        <v>52</v>
      </c>
      <c r="Y389" s="2">
        <v>1</v>
      </c>
      <c r="Z389" s="2">
        <v>1</v>
      </c>
      <c r="AB389" s="3">
        <v>1</v>
      </c>
      <c r="AC389" s="2">
        <v>2</v>
      </c>
      <c r="AG389" s="2">
        <v>0</v>
      </c>
      <c r="AH389" s="2">
        <v>2</v>
      </c>
      <c r="AI389" s="2">
        <v>0</v>
      </c>
      <c r="AK389">
        <v>5791591</v>
      </c>
      <c r="AL389" t="s">
        <v>416</v>
      </c>
    </row>
    <row r="390" spans="1:38" x14ac:dyDescent="0.25">
      <c r="A390" s="1">
        <v>45918</v>
      </c>
      <c r="B390" s="1">
        <v>45915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883</v>
      </c>
      <c r="J390" t="s">
        <v>884</v>
      </c>
      <c r="M390" t="s">
        <v>401</v>
      </c>
      <c r="O390" t="s">
        <v>220</v>
      </c>
      <c r="P390" t="s">
        <v>221</v>
      </c>
      <c r="Q390" t="s">
        <v>49</v>
      </c>
      <c r="R390" t="s">
        <v>415</v>
      </c>
      <c r="S390" s="1">
        <v>45505</v>
      </c>
      <c r="T390" s="1">
        <v>45945</v>
      </c>
      <c r="U390" t="s">
        <v>51</v>
      </c>
      <c r="V390">
        <v>1</v>
      </c>
      <c r="W390" s="1">
        <v>45916</v>
      </c>
      <c r="X390" t="s">
        <v>52</v>
      </c>
      <c r="Y390" s="2">
        <v>1</v>
      </c>
      <c r="Z390" s="2">
        <v>1</v>
      </c>
      <c r="AB390" s="3">
        <v>1</v>
      </c>
      <c r="AC390" s="2">
        <v>2</v>
      </c>
      <c r="AG390" s="2">
        <v>0</v>
      </c>
      <c r="AH390" s="2">
        <v>2</v>
      </c>
      <c r="AI390" s="2">
        <v>0</v>
      </c>
      <c r="AK390">
        <v>5791595</v>
      </c>
      <c r="AL390" t="s">
        <v>416</v>
      </c>
    </row>
    <row r="391" spans="1:38" x14ac:dyDescent="0.25">
      <c r="A391" s="1">
        <v>45918</v>
      </c>
      <c r="B391" s="1">
        <v>45915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885</v>
      </c>
      <c r="J391" t="s">
        <v>886</v>
      </c>
      <c r="M391" t="s">
        <v>887</v>
      </c>
      <c r="O391" t="s">
        <v>888</v>
      </c>
      <c r="P391" t="s">
        <v>889</v>
      </c>
      <c r="Q391" t="s">
        <v>49</v>
      </c>
      <c r="R391" t="s">
        <v>415</v>
      </c>
      <c r="S391" s="1">
        <v>45566</v>
      </c>
      <c r="T391" s="1">
        <v>45945</v>
      </c>
      <c r="U391" t="s">
        <v>51</v>
      </c>
      <c r="V391">
        <v>1</v>
      </c>
      <c r="W391" s="1">
        <v>45916</v>
      </c>
      <c r="X391" t="s">
        <v>52</v>
      </c>
      <c r="Y391" s="2">
        <v>1</v>
      </c>
      <c r="Z391" s="2">
        <v>1</v>
      </c>
      <c r="AB391" s="3">
        <v>1</v>
      </c>
      <c r="AC391" s="2">
        <v>2</v>
      </c>
      <c r="AG391" s="2">
        <v>0</v>
      </c>
      <c r="AH391" s="2">
        <v>2</v>
      </c>
      <c r="AI391" s="2">
        <v>0</v>
      </c>
      <c r="AK391">
        <v>5791605</v>
      </c>
      <c r="AL391" t="s">
        <v>416</v>
      </c>
    </row>
    <row r="392" spans="1:38" x14ac:dyDescent="0.25">
      <c r="A392" s="1">
        <v>45918</v>
      </c>
      <c r="B392" s="1">
        <v>45915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890</v>
      </c>
      <c r="J392" t="s">
        <v>891</v>
      </c>
      <c r="M392" t="s">
        <v>401</v>
      </c>
      <c r="O392" t="s">
        <v>100</v>
      </c>
      <c r="P392" t="s">
        <v>101</v>
      </c>
      <c r="Q392" t="s">
        <v>49</v>
      </c>
      <c r="R392" t="s">
        <v>415</v>
      </c>
      <c r="S392" s="1">
        <v>45505</v>
      </c>
      <c r="T392" s="1">
        <v>45945</v>
      </c>
      <c r="U392" t="s">
        <v>51</v>
      </c>
      <c r="V392">
        <v>1</v>
      </c>
      <c r="W392" s="1">
        <v>45916</v>
      </c>
      <c r="X392" t="s">
        <v>52</v>
      </c>
      <c r="Y392" s="2">
        <v>1</v>
      </c>
      <c r="Z392" s="2">
        <v>1</v>
      </c>
      <c r="AB392" s="3">
        <v>1</v>
      </c>
      <c r="AC392" s="2">
        <v>2</v>
      </c>
      <c r="AG392" s="2">
        <v>0</v>
      </c>
      <c r="AH392" s="2">
        <v>2</v>
      </c>
      <c r="AI392" s="2">
        <v>0</v>
      </c>
      <c r="AK392">
        <v>5791606</v>
      </c>
      <c r="AL392" t="s">
        <v>416</v>
      </c>
    </row>
    <row r="393" spans="1:38" x14ac:dyDescent="0.25">
      <c r="A393" s="1">
        <v>45918</v>
      </c>
      <c r="B393" s="1">
        <v>45915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892</v>
      </c>
      <c r="J393" t="s">
        <v>893</v>
      </c>
      <c r="M393" t="s">
        <v>406</v>
      </c>
      <c r="O393" t="s">
        <v>359</v>
      </c>
      <c r="P393" t="s">
        <v>360</v>
      </c>
      <c r="Q393" t="s">
        <v>49</v>
      </c>
      <c r="R393" t="s">
        <v>415</v>
      </c>
      <c r="S393" s="1">
        <v>45505</v>
      </c>
      <c r="T393" s="1">
        <v>45945</v>
      </c>
      <c r="U393" t="s">
        <v>51</v>
      </c>
      <c r="V393">
        <v>1</v>
      </c>
      <c r="W393" s="1">
        <v>45916</v>
      </c>
      <c r="X393" t="s">
        <v>52</v>
      </c>
      <c r="Y393" s="2">
        <v>1</v>
      </c>
      <c r="Z393" s="2">
        <v>1</v>
      </c>
      <c r="AB393" s="3">
        <v>1</v>
      </c>
      <c r="AC393" s="2">
        <v>2</v>
      </c>
      <c r="AG393" s="2">
        <v>0</v>
      </c>
      <c r="AH393" s="2">
        <v>2</v>
      </c>
      <c r="AI393" s="2">
        <v>0</v>
      </c>
      <c r="AK393">
        <v>5791610</v>
      </c>
      <c r="AL393" t="s">
        <v>416</v>
      </c>
    </row>
    <row r="394" spans="1:38" x14ac:dyDescent="0.25">
      <c r="A394" s="1">
        <v>45918</v>
      </c>
      <c r="B394" s="1">
        <v>45915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894</v>
      </c>
      <c r="J394" t="s">
        <v>895</v>
      </c>
      <c r="M394" t="s">
        <v>406</v>
      </c>
      <c r="O394" t="s">
        <v>407</v>
      </c>
      <c r="P394" t="s">
        <v>408</v>
      </c>
      <c r="Q394" t="s">
        <v>49</v>
      </c>
      <c r="R394" t="s">
        <v>896</v>
      </c>
      <c r="S394" s="1">
        <v>45474</v>
      </c>
      <c r="T394" s="1">
        <v>45945</v>
      </c>
      <c r="U394" t="s">
        <v>51</v>
      </c>
      <c r="V394">
        <v>1</v>
      </c>
      <c r="W394" s="1">
        <v>45916</v>
      </c>
      <c r="X394" t="s">
        <v>52</v>
      </c>
      <c r="Y394" s="2">
        <v>1</v>
      </c>
      <c r="Z394" s="2">
        <v>1</v>
      </c>
      <c r="AB394" s="3">
        <v>1</v>
      </c>
      <c r="AC394" s="2">
        <v>2</v>
      </c>
      <c r="AG394" s="2">
        <v>0</v>
      </c>
      <c r="AH394" s="2">
        <v>2</v>
      </c>
      <c r="AI394" s="2">
        <v>0</v>
      </c>
      <c r="AK394">
        <v>5791613</v>
      </c>
      <c r="AL394" t="s">
        <v>416</v>
      </c>
    </row>
    <row r="395" spans="1:38" x14ac:dyDescent="0.25">
      <c r="A395" s="1">
        <v>45918</v>
      </c>
      <c r="B395" s="1">
        <v>45915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897</v>
      </c>
      <c r="J395" t="s">
        <v>898</v>
      </c>
      <c r="M395" t="s">
        <v>406</v>
      </c>
      <c r="O395" t="s">
        <v>815</v>
      </c>
      <c r="P395" t="s">
        <v>816</v>
      </c>
      <c r="Q395" t="s">
        <v>49</v>
      </c>
      <c r="R395" t="s">
        <v>415</v>
      </c>
      <c r="S395" s="1">
        <v>45505</v>
      </c>
      <c r="T395" s="1">
        <v>45945</v>
      </c>
      <c r="U395" t="s">
        <v>51</v>
      </c>
      <c r="V395">
        <v>1</v>
      </c>
      <c r="W395" s="1">
        <v>45916</v>
      </c>
      <c r="X395" t="s">
        <v>52</v>
      </c>
      <c r="Y395" s="2">
        <v>1</v>
      </c>
      <c r="Z395" s="2">
        <v>1</v>
      </c>
      <c r="AB395" s="3">
        <v>1</v>
      </c>
      <c r="AC395" s="2">
        <v>2</v>
      </c>
      <c r="AG395" s="2">
        <v>0</v>
      </c>
      <c r="AH395" s="2">
        <v>2</v>
      </c>
      <c r="AI395" s="2">
        <v>0</v>
      </c>
      <c r="AK395">
        <v>5791616</v>
      </c>
      <c r="AL395" t="s">
        <v>416</v>
      </c>
    </row>
    <row r="396" spans="1:38" x14ac:dyDescent="0.25">
      <c r="A396" s="1">
        <v>45918</v>
      </c>
      <c r="B396" s="1">
        <v>45915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899</v>
      </c>
      <c r="J396" t="s">
        <v>900</v>
      </c>
      <c r="M396" t="s">
        <v>406</v>
      </c>
      <c r="O396" t="s">
        <v>407</v>
      </c>
      <c r="P396" t="s">
        <v>408</v>
      </c>
      <c r="Q396" t="s">
        <v>49</v>
      </c>
      <c r="R396" t="s">
        <v>415</v>
      </c>
      <c r="S396" s="1">
        <v>45505</v>
      </c>
      <c r="T396" s="1">
        <v>45945</v>
      </c>
      <c r="U396" t="s">
        <v>51</v>
      </c>
      <c r="V396">
        <v>1</v>
      </c>
      <c r="W396" s="1">
        <v>45916</v>
      </c>
      <c r="X396" t="s">
        <v>52</v>
      </c>
      <c r="Y396" s="2">
        <v>1</v>
      </c>
      <c r="Z396" s="2">
        <v>1</v>
      </c>
      <c r="AB396" s="3">
        <v>1</v>
      </c>
      <c r="AC396" s="2">
        <v>2</v>
      </c>
      <c r="AG396" s="2">
        <v>0</v>
      </c>
      <c r="AH396" s="2">
        <v>2</v>
      </c>
      <c r="AI396" s="2">
        <v>0</v>
      </c>
      <c r="AK396">
        <v>5791618</v>
      </c>
      <c r="AL396" t="s">
        <v>416</v>
      </c>
    </row>
    <row r="397" spans="1:38" x14ac:dyDescent="0.25">
      <c r="A397" s="1">
        <v>45918</v>
      </c>
      <c r="B397" s="1">
        <v>45915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901</v>
      </c>
      <c r="J397" t="s">
        <v>902</v>
      </c>
      <c r="M397" t="s">
        <v>401</v>
      </c>
      <c r="O397" t="s">
        <v>153</v>
      </c>
      <c r="P397" t="s">
        <v>154</v>
      </c>
      <c r="Q397" t="s">
        <v>49</v>
      </c>
      <c r="R397" t="s">
        <v>415</v>
      </c>
      <c r="S397" s="1">
        <v>45566</v>
      </c>
      <c r="T397" s="1">
        <v>45945</v>
      </c>
      <c r="U397" t="s">
        <v>51</v>
      </c>
      <c r="V397">
        <v>1</v>
      </c>
      <c r="W397" s="1">
        <v>45916</v>
      </c>
      <c r="X397" t="s">
        <v>52</v>
      </c>
      <c r="Y397" s="2">
        <v>1</v>
      </c>
      <c r="Z397" s="2">
        <v>1</v>
      </c>
      <c r="AB397" s="3">
        <v>1</v>
      </c>
      <c r="AC397" s="2">
        <v>2</v>
      </c>
      <c r="AG397" s="2">
        <v>0</v>
      </c>
      <c r="AH397" s="2">
        <v>2</v>
      </c>
      <c r="AI397" s="2">
        <v>0</v>
      </c>
      <c r="AK397">
        <v>5791631</v>
      </c>
      <c r="AL397" t="s">
        <v>416</v>
      </c>
    </row>
    <row r="398" spans="1:38" x14ac:dyDescent="0.25">
      <c r="A398" s="1">
        <v>45918</v>
      </c>
      <c r="B398" s="1">
        <v>45915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903</v>
      </c>
      <c r="J398" t="s">
        <v>904</v>
      </c>
      <c r="M398" t="s">
        <v>406</v>
      </c>
      <c r="O398" t="s">
        <v>407</v>
      </c>
      <c r="P398" t="s">
        <v>408</v>
      </c>
      <c r="Q398" t="s">
        <v>49</v>
      </c>
      <c r="R398" t="s">
        <v>415</v>
      </c>
      <c r="S398" s="1">
        <v>45505</v>
      </c>
      <c r="T398" s="1">
        <v>45945</v>
      </c>
      <c r="U398" t="s">
        <v>51</v>
      </c>
      <c r="V398">
        <v>1</v>
      </c>
      <c r="W398" s="1">
        <v>45916</v>
      </c>
      <c r="X398" t="s">
        <v>52</v>
      </c>
      <c r="Y398" s="2">
        <v>1</v>
      </c>
      <c r="Z398" s="2">
        <v>1</v>
      </c>
      <c r="AB398" s="3">
        <v>1</v>
      </c>
      <c r="AC398" s="2">
        <v>2</v>
      </c>
      <c r="AG398" s="2">
        <v>0</v>
      </c>
      <c r="AH398" s="2">
        <v>2</v>
      </c>
      <c r="AI398" s="2">
        <v>0</v>
      </c>
      <c r="AK398">
        <v>5791636</v>
      </c>
      <c r="AL398" t="s">
        <v>416</v>
      </c>
    </row>
    <row r="399" spans="1:38" x14ac:dyDescent="0.25">
      <c r="A399" s="1">
        <v>45918</v>
      </c>
      <c r="B399" s="1">
        <v>45915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905</v>
      </c>
      <c r="J399" t="s">
        <v>906</v>
      </c>
      <c r="M399" t="s">
        <v>650</v>
      </c>
      <c r="O399" t="s">
        <v>100</v>
      </c>
      <c r="P399" t="s">
        <v>101</v>
      </c>
      <c r="Q399" t="s">
        <v>49</v>
      </c>
      <c r="R399" t="s">
        <v>415</v>
      </c>
      <c r="S399" s="1">
        <v>45566</v>
      </c>
      <c r="T399" s="1">
        <v>45945</v>
      </c>
      <c r="U399" t="s">
        <v>51</v>
      </c>
      <c r="V399">
        <v>1</v>
      </c>
      <c r="W399" s="1">
        <v>45916</v>
      </c>
      <c r="X399" t="s">
        <v>52</v>
      </c>
      <c r="Y399" s="2">
        <v>1</v>
      </c>
      <c r="Z399" s="2">
        <v>1</v>
      </c>
      <c r="AB399" s="3">
        <v>1</v>
      </c>
      <c r="AC399" s="2">
        <v>2</v>
      </c>
      <c r="AG399" s="2">
        <v>0</v>
      </c>
      <c r="AH399" s="2">
        <v>2</v>
      </c>
      <c r="AI399" s="2">
        <v>0</v>
      </c>
      <c r="AK399">
        <v>5791638</v>
      </c>
      <c r="AL399" t="s">
        <v>416</v>
      </c>
    </row>
    <row r="400" spans="1:38" x14ac:dyDescent="0.25">
      <c r="A400" s="1">
        <v>45918</v>
      </c>
      <c r="B400" s="1">
        <v>45915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907</v>
      </c>
      <c r="J400" t="s">
        <v>908</v>
      </c>
      <c r="M400" t="s">
        <v>401</v>
      </c>
      <c r="O400" t="s">
        <v>100</v>
      </c>
      <c r="P400" t="s">
        <v>101</v>
      </c>
      <c r="Q400" t="s">
        <v>49</v>
      </c>
      <c r="R400" t="s">
        <v>415</v>
      </c>
      <c r="S400" s="1">
        <v>45505</v>
      </c>
      <c r="T400" s="1">
        <v>45945</v>
      </c>
      <c r="U400" t="s">
        <v>51</v>
      </c>
      <c r="V400">
        <v>1</v>
      </c>
      <c r="W400" s="1">
        <v>45916</v>
      </c>
      <c r="X400" t="s">
        <v>52</v>
      </c>
      <c r="Y400" s="2">
        <v>1</v>
      </c>
      <c r="Z400" s="2">
        <v>1</v>
      </c>
      <c r="AB400" s="3">
        <v>1</v>
      </c>
      <c r="AC400" s="2">
        <v>2</v>
      </c>
      <c r="AG400" s="2">
        <v>0</v>
      </c>
      <c r="AH400" s="2">
        <v>2</v>
      </c>
      <c r="AI400" s="2">
        <v>0</v>
      </c>
      <c r="AK400">
        <v>5791641</v>
      </c>
      <c r="AL400" t="s">
        <v>416</v>
      </c>
    </row>
    <row r="401" spans="1:38" x14ac:dyDescent="0.25">
      <c r="A401" s="1">
        <v>45918</v>
      </c>
      <c r="B401" s="1">
        <v>45915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909</v>
      </c>
      <c r="J401" t="s">
        <v>910</v>
      </c>
      <c r="M401" t="s">
        <v>406</v>
      </c>
      <c r="O401" t="s">
        <v>407</v>
      </c>
      <c r="P401" t="s">
        <v>408</v>
      </c>
      <c r="Q401" t="s">
        <v>49</v>
      </c>
      <c r="R401" t="s">
        <v>415</v>
      </c>
      <c r="S401" s="1">
        <v>45505</v>
      </c>
      <c r="T401" s="1">
        <v>45945</v>
      </c>
      <c r="U401" t="s">
        <v>51</v>
      </c>
      <c r="V401">
        <v>1</v>
      </c>
      <c r="W401" s="1">
        <v>45916</v>
      </c>
      <c r="X401" t="s">
        <v>52</v>
      </c>
      <c r="Y401" s="2">
        <v>1</v>
      </c>
      <c r="Z401" s="2">
        <v>1</v>
      </c>
      <c r="AB401" s="3">
        <v>1</v>
      </c>
      <c r="AC401" s="2">
        <v>2</v>
      </c>
      <c r="AG401" s="2">
        <v>0</v>
      </c>
      <c r="AH401" s="2">
        <v>2</v>
      </c>
      <c r="AI401" s="2">
        <v>0</v>
      </c>
      <c r="AK401">
        <v>5791642</v>
      </c>
      <c r="AL401" t="s">
        <v>416</v>
      </c>
    </row>
    <row r="402" spans="1:38" x14ac:dyDescent="0.25">
      <c r="A402" s="1">
        <v>45918</v>
      </c>
      <c r="B402" s="1">
        <v>45915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911</v>
      </c>
      <c r="J402" t="s">
        <v>912</v>
      </c>
      <c r="M402" t="s">
        <v>650</v>
      </c>
      <c r="O402" t="s">
        <v>100</v>
      </c>
      <c r="P402" t="s">
        <v>101</v>
      </c>
      <c r="Q402" t="s">
        <v>49</v>
      </c>
      <c r="R402" t="s">
        <v>415</v>
      </c>
      <c r="S402" s="1">
        <v>45505</v>
      </c>
      <c r="T402" s="1">
        <v>45945</v>
      </c>
      <c r="U402" t="s">
        <v>51</v>
      </c>
      <c r="V402">
        <v>1</v>
      </c>
      <c r="W402" s="1">
        <v>45916</v>
      </c>
      <c r="X402" t="s">
        <v>52</v>
      </c>
      <c r="Y402" s="2">
        <v>1</v>
      </c>
      <c r="Z402" s="2">
        <v>1</v>
      </c>
      <c r="AB402" s="3">
        <v>1</v>
      </c>
      <c r="AC402" s="2">
        <v>2</v>
      </c>
      <c r="AG402" s="2">
        <v>0</v>
      </c>
      <c r="AH402" s="2">
        <v>2</v>
      </c>
      <c r="AI402" s="2">
        <v>0</v>
      </c>
      <c r="AK402">
        <v>5791660</v>
      </c>
      <c r="AL402" t="s">
        <v>416</v>
      </c>
    </row>
    <row r="403" spans="1:38" x14ac:dyDescent="0.25">
      <c r="A403" s="1">
        <v>45918</v>
      </c>
      <c r="B403" s="1">
        <v>45915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913</v>
      </c>
      <c r="J403" t="s">
        <v>914</v>
      </c>
      <c r="M403" t="s">
        <v>849</v>
      </c>
      <c r="O403" t="s">
        <v>220</v>
      </c>
      <c r="P403" t="s">
        <v>221</v>
      </c>
      <c r="Q403" t="s">
        <v>49</v>
      </c>
      <c r="R403" t="s">
        <v>415</v>
      </c>
      <c r="S403" s="1">
        <v>45536</v>
      </c>
      <c r="T403" s="1">
        <v>45945</v>
      </c>
      <c r="U403" t="s">
        <v>51</v>
      </c>
      <c r="V403">
        <v>1</v>
      </c>
      <c r="W403" s="1">
        <v>45916</v>
      </c>
      <c r="X403" t="s">
        <v>52</v>
      </c>
      <c r="Y403" s="2">
        <v>1</v>
      </c>
      <c r="Z403" s="2">
        <v>1</v>
      </c>
      <c r="AB403" s="3">
        <v>1</v>
      </c>
      <c r="AC403" s="2">
        <v>2</v>
      </c>
      <c r="AG403" s="2">
        <v>0</v>
      </c>
      <c r="AH403" s="2">
        <v>2</v>
      </c>
      <c r="AI403" s="2">
        <v>0</v>
      </c>
      <c r="AK403">
        <v>5791677</v>
      </c>
      <c r="AL403" t="s">
        <v>416</v>
      </c>
    </row>
    <row r="404" spans="1:38" x14ac:dyDescent="0.25">
      <c r="A404" s="1">
        <v>45918</v>
      </c>
      <c r="B404" s="1">
        <v>45915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915</v>
      </c>
      <c r="J404" t="s">
        <v>916</v>
      </c>
      <c r="M404" t="s">
        <v>401</v>
      </c>
      <c r="O404" t="s">
        <v>347</v>
      </c>
      <c r="P404" t="s">
        <v>348</v>
      </c>
      <c r="Q404" t="s">
        <v>49</v>
      </c>
      <c r="R404" t="s">
        <v>415</v>
      </c>
      <c r="S404" s="1">
        <v>45566</v>
      </c>
      <c r="T404" s="1">
        <v>45945</v>
      </c>
      <c r="U404" t="s">
        <v>51</v>
      </c>
      <c r="V404">
        <v>1</v>
      </c>
      <c r="W404" s="1">
        <v>45916</v>
      </c>
      <c r="X404" t="s">
        <v>52</v>
      </c>
      <c r="Y404" s="2">
        <v>1</v>
      </c>
      <c r="Z404" s="2">
        <v>1</v>
      </c>
      <c r="AB404" s="3">
        <v>1</v>
      </c>
      <c r="AC404" s="2">
        <v>2</v>
      </c>
      <c r="AG404" s="2">
        <v>0</v>
      </c>
      <c r="AH404" s="2">
        <v>2</v>
      </c>
      <c r="AI404" s="2">
        <v>0</v>
      </c>
      <c r="AK404">
        <v>5791685</v>
      </c>
      <c r="AL404" t="s">
        <v>416</v>
      </c>
    </row>
    <row r="405" spans="1:38" x14ac:dyDescent="0.25">
      <c r="A405" s="1">
        <v>45918</v>
      </c>
      <c r="B405" s="1">
        <v>45915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917</v>
      </c>
      <c r="J405" t="s">
        <v>918</v>
      </c>
      <c r="M405" t="s">
        <v>421</v>
      </c>
      <c r="O405" t="s">
        <v>100</v>
      </c>
      <c r="P405" t="s">
        <v>101</v>
      </c>
      <c r="Q405" t="s">
        <v>49</v>
      </c>
      <c r="R405" t="s">
        <v>415</v>
      </c>
      <c r="S405" s="1">
        <v>45505</v>
      </c>
      <c r="T405" s="1">
        <v>45945</v>
      </c>
      <c r="U405" t="s">
        <v>51</v>
      </c>
      <c r="V405">
        <v>1</v>
      </c>
      <c r="W405" s="1">
        <v>45916</v>
      </c>
      <c r="X405" t="s">
        <v>52</v>
      </c>
      <c r="Y405" s="2">
        <v>1</v>
      </c>
      <c r="Z405" s="2">
        <v>1</v>
      </c>
      <c r="AB405" s="3">
        <v>1</v>
      </c>
      <c r="AC405" s="2">
        <v>2</v>
      </c>
      <c r="AG405" s="2">
        <v>0</v>
      </c>
      <c r="AH405" s="2">
        <v>2</v>
      </c>
      <c r="AI405" s="2">
        <v>0</v>
      </c>
      <c r="AK405">
        <v>5791688</v>
      </c>
      <c r="AL405" t="s">
        <v>416</v>
      </c>
    </row>
    <row r="406" spans="1:38" x14ac:dyDescent="0.25">
      <c r="A406" s="1">
        <v>45918</v>
      </c>
      <c r="B406" s="1">
        <v>45915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919</v>
      </c>
      <c r="J406" t="s">
        <v>920</v>
      </c>
      <c r="M406" t="s">
        <v>406</v>
      </c>
      <c r="O406" t="s">
        <v>359</v>
      </c>
      <c r="P406" t="s">
        <v>360</v>
      </c>
      <c r="Q406" t="s">
        <v>49</v>
      </c>
      <c r="R406" t="s">
        <v>415</v>
      </c>
      <c r="S406" s="1">
        <v>45536</v>
      </c>
      <c r="T406" s="1">
        <v>45945</v>
      </c>
      <c r="U406" t="s">
        <v>51</v>
      </c>
      <c r="V406">
        <v>1</v>
      </c>
      <c r="W406" s="1">
        <v>45916</v>
      </c>
      <c r="X406" t="s">
        <v>52</v>
      </c>
      <c r="Y406" s="2">
        <v>1</v>
      </c>
      <c r="Z406" s="2">
        <v>1</v>
      </c>
      <c r="AB406" s="3">
        <v>1</v>
      </c>
      <c r="AC406" s="2">
        <v>2</v>
      </c>
      <c r="AG406" s="2">
        <v>0</v>
      </c>
      <c r="AH406" s="2">
        <v>2</v>
      </c>
      <c r="AI406" s="2">
        <v>0</v>
      </c>
      <c r="AK406">
        <v>5791697</v>
      </c>
      <c r="AL406" t="s">
        <v>416</v>
      </c>
    </row>
    <row r="407" spans="1:38" x14ac:dyDescent="0.25">
      <c r="A407" s="1">
        <v>45918</v>
      </c>
      <c r="B407" s="1">
        <v>45915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921</v>
      </c>
      <c r="J407" t="s">
        <v>922</v>
      </c>
      <c r="M407" t="s">
        <v>401</v>
      </c>
      <c r="O407" t="s">
        <v>923</v>
      </c>
      <c r="P407" t="s">
        <v>924</v>
      </c>
      <c r="Q407" t="s">
        <v>49</v>
      </c>
      <c r="R407" t="s">
        <v>536</v>
      </c>
      <c r="S407" s="1">
        <v>45536</v>
      </c>
      <c r="T407" s="1">
        <v>45945</v>
      </c>
      <c r="U407" t="s">
        <v>51</v>
      </c>
      <c r="V407">
        <v>1</v>
      </c>
      <c r="W407" s="1">
        <v>45916</v>
      </c>
      <c r="X407" t="s">
        <v>52</v>
      </c>
      <c r="Y407" s="2">
        <v>1</v>
      </c>
      <c r="Z407" s="2">
        <v>1</v>
      </c>
      <c r="AB407" s="3">
        <v>1</v>
      </c>
      <c r="AC407" s="2">
        <v>2</v>
      </c>
      <c r="AG407" s="2">
        <v>0</v>
      </c>
      <c r="AH407" s="2">
        <v>2</v>
      </c>
      <c r="AI407" s="2">
        <v>0</v>
      </c>
      <c r="AK407">
        <v>5791705</v>
      </c>
      <c r="AL407" t="s">
        <v>416</v>
      </c>
    </row>
    <row r="408" spans="1:38" x14ac:dyDescent="0.25">
      <c r="A408" s="1">
        <v>45918</v>
      </c>
      <c r="B408" s="1">
        <v>45915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925</v>
      </c>
      <c r="J408" t="s">
        <v>926</v>
      </c>
      <c r="M408" t="s">
        <v>401</v>
      </c>
      <c r="O408" t="s">
        <v>367</v>
      </c>
      <c r="P408" t="s">
        <v>368</v>
      </c>
      <c r="Q408" t="s">
        <v>49</v>
      </c>
      <c r="R408" t="s">
        <v>415</v>
      </c>
      <c r="S408" s="1">
        <v>45566</v>
      </c>
      <c r="T408" s="1">
        <v>45945</v>
      </c>
      <c r="U408" t="s">
        <v>51</v>
      </c>
      <c r="V408">
        <v>1</v>
      </c>
      <c r="W408" s="1">
        <v>45916</v>
      </c>
      <c r="X408" t="s">
        <v>52</v>
      </c>
      <c r="Y408" s="2">
        <v>1</v>
      </c>
      <c r="Z408" s="2">
        <v>1</v>
      </c>
      <c r="AB408" s="3">
        <v>1</v>
      </c>
      <c r="AC408" s="2">
        <v>2</v>
      </c>
      <c r="AG408" s="2">
        <v>0</v>
      </c>
      <c r="AH408" s="2">
        <v>2</v>
      </c>
      <c r="AI408" s="2">
        <v>0</v>
      </c>
      <c r="AK408">
        <v>5791706</v>
      </c>
      <c r="AL408" t="s">
        <v>416</v>
      </c>
    </row>
    <row r="409" spans="1:38" x14ac:dyDescent="0.25">
      <c r="A409" s="1">
        <v>45918</v>
      </c>
      <c r="B409" s="1">
        <v>45915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927</v>
      </c>
      <c r="J409" t="s">
        <v>928</v>
      </c>
      <c r="M409" t="s">
        <v>406</v>
      </c>
      <c r="O409" t="s">
        <v>359</v>
      </c>
      <c r="P409" t="s">
        <v>360</v>
      </c>
      <c r="Q409" t="s">
        <v>49</v>
      </c>
      <c r="R409" t="s">
        <v>415</v>
      </c>
      <c r="S409" s="1">
        <v>45536</v>
      </c>
      <c r="T409" s="1">
        <v>45945</v>
      </c>
      <c r="U409" t="s">
        <v>51</v>
      </c>
      <c r="V409">
        <v>1</v>
      </c>
      <c r="W409" s="1">
        <v>45916</v>
      </c>
      <c r="X409" t="s">
        <v>52</v>
      </c>
      <c r="Y409" s="2">
        <v>1</v>
      </c>
      <c r="Z409" s="2">
        <v>1</v>
      </c>
      <c r="AB409" s="3">
        <v>1</v>
      </c>
      <c r="AC409" s="2">
        <v>2</v>
      </c>
      <c r="AG409" s="2">
        <v>0</v>
      </c>
      <c r="AH409" s="2">
        <v>2</v>
      </c>
      <c r="AI409" s="2">
        <v>0</v>
      </c>
      <c r="AK409">
        <v>5791711</v>
      </c>
      <c r="AL409" t="s">
        <v>416</v>
      </c>
    </row>
    <row r="410" spans="1:38" x14ac:dyDescent="0.25">
      <c r="A410" s="1">
        <v>45918</v>
      </c>
      <c r="B410" s="1">
        <v>45915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929</v>
      </c>
      <c r="J410" t="s">
        <v>930</v>
      </c>
      <c r="M410" t="s">
        <v>406</v>
      </c>
      <c r="O410" t="s">
        <v>811</v>
      </c>
      <c r="P410" t="s">
        <v>812</v>
      </c>
      <c r="Q410" t="s">
        <v>49</v>
      </c>
      <c r="R410" t="s">
        <v>415</v>
      </c>
      <c r="S410" s="1">
        <v>45566</v>
      </c>
      <c r="T410" s="1">
        <v>45945</v>
      </c>
      <c r="U410" t="s">
        <v>51</v>
      </c>
      <c r="V410">
        <v>1</v>
      </c>
      <c r="W410" s="1">
        <v>45916</v>
      </c>
      <c r="X410" t="s">
        <v>52</v>
      </c>
      <c r="Y410" s="2">
        <v>1</v>
      </c>
      <c r="Z410" s="2">
        <v>1</v>
      </c>
      <c r="AB410" s="3">
        <v>1</v>
      </c>
      <c r="AC410" s="2">
        <v>2</v>
      </c>
      <c r="AG410" s="2">
        <v>0</v>
      </c>
      <c r="AH410" s="2">
        <v>2</v>
      </c>
      <c r="AI410" s="2">
        <v>0</v>
      </c>
      <c r="AK410">
        <v>5791722</v>
      </c>
      <c r="AL410" t="s">
        <v>416</v>
      </c>
    </row>
    <row r="411" spans="1:38" x14ac:dyDescent="0.25">
      <c r="A411" s="1">
        <v>45918</v>
      </c>
      <c r="B411" s="1">
        <v>45915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931</v>
      </c>
      <c r="J411" t="s">
        <v>932</v>
      </c>
      <c r="M411" t="s">
        <v>401</v>
      </c>
      <c r="O411" t="s">
        <v>74</v>
      </c>
      <c r="P411" t="s">
        <v>75</v>
      </c>
      <c r="Q411" t="s">
        <v>49</v>
      </c>
      <c r="R411" t="s">
        <v>415</v>
      </c>
      <c r="S411" s="1">
        <v>45566</v>
      </c>
      <c r="T411" s="1">
        <v>45945</v>
      </c>
      <c r="U411" t="s">
        <v>51</v>
      </c>
      <c r="V411">
        <v>1</v>
      </c>
      <c r="W411" s="1">
        <v>45916</v>
      </c>
      <c r="X411" t="s">
        <v>52</v>
      </c>
      <c r="Y411" s="2">
        <v>1</v>
      </c>
      <c r="Z411" s="2">
        <v>1</v>
      </c>
      <c r="AB411" s="3">
        <v>1</v>
      </c>
      <c r="AC411" s="2">
        <v>2</v>
      </c>
      <c r="AG411" s="2">
        <v>0</v>
      </c>
      <c r="AH411" s="2">
        <v>2</v>
      </c>
      <c r="AI411" s="2">
        <v>0</v>
      </c>
      <c r="AK411">
        <v>5791724</v>
      </c>
      <c r="AL411" t="s">
        <v>416</v>
      </c>
    </row>
    <row r="412" spans="1:38" x14ac:dyDescent="0.25">
      <c r="A412" s="1">
        <v>45918</v>
      </c>
      <c r="B412" s="1">
        <v>45915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933</v>
      </c>
      <c r="J412" t="s">
        <v>934</v>
      </c>
      <c r="M412" t="s">
        <v>935</v>
      </c>
      <c r="O412" t="s">
        <v>100</v>
      </c>
      <c r="P412" t="s">
        <v>101</v>
      </c>
      <c r="Q412" t="s">
        <v>49</v>
      </c>
      <c r="R412" t="s">
        <v>415</v>
      </c>
      <c r="S412" s="1">
        <v>45536</v>
      </c>
      <c r="T412" s="1">
        <v>45945</v>
      </c>
      <c r="U412" t="s">
        <v>51</v>
      </c>
      <c r="V412">
        <v>-1</v>
      </c>
      <c r="W412" s="1">
        <v>45916</v>
      </c>
      <c r="X412" t="s">
        <v>52</v>
      </c>
      <c r="Y412" s="2">
        <v>-1</v>
      </c>
      <c r="Z412" s="2">
        <v>-1</v>
      </c>
      <c r="AB412" s="3">
        <v>1</v>
      </c>
      <c r="AC412" s="2">
        <v>-2</v>
      </c>
      <c r="AG412" s="2">
        <v>0</v>
      </c>
      <c r="AH412" s="2">
        <v>-2</v>
      </c>
      <c r="AI412" s="2">
        <v>0</v>
      </c>
      <c r="AK412">
        <v>5791725</v>
      </c>
      <c r="AL412" t="s">
        <v>416</v>
      </c>
    </row>
    <row r="413" spans="1:38" x14ac:dyDescent="0.25">
      <c r="A413" s="1">
        <v>45918</v>
      </c>
      <c r="B413" s="1">
        <v>45915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936</v>
      </c>
      <c r="J413" t="s">
        <v>937</v>
      </c>
      <c r="M413" t="s">
        <v>406</v>
      </c>
      <c r="O413" t="s">
        <v>359</v>
      </c>
      <c r="P413" t="s">
        <v>360</v>
      </c>
      <c r="Q413" t="s">
        <v>49</v>
      </c>
      <c r="R413" t="s">
        <v>415</v>
      </c>
      <c r="S413" s="1">
        <v>45597</v>
      </c>
      <c r="T413" s="1">
        <v>45945</v>
      </c>
      <c r="U413" t="s">
        <v>51</v>
      </c>
      <c r="V413">
        <v>1</v>
      </c>
      <c r="W413" s="1">
        <v>45916</v>
      </c>
      <c r="X413" t="s">
        <v>52</v>
      </c>
      <c r="Y413" s="2">
        <v>1</v>
      </c>
      <c r="Z413" s="2">
        <v>1</v>
      </c>
      <c r="AB413" s="3">
        <v>1</v>
      </c>
      <c r="AC413" s="2">
        <v>2</v>
      </c>
      <c r="AG413" s="2">
        <v>0</v>
      </c>
      <c r="AH413" s="2">
        <v>2</v>
      </c>
      <c r="AI413" s="2">
        <v>0</v>
      </c>
      <c r="AK413">
        <v>5791739</v>
      </c>
      <c r="AL413" t="s">
        <v>416</v>
      </c>
    </row>
    <row r="414" spans="1:38" x14ac:dyDescent="0.25">
      <c r="A414" s="1">
        <v>45918</v>
      </c>
      <c r="B414" s="1">
        <v>45915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938</v>
      </c>
      <c r="J414" t="s">
        <v>939</v>
      </c>
      <c r="M414" t="s">
        <v>406</v>
      </c>
      <c r="O414" t="s">
        <v>359</v>
      </c>
      <c r="P414" t="s">
        <v>360</v>
      </c>
      <c r="Q414" t="s">
        <v>49</v>
      </c>
      <c r="R414" t="s">
        <v>415</v>
      </c>
      <c r="S414" s="1">
        <v>45536</v>
      </c>
      <c r="T414" s="1">
        <v>45945</v>
      </c>
      <c r="U414" t="s">
        <v>51</v>
      </c>
      <c r="V414">
        <v>1</v>
      </c>
      <c r="W414" s="1">
        <v>45916</v>
      </c>
      <c r="X414" t="s">
        <v>52</v>
      </c>
      <c r="Y414" s="2">
        <v>1</v>
      </c>
      <c r="Z414" s="2">
        <v>1</v>
      </c>
      <c r="AB414" s="3">
        <v>1</v>
      </c>
      <c r="AC414" s="2">
        <v>2</v>
      </c>
      <c r="AG414" s="2">
        <v>0</v>
      </c>
      <c r="AH414" s="2">
        <v>2</v>
      </c>
      <c r="AI414" s="2">
        <v>0</v>
      </c>
      <c r="AK414">
        <v>5791741</v>
      </c>
      <c r="AL414" t="s">
        <v>416</v>
      </c>
    </row>
    <row r="415" spans="1:38" x14ac:dyDescent="0.25">
      <c r="A415" s="1">
        <v>45918</v>
      </c>
      <c r="B415" s="1">
        <v>45915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940</v>
      </c>
      <c r="J415" t="s">
        <v>941</v>
      </c>
      <c r="M415" t="s">
        <v>406</v>
      </c>
      <c r="O415" t="s">
        <v>41</v>
      </c>
      <c r="P415" t="s">
        <v>43</v>
      </c>
      <c r="Q415" t="s">
        <v>49</v>
      </c>
      <c r="R415" t="s">
        <v>415</v>
      </c>
      <c r="S415" s="1">
        <v>45536</v>
      </c>
      <c r="T415" s="1">
        <v>45945</v>
      </c>
      <c r="U415" t="s">
        <v>51</v>
      </c>
      <c r="V415">
        <v>1</v>
      </c>
      <c r="W415" s="1">
        <v>45916</v>
      </c>
      <c r="X415" t="s">
        <v>52</v>
      </c>
      <c r="Y415" s="2">
        <v>1</v>
      </c>
      <c r="Z415" s="2">
        <v>1</v>
      </c>
      <c r="AB415" s="3">
        <v>1</v>
      </c>
      <c r="AC415" s="2">
        <v>2</v>
      </c>
      <c r="AG415" s="2">
        <v>0</v>
      </c>
      <c r="AH415" s="2">
        <v>2</v>
      </c>
      <c r="AI415" s="2">
        <v>0</v>
      </c>
      <c r="AK415">
        <v>5791750</v>
      </c>
      <c r="AL415" t="s">
        <v>416</v>
      </c>
    </row>
    <row r="416" spans="1:38" x14ac:dyDescent="0.25">
      <c r="A416" s="1">
        <v>45918</v>
      </c>
      <c r="B416" s="1">
        <v>45915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942</v>
      </c>
      <c r="J416" t="s">
        <v>943</v>
      </c>
      <c r="M416" t="s">
        <v>406</v>
      </c>
      <c r="O416" t="s">
        <v>359</v>
      </c>
      <c r="P416" t="s">
        <v>360</v>
      </c>
      <c r="Q416" t="s">
        <v>49</v>
      </c>
      <c r="R416" t="s">
        <v>415</v>
      </c>
      <c r="S416" s="1">
        <v>45566</v>
      </c>
      <c r="T416" s="1">
        <v>45945</v>
      </c>
      <c r="U416" t="s">
        <v>51</v>
      </c>
      <c r="V416">
        <v>1</v>
      </c>
      <c r="W416" s="1">
        <v>45916</v>
      </c>
      <c r="X416" t="s">
        <v>52</v>
      </c>
      <c r="Y416" s="2">
        <v>1</v>
      </c>
      <c r="Z416" s="2">
        <v>1</v>
      </c>
      <c r="AB416" s="3">
        <v>1</v>
      </c>
      <c r="AC416" s="2">
        <v>2</v>
      </c>
      <c r="AG416" s="2">
        <v>0</v>
      </c>
      <c r="AH416" s="2">
        <v>2</v>
      </c>
      <c r="AI416" s="2">
        <v>0</v>
      </c>
      <c r="AK416">
        <v>5791778</v>
      </c>
      <c r="AL416" t="s">
        <v>416</v>
      </c>
    </row>
    <row r="417" spans="1:38" x14ac:dyDescent="0.25">
      <c r="A417" s="1">
        <v>45918</v>
      </c>
      <c r="B417" s="1">
        <v>45915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944</v>
      </c>
      <c r="J417" t="s">
        <v>945</v>
      </c>
      <c r="M417" t="s">
        <v>406</v>
      </c>
      <c r="O417" t="s">
        <v>359</v>
      </c>
      <c r="P417" t="s">
        <v>360</v>
      </c>
      <c r="Q417" t="s">
        <v>49</v>
      </c>
      <c r="R417" t="s">
        <v>415</v>
      </c>
      <c r="S417" s="1">
        <v>45536</v>
      </c>
      <c r="T417" s="1">
        <v>45945</v>
      </c>
      <c r="U417" t="s">
        <v>51</v>
      </c>
      <c r="V417">
        <v>1</v>
      </c>
      <c r="W417" s="1">
        <v>45916</v>
      </c>
      <c r="X417" t="s">
        <v>52</v>
      </c>
      <c r="Y417" s="2">
        <v>1</v>
      </c>
      <c r="Z417" s="2">
        <v>1</v>
      </c>
      <c r="AB417" s="3">
        <v>1</v>
      </c>
      <c r="AC417" s="2">
        <v>2</v>
      </c>
      <c r="AG417" s="2">
        <v>0</v>
      </c>
      <c r="AH417" s="2">
        <v>2</v>
      </c>
      <c r="AI417" s="2">
        <v>0</v>
      </c>
      <c r="AK417">
        <v>5791780</v>
      </c>
      <c r="AL417" t="s">
        <v>416</v>
      </c>
    </row>
    <row r="418" spans="1:38" x14ac:dyDescent="0.25">
      <c r="A418" s="1">
        <v>45918</v>
      </c>
      <c r="B418" s="1">
        <v>45915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946</v>
      </c>
      <c r="J418" t="s">
        <v>947</v>
      </c>
      <c r="M418" t="s">
        <v>401</v>
      </c>
      <c r="O418" t="s">
        <v>367</v>
      </c>
      <c r="P418" t="s">
        <v>368</v>
      </c>
      <c r="Q418" t="s">
        <v>49</v>
      </c>
      <c r="R418" t="s">
        <v>415</v>
      </c>
      <c r="S418" s="1">
        <v>45566</v>
      </c>
      <c r="T418" s="1">
        <v>45945</v>
      </c>
      <c r="U418" t="s">
        <v>51</v>
      </c>
      <c r="V418">
        <v>1</v>
      </c>
      <c r="W418" s="1">
        <v>45916</v>
      </c>
      <c r="X418" t="s">
        <v>52</v>
      </c>
      <c r="Y418" s="2">
        <v>1</v>
      </c>
      <c r="Z418" s="2">
        <v>1</v>
      </c>
      <c r="AB418" s="3">
        <v>1</v>
      </c>
      <c r="AC418" s="2">
        <v>2</v>
      </c>
      <c r="AG418" s="2">
        <v>0</v>
      </c>
      <c r="AH418" s="2">
        <v>2</v>
      </c>
      <c r="AI418" s="2">
        <v>0</v>
      </c>
      <c r="AK418">
        <v>5791788</v>
      </c>
      <c r="AL418" t="s">
        <v>416</v>
      </c>
    </row>
    <row r="419" spans="1:38" x14ac:dyDescent="0.25">
      <c r="A419" s="1">
        <v>45918</v>
      </c>
      <c r="B419" s="1">
        <v>45915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948</v>
      </c>
      <c r="J419" t="s">
        <v>949</v>
      </c>
      <c r="M419" t="s">
        <v>950</v>
      </c>
      <c r="O419" t="s">
        <v>100</v>
      </c>
      <c r="P419" t="s">
        <v>101</v>
      </c>
      <c r="Q419" t="s">
        <v>49</v>
      </c>
      <c r="R419" t="s">
        <v>415</v>
      </c>
      <c r="S419" s="1">
        <v>45597</v>
      </c>
      <c r="T419" s="1">
        <v>45945</v>
      </c>
      <c r="U419" t="s">
        <v>51</v>
      </c>
      <c r="V419">
        <v>1</v>
      </c>
      <c r="W419" s="1">
        <v>45916</v>
      </c>
      <c r="X419" t="s">
        <v>52</v>
      </c>
      <c r="Y419" s="2">
        <v>1</v>
      </c>
      <c r="Z419" s="2">
        <v>1</v>
      </c>
      <c r="AB419" s="3">
        <v>1</v>
      </c>
      <c r="AC419" s="2">
        <v>2</v>
      </c>
      <c r="AG419" s="2">
        <v>0</v>
      </c>
      <c r="AH419" s="2">
        <v>2</v>
      </c>
      <c r="AI419" s="2">
        <v>0</v>
      </c>
      <c r="AK419">
        <v>5791791</v>
      </c>
      <c r="AL419" t="s">
        <v>416</v>
      </c>
    </row>
    <row r="420" spans="1:38" x14ac:dyDescent="0.25">
      <c r="A420" s="1">
        <v>45918</v>
      </c>
      <c r="B420" s="1">
        <v>45915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951</v>
      </c>
      <c r="J420" t="s">
        <v>952</v>
      </c>
      <c r="M420" t="s">
        <v>406</v>
      </c>
      <c r="O420" t="s">
        <v>359</v>
      </c>
      <c r="P420" t="s">
        <v>360</v>
      </c>
      <c r="Q420" t="s">
        <v>49</v>
      </c>
      <c r="R420" t="s">
        <v>415</v>
      </c>
      <c r="S420" s="1">
        <v>45536</v>
      </c>
      <c r="T420" s="1">
        <v>45945</v>
      </c>
      <c r="U420" t="s">
        <v>51</v>
      </c>
      <c r="V420">
        <v>1</v>
      </c>
      <c r="W420" s="1">
        <v>45916</v>
      </c>
      <c r="X420" t="s">
        <v>52</v>
      </c>
      <c r="Y420" s="2">
        <v>1</v>
      </c>
      <c r="Z420" s="2">
        <v>1</v>
      </c>
      <c r="AB420" s="3">
        <v>1</v>
      </c>
      <c r="AC420" s="2">
        <v>2</v>
      </c>
      <c r="AG420" s="2">
        <v>0</v>
      </c>
      <c r="AH420" s="2">
        <v>2</v>
      </c>
      <c r="AI420" s="2">
        <v>0</v>
      </c>
      <c r="AK420">
        <v>5791793</v>
      </c>
      <c r="AL420" t="s">
        <v>416</v>
      </c>
    </row>
    <row r="421" spans="1:38" x14ac:dyDescent="0.25">
      <c r="A421" s="1">
        <v>45918</v>
      </c>
      <c r="B421" s="1">
        <v>45915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953</v>
      </c>
      <c r="J421" t="s">
        <v>954</v>
      </c>
      <c r="M421" t="s">
        <v>406</v>
      </c>
      <c r="O421" t="s">
        <v>359</v>
      </c>
      <c r="P421" t="s">
        <v>360</v>
      </c>
      <c r="Q421" t="s">
        <v>49</v>
      </c>
      <c r="R421" t="s">
        <v>415</v>
      </c>
      <c r="S421" s="1">
        <v>45597</v>
      </c>
      <c r="T421" s="1">
        <v>45945</v>
      </c>
      <c r="U421" t="s">
        <v>51</v>
      </c>
      <c r="V421">
        <v>1</v>
      </c>
      <c r="W421" s="1">
        <v>45916</v>
      </c>
      <c r="X421" t="s">
        <v>52</v>
      </c>
      <c r="Y421" s="2">
        <v>1</v>
      </c>
      <c r="Z421" s="2">
        <v>1</v>
      </c>
      <c r="AB421" s="3">
        <v>1</v>
      </c>
      <c r="AC421" s="2">
        <v>2</v>
      </c>
      <c r="AG421" s="2">
        <v>0</v>
      </c>
      <c r="AH421" s="2">
        <v>2</v>
      </c>
      <c r="AI421" s="2">
        <v>0</v>
      </c>
      <c r="AK421">
        <v>5791798</v>
      </c>
      <c r="AL421" t="s">
        <v>416</v>
      </c>
    </row>
    <row r="422" spans="1:38" x14ac:dyDescent="0.25">
      <c r="A422" s="1">
        <v>45918</v>
      </c>
      <c r="B422" s="1">
        <v>45915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955</v>
      </c>
      <c r="J422" t="s">
        <v>956</v>
      </c>
      <c r="M422" t="s">
        <v>401</v>
      </c>
      <c r="O422" t="s">
        <v>220</v>
      </c>
      <c r="P422" t="s">
        <v>221</v>
      </c>
      <c r="Q422" t="s">
        <v>49</v>
      </c>
      <c r="R422" t="s">
        <v>536</v>
      </c>
      <c r="S422" s="1">
        <v>45536</v>
      </c>
      <c r="T422" s="1">
        <v>45945</v>
      </c>
      <c r="U422" t="s">
        <v>51</v>
      </c>
      <c r="V422">
        <v>1</v>
      </c>
      <c r="W422" s="1">
        <v>45916</v>
      </c>
      <c r="X422" t="s">
        <v>52</v>
      </c>
      <c r="Y422" s="2">
        <v>1</v>
      </c>
      <c r="Z422" s="2">
        <v>1</v>
      </c>
      <c r="AB422" s="3">
        <v>1</v>
      </c>
      <c r="AC422" s="2">
        <v>2</v>
      </c>
      <c r="AG422" s="2">
        <v>0</v>
      </c>
      <c r="AH422" s="2">
        <v>2</v>
      </c>
      <c r="AI422" s="2">
        <v>0</v>
      </c>
      <c r="AK422">
        <v>5791799</v>
      </c>
      <c r="AL422" t="s">
        <v>416</v>
      </c>
    </row>
    <row r="423" spans="1:38" x14ac:dyDescent="0.25">
      <c r="A423" s="1">
        <v>45918</v>
      </c>
      <c r="B423" s="1">
        <v>45915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957</v>
      </c>
      <c r="J423" t="s">
        <v>958</v>
      </c>
      <c r="M423" t="s">
        <v>959</v>
      </c>
      <c r="O423" t="s">
        <v>100</v>
      </c>
      <c r="P423" t="s">
        <v>101</v>
      </c>
      <c r="Q423" t="s">
        <v>49</v>
      </c>
      <c r="R423" t="s">
        <v>415</v>
      </c>
      <c r="S423" s="1">
        <v>45536</v>
      </c>
      <c r="T423" s="1">
        <v>45945</v>
      </c>
      <c r="U423" t="s">
        <v>51</v>
      </c>
      <c r="V423">
        <v>1</v>
      </c>
      <c r="W423" s="1">
        <v>45916</v>
      </c>
      <c r="X423" t="s">
        <v>52</v>
      </c>
      <c r="Y423" s="2">
        <v>1</v>
      </c>
      <c r="Z423" s="2">
        <v>1</v>
      </c>
      <c r="AB423" s="3">
        <v>1</v>
      </c>
      <c r="AC423" s="2">
        <v>2</v>
      </c>
      <c r="AG423" s="2">
        <v>0</v>
      </c>
      <c r="AH423" s="2">
        <v>2</v>
      </c>
      <c r="AI423" s="2">
        <v>0</v>
      </c>
      <c r="AK423">
        <v>5791800</v>
      </c>
      <c r="AL423" t="s">
        <v>416</v>
      </c>
    </row>
    <row r="424" spans="1:38" x14ac:dyDescent="0.25">
      <c r="A424" s="1">
        <v>45918</v>
      </c>
      <c r="B424" s="1">
        <v>45915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960</v>
      </c>
      <c r="J424" t="s">
        <v>961</v>
      </c>
      <c r="M424" t="s">
        <v>401</v>
      </c>
      <c r="O424" t="s">
        <v>367</v>
      </c>
      <c r="P424" t="s">
        <v>368</v>
      </c>
      <c r="Q424" t="s">
        <v>49</v>
      </c>
      <c r="R424" t="s">
        <v>415</v>
      </c>
      <c r="S424" s="1">
        <v>45597</v>
      </c>
      <c r="T424" s="1">
        <v>45945</v>
      </c>
      <c r="U424" t="s">
        <v>51</v>
      </c>
      <c r="V424">
        <v>1</v>
      </c>
      <c r="W424" s="1">
        <v>45916</v>
      </c>
      <c r="X424" t="s">
        <v>52</v>
      </c>
      <c r="Y424" s="2">
        <v>1</v>
      </c>
      <c r="Z424" s="2">
        <v>1</v>
      </c>
      <c r="AB424" s="3">
        <v>1</v>
      </c>
      <c r="AC424" s="2">
        <v>2</v>
      </c>
      <c r="AG424" s="2">
        <v>0</v>
      </c>
      <c r="AH424" s="2">
        <v>2</v>
      </c>
      <c r="AI424" s="2">
        <v>0</v>
      </c>
      <c r="AK424">
        <v>5791803</v>
      </c>
      <c r="AL424" t="s">
        <v>416</v>
      </c>
    </row>
    <row r="425" spans="1:38" x14ac:dyDescent="0.25">
      <c r="A425" s="1">
        <v>45918</v>
      </c>
      <c r="B425" s="1">
        <v>45915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962</v>
      </c>
      <c r="J425" t="s">
        <v>963</v>
      </c>
      <c r="M425" t="s">
        <v>406</v>
      </c>
      <c r="O425" t="s">
        <v>811</v>
      </c>
      <c r="P425" t="s">
        <v>812</v>
      </c>
      <c r="Q425" t="s">
        <v>49</v>
      </c>
      <c r="R425" t="s">
        <v>415</v>
      </c>
      <c r="S425" s="1">
        <v>45566</v>
      </c>
      <c r="T425" s="1">
        <v>45945</v>
      </c>
      <c r="U425" t="s">
        <v>51</v>
      </c>
      <c r="V425">
        <v>1</v>
      </c>
      <c r="W425" s="1">
        <v>45916</v>
      </c>
      <c r="X425" t="s">
        <v>52</v>
      </c>
      <c r="Y425" s="2">
        <v>1</v>
      </c>
      <c r="Z425" s="2">
        <v>1</v>
      </c>
      <c r="AB425" s="3">
        <v>1</v>
      </c>
      <c r="AC425" s="2">
        <v>2</v>
      </c>
      <c r="AG425" s="2">
        <v>0</v>
      </c>
      <c r="AH425" s="2">
        <v>2</v>
      </c>
      <c r="AI425" s="2">
        <v>0</v>
      </c>
      <c r="AK425">
        <v>5791806</v>
      </c>
      <c r="AL425" t="s">
        <v>416</v>
      </c>
    </row>
    <row r="426" spans="1:38" x14ac:dyDescent="0.25">
      <c r="A426" s="1">
        <v>45918</v>
      </c>
      <c r="B426" s="1">
        <v>45915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964</v>
      </c>
      <c r="J426" t="s">
        <v>965</v>
      </c>
      <c r="M426" t="s">
        <v>406</v>
      </c>
      <c r="O426" t="s">
        <v>811</v>
      </c>
      <c r="P426" t="s">
        <v>812</v>
      </c>
      <c r="Q426" t="s">
        <v>49</v>
      </c>
      <c r="R426" t="s">
        <v>415</v>
      </c>
      <c r="S426" s="1">
        <v>45566</v>
      </c>
      <c r="T426" s="1">
        <v>45945</v>
      </c>
      <c r="U426" t="s">
        <v>51</v>
      </c>
      <c r="V426">
        <v>1</v>
      </c>
      <c r="W426" s="1">
        <v>45916</v>
      </c>
      <c r="X426" t="s">
        <v>52</v>
      </c>
      <c r="Y426" s="2">
        <v>1</v>
      </c>
      <c r="Z426" s="2">
        <v>1</v>
      </c>
      <c r="AB426" s="3">
        <v>1</v>
      </c>
      <c r="AC426" s="2">
        <v>2</v>
      </c>
      <c r="AG426" s="2">
        <v>0</v>
      </c>
      <c r="AH426" s="2">
        <v>2</v>
      </c>
      <c r="AI426" s="2">
        <v>0</v>
      </c>
      <c r="AK426">
        <v>5791807</v>
      </c>
      <c r="AL426" t="s">
        <v>416</v>
      </c>
    </row>
    <row r="427" spans="1:38" x14ac:dyDescent="0.25">
      <c r="A427" s="1">
        <v>45918</v>
      </c>
      <c r="B427" s="1">
        <v>45915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966</v>
      </c>
      <c r="J427" t="s">
        <v>967</v>
      </c>
      <c r="M427" t="s">
        <v>887</v>
      </c>
      <c r="O427" t="s">
        <v>100</v>
      </c>
      <c r="P427" t="s">
        <v>101</v>
      </c>
      <c r="Q427" t="s">
        <v>49</v>
      </c>
      <c r="R427" t="s">
        <v>536</v>
      </c>
      <c r="S427" s="1">
        <v>45536</v>
      </c>
      <c r="T427" s="1">
        <v>45945</v>
      </c>
      <c r="U427" t="s">
        <v>51</v>
      </c>
      <c r="V427">
        <v>1</v>
      </c>
      <c r="W427" s="1">
        <v>45916</v>
      </c>
      <c r="X427" t="s">
        <v>52</v>
      </c>
      <c r="Y427" s="2">
        <v>1</v>
      </c>
      <c r="Z427" s="2">
        <v>1</v>
      </c>
      <c r="AB427" s="3">
        <v>1</v>
      </c>
      <c r="AC427" s="2">
        <v>2</v>
      </c>
      <c r="AG427" s="2">
        <v>0</v>
      </c>
      <c r="AH427" s="2">
        <v>2</v>
      </c>
      <c r="AI427" s="2">
        <v>0</v>
      </c>
      <c r="AK427">
        <v>5791809</v>
      </c>
      <c r="AL427" t="s">
        <v>416</v>
      </c>
    </row>
    <row r="428" spans="1:38" x14ac:dyDescent="0.25">
      <c r="A428" s="1">
        <v>45918</v>
      </c>
      <c r="B428" s="1">
        <v>45915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968</v>
      </c>
      <c r="J428" t="s">
        <v>969</v>
      </c>
      <c r="M428" t="s">
        <v>789</v>
      </c>
      <c r="O428" t="s">
        <v>100</v>
      </c>
      <c r="P428" t="s">
        <v>101</v>
      </c>
      <c r="Q428" t="s">
        <v>49</v>
      </c>
      <c r="R428" t="s">
        <v>415</v>
      </c>
      <c r="S428" s="1">
        <v>45536</v>
      </c>
      <c r="T428" s="1">
        <v>45945</v>
      </c>
      <c r="U428" t="s">
        <v>51</v>
      </c>
      <c r="V428">
        <v>1</v>
      </c>
      <c r="W428" s="1">
        <v>45916</v>
      </c>
      <c r="X428" t="s">
        <v>52</v>
      </c>
      <c r="Y428" s="2">
        <v>1</v>
      </c>
      <c r="Z428" s="2">
        <v>1</v>
      </c>
      <c r="AB428" s="3">
        <v>1</v>
      </c>
      <c r="AC428" s="2">
        <v>2</v>
      </c>
      <c r="AG428" s="2">
        <v>0</v>
      </c>
      <c r="AH428" s="2">
        <v>2</v>
      </c>
      <c r="AI428" s="2">
        <v>0</v>
      </c>
      <c r="AK428">
        <v>5791810</v>
      </c>
      <c r="AL428" t="s">
        <v>416</v>
      </c>
    </row>
    <row r="429" spans="1:38" x14ac:dyDescent="0.25">
      <c r="A429" s="1">
        <v>45918</v>
      </c>
      <c r="B429" s="1">
        <v>45915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970</v>
      </c>
      <c r="J429" t="s">
        <v>971</v>
      </c>
      <c r="M429" t="s">
        <v>401</v>
      </c>
      <c r="O429" t="s">
        <v>972</v>
      </c>
      <c r="P429" t="s">
        <v>973</v>
      </c>
      <c r="Q429" t="s">
        <v>49</v>
      </c>
      <c r="R429" t="s">
        <v>415</v>
      </c>
      <c r="S429" s="1">
        <v>45566</v>
      </c>
      <c r="T429" s="1">
        <v>45945</v>
      </c>
      <c r="U429" t="s">
        <v>51</v>
      </c>
      <c r="V429">
        <v>1</v>
      </c>
      <c r="W429" s="1">
        <v>45916</v>
      </c>
      <c r="X429" t="s">
        <v>52</v>
      </c>
      <c r="Y429" s="2">
        <v>1</v>
      </c>
      <c r="Z429" s="2">
        <v>1</v>
      </c>
      <c r="AB429" s="3">
        <v>1</v>
      </c>
      <c r="AC429" s="2">
        <v>2</v>
      </c>
      <c r="AG429" s="2">
        <v>0</v>
      </c>
      <c r="AH429" s="2">
        <v>2</v>
      </c>
      <c r="AI429" s="2">
        <v>0</v>
      </c>
      <c r="AK429">
        <v>5791821</v>
      </c>
      <c r="AL429" t="s">
        <v>416</v>
      </c>
    </row>
    <row r="430" spans="1:38" x14ac:dyDescent="0.25">
      <c r="A430" s="1">
        <v>45918</v>
      </c>
      <c r="B430" s="1">
        <v>45915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974</v>
      </c>
      <c r="J430" t="s">
        <v>975</v>
      </c>
      <c r="M430" t="s">
        <v>406</v>
      </c>
      <c r="O430" t="s">
        <v>811</v>
      </c>
      <c r="P430" t="s">
        <v>812</v>
      </c>
      <c r="Q430" t="s">
        <v>49</v>
      </c>
      <c r="R430" t="s">
        <v>415</v>
      </c>
      <c r="S430" s="1">
        <v>45536</v>
      </c>
      <c r="T430" s="1">
        <v>45945</v>
      </c>
      <c r="U430" t="s">
        <v>51</v>
      </c>
      <c r="V430">
        <v>1</v>
      </c>
      <c r="W430" s="1">
        <v>45916</v>
      </c>
      <c r="X430" t="s">
        <v>52</v>
      </c>
      <c r="Y430" s="2">
        <v>1</v>
      </c>
      <c r="Z430" s="2">
        <v>1</v>
      </c>
      <c r="AB430" s="3">
        <v>1</v>
      </c>
      <c r="AC430" s="2">
        <v>2</v>
      </c>
      <c r="AG430" s="2">
        <v>0</v>
      </c>
      <c r="AH430" s="2">
        <v>2</v>
      </c>
      <c r="AI430" s="2">
        <v>0</v>
      </c>
      <c r="AK430">
        <v>5791833</v>
      </c>
      <c r="AL430" t="s">
        <v>416</v>
      </c>
    </row>
    <row r="431" spans="1:38" x14ac:dyDescent="0.25">
      <c r="A431" s="1">
        <v>45918</v>
      </c>
      <c r="B431" s="1">
        <v>45915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976</v>
      </c>
      <c r="J431" t="s">
        <v>977</v>
      </c>
      <c r="M431" t="s">
        <v>978</v>
      </c>
      <c r="O431" t="s">
        <v>979</v>
      </c>
      <c r="P431" t="s">
        <v>980</v>
      </c>
      <c r="Q431" t="s">
        <v>49</v>
      </c>
      <c r="R431" t="s">
        <v>415</v>
      </c>
      <c r="S431" s="1">
        <v>45536</v>
      </c>
      <c r="T431" s="1">
        <v>45945</v>
      </c>
      <c r="U431" t="s">
        <v>51</v>
      </c>
      <c r="V431">
        <v>1</v>
      </c>
      <c r="W431" s="1">
        <v>45916</v>
      </c>
      <c r="X431" t="s">
        <v>52</v>
      </c>
      <c r="Y431" s="2">
        <v>1</v>
      </c>
      <c r="Z431" s="2">
        <v>1</v>
      </c>
      <c r="AB431" s="3">
        <v>1</v>
      </c>
      <c r="AC431" s="2">
        <v>2</v>
      </c>
      <c r="AG431" s="2">
        <v>0</v>
      </c>
      <c r="AH431" s="2">
        <v>2</v>
      </c>
      <c r="AI431" s="2">
        <v>0</v>
      </c>
      <c r="AK431">
        <v>5791834</v>
      </c>
      <c r="AL431" t="s">
        <v>416</v>
      </c>
    </row>
    <row r="432" spans="1:38" x14ac:dyDescent="0.25">
      <c r="A432" s="1">
        <v>45918</v>
      </c>
      <c r="B432" s="1">
        <v>45915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981</v>
      </c>
      <c r="J432" t="s">
        <v>982</v>
      </c>
      <c r="M432" t="s">
        <v>406</v>
      </c>
      <c r="O432" t="s">
        <v>811</v>
      </c>
      <c r="P432" t="s">
        <v>812</v>
      </c>
      <c r="Q432" t="s">
        <v>49</v>
      </c>
      <c r="R432" t="s">
        <v>415</v>
      </c>
      <c r="S432" s="1">
        <v>45536</v>
      </c>
      <c r="T432" s="1">
        <v>45945</v>
      </c>
      <c r="U432" t="s">
        <v>51</v>
      </c>
      <c r="V432">
        <v>1</v>
      </c>
      <c r="W432" s="1">
        <v>45916</v>
      </c>
      <c r="X432" t="s">
        <v>52</v>
      </c>
      <c r="Y432" s="2">
        <v>1</v>
      </c>
      <c r="Z432" s="2">
        <v>1</v>
      </c>
      <c r="AB432" s="3">
        <v>1</v>
      </c>
      <c r="AC432" s="2">
        <v>2</v>
      </c>
      <c r="AG432" s="2">
        <v>0</v>
      </c>
      <c r="AH432" s="2">
        <v>2</v>
      </c>
      <c r="AI432" s="2">
        <v>0</v>
      </c>
      <c r="AK432">
        <v>5791837</v>
      </c>
      <c r="AL432" t="s">
        <v>416</v>
      </c>
    </row>
    <row r="433" spans="1:38" x14ac:dyDescent="0.25">
      <c r="A433" s="1">
        <v>45918</v>
      </c>
      <c r="B433" s="1">
        <v>45915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983</v>
      </c>
      <c r="J433" t="s">
        <v>984</v>
      </c>
      <c r="M433" t="s">
        <v>849</v>
      </c>
      <c r="O433" t="s">
        <v>74</v>
      </c>
      <c r="P433" t="s">
        <v>75</v>
      </c>
      <c r="Q433" t="s">
        <v>49</v>
      </c>
      <c r="R433" t="s">
        <v>415</v>
      </c>
      <c r="S433" s="1">
        <v>45536</v>
      </c>
      <c r="T433" s="1">
        <v>45945</v>
      </c>
      <c r="U433" t="s">
        <v>51</v>
      </c>
      <c r="V433">
        <v>1</v>
      </c>
      <c r="W433" s="1">
        <v>45916</v>
      </c>
      <c r="X433" t="s">
        <v>52</v>
      </c>
      <c r="Y433" s="2">
        <v>1</v>
      </c>
      <c r="Z433" s="2">
        <v>1</v>
      </c>
      <c r="AB433" s="3">
        <v>1</v>
      </c>
      <c r="AC433" s="2">
        <v>2</v>
      </c>
      <c r="AG433" s="2">
        <v>0</v>
      </c>
      <c r="AH433" s="2">
        <v>2</v>
      </c>
      <c r="AI433" s="2">
        <v>0</v>
      </c>
      <c r="AK433">
        <v>5791844</v>
      </c>
      <c r="AL433" t="s">
        <v>416</v>
      </c>
    </row>
    <row r="434" spans="1:38" x14ac:dyDescent="0.25">
      <c r="A434" s="1">
        <v>45918</v>
      </c>
      <c r="B434" s="1">
        <v>45915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985</v>
      </c>
      <c r="J434" t="s">
        <v>986</v>
      </c>
      <c r="M434" t="s">
        <v>401</v>
      </c>
      <c r="O434" t="s">
        <v>56</v>
      </c>
      <c r="P434" t="s">
        <v>57</v>
      </c>
      <c r="Q434" t="s">
        <v>49</v>
      </c>
      <c r="R434" t="s">
        <v>415</v>
      </c>
      <c r="S434" s="1">
        <v>45536</v>
      </c>
      <c r="T434" s="1">
        <v>45945</v>
      </c>
      <c r="U434" t="s">
        <v>51</v>
      </c>
      <c r="V434">
        <v>1</v>
      </c>
      <c r="W434" s="1">
        <v>45916</v>
      </c>
      <c r="X434" t="s">
        <v>52</v>
      </c>
      <c r="Y434" s="2">
        <v>1</v>
      </c>
      <c r="Z434" s="2">
        <v>1</v>
      </c>
      <c r="AB434" s="3">
        <v>1</v>
      </c>
      <c r="AC434" s="2">
        <v>2</v>
      </c>
      <c r="AG434" s="2">
        <v>0</v>
      </c>
      <c r="AH434" s="2">
        <v>2</v>
      </c>
      <c r="AI434" s="2">
        <v>0</v>
      </c>
      <c r="AK434">
        <v>5791856</v>
      </c>
      <c r="AL434" t="s">
        <v>416</v>
      </c>
    </row>
    <row r="435" spans="1:38" x14ac:dyDescent="0.25">
      <c r="A435" s="1">
        <v>45918</v>
      </c>
      <c r="B435" s="1">
        <v>45915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987</v>
      </c>
      <c r="J435" t="s">
        <v>988</v>
      </c>
      <c r="M435" t="s">
        <v>401</v>
      </c>
      <c r="O435" t="s">
        <v>70</v>
      </c>
      <c r="P435" t="s">
        <v>71</v>
      </c>
      <c r="Q435" t="s">
        <v>49</v>
      </c>
      <c r="R435" t="s">
        <v>536</v>
      </c>
      <c r="S435" s="1">
        <v>45536</v>
      </c>
      <c r="T435" s="1">
        <v>45945</v>
      </c>
      <c r="U435" t="s">
        <v>51</v>
      </c>
      <c r="V435">
        <v>1</v>
      </c>
      <c r="W435" s="1">
        <v>45916</v>
      </c>
      <c r="X435" t="s">
        <v>52</v>
      </c>
      <c r="Y435" s="2">
        <v>1</v>
      </c>
      <c r="Z435" s="2">
        <v>1</v>
      </c>
      <c r="AB435" s="3">
        <v>1</v>
      </c>
      <c r="AC435" s="2">
        <v>2</v>
      </c>
      <c r="AG435" s="2">
        <v>0</v>
      </c>
      <c r="AH435" s="2">
        <v>2</v>
      </c>
      <c r="AI435" s="2">
        <v>0</v>
      </c>
      <c r="AK435">
        <v>5791862</v>
      </c>
      <c r="AL435" t="s">
        <v>416</v>
      </c>
    </row>
    <row r="436" spans="1:38" x14ac:dyDescent="0.25">
      <c r="A436" s="1">
        <v>45918</v>
      </c>
      <c r="B436" s="1">
        <v>45915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989</v>
      </c>
      <c r="J436" t="s">
        <v>990</v>
      </c>
      <c r="M436" t="s">
        <v>401</v>
      </c>
      <c r="O436" t="s">
        <v>62</v>
      </c>
      <c r="P436" t="s">
        <v>63</v>
      </c>
      <c r="Q436" t="s">
        <v>49</v>
      </c>
      <c r="R436" t="s">
        <v>415</v>
      </c>
      <c r="S436" s="1">
        <v>45536</v>
      </c>
      <c r="T436" s="1">
        <v>45945</v>
      </c>
      <c r="U436" t="s">
        <v>51</v>
      </c>
      <c r="V436">
        <v>1</v>
      </c>
      <c r="W436" s="1">
        <v>45916</v>
      </c>
      <c r="X436" t="s">
        <v>52</v>
      </c>
      <c r="Y436" s="2">
        <v>1</v>
      </c>
      <c r="Z436" s="2">
        <v>1</v>
      </c>
      <c r="AB436" s="3">
        <v>1</v>
      </c>
      <c r="AC436" s="2">
        <v>2</v>
      </c>
      <c r="AG436" s="2">
        <v>0</v>
      </c>
      <c r="AH436" s="2">
        <v>2</v>
      </c>
      <c r="AI436" s="2">
        <v>0</v>
      </c>
      <c r="AK436">
        <v>5791868</v>
      </c>
      <c r="AL436" t="s">
        <v>416</v>
      </c>
    </row>
    <row r="437" spans="1:38" x14ac:dyDescent="0.25">
      <c r="A437" s="1">
        <v>45918</v>
      </c>
      <c r="B437" s="1">
        <v>45915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991</v>
      </c>
      <c r="J437" t="s">
        <v>992</v>
      </c>
      <c r="M437" t="s">
        <v>401</v>
      </c>
      <c r="O437" t="s">
        <v>62</v>
      </c>
      <c r="P437" t="s">
        <v>63</v>
      </c>
      <c r="Q437" t="s">
        <v>49</v>
      </c>
      <c r="R437" t="s">
        <v>415</v>
      </c>
      <c r="S437" s="1">
        <v>45536</v>
      </c>
      <c r="T437" s="1">
        <v>45945</v>
      </c>
      <c r="U437" t="s">
        <v>51</v>
      </c>
      <c r="V437">
        <v>1</v>
      </c>
      <c r="W437" s="1">
        <v>45916</v>
      </c>
      <c r="X437" t="s">
        <v>52</v>
      </c>
      <c r="Y437" s="2">
        <v>1</v>
      </c>
      <c r="Z437" s="2">
        <v>1</v>
      </c>
      <c r="AB437" s="3">
        <v>1</v>
      </c>
      <c r="AC437" s="2">
        <v>2</v>
      </c>
      <c r="AG437" s="2">
        <v>0</v>
      </c>
      <c r="AH437" s="2">
        <v>2</v>
      </c>
      <c r="AI437" s="2">
        <v>0</v>
      </c>
      <c r="AK437">
        <v>5791870</v>
      </c>
      <c r="AL437" t="s">
        <v>416</v>
      </c>
    </row>
    <row r="438" spans="1:38" x14ac:dyDescent="0.25">
      <c r="A438" s="1">
        <v>45918</v>
      </c>
      <c r="B438" s="1">
        <v>45915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993</v>
      </c>
      <c r="J438" t="s">
        <v>994</v>
      </c>
      <c r="M438" t="s">
        <v>401</v>
      </c>
      <c r="O438" t="s">
        <v>62</v>
      </c>
      <c r="P438" t="s">
        <v>63</v>
      </c>
      <c r="Q438" t="s">
        <v>49</v>
      </c>
      <c r="R438" t="s">
        <v>415</v>
      </c>
      <c r="S438" s="1">
        <v>45536</v>
      </c>
      <c r="T438" s="1">
        <v>45945</v>
      </c>
      <c r="U438" t="s">
        <v>51</v>
      </c>
      <c r="V438">
        <v>1</v>
      </c>
      <c r="W438" s="1">
        <v>45916</v>
      </c>
      <c r="X438" t="s">
        <v>52</v>
      </c>
      <c r="Y438" s="2">
        <v>1</v>
      </c>
      <c r="Z438" s="2">
        <v>1</v>
      </c>
      <c r="AB438" s="3">
        <v>1</v>
      </c>
      <c r="AC438" s="2">
        <v>2</v>
      </c>
      <c r="AG438" s="2">
        <v>0</v>
      </c>
      <c r="AH438" s="2">
        <v>2</v>
      </c>
      <c r="AI438" s="2">
        <v>0</v>
      </c>
      <c r="AK438">
        <v>5791877</v>
      </c>
      <c r="AL438" t="s">
        <v>416</v>
      </c>
    </row>
    <row r="439" spans="1:38" x14ac:dyDescent="0.25">
      <c r="A439" s="1">
        <v>45918</v>
      </c>
      <c r="B439" s="1">
        <v>45915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995</v>
      </c>
      <c r="J439" t="s">
        <v>996</v>
      </c>
      <c r="M439" t="s">
        <v>887</v>
      </c>
      <c r="O439" t="s">
        <v>100</v>
      </c>
      <c r="P439" t="s">
        <v>101</v>
      </c>
      <c r="Q439" t="s">
        <v>49</v>
      </c>
      <c r="R439" t="s">
        <v>415</v>
      </c>
      <c r="S439" s="1">
        <v>45566</v>
      </c>
      <c r="T439" s="1">
        <v>45945</v>
      </c>
      <c r="U439" t="s">
        <v>51</v>
      </c>
      <c r="V439">
        <v>1</v>
      </c>
      <c r="W439" s="1">
        <v>45916</v>
      </c>
      <c r="X439" t="s">
        <v>52</v>
      </c>
      <c r="Y439" s="2">
        <v>1</v>
      </c>
      <c r="Z439" s="2">
        <v>1</v>
      </c>
      <c r="AB439" s="3">
        <v>1</v>
      </c>
      <c r="AC439" s="2">
        <v>2</v>
      </c>
      <c r="AG439" s="2">
        <v>0</v>
      </c>
      <c r="AH439" s="2">
        <v>2</v>
      </c>
      <c r="AI439" s="2">
        <v>0</v>
      </c>
      <c r="AK439">
        <v>5791900</v>
      </c>
      <c r="AL439" t="s">
        <v>416</v>
      </c>
    </row>
    <row r="440" spans="1:38" x14ac:dyDescent="0.25">
      <c r="A440" s="1">
        <v>45918</v>
      </c>
      <c r="B440" s="1">
        <v>45915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997</v>
      </c>
      <c r="J440" t="s">
        <v>998</v>
      </c>
      <c r="M440" t="s">
        <v>406</v>
      </c>
      <c r="O440" t="s">
        <v>359</v>
      </c>
      <c r="P440" t="s">
        <v>360</v>
      </c>
      <c r="Q440" t="s">
        <v>49</v>
      </c>
      <c r="R440" t="s">
        <v>415</v>
      </c>
      <c r="S440" s="1">
        <v>45566</v>
      </c>
      <c r="T440" s="1">
        <v>45945</v>
      </c>
      <c r="U440" t="s">
        <v>51</v>
      </c>
      <c r="V440">
        <v>1</v>
      </c>
      <c r="W440" s="1">
        <v>45916</v>
      </c>
      <c r="X440" t="s">
        <v>52</v>
      </c>
      <c r="Y440" s="2">
        <v>1</v>
      </c>
      <c r="Z440" s="2">
        <v>1</v>
      </c>
      <c r="AB440" s="3">
        <v>1</v>
      </c>
      <c r="AC440" s="2">
        <v>2</v>
      </c>
      <c r="AG440" s="2">
        <v>0</v>
      </c>
      <c r="AH440" s="2">
        <v>2</v>
      </c>
      <c r="AI440" s="2">
        <v>0</v>
      </c>
      <c r="AK440">
        <v>5791901</v>
      </c>
      <c r="AL440" t="s">
        <v>416</v>
      </c>
    </row>
    <row r="441" spans="1:38" x14ac:dyDescent="0.25">
      <c r="A441" s="1">
        <v>45918</v>
      </c>
      <c r="B441" s="1">
        <v>45915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999</v>
      </c>
      <c r="J441" t="s">
        <v>1000</v>
      </c>
      <c r="M441" t="s">
        <v>401</v>
      </c>
      <c r="O441" t="s">
        <v>56</v>
      </c>
      <c r="P441" t="s">
        <v>57</v>
      </c>
      <c r="Q441" t="s">
        <v>49</v>
      </c>
      <c r="R441" t="s">
        <v>415</v>
      </c>
      <c r="S441" s="1">
        <v>45566</v>
      </c>
      <c r="T441" s="1">
        <v>45945</v>
      </c>
      <c r="U441" t="s">
        <v>51</v>
      </c>
      <c r="V441">
        <v>1</v>
      </c>
      <c r="W441" s="1">
        <v>45916</v>
      </c>
      <c r="X441" t="s">
        <v>52</v>
      </c>
      <c r="Y441" s="2">
        <v>1</v>
      </c>
      <c r="Z441" s="2">
        <v>1</v>
      </c>
      <c r="AB441" s="3">
        <v>1</v>
      </c>
      <c r="AC441" s="2">
        <v>2</v>
      </c>
      <c r="AG441" s="2">
        <v>0</v>
      </c>
      <c r="AH441" s="2">
        <v>2</v>
      </c>
      <c r="AI441" s="2">
        <v>0</v>
      </c>
      <c r="AK441">
        <v>5791904</v>
      </c>
      <c r="AL441" t="s">
        <v>416</v>
      </c>
    </row>
    <row r="442" spans="1:38" x14ac:dyDescent="0.25">
      <c r="A442" s="1">
        <v>45918</v>
      </c>
      <c r="B442" s="1">
        <v>45915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1001</v>
      </c>
      <c r="J442" t="s">
        <v>1002</v>
      </c>
      <c r="M442" t="s">
        <v>950</v>
      </c>
      <c r="O442" t="s">
        <v>100</v>
      </c>
      <c r="P442" t="s">
        <v>101</v>
      </c>
      <c r="Q442" t="s">
        <v>49</v>
      </c>
      <c r="R442" t="s">
        <v>415</v>
      </c>
      <c r="S442" s="1">
        <v>45597</v>
      </c>
      <c r="T442" s="1">
        <v>45945</v>
      </c>
      <c r="U442" t="s">
        <v>51</v>
      </c>
      <c r="V442">
        <v>1</v>
      </c>
      <c r="W442" s="1">
        <v>45916</v>
      </c>
      <c r="X442" t="s">
        <v>52</v>
      </c>
      <c r="Y442" s="2">
        <v>1</v>
      </c>
      <c r="Z442" s="2">
        <v>1</v>
      </c>
      <c r="AB442" s="3">
        <v>1</v>
      </c>
      <c r="AC442" s="2">
        <v>2</v>
      </c>
      <c r="AG442" s="2">
        <v>0</v>
      </c>
      <c r="AH442" s="2">
        <v>2</v>
      </c>
      <c r="AI442" s="2">
        <v>0</v>
      </c>
      <c r="AK442">
        <v>5791908</v>
      </c>
      <c r="AL442" t="s">
        <v>416</v>
      </c>
    </row>
    <row r="443" spans="1:38" x14ac:dyDescent="0.25">
      <c r="A443" s="1">
        <v>45918</v>
      </c>
      <c r="B443" s="1">
        <v>45915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1003</v>
      </c>
      <c r="J443" t="s">
        <v>1004</v>
      </c>
      <c r="M443" t="s">
        <v>557</v>
      </c>
      <c r="O443" t="s">
        <v>100</v>
      </c>
      <c r="P443" t="s">
        <v>101</v>
      </c>
      <c r="Q443" t="s">
        <v>49</v>
      </c>
      <c r="R443" t="s">
        <v>415</v>
      </c>
      <c r="S443" s="1">
        <v>45566</v>
      </c>
      <c r="T443" s="1">
        <v>45945</v>
      </c>
      <c r="U443" t="s">
        <v>51</v>
      </c>
      <c r="V443">
        <v>1</v>
      </c>
      <c r="W443" s="1">
        <v>45916</v>
      </c>
      <c r="X443" t="s">
        <v>52</v>
      </c>
      <c r="Y443" s="2">
        <v>1</v>
      </c>
      <c r="Z443" s="2">
        <v>1</v>
      </c>
      <c r="AB443" s="3">
        <v>1</v>
      </c>
      <c r="AC443" s="2">
        <v>2</v>
      </c>
      <c r="AG443" s="2">
        <v>0</v>
      </c>
      <c r="AH443" s="2">
        <v>2</v>
      </c>
      <c r="AI443" s="2">
        <v>0</v>
      </c>
      <c r="AK443">
        <v>5791929</v>
      </c>
      <c r="AL443" t="s">
        <v>416</v>
      </c>
    </row>
    <row r="444" spans="1:38" x14ac:dyDescent="0.25">
      <c r="A444" s="1">
        <v>45918</v>
      </c>
      <c r="B444" s="1">
        <v>45915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1005</v>
      </c>
      <c r="J444" t="s">
        <v>1006</v>
      </c>
      <c r="M444" t="s">
        <v>406</v>
      </c>
      <c r="O444" t="s">
        <v>359</v>
      </c>
      <c r="P444" t="s">
        <v>360</v>
      </c>
      <c r="Q444" t="s">
        <v>49</v>
      </c>
      <c r="R444" t="s">
        <v>415</v>
      </c>
      <c r="S444" s="1">
        <v>45566</v>
      </c>
      <c r="T444" s="1">
        <v>45945</v>
      </c>
      <c r="U444" t="s">
        <v>51</v>
      </c>
      <c r="V444">
        <v>1</v>
      </c>
      <c r="W444" s="1">
        <v>45916</v>
      </c>
      <c r="X444" t="s">
        <v>52</v>
      </c>
      <c r="Y444" s="2">
        <v>1</v>
      </c>
      <c r="Z444" s="2">
        <v>1</v>
      </c>
      <c r="AB444" s="3">
        <v>1</v>
      </c>
      <c r="AC444" s="2">
        <v>2</v>
      </c>
      <c r="AG444" s="2">
        <v>0</v>
      </c>
      <c r="AH444" s="2">
        <v>2</v>
      </c>
      <c r="AI444" s="2">
        <v>0</v>
      </c>
      <c r="AK444">
        <v>5791931</v>
      </c>
      <c r="AL444" t="s">
        <v>416</v>
      </c>
    </row>
    <row r="445" spans="1:38" x14ac:dyDescent="0.25">
      <c r="A445" s="1">
        <v>45918</v>
      </c>
      <c r="B445" s="1">
        <v>45915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1007</v>
      </c>
      <c r="J445" t="s">
        <v>1008</v>
      </c>
      <c r="M445" t="s">
        <v>406</v>
      </c>
      <c r="O445" t="s">
        <v>407</v>
      </c>
      <c r="P445" t="s">
        <v>408</v>
      </c>
      <c r="Q445" t="s">
        <v>49</v>
      </c>
      <c r="R445" t="s">
        <v>415</v>
      </c>
      <c r="S445" s="1">
        <v>45566</v>
      </c>
      <c r="T445" s="1">
        <v>45945</v>
      </c>
      <c r="U445" t="s">
        <v>51</v>
      </c>
      <c r="V445">
        <v>-1</v>
      </c>
      <c r="W445" s="1">
        <v>45916</v>
      </c>
      <c r="X445" t="s">
        <v>52</v>
      </c>
      <c r="Y445" s="2">
        <v>-1</v>
      </c>
      <c r="Z445" s="2">
        <v>-1</v>
      </c>
      <c r="AB445" s="3">
        <v>1</v>
      </c>
      <c r="AC445" s="2">
        <v>-2</v>
      </c>
      <c r="AG445" s="2">
        <v>0</v>
      </c>
      <c r="AH445" s="2">
        <v>-2</v>
      </c>
      <c r="AI445" s="2">
        <v>0</v>
      </c>
      <c r="AK445">
        <v>5791948</v>
      </c>
      <c r="AL445" t="s">
        <v>416</v>
      </c>
    </row>
    <row r="446" spans="1:38" x14ac:dyDescent="0.25">
      <c r="A446" s="1">
        <v>45918</v>
      </c>
      <c r="B446" s="1">
        <v>45915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1009</v>
      </c>
      <c r="J446" t="s">
        <v>1010</v>
      </c>
      <c r="M446" t="s">
        <v>401</v>
      </c>
      <c r="O446" t="s">
        <v>87</v>
      </c>
      <c r="P446" t="s">
        <v>88</v>
      </c>
      <c r="Q446" t="s">
        <v>49</v>
      </c>
      <c r="R446" t="s">
        <v>415</v>
      </c>
      <c r="S446" s="1">
        <v>45597</v>
      </c>
      <c r="T446" s="1">
        <v>45945</v>
      </c>
      <c r="U446" t="s">
        <v>51</v>
      </c>
      <c r="V446">
        <v>1</v>
      </c>
      <c r="W446" s="1">
        <v>45916</v>
      </c>
      <c r="X446" t="s">
        <v>52</v>
      </c>
      <c r="Y446" s="2">
        <v>1</v>
      </c>
      <c r="Z446" s="2">
        <v>1</v>
      </c>
      <c r="AB446" s="3">
        <v>1</v>
      </c>
      <c r="AC446" s="2">
        <v>2</v>
      </c>
      <c r="AG446" s="2">
        <v>0</v>
      </c>
      <c r="AH446" s="2">
        <v>2</v>
      </c>
      <c r="AI446" s="2">
        <v>0</v>
      </c>
      <c r="AK446">
        <v>5791951</v>
      </c>
      <c r="AL446" t="s">
        <v>416</v>
      </c>
    </row>
    <row r="447" spans="1:38" x14ac:dyDescent="0.25">
      <c r="A447" s="1">
        <v>45918</v>
      </c>
      <c r="B447" s="1">
        <v>45915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1011</v>
      </c>
      <c r="J447" t="s">
        <v>1012</v>
      </c>
      <c r="M447" t="s">
        <v>406</v>
      </c>
      <c r="O447" t="s">
        <v>407</v>
      </c>
      <c r="P447" t="s">
        <v>408</v>
      </c>
      <c r="Q447" t="s">
        <v>49</v>
      </c>
      <c r="R447" t="s">
        <v>415</v>
      </c>
      <c r="S447" s="1">
        <v>45566</v>
      </c>
      <c r="T447" s="1">
        <v>45945</v>
      </c>
      <c r="U447" t="s">
        <v>51</v>
      </c>
      <c r="V447">
        <v>1</v>
      </c>
      <c r="W447" s="1">
        <v>45916</v>
      </c>
      <c r="X447" t="s">
        <v>52</v>
      </c>
      <c r="Y447" s="2">
        <v>1</v>
      </c>
      <c r="Z447" s="2">
        <v>1</v>
      </c>
      <c r="AB447" s="3">
        <v>1</v>
      </c>
      <c r="AC447" s="2">
        <v>2</v>
      </c>
      <c r="AG447" s="2">
        <v>0</v>
      </c>
      <c r="AH447" s="2">
        <v>2</v>
      </c>
      <c r="AI447" s="2">
        <v>0</v>
      </c>
      <c r="AK447">
        <v>5791952</v>
      </c>
      <c r="AL447" t="s">
        <v>416</v>
      </c>
    </row>
    <row r="448" spans="1:38" x14ac:dyDescent="0.25">
      <c r="A448" s="1">
        <v>45918</v>
      </c>
      <c r="B448" s="1">
        <v>45915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1013</v>
      </c>
      <c r="J448" t="s">
        <v>1014</v>
      </c>
      <c r="M448" t="s">
        <v>401</v>
      </c>
      <c r="O448" t="s">
        <v>62</v>
      </c>
      <c r="P448" t="s">
        <v>63</v>
      </c>
      <c r="Q448" t="s">
        <v>49</v>
      </c>
      <c r="R448" t="s">
        <v>415</v>
      </c>
      <c r="S448" s="1">
        <v>45597</v>
      </c>
      <c r="T448" s="1">
        <v>45945</v>
      </c>
      <c r="U448" t="s">
        <v>51</v>
      </c>
      <c r="V448">
        <v>1</v>
      </c>
      <c r="W448" s="1">
        <v>45916</v>
      </c>
      <c r="X448" t="s">
        <v>52</v>
      </c>
      <c r="Y448" s="2">
        <v>1</v>
      </c>
      <c r="Z448" s="2">
        <v>1</v>
      </c>
      <c r="AB448" s="3">
        <v>1</v>
      </c>
      <c r="AC448" s="2">
        <v>2</v>
      </c>
      <c r="AG448" s="2">
        <v>0</v>
      </c>
      <c r="AH448" s="2">
        <v>2</v>
      </c>
      <c r="AI448" s="2">
        <v>0</v>
      </c>
      <c r="AK448">
        <v>5791957</v>
      </c>
      <c r="AL448" t="s">
        <v>416</v>
      </c>
    </row>
    <row r="449" spans="1:38" x14ac:dyDescent="0.25">
      <c r="A449" s="1">
        <v>45918</v>
      </c>
      <c r="B449" s="1">
        <v>45915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1015</v>
      </c>
      <c r="J449" t="s">
        <v>1016</v>
      </c>
      <c r="M449" t="s">
        <v>401</v>
      </c>
      <c r="O449" t="s">
        <v>87</v>
      </c>
      <c r="P449" t="s">
        <v>88</v>
      </c>
      <c r="Q449" t="s">
        <v>49</v>
      </c>
      <c r="R449" t="s">
        <v>415</v>
      </c>
      <c r="S449" s="1">
        <v>45566</v>
      </c>
      <c r="T449" s="1">
        <v>45945</v>
      </c>
      <c r="U449" t="s">
        <v>51</v>
      </c>
      <c r="V449">
        <v>1</v>
      </c>
      <c r="W449" s="1">
        <v>45916</v>
      </c>
      <c r="X449" t="s">
        <v>52</v>
      </c>
      <c r="Y449" s="2">
        <v>1</v>
      </c>
      <c r="Z449" s="2">
        <v>1</v>
      </c>
      <c r="AB449" s="3">
        <v>1</v>
      </c>
      <c r="AC449" s="2">
        <v>2</v>
      </c>
      <c r="AG449" s="2">
        <v>0</v>
      </c>
      <c r="AH449" s="2">
        <v>2</v>
      </c>
      <c r="AI449" s="2">
        <v>0</v>
      </c>
      <c r="AK449">
        <v>5791965</v>
      </c>
      <c r="AL449" t="s">
        <v>416</v>
      </c>
    </row>
    <row r="450" spans="1:38" x14ac:dyDescent="0.25">
      <c r="A450" s="1">
        <v>45918</v>
      </c>
      <c r="B450" s="1">
        <v>45915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1017</v>
      </c>
      <c r="J450" t="s">
        <v>1018</v>
      </c>
      <c r="M450" t="s">
        <v>406</v>
      </c>
      <c r="O450" t="s">
        <v>407</v>
      </c>
      <c r="P450" t="s">
        <v>408</v>
      </c>
      <c r="Q450" t="s">
        <v>49</v>
      </c>
      <c r="R450" t="s">
        <v>415</v>
      </c>
      <c r="S450" s="1">
        <v>45566</v>
      </c>
      <c r="T450" s="1">
        <v>45945</v>
      </c>
      <c r="U450" t="s">
        <v>51</v>
      </c>
      <c r="V450">
        <v>1</v>
      </c>
      <c r="W450" s="1">
        <v>45916</v>
      </c>
      <c r="X450" t="s">
        <v>52</v>
      </c>
      <c r="Y450" s="2">
        <v>1</v>
      </c>
      <c r="Z450" s="2">
        <v>1</v>
      </c>
      <c r="AB450" s="3">
        <v>1</v>
      </c>
      <c r="AC450" s="2">
        <v>2</v>
      </c>
      <c r="AG450" s="2">
        <v>0</v>
      </c>
      <c r="AH450" s="2">
        <v>2</v>
      </c>
      <c r="AI450" s="2">
        <v>0</v>
      </c>
      <c r="AK450">
        <v>5791966</v>
      </c>
      <c r="AL450" t="s">
        <v>416</v>
      </c>
    </row>
    <row r="451" spans="1:38" x14ac:dyDescent="0.25">
      <c r="A451" s="1">
        <v>45918</v>
      </c>
      <c r="B451" s="1">
        <v>45915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1019</v>
      </c>
      <c r="J451" t="s">
        <v>1020</v>
      </c>
      <c r="M451" t="s">
        <v>406</v>
      </c>
      <c r="O451" t="s">
        <v>873</v>
      </c>
      <c r="P451" t="s">
        <v>874</v>
      </c>
      <c r="Q451" t="s">
        <v>49</v>
      </c>
      <c r="R451" t="s">
        <v>415</v>
      </c>
      <c r="S451" s="1">
        <v>45566</v>
      </c>
      <c r="T451" s="1">
        <v>45945</v>
      </c>
      <c r="U451" t="s">
        <v>51</v>
      </c>
      <c r="V451">
        <v>1</v>
      </c>
      <c r="W451" s="1">
        <v>45916</v>
      </c>
      <c r="X451" t="s">
        <v>52</v>
      </c>
      <c r="Y451" s="2">
        <v>1</v>
      </c>
      <c r="Z451" s="2">
        <v>1</v>
      </c>
      <c r="AB451" s="3">
        <v>1</v>
      </c>
      <c r="AC451" s="2">
        <v>2</v>
      </c>
      <c r="AG451" s="2">
        <v>0</v>
      </c>
      <c r="AH451" s="2">
        <v>2</v>
      </c>
      <c r="AI451" s="2">
        <v>0</v>
      </c>
      <c r="AK451">
        <v>5791967</v>
      </c>
      <c r="AL451" t="s">
        <v>416</v>
      </c>
    </row>
    <row r="452" spans="1:38" x14ac:dyDescent="0.25">
      <c r="A452" s="1">
        <v>45918</v>
      </c>
      <c r="B452" s="1">
        <v>45915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1021</v>
      </c>
      <c r="J452" t="s">
        <v>1022</v>
      </c>
      <c r="M452" t="s">
        <v>1023</v>
      </c>
      <c r="O452" t="s">
        <v>100</v>
      </c>
      <c r="P452" t="s">
        <v>101</v>
      </c>
      <c r="Q452" t="s">
        <v>49</v>
      </c>
      <c r="R452" t="s">
        <v>415</v>
      </c>
      <c r="S452" s="1">
        <v>45566</v>
      </c>
      <c r="T452" s="1">
        <v>45945</v>
      </c>
      <c r="U452" t="s">
        <v>51</v>
      </c>
      <c r="V452">
        <v>1</v>
      </c>
      <c r="W452" s="1">
        <v>45916</v>
      </c>
      <c r="X452" t="s">
        <v>52</v>
      </c>
      <c r="Y452" s="2">
        <v>1</v>
      </c>
      <c r="Z452" s="2">
        <v>1</v>
      </c>
      <c r="AB452" s="3">
        <v>1</v>
      </c>
      <c r="AC452" s="2">
        <v>2</v>
      </c>
      <c r="AG452" s="2">
        <v>0</v>
      </c>
      <c r="AH452" s="2">
        <v>2</v>
      </c>
      <c r="AI452" s="2">
        <v>0</v>
      </c>
      <c r="AK452">
        <v>5791968</v>
      </c>
      <c r="AL452" t="s">
        <v>416</v>
      </c>
    </row>
    <row r="453" spans="1:38" x14ac:dyDescent="0.25">
      <c r="A453" s="1">
        <v>45918</v>
      </c>
      <c r="B453" s="1">
        <v>45915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1024</v>
      </c>
      <c r="J453" t="s">
        <v>1025</v>
      </c>
      <c r="M453" t="s">
        <v>406</v>
      </c>
      <c r="O453" t="s">
        <v>359</v>
      </c>
      <c r="P453" t="s">
        <v>360</v>
      </c>
      <c r="Q453" t="s">
        <v>49</v>
      </c>
      <c r="R453" t="s">
        <v>536</v>
      </c>
      <c r="S453" s="1">
        <v>45566</v>
      </c>
      <c r="T453" s="1">
        <v>45945</v>
      </c>
      <c r="U453" t="s">
        <v>51</v>
      </c>
      <c r="V453">
        <v>1</v>
      </c>
      <c r="W453" s="1">
        <v>45916</v>
      </c>
      <c r="X453" t="s">
        <v>52</v>
      </c>
      <c r="Y453" s="2">
        <v>1</v>
      </c>
      <c r="Z453" s="2">
        <v>1</v>
      </c>
      <c r="AB453" s="3">
        <v>1</v>
      </c>
      <c r="AC453" s="2">
        <v>2</v>
      </c>
      <c r="AG453" s="2">
        <v>0</v>
      </c>
      <c r="AH453" s="2">
        <v>2</v>
      </c>
      <c r="AI453" s="2">
        <v>0</v>
      </c>
      <c r="AK453">
        <v>5791971</v>
      </c>
      <c r="AL453" t="s">
        <v>416</v>
      </c>
    </row>
    <row r="454" spans="1:38" x14ac:dyDescent="0.25">
      <c r="A454" s="1">
        <v>45918</v>
      </c>
      <c r="B454" s="1">
        <v>45915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1026</v>
      </c>
      <c r="J454" t="s">
        <v>1027</v>
      </c>
      <c r="M454" t="s">
        <v>406</v>
      </c>
      <c r="O454" t="s">
        <v>359</v>
      </c>
      <c r="P454" t="s">
        <v>360</v>
      </c>
      <c r="Q454" t="s">
        <v>49</v>
      </c>
      <c r="R454" t="s">
        <v>536</v>
      </c>
      <c r="S454" s="1">
        <v>45566</v>
      </c>
      <c r="T454" s="1">
        <v>45945</v>
      </c>
      <c r="U454" t="s">
        <v>51</v>
      </c>
      <c r="V454">
        <v>1</v>
      </c>
      <c r="W454" s="1">
        <v>45916</v>
      </c>
      <c r="X454" t="s">
        <v>52</v>
      </c>
      <c r="Y454" s="2">
        <v>1</v>
      </c>
      <c r="Z454" s="2">
        <v>1</v>
      </c>
      <c r="AB454" s="3">
        <v>1</v>
      </c>
      <c r="AC454" s="2">
        <v>2</v>
      </c>
      <c r="AG454" s="2">
        <v>0</v>
      </c>
      <c r="AH454" s="2">
        <v>2</v>
      </c>
      <c r="AI454" s="2">
        <v>0</v>
      </c>
      <c r="AK454">
        <v>5791972</v>
      </c>
      <c r="AL454" t="s">
        <v>416</v>
      </c>
    </row>
    <row r="455" spans="1:38" x14ac:dyDescent="0.25">
      <c r="A455" s="1">
        <v>45918</v>
      </c>
      <c r="B455" s="1">
        <v>45915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1028</v>
      </c>
      <c r="J455" t="s">
        <v>1029</v>
      </c>
      <c r="M455" t="s">
        <v>406</v>
      </c>
      <c r="O455" t="s">
        <v>488</v>
      </c>
      <c r="P455" t="s">
        <v>489</v>
      </c>
      <c r="Q455" t="s">
        <v>49</v>
      </c>
      <c r="R455" t="s">
        <v>415</v>
      </c>
      <c r="S455" s="1">
        <v>45566</v>
      </c>
      <c r="T455" s="1">
        <v>45945</v>
      </c>
      <c r="U455" t="s">
        <v>51</v>
      </c>
      <c r="V455">
        <v>1</v>
      </c>
      <c r="W455" s="1">
        <v>45916</v>
      </c>
      <c r="X455" t="s">
        <v>52</v>
      </c>
      <c r="Y455" s="2">
        <v>1</v>
      </c>
      <c r="Z455" s="2">
        <v>1</v>
      </c>
      <c r="AB455" s="3">
        <v>1</v>
      </c>
      <c r="AC455" s="2">
        <v>2</v>
      </c>
      <c r="AG455" s="2">
        <v>0</v>
      </c>
      <c r="AH455" s="2">
        <v>2</v>
      </c>
      <c r="AI455" s="2">
        <v>0</v>
      </c>
      <c r="AK455">
        <v>5791994</v>
      </c>
      <c r="AL455" t="s">
        <v>416</v>
      </c>
    </row>
    <row r="456" spans="1:38" x14ac:dyDescent="0.25">
      <c r="A456" s="1">
        <v>45918</v>
      </c>
      <c r="B456" s="1">
        <v>45915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1030</v>
      </c>
      <c r="J456" t="s">
        <v>1031</v>
      </c>
      <c r="M456" t="s">
        <v>401</v>
      </c>
      <c r="O456" t="s">
        <v>1032</v>
      </c>
      <c r="P456" t="s">
        <v>1033</v>
      </c>
      <c r="Q456" t="s">
        <v>49</v>
      </c>
      <c r="R456" t="s">
        <v>415</v>
      </c>
      <c r="S456" s="1">
        <v>45566</v>
      </c>
      <c r="T456" s="1">
        <v>45945</v>
      </c>
      <c r="U456" t="s">
        <v>51</v>
      </c>
      <c r="V456">
        <v>1</v>
      </c>
      <c r="W456" s="1">
        <v>45916</v>
      </c>
      <c r="X456" t="s">
        <v>52</v>
      </c>
      <c r="Y456" s="2">
        <v>1</v>
      </c>
      <c r="Z456" s="2">
        <v>1</v>
      </c>
      <c r="AB456" s="3">
        <v>1</v>
      </c>
      <c r="AC456" s="2">
        <v>2</v>
      </c>
      <c r="AG456" s="2">
        <v>0</v>
      </c>
      <c r="AH456" s="2">
        <v>2</v>
      </c>
      <c r="AI456" s="2">
        <v>0</v>
      </c>
      <c r="AK456">
        <v>5791997</v>
      </c>
      <c r="AL456" t="s">
        <v>416</v>
      </c>
    </row>
    <row r="457" spans="1:38" x14ac:dyDescent="0.25">
      <c r="A457" s="1">
        <v>45918</v>
      </c>
      <c r="B457" s="1">
        <v>45915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1034</v>
      </c>
      <c r="J457" t="s">
        <v>1035</v>
      </c>
      <c r="M457" t="s">
        <v>406</v>
      </c>
      <c r="O457" t="s">
        <v>1036</v>
      </c>
      <c r="P457" t="s">
        <v>1037</v>
      </c>
      <c r="Q457" t="s">
        <v>49</v>
      </c>
      <c r="R457" t="s">
        <v>415</v>
      </c>
      <c r="S457" s="1">
        <v>45566</v>
      </c>
      <c r="T457" s="1">
        <v>45945</v>
      </c>
      <c r="U457" t="s">
        <v>51</v>
      </c>
      <c r="V457">
        <v>1</v>
      </c>
      <c r="W457" s="1">
        <v>45916</v>
      </c>
      <c r="X457" t="s">
        <v>52</v>
      </c>
      <c r="Y457" s="2">
        <v>1</v>
      </c>
      <c r="Z457" s="2">
        <v>1</v>
      </c>
      <c r="AB457" s="3">
        <v>1</v>
      </c>
      <c r="AC457" s="2">
        <v>2</v>
      </c>
      <c r="AG457" s="2">
        <v>0</v>
      </c>
      <c r="AH457" s="2">
        <v>2</v>
      </c>
      <c r="AI457" s="2">
        <v>0</v>
      </c>
      <c r="AK457">
        <v>5791999</v>
      </c>
      <c r="AL457" t="s">
        <v>416</v>
      </c>
    </row>
    <row r="458" spans="1:38" x14ac:dyDescent="0.25">
      <c r="A458" s="1">
        <v>45918</v>
      </c>
      <c r="B458" s="1">
        <v>45915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1038</v>
      </c>
      <c r="J458" t="s">
        <v>1039</v>
      </c>
      <c r="M458" t="s">
        <v>401</v>
      </c>
      <c r="O458" t="s">
        <v>87</v>
      </c>
      <c r="P458" t="s">
        <v>88</v>
      </c>
      <c r="Q458" t="s">
        <v>49</v>
      </c>
      <c r="R458" t="s">
        <v>415</v>
      </c>
      <c r="S458" s="1">
        <v>45566</v>
      </c>
      <c r="T458" s="1">
        <v>45945</v>
      </c>
      <c r="U458" t="s">
        <v>51</v>
      </c>
      <c r="V458">
        <v>1</v>
      </c>
      <c r="W458" s="1">
        <v>45916</v>
      </c>
      <c r="X458" t="s">
        <v>52</v>
      </c>
      <c r="Y458" s="2">
        <v>1</v>
      </c>
      <c r="Z458" s="2">
        <v>1</v>
      </c>
      <c r="AB458" s="3">
        <v>1</v>
      </c>
      <c r="AC458" s="2">
        <v>2</v>
      </c>
      <c r="AG458" s="2">
        <v>0</v>
      </c>
      <c r="AH458" s="2">
        <v>2</v>
      </c>
      <c r="AI458" s="2">
        <v>0</v>
      </c>
      <c r="AK458">
        <v>5792003</v>
      </c>
      <c r="AL458" t="s">
        <v>416</v>
      </c>
    </row>
    <row r="459" spans="1:38" x14ac:dyDescent="0.25">
      <c r="A459" s="1">
        <v>45918</v>
      </c>
      <c r="B459" s="1">
        <v>45915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1040</v>
      </c>
      <c r="J459" t="s">
        <v>1041</v>
      </c>
      <c r="M459" t="s">
        <v>401</v>
      </c>
      <c r="O459" t="s">
        <v>74</v>
      </c>
      <c r="P459" t="s">
        <v>75</v>
      </c>
      <c r="Q459" t="s">
        <v>49</v>
      </c>
      <c r="R459" t="s">
        <v>415</v>
      </c>
      <c r="S459" s="1">
        <v>45627</v>
      </c>
      <c r="T459" s="1">
        <v>45945</v>
      </c>
      <c r="U459" t="s">
        <v>51</v>
      </c>
      <c r="V459">
        <v>1</v>
      </c>
      <c r="W459" s="1">
        <v>45916</v>
      </c>
      <c r="X459" t="s">
        <v>52</v>
      </c>
      <c r="Y459" s="2">
        <v>1</v>
      </c>
      <c r="Z459" s="2">
        <v>1</v>
      </c>
      <c r="AB459" s="3">
        <v>1</v>
      </c>
      <c r="AC459" s="2">
        <v>2</v>
      </c>
      <c r="AG459" s="2">
        <v>0</v>
      </c>
      <c r="AH459" s="2">
        <v>2</v>
      </c>
      <c r="AI459" s="2">
        <v>0</v>
      </c>
      <c r="AK459">
        <v>5792014</v>
      </c>
      <c r="AL459" t="s">
        <v>416</v>
      </c>
    </row>
    <row r="460" spans="1:38" x14ac:dyDescent="0.25">
      <c r="A460" s="1">
        <v>45918</v>
      </c>
      <c r="B460" s="1">
        <v>45915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1042</v>
      </c>
      <c r="J460" t="s">
        <v>1043</v>
      </c>
      <c r="M460" t="s">
        <v>401</v>
      </c>
      <c r="O460" t="s">
        <v>1044</v>
      </c>
      <c r="P460" t="s">
        <v>1045</v>
      </c>
      <c r="Q460" t="s">
        <v>49</v>
      </c>
      <c r="R460" t="s">
        <v>415</v>
      </c>
      <c r="S460" s="1">
        <v>45566</v>
      </c>
      <c r="T460" s="1">
        <v>45945</v>
      </c>
      <c r="U460" t="s">
        <v>51</v>
      </c>
      <c r="V460">
        <v>1</v>
      </c>
      <c r="W460" s="1">
        <v>45916</v>
      </c>
      <c r="X460" t="s">
        <v>52</v>
      </c>
      <c r="Y460" s="2">
        <v>1</v>
      </c>
      <c r="Z460" s="2">
        <v>1</v>
      </c>
      <c r="AB460" s="3">
        <v>1</v>
      </c>
      <c r="AC460" s="2">
        <v>2</v>
      </c>
      <c r="AG460" s="2">
        <v>0</v>
      </c>
      <c r="AH460" s="2">
        <v>2</v>
      </c>
      <c r="AI460" s="2">
        <v>0</v>
      </c>
      <c r="AK460">
        <v>5792022</v>
      </c>
      <c r="AL460" t="s">
        <v>416</v>
      </c>
    </row>
    <row r="461" spans="1:38" x14ac:dyDescent="0.25">
      <c r="A461" s="1">
        <v>45918</v>
      </c>
      <c r="B461" s="1">
        <v>45915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1046</v>
      </c>
      <c r="J461" t="s">
        <v>1047</v>
      </c>
      <c r="M461" t="s">
        <v>806</v>
      </c>
      <c r="O461" t="s">
        <v>81</v>
      </c>
      <c r="P461" t="s">
        <v>82</v>
      </c>
      <c r="Q461" t="s">
        <v>49</v>
      </c>
      <c r="R461" t="s">
        <v>536</v>
      </c>
      <c r="S461" s="1">
        <v>45566</v>
      </c>
      <c r="T461" s="1">
        <v>45945</v>
      </c>
      <c r="U461" t="s">
        <v>51</v>
      </c>
      <c r="V461">
        <v>1</v>
      </c>
      <c r="W461" s="1">
        <v>45916</v>
      </c>
      <c r="X461" t="s">
        <v>52</v>
      </c>
      <c r="Y461" s="2">
        <v>1</v>
      </c>
      <c r="Z461" s="2">
        <v>1</v>
      </c>
      <c r="AB461" s="3">
        <v>1</v>
      </c>
      <c r="AC461" s="2">
        <v>2</v>
      </c>
      <c r="AG461" s="2">
        <v>0</v>
      </c>
      <c r="AH461" s="2">
        <v>2</v>
      </c>
      <c r="AI461" s="2">
        <v>0</v>
      </c>
      <c r="AK461">
        <v>5792023</v>
      </c>
      <c r="AL461" t="s">
        <v>416</v>
      </c>
    </row>
    <row r="462" spans="1:38" x14ac:dyDescent="0.25">
      <c r="A462" s="1">
        <v>45918</v>
      </c>
      <c r="B462" s="1">
        <v>45915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1048</v>
      </c>
      <c r="J462" t="s">
        <v>1049</v>
      </c>
      <c r="M462" t="s">
        <v>806</v>
      </c>
      <c r="O462" t="s">
        <v>81</v>
      </c>
      <c r="P462" t="s">
        <v>82</v>
      </c>
      <c r="Q462" t="s">
        <v>49</v>
      </c>
      <c r="R462" t="s">
        <v>536</v>
      </c>
      <c r="S462" s="1">
        <v>45566</v>
      </c>
      <c r="T462" s="1">
        <v>45945</v>
      </c>
      <c r="U462" t="s">
        <v>51</v>
      </c>
      <c r="V462">
        <v>1</v>
      </c>
      <c r="W462" s="1">
        <v>45916</v>
      </c>
      <c r="X462" t="s">
        <v>52</v>
      </c>
      <c r="Y462" s="2">
        <v>1</v>
      </c>
      <c r="Z462" s="2">
        <v>1</v>
      </c>
      <c r="AB462" s="3">
        <v>1</v>
      </c>
      <c r="AC462" s="2">
        <v>2</v>
      </c>
      <c r="AG462" s="2">
        <v>0</v>
      </c>
      <c r="AH462" s="2">
        <v>2</v>
      </c>
      <c r="AI462" s="2">
        <v>0</v>
      </c>
      <c r="AK462">
        <v>5792024</v>
      </c>
      <c r="AL462" t="s">
        <v>416</v>
      </c>
    </row>
    <row r="463" spans="1:38" x14ac:dyDescent="0.25">
      <c r="A463" s="1">
        <v>45918</v>
      </c>
      <c r="B463" s="1">
        <v>45915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1050</v>
      </c>
      <c r="J463" t="s">
        <v>1051</v>
      </c>
      <c r="M463" t="s">
        <v>406</v>
      </c>
      <c r="O463" t="s">
        <v>811</v>
      </c>
      <c r="P463" t="s">
        <v>812</v>
      </c>
      <c r="Q463" t="s">
        <v>49</v>
      </c>
      <c r="R463" t="s">
        <v>415</v>
      </c>
      <c r="S463" s="1">
        <v>45566</v>
      </c>
      <c r="T463" s="1">
        <v>45945</v>
      </c>
      <c r="U463" t="s">
        <v>51</v>
      </c>
      <c r="V463">
        <v>1</v>
      </c>
      <c r="W463" s="1">
        <v>45916</v>
      </c>
      <c r="X463" t="s">
        <v>52</v>
      </c>
      <c r="Y463" s="2">
        <v>1</v>
      </c>
      <c r="Z463" s="2">
        <v>1</v>
      </c>
      <c r="AB463" s="3">
        <v>1</v>
      </c>
      <c r="AC463" s="2">
        <v>2</v>
      </c>
      <c r="AG463" s="2">
        <v>0</v>
      </c>
      <c r="AH463" s="2">
        <v>2</v>
      </c>
      <c r="AI463" s="2">
        <v>0</v>
      </c>
      <c r="AK463">
        <v>5792031</v>
      </c>
      <c r="AL463" t="s">
        <v>416</v>
      </c>
    </row>
    <row r="464" spans="1:38" x14ac:dyDescent="0.25">
      <c r="A464" s="1">
        <v>45918</v>
      </c>
      <c r="B464" s="1">
        <v>45915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1052</v>
      </c>
      <c r="J464" t="s">
        <v>1053</v>
      </c>
      <c r="M464" t="s">
        <v>406</v>
      </c>
      <c r="O464" t="s">
        <v>407</v>
      </c>
      <c r="P464" t="s">
        <v>408</v>
      </c>
      <c r="Q464" t="s">
        <v>49</v>
      </c>
      <c r="R464" t="s">
        <v>415</v>
      </c>
      <c r="S464" s="1">
        <v>45566</v>
      </c>
      <c r="T464" s="1">
        <v>45945</v>
      </c>
      <c r="U464" t="s">
        <v>51</v>
      </c>
      <c r="V464">
        <v>1</v>
      </c>
      <c r="W464" s="1">
        <v>45916</v>
      </c>
      <c r="X464" t="s">
        <v>52</v>
      </c>
      <c r="Y464" s="2">
        <v>1</v>
      </c>
      <c r="Z464" s="2">
        <v>1</v>
      </c>
      <c r="AB464" s="3">
        <v>1</v>
      </c>
      <c r="AC464" s="2">
        <v>2</v>
      </c>
      <c r="AG464" s="2">
        <v>0</v>
      </c>
      <c r="AH464" s="2">
        <v>2</v>
      </c>
      <c r="AI464" s="2">
        <v>0</v>
      </c>
      <c r="AK464">
        <v>5792032</v>
      </c>
      <c r="AL464" t="s">
        <v>416</v>
      </c>
    </row>
    <row r="465" spans="1:38" x14ac:dyDescent="0.25">
      <c r="A465" s="1">
        <v>45918</v>
      </c>
      <c r="B465" s="1">
        <v>45915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1054</v>
      </c>
      <c r="J465" t="s">
        <v>1055</v>
      </c>
      <c r="M465" t="s">
        <v>401</v>
      </c>
      <c r="O465" t="s">
        <v>74</v>
      </c>
      <c r="P465" t="s">
        <v>75</v>
      </c>
      <c r="Q465" t="s">
        <v>49</v>
      </c>
      <c r="R465" t="s">
        <v>536</v>
      </c>
      <c r="S465" s="1">
        <v>45566</v>
      </c>
      <c r="T465" s="1">
        <v>45945</v>
      </c>
      <c r="U465" t="s">
        <v>51</v>
      </c>
      <c r="V465">
        <v>1</v>
      </c>
      <c r="W465" s="1">
        <v>45916</v>
      </c>
      <c r="X465" t="s">
        <v>52</v>
      </c>
      <c r="Y465" s="2">
        <v>1</v>
      </c>
      <c r="Z465" s="2">
        <v>1</v>
      </c>
      <c r="AB465" s="3">
        <v>1</v>
      </c>
      <c r="AC465" s="2">
        <v>2</v>
      </c>
      <c r="AG465" s="2">
        <v>0</v>
      </c>
      <c r="AH465" s="2">
        <v>2</v>
      </c>
      <c r="AI465" s="2">
        <v>0</v>
      </c>
      <c r="AK465">
        <v>5792034</v>
      </c>
      <c r="AL465" t="s">
        <v>416</v>
      </c>
    </row>
    <row r="466" spans="1:38" x14ac:dyDescent="0.25">
      <c r="A466" s="1">
        <v>45918</v>
      </c>
      <c r="B466" s="1">
        <v>45915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1056</v>
      </c>
      <c r="J466" t="s">
        <v>1057</v>
      </c>
      <c r="M466" t="s">
        <v>401</v>
      </c>
      <c r="O466" t="s">
        <v>100</v>
      </c>
      <c r="P466" t="s">
        <v>101</v>
      </c>
      <c r="Q466" t="s">
        <v>49</v>
      </c>
      <c r="R466" t="s">
        <v>415</v>
      </c>
      <c r="S466" s="1">
        <v>45566</v>
      </c>
      <c r="T466" s="1">
        <v>45945</v>
      </c>
      <c r="U466" t="s">
        <v>51</v>
      </c>
      <c r="V466">
        <v>1</v>
      </c>
      <c r="W466" s="1">
        <v>45916</v>
      </c>
      <c r="X466" t="s">
        <v>52</v>
      </c>
      <c r="Y466" s="2">
        <v>1</v>
      </c>
      <c r="Z466" s="2">
        <v>1</v>
      </c>
      <c r="AB466" s="3">
        <v>1</v>
      </c>
      <c r="AC466" s="2">
        <v>2</v>
      </c>
      <c r="AG466" s="2">
        <v>0</v>
      </c>
      <c r="AH466" s="2">
        <v>2</v>
      </c>
      <c r="AI466" s="2">
        <v>0</v>
      </c>
      <c r="AK466">
        <v>5792040</v>
      </c>
      <c r="AL466" t="s">
        <v>416</v>
      </c>
    </row>
    <row r="467" spans="1:38" x14ac:dyDescent="0.25">
      <c r="A467" s="1">
        <v>45918</v>
      </c>
      <c r="B467" s="1">
        <v>45915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1058</v>
      </c>
      <c r="J467" t="s">
        <v>1059</v>
      </c>
      <c r="M467" t="s">
        <v>406</v>
      </c>
      <c r="O467" t="s">
        <v>407</v>
      </c>
      <c r="P467" t="s">
        <v>408</v>
      </c>
      <c r="Q467" t="s">
        <v>49</v>
      </c>
      <c r="R467" t="s">
        <v>415</v>
      </c>
      <c r="S467" s="1">
        <v>45597</v>
      </c>
      <c r="T467" s="1">
        <v>45945</v>
      </c>
      <c r="U467" t="s">
        <v>51</v>
      </c>
      <c r="V467">
        <v>1</v>
      </c>
      <c r="W467" s="1">
        <v>45916</v>
      </c>
      <c r="X467" t="s">
        <v>52</v>
      </c>
      <c r="Y467" s="2">
        <v>1</v>
      </c>
      <c r="Z467" s="2">
        <v>1</v>
      </c>
      <c r="AB467" s="3">
        <v>1</v>
      </c>
      <c r="AC467" s="2">
        <v>2</v>
      </c>
      <c r="AG467" s="2">
        <v>0</v>
      </c>
      <c r="AH467" s="2">
        <v>2</v>
      </c>
      <c r="AI467" s="2">
        <v>0</v>
      </c>
      <c r="AK467">
        <v>5792049</v>
      </c>
      <c r="AL467" t="s">
        <v>416</v>
      </c>
    </row>
    <row r="468" spans="1:38" x14ac:dyDescent="0.25">
      <c r="A468" s="1">
        <v>45918</v>
      </c>
      <c r="B468" s="1">
        <v>45915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1060</v>
      </c>
      <c r="J468" t="s">
        <v>1061</v>
      </c>
      <c r="M468" t="s">
        <v>406</v>
      </c>
      <c r="O468" t="s">
        <v>407</v>
      </c>
      <c r="P468" t="s">
        <v>408</v>
      </c>
      <c r="Q468" t="s">
        <v>49</v>
      </c>
      <c r="R468" t="s">
        <v>415</v>
      </c>
      <c r="S468" s="1">
        <v>45597</v>
      </c>
      <c r="T468" s="1">
        <v>45945</v>
      </c>
      <c r="U468" t="s">
        <v>51</v>
      </c>
      <c r="V468">
        <v>1</v>
      </c>
      <c r="W468" s="1">
        <v>45916</v>
      </c>
      <c r="X468" t="s">
        <v>52</v>
      </c>
      <c r="Y468" s="2">
        <v>1</v>
      </c>
      <c r="Z468" s="2">
        <v>1</v>
      </c>
      <c r="AB468" s="3">
        <v>1</v>
      </c>
      <c r="AC468" s="2">
        <v>2</v>
      </c>
      <c r="AG468" s="2">
        <v>0</v>
      </c>
      <c r="AH468" s="2">
        <v>2</v>
      </c>
      <c r="AI468" s="2">
        <v>0</v>
      </c>
      <c r="AK468">
        <v>5792050</v>
      </c>
      <c r="AL468" t="s">
        <v>416</v>
      </c>
    </row>
    <row r="469" spans="1:38" x14ac:dyDescent="0.25">
      <c r="A469" s="1">
        <v>45918</v>
      </c>
      <c r="B469" s="1">
        <v>45915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1062</v>
      </c>
      <c r="J469" t="s">
        <v>1063</v>
      </c>
      <c r="M469" t="s">
        <v>401</v>
      </c>
      <c r="O469" t="s">
        <v>220</v>
      </c>
      <c r="P469" t="s">
        <v>221</v>
      </c>
      <c r="Q469" t="s">
        <v>49</v>
      </c>
      <c r="R469" t="s">
        <v>415</v>
      </c>
      <c r="S469" s="1">
        <v>45597</v>
      </c>
      <c r="T469" s="1">
        <v>45945</v>
      </c>
      <c r="U469" t="s">
        <v>51</v>
      </c>
      <c r="V469">
        <v>1</v>
      </c>
      <c r="W469" s="1">
        <v>45916</v>
      </c>
      <c r="X469" t="s">
        <v>52</v>
      </c>
      <c r="Y469" s="2">
        <v>1</v>
      </c>
      <c r="Z469" s="2">
        <v>1</v>
      </c>
      <c r="AB469" s="3">
        <v>1</v>
      </c>
      <c r="AC469" s="2">
        <v>2</v>
      </c>
      <c r="AG469" s="2">
        <v>0</v>
      </c>
      <c r="AH469" s="2">
        <v>2</v>
      </c>
      <c r="AI469" s="2">
        <v>0</v>
      </c>
      <c r="AK469">
        <v>5792055</v>
      </c>
      <c r="AL469" t="s">
        <v>416</v>
      </c>
    </row>
    <row r="470" spans="1:38" x14ac:dyDescent="0.25">
      <c r="A470" s="1">
        <v>45918</v>
      </c>
      <c r="B470" s="1">
        <v>45915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1064</v>
      </c>
      <c r="J470" t="s">
        <v>1065</v>
      </c>
      <c r="O470" t="s">
        <v>100</v>
      </c>
      <c r="P470" t="s">
        <v>101</v>
      </c>
      <c r="Q470" t="s">
        <v>49</v>
      </c>
      <c r="R470" t="s">
        <v>415</v>
      </c>
      <c r="S470" s="1">
        <v>45597</v>
      </c>
      <c r="T470" s="1">
        <v>45945</v>
      </c>
      <c r="U470" t="s">
        <v>51</v>
      </c>
      <c r="V470">
        <v>1</v>
      </c>
      <c r="W470" s="1">
        <v>45916</v>
      </c>
      <c r="X470" t="s">
        <v>52</v>
      </c>
      <c r="Y470" s="2">
        <v>1</v>
      </c>
      <c r="Z470" s="2">
        <v>1</v>
      </c>
      <c r="AB470" s="3">
        <v>1</v>
      </c>
      <c r="AC470" s="2">
        <v>2</v>
      </c>
      <c r="AG470" s="2">
        <v>0</v>
      </c>
      <c r="AH470" s="2">
        <v>2</v>
      </c>
      <c r="AI470" s="2">
        <v>0</v>
      </c>
      <c r="AK470">
        <v>5792060</v>
      </c>
      <c r="AL470" t="s">
        <v>416</v>
      </c>
    </row>
    <row r="471" spans="1:38" x14ac:dyDescent="0.25">
      <c r="A471" s="1">
        <v>45918</v>
      </c>
      <c r="B471" s="1">
        <v>45915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1066</v>
      </c>
      <c r="J471" t="s">
        <v>1067</v>
      </c>
      <c r="M471" t="s">
        <v>406</v>
      </c>
      <c r="O471" t="s">
        <v>359</v>
      </c>
      <c r="P471" t="s">
        <v>360</v>
      </c>
      <c r="Q471" t="s">
        <v>49</v>
      </c>
      <c r="R471" t="s">
        <v>415</v>
      </c>
      <c r="S471" s="1">
        <v>45597</v>
      </c>
      <c r="T471" s="1">
        <v>45945</v>
      </c>
      <c r="U471" t="s">
        <v>51</v>
      </c>
      <c r="V471">
        <v>1</v>
      </c>
      <c r="W471" s="1">
        <v>45916</v>
      </c>
      <c r="X471" t="s">
        <v>52</v>
      </c>
      <c r="Y471" s="2">
        <v>1</v>
      </c>
      <c r="Z471" s="2">
        <v>1</v>
      </c>
      <c r="AB471" s="3">
        <v>1</v>
      </c>
      <c r="AC471" s="2">
        <v>2</v>
      </c>
      <c r="AG471" s="2">
        <v>0</v>
      </c>
      <c r="AH471" s="2">
        <v>2</v>
      </c>
      <c r="AI471" s="2">
        <v>0</v>
      </c>
      <c r="AK471">
        <v>5792068</v>
      </c>
      <c r="AL471" t="s">
        <v>416</v>
      </c>
    </row>
    <row r="472" spans="1:38" x14ac:dyDescent="0.25">
      <c r="A472" s="1">
        <v>45918</v>
      </c>
      <c r="B472" s="1">
        <v>45915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1068</v>
      </c>
      <c r="J472" t="s">
        <v>1069</v>
      </c>
      <c r="M472" t="s">
        <v>401</v>
      </c>
      <c r="O472" t="s">
        <v>74</v>
      </c>
      <c r="P472" t="s">
        <v>75</v>
      </c>
      <c r="Q472" t="s">
        <v>49</v>
      </c>
      <c r="R472" t="s">
        <v>415</v>
      </c>
      <c r="S472" s="1">
        <v>45597</v>
      </c>
      <c r="T472" s="1">
        <v>45945</v>
      </c>
      <c r="U472" t="s">
        <v>51</v>
      </c>
      <c r="V472">
        <v>1</v>
      </c>
      <c r="W472" s="1">
        <v>45916</v>
      </c>
      <c r="X472" t="s">
        <v>52</v>
      </c>
      <c r="Y472" s="2">
        <v>1</v>
      </c>
      <c r="Z472" s="2">
        <v>1</v>
      </c>
      <c r="AB472" s="3">
        <v>1</v>
      </c>
      <c r="AC472" s="2">
        <v>2</v>
      </c>
      <c r="AG472" s="2">
        <v>0</v>
      </c>
      <c r="AH472" s="2">
        <v>2</v>
      </c>
      <c r="AI472" s="2">
        <v>0</v>
      </c>
      <c r="AK472">
        <v>5792069</v>
      </c>
      <c r="AL472" t="s">
        <v>416</v>
      </c>
    </row>
    <row r="473" spans="1:38" x14ac:dyDescent="0.25">
      <c r="A473" s="1">
        <v>45918</v>
      </c>
      <c r="B473" s="1">
        <v>45915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1070</v>
      </c>
      <c r="J473" t="s">
        <v>1071</v>
      </c>
      <c r="M473" t="s">
        <v>406</v>
      </c>
      <c r="O473" t="s">
        <v>407</v>
      </c>
      <c r="P473" t="s">
        <v>408</v>
      </c>
      <c r="Q473" t="s">
        <v>49</v>
      </c>
      <c r="R473" t="s">
        <v>415</v>
      </c>
      <c r="S473" s="1">
        <v>45627</v>
      </c>
      <c r="T473" s="1">
        <v>45945</v>
      </c>
      <c r="U473" t="s">
        <v>51</v>
      </c>
      <c r="V473">
        <v>1</v>
      </c>
      <c r="W473" s="1">
        <v>45916</v>
      </c>
      <c r="X473" t="s">
        <v>52</v>
      </c>
      <c r="Y473" s="2">
        <v>1</v>
      </c>
      <c r="Z473" s="2">
        <v>1</v>
      </c>
      <c r="AB473" s="3">
        <v>1</v>
      </c>
      <c r="AC473" s="2">
        <v>2</v>
      </c>
      <c r="AG473" s="2">
        <v>0</v>
      </c>
      <c r="AH473" s="2">
        <v>2</v>
      </c>
      <c r="AI473" s="2">
        <v>0</v>
      </c>
      <c r="AK473">
        <v>5792071</v>
      </c>
      <c r="AL473" t="s">
        <v>416</v>
      </c>
    </row>
    <row r="474" spans="1:38" x14ac:dyDescent="0.25">
      <c r="A474" s="1">
        <v>45918</v>
      </c>
      <c r="B474" s="1">
        <v>45915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1072</v>
      </c>
      <c r="J474" t="s">
        <v>1073</v>
      </c>
      <c r="M474" t="s">
        <v>887</v>
      </c>
      <c r="O474" t="s">
        <v>100</v>
      </c>
      <c r="P474" t="s">
        <v>101</v>
      </c>
      <c r="Q474" t="s">
        <v>49</v>
      </c>
      <c r="R474" t="s">
        <v>415</v>
      </c>
      <c r="S474" s="1">
        <v>45597</v>
      </c>
      <c r="T474" s="1">
        <v>45945</v>
      </c>
      <c r="U474" t="s">
        <v>51</v>
      </c>
      <c r="V474">
        <v>1</v>
      </c>
      <c r="W474" s="1">
        <v>45916</v>
      </c>
      <c r="X474" t="s">
        <v>52</v>
      </c>
      <c r="Y474" s="2">
        <v>1</v>
      </c>
      <c r="Z474" s="2">
        <v>1</v>
      </c>
      <c r="AB474" s="3">
        <v>1</v>
      </c>
      <c r="AC474" s="2">
        <v>2</v>
      </c>
      <c r="AG474" s="2">
        <v>0</v>
      </c>
      <c r="AH474" s="2">
        <v>2</v>
      </c>
      <c r="AI474" s="2">
        <v>0</v>
      </c>
      <c r="AK474">
        <v>5792072</v>
      </c>
      <c r="AL474" t="s">
        <v>416</v>
      </c>
    </row>
    <row r="475" spans="1:38" x14ac:dyDescent="0.25">
      <c r="A475" s="1">
        <v>45918</v>
      </c>
      <c r="B475" s="1">
        <v>45915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1074</v>
      </c>
      <c r="J475" t="s">
        <v>1075</v>
      </c>
      <c r="M475" t="s">
        <v>557</v>
      </c>
      <c r="O475" t="s">
        <v>1076</v>
      </c>
      <c r="P475" t="s">
        <v>1077</v>
      </c>
      <c r="Q475" t="s">
        <v>49</v>
      </c>
      <c r="R475" t="s">
        <v>415</v>
      </c>
      <c r="S475" s="1">
        <v>45627</v>
      </c>
      <c r="T475" s="1">
        <v>45945</v>
      </c>
      <c r="U475" t="s">
        <v>51</v>
      </c>
      <c r="V475">
        <v>1</v>
      </c>
      <c r="W475" s="1">
        <v>45916</v>
      </c>
      <c r="X475" t="s">
        <v>52</v>
      </c>
      <c r="Y475" s="2">
        <v>1</v>
      </c>
      <c r="Z475" s="2">
        <v>1</v>
      </c>
      <c r="AB475" s="3">
        <v>1</v>
      </c>
      <c r="AC475" s="2">
        <v>2</v>
      </c>
      <c r="AG475" s="2">
        <v>0</v>
      </c>
      <c r="AH475" s="2">
        <v>2</v>
      </c>
      <c r="AI475" s="2">
        <v>0</v>
      </c>
      <c r="AK475">
        <v>5792073</v>
      </c>
      <c r="AL475" t="s">
        <v>416</v>
      </c>
    </row>
    <row r="476" spans="1:38" x14ac:dyDescent="0.25">
      <c r="A476" s="1">
        <v>45918</v>
      </c>
      <c r="B476" s="1">
        <v>45915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1078</v>
      </c>
      <c r="J476" t="s">
        <v>1079</v>
      </c>
      <c r="M476" t="s">
        <v>978</v>
      </c>
      <c r="O476" t="s">
        <v>70</v>
      </c>
      <c r="P476" t="s">
        <v>71</v>
      </c>
      <c r="Q476" t="s">
        <v>49</v>
      </c>
      <c r="R476" t="s">
        <v>536</v>
      </c>
      <c r="S476" s="1">
        <v>45597</v>
      </c>
      <c r="T476" s="1">
        <v>45945</v>
      </c>
      <c r="U476" t="s">
        <v>51</v>
      </c>
      <c r="V476">
        <v>1</v>
      </c>
      <c r="W476" s="1">
        <v>45916</v>
      </c>
      <c r="X476" t="s">
        <v>52</v>
      </c>
      <c r="Y476" s="2">
        <v>1</v>
      </c>
      <c r="Z476" s="2">
        <v>1</v>
      </c>
      <c r="AB476" s="3">
        <v>1</v>
      </c>
      <c r="AC476" s="2">
        <v>2</v>
      </c>
      <c r="AG476" s="2">
        <v>0</v>
      </c>
      <c r="AH476" s="2">
        <v>2</v>
      </c>
      <c r="AI476" s="2">
        <v>0</v>
      </c>
      <c r="AK476">
        <v>5792077</v>
      </c>
      <c r="AL476" t="s">
        <v>416</v>
      </c>
    </row>
    <row r="477" spans="1:38" x14ac:dyDescent="0.25">
      <c r="A477" s="1">
        <v>45918</v>
      </c>
      <c r="B477" s="1">
        <v>45915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1080</v>
      </c>
      <c r="J477" t="s">
        <v>1081</v>
      </c>
      <c r="M477" t="s">
        <v>406</v>
      </c>
      <c r="O477" t="s">
        <v>359</v>
      </c>
      <c r="P477" t="s">
        <v>360</v>
      </c>
      <c r="Q477" t="s">
        <v>49</v>
      </c>
      <c r="R477" t="s">
        <v>415</v>
      </c>
      <c r="S477" s="1">
        <v>45597</v>
      </c>
      <c r="T477" s="1">
        <v>45945</v>
      </c>
      <c r="U477" t="s">
        <v>51</v>
      </c>
      <c r="V477">
        <v>1</v>
      </c>
      <c r="W477" s="1">
        <v>45916</v>
      </c>
      <c r="X477" t="s">
        <v>52</v>
      </c>
      <c r="Y477" s="2">
        <v>1</v>
      </c>
      <c r="Z477" s="2">
        <v>1</v>
      </c>
      <c r="AB477" s="3">
        <v>1</v>
      </c>
      <c r="AC477" s="2">
        <v>2</v>
      </c>
      <c r="AG477" s="2">
        <v>0</v>
      </c>
      <c r="AH477" s="2">
        <v>2</v>
      </c>
      <c r="AI477" s="2">
        <v>0</v>
      </c>
      <c r="AK477">
        <v>5792082</v>
      </c>
      <c r="AL477" t="s">
        <v>416</v>
      </c>
    </row>
    <row r="478" spans="1:38" x14ac:dyDescent="0.25">
      <c r="A478" s="1">
        <v>45918</v>
      </c>
      <c r="B478" s="1">
        <v>45915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1082</v>
      </c>
      <c r="J478" t="s">
        <v>1083</v>
      </c>
      <c r="M478" t="s">
        <v>406</v>
      </c>
      <c r="O478" t="s">
        <v>407</v>
      </c>
      <c r="P478" t="s">
        <v>408</v>
      </c>
      <c r="Q478" t="s">
        <v>49</v>
      </c>
      <c r="R478" t="s">
        <v>415</v>
      </c>
      <c r="S478" s="1">
        <v>45627</v>
      </c>
      <c r="T478" s="1">
        <v>45945</v>
      </c>
      <c r="U478" t="s">
        <v>51</v>
      </c>
      <c r="V478">
        <v>1</v>
      </c>
      <c r="W478" s="1">
        <v>45916</v>
      </c>
      <c r="X478" t="s">
        <v>52</v>
      </c>
      <c r="Y478" s="2">
        <v>1</v>
      </c>
      <c r="Z478" s="2">
        <v>1</v>
      </c>
      <c r="AB478" s="3">
        <v>1</v>
      </c>
      <c r="AC478" s="2">
        <v>2</v>
      </c>
      <c r="AG478" s="2">
        <v>0</v>
      </c>
      <c r="AH478" s="2">
        <v>2</v>
      </c>
      <c r="AI478" s="2">
        <v>0</v>
      </c>
      <c r="AK478">
        <v>5792092</v>
      </c>
      <c r="AL478" t="s">
        <v>416</v>
      </c>
    </row>
    <row r="479" spans="1:38" x14ac:dyDescent="0.25">
      <c r="A479" s="1">
        <v>45918</v>
      </c>
      <c r="B479" s="1">
        <v>45915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1084</v>
      </c>
      <c r="J479" t="s">
        <v>1085</v>
      </c>
      <c r="M479" t="s">
        <v>1086</v>
      </c>
      <c r="O479" t="s">
        <v>240</v>
      </c>
      <c r="P479" t="s">
        <v>241</v>
      </c>
      <c r="Q479" t="s">
        <v>49</v>
      </c>
      <c r="R479" t="s">
        <v>896</v>
      </c>
      <c r="S479" s="1">
        <v>45597</v>
      </c>
      <c r="T479" s="1">
        <v>45945</v>
      </c>
      <c r="U479" t="s">
        <v>51</v>
      </c>
      <c r="V479">
        <v>1</v>
      </c>
      <c r="W479" s="1">
        <v>45916</v>
      </c>
      <c r="X479" t="s">
        <v>52</v>
      </c>
      <c r="Y479" s="2">
        <v>1</v>
      </c>
      <c r="Z479" s="2">
        <v>1</v>
      </c>
      <c r="AB479" s="3">
        <v>1</v>
      </c>
      <c r="AC479" s="2">
        <v>2</v>
      </c>
      <c r="AG479" s="2">
        <v>0</v>
      </c>
      <c r="AH479" s="2">
        <v>2</v>
      </c>
      <c r="AI479" s="2">
        <v>0</v>
      </c>
      <c r="AK479">
        <v>5792093</v>
      </c>
      <c r="AL479" t="s">
        <v>416</v>
      </c>
    </row>
    <row r="480" spans="1:38" x14ac:dyDescent="0.25">
      <c r="A480" s="1">
        <v>45918</v>
      </c>
      <c r="B480" s="1">
        <v>45915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1087</v>
      </c>
      <c r="J480" t="s">
        <v>1088</v>
      </c>
      <c r="M480" t="s">
        <v>1089</v>
      </c>
      <c r="O480" t="s">
        <v>1090</v>
      </c>
      <c r="P480" t="s">
        <v>1091</v>
      </c>
      <c r="Q480" t="s">
        <v>49</v>
      </c>
      <c r="R480" t="s">
        <v>415</v>
      </c>
      <c r="S480" s="1">
        <v>45597</v>
      </c>
      <c r="T480" s="1">
        <v>45945</v>
      </c>
      <c r="U480" t="s">
        <v>51</v>
      </c>
      <c r="V480">
        <v>1</v>
      </c>
      <c r="W480" s="1">
        <v>45916</v>
      </c>
      <c r="X480" t="s">
        <v>52</v>
      </c>
      <c r="Y480" s="2">
        <v>1</v>
      </c>
      <c r="Z480" s="2">
        <v>1</v>
      </c>
      <c r="AB480" s="3">
        <v>1</v>
      </c>
      <c r="AC480" s="2">
        <v>2</v>
      </c>
      <c r="AG480" s="2">
        <v>0</v>
      </c>
      <c r="AH480" s="2">
        <v>2</v>
      </c>
      <c r="AI480" s="2">
        <v>0</v>
      </c>
      <c r="AK480">
        <v>5792104</v>
      </c>
      <c r="AL480" t="s">
        <v>416</v>
      </c>
    </row>
    <row r="481" spans="1:38" x14ac:dyDescent="0.25">
      <c r="A481" s="1">
        <v>45918</v>
      </c>
      <c r="B481" s="1">
        <v>45915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1092</v>
      </c>
      <c r="J481" t="s">
        <v>1093</v>
      </c>
      <c r="M481" t="s">
        <v>978</v>
      </c>
      <c r="O481" t="s">
        <v>979</v>
      </c>
      <c r="P481" t="s">
        <v>980</v>
      </c>
      <c r="Q481" t="s">
        <v>49</v>
      </c>
      <c r="R481" t="s">
        <v>415</v>
      </c>
      <c r="S481" s="1">
        <v>45627</v>
      </c>
      <c r="T481" s="1">
        <v>45945</v>
      </c>
      <c r="U481" t="s">
        <v>51</v>
      </c>
      <c r="V481">
        <v>1</v>
      </c>
      <c r="W481" s="1">
        <v>45916</v>
      </c>
      <c r="X481" t="s">
        <v>52</v>
      </c>
      <c r="Y481" s="2">
        <v>1</v>
      </c>
      <c r="Z481" s="2">
        <v>1</v>
      </c>
      <c r="AB481" s="3">
        <v>1</v>
      </c>
      <c r="AC481" s="2">
        <v>2</v>
      </c>
      <c r="AG481" s="2">
        <v>0</v>
      </c>
      <c r="AH481" s="2">
        <v>2</v>
      </c>
      <c r="AI481" s="2">
        <v>0</v>
      </c>
      <c r="AK481">
        <v>5792106</v>
      </c>
      <c r="AL481" t="s">
        <v>416</v>
      </c>
    </row>
    <row r="482" spans="1:38" x14ac:dyDescent="0.25">
      <c r="A482" s="1">
        <v>45918</v>
      </c>
      <c r="B482" s="1">
        <v>45915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1094</v>
      </c>
      <c r="J482" t="s">
        <v>1095</v>
      </c>
      <c r="M482" t="s">
        <v>950</v>
      </c>
      <c r="O482" t="s">
        <v>100</v>
      </c>
      <c r="P482" t="s">
        <v>101</v>
      </c>
      <c r="Q482" t="s">
        <v>49</v>
      </c>
      <c r="R482" t="s">
        <v>415</v>
      </c>
      <c r="S482" s="1">
        <v>45597</v>
      </c>
      <c r="T482" s="1">
        <v>45945</v>
      </c>
      <c r="U482" t="s">
        <v>51</v>
      </c>
      <c r="V482">
        <v>1</v>
      </c>
      <c r="W482" s="1">
        <v>45916</v>
      </c>
      <c r="X482" t="s">
        <v>52</v>
      </c>
      <c r="Y482" s="2">
        <v>1</v>
      </c>
      <c r="Z482" s="2">
        <v>1</v>
      </c>
      <c r="AB482" s="3">
        <v>1</v>
      </c>
      <c r="AC482" s="2">
        <v>2</v>
      </c>
      <c r="AG482" s="2">
        <v>0</v>
      </c>
      <c r="AH482" s="2">
        <v>2</v>
      </c>
      <c r="AI482" s="2">
        <v>0</v>
      </c>
      <c r="AK482">
        <v>5792108</v>
      </c>
      <c r="AL482" t="s">
        <v>416</v>
      </c>
    </row>
    <row r="483" spans="1:38" x14ac:dyDescent="0.25">
      <c r="A483" s="1">
        <v>45918</v>
      </c>
      <c r="B483" s="1">
        <v>45915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1096</v>
      </c>
      <c r="J483" t="s">
        <v>1097</v>
      </c>
      <c r="M483" t="s">
        <v>406</v>
      </c>
      <c r="O483" t="s">
        <v>359</v>
      </c>
      <c r="P483" t="s">
        <v>360</v>
      </c>
      <c r="Q483" t="s">
        <v>49</v>
      </c>
      <c r="R483" t="s">
        <v>536</v>
      </c>
      <c r="S483" s="1">
        <v>45597</v>
      </c>
      <c r="T483" s="1">
        <v>45945</v>
      </c>
      <c r="U483" t="s">
        <v>51</v>
      </c>
      <c r="V483">
        <v>1</v>
      </c>
      <c r="W483" s="1">
        <v>45916</v>
      </c>
      <c r="X483" t="s">
        <v>52</v>
      </c>
      <c r="Y483" s="2">
        <v>1</v>
      </c>
      <c r="Z483" s="2">
        <v>1</v>
      </c>
      <c r="AB483" s="3">
        <v>1</v>
      </c>
      <c r="AC483" s="2">
        <v>2</v>
      </c>
      <c r="AG483" s="2">
        <v>0</v>
      </c>
      <c r="AH483" s="2">
        <v>2</v>
      </c>
      <c r="AI483" s="2">
        <v>0</v>
      </c>
      <c r="AK483">
        <v>5792109</v>
      </c>
      <c r="AL483" t="s">
        <v>416</v>
      </c>
    </row>
    <row r="484" spans="1:38" x14ac:dyDescent="0.25">
      <c r="A484" s="1">
        <v>45918</v>
      </c>
      <c r="B484" s="1">
        <v>45915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1098</v>
      </c>
      <c r="J484" t="s">
        <v>1099</v>
      </c>
      <c r="M484" t="s">
        <v>406</v>
      </c>
      <c r="O484" t="s">
        <v>359</v>
      </c>
      <c r="P484" t="s">
        <v>360</v>
      </c>
      <c r="Q484" t="s">
        <v>49</v>
      </c>
      <c r="R484" t="s">
        <v>415</v>
      </c>
      <c r="S484" s="1">
        <v>45627</v>
      </c>
      <c r="T484" s="1">
        <v>45945</v>
      </c>
      <c r="U484" t="s">
        <v>51</v>
      </c>
      <c r="V484">
        <v>1</v>
      </c>
      <c r="W484" s="1">
        <v>45916</v>
      </c>
      <c r="X484" t="s">
        <v>52</v>
      </c>
      <c r="Y484" s="2">
        <v>1</v>
      </c>
      <c r="Z484" s="2">
        <v>1</v>
      </c>
      <c r="AB484" s="3">
        <v>1</v>
      </c>
      <c r="AC484" s="2">
        <v>2</v>
      </c>
      <c r="AG484" s="2">
        <v>0</v>
      </c>
      <c r="AH484" s="2">
        <v>2</v>
      </c>
      <c r="AI484" s="2">
        <v>0</v>
      </c>
      <c r="AK484">
        <v>5792114</v>
      </c>
      <c r="AL484" t="s">
        <v>416</v>
      </c>
    </row>
    <row r="485" spans="1:38" x14ac:dyDescent="0.25">
      <c r="A485" s="1">
        <v>45918</v>
      </c>
      <c r="B485" s="1">
        <v>45915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1100</v>
      </c>
      <c r="J485" t="s">
        <v>1101</v>
      </c>
      <c r="M485" t="s">
        <v>401</v>
      </c>
      <c r="O485" t="s">
        <v>100</v>
      </c>
      <c r="P485" t="s">
        <v>101</v>
      </c>
      <c r="Q485" t="s">
        <v>49</v>
      </c>
      <c r="R485" t="s">
        <v>415</v>
      </c>
      <c r="S485" s="1">
        <v>45597</v>
      </c>
      <c r="T485" s="1">
        <v>45945</v>
      </c>
      <c r="U485" t="s">
        <v>51</v>
      </c>
      <c r="V485">
        <v>1</v>
      </c>
      <c r="W485" s="1">
        <v>45916</v>
      </c>
      <c r="X485" t="s">
        <v>52</v>
      </c>
      <c r="Y485" s="2">
        <v>1</v>
      </c>
      <c r="Z485" s="2">
        <v>1</v>
      </c>
      <c r="AB485" s="3">
        <v>1</v>
      </c>
      <c r="AC485" s="2">
        <v>2</v>
      </c>
      <c r="AG485" s="2">
        <v>0</v>
      </c>
      <c r="AH485" s="2">
        <v>2</v>
      </c>
      <c r="AI485" s="2">
        <v>0</v>
      </c>
      <c r="AK485">
        <v>5792116</v>
      </c>
      <c r="AL485" t="s">
        <v>416</v>
      </c>
    </row>
    <row r="486" spans="1:38" x14ac:dyDescent="0.25">
      <c r="A486" s="1">
        <v>45918</v>
      </c>
      <c r="B486" s="1">
        <v>45915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1102</v>
      </c>
      <c r="J486" t="s">
        <v>1103</v>
      </c>
      <c r="M486" t="s">
        <v>401</v>
      </c>
      <c r="O486" t="s">
        <v>263</v>
      </c>
      <c r="P486" t="s">
        <v>264</v>
      </c>
      <c r="Q486" t="s">
        <v>49</v>
      </c>
      <c r="R486" t="s">
        <v>415</v>
      </c>
      <c r="S486" s="1">
        <v>45627</v>
      </c>
      <c r="T486" s="1">
        <v>45945</v>
      </c>
      <c r="U486" t="s">
        <v>51</v>
      </c>
      <c r="V486">
        <v>1</v>
      </c>
      <c r="W486" s="1">
        <v>45916</v>
      </c>
      <c r="X486" t="s">
        <v>52</v>
      </c>
      <c r="Y486" s="2">
        <v>1</v>
      </c>
      <c r="Z486" s="2">
        <v>1</v>
      </c>
      <c r="AB486" s="3">
        <v>1</v>
      </c>
      <c r="AC486" s="2">
        <v>2</v>
      </c>
      <c r="AG486" s="2">
        <v>0</v>
      </c>
      <c r="AH486" s="2">
        <v>2</v>
      </c>
      <c r="AI486" s="2">
        <v>0</v>
      </c>
      <c r="AK486">
        <v>5792118</v>
      </c>
      <c r="AL486" t="s">
        <v>416</v>
      </c>
    </row>
    <row r="487" spans="1:38" x14ac:dyDescent="0.25">
      <c r="A487" s="1">
        <v>45918</v>
      </c>
      <c r="B487" s="1">
        <v>45915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1104</v>
      </c>
      <c r="J487" t="s">
        <v>1105</v>
      </c>
      <c r="M487" t="s">
        <v>1089</v>
      </c>
      <c r="O487" t="s">
        <v>1090</v>
      </c>
      <c r="P487" t="s">
        <v>1091</v>
      </c>
      <c r="Q487" t="s">
        <v>49</v>
      </c>
      <c r="R487" t="s">
        <v>415</v>
      </c>
      <c r="S487" s="1">
        <v>45627</v>
      </c>
      <c r="T487" s="1">
        <v>45945</v>
      </c>
      <c r="U487" t="s">
        <v>51</v>
      </c>
      <c r="V487">
        <v>1</v>
      </c>
      <c r="W487" s="1">
        <v>45916</v>
      </c>
      <c r="X487" t="s">
        <v>52</v>
      </c>
      <c r="Y487" s="2">
        <v>1</v>
      </c>
      <c r="Z487" s="2">
        <v>1</v>
      </c>
      <c r="AB487" s="3">
        <v>1</v>
      </c>
      <c r="AC487" s="2">
        <v>2</v>
      </c>
      <c r="AG487" s="2">
        <v>0</v>
      </c>
      <c r="AH487" s="2">
        <v>2</v>
      </c>
      <c r="AI487" s="2">
        <v>0</v>
      </c>
      <c r="AK487">
        <v>5792121</v>
      </c>
      <c r="AL487" t="s">
        <v>416</v>
      </c>
    </row>
    <row r="488" spans="1:38" x14ac:dyDescent="0.25">
      <c r="A488" s="1">
        <v>45918</v>
      </c>
      <c r="B488" s="1">
        <v>45915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1106</v>
      </c>
      <c r="J488" t="s">
        <v>1107</v>
      </c>
      <c r="M488" t="s">
        <v>401</v>
      </c>
      <c r="O488" t="s">
        <v>70</v>
      </c>
      <c r="P488" t="s">
        <v>71</v>
      </c>
      <c r="Q488" t="s">
        <v>49</v>
      </c>
      <c r="R488" t="s">
        <v>415</v>
      </c>
      <c r="S488" s="1">
        <v>45627</v>
      </c>
      <c r="T488" s="1">
        <v>45945</v>
      </c>
      <c r="U488" t="s">
        <v>51</v>
      </c>
      <c r="V488">
        <v>1</v>
      </c>
      <c r="W488" s="1">
        <v>45916</v>
      </c>
      <c r="X488" t="s">
        <v>52</v>
      </c>
      <c r="Y488" s="2">
        <v>1</v>
      </c>
      <c r="Z488" s="2">
        <v>1</v>
      </c>
      <c r="AB488" s="3">
        <v>1</v>
      </c>
      <c r="AC488" s="2">
        <v>2</v>
      </c>
      <c r="AG488" s="2">
        <v>0</v>
      </c>
      <c r="AH488" s="2">
        <v>2</v>
      </c>
      <c r="AI488" s="2">
        <v>0</v>
      </c>
      <c r="AK488">
        <v>5792125</v>
      </c>
      <c r="AL488" t="s">
        <v>416</v>
      </c>
    </row>
    <row r="489" spans="1:38" x14ac:dyDescent="0.25">
      <c r="A489" s="1">
        <v>45918</v>
      </c>
      <c r="B489" s="1">
        <v>45915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1108</v>
      </c>
      <c r="J489" t="s">
        <v>1109</v>
      </c>
      <c r="M489" t="s">
        <v>401</v>
      </c>
      <c r="O489" t="s">
        <v>62</v>
      </c>
      <c r="P489" t="s">
        <v>63</v>
      </c>
      <c r="Q489" t="s">
        <v>49</v>
      </c>
      <c r="R489" t="s">
        <v>415</v>
      </c>
      <c r="S489" s="1">
        <v>45627</v>
      </c>
      <c r="T489" s="1">
        <v>45945</v>
      </c>
      <c r="U489" t="s">
        <v>51</v>
      </c>
      <c r="V489">
        <v>1</v>
      </c>
      <c r="W489" s="1">
        <v>45916</v>
      </c>
      <c r="X489" t="s">
        <v>52</v>
      </c>
      <c r="Y489" s="2">
        <v>1</v>
      </c>
      <c r="Z489" s="2">
        <v>1</v>
      </c>
      <c r="AB489" s="3">
        <v>1</v>
      </c>
      <c r="AC489" s="2">
        <v>2</v>
      </c>
      <c r="AG489" s="2">
        <v>0</v>
      </c>
      <c r="AH489" s="2">
        <v>2</v>
      </c>
      <c r="AI489" s="2">
        <v>0</v>
      </c>
      <c r="AK489">
        <v>5792130</v>
      </c>
      <c r="AL489" t="s">
        <v>416</v>
      </c>
    </row>
    <row r="490" spans="1:38" x14ac:dyDescent="0.25">
      <c r="A490" s="1">
        <v>45918</v>
      </c>
      <c r="B490" s="1">
        <v>45915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1110</v>
      </c>
      <c r="J490" t="s">
        <v>1111</v>
      </c>
      <c r="M490" t="s">
        <v>401</v>
      </c>
      <c r="O490" t="s">
        <v>62</v>
      </c>
      <c r="P490" t="s">
        <v>63</v>
      </c>
      <c r="Q490" t="s">
        <v>49</v>
      </c>
      <c r="R490" t="s">
        <v>415</v>
      </c>
      <c r="S490" s="1">
        <v>45627</v>
      </c>
      <c r="T490" s="1">
        <v>45945</v>
      </c>
      <c r="U490" t="s">
        <v>51</v>
      </c>
      <c r="V490">
        <v>1</v>
      </c>
      <c r="W490" s="1">
        <v>45916</v>
      </c>
      <c r="X490" t="s">
        <v>52</v>
      </c>
      <c r="Y490" s="2">
        <v>1</v>
      </c>
      <c r="Z490" s="2">
        <v>1</v>
      </c>
      <c r="AB490" s="3">
        <v>1</v>
      </c>
      <c r="AC490" s="2">
        <v>2</v>
      </c>
      <c r="AG490" s="2">
        <v>0</v>
      </c>
      <c r="AH490" s="2">
        <v>2</v>
      </c>
      <c r="AI490" s="2">
        <v>0</v>
      </c>
      <c r="AK490">
        <v>5792138</v>
      </c>
      <c r="AL490" t="s">
        <v>416</v>
      </c>
    </row>
    <row r="491" spans="1:38" x14ac:dyDescent="0.25">
      <c r="A491" s="1">
        <v>45918</v>
      </c>
      <c r="B491" s="1">
        <v>45915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1112</v>
      </c>
      <c r="J491" t="s">
        <v>1113</v>
      </c>
      <c r="M491" t="s">
        <v>1089</v>
      </c>
      <c r="O491" t="s">
        <v>81</v>
      </c>
      <c r="P491" t="s">
        <v>82</v>
      </c>
      <c r="Q491" t="s">
        <v>49</v>
      </c>
      <c r="R491" t="s">
        <v>415</v>
      </c>
      <c r="S491" s="1">
        <v>45627</v>
      </c>
      <c r="T491" s="1">
        <v>45945</v>
      </c>
      <c r="U491" t="s">
        <v>51</v>
      </c>
      <c r="V491">
        <v>1</v>
      </c>
      <c r="W491" s="1">
        <v>45916</v>
      </c>
      <c r="X491" t="s">
        <v>52</v>
      </c>
      <c r="Y491" s="2">
        <v>1</v>
      </c>
      <c r="Z491" s="2">
        <v>1</v>
      </c>
      <c r="AB491" s="3">
        <v>1</v>
      </c>
      <c r="AC491" s="2">
        <v>2</v>
      </c>
      <c r="AG491" s="2">
        <v>0</v>
      </c>
      <c r="AH491" s="2">
        <v>2</v>
      </c>
      <c r="AI491" s="2">
        <v>0</v>
      </c>
      <c r="AK491">
        <v>5792145</v>
      </c>
      <c r="AL491" t="s">
        <v>416</v>
      </c>
    </row>
    <row r="492" spans="1:38" x14ac:dyDescent="0.25">
      <c r="A492" s="1">
        <v>45918</v>
      </c>
      <c r="B492" s="1">
        <v>45915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1114</v>
      </c>
      <c r="J492" t="s">
        <v>1115</v>
      </c>
      <c r="M492" t="s">
        <v>849</v>
      </c>
      <c r="O492" t="s">
        <v>888</v>
      </c>
      <c r="P492" t="s">
        <v>889</v>
      </c>
      <c r="Q492" t="s">
        <v>49</v>
      </c>
      <c r="R492" t="s">
        <v>415</v>
      </c>
      <c r="S492" s="1">
        <v>45627</v>
      </c>
      <c r="T492" s="1">
        <v>45945</v>
      </c>
      <c r="U492" t="s">
        <v>51</v>
      </c>
      <c r="V492">
        <v>1</v>
      </c>
      <c r="W492" s="1">
        <v>45916</v>
      </c>
      <c r="X492" t="s">
        <v>52</v>
      </c>
      <c r="Y492" s="2">
        <v>1</v>
      </c>
      <c r="Z492" s="2">
        <v>1</v>
      </c>
      <c r="AB492" s="3">
        <v>1</v>
      </c>
      <c r="AC492" s="2">
        <v>2</v>
      </c>
      <c r="AG492" s="2">
        <v>0</v>
      </c>
      <c r="AH492" s="2">
        <v>2</v>
      </c>
      <c r="AI492" s="2">
        <v>0</v>
      </c>
      <c r="AK492">
        <v>5792148</v>
      </c>
      <c r="AL492" t="s">
        <v>416</v>
      </c>
    </row>
    <row r="493" spans="1:38" x14ac:dyDescent="0.25">
      <c r="A493" s="1">
        <v>45918</v>
      </c>
      <c r="B493" s="1">
        <v>45915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1116</v>
      </c>
      <c r="J493" t="s">
        <v>1117</v>
      </c>
      <c r="M493" t="s">
        <v>406</v>
      </c>
      <c r="O493" t="s">
        <v>359</v>
      </c>
      <c r="P493" t="s">
        <v>360</v>
      </c>
      <c r="Q493" t="s">
        <v>49</v>
      </c>
      <c r="R493" t="s">
        <v>415</v>
      </c>
      <c r="S493" s="1">
        <v>45627</v>
      </c>
      <c r="T493" s="1">
        <v>45945</v>
      </c>
      <c r="U493" t="s">
        <v>51</v>
      </c>
      <c r="V493">
        <v>1</v>
      </c>
      <c r="W493" s="1">
        <v>45916</v>
      </c>
      <c r="X493" t="s">
        <v>52</v>
      </c>
      <c r="Y493" s="2">
        <v>1</v>
      </c>
      <c r="Z493" s="2">
        <v>1</v>
      </c>
      <c r="AB493" s="3">
        <v>1</v>
      </c>
      <c r="AC493" s="2">
        <v>2</v>
      </c>
      <c r="AG493" s="2">
        <v>0</v>
      </c>
      <c r="AH493" s="2">
        <v>2</v>
      </c>
      <c r="AI493" s="2">
        <v>0</v>
      </c>
      <c r="AK493">
        <v>5792150</v>
      </c>
      <c r="AL493" t="s">
        <v>416</v>
      </c>
    </row>
    <row r="494" spans="1:38" x14ac:dyDescent="0.25">
      <c r="A494" s="1">
        <v>45918</v>
      </c>
      <c r="B494" s="1">
        <v>45915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1118</v>
      </c>
      <c r="J494" t="s">
        <v>1119</v>
      </c>
      <c r="M494" t="s">
        <v>978</v>
      </c>
      <c r="O494" t="s">
        <v>979</v>
      </c>
      <c r="P494" t="s">
        <v>980</v>
      </c>
      <c r="Q494" t="s">
        <v>49</v>
      </c>
      <c r="R494" t="s">
        <v>415</v>
      </c>
      <c r="S494" s="1">
        <v>45627</v>
      </c>
      <c r="T494" s="1">
        <v>45945</v>
      </c>
      <c r="U494" t="s">
        <v>51</v>
      </c>
      <c r="V494">
        <v>1</v>
      </c>
      <c r="W494" s="1">
        <v>45916</v>
      </c>
      <c r="X494" t="s">
        <v>52</v>
      </c>
      <c r="Y494" s="2">
        <v>1</v>
      </c>
      <c r="Z494" s="2">
        <v>1</v>
      </c>
      <c r="AB494" s="3">
        <v>1</v>
      </c>
      <c r="AC494" s="2">
        <v>2</v>
      </c>
      <c r="AG494" s="2">
        <v>0</v>
      </c>
      <c r="AH494" s="2">
        <v>2</v>
      </c>
      <c r="AI494" s="2">
        <v>0</v>
      </c>
      <c r="AK494">
        <v>5792157</v>
      </c>
      <c r="AL494" t="s">
        <v>416</v>
      </c>
    </row>
    <row r="495" spans="1:38" x14ac:dyDescent="0.25">
      <c r="A495" s="1">
        <v>45918</v>
      </c>
      <c r="B495" s="1">
        <v>45915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1120</v>
      </c>
      <c r="J495" t="s">
        <v>1121</v>
      </c>
      <c r="M495" t="s">
        <v>401</v>
      </c>
      <c r="O495" t="s">
        <v>62</v>
      </c>
      <c r="P495" t="s">
        <v>63</v>
      </c>
      <c r="Q495" t="s">
        <v>49</v>
      </c>
      <c r="R495" t="s">
        <v>415</v>
      </c>
      <c r="S495" s="1">
        <v>45627</v>
      </c>
      <c r="T495" s="1">
        <v>45945</v>
      </c>
      <c r="U495" t="s">
        <v>51</v>
      </c>
      <c r="V495">
        <v>1</v>
      </c>
      <c r="W495" s="1">
        <v>45916</v>
      </c>
      <c r="X495" t="s">
        <v>52</v>
      </c>
      <c r="Y495" s="2">
        <v>1</v>
      </c>
      <c r="Z495" s="2">
        <v>1</v>
      </c>
      <c r="AB495" s="3">
        <v>1</v>
      </c>
      <c r="AC495" s="2">
        <v>2</v>
      </c>
      <c r="AG495" s="2">
        <v>0</v>
      </c>
      <c r="AH495" s="2">
        <v>2</v>
      </c>
      <c r="AI495" s="2">
        <v>0</v>
      </c>
      <c r="AK495">
        <v>5792159</v>
      </c>
      <c r="AL495" t="s">
        <v>416</v>
      </c>
    </row>
    <row r="496" spans="1:38" x14ac:dyDescent="0.25">
      <c r="A496" s="1">
        <v>45918</v>
      </c>
      <c r="B496" s="1">
        <v>45915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1122</v>
      </c>
      <c r="J496" t="s">
        <v>1123</v>
      </c>
      <c r="M496" t="s">
        <v>401</v>
      </c>
      <c r="O496" t="s">
        <v>367</v>
      </c>
      <c r="P496" t="s">
        <v>368</v>
      </c>
      <c r="Q496" t="s">
        <v>49</v>
      </c>
      <c r="R496" t="s">
        <v>415</v>
      </c>
      <c r="S496" s="1">
        <v>45627</v>
      </c>
      <c r="T496" s="1">
        <v>45945</v>
      </c>
      <c r="U496" t="s">
        <v>51</v>
      </c>
      <c r="V496">
        <v>1</v>
      </c>
      <c r="W496" s="1">
        <v>45916</v>
      </c>
      <c r="X496" t="s">
        <v>52</v>
      </c>
      <c r="Y496" s="2">
        <v>1</v>
      </c>
      <c r="Z496" s="2">
        <v>1</v>
      </c>
      <c r="AB496" s="3">
        <v>1</v>
      </c>
      <c r="AC496" s="2">
        <v>2</v>
      </c>
      <c r="AG496" s="2">
        <v>0</v>
      </c>
      <c r="AH496" s="2">
        <v>2</v>
      </c>
      <c r="AI496" s="2">
        <v>0</v>
      </c>
      <c r="AK496">
        <v>5792160</v>
      </c>
      <c r="AL496" t="s">
        <v>416</v>
      </c>
    </row>
    <row r="497" spans="1:38" x14ac:dyDescent="0.25">
      <c r="A497" s="1">
        <v>45918</v>
      </c>
      <c r="B497" s="1">
        <v>45915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1124</v>
      </c>
      <c r="J497" t="s">
        <v>1125</v>
      </c>
      <c r="M497" t="s">
        <v>401</v>
      </c>
      <c r="O497" t="s">
        <v>74</v>
      </c>
      <c r="P497" t="s">
        <v>75</v>
      </c>
      <c r="Q497" t="s">
        <v>49</v>
      </c>
      <c r="R497" t="s">
        <v>415</v>
      </c>
      <c r="S497" s="1">
        <v>45627</v>
      </c>
      <c r="T497" s="1">
        <v>45945</v>
      </c>
      <c r="U497" t="s">
        <v>51</v>
      </c>
      <c r="V497">
        <v>1</v>
      </c>
      <c r="W497" s="1">
        <v>45916</v>
      </c>
      <c r="X497" t="s">
        <v>52</v>
      </c>
      <c r="Y497" s="2">
        <v>1</v>
      </c>
      <c r="Z497" s="2">
        <v>1</v>
      </c>
      <c r="AB497" s="3">
        <v>1</v>
      </c>
      <c r="AC497" s="2">
        <v>2</v>
      </c>
      <c r="AG497" s="2">
        <v>0</v>
      </c>
      <c r="AH497" s="2">
        <v>2</v>
      </c>
      <c r="AI497" s="2">
        <v>0</v>
      </c>
      <c r="AK497">
        <v>5792163</v>
      </c>
      <c r="AL497" t="s">
        <v>416</v>
      </c>
    </row>
    <row r="498" spans="1:38" x14ac:dyDescent="0.25">
      <c r="A498" s="1">
        <v>45918</v>
      </c>
      <c r="B498" s="1">
        <v>45915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1126</v>
      </c>
      <c r="J498" t="s">
        <v>1127</v>
      </c>
      <c r="M498" t="s">
        <v>401</v>
      </c>
      <c r="O498" t="s">
        <v>62</v>
      </c>
      <c r="P498" t="s">
        <v>63</v>
      </c>
      <c r="Q498" t="s">
        <v>49</v>
      </c>
      <c r="R498" t="s">
        <v>415</v>
      </c>
      <c r="S498" s="1">
        <v>45627</v>
      </c>
      <c r="T498" s="1">
        <v>45945</v>
      </c>
      <c r="U498" t="s">
        <v>51</v>
      </c>
      <c r="V498">
        <v>1</v>
      </c>
      <c r="W498" s="1">
        <v>45916</v>
      </c>
      <c r="X498" t="s">
        <v>52</v>
      </c>
      <c r="Y498" s="2">
        <v>1</v>
      </c>
      <c r="Z498" s="2">
        <v>1</v>
      </c>
      <c r="AB498" s="3">
        <v>1</v>
      </c>
      <c r="AC498" s="2">
        <v>2</v>
      </c>
      <c r="AG498" s="2">
        <v>0</v>
      </c>
      <c r="AH498" s="2">
        <v>2</v>
      </c>
      <c r="AI498" s="2">
        <v>0</v>
      </c>
      <c r="AK498">
        <v>5792167</v>
      </c>
      <c r="AL498" t="s">
        <v>416</v>
      </c>
    </row>
    <row r="499" spans="1:38" x14ac:dyDescent="0.25">
      <c r="A499" s="1">
        <v>45918</v>
      </c>
      <c r="B499" s="1">
        <v>45915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1128</v>
      </c>
      <c r="J499" t="s">
        <v>1129</v>
      </c>
      <c r="M499" t="s">
        <v>1086</v>
      </c>
      <c r="O499" t="s">
        <v>1130</v>
      </c>
      <c r="P499" t="s">
        <v>1131</v>
      </c>
      <c r="Q499" t="s">
        <v>49</v>
      </c>
      <c r="R499" t="s">
        <v>415</v>
      </c>
      <c r="S499" s="1">
        <v>45627</v>
      </c>
      <c r="T499" s="1">
        <v>45945</v>
      </c>
      <c r="U499" t="s">
        <v>51</v>
      </c>
      <c r="V499">
        <v>1</v>
      </c>
      <c r="W499" s="1">
        <v>45916</v>
      </c>
      <c r="X499" t="s">
        <v>52</v>
      </c>
      <c r="Y499" s="2">
        <v>1</v>
      </c>
      <c r="Z499" s="2">
        <v>1</v>
      </c>
      <c r="AB499" s="3">
        <v>1</v>
      </c>
      <c r="AC499" s="2">
        <v>2</v>
      </c>
      <c r="AG499" s="2">
        <v>0</v>
      </c>
      <c r="AH499" s="2">
        <v>2</v>
      </c>
      <c r="AI499" s="2">
        <v>0</v>
      </c>
      <c r="AK499">
        <v>5792168</v>
      </c>
      <c r="AL499" t="s">
        <v>416</v>
      </c>
    </row>
    <row r="500" spans="1:38" x14ac:dyDescent="0.25">
      <c r="A500" s="1">
        <v>45918</v>
      </c>
      <c r="B500" s="1">
        <v>45915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1132</v>
      </c>
      <c r="J500" t="s">
        <v>1133</v>
      </c>
      <c r="M500" t="s">
        <v>1086</v>
      </c>
      <c r="O500" t="s">
        <v>1134</v>
      </c>
      <c r="P500" t="s">
        <v>1135</v>
      </c>
      <c r="Q500" t="s">
        <v>49</v>
      </c>
      <c r="R500" t="s">
        <v>1136</v>
      </c>
      <c r="S500" s="1">
        <v>45474</v>
      </c>
      <c r="T500" s="1">
        <v>45945</v>
      </c>
      <c r="U500" t="s">
        <v>51</v>
      </c>
      <c r="V500">
        <v>1</v>
      </c>
      <c r="W500" s="1">
        <v>45917</v>
      </c>
      <c r="X500" t="s">
        <v>52</v>
      </c>
      <c r="Y500" s="2">
        <v>1</v>
      </c>
      <c r="Z500" s="2">
        <v>1</v>
      </c>
      <c r="AB500" s="3">
        <v>1</v>
      </c>
      <c r="AC500" s="2">
        <v>25.5</v>
      </c>
      <c r="AG500" s="2">
        <v>0</v>
      </c>
      <c r="AH500" s="2">
        <v>25.5</v>
      </c>
      <c r="AI500" s="2">
        <v>0</v>
      </c>
      <c r="AK500">
        <v>5824740</v>
      </c>
      <c r="AL500" t="s">
        <v>1137</v>
      </c>
    </row>
    <row r="501" spans="1:38" x14ac:dyDescent="0.25">
      <c r="A501" s="1">
        <v>45918</v>
      </c>
      <c r="B501" s="1">
        <v>45915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1138</v>
      </c>
      <c r="J501" t="s">
        <v>1133</v>
      </c>
      <c r="M501" t="s">
        <v>1086</v>
      </c>
      <c r="O501" t="s">
        <v>1134</v>
      </c>
      <c r="P501" t="s">
        <v>1135</v>
      </c>
      <c r="Q501" t="s">
        <v>49</v>
      </c>
      <c r="R501" t="s">
        <v>1139</v>
      </c>
      <c r="S501" s="1">
        <v>45474</v>
      </c>
      <c r="T501" s="1">
        <v>45945</v>
      </c>
      <c r="U501" t="s">
        <v>51</v>
      </c>
      <c r="V501">
        <v>1</v>
      </c>
      <c r="W501" s="1">
        <v>45917</v>
      </c>
      <c r="X501" t="s">
        <v>52</v>
      </c>
      <c r="Y501" s="2">
        <v>1</v>
      </c>
      <c r="Z501" s="2">
        <v>1</v>
      </c>
      <c r="AB501" s="3">
        <v>1</v>
      </c>
      <c r="AC501" s="2">
        <v>6</v>
      </c>
      <c r="AG501" s="2">
        <v>0</v>
      </c>
      <c r="AH501" s="2">
        <v>6</v>
      </c>
      <c r="AI501" s="2">
        <v>0</v>
      </c>
      <c r="AK501">
        <v>5824739</v>
      </c>
      <c r="AL501" t="s">
        <v>1137</v>
      </c>
    </row>
    <row r="502" spans="1:38" x14ac:dyDescent="0.25">
      <c r="A502" s="1">
        <v>45918</v>
      </c>
      <c r="B502" s="1">
        <v>45915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1140</v>
      </c>
      <c r="J502" t="s">
        <v>1141</v>
      </c>
      <c r="M502" t="s">
        <v>1086</v>
      </c>
      <c r="O502" t="s">
        <v>1134</v>
      </c>
      <c r="P502" t="s">
        <v>1135</v>
      </c>
      <c r="Q502" t="s">
        <v>49</v>
      </c>
      <c r="R502" t="s">
        <v>1142</v>
      </c>
      <c r="S502" s="1">
        <v>45505</v>
      </c>
      <c r="T502" s="1">
        <v>45945</v>
      </c>
      <c r="U502" t="s">
        <v>51</v>
      </c>
      <c r="V502">
        <v>1</v>
      </c>
      <c r="W502" s="1">
        <v>45917</v>
      </c>
      <c r="X502" t="s">
        <v>52</v>
      </c>
      <c r="Y502" s="2">
        <v>1</v>
      </c>
      <c r="Z502" s="2">
        <v>1</v>
      </c>
      <c r="AB502" s="3">
        <v>1</v>
      </c>
      <c r="AC502" s="2">
        <v>25.5</v>
      </c>
      <c r="AG502" s="2">
        <v>0</v>
      </c>
      <c r="AH502" s="2">
        <v>25.5</v>
      </c>
      <c r="AI502" s="2">
        <v>0</v>
      </c>
      <c r="AK502">
        <v>5824742</v>
      </c>
      <c r="AL502" t="s">
        <v>1137</v>
      </c>
    </row>
    <row r="503" spans="1:38" x14ac:dyDescent="0.25">
      <c r="A503" s="1">
        <v>45918</v>
      </c>
      <c r="B503" s="1">
        <v>45915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1143</v>
      </c>
      <c r="J503" t="s">
        <v>1141</v>
      </c>
      <c r="M503" t="s">
        <v>1086</v>
      </c>
      <c r="O503" t="s">
        <v>1134</v>
      </c>
      <c r="P503" t="s">
        <v>1135</v>
      </c>
      <c r="Q503" t="s">
        <v>49</v>
      </c>
      <c r="R503" t="s">
        <v>1144</v>
      </c>
      <c r="S503" s="1">
        <v>45505</v>
      </c>
      <c r="T503" s="1">
        <v>45945</v>
      </c>
      <c r="U503" t="s">
        <v>51</v>
      </c>
      <c r="V503">
        <v>1</v>
      </c>
      <c r="W503" s="1">
        <v>45917</v>
      </c>
      <c r="X503" t="s">
        <v>52</v>
      </c>
      <c r="Y503" s="2">
        <v>1</v>
      </c>
      <c r="Z503" s="2">
        <v>1</v>
      </c>
      <c r="AB503" s="3">
        <v>1</v>
      </c>
      <c r="AC503" s="2">
        <v>6</v>
      </c>
      <c r="AG503" s="2">
        <v>0</v>
      </c>
      <c r="AH503" s="2">
        <v>6</v>
      </c>
      <c r="AI503" s="2">
        <v>0</v>
      </c>
      <c r="AK503">
        <v>5824741</v>
      </c>
      <c r="AL503" t="s">
        <v>1137</v>
      </c>
    </row>
    <row r="504" spans="1:38" x14ac:dyDescent="0.25">
      <c r="A504" s="1">
        <v>45918</v>
      </c>
      <c r="B504" s="1">
        <v>45915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1145</v>
      </c>
      <c r="J504" t="s">
        <v>1146</v>
      </c>
      <c r="M504" t="s">
        <v>650</v>
      </c>
      <c r="O504" t="s">
        <v>153</v>
      </c>
      <c r="P504" t="s">
        <v>154</v>
      </c>
      <c r="Q504" t="s">
        <v>49</v>
      </c>
      <c r="R504" t="s">
        <v>1136</v>
      </c>
      <c r="S504" s="1">
        <v>45536</v>
      </c>
      <c r="T504" s="1">
        <v>45945</v>
      </c>
      <c r="U504" t="s">
        <v>51</v>
      </c>
      <c r="V504">
        <v>1</v>
      </c>
      <c r="W504" s="1">
        <v>45917</v>
      </c>
      <c r="X504" t="s">
        <v>52</v>
      </c>
      <c r="Y504" s="2">
        <v>1</v>
      </c>
      <c r="Z504" s="2">
        <v>1</v>
      </c>
      <c r="AB504" s="3">
        <v>1</v>
      </c>
      <c r="AC504" s="2">
        <v>25.5</v>
      </c>
      <c r="AG504" s="2">
        <v>0</v>
      </c>
      <c r="AH504" s="2">
        <v>25.5</v>
      </c>
      <c r="AI504" s="2">
        <v>0</v>
      </c>
      <c r="AK504">
        <v>5824744</v>
      </c>
      <c r="AL504" t="s">
        <v>1137</v>
      </c>
    </row>
    <row r="505" spans="1:38" x14ac:dyDescent="0.25">
      <c r="A505" s="1">
        <v>45918</v>
      </c>
      <c r="B505" s="1">
        <v>45915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1147</v>
      </c>
      <c r="J505" t="s">
        <v>1146</v>
      </c>
      <c r="M505" t="s">
        <v>650</v>
      </c>
      <c r="O505" t="s">
        <v>153</v>
      </c>
      <c r="P505" t="s">
        <v>154</v>
      </c>
      <c r="Q505" t="s">
        <v>49</v>
      </c>
      <c r="R505" t="s">
        <v>1139</v>
      </c>
      <c r="S505" s="1">
        <v>45536</v>
      </c>
      <c r="T505" s="1">
        <v>45945</v>
      </c>
      <c r="U505" t="s">
        <v>51</v>
      </c>
      <c r="V505">
        <v>1</v>
      </c>
      <c r="W505" s="1">
        <v>45917</v>
      </c>
      <c r="X505" t="s">
        <v>52</v>
      </c>
      <c r="Y505" s="2">
        <v>1</v>
      </c>
      <c r="Z505" s="2">
        <v>1</v>
      </c>
      <c r="AB505" s="3">
        <v>1</v>
      </c>
      <c r="AC505" s="2">
        <v>6</v>
      </c>
      <c r="AG505" s="2">
        <v>0</v>
      </c>
      <c r="AH505" s="2">
        <v>6</v>
      </c>
      <c r="AI505" s="2">
        <v>0</v>
      </c>
      <c r="AK505">
        <v>5824743</v>
      </c>
      <c r="AL505" t="s">
        <v>1137</v>
      </c>
    </row>
    <row r="506" spans="1:38" x14ac:dyDescent="0.25">
      <c r="A506" s="1">
        <v>45918</v>
      </c>
      <c r="B506" s="1">
        <v>45915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1148</v>
      </c>
      <c r="J506" t="s">
        <v>1149</v>
      </c>
      <c r="M506" t="s">
        <v>46</v>
      </c>
      <c r="O506" t="s">
        <v>1150</v>
      </c>
      <c r="P506" t="s">
        <v>1151</v>
      </c>
      <c r="Q506" t="s">
        <v>49</v>
      </c>
      <c r="R506" t="s">
        <v>1152</v>
      </c>
      <c r="S506" s="1">
        <v>45717</v>
      </c>
      <c r="T506" s="1">
        <v>46174</v>
      </c>
      <c r="U506" t="s">
        <v>51</v>
      </c>
      <c r="V506">
        <v>1</v>
      </c>
      <c r="W506" s="1">
        <v>45915</v>
      </c>
      <c r="X506" t="s">
        <v>52</v>
      </c>
      <c r="Y506" s="2">
        <v>1</v>
      </c>
      <c r="Z506" s="2">
        <v>1</v>
      </c>
      <c r="AB506" s="3">
        <v>1</v>
      </c>
      <c r="AC506" s="2">
        <v>7</v>
      </c>
      <c r="AG506" s="2">
        <v>0</v>
      </c>
      <c r="AH506" s="2">
        <v>7</v>
      </c>
      <c r="AI506" s="2">
        <v>0</v>
      </c>
      <c r="AK506">
        <v>5780392</v>
      </c>
      <c r="AL506" t="s">
        <v>1153</v>
      </c>
    </row>
    <row r="507" spans="1:38" x14ac:dyDescent="0.25">
      <c r="A507" s="1">
        <v>45918</v>
      </c>
      <c r="B507" s="1">
        <v>45915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1154</v>
      </c>
      <c r="J507" t="s">
        <v>1155</v>
      </c>
      <c r="M507" t="s">
        <v>46</v>
      </c>
      <c r="O507" t="s">
        <v>74</v>
      </c>
      <c r="P507" t="s">
        <v>75</v>
      </c>
      <c r="Q507" t="s">
        <v>49</v>
      </c>
      <c r="R507" t="s">
        <v>1152</v>
      </c>
      <c r="S507" s="1">
        <v>45658</v>
      </c>
      <c r="T507" s="1">
        <v>46113</v>
      </c>
      <c r="U507" t="s">
        <v>51</v>
      </c>
      <c r="V507">
        <v>1</v>
      </c>
      <c r="W507" s="1">
        <v>45915</v>
      </c>
      <c r="X507" t="s">
        <v>52</v>
      </c>
      <c r="Y507" s="2">
        <v>1</v>
      </c>
      <c r="Z507" s="2">
        <v>1</v>
      </c>
      <c r="AB507" s="3">
        <v>1</v>
      </c>
      <c r="AC507" s="2">
        <v>7</v>
      </c>
      <c r="AG507" s="2">
        <v>0</v>
      </c>
      <c r="AH507" s="2">
        <v>7</v>
      </c>
      <c r="AI507" s="2">
        <v>0</v>
      </c>
      <c r="AK507">
        <v>5780617</v>
      </c>
      <c r="AL507" t="s">
        <v>1153</v>
      </c>
    </row>
    <row r="508" spans="1:38" x14ac:dyDescent="0.25">
      <c r="A508" s="1">
        <v>45918</v>
      </c>
      <c r="B508" s="1">
        <v>45915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1156</v>
      </c>
      <c r="J508" t="s">
        <v>1157</v>
      </c>
      <c r="O508" t="s">
        <v>74</v>
      </c>
      <c r="P508" t="s">
        <v>75</v>
      </c>
      <c r="Q508" t="s">
        <v>58</v>
      </c>
      <c r="R508" t="s">
        <v>1158</v>
      </c>
      <c r="S508" s="1">
        <v>45566</v>
      </c>
      <c r="T508" s="1">
        <v>46023</v>
      </c>
      <c r="U508" t="s">
        <v>51</v>
      </c>
      <c r="V508">
        <v>1</v>
      </c>
      <c r="W508" s="1">
        <v>45915</v>
      </c>
      <c r="X508" t="s">
        <v>52</v>
      </c>
      <c r="Y508" s="2">
        <v>1</v>
      </c>
      <c r="Z508" s="2">
        <v>1</v>
      </c>
      <c r="AB508" s="3">
        <v>1</v>
      </c>
      <c r="AC508" s="2">
        <v>12.5</v>
      </c>
      <c r="AG508" s="2">
        <v>0</v>
      </c>
      <c r="AH508" s="2">
        <v>12.5</v>
      </c>
      <c r="AI508" s="2">
        <v>0</v>
      </c>
      <c r="AK508">
        <v>5781139</v>
      </c>
      <c r="AL508" t="s">
        <v>1153</v>
      </c>
    </row>
    <row r="509" spans="1:38" x14ac:dyDescent="0.25">
      <c r="A509" s="1">
        <v>45918</v>
      </c>
      <c r="B509" s="1">
        <v>45915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1159</v>
      </c>
      <c r="J509" t="s">
        <v>1160</v>
      </c>
      <c r="O509" t="s">
        <v>220</v>
      </c>
      <c r="P509" t="s">
        <v>221</v>
      </c>
      <c r="Q509" t="s">
        <v>49</v>
      </c>
      <c r="R509" t="s">
        <v>1158</v>
      </c>
      <c r="S509" s="1">
        <v>45597</v>
      </c>
      <c r="T509" s="1">
        <v>46113</v>
      </c>
      <c r="U509" t="s">
        <v>51</v>
      </c>
      <c r="V509">
        <v>1</v>
      </c>
      <c r="W509" s="1">
        <v>45915</v>
      </c>
      <c r="X509" t="s">
        <v>52</v>
      </c>
      <c r="Y509" s="2">
        <v>1</v>
      </c>
      <c r="Z509" s="2">
        <v>1</v>
      </c>
      <c r="AB509" s="3">
        <v>1</v>
      </c>
      <c r="AC509" s="2">
        <v>12.5</v>
      </c>
      <c r="AG509" s="2">
        <v>0</v>
      </c>
      <c r="AH509" s="2">
        <v>12.5</v>
      </c>
      <c r="AI509" s="2">
        <v>0</v>
      </c>
      <c r="AK509">
        <v>5781466</v>
      </c>
      <c r="AL509" t="s">
        <v>1153</v>
      </c>
    </row>
    <row r="510" spans="1:38" x14ac:dyDescent="0.25">
      <c r="A510" s="1">
        <v>45918</v>
      </c>
      <c r="B510" s="1">
        <v>45915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1161</v>
      </c>
      <c r="J510" t="s">
        <v>1162</v>
      </c>
      <c r="M510" t="s">
        <v>849</v>
      </c>
      <c r="O510" t="s">
        <v>1163</v>
      </c>
      <c r="P510" t="s">
        <v>1164</v>
      </c>
      <c r="Q510" t="s">
        <v>49</v>
      </c>
      <c r="R510" t="s">
        <v>1165</v>
      </c>
      <c r="S510" s="1">
        <v>45717</v>
      </c>
      <c r="T510" s="1">
        <v>46631</v>
      </c>
      <c r="U510" t="s">
        <v>51</v>
      </c>
      <c r="V510">
        <v>1</v>
      </c>
      <c r="W510" s="1">
        <v>45915</v>
      </c>
      <c r="X510" t="s">
        <v>52</v>
      </c>
      <c r="Y510" s="2">
        <v>1</v>
      </c>
      <c r="Z510" s="2">
        <v>1</v>
      </c>
      <c r="AB510" s="3">
        <v>1</v>
      </c>
      <c r="AC510" s="2">
        <v>6.25</v>
      </c>
      <c r="AG510" s="2">
        <v>0</v>
      </c>
      <c r="AH510" s="2">
        <v>6.25</v>
      </c>
      <c r="AI510" s="2">
        <v>0</v>
      </c>
      <c r="AK510">
        <v>5782952</v>
      </c>
      <c r="AL510" t="s">
        <v>1166</v>
      </c>
    </row>
    <row r="511" spans="1:38" x14ac:dyDescent="0.25">
      <c r="A511" s="1">
        <v>45918</v>
      </c>
      <c r="B511" s="1">
        <v>45915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1167</v>
      </c>
      <c r="J511" t="s">
        <v>1168</v>
      </c>
      <c r="M511" t="s">
        <v>401</v>
      </c>
      <c r="O511" t="s">
        <v>74</v>
      </c>
      <c r="P511" t="s">
        <v>75</v>
      </c>
      <c r="Q511" t="s">
        <v>49</v>
      </c>
      <c r="R511" t="s">
        <v>1136</v>
      </c>
      <c r="S511" s="1">
        <v>45566</v>
      </c>
      <c r="T511" s="1">
        <v>45945</v>
      </c>
      <c r="U511" t="s">
        <v>51</v>
      </c>
      <c r="V511">
        <v>1</v>
      </c>
      <c r="W511" s="1">
        <v>45917</v>
      </c>
      <c r="X511" t="s">
        <v>52</v>
      </c>
      <c r="Y511" s="2">
        <v>1</v>
      </c>
      <c r="Z511" s="2">
        <v>1</v>
      </c>
      <c r="AB511" s="3">
        <v>1</v>
      </c>
      <c r="AC511" s="2">
        <v>25.5</v>
      </c>
      <c r="AG511" s="2">
        <v>0</v>
      </c>
      <c r="AH511" s="2">
        <v>25.5</v>
      </c>
      <c r="AI511" s="2">
        <v>0</v>
      </c>
      <c r="AK511">
        <v>5824785</v>
      </c>
      <c r="AL511" t="s">
        <v>1137</v>
      </c>
    </row>
    <row r="512" spans="1:38" x14ac:dyDescent="0.25">
      <c r="A512" s="1">
        <v>45918</v>
      </c>
      <c r="B512" s="1">
        <v>45915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1169</v>
      </c>
      <c r="J512" t="s">
        <v>1168</v>
      </c>
      <c r="M512" t="s">
        <v>401</v>
      </c>
      <c r="O512" t="s">
        <v>74</v>
      </c>
      <c r="P512" t="s">
        <v>75</v>
      </c>
      <c r="Q512" t="s">
        <v>49</v>
      </c>
      <c r="R512" t="s">
        <v>1139</v>
      </c>
      <c r="S512" s="1">
        <v>45566</v>
      </c>
      <c r="T512" s="1">
        <v>45945</v>
      </c>
      <c r="U512" t="s">
        <v>51</v>
      </c>
      <c r="V512">
        <v>1</v>
      </c>
      <c r="W512" s="1">
        <v>45917</v>
      </c>
      <c r="X512" t="s">
        <v>52</v>
      </c>
      <c r="Y512" s="2">
        <v>1</v>
      </c>
      <c r="Z512" s="2">
        <v>1</v>
      </c>
      <c r="AB512" s="3">
        <v>1</v>
      </c>
      <c r="AC512" s="2">
        <v>6</v>
      </c>
      <c r="AG512" s="2">
        <v>0</v>
      </c>
      <c r="AH512" s="2">
        <v>6</v>
      </c>
      <c r="AI512" s="2">
        <v>0</v>
      </c>
      <c r="AK512">
        <v>5824784</v>
      </c>
      <c r="AL512" t="s">
        <v>1137</v>
      </c>
    </row>
    <row r="513" spans="1:38" x14ac:dyDescent="0.25">
      <c r="A513" s="1">
        <v>45918</v>
      </c>
      <c r="B513" s="1">
        <v>45915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1170</v>
      </c>
      <c r="J513" t="s">
        <v>1171</v>
      </c>
      <c r="M513" t="s">
        <v>406</v>
      </c>
      <c r="O513" t="s">
        <v>815</v>
      </c>
      <c r="P513" t="s">
        <v>816</v>
      </c>
      <c r="Q513" t="s">
        <v>58</v>
      </c>
      <c r="R513" t="s">
        <v>1172</v>
      </c>
      <c r="S513" s="1">
        <v>45627</v>
      </c>
      <c r="T513" s="1">
        <v>45945</v>
      </c>
      <c r="U513" t="s">
        <v>51</v>
      </c>
      <c r="V513">
        <v>1</v>
      </c>
      <c r="W513" s="1">
        <v>45917</v>
      </c>
      <c r="X513" t="s">
        <v>52</v>
      </c>
      <c r="Y513" s="2">
        <v>1</v>
      </c>
      <c r="Z513" s="2">
        <v>1</v>
      </c>
      <c r="AB513" s="3">
        <v>1</v>
      </c>
      <c r="AC513" s="2">
        <v>28.75</v>
      </c>
      <c r="AG513" s="2">
        <v>0</v>
      </c>
      <c r="AH513" s="2">
        <v>28.75</v>
      </c>
      <c r="AI513" s="2">
        <v>0</v>
      </c>
      <c r="AK513">
        <v>5824796</v>
      </c>
      <c r="AL513" t="s">
        <v>1137</v>
      </c>
    </row>
    <row r="514" spans="1:38" x14ac:dyDescent="0.25">
      <c r="A514" s="1">
        <v>45918</v>
      </c>
      <c r="B514" s="1">
        <v>45915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1170</v>
      </c>
      <c r="J514" t="s">
        <v>1171</v>
      </c>
      <c r="M514" t="s">
        <v>406</v>
      </c>
      <c r="O514" t="s">
        <v>815</v>
      </c>
      <c r="P514" t="s">
        <v>816</v>
      </c>
      <c r="Q514" t="s">
        <v>58</v>
      </c>
      <c r="R514" t="s">
        <v>1172</v>
      </c>
      <c r="S514" s="1">
        <v>45627</v>
      </c>
      <c r="T514" s="1">
        <v>45945</v>
      </c>
      <c r="U514" t="s">
        <v>51</v>
      </c>
      <c r="V514">
        <v>1</v>
      </c>
      <c r="W514" s="1">
        <v>45917</v>
      </c>
      <c r="X514" t="s">
        <v>52</v>
      </c>
      <c r="Y514" s="2">
        <v>1</v>
      </c>
      <c r="Z514" s="2">
        <v>1</v>
      </c>
      <c r="AB514" s="3">
        <v>1</v>
      </c>
      <c r="AC514" s="2">
        <v>28.75</v>
      </c>
      <c r="AG514" s="2">
        <v>0</v>
      </c>
      <c r="AH514" s="2">
        <v>28.75</v>
      </c>
      <c r="AI514" s="2">
        <v>0</v>
      </c>
      <c r="AK514">
        <v>5826117</v>
      </c>
      <c r="AL514" t="s">
        <v>1137</v>
      </c>
    </row>
    <row r="515" spans="1:38" x14ac:dyDescent="0.25">
      <c r="A515" s="1">
        <v>45918</v>
      </c>
      <c r="B515" s="1">
        <v>45915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1173</v>
      </c>
      <c r="J515" t="s">
        <v>1174</v>
      </c>
      <c r="M515" t="s">
        <v>406</v>
      </c>
      <c r="O515" t="s">
        <v>359</v>
      </c>
      <c r="P515" t="s">
        <v>360</v>
      </c>
      <c r="Q515" t="s">
        <v>49</v>
      </c>
      <c r="R515" t="s">
        <v>1175</v>
      </c>
      <c r="S515" s="1">
        <v>45627</v>
      </c>
      <c r="T515" s="1">
        <v>45945</v>
      </c>
      <c r="U515" t="s">
        <v>51</v>
      </c>
      <c r="V515">
        <v>1</v>
      </c>
      <c r="W515" s="1">
        <v>45917</v>
      </c>
      <c r="X515" t="s">
        <v>52</v>
      </c>
      <c r="Y515" s="2">
        <v>1</v>
      </c>
      <c r="Z515" s="2">
        <v>1</v>
      </c>
      <c r="AB515" s="3">
        <v>1</v>
      </c>
      <c r="AC515" s="2">
        <v>6</v>
      </c>
      <c r="AG515" s="2">
        <v>0</v>
      </c>
      <c r="AH515" s="2">
        <v>6</v>
      </c>
      <c r="AI515" s="2">
        <v>0</v>
      </c>
      <c r="AK515">
        <v>5827870</v>
      </c>
      <c r="AL515" t="s">
        <v>403</v>
      </c>
    </row>
    <row r="516" spans="1:38" x14ac:dyDescent="0.25">
      <c r="A516" s="1">
        <v>45918</v>
      </c>
      <c r="B516" s="1">
        <v>45915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1176</v>
      </c>
      <c r="J516" t="s">
        <v>1177</v>
      </c>
      <c r="O516" t="s">
        <v>74</v>
      </c>
      <c r="P516" t="s">
        <v>75</v>
      </c>
      <c r="Q516" t="s">
        <v>49</v>
      </c>
      <c r="R516" t="s">
        <v>1158</v>
      </c>
      <c r="S516" s="1">
        <v>45536</v>
      </c>
      <c r="T516" s="1">
        <v>45992</v>
      </c>
      <c r="U516" t="s">
        <v>51</v>
      </c>
      <c r="V516">
        <v>1</v>
      </c>
      <c r="W516" s="1">
        <v>45915</v>
      </c>
      <c r="X516" t="s">
        <v>52</v>
      </c>
      <c r="Y516" s="2">
        <v>1</v>
      </c>
      <c r="Z516" s="2">
        <v>1</v>
      </c>
      <c r="AB516" s="3">
        <v>1</v>
      </c>
      <c r="AC516" s="2">
        <v>12.5</v>
      </c>
      <c r="AG516" s="2">
        <v>0</v>
      </c>
      <c r="AH516" s="2">
        <v>12.5</v>
      </c>
      <c r="AI516" s="2">
        <v>0</v>
      </c>
      <c r="AK516">
        <v>5781662</v>
      </c>
      <c r="AL516" t="s">
        <v>1153</v>
      </c>
    </row>
    <row r="517" spans="1:38" x14ac:dyDescent="0.25">
      <c r="A517" s="1">
        <v>45918</v>
      </c>
      <c r="B517" s="1">
        <v>45915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1178</v>
      </c>
      <c r="J517" t="s">
        <v>1179</v>
      </c>
      <c r="M517" t="s">
        <v>401</v>
      </c>
      <c r="O517" t="s">
        <v>298</v>
      </c>
      <c r="P517" t="s">
        <v>299</v>
      </c>
      <c r="Q517" t="s">
        <v>49</v>
      </c>
      <c r="R517" t="s">
        <v>1136</v>
      </c>
      <c r="S517" s="1">
        <v>45597</v>
      </c>
      <c r="T517" s="1">
        <v>45945</v>
      </c>
      <c r="U517" t="s">
        <v>51</v>
      </c>
      <c r="V517">
        <v>1</v>
      </c>
      <c r="W517" s="1">
        <v>45917</v>
      </c>
      <c r="X517" t="s">
        <v>52</v>
      </c>
      <c r="Y517" s="2">
        <v>1</v>
      </c>
      <c r="Z517" s="2">
        <v>1</v>
      </c>
      <c r="AB517" s="3">
        <v>1</v>
      </c>
      <c r="AC517" s="2">
        <v>25.5</v>
      </c>
      <c r="AG517" s="2">
        <v>0</v>
      </c>
      <c r="AH517" s="2">
        <v>25.5</v>
      </c>
      <c r="AI517" s="2">
        <v>0</v>
      </c>
      <c r="AK517">
        <v>5825191</v>
      </c>
      <c r="AL517" t="s">
        <v>1137</v>
      </c>
    </row>
    <row r="518" spans="1:38" x14ac:dyDescent="0.25">
      <c r="A518" s="1">
        <v>45918</v>
      </c>
      <c r="B518" s="1">
        <v>45915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1180</v>
      </c>
      <c r="J518" t="s">
        <v>1179</v>
      </c>
      <c r="M518" t="s">
        <v>401</v>
      </c>
      <c r="O518" t="s">
        <v>298</v>
      </c>
      <c r="P518" t="s">
        <v>299</v>
      </c>
      <c r="Q518" t="s">
        <v>58</v>
      </c>
      <c r="R518" t="s">
        <v>1139</v>
      </c>
      <c r="S518" s="1">
        <v>45597</v>
      </c>
      <c r="T518" s="1">
        <v>45945</v>
      </c>
      <c r="U518" t="s">
        <v>51</v>
      </c>
      <c r="V518">
        <v>1</v>
      </c>
      <c r="W518" s="1">
        <v>45917</v>
      </c>
      <c r="X518" t="s">
        <v>52</v>
      </c>
      <c r="Y518" s="2">
        <v>1</v>
      </c>
      <c r="Z518" s="2">
        <v>1</v>
      </c>
      <c r="AB518" s="3">
        <v>1</v>
      </c>
      <c r="AC518" s="2">
        <v>6</v>
      </c>
      <c r="AG518" s="2">
        <v>0</v>
      </c>
      <c r="AH518" s="2">
        <v>6</v>
      </c>
      <c r="AI518" s="2">
        <v>0</v>
      </c>
      <c r="AK518">
        <v>5825190</v>
      </c>
      <c r="AL518" t="s">
        <v>1137</v>
      </c>
    </row>
    <row r="519" spans="1:38" x14ac:dyDescent="0.25">
      <c r="A519" s="1">
        <v>45918</v>
      </c>
      <c r="B519" s="1">
        <v>45915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1181</v>
      </c>
      <c r="J519" t="s">
        <v>1182</v>
      </c>
      <c r="M519" t="s">
        <v>406</v>
      </c>
      <c r="O519" t="s">
        <v>359</v>
      </c>
      <c r="P519" t="s">
        <v>360</v>
      </c>
      <c r="Q519" t="s">
        <v>49</v>
      </c>
      <c r="R519" t="s">
        <v>1175</v>
      </c>
      <c r="S519" s="1">
        <v>45627</v>
      </c>
      <c r="T519" s="1">
        <v>45945</v>
      </c>
      <c r="U519" t="s">
        <v>51</v>
      </c>
      <c r="V519">
        <v>1</v>
      </c>
      <c r="W519" s="1">
        <v>45917</v>
      </c>
      <c r="X519" t="s">
        <v>52</v>
      </c>
      <c r="Y519" s="2">
        <v>1</v>
      </c>
      <c r="Z519" s="2">
        <v>1</v>
      </c>
      <c r="AB519" s="3">
        <v>1</v>
      </c>
      <c r="AC519" s="2">
        <v>6</v>
      </c>
      <c r="AG519" s="2">
        <v>0</v>
      </c>
      <c r="AH519" s="2">
        <v>6</v>
      </c>
      <c r="AI519" s="2">
        <v>0</v>
      </c>
      <c r="AK519">
        <v>5828821</v>
      </c>
      <c r="AL519" t="s">
        <v>403</v>
      </c>
    </row>
    <row r="520" spans="1:38" x14ac:dyDescent="0.25">
      <c r="A520" s="1">
        <v>45918</v>
      </c>
      <c r="B520" s="1">
        <v>45915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1183</v>
      </c>
      <c r="J520" t="s">
        <v>1184</v>
      </c>
      <c r="M520" t="s">
        <v>950</v>
      </c>
      <c r="O520" t="s">
        <v>100</v>
      </c>
      <c r="P520" t="s">
        <v>101</v>
      </c>
      <c r="Q520" t="s">
        <v>58</v>
      </c>
      <c r="R520" t="s">
        <v>1136</v>
      </c>
      <c r="S520" s="1">
        <v>45597</v>
      </c>
      <c r="T520" s="1">
        <v>45945</v>
      </c>
      <c r="U520" t="s">
        <v>51</v>
      </c>
      <c r="V520">
        <v>1</v>
      </c>
      <c r="W520" s="1">
        <v>45917</v>
      </c>
      <c r="X520" t="s">
        <v>52</v>
      </c>
      <c r="Y520" s="2">
        <v>1</v>
      </c>
      <c r="Z520" s="2">
        <v>1</v>
      </c>
      <c r="AB520" s="3">
        <v>1</v>
      </c>
      <c r="AC520" s="2">
        <v>25.5</v>
      </c>
      <c r="AG520" s="2">
        <v>0</v>
      </c>
      <c r="AH520" s="2">
        <v>25.5</v>
      </c>
      <c r="AI520" s="2">
        <v>0</v>
      </c>
      <c r="AK520">
        <v>5825207</v>
      </c>
      <c r="AL520" t="s">
        <v>1137</v>
      </c>
    </row>
    <row r="521" spans="1:38" x14ac:dyDescent="0.25">
      <c r="A521" s="1">
        <v>45918</v>
      </c>
      <c r="B521" s="1">
        <v>45915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1185</v>
      </c>
      <c r="J521" t="s">
        <v>1184</v>
      </c>
      <c r="M521" t="s">
        <v>950</v>
      </c>
      <c r="O521" t="s">
        <v>100</v>
      </c>
      <c r="P521" t="s">
        <v>101</v>
      </c>
      <c r="Q521" t="s">
        <v>58</v>
      </c>
      <c r="R521" t="s">
        <v>1139</v>
      </c>
      <c r="S521" s="1">
        <v>45597</v>
      </c>
      <c r="T521" s="1">
        <v>45945</v>
      </c>
      <c r="U521" t="s">
        <v>51</v>
      </c>
      <c r="V521">
        <v>1</v>
      </c>
      <c r="W521" s="1">
        <v>45917</v>
      </c>
      <c r="X521" t="s">
        <v>52</v>
      </c>
      <c r="Y521" s="2">
        <v>1</v>
      </c>
      <c r="Z521" s="2">
        <v>1</v>
      </c>
      <c r="AB521" s="3">
        <v>1</v>
      </c>
      <c r="AC521" s="2">
        <v>6</v>
      </c>
      <c r="AG521" s="2">
        <v>0</v>
      </c>
      <c r="AH521" s="2">
        <v>6</v>
      </c>
      <c r="AI521" s="2">
        <v>0</v>
      </c>
      <c r="AK521">
        <v>5825206</v>
      </c>
      <c r="AL521" t="s">
        <v>1137</v>
      </c>
    </row>
    <row r="522" spans="1:38" x14ac:dyDescent="0.25">
      <c r="A522" s="1">
        <v>45918</v>
      </c>
      <c r="B522" s="1">
        <v>45915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1186</v>
      </c>
      <c r="J522" t="s">
        <v>1187</v>
      </c>
      <c r="M522" t="s">
        <v>978</v>
      </c>
      <c r="O522" t="s">
        <v>263</v>
      </c>
      <c r="P522" t="s">
        <v>264</v>
      </c>
      <c r="Q522" t="s">
        <v>49</v>
      </c>
      <c r="R522" t="s">
        <v>1142</v>
      </c>
      <c r="S522" s="1">
        <v>45597</v>
      </c>
      <c r="T522" s="1">
        <v>45945</v>
      </c>
      <c r="U522" t="s">
        <v>51</v>
      </c>
      <c r="V522">
        <v>1</v>
      </c>
      <c r="W522" s="1">
        <v>45917</v>
      </c>
      <c r="X522" t="s">
        <v>52</v>
      </c>
      <c r="Y522" s="2">
        <v>1</v>
      </c>
      <c r="Z522" s="2">
        <v>1</v>
      </c>
      <c r="AB522" s="3">
        <v>1</v>
      </c>
      <c r="AC522" s="2">
        <v>25.5</v>
      </c>
      <c r="AG522" s="2">
        <v>0</v>
      </c>
      <c r="AH522" s="2">
        <v>25.5</v>
      </c>
      <c r="AI522" s="2">
        <v>0</v>
      </c>
      <c r="AK522">
        <v>5825321</v>
      </c>
      <c r="AL522" t="s">
        <v>1137</v>
      </c>
    </row>
    <row r="523" spans="1:38" x14ac:dyDescent="0.25">
      <c r="A523" s="1">
        <v>45918</v>
      </c>
      <c r="B523" s="1">
        <v>45915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1188</v>
      </c>
      <c r="J523" t="s">
        <v>1187</v>
      </c>
      <c r="M523" t="s">
        <v>978</v>
      </c>
      <c r="O523" t="s">
        <v>263</v>
      </c>
      <c r="P523" t="s">
        <v>264</v>
      </c>
      <c r="Q523" t="s">
        <v>49</v>
      </c>
      <c r="R523" t="s">
        <v>1144</v>
      </c>
      <c r="S523" s="1">
        <v>45597</v>
      </c>
      <c r="T523" s="1">
        <v>45945</v>
      </c>
      <c r="U523" t="s">
        <v>51</v>
      </c>
      <c r="V523">
        <v>1</v>
      </c>
      <c r="W523" s="1">
        <v>45917</v>
      </c>
      <c r="X523" t="s">
        <v>52</v>
      </c>
      <c r="Y523" s="2">
        <v>1</v>
      </c>
      <c r="Z523" s="2">
        <v>1</v>
      </c>
      <c r="AB523" s="3">
        <v>1</v>
      </c>
      <c r="AC523" s="2">
        <v>6</v>
      </c>
      <c r="AG523" s="2">
        <v>0</v>
      </c>
      <c r="AH523" s="2">
        <v>6</v>
      </c>
      <c r="AI523" s="2">
        <v>0</v>
      </c>
      <c r="AK523">
        <v>5825320</v>
      </c>
      <c r="AL523" t="s">
        <v>1137</v>
      </c>
    </row>
    <row r="524" spans="1:38" x14ac:dyDescent="0.25">
      <c r="A524" s="1">
        <v>45918</v>
      </c>
      <c r="B524" s="1">
        <v>45915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1189</v>
      </c>
      <c r="J524" t="s">
        <v>1190</v>
      </c>
      <c r="M524" t="s">
        <v>978</v>
      </c>
      <c r="O524" t="s">
        <v>263</v>
      </c>
      <c r="P524" t="s">
        <v>264</v>
      </c>
      <c r="Q524" t="s">
        <v>49</v>
      </c>
      <c r="R524" t="s">
        <v>1136</v>
      </c>
      <c r="S524" s="1">
        <v>45474</v>
      </c>
      <c r="T524" s="1">
        <v>45945</v>
      </c>
      <c r="U524" t="s">
        <v>51</v>
      </c>
      <c r="V524">
        <v>1</v>
      </c>
      <c r="W524" s="1">
        <v>45917</v>
      </c>
      <c r="X524" t="s">
        <v>52</v>
      </c>
      <c r="Y524" s="2">
        <v>1</v>
      </c>
      <c r="Z524" s="2">
        <v>1</v>
      </c>
      <c r="AB524" s="3">
        <v>1</v>
      </c>
      <c r="AC524" s="2">
        <v>25.5</v>
      </c>
      <c r="AG524" s="2">
        <v>0</v>
      </c>
      <c r="AH524" s="2">
        <v>25.5</v>
      </c>
      <c r="AI524" s="2">
        <v>0</v>
      </c>
      <c r="AK524">
        <v>5825840</v>
      </c>
      <c r="AL524" t="s">
        <v>1137</v>
      </c>
    </row>
    <row r="525" spans="1:38" x14ac:dyDescent="0.25">
      <c r="A525" s="1">
        <v>45918</v>
      </c>
      <c r="B525" s="1">
        <v>45915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1191</v>
      </c>
      <c r="J525" t="s">
        <v>1192</v>
      </c>
      <c r="M525" t="s">
        <v>849</v>
      </c>
      <c r="O525" t="s">
        <v>100</v>
      </c>
      <c r="P525" t="s">
        <v>101</v>
      </c>
      <c r="Q525" t="s">
        <v>49</v>
      </c>
      <c r="R525" t="s">
        <v>1136</v>
      </c>
      <c r="S525" s="1">
        <v>45597</v>
      </c>
      <c r="T525" s="1">
        <v>45945</v>
      </c>
      <c r="U525" t="s">
        <v>51</v>
      </c>
      <c r="V525">
        <v>1</v>
      </c>
      <c r="W525" s="1">
        <v>45917</v>
      </c>
      <c r="X525" t="s">
        <v>52</v>
      </c>
      <c r="Y525" s="2">
        <v>1</v>
      </c>
      <c r="Z525" s="2">
        <v>1</v>
      </c>
      <c r="AB525" s="3">
        <v>1</v>
      </c>
      <c r="AC525" s="2">
        <v>25.5</v>
      </c>
      <c r="AG525" s="2">
        <v>0</v>
      </c>
      <c r="AH525" s="2">
        <v>25.5</v>
      </c>
      <c r="AI525" s="2">
        <v>0</v>
      </c>
      <c r="AK525">
        <v>5825876</v>
      </c>
      <c r="AL525" t="s">
        <v>1137</v>
      </c>
    </row>
    <row r="526" spans="1:38" x14ac:dyDescent="0.25">
      <c r="A526" s="1">
        <v>45918</v>
      </c>
      <c r="B526" s="1">
        <v>45915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1193</v>
      </c>
      <c r="J526" t="s">
        <v>1192</v>
      </c>
      <c r="M526" t="s">
        <v>849</v>
      </c>
      <c r="O526" t="s">
        <v>100</v>
      </c>
      <c r="P526" t="s">
        <v>101</v>
      </c>
      <c r="Q526" t="s">
        <v>49</v>
      </c>
      <c r="R526" t="s">
        <v>1139</v>
      </c>
      <c r="S526" s="1">
        <v>45597</v>
      </c>
      <c r="T526" s="1">
        <v>45945</v>
      </c>
      <c r="U526" t="s">
        <v>51</v>
      </c>
      <c r="V526">
        <v>1</v>
      </c>
      <c r="W526" s="1">
        <v>45917</v>
      </c>
      <c r="X526" t="s">
        <v>52</v>
      </c>
      <c r="Y526" s="2">
        <v>1</v>
      </c>
      <c r="Z526" s="2">
        <v>1</v>
      </c>
      <c r="AB526" s="3">
        <v>1</v>
      </c>
      <c r="AC526" s="2">
        <v>6</v>
      </c>
      <c r="AG526" s="2">
        <v>0</v>
      </c>
      <c r="AH526" s="2">
        <v>6</v>
      </c>
      <c r="AI526" s="2">
        <v>0</v>
      </c>
      <c r="AK526">
        <v>5825875</v>
      </c>
      <c r="AL526" t="s">
        <v>1137</v>
      </c>
    </row>
    <row r="527" spans="1:38" x14ac:dyDescent="0.25">
      <c r="A527" s="1">
        <v>45918</v>
      </c>
      <c r="B527" s="1">
        <v>45915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1194</v>
      </c>
      <c r="J527" t="s">
        <v>1195</v>
      </c>
      <c r="M527" t="s">
        <v>401</v>
      </c>
      <c r="O527" t="s">
        <v>347</v>
      </c>
      <c r="P527" t="s">
        <v>348</v>
      </c>
      <c r="Q527" t="s">
        <v>49</v>
      </c>
      <c r="R527" t="s">
        <v>1136</v>
      </c>
      <c r="S527" s="1">
        <v>45536</v>
      </c>
      <c r="T527" s="1">
        <v>45945</v>
      </c>
      <c r="U527" t="s">
        <v>51</v>
      </c>
      <c r="V527">
        <v>1</v>
      </c>
      <c r="W527" s="1">
        <v>45917</v>
      </c>
      <c r="X527" t="s">
        <v>52</v>
      </c>
      <c r="Y527" s="2">
        <v>1</v>
      </c>
      <c r="Z527" s="2">
        <v>1</v>
      </c>
      <c r="AB527" s="3">
        <v>1</v>
      </c>
      <c r="AC527" s="2">
        <v>25.5</v>
      </c>
      <c r="AG527" s="2">
        <v>0</v>
      </c>
      <c r="AH527" s="2">
        <v>25.5</v>
      </c>
      <c r="AI527" s="2">
        <v>0</v>
      </c>
      <c r="AK527">
        <v>5825880</v>
      </c>
      <c r="AL527" t="s">
        <v>1137</v>
      </c>
    </row>
    <row r="528" spans="1:38" x14ac:dyDescent="0.25">
      <c r="A528" s="1">
        <v>45918</v>
      </c>
      <c r="B528" s="1">
        <v>45915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1196</v>
      </c>
      <c r="J528" t="s">
        <v>1195</v>
      </c>
      <c r="M528" t="s">
        <v>401</v>
      </c>
      <c r="O528" t="s">
        <v>347</v>
      </c>
      <c r="P528" t="s">
        <v>348</v>
      </c>
      <c r="Q528" t="s">
        <v>49</v>
      </c>
      <c r="R528" t="s">
        <v>1139</v>
      </c>
      <c r="S528" s="1">
        <v>45536</v>
      </c>
      <c r="T528" s="1">
        <v>45945</v>
      </c>
      <c r="U528" t="s">
        <v>51</v>
      </c>
      <c r="V528">
        <v>1</v>
      </c>
      <c r="W528" s="1">
        <v>45917</v>
      </c>
      <c r="X528" t="s">
        <v>52</v>
      </c>
      <c r="Y528" s="2">
        <v>1</v>
      </c>
      <c r="Z528" s="2">
        <v>1</v>
      </c>
      <c r="AB528" s="3">
        <v>1</v>
      </c>
      <c r="AC528" s="2">
        <v>6</v>
      </c>
      <c r="AG528" s="2">
        <v>0</v>
      </c>
      <c r="AH528" s="2">
        <v>6</v>
      </c>
      <c r="AI528" s="2">
        <v>0</v>
      </c>
      <c r="AK528">
        <v>5825879</v>
      </c>
      <c r="AL528" t="s">
        <v>1137</v>
      </c>
    </row>
    <row r="529" spans="1:38" x14ac:dyDescent="0.25">
      <c r="A529" s="1">
        <v>45918</v>
      </c>
      <c r="B529" s="1">
        <v>45915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1197</v>
      </c>
      <c r="J529" t="s">
        <v>1198</v>
      </c>
      <c r="M529" t="s">
        <v>401</v>
      </c>
      <c r="O529" t="s">
        <v>74</v>
      </c>
      <c r="P529" t="s">
        <v>75</v>
      </c>
      <c r="Q529" t="s">
        <v>49</v>
      </c>
      <c r="R529" t="s">
        <v>1199</v>
      </c>
      <c r="S529" s="1">
        <v>45566</v>
      </c>
      <c r="T529" s="1">
        <v>45945</v>
      </c>
      <c r="U529" t="s">
        <v>51</v>
      </c>
      <c r="V529">
        <v>1</v>
      </c>
      <c r="W529" s="1">
        <v>45917</v>
      </c>
      <c r="X529" t="s">
        <v>52</v>
      </c>
      <c r="Y529" s="2">
        <v>1</v>
      </c>
      <c r="Z529" s="2">
        <v>1</v>
      </c>
      <c r="AB529" s="3">
        <v>1</v>
      </c>
      <c r="AC529" s="2">
        <v>25.5</v>
      </c>
      <c r="AG529" s="2">
        <v>0</v>
      </c>
      <c r="AH529" s="2">
        <v>25.5</v>
      </c>
      <c r="AI529" s="2">
        <v>0</v>
      </c>
      <c r="AK529">
        <v>5825884</v>
      </c>
      <c r="AL529" t="s">
        <v>1137</v>
      </c>
    </row>
    <row r="530" spans="1:38" x14ac:dyDescent="0.25">
      <c r="A530" s="1">
        <v>45918</v>
      </c>
      <c r="B530" s="1">
        <v>45915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1200</v>
      </c>
      <c r="J530" t="s">
        <v>1198</v>
      </c>
      <c r="M530" t="s">
        <v>401</v>
      </c>
      <c r="O530" t="s">
        <v>74</v>
      </c>
      <c r="P530" t="s">
        <v>75</v>
      </c>
      <c r="Q530" t="s">
        <v>49</v>
      </c>
      <c r="R530" t="s">
        <v>1144</v>
      </c>
      <c r="S530" s="1">
        <v>45566</v>
      </c>
      <c r="T530" s="1">
        <v>45945</v>
      </c>
      <c r="U530" t="s">
        <v>51</v>
      </c>
      <c r="V530">
        <v>1</v>
      </c>
      <c r="W530" s="1">
        <v>45917</v>
      </c>
      <c r="X530" t="s">
        <v>52</v>
      </c>
      <c r="Y530" s="2">
        <v>1</v>
      </c>
      <c r="Z530" s="2">
        <v>1</v>
      </c>
      <c r="AB530" s="3">
        <v>1</v>
      </c>
      <c r="AC530" s="2">
        <v>6</v>
      </c>
      <c r="AG530" s="2">
        <v>0</v>
      </c>
      <c r="AH530" s="2">
        <v>6</v>
      </c>
      <c r="AI530" s="2">
        <v>0</v>
      </c>
      <c r="AK530">
        <v>5825883</v>
      </c>
      <c r="AL530" t="s">
        <v>1137</v>
      </c>
    </row>
    <row r="531" spans="1:38" x14ac:dyDescent="0.25">
      <c r="A531" s="1">
        <v>45918</v>
      </c>
      <c r="B531" s="1">
        <v>45915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1201</v>
      </c>
      <c r="J531" t="s">
        <v>1202</v>
      </c>
      <c r="M531" t="s">
        <v>1089</v>
      </c>
      <c r="O531" t="s">
        <v>87</v>
      </c>
      <c r="P531" t="s">
        <v>88</v>
      </c>
      <c r="Q531" t="s">
        <v>49</v>
      </c>
      <c r="R531" t="s">
        <v>1142</v>
      </c>
      <c r="S531" s="1">
        <v>45566</v>
      </c>
      <c r="T531" s="1">
        <v>45945</v>
      </c>
      <c r="U531" t="s">
        <v>51</v>
      </c>
      <c r="V531">
        <v>1</v>
      </c>
      <c r="W531" s="1">
        <v>45917</v>
      </c>
      <c r="X531" t="s">
        <v>52</v>
      </c>
      <c r="Y531" s="2">
        <v>1</v>
      </c>
      <c r="Z531" s="2">
        <v>1</v>
      </c>
      <c r="AB531" s="3">
        <v>1</v>
      </c>
      <c r="AC531" s="2">
        <v>25.5</v>
      </c>
      <c r="AG531" s="2">
        <v>0</v>
      </c>
      <c r="AH531" s="2">
        <v>25.5</v>
      </c>
      <c r="AI531" s="2">
        <v>0</v>
      </c>
      <c r="AK531">
        <v>5825895</v>
      </c>
      <c r="AL531" t="s">
        <v>1137</v>
      </c>
    </row>
    <row r="532" spans="1:38" x14ac:dyDescent="0.25">
      <c r="A532" s="1">
        <v>45918</v>
      </c>
      <c r="B532" s="1">
        <v>45915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1203</v>
      </c>
      <c r="J532" t="s">
        <v>1202</v>
      </c>
      <c r="M532" t="s">
        <v>1089</v>
      </c>
      <c r="O532" t="s">
        <v>87</v>
      </c>
      <c r="P532" t="s">
        <v>88</v>
      </c>
      <c r="Q532" t="s">
        <v>49</v>
      </c>
      <c r="R532" t="s">
        <v>1144</v>
      </c>
      <c r="S532" s="1">
        <v>45566</v>
      </c>
      <c r="T532" s="1">
        <v>45945</v>
      </c>
      <c r="U532" t="s">
        <v>51</v>
      </c>
      <c r="V532">
        <v>1</v>
      </c>
      <c r="W532" s="1">
        <v>45917</v>
      </c>
      <c r="X532" t="s">
        <v>52</v>
      </c>
      <c r="Y532" s="2">
        <v>1</v>
      </c>
      <c r="Z532" s="2">
        <v>1</v>
      </c>
      <c r="AB532" s="3">
        <v>1</v>
      </c>
      <c r="AC532" s="2">
        <v>6</v>
      </c>
      <c r="AG532" s="2">
        <v>0</v>
      </c>
      <c r="AH532" s="2">
        <v>6</v>
      </c>
      <c r="AI532" s="2">
        <v>0</v>
      </c>
      <c r="AK532">
        <v>5825894</v>
      </c>
      <c r="AL532" t="s">
        <v>1137</v>
      </c>
    </row>
    <row r="533" spans="1:38" x14ac:dyDescent="0.25">
      <c r="A533" s="1">
        <v>45918</v>
      </c>
      <c r="B533" s="1">
        <v>45915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1204</v>
      </c>
      <c r="J533" t="s">
        <v>1205</v>
      </c>
      <c r="M533" t="s">
        <v>406</v>
      </c>
      <c r="O533" t="s">
        <v>815</v>
      </c>
      <c r="P533" t="s">
        <v>816</v>
      </c>
      <c r="Q533" t="s">
        <v>49</v>
      </c>
      <c r="R533" t="s">
        <v>1206</v>
      </c>
      <c r="S533" s="1">
        <v>45689</v>
      </c>
      <c r="T533" s="1">
        <v>45945</v>
      </c>
      <c r="U533" t="s">
        <v>51</v>
      </c>
      <c r="V533">
        <v>1</v>
      </c>
      <c r="W533" s="1">
        <v>45916</v>
      </c>
      <c r="X533" t="s">
        <v>52</v>
      </c>
      <c r="Y533" s="2">
        <v>1</v>
      </c>
      <c r="Z533" s="2">
        <v>1</v>
      </c>
      <c r="AB533" s="3">
        <v>1</v>
      </c>
      <c r="AC533" s="2">
        <v>24.73</v>
      </c>
      <c r="AG533" s="2">
        <v>0</v>
      </c>
      <c r="AH533" s="2">
        <v>24.73</v>
      </c>
      <c r="AI533" s="2">
        <v>0</v>
      </c>
      <c r="AK533">
        <v>5796257</v>
      </c>
      <c r="AL533" t="s">
        <v>1207</v>
      </c>
    </row>
    <row r="534" spans="1:38" x14ac:dyDescent="0.25">
      <c r="A534" s="1">
        <v>45918</v>
      </c>
      <c r="B534" s="1">
        <v>45915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1208</v>
      </c>
      <c r="J534" t="s">
        <v>1209</v>
      </c>
      <c r="M534" t="s">
        <v>401</v>
      </c>
      <c r="O534" t="s">
        <v>298</v>
      </c>
      <c r="P534" t="s">
        <v>299</v>
      </c>
      <c r="Q534" t="s">
        <v>49</v>
      </c>
      <c r="R534" t="s">
        <v>1210</v>
      </c>
      <c r="S534" s="1">
        <v>45627</v>
      </c>
      <c r="T534" s="1">
        <v>45945</v>
      </c>
      <c r="U534" t="s">
        <v>51</v>
      </c>
      <c r="V534">
        <v>1</v>
      </c>
      <c r="W534" s="1">
        <v>45916</v>
      </c>
      <c r="X534" t="s">
        <v>52</v>
      </c>
      <c r="Y534" s="2">
        <v>1</v>
      </c>
      <c r="Z534" s="2">
        <v>1</v>
      </c>
      <c r="AB534" s="3">
        <v>1</v>
      </c>
      <c r="AC534" s="2">
        <v>28.78</v>
      </c>
      <c r="AG534" s="2">
        <v>0</v>
      </c>
      <c r="AH534" s="2">
        <v>28.78</v>
      </c>
      <c r="AI534" s="2">
        <v>0</v>
      </c>
      <c r="AK534">
        <v>5796258</v>
      </c>
      <c r="AL534" t="s">
        <v>1207</v>
      </c>
    </row>
    <row r="535" spans="1:38" x14ac:dyDescent="0.25">
      <c r="A535" s="1">
        <v>45918</v>
      </c>
      <c r="B535" s="1">
        <v>45915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1211</v>
      </c>
      <c r="J535" t="s">
        <v>1212</v>
      </c>
      <c r="M535" t="s">
        <v>406</v>
      </c>
      <c r="O535" t="s">
        <v>106</v>
      </c>
      <c r="P535" t="s">
        <v>107</v>
      </c>
      <c r="Q535" t="s">
        <v>58</v>
      </c>
      <c r="R535" t="s">
        <v>1213</v>
      </c>
      <c r="S535" s="1">
        <v>45597</v>
      </c>
      <c r="T535" s="1">
        <v>45945</v>
      </c>
      <c r="U535" t="s">
        <v>51</v>
      </c>
      <c r="V535">
        <v>1</v>
      </c>
      <c r="W535" s="1">
        <v>45916</v>
      </c>
      <c r="X535" t="s">
        <v>52</v>
      </c>
      <c r="Y535" s="2">
        <v>1</v>
      </c>
      <c r="Z535" s="2">
        <v>1</v>
      </c>
      <c r="AB535" s="3">
        <v>1</v>
      </c>
      <c r="AC535" s="2">
        <v>22.52</v>
      </c>
      <c r="AG535" s="2">
        <v>0</v>
      </c>
      <c r="AH535" s="2">
        <v>22.52</v>
      </c>
      <c r="AI535" s="2">
        <v>0</v>
      </c>
      <c r="AK535">
        <v>5796259</v>
      </c>
      <c r="AL535" t="s">
        <v>1207</v>
      </c>
    </row>
    <row r="536" spans="1:38" x14ac:dyDescent="0.25">
      <c r="A536" s="1">
        <v>45918</v>
      </c>
      <c r="B536" s="1">
        <v>45915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1214</v>
      </c>
      <c r="J536" t="s">
        <v>1215</v>
      </c>
      <c r="M536" t="s">
        <v>406</v>
      </c>
      <c r="O536" t="s">
        <v>815</v>
      </c>
      <c r="P536" t="s">
        <v>816</v>
      </c>
      <c r="Q536" t="s">
        <v>49</v>
      </c>
      <c r="R536" t="s">
        <v>1216</v>
      </c>
      <c r="S536" s="1">
        <v>45474</v>
      </c>
      <c r="T536" s="1">
        <v>45945</v>
      </c>
      <c r="U536" t="s">
        <v>51</v>
      </c>
      <c r="V536">
        <v>1</v>
      </c>
      <c r="W536" s="1">
        <v>45916</v>
      </c>
      <c r="X536" t="s">
        <v>52</v>
      </c>
      <c r="Y536" s="2">
        <v>1</v>
      </c>
      <c r="Z536" s="2">
        <v>1</v>
      </c>
      <c r="AB536" s="3">
        <v>1</v>
      </c>
      <c r="AC536" s="2">
        <v>37.5</v>
      </c>
      <c r="AG536" s="2">
        <v>0</v>
      </c>
      <c r="AH536" s="2">
        <v>37.5</v>
      </c>
      <c r="AI536" s="2">
        <v>0</v>
      </c>
      <c r="AK536">
        <v>5796260</v>
      </c>
      <c r="AL536" t="s">
        <v>1207</v>
      </c>
    </row>
    <row r="537" spans="1:38" x14ac:dyDescent="0.25">
      <c r="A537" s="1">
        <v>45918</v>
      </c>
      <c r="B537" s="1">
        <v>45915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1217</v>
      </c>
      <c r="J537" t="s">
        <v>1218</v>
      </c>
      <c r="M537" t="s">
        <v>406</v>
      </c>
      <c r="O537" t="s">
        <v>407</v>
      </c>
      <c r="P537" t="s">
        <v>408</v>
      </c>
      <c r="Q537" t="s">
        <v>49</v>
      </c>
      <c r="R537" t="s">
        <v>1219</v>
      </c>
      <c r="S537" s="1">
        <v>45474</v>
      </c>
      <c r="T537" s="1">
        <v>45945</v>
      </c>
      <c r="U537" t="s">
        <v>51</v>
      </c>
      <c r="V537">
        <v>1</v>
      </c>
      <c r="W537" s="1">
        <v>45916</v>
      </c>
      <c r="X537" t="s">
        <v>52</v>
      </c>
      <c r="Y537" s="2">
        <v>1</v>
      </c>
      <c r="Z537" s="2">
        <v>1</v>
      </c>
      <c r="AB537" s="3">
        <v>1</v>
      </c>
      <c r="AC537" s="2">
        <v>1.3</v>
      </c>
      <c r="AG537" s="2">
        <v>0</v>
      </c>
      <c r="AH537" s="2">
        <v>1.3</v>
      </c>
      <c r="AI537" s="2">
        <v>0</v>
      </c>
      <c r="AK537">
        <v>5796261</v>
      </c>
      <c r="AL537" t="s">
        <v>1207</v>
      </c>
    </row>
    <row r="538" spans="1:38" x14ac:dyDescent="0.25">
      <c r="A538" s="1">
        <v>45918</v>
      </c>
      <c r="B538" s="1">
        <v>45915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1220</v>
      </c>
      <c r="J538" t="s">
        <v>1221</v>
      </c>
      <c r="M538" t="s">
        <v>1222</v>
      </c>
      <c r="O538" t="s">
        <v>106</v>
      </c>
      <c r="P538" t="s">
        <v>107</v>
      </c>
      <c r="Q538" t="s">
        <v>49</v>
      </c>
      <c r="R538" t="s">
        <v>1223</v>
      </c>
      <c r="S538" s="1">
        <v>45505</v>
      </c>
      <c r="T538" s="1">
        <v>45945</v>
      </c>
      <c r="U538" t="s">
        <v>51</v>
      </c>
      <c r="V538">
        <v>1</v>
      </c>
      <c r="W538" s="1">
        <v>45916</v>
      </c>
      <c r="X538" t="s">
        <v>52</v>
      </c>
      <c r="Y538" s="2">
        <v>1</v>
      </c>
      <c r="Z538" s="2">
        <v>1</v>
      </c>
      <c r="AB538" s="3">
        <v>1</v>
      </c>
      <c r="AC538" s="2">
        <v>25.02</v>
      </c>
      <c r="AG538" s="2">
        <v>0</v>
      </c>
      <c r="AH538" s="2">
        <v>25.02</v>
      </c>
      <c r="AI538" s="2">
        <v>0</v>
      </c>
      <c r="AK538">
        <v>5796262</v>
      </c>
      <c r="AL538" t="s">
        <v>1207</v>
      </c>
    </row>
    <row r="539" spans="1:38" x14ac:dyDescent="0.25">
      <c r="A539" s="1">
        <v>45918</v>
      </c>
      <c r="B539" s="1">
        <v>45915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1224</v>
      </c>
      <c r="J539" t="s">
        <v>1225</v>
      </c>
      <c r="M539" t="s">
        <v>557</v>
      </c>
      <c r="O539" t="s">
        <v>106</v>
      </c>
      <c r="P539" t="s">
        <v>107</v>
      </c>
      <c r="Q539" t="s">
        <v>49</v>
      </c>
      <c r="R539" t="s">
        <v>1226</v>
      </c>
      <c r="S539" s="1">
        <v>45536</v>
      </c>
      <c r="T539" s="1">
        <v>45945</v>
      </c>
      <c r="U539" t="s">
        <v>51</v>
      </c>
      <c r="V539">
        <v>1</v>
      </c>
      <c r="W539" s="1">
        <v>45916</v>
      </c>
      <c r="X539" t="s">
        <v>52</v>
      </c>
      <c r="Y539" s="2">
        <v>1</v>
      </c>
      <c r="Z539" s="2">
        <v>1</v>
      </c>
      <c r="AB539" s="3">
        <v>1</v>
      </c>
      <c r="AC539" s="2">
        <v>44.31</v>
      </c>
      <c r="AG539" s="2">
        <v>0</v>
      </c>
      <c r="AH539" s="2">
        <v>44.31</v>
      </c>
      <c r="AI539" s="2">
        <v>0</v>
      </c>
      <c r="AK539">
        <v>5796263</v>
      </c>
      <c r="AL539" t="s">
        <v>1207</v>
      </c>
    </row>
    <row r="540" spans="1:38" x14ac:dyDescent="0.25">
      <c r="A540" s="1">
        <v>45918</v>
      </c>
      <c r="B540" s="1">
        <v>45915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1227</v>
      </c>
      <c r="J540" t="s">
        <v>1228</v>
      </c>
      <c r="M540" t="s">
        <v>406</v>
      </c>
      <c r="O540" t="s">
        <v>815</v>
      </c>
      <c r="P540" t="s">
        <v>816</v>
      </c>
      <c r="Q540" t="s">
        <v>49</v>
      </c>
      <c r="R540" t="s">
        <v>1229</v>
      </c>
      <c r="S540" s="1">
        <v>45505</v>
      </c>
      <c r="T540" s="1">
        <v>45945</v>
      </c>
      <c r="U540" t="s">
        <v>51</v>
      </c>
      <c r="V540">
        <v>1</v>
      </c>
      <c r="W540" s="1">
        <v>45916</v>
      </c>
      <c r="X540" t="s">
        <v>52</v>
      </c>
      <c r="Y540" s="2">
        <v>1</v>
      </c>
      <c r="Z540" s="2">
        <v>1</v>
      </c>
      <c r="AB540" s="3">
        <v>1</v>
      </c>
      <c r="AC540" s="2">
        <v>31.02</v>
      </c>
      <c r="AG540" s="2">
        <v>0</v>
      </c>
      <c r="AH540" s="2">
        <v>31.02</v>
      </c>
      <c r="AI540" s="2">
        <v>0</v>
      </c>
      <c r="AK540">
        <v>5796264</v>
      </c>
      <c r="AL540" t="s">
        <v>1207</v>
      </c>
    </row>
    <row r="541" spans="1:38" x14ac:dyDescent="0.25">
      <c r="A541" s="1">
        <v>45918</v>
      </c>
      <c r="B541" s="1">
        <v>45915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1230</v>
      </c>
      <c r="J541" t="s">
        <v>1231</v>
      </c>
      <c r="M541" t="s">
        <v>401</v>
      </c>
      <c r="O541" t="s">
        <v>74</v>
      </c>
      <c r="P541" t="s">
        <v>75</v>
      </c>
      <c r="Q541" t="s">
        <v>49</v>
      </c>
      <c r="R541" t="s">
        <v>1232</v>
      </c>
      <c r="S541" s="1">
        <v>45505</v>
      </c>
      <c r="T541" s="1">
        <v>45945</v>
      </c>
      <c r="U541" t="s">
        <v>51</v>
      </c>
      <c r="V541">
        <v>1</v>
      </c>
      <c r="W541" s="1">
        <v>45916</v>
      </c>
      <c r="X541" t="s">
        <v>52</v>
      </c>
      <c r="Y541" s="2">
        <v>1</v>
      </c>
      <c r="Z541" s="2">
        <v>1</v>
      </c>
      <c r="AB541" s="3">
        <v>1</v>
      </c>
      <c r="AC541" s="2">
        <v>31.98</v>
      </c>
      <c r="AG541" s="2">
        <v>0</v>
      </c>
      <c r="AH541" s="2">
        <v>31.98</v>
      </c>
      <c r="AI541" s="2">
        <v>0</v>
      </c>
      <c r="AK541">
        <v>5796265</v>
      </c>
      <c r="AL541" t="s">
        <v>1207</v>
      </c>
    </row>
    <row r="542" spans="1:38" x14ac:dyDescent="0.25">
      <c r="A542" s="1">
        <v>45918</v>
      </c>
      <c r="B542" s="1">
        <v>45915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1233</v>
      </c>
      <c r="J542" t="s">
        <v>1234</v>
      </c>
      <c r="M542" t="s">
        <v>406</v>
      </c>
      <c r="O542" t="s">
        <v>873</v>
      </c>
      <c r="P542" t="s">
        <v>874</v>
      </c>
      <c r="Q542" t="s">
        <v>49</v>
      </c>
      <c r="R542" t="s">
        <v>1235</v>
      </c>
      <c r="S542" s="1">
        <v>45536</v>
      </c>
      <c r="T542" s="1">
        <v>45945</v>
      </c>
      <c r="U542" t="s">
        <v>51</v>
      </c>
      <c r="V542">
        <v>1</v>
      </c>
      <c r="W542" s="1">
        <v>45916</v>
      </c>
      <c r="X542" t="s">
        <v>52</v>
      </c>
      <c r="Y542" s="2">
        <v>1</v>
      </c>
      <c r="Z542" s="2">
        <v>1</v>
      </c>
      <c r="AB542" s="3">
        <v>1</v>
      </c>
      <c r="AC542" s="2">
        <v>36.479999999999997</v>
      </c>
      <c r="AG542" s="2">
        <v>0</v>
      </c>
      <c r="AH542" s="2">
        <v>36.479999999999997</v>
      </c>
      <c r="AI542" s="2">
        <v>0</v>
      </c>
      <c r="AK542">
        <v>5796266</v>
      </c>
      <c r="AL542" t="s">
        <v>1207</v>
      </c>
    </row>
    <row r="543" spans="1:38" x14ac:dyDescent="0.25">
      <c r="A543" s="1">
        <v>45918</v>
      </c>
      <c r="B543" s="1">
        <v>45915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1236</v>
      </c>
      <c r="J543" t="s">
        <v>1237</v>
      </c>
      <c r="M543" t="s">
        <v>1086</v>
      </c>
      <c r="O543" t="s">
        <v>815</v>
      </c>
      <c r="P543" t="s">
        <v>816</v>
      </c>
      <c r="Q543" t="s">
        <v>49</v>
      </c>
      <c r="R543" t="s">
        <v>1238</v>
      </c>
      <c r="S543" s="1">
        <v>45536</v>
      </c>
      <c r="T543" s="1">
        <v>45945</v>
      </c>
      <c r="U543" t="s">
        <v>51</v>
      </c>
      <c r="V543">
        <v>1</v>
      </c>
      <c r="W543" s="1">
        <v>45916</v>
      </c>
      <c r="X543" t="s">
        <v>52</v>
      </c>
      <c r="Y543" s="2">
        <v>1</v>
      </c>
      <c r="Z543" s="2">
        <v>1</v>
      </c>
      <c r="AB543" s="3">
        <v>1</v>
      </c>
      <c r="AC543" s="2">
        <v>36</v>
      </c>
      <c r="AG543" s="2">
        <v>0</v>
      </c>
      <c r="AH543" s="2">
        <v>36</v>
      </c>
      <c r="AI543" s="2">
        <v>0</v>
      </c>
      <c r="AK543">
        <v>5796267</v>
      </c>
      <c r="AL543" t="s">
        <v>1207</v>
      </c>
    </row>
    <row r="544" spans="1:38" x14ac:dyDescent="0.25">
      <c r="A544" s="1">
        <v>45918</v>
      </c>
      <c r="B544" s="1">
        <v>45915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1239</v>
      </c>
      <c r="J544" t="s">
        <v>1240</v>
      </c>
      <c r="M544" t="s">
        <v>401</v>
      </c>
      <c r="O544" t="s">
        <v>145</v>
      </c>
      <c r="P544" t="s">
        <v>146</v>
      </c>
      <c r="Q544" t="s">
        <v>49</v>
      </c>
      <c r="R544" t="s">
        <v>1232</v>
      </c>
      <c r="S544" s="1">
        <v>45566</v>
      </c>
      <c r="T544" s="1">
        <v>45945</v>
      </c>
      <c r="U544" t="s">
        <v>51</v>
      </c>
      <c r="V544">
        <v>1</v>
      </c>
      <c r="W544" s="1">
        <v>45916</v>
      </c>
      <c r="X544" t="s">
        <v>52</v>
      </c>
      <c r="Y544" s="2">
        <v>1</v>
      </c>
      <c r="Z544" s="2">
        <v>1</v>
      </c>
      <c r="AB544" s="3">
        <v>1</v>
      </c>
      <c r="AC544" s="2">
        <v>31.98</v>
      </c>
      <c r="AG544" s="2">
        <v>0</v>
      </c>
      <c r="AH544" s="2">
        <v>31.98</v>
      </c>
      <c r="AI544" s="2">
        <v>0</v>
      </c>
      <c r="AK544">
        <v>5796268</v>
      </c>
      <c r="AL544" t="s">
        <v>1207</v>
      </c>
    </row>
    <row r="545" spans="1:38" x14ac:dyDescent="0.25">
      <c r="A545" s="1">
        <v>45918</v>
      </c>
      <c r="B545" s="1">
        <v>45915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1241</v>
      </c>
      <c r="J545" t="s">
        <v>1242</v>
      </c>
      <c r="M545" t="s">
        <v>1243</v>
      </c>
      <c r="O545" t="s">
        <v>74</v>
      </c>
      <c r="P545" t="s">
        <v>75</v>
      </c>
      <c r="Q545" t="s">
        <v>49</v>
      </c>
      <c r="R545" t="s">
        <v>1244</v>
      </c>
      <c r="S545" s="1">
        <v>45566</v>
      </c>
      <c r="T545" s="1">
        <v>45945</v>
      </c>
      <c r="U545" t="s">
        <v>51</v>
      </c>
      <c r="V545">
        <v>1</v>
      </c>
      <c r="W545" s="1">
        <v>45916</v>
      </c>
      <c r="X545" t="s">
        <v>52</v>
      </c>
      <c r="Y545" s="2">
        <v>1</v>
      </c>
      <c r="Z545" s="2">
        <v>1</v>
      </c>
      <c r="AB545" s="3">
        <v>1</v>
      </c>
      <c r="AC545" s="2">
        <v>33</v>
      </c>
      <c r="AG545" s="2">
        <v>0</v>
      </c>
      <c r="AH545" s="2">
        <v>33</v>
      </c>
      <c r="AI545" s="2">
        <v>0</v>
      </c>
      <c r="AK545">
        <v>5796269</v>
      </c>
      <c r="AL545" t="s">
        <v>1207</v>
      </c>
    </row>
    <row r="546" spans="1:38" x14ac:dyDescent="0.25">
      <c r="A546" s="1">
        <v>45918</v>
      </c>
      <c r="B546" s="1">
        <v>45915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1245</v>
      </c>
      <c r="J546" t="s">
        <v>1246</v>
      </c>
      <c r="M546" t="s">
        <v>401</v>
      </c>
      <c r="O546" t="s">
        <v>74</v>
      </c>
      <c r="P546" t="s">
        <v>75</v>
      </c>
      <c r="Q546" t="s">
        <v>49</v>
      </c>
      <c r="R546" t="s">
        <v>1232</v>
      </c>
      <c r="S546" s="1">
        <v>45566</v>
      </c>
      <c r="T546" s="1">
        <v>45945</v>
      </c>
      <c r="U546" t="s">
        <v>51</v>
      </c>
      <c r="V546">
        <v>1</v>
      </c>
      <c r="W546" s="1">
        <v>45916</v>
      </c>
      <c r="X546" t="s">
        <v>52</v>
      </c>
      <c r="Y546" s="2">
        <v>1</v>
      </c>
      <c r="Z546" s="2">
        <v>1</v>
      </c>
      <c r="AB546" s="3">
        <v>1</v>
      </c>
      <c r="AC546" s="2">
        <v>31.98</v>
      </c>
      <c r="AG546" s="2">
        <v>0</v>
      </c>
      <c r="AH546" s="2">
        <v>31.98</v>
      </c>
      <c r="AI546" s="2">
        <v>0</v>
      </c>
      <c r="AK546">
        <v>5796270</v>
      </c>
      <c r="AL546" t="s">
        <v>1207</v>
      </c>
    </row>
    <row r="547" spans="1:38" x14ac:dyDescent="0.25">
      <c r="A547" s="1">
        <v>45918</v>
      </c>
      <c r="B547" s="1">
        <v>45915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1247</v>
      </c>
      <c r="J547" t="s">
        <v>1248</v>
      </c>
      <c r="M547" t="s">
        <v>406</v>
      </c>
      <c r="O547" t="s">
        <v>815</v>
      </c>
      <c r="P547" t="s">
        <v>816</v>
      </c>
      <c r="Q547" t="s">
        <v>49</v>
      </c>
      <c r="R547" t="s">
        <v>1216</v>
      </c>
      <c r="S547" s="1">
        <v>45536</v>
      </c>
      <c r="T547" s="1">
        <v>45945</v>
      </c>
      <c r="U547" t="s">
        <v>51</v>
      </c>
      <c r="V547">
        <v>1</v>
      </c>
      <c r="W547" s="1">
        <v>45916</v>
      </c>
      <c r="X547" t="s">
        <v>52</v>
      </c>
      <c r="Y547" s="2">
        <v>1</v>
      </c>
      <c r="Z547" s="2">
        <v>1</v>
      </c>
      <c r="AB547" s="3">
        <v>1</v>
      </c>
      <c r="AC547" s="2">
        <v>37.5</v>
      </c>
      <c r="AG547" s="2">
        <v>0</v>
      </c>
      <c r="AH547" s="2">
        <v>37.5</v>
      </c>
      <c r="AI547" s="2">
        <v>0</v>
      </c>
      <c r="AK547">
        <v>5796271</v>
      </c>
      <c r="AL547" t="s">
        <v>1207</v>
      </c>
    </row>
    <row r="548" spans="1:38" x14ac:dyDescent="0.25">
      <c r="A548" s="1">
        <v>45918</v>
      </c>
      <c r="B548" s="1">
        <v>45915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1249</v>
      </c>
      <c r="J548" t="s">
        <v>1250</v>
      </c>
      <c r="M548" t="s">
        <v>406</v>
      </c>
      <c r="O548" t="s">
        <v>815</v>
      </c>
      <c r="P548" t="s">
        <v>816</v>
      </c>
      <c r="Q548" t="s">
        <v>49</v>
      </c>
      <c r="R548" t="s">
        <v>1216</v>
      </c>
      <c r="S548" s="1">
        <v>45536</v>
      </c>
      <c r="T548" s="1">
        <v>45945</v>
      </c>
      <c r="U548" t="s">
        <v>51</v>
      </c>
      <c r="V548">
        <v>1</v>
      </c>
      <c r="W548" s="1">
        <v>45916</v>
      </c>
      <c r="X548" t="s">
        <v>52</v>
      </c>
      <c r="Y548" s="2">
        <v>1</v>
      </c>
      <c r="Z548" s="2">
        <v>1</v>
      </c>
      <c r="AB548" s="3">
        <v>1</v>
      </c>
      <c r="AC548" s="2">
        <v>37.5</v>
      </c>
      <c r="AG548" s="2">
        <v>0</v>
      </c>
      <c r="AH548" s="2">
        <v>37.5</v>
      </c>
      <c r="AI548" s="2">
        <v>0</v>
      </c>
      <c r="AK548">
        <v>5796272</v>
      </c>
      <c r="AL548" t="s">
        <v>1207</v>
      </c>
    </row>
    <row r="549" spans="1:38" x14ac:dyDescent="0.25">
      <c r="A549" s="1">
        <v>45918</v>
      </c>
      <c r="B549" s="1">
        <v>45915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1251</v>
      </c>
      <c r="J549" t="s">
        <v>1252</v>
      </c>
      <c r="M549" t="s">
        <v>406</v>
      </c>
      <c r="O549" t="s">
        <v>815</v>
      </c>
      <c r="P549" t="s">
        <v>816</v>
      </c>
      <c r="Q549" t="s">
        <v>49</v>
      </c>
      <c r="R549" t="s">
        <v>1235</v>
      </c>
      <c r="S549" s="1">
        <v>45536</v>
      </c>
      <c r="T549" s="1">
        <v>45945</v>
      </c>
      <c r="U549" t="s">
        <v>51</v>
      </c>
      <c r="V549">
        <v>1</v>
      </c>
      <c r="W549" s="1">
        <v>45916</v>
      </c>
      <c r="X549" t="s">
        <v>52</v>
      </c>
      <c r="Y549" s="2">
        <v>1</v>
      </c>
      <c r="Z549" s="2">
        <v>1</v>
      </c>
      <c r="AB549" s="3">
        <v>1</v>
      </c>
      <c r="AC549" s="2">
        <v>36.479999999999997</v>
      </c>
      <c r="AG549" s="2">
        <v>0</v>
      </c>
      <c r="AH549" s="2">
        <v>36.479999999999997</v>
      </c>
      <c r="AI549" s="2">
        <v>0</v>
      </c>
      <c r="AK549">
        <v>5796273</v>
      </c>
      <c r="AL549" t="s">
        <v>1207</v>
      </c>
    </row>
    <row r="550" spans="1:38" x14ac:dyDescent="0.25">
      <c r="A550" s="1">
        <v>45918</v>
      </c>
      <c r="B550" s="1">
        <v>45915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1253</v>
      </c>
      <c r="J550" t="s">
        <v>1254</v>
      </c>
      <c r="M550" t="s">
        <v>406</v>
      </c>
      <c r="O550" t="s">
        <v>811</v>
      </c>
      <c r="P550" t="s">
        <v>812</v>
      </c>
      <c r="Q550" t="s">
        <v>49</v>
      </c>
      <c r="R550" t="s">
        <v>1255</v>
      </c>
      <c r="S550" s="1">
        <v>45566</v>
      </c>
      <c r="T550" s="1">
        <v>45945</v>
      </c>
      <c r="U550" t="s">
        <v>51</v>
      </c>
      <c r="V550">
        <v>1</v>
      </c>
      <c r="W550" s="1">
        <v>45916</v>
      </c>
      <c r="X550" t="s">
        <v>52</v>
      </c>
      <c r="Y550" s="2">
        <v>1</v>
      </c>
      <c r="Z550" s="2">
        <v>1</v>
      </c>
      <c r="AB550" s="3">
        <v>1</v>
      </c>
      <c r="AC550" s="2">
        <v>25.98</v>
      </c>
      <c r="AG550" s="2">
        <v>0</v>
      </c>
      <c r="AH550" s="2">
        <v>25.98</v>
      </c>
      <c r="AI550" s="2">
        <v>0</v>
      </c>
      <c r="AK550">
        <v>5796274</v>
      </c>
      <c r="AL550" t="s">
        <v>1207</v>
      </c>
    </row>
    <row r="551" spans="1:38" x14ac:dyDescent="0.25">
      <c r="A551" s="1">
        <v>45918</v>
      </c>
      <c r="B551" s="1">
        <v>45915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1256</v>
      </c>
      <c r="J551" t="s">
        <v>1257</v>
      </c>
      <c r="M551" t="s">
        <v>401</v>
      </c>
      <c r="O551" t="s">
        <v>298</v>
      </c>
      <c r="P551" t="s">
        <v>299</v>
      </c>
      <c r="Q551" t="s">
        <v>49</v>
      </c>
      <c r="R551" t="s">
        <v>1232</v>
      </c>
      <c r="S551" s="1">
        <v>45536</v>
      </c>
      <c r="T551" s="1">
        <v>45945</v>
      </c>
      <c r="U551" t="s">
        <v>51</v>
      </c>
      <c r="V551">
        <v>1</v>
      </c>
      <c r="W551" s="1">
        <v>45916</v>
      </c>
      <c r="X551" t="s">
        <v>52</v>
      </c>
      <c r="Y551" s="2">
        <v>1</v>
      </c>
      <c r="Z551" s="2">
        <v>1</v>
      </c>
      <c r="AB551" s="3">
        <v>1</v>
      </c>
      <c r="AC551" s="2">
        <v>31.98</v>
      </c>
      <c r="AG551" s="2">
        <v>0</v>
      </c>
      <c r="AH551" s="2">
        <v>31.98</v>
      </c>
      <c r="AI551" s="2">
        <v>0</v>
      </c>
      <c r="AK551">
        <v>5796275</v>
      </c>
      <c r="AL551" t="s">
        <v>1207</v>
      </c>
    </row>
    <row r="552" spans="1:38" x14ac:dyDescent="0.25">
      <c r="A552" s="1">
        <v>45918</v>
      </c>
      <c r="B552" s="1">
        <v>45915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1258</v>
      </c>
      <c r="J552" t="s">
        <v>1259</v>
      </c>
      <c r="M552" t="s">
        <v>401</v>
      </c>
      <c r="O552" t="s">
        <v>153</v>
      </c>
      <c r="P552" t="s">
        <v>154</v>
      </c>
      <c r="Q552" t="s">
        <v>49</v>
      </c>
      <c r="R552" t="s">
        <v>1232</v>
      </c>
      <c r="S552" s="1">
        <v>45597</v>
      </c>
      <c r="T552" s="1">
        <v>45945</v>
      </c>
      <c r="U552" t="s">
        <v>51</v>
      </c>
      <c r="V552">
        <v>1</v>
      </c>
      <c r="W552" s="1">
        <v>45916</v>
      </c>
      <c r="X552" t="s">
        <v>52</v>
      </c>
      <c r="Y552" s="2">
        <v>1</v>
      </c>
      <c r="Z552" s="2">
        <v>1</v>
      </c>
      <c r="AB552" s="3">
        <v>1</v>
      </c>
      <c r="AC552" s="2">
        <v>31.98</v>
      </c>
      <c r="AG552" s="2">
        <v>0</v>
      </c>
      <c r="AH552" s="2">
        <v>31.98</v>
      </c>
      <c r="AI552" s="2">
        <v>0</v>
      </c>
      <c r="AK552">
        <v>5796276</v>
      </c>
      <c r="AL552" t="s">
        <v>1207</v>
      </c>
    </row>
    <row r="553" spans="1:38" x14ac:dyDescent="0.25">
      <c r="A553" s="1">
        <v>45918</v>
      </c>
      <c r="B553" s="1">
        <v>45915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1260</v>
      </c>
      <c r="J553" t="s">
        <v>1261</v>
      </c>
      <c r="M553" t="s">
        <v>406</v>
      </c>
      <c r="O553" t="s">
        <v>815</v>
      </c>
      <c r="P553" t="s">
        <v>816</v>
      </c>
      <c r="Q553" t="s">
        <v>49</v>
      </c>
      <c r="R553" t="s">
        <v>1216</v>
      </c>
      <c r="S553" s="1">
        <v>45566</v>
      </c>
      <c r="T553" s="1">
        <v>45945</v>
      </c>
      <c r="U553" t="s">
        <v>51</v>
      </c>
      <c r="V553">
        <v>1</v>
      </c>
      <c r="W553" s="1">
        <v>45916</v>
      </c>
      <c r="X553" t="s">
        <v>52</v>
      </c>
      <c r="Y553" s="2">
        <v>1</v>
      </c>
      <c r="Z553" s="2">
        <v>1</v>
      </c>
      <c r="AB553" s="3">
        <v>1</v>
      </c>
      <c r="AC553" s="2">
        <v>37.5</v>
      </c>
      <c r="AG553" s="2">
        <v>0</v>
      </c>
      <c r="AH553" s="2">
        <v>37.5</v>
      </c>
      <c r="AI553" s="2">
        <v>0</v>
      </c>
      <c r="AK553">
        <v>5796277</v>
      </c>
      <c r="AL553" t="s">
        <v>1207</v>
      </c>
    </row>
    <row r="554" spans="1:38" x14ac:dyDescent="0.25">
      <c r="A554" s="1">
        <v>45918</v>
      </c>
      <c r="B554" s="1">
        <v>45915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1262</v>
      </c>
      <c r="J554" t="s">
        <v>1263</v>
      </c>
      <c r="M554" t="s">
        <v>401</v>
      </c>
      <c r="O554" t="s">
        <v>298</v>
      </c>
      <c r="P554" t="s">
        <v>299</v>
      </c>
      <c r="Q554" t="s">
        <v>49</v>
      </c>
      <c r="R554" t="s">
        <v>1232</v>
      </c>
      <c r="S554" s="1">
        <v>45597</v>
      </c>
      <c r="T554" s="1">
        <v>45945</v>
      </c>
      <c r="U554" t="s">
        <v>51</v>
      </c>
      <c r="V554">
        <v>1</v>
      </c>
      <c r="W554" s="1">
        <v>45916</v>
      </c>
      <c r="X554" t="s">
        <v>52</v>
      </c>
      <c r="Y554" s="2">
        <v>1</v>
      </c>
      <c r="Z554" s="2">
        <v>1</v>
      </c>
      <c r="AB554" s="3">
        <v>1</v>
      </c>
      <c r="AC554" s="2">
        <v>31.98</v>
      </c>
      <c r="AG554" s="2">
        <v>0</v>
      </c>
      <c r="AH554" s="2">
        <v>31.98</v>
      </c>
      <c r="AI554" s="2">
        <v>0</v>
      </c>
      <c r="AK554">
        <v>5796278</v>
      </c>
      <c r="AL554" t="s">
        <v>1207</v>
      </c>
    </row>
    <row r="555" spans="1:38" x14ac:dyDescent="0.25">
      <c r="A555" s="1">
        <v>45918</v>
      </c>
      <c r="B555" s="1">
        <v>45915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1264</v>
      </c>
      <c r="J555" t="s">
        <v>1265</v>
      </c>
      <c r="M555" t="s">
        <v>401</v>
      </c>
      <c r="O555" t="s">
        <v>298</v>
      </c>
      <c r="P555" t="s">
        <v>299</v>
      </c>
      <c r="Q555" t="s">
        <v>49</v>
      </c>
      <c r="R555" t="s">
        <v>1232</v>
      </c>
      <c r="S555" s="1">
        <v>45597</v>
      </c>
      <c r="T555" s="1">
        <v>45945</v>
      </c>
      <c r="U555" t="s">
        <v>51</v>
      </c>
      <c r="V555">
        <v>1</v>
      </c>
      <c r="W555" s="1">
        <v>45916</v>
      </c>
      <c r="X555" t="s">
        <v>52</v>
      </c>
      <c r="Y555" s="2">
        <v>1</v>
      </c>
      <c r="Z555" s="2">
        <v>1</v>
      </c>
      <c r="AB555" s="3">
        <v>1</v>
      </c>
      <c r="AC555" s="2">
        <v>31.98</v>
      </c>
      <c r="AG555" s="2">
        <v>0</v>
      </c>
      <c r="AH555" s="2">
        <v>31.98</v>
      </c>
      <c r="AI555" s="2">
        <v>0</v>
      </c>
      <c r="AK555">
        <v>5796279</v>
      </c>
      <c r="AL555" t="s">
        <v>1207</v>
      </c>
    </row>
    <row r="556" spans="1:38" x14ac:dyDescent="0.25">
      <c r="A556" s="1">
        <v>45918</v>
      </c>
      <c r="B556" s="1">
        <v>45915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1266</v>
      </c>
      <c r="J556" t="s">
        <v>1267</v>
      </c>
      <c r="M556" t="s">
        <v>557</v>
      </c>
      <c r="O556" t="s">
        <v>106</v>
      </c>
      <c r="P556" t="s">
        <v>107</v>
      </c>
      <c r="Q556" t="s">
        <v>49</v>
      </c>
      <c r="R556" t="s">
        <v>1226</v>
      </c>
      <c r="S556" s="1">
        <v>45566</v>
      </c>
      <c r="T556" s="1">
        <v>45945</v>
      </c>
      <c r="U556" t="s">
        <v>51</v>
      </c>
      <c r="V556">
        <v>1</v>
      </c>
      <c r="W556" s="1">
        <v>45916</v>
      </c>
      <c r="X556" t="s">
        <v>52</v>
      </c>
      <c r="Y556" s="2">
        <v>1</v>
      </c>
      <c r="Z556" s="2">
        <v>1</v>
      </c>
      <c r="AB556" s="3">
        <v>1</v>
      </c>
      <c r="AC556" s="2">
        <v>44.31</v>
      </c>
      <c r="AG556" s="2">
        <v>0</v>
      </c>
      <c r="AH556" s="2">
        <v>44.31</v>
      </c>
      <c r="AI556" s="2">
        <v>0</v>
      </c>
      <c r="AK556">
        <v>5796280</v>
      </c>
      <c r="AL556" t="s">
        <v>1207</v>
      </c>
    </row>
    <row r="557" spans="1:38" x14ac:dyDescent="0.25">
      <c r="A557" s="1">
        <v>45918</v>
      </c>
      <c r="B557" s="1">
        <v>45915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1268</v>
      </c>
      <c r="J557" t="s">
        <v>1269</v>
      </c>
      <c r="M557" t="s">
        <v>401</v>
      </c>
      <c r="O557" t="s">
        <v>74</v>
      </c>
      <c r="P557" t="s">
        <v>75</v>
      </c>
      <c r="Q557" t="s">
        <v>49</v>
      </c>
      <c r="R557" t="s">
        <v>1232</v>
      </c>
      <c r="S557" s="1">
        <v>45597</v>
      </c>
      <c r="T557" s="1">
        <v>45945</v>
      </c>
      <c r="U557" t="s">
        <v>51</v>
      </c>
      <c r="V557">
        <v>1</v>
      </c>
      <c r="W557" s="1">
        <v>45916</v>
      </c>
      <c r="X557" t="s">
        <v>52</v>
      </c>
      <c r="Y557" s="2">
        <v>1</v>
      </c>
      <c r="Z557" s="2">
        <v>1</v>
      </c>
      <c r="AB557" s="3">
        <v>1</v>
      </c>
      <c r="AC557" s="2">
        <v>31.98</v>
      </c>
      <c r="AG557" s="2">
        <v>0</v>
      </c>
      <c r="AH557" s="2">
        <v>31.98</v>
      </c>
      <c r="AI557" s="2">
        <v>0</v>
      </c>
      <c r="AK557">
        <v>5796281</v>
      </c>
      <c r="AL557" t="s">
        <v>1207</v>
      </c>
    </row>
    <row r="558" spans="1:38" x14ac:dyDescent="0.25">
      <c r="A558" s="1">
        <v>45918</v>
      </c>
      <c r="B558" s="1">
        <v>45915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1270</v>
      </c>
      <c r="J558" t="s">
        <v>1271</v>
      </c>
      <c r="M558" t="s">
        <v>401</v>
      </c>
      <c r="O558" t="s">
        <v>298</v>
      </c>
      <c r="P558" t="s">
        <v>299</v>
      </c>
      <c r="Q558" t="s">
        <v>49</v>
      </c>
      <c r="R558" t="s">
        <v>1232</v>
      </c>
      <c r="S558" s="1">
        <v>45597</v>
      </c>
      <c r="T558" s="1">
        <v>45945</v>
      </c>
      <c r="U558" t="s">
        <v>51</v>
      </c>
      <c r="V558">
        <v>1</v>
      </c>
      <c r="W558" s="1">
        <v>45916</v>
      </c>
      <c r="X558" t="s">
        <v>52</v>
      </c>
      <c r="Y558" s="2">
        <v>1</v>
      </c>
      <c r="Z558" s="2">
        <v>1</v>
      </c>
      <c r="AB558" s="3">
        <v>1</v>
      </c>
      <c r="AC558" s="2">
        <v>31.98</v>
      </c>
      <c r="AG558" s="2">
        <v>0</v>
      </c>
      <c r="AH558" s="2">
        <v>31.98</v>
      </c>
      <c r="AI558" s="2">
        <v>0</v>
      </c>
      <c r="AK558">
        <v>5796282</v>
      </c>
      <c r="AL558" t="s">
        <v>1207</v>
      </c>
    </row>
    <row r="559" spans="1:38" x14ac:dyDescent="0.25">
      <c r="A559" s="1">
        <v>45918</v>
      </c>
      <c r="B559" s="1">
        <v>45915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1272</v>
      </c>
      <c r="J559" t="s">
        <v>1273</v>
      </c>
      <c r="M559" t="s">
        <v>401</v>
      </c>
      <c r="O559" t="s">
        <v>298</v>
      </c>
      <c r="P559" t="s">
        <v>299</v>
      </c>
      <c r="Q559" t="s">
        <v>49</v>
      </c>
      <c r="R559" t="s">
        <v>1232</v>
      </c>
      <c r="S559" s="1">
        <v>45597</v>
      </c>
      <c r="T559" s="1">
        <v>45945</v>
      </c>
      <c r="U559" t="s">
        <v>51</v>
      </c>
      <c r="V559">
        <v>1</v>
      </c>
      <c r="W559" s="1">
        <v>45916</v>
      </c>
      <c r="X559" t="s">
        <v>52</v>
      </c>
      <c r="Y559" s="2">
        <v>1</v>
      </c>
      <c r="Z559" s="2">
        <v>1</v>
      </c>
      <c r="AB559" s="3">
        <v>1</v>
      </c>
      <c r="AC559" s="2">
        <v>31.98</v>
      </c>
      <c r="AG559" s="2">
        <v>0</v>
      </c>
      <c r="AH559" s="2">
        <v>31.98</v>
      </c>
      <c r="AI559" s="2">
        <v>0</v>
      </c>
      <c r="AK559">
        <v>5796283</v>
      </c>
      <c r="AL559" t="s">
        <v>1207</v>
      </c>
    </row>
    <row r="560" spans="1:38" x14ac:dyDescent="0.25">
      <c r="A560" s="1">
        <v>45918</v>
      </c>
      <c r="B560" s="1">
        <v>45915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1274</v>
      </c>
      <c r="J560" t="s">
        <v>1275</v>
      </c>
      <c r="M560" t="s">
        <v>401</v>
      </c>
      <c r="O560" t="s">
        <v>298</v>
      </c>
      <c r="P560" t="s">
        <v>299</v>
      </c>
      <c r="Q560" t="s">
        <v>49</v>
      </c>
      <c r="R560" t="s">
        <v>1232</v>
      </c>
      <c r="S560" s="1">
        <v>45597</v>
      </c>
      <c r="T560" s="1">
        <v>45945</v>
      </c>
      <c r="U560" t="s">
        <v>51</v>
      </c>
      <c r="V560">
        <v>1</v>
      </c>
      <c r="W560" s="1">
        <v>45916</v>
      </c>
      <c r="X560" t="s">
        <v>52</v>
      </c>
      <c r="Y560" s="2">
        <v>1</v>
      </c>
      <c r="Z560" s="2">
        <v>1</v>
      </c>
      <c r="AB560" s="3">
        <v>1</v>
      </c>
      <c r="AC560" s="2">
        <v>31.98</v>
      </c>
      <c r="AG560" s="2">
        <v>0</v>
      </c>
      <c r="AH560" s="2">
        <v>31.98</v>
      </c>
      <c r="AI560" s="2">
        <v>0</v>
      </c>
      <c r="AK560">
        <v>5796284</v>
      </c>
      <c r="AL560" t="s">
        <v>1207</v>
      </c>
    </row>
    <row r="561" spans="1:38" x14ac:dyDescent="0.25">
      <c r="A561" s="1">
        <v>45918</v>
      </c>
      <c r="B561" s="1">
        <v>45915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1276</v>
      </c>
      <c r="J561" t="s">
        <v>1277</v>
      </c>
      <c r="M561" t="s">
        <v>401</v>
      </c>
      <c r="O561" t="s">
        <v>298</v>
      </c>
      <c r="P561" t="s">
        <v>299</v>
      </c>
      <c r="Q561" t="s">
        <v>49</v>
      </c>
      <c r="R561" t="s">
        <v>1232</v>
      </c>
      <c r="S561" s="1">
        <v>45597</v>
      </c>
      <c r="T561" s="1">
        <v>45945</v>
      </c>
      <c r="U561" t="s">
        <v>51</v>
      </c>
      <c r="V561">
        <v>1</v>
      </c>
      <c r="W561" s="1">
        <v>45916</v>
      </c>
      <c r="X561" t="s">
        <v>52</v>
      </c>
      <c r="Y561" s="2">
        <v>1</v>
      </c>
      <c r="Z561" s="2">
        <v>1</v>
      </c>
      <c r="AB561" s="3">
        <v>1</v>
      </c>
      <c r="AC561" s="2">
        <v>31.98</v>
      </c>
      <c r="AG561" s="2">
        <v>0</v>
      </c>
      <c r="AH561" s="2">
        <v>31.98</v>
      </c>
      <c r="AI561" s="2">
        <v>0</v>
      </c>
      <c r="AK561">
        <v>5796285</v>
      </c>
      <c r="AL561" t="s">
        <v>1207</v>
      </c>
    </row>
    <row r="565" spans="1:38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t="s">
        <v>7</v>
      </c>
      <c r="I565" t="s">
        <v>8</v>
      </c>
      <c r="J565" t="s">
        <v>9</v>
      </c>
      <c r="K565" t="s">
        <v>10</v>
      </c>
      <c r="L565" t="s">
        <v>11</v>
      </c>
      <c r="M565" t="s">
        <v>12</v>
      </c>
      <c r="N565" t="s">
        <v>13</v>
      </c>
      <c r="O565" t="s">
        <v>14</v>
      </c>
      <c r="P565" t="s">
        <v>15</v>
      </c>
      <c r="Q565" t="s">
        <v>16</v>
      </c>
      <c r="R565" t="s">
        <v>17</v>
      </c>
      <c r="S565" t="s">
        <v>18</v>
      </c>
      <c r="T565" t="s">
        <v>19</v>
      </c>
      <c r="U565" t="s">
        <v>20</v>
      </c>
      <c r="V565" t="s">
        <v>21</v>
      </c>
      <c r="W565" t="s">
        <v>22</v>
      </c>
      <c r="X565" t="s">
        <v>23</v>
      </c>
      <c r="Y565" t="s">
        <v>24</v>
      </c>
      <c r="Z565" t="s">
        <v>25</v>
      </c>
      <c r="AA565" t="s">
        <v>26</v>
      </c>
      <c r="AB565" t="s">
        <v>27</v>
      </c>
      <c r="AC565" t="s">
        <v>28</v>
      </c>
      <c r="AD565" t="s">
        <v>29</v>
      </c>
      <c r="AE565" t="s">
        <v>30</v>
      </c>
      <c r="AF565" t="s">
        <v>31</v>
      </c>
      <c r="AG565" t="s">
        <v>32</v>
      </c>
      <c r="AH565" t="s">
        <v>33</v>
      </c>
      <c r="AI565" t="s">
        <v>34</v>
      </c>
      <c r="AJ565" t="s">
        <v>35</v>
      </c>
      <c r="AK565" t="s">
        <v>36</v>
      </c>
      <c r="AL565" t="s">
        <v>37</v>
      </c>
    </row>
    <row r="566" spans="1:38" x14ac:dyDescent="0.25">
      <c r="A566" s="1">
        <v>45924</v>
      </c>
      <c r="B566" s="1">
        <v>45924</v>
      </c>
      <c r="C566" t="s">
        <v>1278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1282</v>
      </c>
      <c r="J566" t="s">
        <v>1283</v>
      </c>
      <c r="M566" t="s">
        <v>401</v>
      </c>
      <c r="O566" t="s">
        <v>87</v>
      </c>
      <c r="P566" t="s">
        <v>88</v>
      </c>
      <c r="Q566" t="s">
        <v>49</v>
      </c>
      <c r="R566" t="s">
        <v>59</v>
      </c>
      <c r="S566" s="1">
        <v>45931</v>
      </c>
      <c r="U566" t="s">
        <v>51</v>
      </c>
      <c r="X566" t="s">
        <v>52</v>
      </c>
      <c r="Y566" s="2">
        <v>0</v>
      </c>
      <c r="Z566" s="2">
        <v>108</v>
      </c>
      <c r="AA566">
        <v>1</v>
      </c>
      <c r="AB566" s="3">
        <v>1</v>
      </c>
      <c r="AC566" s="2">
        <v>108</v>
      </c>
      <c r="AD566" s="3">
        <v>0</v>
      </c>
      <c r="AE566" s="2">
        <v>0</v>
      </c>
      <c r="AF566" s="2">
        <v>108</v>
      </c>
      <c r="AK566">
        <v>5867284</v>
      </c>
    </row>
    <row r="567" spans="1:38" x14ac:dyDescent="0.25">
      <c r="A567" s="1">
        <v>45924</v>
      </c>
      <c r="B567" s="1">
        <v>45924</v>
      </c>
      <c r="C567" t="s">
        <v>1278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1284</v>
      </c>
      <c r="J567" t="s">
        <v>1285</v>
      </c>
      <c r="M567" t="s">
        <v>401</v>
      </c>
      <c r="O567" t="s">
        <v>74</v>
      </c>
      <c r="P567" t="s">
        <v>75</v>
      </c>
      <c r="Q567" t="s">
        <v>49</v>
      </c>
      <c r="R567" t="s">
        <v>50</v>
      </c>
      <c r="S567" s="1">
        <v>45931</v>
      </c>
      <c r="U567" t="s">
        <v>51</v>
      </c>
      <c r="X567" t="s">
        <v>52</v>
      </c>
      <c r="Y567" s="2">
        <v>0</v>
      </c>
      <c r="Z567" s="2">
        <v>175</v>
      </c>
      <c r="AA567">
        <v>1</v>
      </c>
      <c r="AB567" s="3">
        <v>1</v>
      </c>
      <c r="AC567" s="2">
        <v>175</v>
      </c>
      <c r="AD567" s="3">
        <v>0</v>
      </c>
      <c r="AE567" s="2">
        <v>0</v>
      </c>
      <c r="AF567" s="2">
        <v>175</v>
      </c>
      <c r="AK567">
        <v>5867344</v>
      </c>
    </row>
    <row r="568" spans="1:38" x14ac:dyDescent="0.25">
      <c r="A568" s="1">
        <v>45924</v>
      </c>
      <c r="B568" s="1">
        <v>45924</v>
      </c>
      <c r="C568" t="s">
        <v>1278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1286</v>
      </c>
      <c r="J568" t="s">
        <v>1287</v>
      </c>
      <c r="M568" t="s">
        <v>406</v>
      </c>
      <c r="O568" t="s">
        <v>811</v>
      </c>
      <c r="P568" t="s">
        <v>812</v>
      </c>
      <c r="Q568" t="s">
        <v>49</v>
      </c>
      <c r="R568" t="s">
        <v>50</v>
      </c>
      <c r="S568" s="1">
        <v>45931</v>
      </c>
      <c r="U568" t="s">
        <v>51</v>
      </c>
      <c r="X568" t="s">
        <v>52</v>
      </c>
      <c r="Y568" s="2">
        <v>0</v>
      </c>
      <c r="Z568" s="2">
        <v>175</v>
      </c>
      <c r="AA568">
        <v>1</v>
      </c>
      <c r="AB568" s="3">
        <v>1</v>
      </c>
      <c r="AC568" s="2">
        <v>175</v>
      </c>
      <c r="AD568" s="3">
        <v>0</v>
      </c>
      <c r="AE568" s="2">
        <v>0</v>
      </c>
      <c r="AF568" s="2">
        <v>175</v>
      </c>
      <c r="AK568">
        <v>5867360</v>
      </c>
    </row>
    <row r="569" spans="1:38" x14ac:dyDescent="0.25">
      <c r="A569" s="1">
        <v>45924</v>
      </c>
      <c r="B569" s="1">
        <v>45924</v>
      </c>
      <c r="C569" t="s">
        <v>1278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1288</v>
      </c>
      <c r="J569" t="s">
        <v>1289</v>
      </c>
      <c r="M569" t="s">
        <v>806</v>
      </c>
      <c r="O569" t="s">
        <v>1290</v>
      </c>
      <c r="P569" t="s">
        <v>1291</v>
      </c>
      <c r="Q569" t="s">
        <v>49</v>
      </c>
      <c r="R569" t="s">
        <v>1292</v>
      </c>
      <c r="S569" s="1">
        <v>45992</v>
      </c>
      <c r="U569" t="s">
        <v>51</v>
      </c>
      <c r="X569" t="s">
        <v>52</v>
      </c>
      <c r="Y569" s="2">
        <v>0</v>
      </c>
      <c r="Z569" s="2">
        <v>15</v>
      </c>
      <c r="AA569">
        <v>1</v>
      </c>
      <c r="AB569" s="3">
        <v>1</v>
      </c>
      <c r="AC569" s="2">
        <v>15</v>
      </c>
      <c r="AD569" s="3">
        <v>0</v>
      </c>
      <c r="AE569" s="2">
        <v>0</v>
      </c>
      <c r="AF569" s="2">
        <v>15</v>
      </c>
      <c r="AK569">
        <v>5867266</v>
      </c>
    </row>
    <row r="570" spans="1:38" x14ac:dyDescent="0.25">
      <c r="A570" s="1">
        <v>45924</v>
      </c>
      <c r="B570" s="1">
        <v>45924</v>
      </c>
      <c r="C570" t="s">
        <v>1278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1293</v>
      </c>
      <c r="J570" t="s">
        <v>1294</v>
      </c>
      <c r="M570" t="s">
        <v>806</v>
      </c>
      <c r="O570" t="s">
        <v>1290</v>
      </c>
      <c r="P570" t="s">
        <v>1291</v>
      </c>
      <c r="Q570" t="s">
        <v>49</v>
      </c>
      <c r="R570" t="s">
        <v>1292</v>
      </c>
      <c r="S570" s="1">
        <v>45992</v>
      </c>
      <c r="U570" t="s">
        <v>51</v>
      </c>
      <c r="X570" t="s">
        <v>52</v>
      </c>
      <c r="Y570" s="2">
        <v>0</v>
      </c>
      <c r="Z570" s="2">
        <v>15</v>
      </c>
      <c r="AA570">
        <v>1</v>
      </c>
      <c r="AB570" s="3">
        <v>1</v>
      </c>
      <c r="AC570" s="2">
        <v>15</v>
      </c>
      <c r="AD570" s="3">
        <v>0</v>
      </c>
      <c r="AE570" s="2">
        <v>0</v>
      </c>
      <c r="AF570" s="2">
        <v>15</v>
      </c>
      <c r="AK570">
        <v>5867267</v>
      </c>
    </row>
    <row r="571" spans="1:38" x14ac:dyDescent="0.25">
      <c r="A571" s="1">
        <v>45924</v>
      </c>
      <c r="B571" s="1">
        <v>45924</v>
      </c>
      <c r="C571" t="s">
        <v>1278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1295</v>
      </c>
      <c r="J571" t="s">
        <v>1296</v>
      </c>
      <c r="M571" t="s">
        <v>1297</v>
      </c>
      <c r="O571" t="s">
        <v>106</v>
      </c>
      <c r="P571" t="s">
        <v>107</v>
      </c>
      <c r="Q571" t="s">
        <v>49</v>
      </c>
      <c r="R571" t="s">
        <v>50</v>
      </c>
      <c r="S571" s="1">
        <v>45992</v>
      </c>
      <c r="U571" t="s">
        <v>51</v>
      </c>
      <c r="X571" t="s">
        <v>52</v>
      </c>
      <c r="Y571" s="2">
        <v>0</v>
      </c>
      <c r="Z571" s="2">
        <v>175</v>
      </c>
      <c r="AA571">
        <v>1</v>
      </c>
      <c r="AB571" s="3">
        <v>1</v>
      </c>
      <c r="AC571" s="2">
        <v>175</v>
      </c>
      <c r="AD571" s="3">
        <v>0</v>
      </c>
      <c r="AE571" s="2">
        <v>0</v>
      </c>
      <c r="AF571" s="2">
        <v>175</v>
      </c>
      <c r="AK571">
        <v>5867381</v>
      </c>
    </row>
    <row r="572" spans="1:38" x14ac:dyDescent="0.25">
      <c r="A572" s="1">
        <v>45924</v>
      </c>
      <c r="B572" s="1">
        <v>45924</v>
      </c>
      <c r="C572" t="s">
        <v>1278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1298</v>
      </c>
      <c r="J572" t="s">
        <v>1299</v>
      </c>
      <c r="M572" t="s">
        <v>401</v>
      </c>
      <c r="O572" t="s">
        <v>66</v>
      </c>
      <c r="P572" t="s">
        <v>67</v>
      </c>
      <c r="Q572" t="s">
        <v>49</v>
      </c>
      <c r="R572" t="s">
        <v>50</v>
      </c>
      <c r="S572" s="1">
        <v>45931</v>
      </c>
      <c r="U572" t="s">
        <v>51</v>
      </c>
      <c r="X572" t="s">
        <v>52</v>
      </c>
      <c r="Y572" s="2">
        <v>0</v>
      </c>
      <c r="Z572" s="2">
        <v>175</v>
      </c>
      <c r="AA572">
        <v>1</v>
      </c>
      <c r="AB572" s="3">
        <v>1</v>
      </c>
      <c r="AC572" s="2">
        <v>175</v>
      </c>
      <c r="AD572" s="3">
        <v>0</v>
      </c>
      <c r="AE572" s="2">
        <v>0</v>
      </c>
      <c r="AF572" s="2">
        <v>175</v>
      </c>
      <c r="AK572">
        <v>5867384</v>
      </c>
    </row>
    <row r="573" spans="1:38" x14ac:dyDescent="0.25">
      <c r="A573" s="1">
        <v>45924</v>
      </c>
      <c r="B573" s="1">
        <v>45924</v>
      </c>
      <c r="C573" t="s">
        <v>1278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1300</v>
      </c>
      <c r="J573" t="s">
        <v>1301</v>
      </c>
      <c r="M573" t="s">
        <v>849</v>
      </c>
      <c r="O573" t="s">
        <v>100</v>
      </c>
      <c r="P573" t="s">
        <v>101</v>
      </c>
      <c r="Q573" t="s">
        <v>49</v>
      </c>
      <c r="R573" t="s">
        <v>50</v>
      </c>
      <c r="S573" s="1">
        <v>45992</v>
      </c>
      <c r="U573" t="s">
        <v>51</v>
      </c>
      <c r="X573" t="s">
        <v>52</v>
      </c>
      <c r="Y573" s="2">
        <v>0</v>
      </c>
      <c r="Z573" s="2">
        <v>175</v>
      </c>
      <c r="AA573">
        <v>1</v>
      </c>
      <c r="AB573" s="3">
        <v>1</v>
      </c>
      <c r="AC573" s="2">
        <v>175</v>
      </c>
      <c r="AD573" s="3">
        <v>0</v>
      </c>
      <c r="AE573" s="2">
        <v>0</v>
      </c>
      <c r="AF573" s="2">
        <v>175</v>
      </c>
      <c r="AK573">
        <v>5867386</v>
      </c>
    </row>
    <row r="574" spans="1:38" x14ac:dyDescent="0.25">
      <c r="A574" s="1">
        <v>45924</v>
      </c>
      <c r="B574" s="1">
        <v>45924</v>
      </c>
      <c r="C574" t="s">
        <v>1278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1302</v>
      </c>
      <c r="J574" t="s">
        <v>1303</v>
      </c>
      <c r="M574" t="s">
        <v>978</v>
      </c>
      <c r="O574" t="s">
        <v>888</v>
      </c>
      <c r="P574" t="s">
        <v>889</v>
      </c>
      <c r="Q574" t="s">
        <v>49</v>
      </c>
      <c r="R574" t="s">
        <v>50</v>
      </c>
      <c r="S574" s="1">
        <v>45931</v>
      </c>
      <c r="U574" t="s">
        <v>51</v>
      </c>
      <c r="X574" t="s">
        <v>52</v>
      </c>
      <c r="Y574" s="2">
        <v>0</v>
      </c>
      <c r="Z574" s="2">
        <v>175</v>
      </c>
      <c r="AA574">
        <v>1</v>
      </c>
      <c r="AB574" s="3">
        <v>1</v>
      </c>
      <c r="AC574" s="2">
        <v>175</v>
      </c>
      <c r="AD574" s="3">
        <v>0</v>
      </c>
      <c r="AE574" s="2">
        <v>0</v>
      </c>
      <c r="AF574" s="2">
        <v>175</v>
      </c>
      <c r="AK574">
        <v>5867390</v>
      </c>
    </row>
    <row r="575" spans="1:38" x14ac:dyDescent="0.25">
      <c r="A575" s="1">
        <v>45924</v>
      </c>
      <c r="B575" s="1">
        <v>45924</v>
      </c>
      <c r="C575" t="s">
        <v>1278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1304</v>
      </c>
      <c r="J575" t="s">
        <v>1305</v>
      </c>
      <c r="M575" t="s">
        <v>401</v>
      </c>
      <c r="O575" t="s">
        <v>74</v>
      </c>
      <c r="P575" t="s">
        <v>75</v>
      </c>
      <c r="Q575" t="s">
        <v>49</v>
      </c>
      <c r="R575" t="s">
        <v>50</v>
      </c>
      <c r="S575" s="1">
        <v>45931</v>
      </c>
      <c r="U575" t="s">
        <v>51</v>
      </c>
      <c r="X575" t="s">
        <v>52</v>
      </c>
      <c r="Y575" s="2">
        <v>0</v>
      </c>
      <c r="Z575" s="2">
        <v>175</v>
      </c>
      <c r="AA575">
        <v>1</v>
      </c>
      <c r="AB575" s="3">
        <v>1</v>
      </c>
      <c r="AC575" s="2">
        <v>175</v>
      </c>
      <c r="AD575" s="3">
        <v>0</v>
      </c>
      <c r="AE575" s="2">
        <v>0</v>
      </c>
      <c r="AF575" s="2">
        <v>175</v>
      </c>
      <c r="AK575">
        <v>5867407</v>
      </c>
    </row>
    <row r="576" spans="1:38" x14ac:dyDescent="0.25">
      <c r="A576" s="1">
        <v>45924</v>
      </c>
      <c r="B576" s="1">
        <v>45924</v>
      </c>
      <c r="C576" t="s">
        <v>1278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1306</v>
      </c>
      <c r="J576" t="s">
        <v>1307</v>
      </c>
      <c r="M576" t="s">
        <v>401</v>
      </c>
      <c r="O576" t="s">
        <v>62</v>
      </c>
      <c r="P576" t="s">
        <v>63</v>
      </c>
      <c r="Q576" t="s">
        <v>49</v>
      </c>
      <c r="R576" t="s">
        <v>50</v>
      </c>
      <c r="S576" s="1">
        <v>45962</v>
      </c>
      <c r="U576" t="s">
        <v>51</v>
      </c>
      <c r="X576" t="s">
        <v>52</v>
      </c>
      <c r="Y576" s="2">
        <v>0</v>
      </c>
      <c r="Z576" s="2">
        <v>175</v>
      </c>
      <c r="AA576">
        <v>1</v>
      </c>
      <c r="AB576" s="3">
        <v>1</v>
      </c>
      <c r="AC576" s="2">
        <v>175</v>
      </c>
      <c r="AD576" s="3">
        <v>0</v>
      </c>
      <c r="AE576" s="2">
        <v>0</v>
      </c>
      <c r="AF576" s="2">
        <v>175</v>
      </c>
      <c r="AK576">
        <v>5867408</v>
      </c>
    </row>
    <row r="577" spans="1:38" x14ac:dyDescent="0.25">
      <c r="A577" s="1">
        <v>45924</v>
      </c>
      <c r="B577" s="1">
        <v>45924</v>
      </c>
      <c r="C577" t="s">
        <v>1278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1308</v>
      </c>
      <c r="J577" t="s">
        <v>1309</v>
      </c>
      <c r="M577" t="s">
        <v>401</v>
      </c>
      <c r="O577" t="s">
        <v>972</v>
      </c>
      <c r="P577" t="s">
        <v>973</v>
      </c>
      <c r="Q577" t="s">
        <v>49</v>
      </c>
      <c r="R577" t="s">
        <v>50</v>
      </c>
      <c r="S577" s="1">
        <v>45931</v>
      </c>
      <c r="U577" t="s">
        <v>51</v>
      </c>
      <c r="X577" t="s">
        <v>52</v>
      </c>
      <c r="Y577" s="2">
        <v>0</v>
      </c>
      <c r="Z577" s="2">
        <v>175</v>
      </c>
      <c r="AA577">
        <v>1</v>
      </c>
      <c r="AB577" s="3">
        <v>1</v>
      </c>
      <c r="AC577" s="2">
        <v>175</v>
      </c>
      <c r="AD577" s="3">
        <v>0</v>
      </c>
      <c r="AE577" s="2">
        <v>0</v>
      </c>
      <c r="AF577" s="2">
        <v>175</v>
      </c>
      <c r="AK577">
        <v>5867409</v>
      </c>
    </row>
    <row r="578" spans="1:38" x14ac:dyDescent="0.25">
      <c r="A578" s="1">
        <v>45924</v>
      </c>
      <c r="B578" s="1">
        <v>45924</v>
      </c>
      <c r="C578" t="s">
        <v>1278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1310</v>
      </c>
      <c r="J578" t="s">
        <v>1311</v>
      </c>
      <c r="M578" t="s">
        <v>401</v>
      </c>
      <c r="O578" t="s">
        <v>70</v>
      </c>
      <c r="P578" t="s">
        <v>71</v>
      </c>
      <c r="Q578" t="s">
        <v>49</v>
      </c>
      <c r="R578" t="s">
        <v>50</v>
      </c>
      <c r="S578" s="1">
        <v>45931</v>
      </c>
      <c r="U578" t="s">
        <v>51</v>
      </c>
      <c r="X578" t="s">
        <v>52</v>
      </c>
      <c r="Y578" s="2">
        <v>0</v>
      </c>
      <c r="Z578" s="2">
        <v>175</v>
      </c>
      <c r="AA578">
        <v>1</v>
      </c>
      <c r="AB578" s="3">
        <v>1</v>
      </c>
      <c r="AC578" s="2">
        <v>175</v>
      </c>
      <c r="AD578" s="3">
        <v>0</v>
      </c>
      <c r="AE578" s="2">
        <v>0</v>
      </c>
      <c r="AF578" s="2">
        <v>175</v>
      </c>
      <c r="AK578">
        <v>5867417</v>
      </c>
    </row>
    <row r="579" spans="1:38" x14ac:dyDescent="0.25">
      <c r="A579" s="1">
        <v>45924</v>
      </c>
      <c r="B579" s="1">
        <v>45924</v>
      </c>
      <c r="C579" t="s">
        <v>1278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1312</v>
      </c>
      <c r="J579" t="s">
        <v>1313</v>
      </c>
      <c r="M579" t="s">
        <v>401</v>
      </c>
      <c r="O579" t="s">
        <v>70</v>
      </c>
      <c r="P579" t="s">
        <v>71</v>
      </c>
      <c r="Q579" t="s">
        <v>49</v>
      </c>
      <c r="R579" t="s">
        <v>50</v>
      </c>
      <c r="S579" s="1">
        <v>45931</v>
      </c>
      <c r="U579" t="s">
        <v>51</v>
      </c>
      <c r="X579" t="s">
        <v>52</v>
      </c>
      <c r="Y579" s="2">
        <v>0</v>
      </c>
      <c r="Z579" s="2">
        <v>175</v>
      </c>
      <c r="AA579">
        <v>1</v>
      </c>
      <c r="AB579" s="3">
        <v>1</v>
      </c>
      <c r="AC579" s="2">
        <v>175</v>
      </c>
      <c r="AD579" s="3">
        <v>0</v>
      </c>
      <c r="AE579" s="2">
        <v>0</v>
      </c>
      <c r="AF579" s="2">
        <v>175</v>
      </c>
      <c r="AK579">
        <v>5867422</v>
      </c>
    </row>
    <row r="580" spans="1:38" x14ac:dyDescent="0.25">
      <c r="A580" s="1">
        <v>45924</v>
      </c>
      <c r="B580" s="1">
        <v>45924</v>
      </c>
      <c r="C580" t="s">
        <v>1278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1314</v>
      </c>
      <c r="J580" t="s">
        <v>1315</v>
      </c>
      <c r="M580" t="s">
        <v>557</v>
      </c>
      <c r="O580" t="s">
        <v>106</v>
      </c>
      <c r="P580" t="s">
        <v>107</v>
      </c>
      <c r="Q580" t="s">
        <v>49</v>
      </c>
      <c r="R580" t="s">
        <v>50</v>
      </c>
      <c r="S580" s="1">
        <v>45931</v>
      </c>
      <c r="U580" t="s">
        <v>51</v>
      </c>
      <c r="X580" t="s">
        <v>52</v>
      </c>
      <c r="Y580" s="2">
        <v>0</v>
      </c>
      <c r="Z580" s="2">
        <v>175</v>
      </c>
      <c r="AA580">
        <v>1</v>
      </c>
      <c r="AB580" s="3">
        <v>1</v>
      </c>
      <c r="AC580" s="2">
        <v>175</v>
      </c>
      <c r="AD580" s="3">
        <v>0</v>
      </c>
      <c r="AE580" s="2">
        <v>0</v>
      </c>
      <c r="AF580" s="2">
        <v>175</v>
      </c>
      <c r="AK580">
        <v>5867426</v>
      </c>
    </row>
    <row r="581" spans="1:38" x14ac:dyDescent="0.25">
      <c r="A581" s="1">
        <v>45924</v>
      </c>
      <c r="B581" s="1">
        <v>45924</v>
      </c>
      <c r="C581" t="s">
        <v>1278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1316</v>
      </c>
      <c r="J581" t="s">
        <v>777</v>
      </c>
      <c r="M581" t="s">
        <v>650</v>
      </c>
      <c r="O581" t="s">
        <v>81</v>
      </c>
      <c r="P581" t="s">
        <v>82</v>
      </c>
      <c r="Q581" t="s">
        <v>49</v>
      </c>
      <c r="R581" t="s">
        <v>536</v>
      </c>
      <c r="S581" s="1">
        <v>45901</v>
      </c>
      <c r="U581" t="s">
        <v>51</v>
      </c>
      <c r="X581" t="s">
        <v>52</v>
      </c>
      <c r="Y581" s="2">
        <v>0</v>
      </c>
      <c r="Z581" s="2">
        <v>16.670000000000002</v>
      </c>
      <c r="AA581">
        <v>1</v>
      </c>
      <c r="AB581" s="3">
        <v>1</v>
      </c>
      <c r="AC581" s="2">
        <v>16.670000000000002</v>
      </c>
      <c r="AD581" s="3">
        <v>0</v>
      </c>
      <c r="AE581" s="2">
        <v>0</v>
      </c>
      <c r="AF581" s="2">
        <v>16.670000000000002</v>
      </c>
      <c r="AK581">
        <v>5867023</v>
      </c>
      <c r="AL581" t="s">
        <v>1317</v>
      </c>
    </row>
    <row r="582" spans="1:38" x14ac:dyDescent="0.25">
      <c r="A582" s="1">
        <v>45924</v>
      </c>
      <c r="B582" s="1">
        <v>45924</v>
      </c>
      <c r="C582" t="s">
        <v>1278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1318</v>
      </c>
      <c r="J582" t="s">
        <v>1319</v>
      </c>
      <c r="M582" t="s">
        <v>406</v>
      </c>
      <c r="O582" t="s">
        <v>407</v>
      </c>
      <c r="P582" t="s">
        <v>408</v>
      </c>
      <c r="Q582" t="s">
        <v>49</v>
      </c>
      <c r="R582" t="s">
        <v>536</v>
      </c>
      <c r="S582" s="1">
        <v>45901</v>
      </c>
      <c r="U582" t="s">
        <v>51</v>
      </c>
      <c r="X582" t="s">
        <v>52</v>
      </c>
      <c r="Y582" s="2">
        <v>0</v>
      </c>
      <c r="Z582" s="2">
        <v>16.670000000000002</v>
      </c>
      <c r="AA582">
        <v>1</v>
      </c>
      <c r="AB582" s="3">
        <v>1</v>
      </c>
      <c r="AC582" s="2">
        <v>16.670000000000002</v>
      </c>
      <c r="AD582" s="3">
        <v>0</v>
      </c>
      <c r="AE582" s="2">
        <v>0</v>
      </c>
      <c r="AF582" s="2">
        <v>16.670000000000002</v>
      </c>
      <c r="AK582">
        <v>5866709</v>
      </c>
      <c r="AL582" t="s">
        <v>1317</v>
      </c>
    </row>
    <row r="583" spans="1:38" x14ac:dyDescent="0.25">
      <c r="A583" s="1">
        <v>45924</v>
      </c>
      <c r="B583" s="1">
        <v>45924</v>
      </c>
      <c r="C583" t="s">
        <v>1278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1320</v>
      </c>
      <c r="J583" t="s">
        <v>1321</v>
      </c>
      <c r="M583" t="s">
        <v>650</v>
      </c>
      <c r="O583" t="s">
        <v>1322</v>
      </c>
      <c r="P583" t="s">
        <v>1323</v>
      </c>
      <c r="Q583" t="s">
        <v>49</v>
      </c>
      <c r="R583" t="s">
        <v>536</v>
      </c>
      <c r="S583" s="1">
        <v>45962</v>
      </c>
      <c r="U583" t="s">
        <v>51</v>
      </c>
      <c r="X583" t="s">
        <v>52</v>
      </c>
      <c r="Y583" s="2">
        <v>0</v>
      </c>
      <c r="Z583" s="2">
        <v>8.33</v>
      </c>
      <c r="AA583">
        <v>1</v>
      </c>
      <c r="AB583" s="3">
        <v>1</v>
      </c>
      <c r="AC583" s="2">
        <v>8.33</v>
      </c>
      <c r="AD583" s="3">
        <v>0</v>
      </c>
      <c r="AE583" s="2">
        <v>0</v>
      </c>
      <c r="AF583" s="2">
        <v>8.33</v>
      </c>
      <c r="AK583">
        <v>5866780</v>
      </c>
      <c r="AL583" t="s">
        <v>1324</v>
      </c>
    </row>
    <row r="584" spans="1:38" x14ac:dyDescent="0.25">
      <c r="A584" s="1">
        <v>45924</v>
      </c>
      <c r="B584" s="1">
        <v>45924</v>
      </c>
      <c r="C584" t="s">
        <v>1278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1325</v>
      </c>
      <c r="J584" t="s">
        <v>1326</v>
      </c>
      <c r="M584" t="s">
        <v>650</v>
      </c>
      <c r="O584" t="s">
        <v>1322</v>
      </c>
      <c r="P584" t="s">
        <v>1323</v>
      </c>
      <c r="Q584" t="s">
        <v>49</v>
      </c>
      <c r="R584" t="s">
        <v>536</v>
      </c>
      <c r="S584" s="1">
        <v>45901</v>
      </c>
      <c r="U584" t="s">
        <v>51</v>
      </c>
      <c r="X584" t="s">
        <v>52</v>
      </c>
      <c r="Y584" s="2">
        <v>0</v>
      </c>
      <c r="Z584" s="2">
        <v>16.670000000000002</v>
      </c>
      <c r="AA584">
        <v>1</v>
      </c>
      <c r="AB584" s="3">
        <v>1</v>
      </c>
      <c r="AC584" s="2">
        <v>16.670000000000002</v>
      </c>
      <c r="AD584" s="3">
        <v>0</v>
      </c>
      <c r="AE584" s="2">
        <v>0</v>
      </c>
      <c r="AF584" s="2">
        <v>16.670000000000002</v>
      </c>
      <c r="AK584">
        <v>5866781</v>
      </c>
      <c r="AL584" t="s">
        <v>1317</v>
      </c>
    </row>
    <row r="585" spans="1:38" x14ac:dyDescent="0.25">
      <c r="A585" s="1">
        <v>45924</v>
      </c>
      <c r="B585" s="1">
        <v>45924</v>
      </c>
      <c r="C585" t="s">
        <v>1278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1327</v>
      </c>
      <c r="J585" t="s">
        <v>1328</v>
      </c>
      <c r="M585" t="s">
        <v>401</v>
      </c>
      <c r="O585" t="s">
        <v>1329</v>
      </c>
      <c r="P585" t="s">
        <v>1330</v>
      </c>
      <c r="Q585" t="s">
        <v>49</v>
      </c>
      <c r="R585" t="s">
        <v>536</v>
      </c>
      <c r="S585" s="1">
        <v>45901</v>
      </c>
      <c r="U585" t="s">
        <v>51</v>
      </c>
      <c r="X585" t="s">
        <v>52</v>
      </c>
      <c r="Y585" s="2">
        <v>0</v>
      </c>
      <c r="Z585" s="2">
        <v>16.670000000000002</v>
      </c>
      <c r="AA585">
        <v>1</v>
      </c>
      <c r="AB585" s="3">
        <v>1</v>
      </c>
      <c r="AC585" s="2">
        <v>16.670000000000002</v>
      </c>
      <c r="AD585" s="3">
        <v>0</v>
      </c>
      <c r="AE585" s="2">
        <v>0</v>
      </c>
      <c r="AF585" s="2">
        <v>16.670000000000002</v>
      </c>
      <c r="AK585">
        <v>5866902</v>
      </c>
      <c r="AL585" t="s">
        <v>1317</v>
      </c>
    </row>
    <row r="586" spans="1:38" x14ac:dyDescent="0.25">
      <c r="A586" s="1">
        <v>45924</v>
      </c>
      <c r="B586" s="1">
        <v>45924</v>
      </c>
      <c r="C586" t="s">
        <v>1278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1331</v>
      </c>
      <c r="J586" t="s">
        <v>1332</v>
      </c>
      <c r="M586" t="s">
        <v>406</v>
      </c>
      <c r="O586" t="s">
        <v>1333</v>
      </c>
      <c r="P586" t="s">
        <v>1334</v>
      </c>
      <c r="Q586" t="s">
        <v>49</v>
      </c>
      <c r="R586" t="s">
        <v>536</v>
      </c>
      <c r="S586" s="1">
        <v>45901</v>
      </c>
      <c r="U586" t="s">
        <v>51</v>
      </c>
      <c r="X586" t="s">
        <v>52</v>
      </c>
      <c r="Y586" s="2">
        <v>0</v>
      </c>
      <c r="Z586" s="2">
        <v>16.670000000000002</v>
      </c>
      <c r="AA586">
        <v>1</v>
      </c>
      <c r="AB586" s="3">
        <v>1</v>
      </c>
      <c r="AC586" s="2">
        <v>16.670000000000002</v>
      </c>
      <c r="AD586" s="3">
        <v>0</v>
      </c>
      <c r="AE586" s="2">
        <v>0</v>
      </c>
      <c r="AF586" s="2">
        <v>16.670000000000002</v>
      </c>
      <c r="AK586">
        <v>5866915</v>
      </c>
      <c r="AL586" t="s">
        <v>1317</v>
      </c>
    </row>
    <row r="587" spans="1:38" x14ac:dyDescent="0.25">
      <c r="A587" s="1">
        <v>45924</v>
      </c>
      <c r="B587" s="1">
        <v>45924</v>
      </c>
      <c r="C587" t="s">
        <v>1278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1335</v>
      </c>
      <c r="J587" t="s">
        <v>1336</v>
      </c>
      <c r="M587" t="s">
        <v>401</v>
      </c>
      <c r="O587" t="s">
        <v>1329</v>
      </c>
      <c r="P587" t="s">
        <v>1330</v>
      </c>
      <c r="Q587" t="s">
        <v>49</v>
      </c>
      <c r="R587" t="s">
        <v>536</v>
      </c>
      <c r="S587" s="1">
        <v>45931</v>
      </c>
      <c r="U587" t="s">
        <v>51</v>
      </c>
      <c r="X587" t="s">
        <v>52</v>
      </c>
      <c r="Y587" s="2">
        <v>0</v>
      </c>
      <c r="Z587" s="2">
        <v>12.5</v>
      </c>
      <c r="AA587">
        <v>1</v>
      </c>
      <c r="AB587" s="3">
        <v>1</v>
      </c>
      <c r="AC587" s="2">
        <v>12.5</v>
      </c>
      <c r="AD587" s="3">
        <v>0</v>
      </c>
      <c r="AE587" s="2">
        <v>0</v>
      </c>
      <c r="AF587" s="2">
        <v>12.5</v>
      </c>
      <c r="AK587">
        <v>5866949</v>
      </c>
      <c r="AL587" t="s">
        <v>1337</v>
      </c>
    </row>
    <row r="588" spans="1:38" x14ac:dyDescent="0.25">
      <c r="A588" s="1">
        <v>45924</v>
      </c>
      <c r="B588" s="1">
        <v>45924</v>
      </c>
      <c r="C588" t="s">
        <v>1278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1338</v>
      </c>
      <c r="J588" t="s">
        <v>1339</v>
      </c>
      <c r="M588" t="s">
        <v>557</v>
      </c>
      <c r="O588" t="s">
        <v>873</v>
      </c>
      <c r="P588" t="s">
        <v>874</v>
      </c>
      <c r="Q588" t="s">
        <v>49</v>
      </c>
      <c r="R588" t="s">
        <v>536</v>
      </c>
      <c r="S588" s="1">
        <v>45931</v>
      </c>
      <c r="U588" t="s">
        <v>51</v>
      </c>
      <c r="X588" t="s">
        <v>52</v>
      </c>
      <c r="Y588" s="2">
        <v>0</v>
      </c>
      <c r="Z588" s="2">
        <v>12.5</v>
      </c>
      <c r="AA588">
        <v>1</v>
      </c>
      <c r="AB588" s="3">
        <v>1</v>
      </c>
      <c r="AC588" s="2">
        <v>12.5</v>
      </c>
      <c r="AD588" s="3">
        <v>0</v>
      </c>
      <c r="AE588" s="2">
        <v>0</v>
      </c>
      <c r="AF588" s="2">
        <v>12.5</v>
      </c>
      <c r="AK588">
        <v>5866961</v>
      </c>
      <c r="AL588" t="s">
        <v>1337</v>
      </c>
    </row>
    <row r="589" spans="1:38" x14ac:dyDescent="0.25">
      <c r="A589" s="1">
        <v>45924</v>
      </c>
      <c r="B589" s="1">
        <v>45924</v>
      </c>
      <c r="C589" t="s">
        <v>1278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1340</v>
      </c>
      <c r="J589" t="s">
        <v>1341</v>
      </c>
      <c r="M589" t="s">
        <v>401</v>
      </c>
      <c r="O589" t="s">
        <v>220</v>
      </c>
      <c r="P589" t="s">
        <v>221</v>
      </c>
      <c r="Q589" t="s">
        <v>49</v>
      </c>
      <c r="R589" t="s">
        <v>536</v>
      </c>
      <c r="S589" s="1">
        <v>45992</v>
      </c>
      <c r="U589" t="s">
        <v>51</v>
      </c>
      <c r="X589" t="s">
        <v>52</v>
      </c>
      <c r="Y589" s="2">
        <v>0</v>
      </c>
      <c r="Z589" s="2">
        <v>4.17</v>
      </c>
      <c r="AA589">
        <v>1</v>
      </c>
      <c r="AB589" s="3">
        <v>1</v>
      </c>
      <c r="AC589" s="2">
        <v>4.17</v>
      </c>
      <c r="AD589" s="3">
        <v>0</v>
      </c>
      <c r="AE589" s="2">
        <v>0</v>
      </c>
      <c r="AF589" s="2">
        <v>4.17</v>
      </c>
      <c r="AK589">
        <v>5867008</v>
      </c>
      <c r="AL589" t="s">
        <v>1342</v>
      </c>
    </row>
    <row r="590" spans="1:38" x14ac:dyDescent="0.25">
      <c r="A590" s="1">
        <v>45924</v>
      </c>
      <c r="B590" s="1">
        <v>45924</v>
      </c>
      <c r="C590" t="s">
        <v>1278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1343</v>
      </c>
      <c r="J590" t="s">
        <v>1344</v>
      </c>
      <c r="M590" t="s">
        <v>406</v>
      </c>
      <c r="O590" t="s">
        <v>116</v>
      </c>
      <c r="P590" t="s">
        <v>117</v>
      </c>
      <c r="Q590" t="s">
        <v>49</v>
      </c>
      <c r="R590" t="s">
        <v>1345</v>
      </c>
      <c r="S590" s="1">
        <v>45717</v>
      </c>
      <c r="U590" t="s">
        <v>51</v>
      </c>
      <c r="X590" t="s">
        <v>52</v>
      </c>
      <c r="Y590" s="2">
        <v>0</v>
      </c>
      <c r="Z590" s="2">
        <v>100</v>
      </c>
      <c r="AA590">
        <v>1</v>
      </c>
      <c r="AB590" s="3">
        <v>1</v>
      </c>
      <c r="AC590" s="2">
        <v>100</v>
      </c>
      <c r="AD590" s="3">
        <v>0</v>
      </c>
      <c r="AE590" s="2">
        <v>0</v>
      </c>
      <c r="AF590" s="2">
        <v>100</v>
      </c>
      <c r="AK590">
        <v>5867174</v>
      </c>
    </row>
    <row r="591" spans="1:38" x14ac:dyDescent="0.25">
      <c r="A591" s="1">
        <v>45924</v>
      </c>
      <c r="B591" s="1">
        <v>45924</v>
      </c>
      <c r="C591" t="s">
        <v>1278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1346</v>
      </c>
      <c r="J591" t="s">
        <v>1347</v>
      </c>
      <c r="M591" t="s">
        <v>401</v>
      </c>
      <c r="O591" t="s">
        <v>153</v>
      </c>
      <c r="P591" t="s">
        <v>154</v>
      </c>
      <c r="Q591" t="s">
        <v>49</v>
      </c>
      <c r="R591" t="s">
        <v>1345</v>
      </c>
      <c r="S591" s="1">
        <v>45839</v>
      </c>
      <c r="U591" t="s">
        <v>51</v>
      </c>
      <c r="X591" t="s">
        <v>52</v>
      </c>
      <c r="Y591" s="2">
        <v>0</v>
      </c>
      <c r="Z591" s="2">
        <v>100</v>
      </c>
      <c r="AA591">
        <v>1</v>
      </c>
      <c r="AB591" s="3">
        <v>1</v>
      </c>
      <c r="AC591" s="2">
        <v>100</v>
      </c>
      <c r="AD591" s="3">
        <v>0</v>
      </c>
      <c r="AE591" s="2">
        <v>0</v>
      </c>
      <c r="AF591" s="2">
        <v>100</v>
      </c>
      <c r="AK591">
        <v>5867177</v>
      </c>
    </row>
    <row r="592" spans="1:38" x14ac:dyDescent="0.25">
      <c r="A592" s="1">
        <v>45924</v>
      </c>
      <c r="B592" s="1">
        <v>45924</v>
      </c>
      <c r="C592" t="s">
        <v>1278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1348</v>
      </c>
      <c r="J592" t="s">
        <v>1349</v>
      </c>
      <c r="M592" t="s">
        <v>401</v>
      </c>
      <c r="O592" t="s">
        <v>74</v>
      </c>
      <c r="P592" t="s">
        <v>75</v>
      </c>
      <c r="Q592" t="s">
        <v>49</v>
      </c>
      <c r="R592" t="s">
        <v>1345</v>
      </c>
      <c r="S592" s="1">
        <v>45870</v>
      </c>
      <c r="U592" t="s">
        <v>51</v>
      </c>
      <c r="X592" t="s">
        <v>52</v>
      </c>
      <c r="Y592" s="2">
        <v>0</v>
      </c>
      <c r="Z592" s="2">
        <v>100</v>
      </c>
      <c r="AA592">
        <v>1</v>
      </c>
      <c r="AB592" s="3">
        <v>1</v>
      </c>
      <c r="AC592" s="2">
        <v>100</v>
      </c>
      <c r="AD592" s="3">
        <v>0</v>
      </c>
      <c r="AE592" s="2">
        <v>0</v>
      </c>
      <c r="AF592" s="2">
        <v>100</v>
      </c>
      <c r="AK592">
        <v>5867178</v>
      </c>
    </row>
    <row r="593" spans="1:38" x14ac:dyDescent="0.25">
      <c r="A593" s="1">
        <v>45924</v>
      </c>
      <c r="B593" s="1">
        <v>45924</v>
      </c>
      <c r="C593" t="s">
        <v>1278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1350</v>
      </c>
      <c r="J593" t="s">
        <v>1351</v>
      </c>
      <c r="M593" t="s">
        <v>849</v>
      </c>
      <c r="O593" t="s">
        <v>87</v>
      </c>
      <c r="P593" t="s">
        <v>88</v>
      </c>
      <c r="Q593" t="s">
        <v>49</v>
      </c>
      <c r="R593" t="s">
        <v>1345</v>
      </c>
      <c r="S593" s="1">
        <v>45870</v>
      </c>
      <c r="U593" t="s">
        <v>51</v>
      </c>
      <c r="X593" t="s">
        <v>52</v>
      </c>
      <c r="Y593" s="2">
        <v>0</v>
      </c>
      <c r="Z593" s="2">
        <v>100</v>
      </c>
      <c r="AA593">
        <v>1</v>
      </c>
      <c r="AB593" s="3">
        <v>1</v>
      </c>
      <c r="AC593" s="2">
        <v>100</v>
      </c>
      <c r="AD593" s="3">
        <v>0</v>
      </c>
      <c r="AE593" s="2">
        <v>0</v>
      </c>
      <c r="AF593" s="2">
        <v>100</v>
      </c>
      <c r="AK593">
        <v>5867179</v>
      </c>
    </row>
    <row r="594" spans="1:38" x14ac:dyDescent="0.25">
      <c r="A594" s="1">
        <v>45924</v>
      </c>
      <c r="B594" s="1">
        <v>45924</v>
      </c>
      <c r="C594" t="s">
        <v>1278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1352</v>
      </c>
      <c r="J594" t="s">
        <v>1353</v>
      </c>
      <c r="M594" t="s">
        <v>401</v>
      </c>
      <c r="O594" t="s">
        <v>74</v>
      </c>
      <c r="P594" t="s">
        <v>75</v>
      </c>
      <c r="Q594" t="s">
        <v>49</v>
      </c>
      <c r="R594" t="s">
        <v>1345</v>
      </c>
      <c r="S594" s="1">
        <v>45870</v>
      </c>
      <c r="U594" t="s">
        <v>51</v>
      </c>
      <c r="X594" t="s">
        <v>52</v>
      </c>
      <c r="Y594" s="2">
        <v>0</v>
      </c>
      <c r="Z594" s="2">
        <v>100</v>
      </c>
      <c r="AA594">
        <v>1</v>
      </c>
      <c r="AB594" s="3">
        <v>1</v>
      </c>
      <c r="AC594" s="2">
        <v>100</v>
      </c>
      <c r="AD594" s="3">
        <v>0</v>
      </c>
      <c r="AE594" s="2">
        <v>0</v>
      </c>
      <c r="AF594" s="2">
        <v>100</v>
      </c>
      <c r="AK594">
        <v>5867182</v>
      </c>
    </row>
    <row r="595" spans="1:38" x14ac:dyDescent="0.25">
      <c r="A595" s="1">
        <v>45924</v>
      </c>
      <c r="B595" s="1">
        <v>45924</v>
      </c>
      <c r="C595" t="s">
        <v>1278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1354</v>
      </c>
      <c r="J595" t="s">
        <v>1355</v>
      </c>
      <c r="M595" t="s">
        <v>557</v>
      </c>
      <c r="O595" t="s">
        <v>367</v>
      </c>
      <c r="P595" t="s">
        <v>368</v>
      </c>
      <c r="Q595" t="s">
        <v>49</v>
      </c>
      <c r="R595" t="s">
        <v>1356</v>
      </c>
      <c r="S595" s="1">
        <v>45931</v>
      </c>
      <c r="U595" t="s">
        <v>51</v>
      </c>
      <c r="X595" t="s">
        <v>52</v>
      </c>
      <c r="Y595" s="2">
        <v>0</v>
      </c>
      <c r="Z595" s="2">
        <v>78.25</v>
      </c>
      <c r="AA595">
        <v>1</v>
      </c>
      <c r="AB595" s="3">
        <v>1</v>
      </c>
      <c r="AC595" s="2">
        <v>78.25</v>
      </c>
      <c r="AD595" s="3">
        <v>0</v>
      </c>
      <c r="AE595" s="2">
        <v>0</v>
      </c>
      <c r="AF595" s="2">
        <v>78.25</v>
      </c>
      <c r="AK595">
        <v>5867671</v>
      </c>
      <c r="AL595" t="s">
        <v>1337</v>
      </c>
    </row>
    <row r="596" spans="1:38" x14ac:dyDescent="0.25">
      <c r="A596" s="1">
        <v>45924</v>
      </c>
      <c r="B596" s="1">
        <v>45924</v>
      </c>
      <c r="C596" t="s">
        <v>1278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1357</v>
      </c>
      <c r="J596" t="s">
        <v>1355</v>
      </c>
      <c r="M596" t="s">
        <v>557</v>
      </c>
      <c r="O596" t="s">
        <v>367</v>
      </c>
      <c r="P596" t="s">
        <v>368</v>
      </c>
      <c r="Q596" t="s">
        <v>49</v>
      </c>
      <c r="R596" t="s">
        <v>1358</v>
      </c>
      <c r="S596" s="1">
        <v>45931</v>
      </c>
      <c r="U596" t="s">
        <v>51</v>
      </c>
      <c r="X596" t="s">
        <v>52</v>
      </c>
      <c r="Y596" s="2">
        <v>0</v>
      </c>
      <c r="Z596" s="2">
        <v>18</v>
      </c>
      <c r="AA596">
        <v>1</v>
      </c>
      <c r="AB596" s="3">
        <v>1</v>
      </c>
      <c r="AC596" s="2">
        <v>18</v>
      </c>
      <c r="AD596" s="3">
        <v>0</v>
      </c>
      <c r="AE596" s="2">
        <v>0</v>
      </c>
      <c r="AF596" s="2">
        <v>18</v>
      </c>
      <c r="AK596">
        <v>5867672</v>
      </c>
      <c r="AL596" t="s">
        <v>1337</v>
      </c>
    </row>
    <row r="597" spans="1:38" x14ac:dyDescent="0.25">
      <c r="A597" s="1">
        <v>45924</v>
      </c>
      <c r="B597" s="1">
        <v>45924</v>
      </c>
      <c r="C597" t="s">
        <v>1278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1359</v>
      </c>
      <c r="J597" t="s">
        <v>1360</v>
      </c>
      <c r="M597" t="s">
        <v>557</v>
      </c>
      <c r="O597" t="s">
        <v>367</v>
      </c>
      <c r="P597" t="s">
        <v>368</v>
      </c>
      <c r="Q597" t="s">
        <v>49</v>
      </c>
      <c r="R597" t="s">
        <v>1356</v>
      </c>
      <c r="S597" s="1">
        <v>45931</v>
      </c>
      <c r="U597" t="s">
        <v>51</v>
      </c>
      <c r="X597" t="s">
        <v>52</v>
      </c>
      <c r="Y597" s="2">
        <v>0</v>
      </c>
      <c r="Z597" s="2">
        <v>78.25</v>
      </c>
      <c r="AA597">
        <v>1</v>
      </c>
      <c r="AB597" s="3">
        <v>1</v>
      </c>
      <c r="AC597" s="2">
        <v>78.25</v>
      </c>
      <c r="AD597" s="3">
        <v>0</v>
      </c>
      <c r="AE597" s="2">
        <v>0</v>
      </c>
      <c r="AF597" s="2">
        <v>78.25</v>
      </c>
      <c r="AK597">
        <v>5867670</v>
      </c>
      <c r="AL597" t="s">
        <v>1337</v>
      </c>
    </row>
    <row r="598" spans="1:38" x14ac:dyDescent="0.25">
      <c r="A598" s="1">
        <v>45924</v>
      </c>
      <c r="B598" s="1">
        <v>45924</v>
      </c>
      <c r="C598" t="s">
        <v>1278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1361</v>
      </c>
      <c r="J598" t="s">
        <v>1360</v>
      </c>
      <c r="M598" t="s">
        <v>557</v>
      </c>
      <c r="O598" t="s">
        <v>367</v>
      </c>
      <c r="P598" t="s">
        <v>368</v>
      </c>
      <c r="Q598" t="s">
        <v>49</v>
      </c>
      <c r="R598" t="s">
        <v>1362</v>
      </c>
      <c r="S598" s="1">
        <v>45931</v>
      </c>
      <c r="U598" t="s">
        <v>51</v>
      </c>
      <c r="X598" t="s">
        <v>52</v>
      </c>
      <c r="Y598" s="2">
        <v>0</v>
      </c>
      <c r="Z598" s="2">
        <v>175</v>
      </c>
      <c r="AA598">
        <v>1</v>
      </c>
      <c r="AB598" s="3">
        <v>1</v>
      </c>
      <c r="AC598" s="2">
        <v>175</v>
      </c>
      <c r="AD598" s="3">
        <v>0</v>
      </c>
      <c r="AE598" s="2">
        <v>0</v>
      </c>
      <c r="AF598" s="2">
        <v>175</v>
      </c>
      <c r="AK598">
        <v>5867669</v>
      </c>
    </row>
    <row r="599" spans="1:38" x14ac:dyDescent="0.25">
      <c r="A599" s="1">
        <v>45924</v>
      </c>
      <c r="B599" s="1">
        <v>45924</v>
      </c>
      <c r="C599" t="s">
        <v>1278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1363</v>
      </c>
      <c r="J599" t="s">
        <v>1364</v>
      </c>
      <c r="M599" t="s">
        <v>401</v>
      </c>
      <c r="O599" t="s">
        <v>220</v>
      </c>
      <c r="P599" t="s">
        <v>221</v>
      </c>
      <c r="Q599" t="s">
        <v>49</v>
      </c>
      <c r="R599" t="s">
        <v>1356</v>
      </c>
      <c r="S599" s="1">
        <v>45717</v>
      </c>
      <c r="U599" t="s">
        <v>51</v>
      </c>
      <c r="X599" t="s">
        <v>52</v>
      </c>
      <c r="Y599" s="2">
        <v>0</v>
      </c>
      <c r="Z599" s="2">
        <v>260.83</v>
      </c>
      <c r="AA599">
        <v>1</v>
      </c>
      <c r="AB599" s="3">
        <v>1</v>
      </c>
      <c r="AC599" s="2">
        <v>260.83</v>
      </c>
      <c r="AD599" s="3">
        <v>0</v>
      </c>
      <c r="AE599" s="2">
        <v>0</v>
      </c>
      <c r="AF599" s="2">
        <v>260.83</v>
      </c>
      <c r="AK599">
        <v>5867445</v>
      </c>
      <c r="AL599" t="s">
        <v>1365</v>
      </c>
    </row>
    <row r="600" spans="1:38" x14ac:dyDescent="0.25">
      <c r="A600" s="1">
        <v>45924</v>
      </c>
      <c r="B600" s="1">
        <v>45924</v>
      </c>
      <c r="C600" t="s">
        <v>1278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1366</v>
      </c>
      <c r="J600" t="s">
        <v>1289</v>
      </c>
      <c r="M600" t="s">
        <v>806</v>
      </c>
      <c r="O600" t="s">
        <v>1290</v>
      </c>
      <c r="P600" t="s">
        <v>1291</v>
      </c>
      <c r="Q600" t="s">
        <v>49</v>
      </c>
      <c r="R600" t="s">
        <v>1367</v>
      </c>
      <c r="S600" s="1">
        <v>45992</v>
      </c>
      <c r="U600" t="s">
        <v>51</v>
      </c>
      <c r="X600" t="s">
        <v>52</v>
      </c>
      <c r="Y600" s="2">
        <v>0</v>
      </c>
      <c r="Z600" s="2">
        <v>31.02</v>
      </c>
      <c r="AA600">
        <v>9</v>
      </c>
      <c r="AB600" s="3">
        <v>1</v>
      </c>
      <c r="AC600" s="2">
        <v>279.18</v>
      </c>
      <c r="AD600" s="3">
        <v>0</v>
      </c>
      <c r="AE600" s="2">
        <v>0</v>
      </c>
      <c r="AF600" s="2">
        <v>279.18</v>
      </c>
      <c r="AK600">
        <v>5867437</v>
      </c>
    </row>
    <row r="601" spans="1:38" x14ac:dyDescent="0.25">
      <c r="A601" s="1">
        <v>45924</v>
      </c>
      <c r="B601" s="1">
        <v>45924</v>
      </c>
      <c r="C601" t="s">
        <v>1278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1368</v>
      </c>
      <c r="J601" t="s">
        <v>1369</v>
      </c>
      <c r="M601" t="s">
        <v>806</v>
      </c>
      <c r="O601" t="s">
        <v>1290</v>
      </c>
      <c r="P601" t="s">
        <v>1291</v>
      </c>
      <c r="Q601" t="s">
        <v>49</v>
      </c>
      <c r="R601" t="s">
        <v>1367</v>
      </c>
      <c r="S601" s="1">
        <v>45992</v>
      </c>
      <c r="U601" t="s">
        <v>51</v>
      </c>
      <c r="X601" t="s">
        <v>52</v>
      </c>
      <c r="Y601" s="2">
        <v>0</v>
      </c>
      <c r="Z601" s="2">
        <v>31.02</v>
      </c>
      <c r="AA601">
        <v>9</v>
      </c>
      <c r="AB601" s="3">
        <v>1</v>
      </c>
      <c r="AC601" s="2">
        <v>279.18</v>
      </c>
      <c r="AD601" s="3">
        <v>0</v>
      </c>
      <c r="AE601" s="2">
        <v>0</v>
      </c>
      <c r="AF601" s="2">
        <v>279.18</v>
      </c>
      <c r="AK601">
        <v>5867436</v>
      </c>
    </row>
    <row r="602" spans="1:38" x14ac:dyDescent="0.25">
      <c r="A602" s="1">
        <v>45924</v>
      </c>
      <c r="B602" s="1">
        <v>45924</v>
      </c>
      <c r="C602" t="s">
        <v>1278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1370</v>
      </c>
      <c r="J602" t="s">
        <v>1371</v>
      </c>
      <c r="M602" t="s">
        <v>806</v>
      </c>
      <c r="O602" t="s">
        <v>1290</v>
      </c>
      <c r="P602" t="s">
        <v>1291</v>
      </c>
      <c r="Q602" t="s">
        <v>49</v>
      </c>
      <c r="R602" t="s">
        <v>1367</v>
      </c>
      <c r="S602" s="1">
        <v>45901</v>
      </c>
      <c r="U602" t="s">
        <v>51</v>
      </c>
      <c r="X602" t="s">
        <v>52</v>
      </c>
      <c r="Y602" s="2">
        <v>0</v>
      </c>
      <c r="Z602" s="2">
        <v>31.02</v>
      </c>
      <c r="AA602">
        <v>9</v>
      </c>
      <c r="AB602" s="3">
        <v>1</v>
      </c>
      <c r="AC602" s="2">
        <v>279.18</v>
      </c>
      <c r="AD602" s="3">
        <v>0</v>
      </c>
      <c r="AE602" s="2">
        <v>0</v>
      </c>
      <c r="AF602" s="2">
        <v>279.18</v>
      </c>
      <c r="AK602">
        <v>5867439</v>
      </c>
    </row>
    <row r="603" spans="1:38" x14ac:dyDescent="0.25">
      <c r="A603" s="1">
        <v>45924</v>
      </c>
      <c r="B603" s="1">
        <v>45924</v>
      </c>
      <c r="C603" t="s">
        <v>1278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1372</v>
      </c>
      <c r="J603" t="s">
        <v>1373</v>
      </c>
      <c r="M603" t="s">
        <v>806</v>
      </c>
      <c r="O603" t="s">
        <v>1290</v>
      </c>
      <c r="P603" t="s">
        <v>1291</v>
      </c>
      <c r="Q603" t="s">
        <v>49</v>
      </c>
      <c r="R603" t="s">
        <v>1367</v>
      </c>
      <c r="S603" s="1">
        <v>45901</v>
      </c>
      <c r="U603" t="s">
        <v>51</v>
      </c>
      <c r="X603" t="s">
        <v>52</v>
      </c>
      <c r="Y603" s="2">
        <v>0</v>
      </c>
      <c r="Z603" s="2">
        <v>31.02</v>
      </c>
      <c r="AA603">
        <v>9</v>
      </c>
      <c r="AB603" s="3">
        <v>1</v>
      </c>
      <c r="AC603" s="2">
        <v>279.18</v>
      </c>
      <c r="AD603" s="3">
        <v>0</v>
      </c>
      <c r="AE603" s="2">
        <v>0</v>
      </c>
      <c r="AF603" s="2">
        <v>279.18</v>
      </c>
      <c r="AK603">
        <v>5867438</v>
      </c>
    </row>
    <row r="604" spans="1:38" x14ac:dyDescent="0.25">
      <c r="A604" s="1">
        <v>45924</v>
      </c>
      <c r="B604" s="1">
        <v>45924</v>
      </c>
      <c r="C604" t="s">
        <v>1278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1374</v>
      </c>
      <c r="J604" t="s">
        <v>1294</v>
      </c>
      <c r="M604" t="s">
        <v>806</v>
      </c>
      <c r="O604" t="s">
        <v>1290</v>
      </c>
      <c r="P604" t="s">
        <v>1291</v>
      </c>
      <c r="Q604" t="s">
        <v>49</v>
      </c>
      <c r="R604" t="s">
        <v>1367</v>
      </c>
      <c r="S604" s="1">
        <v>45992</v>
      </c>
      <c r="U604" t="s">
        <v>51</v>
      </c>
      <c r="X604" t="s">
        <v>52</v>
      </c>
      <c r="Y604" s="2">
        <v>0</v>
      </c>
      <c r="Z604" s="2">
        <v>31.02</v>
      </c>
      <c r="AA604">
        <v>9</v>
      </c>
      <c r="AB604" s="3">
        <v>1</v>
      </c>
      <c r="AC604" s="2">
        <v>279.18</v>
      </c>
      <c r="AD604" s="3">
        <v>0</v>
      </c>
      <c r="AE604" s="2">
        <v>0</v>
      </c>
      <c r="AF604" s="2">
        <v>279.18</v>
      </c>
      <c r="AK604">
        <v>5867441</v>
      </c>
    </row>
    <row r="605" spans="1:38" x14ac:dyDescent="0.25">
      <c r="A605" s="1">
        <v>45924</v>
      </c>
      <c r="B605" s="1">
        <v>45924</v>
      </c>
      <c r="C605" t="s">
        <v>1278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1375</v>
      </c>
      <c r="J605" t="s">
        <v>1376</v>
      </c>
      <c r="M605" t="s">
        <v>401</v>
      </c>
      <c r="O605" t="s">
        <v>130</v>
      </c>
      <c r="P605" t="s">
        <v>131</v>
      </c>
      <c r="Q605" t="s">
        <v>49</v>
      </c>
      <c r="R605" t="s">
        <v>1377</v>
      </c>
      <c r="S605" s="1">
        <v>45931</v>
      </c>
      <c r="U605" t="s">
        <v>51</v>
      </c>
      <c r="X605" t="s">
        <v>52</v>
      </c>
      <c r="Y605" s="2">
        <v>0</v>
      </c>
      <c r="Z605" s="2">
        <v>30</v>
      </c>
      <c r="AA605">
        <v>9</v>
      </c>
      <c r="AB605" s="3">
        <v>1</v>
      </c>
      <c r="AC605" s="2">
        <v>270</v>
      </c>
      <c r="AD605" s="3">
        <v>0</v>
      </c>
      <c r="AE605" s="2">
        <v>0</v>
      </c>
      <c r="AF605" s="2">
        <v>270</v>
      </c>
      <c r="AK605">
        <v>5867444</v>
      </c>
    </row>
    <row r="606" spans="1:38" x14ac:dyDescent="0.25">
      <c r="A606" s="1">
        <v>45924</v>
      </c>
      <c r="B606" s="1">
        <v>45924</v>
      </c>
      <c r="C606" t="s">
        <v>1278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1378</v>
      </c>
      <c r="J606" t="s">
        <v>1379</v>
      </c>
      <c r="M606" t="s">
        <v>806</v>
      </c>
      <c r="O606" t="s">
        <v>1290</v>
      </c>
      <c r="P606" t="s">
        <v>1291</v>
      </c>
      <c r="Q606" t="s">
        <v>49</v>
      </c>
      <c r="R606" t="s">
        <v>1367</v>
      </c>
      <c r="S606" s="1">
        <v>45992</v>
      </c>
      <c r="U606" t="s">
        <v>51</v>
      </c>
      <c r="X606" t="s">
        <v>52</v>
      </c>
      <c r="Y606" s="2">
        <v>0</v>
      </c>
      <c r="Z606" s="2">
        <v>31.02</v>
      </c>
      <c r="AA606">
        <v>9</v>
      </c>
      <c r="AB606" s="3">
        <v>1</v>
      </c>
      <c r="AC606" s="2">
        <v>279.18</v>
      </c>
      <c r="AD606" s="3">
        <v>0</v>
      </c>
      <c r="AE606" s="2">
        <v>0</v>
      </c>
      <c r="AF606" s="2">
        <v>279.18</v>
      </c>
      <c r="AK606">
        <v>5867443</v>
      </c>
    </row>
    <row r="607" spans="1:38" x14ac:dyDescent="0.25">
      <c r="A607" s="1">
        <v>45924</v>
      </c>
      <c r="B607" s="1">
        <v>45924</v>
      </c>
      <c r="C607" t="s">
        <v>1278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1380</v>
      </c>
      <c r="J607" t="s">
        <v>1381</v>
      </c>
      <c r="M607" t="s">
        <v>849</v>
      </c>
      <c r="O607" t="s">
        <v>1382</v>
      </c>
      <c r="P607" t="s">
        <v>1383</v>
      </c>
      <c r="Q607" t="s">
        <v>49</v>
      </c>
      <c r="R607" t="s">
        <v>1384</v>
      </c>
      <c r="S607" s="1">
        <v>45901</v>
      </c>
      <c r="U607" t="s">
        <v>51</v>
      </c>
      <c r="X607" t="s">
        <v>52</v>
      </c>
      <c r="Y607" s="2">
        <v>0</v>
      </c>
      <c r="Z607" s="2">
        <v>28.02</v>
      </c>
      <c r="AA607">
        <v>9</v>
      </c>
      <c r="AB607" s="3">
        <v>1</v>
      </c>
      <c r="AC607" s="2">
        <v>252.18</v>
      </c>
      <c r="AD607" s="3">
        <v>0</v>
      </c>
      <c r="AE607" s="2">
        <v>0</v>
      </c>
      <c r="AF607" s="2">
        <v>252.18</v>
      </c>
      <c r="AK607">
        <v>5867440</v>
      </c>
    </row>
    <row r="608" spans="1:38" x14ac:dyDescent="0.25">
      <c r="A608" s="1">
        <v>45924</v>
      </c>
      <c r="B608" s="1">
        <v>45924</v>
      </c>
      <c r="C608" t="s">
        <v>1278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1385</v>
      </c>
      <c r="J608" t="s">
        <v>1386</v>
      </c>
      <c r="M608" t="s">
        <v>401</v>
      </c>
      <c r="O608" t="s">
        <v>74</v>
      </c>
      <c r="P608" t="s">
        <v>75</v>
      </c>
      <c r="Q608" t="s">
        <v>49</v>
      </c>
      <c r="R608" t="s">
        <v>1387</v>
      </c>
      <c r="S608" s="1">
        <v>45992</v>
      </c>
      <c r="U608" t="s">
        <v>51</v>
      </c>
      <c r="X608" t="s">
        <v>52</v>
      </c>
      <c r="Y608" s="2">
        <v>0</v>
      </c>
      <c r="Z608" s="2">
        <v>31.98</v>
      </c>
      <c r="AA608">
        <v>9</v>
      </c>
      <c r="AB608" s="3">
        <v>1</v>
      </c>
      <c r="AC608" s="2">
        <v>287.82</v>
      </c>
      <c r="AD608" s="3">
        <v>0</v>
      </c>
      <c r="AE608" s="2">
        <v>0</v>
      </c>
      <c r="AF608" s="2">
        <v>287.82</v>
      </c>
      <c r="AK608">
        <v>5867442</v>
      </c>
    </row>
    <row r="609" spans="1:36" x14ac:dyDescent="0.25">
      <c r="A609" s="1">
        <v>45924</v>
      </c>
      <c r="B609" s="1">
        <v>45924</v>
      </c>
      <c r="C609" t="s">
        <v>1388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1389</v>
      </c>
      <c r="J609" t="s">
        <v>1390</v>
      </c>
      <c r="M609" t="s">
        <v>46</v>
      </c>
      <c r="O609" t="s">
        <v>41</v>
      </c>
      <c r="P609" t="s">
        <v>43</v>
      </c>
      <c r="Q609" t="s">
        <v>1391</v>
      </c>
      <c r="R609" t="s">
        <v>59</v>
      </c>
      <c r="S609" s="1">
        <v>45658</v>
      </c>
      <c r="U609" t="s">
        <v>51</v>
      </c>
      <c r="X609" t="s">
        <v>52</v>
      </c>
      <c r="AF609" s="2">
        <v>108</v>
      </c>
      <c r="AG609" s="2">
        <v>0</v>
      </c>
      <c r="AJ609" s="2">
        <v>27</v>
      </c>
    </row>
    <row r="610" spans="1:36" x14ac:dyDescent="0.25">
      <c r="A610" s="1">
        <v>45924</v>
      </c>
      <c r="B610" s="1">
        <v>45924</v>
      </c>
      <c r="C610" t="s">
        <v>1388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1392</v>
      </c>
      <c r="J610" t="s">
        <v>1393</v>
      </c>
      <c r="M610" t="s">
        <v>401</v>
      </c>
      <c r="O610" t="s">
        <v>1394</v>
      </c>
      <c r="P610" t="s">
        <v>1395</v>
      </c>
      <c r="Q610" t="s">
        <v>1391</v>
      </c>
      <c r="R610" t="s">
        <v>50</v>
      </c>
      <c r="S610" s="1">
        <v>45870</v>
      </c>
      <c r="U610" t="s">
        <v>51</v>
      </c>
      <c r="X610" t="s">
        <v>52</v>
      </c>
      <c r="AF610" s="2">
        <v>175</v>
      </c>
      <c r="AG610" s="2">
        <v>0</v>
      </c>
      <c r="AJ610" s="2">
        <v>161</v>
      </c>
    </row>
    <row r="611" spans="1:36" x14ac:dyDescent="0.25">
      <c r="A611" s="1">
        <v>45924</v>
      </c>
      <c r="B611" s="1">
        <v>45924</v>
      </c>
      <c r="C611" t="s">
        <v>1388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1396</v>
      </c>
      <c r="J611" t="s">
        <v>777</v>
      </c>
      <c r="M611" t="s">
        <v>650</v>
      </c>
      <c r="O611" t="s">
        <v>81</v>
      </c>
      <c r="P611" t="s">
        <v>82</v>
      </c>
      <c r="Q611" t="s">
        <v>1391</v>
      </c>
      <c r="R611" t="s">
        <v>536</v>
      </c>
      <c r="S611" s="1">
        <v>45931</v>
      </c>
      <c r="U611" t="s">
        <v>51</v>
      </c>
      <c r="X611" t="s">
        <v>52</v>
      </c>
      <c r="AF611" s="2">
        <v>12.5</v>
      </c>
      <c r="AG611" s="2">
        <v>0</v>
      </c>
      <c r="AJ611" s="2">
        <v>12.5</v>
      </c>
    </row>
    <row r="612" spans="1:36" x14ac:dyDescent="0.25">
      <c r="A612" s="1">
        <v>45924</v>
      </c>
      <c r="B612" s="1">
        <v>45924</v>
      </c>
      <c r="C612" t="s">
        <v>1388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1397</v>
      </c>
      <c r="J612" t="s">
        <v>1398</v>
      </c>
      <c r="M612" t="s">
        <v>401</v>
      </c>
      <c r="O612" t="s">
        <v>298</v>
      </c>
      <c r="P612" t="s">
        <v>299</v>
      </c>
      <c r="Q612" t="s">
        <v>1391</v>
      </c>
      <c r="R612" t="s">
        <v>415</v>
      </c>
      <c r="S612" s="1">
        <v>45658</v>
      </c>
      <c r="U612" t="s">
        <v>51</v>
      </c>
      <c r="X612" t="s">
        <v>52</v>
      </c>
      <c r="AF612" s="2">
        <v>50</v>
      </c>
      <c r="AG612" s="2">
        <v>0</v>
      </c>
      <c r="AJ612" s="2">
        <v>16.66</v>
      </c>
    </row>
    <row r="613" spans="1:36" x14ac:dyDescent="0.25">
      <c r="A613" s="1">
        <v>45924</v>
      </c>
      <c r="B613" s="1">
        <v>45924</v>
      </c>
      <c r="C613" t="s">
        <v>1388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1399</v>
      </c>
      <c r="J613" t="s">
        <v>1400</v>
      </c>
      <c r="M613" t="s">
        <v>401</v>
      </c>
      <c r="O613" t="s">
        <v>1032</v>
      </c>
      <c r="P613" t="s">
        <v>1033</v>
      </c>
      <c r="Q613" t="s">
        <v>1391</v>
      </c>
      <c r="R613" t="s">
        <v>415</v>
      </c>
      <c r="S613" s="1">
        <v>45689</v>
      </c>
      <c r="U613" t="s">
        <v>51</v>
      </c>
      <c r="X613" t="s">
        <v>52</v>
      </c>
      <c r="AF613" s="2">
        <v>50</v>
      </c>
      <c r="AG613" s="2">
        <v>0</v>
      </c>
      <c r="AJ613" s="2">
        <v>25</v>
      </c>
    </row>
    <row r="614" spans="1:36" x14ac:dyDescent="0.25">
      <c r="A614" s="1">
        <v>45924</v>
      </c>
      <c r="B614" s="1">
        <v>45924</v>
      </c>
      <c r="C614" t="s">
        <v>1388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1401</v>
      </c>
      <c r="J614" t="s">
        <v>1402</v>
      </c>
      <c r="M614" t="s">
        <v>401</v>
      </c>
      <c r="O614" t="s">
        <v>56</v>
      </c>
      <c r="P614" t="s">
        <v>57</v>
      </c>
      <c r="Q614" t="s">
        <v>1391</v>
      </c>
      <c r="R614" t="s">
        <v>1144</v>
      </c>
      <c r="S614" s="1">
        <v>45748</v>
      </c>
      <c r="U614" t="s">
        <v>51</v>
      </c>
      <c r="X614" t="s">
        <v>52</v>
      </c>
      <c r="AF614" s="2">
        <v>131.25</v>
      </c>
      <c r="AG614" s="2">
        <v>0</v>
      </c>
      <c r="AJ614" s="2">
        <v>43.75</v>
      </c>
    </row>
    <row r="615" spans="1:36" x14ac:dyDescent="0.25">
      <c r="A615" s="1">
        <v>45924</v>
      </c>
      <c r="B615" s="1">
        <v>45924</v>
      </c>
      <c r="C615" t="s">
        <v>1388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1403</v>
      </c>
      <c r="J615" t="s">
        <v>1402</v>
      </c>
      <c r="M615" t="s">
        <v>401</v>
      </c>
      <c r="O615" t="s">
        <v>56</v>
      </c>
      <c r="P615" t="s">
        <v>57</v>
      </c>
      <c r="Q615" t="s">
        <v>1391</v>
      </c>
      <c r="R615" t="s">
        <v>1404</v>
      </c>
      <c r="S615" s="1">
        <v>45748</v>
      </c>
      <c r="U615" t="s">
        <v>51</v>
      </c>
      <c r="X615" t="s">
        <v>52</v>
      </c>
      <c r="AF615" s="2">
        <v>469.5</v>
      </c>
      <c r="AG615" s="2">
        <v>0</v>
      </c>
      <c r="AJ615" s="2">
        <v>156.5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E9F2-7775-4ECD-8EDB-51F499EDBB03}">
  <dimension ref="A1:AN607"/>
  <sheetViews>
    <sheetView topLeftCell="A396" workbookViewId="0">
      <selection activeCell="C405" sqref="C405:C413"/>
    </sheetView>
  </sheetViews>
  <sheetFormatPr defaultRowHeight="15" x14ac:dyDescent="0.25"/>
  <cols>
    <col min="1" max="1" width="16.85546875" style="4" bestFit="1" customWidth="1"/>
    <col min="2" max="2" width="16.85546875" style="4" customWidth="1"/>
    <col min="3" max="3" width="20" style="4" bestFit="1" customWidth="1"/>
    <col min="4" max="4" width="26.42578125" bestFit="1" customWidth="1"/>
    <col min="6" max="6" width="27.28515625" bestFit="1" customWidth="1"/>
    <col min="8" max="8" width="56.85546875" bestFit="1" customWidth="1"/>
    <col min="9" max="9" width="10.140625" bestFit="1" customWidth="1"/>
    <col min="10" max="10" width="12.28515625" bestFit="1" customWidth="1"/>
    <col min="16" max="16" width="10.140625" customWidth="1"/>
    <col min="17" max="17" width="43.42578125" bestFit="1" customWidth="1"/>
  </cols>
  <sheetData>
    <row r="1" spans="1:17" x14ac:dyDescent="0.25">
      <c r="A1" s="4" t="s">
        <v>8</v>
      </c>
      <c r="D1" t="s">
        <v>9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37</v>
      </c>
    </row>
    <row r="2" spans="1:17" x14ac:dyDescent="0.25">
      <c r="A2" s="4">
        <v>101048751100</v>
      </c>
      <c r="B2" s="4" t="str">
        <f t="shared" ref="B2:B65" si="0">CONCATENATE(A2,0)</f>
        <v>1010487511000</v>
      </c>
      <c r="C2" s="4" t="str">
        <f t="shared" ref="C2:C65" si="1">CONCATENATE(A2, "OVR")</f>
        <v>101048751100OVR</v>
      </c>
      <c r="D2" t="s">
        <v>412</v>
      </c>
      <c r="E2">
        <v>20411454</v>
      </c>
      <c r="F2" t="s">
        <v>1663</v>
      </c>
      <c r="G2" t="s">
        <v>49</v>
      </c>
      <c r="H2" t="s">
        <v>415</v>
      </c>
      <c r="I2" s="1">
        <v>43466</v>
      </c>
      <c r="J2" s="1">
        <v>45931</v>
      </c>
      <c r="K2" s="2">
        <v>1</v>
      </c>
      <c r="L2" s="2">
        <v>1</v>
      </c>
      <c r="N2" s="3">
        <v>1</v>
      </c>
      <c r="O2" s="2">
        <v>2</v>
      </c>
      <c r="P2" t="s">
        <v>416</v>
      </c>
      <c r="Q2" t="s">
        <v>1639</v>
      </c>
    </row>
    <row r="3" spans="1:17" x14ac:dyDescent="0.25">
      <c r="A3" s="4">
        <v>101050888000</v>
      </c>
      <c r="B3" s="4" t="str">
        <f t="shared" si="0"/>
        <v>1010508880000</v>
      </c>
      <c r="C3" s="4" t="str">
        <f t="shared" si="1"/>
        <v>101050888000OVR</v>
      </c>
      <c r="D3" t="s">
        <v>418</v>
      </c>
      <c r="E3">
        <v>20411454</v>
      </c>
      <c r="F3" t="s">
        <v>1663</v>
      </c>
      <c r="G3" t="s">
        <v>49</v>
      </c>
      <c r="H3" t="s">
        <v>415</v>
      </c>
      <c r="I3" s="1">
        <v>44562</v>
      </c>
      <c r="J3" s="1">
        <v>45931</v>
      </c>
      <c r="K3" s="2">
        <v>1</v>
      </c>
      <c r="L3" s="2">
        <v>1</v>
      </c>
      <c r="N3" s="3">
        <v>1</v>
      </c>
      <c r="O3" s="2">
        <v>2</v>
      </c>
      <c r="P3" t="s">
        <v>416</v>
      </c>
      <c r="Q3" t="s">
        <v>1639</v>
      </c>
    </row>
    <row r="4" spans="1:17" x14ac:dyDescent="0.25">
      <c r="A4" s="4">
        <v>101051538100</v>
      </c>
      <c r="B4" s="4" t="str">
        <f t="shared" si="0"/>
        <v>1010515381000</v>
      </c>
      <c r="C4" s="4" t="str">
        <f t="shared" si="1"/>
        <v>101051538100OVR</v>
      </c>
      <c r="D4" t="s">
        <v>420</v>
      </c>
      <c r="E4">
        <v>20411454</v>
      </c>
      <c r="F4" t="s">
        <v>1663</v>
      </c>
      <c r="G4" t="s">
        <v>49</v>
      </c>
      <c r="H4" t="s">
        <v>415</v>
      </c>
      <c r="I4" s="1">
        <v>45444</v>
      </c>
      <c r="J4" s="1">
        <v>45931</v>
      </c>
      <c r="K4" s="2">
        <v>1</v>
      </c>
      <c r="L4" s="2">
        <v>1</v>
      </c>
      <c r="N4" s="3">
        <v>1</v>
      </c>
      <c r="O4" s="2">
        <v>2</v>
      </c>
      <c r="P4" t="s">
        <v>416</v>
      </c>
      <c r="Q4" t="s">
        <v>1639</v>
      </c>
    </row>
    <row r="5" spans="1:17" x14ac:dyDescent="0.25">
      <c r="A5" s="4">
        <v>101051689400</v>
      </c>
      <c r="B5" s="4" t="str">
        <f t="shared" si="0"/>
        <v>1010516894000</v>
      </c>
      <c r="C5" s="4" t="str">
        <f t="shared" si="1"/>
        <v>101051689400OVR</v>
      </c>
      <c r="D5" t="s">
        <v>423</v>
      </c>
      <c r="E5">
        <v>20411454</v>
      </c>
      <c r="F5" t="s">
        <v>1663</v>
      </c>
      <c r="G5" t="s">
        <v>49</v>
      </c>
      <c r="H5" t="s">
        <v>415</v>
      </c>
      <c r="I5" s="1">
        <v>45658</v>
      </c>
      <c r="J5" s="1">
        <v>45931</v>
      </c>
      <c r="K5" s="2">
        <v>1</v>
      </c>
      <c r="L5" s="2">
        <v>1</v>
      </c>
      <c r="N5" s="3">
        <v>1</v>
      </c>
      <c r="O5" s="2">
        <v>2</v>
      </c>
      <c r="P5" t="s">
        <v>416</v>
      </c>
      <c r="Q5" t="s">
        <v>1639</v>
      </c>
    </row>
    <row r="6" spans="1:17" x14ac:dyDescent="0.25">
      <c r="A6" s="4">
        <v>101052135000</v>
      </c>
      <c r="B6" s="4" t="str">
        <f t="shared" si="0"/>
        <v>1010521350000</v>
      </c>
      <c r="C6" s="4" t="str">
        <f t="shared" si="1"/>
        <v>101052135000OVR</v>
      </c>
      <c r="D6" t="s">
        <v>425</v>
      </c>
      <c r="E6">
        <v>20411454</v>
      </c>
      <c r="F6" t="s">
        <v>1663</v>
      </c>
      <c r="G6" t="s">
        <v>49</v>
      </c>
      <c r="H6" t="s">
        <v>415</v>
      </c>
      <c r="I6" s="1">
        <v>40909</v>
      </c>
      <c r="J6" s="1">
        <v>45931</v>
      </c>
      <c r="K6" s="2">
        <v>1</v>
      </c>
      <c r="L6" s="2">
        <v>1</v>
      </c>
      <c r="N6" s="3">
        <v>1</v>
      </c>
      <c r="O6" s="2">
        <v>2</v>
      </c>
      <c r="P6" t="s">
        <v>416</v>
      </c>
      <c r="Q6" t="s">
        <v>1639</v>
      </c>
    </row>
    <row r="7" spans="1:17" x14ac:dyDescent="0.25">
      <c r="A7" s="4">
        <v>101053757200</v>
      </c>
      <c r="B7" s="4" t="str">
        <f t="shared" si="0"/>
        <v>1010537572000</v>
      </c>
      <c r="C7" s="4" t="str">
        <f t="shared" si="1"/>
        <v>101053757200OVR</v>
      </c>
      <c r="D7" t="s">
        <v>427</v>
      </c>
      <c r="E7">
        <v>20411454</v>
      </c>
      <c r="F7" t="s">
        <v>1663</v>
      </c>
      <c r="G7" t="s">
        <v>49</v>
      </c>
      <c r="H7" t="s">
        <v>415</v>
      </c>
      <c r="I7" s="1">
        <v>43862</v>
      </c>
      <c r="J7" s="1">
        <v>45931</v>
      </c>
      <c r="K7" s="2">
        <v>1</v>
      </c>
      <c r="L7" s="2">
        <v>1</v>
      </c>
      <c r="N7" s="3">
        <v>1</v>
      </c>
      <c r="O7" s="2">
        <v>2</v>
      </c>
      <c r="P7" t="s">
        <v>416</v>
      </c>
      <c r="Q7" t="s">
        <v>1639</v>
      </c>
    </row>
    <row r="8" spans="1:17" x14ac:dyDescent="0.25">
      <c r="A8" s="4">
        <v>101054911000</v>
      </c>
      <c r="B8" s="4" t="str">
        <f t="shared" si="0"/>
        <v>1010549110000</v>
      </c>
      <c r="C8" s="4" t="str">
        <f t="shared" si="1"/>
        <v>101054911000OVR</v>
      </c>
      <c r="D8" t="s">
        <v>429</v>
      </c>
      <c r="E8">
        <v>20411454</v>
      </c>
      <c r="F8" t="s">
        <v>1663</v>
      </c>
      <c r="G8" t="s">
        <v>49</v>
      </c>
      <c r="H8" t="s">
        <v>415</v>
      </c>
      <c r="I8" s="1">
        <v>43678</v>
      </c>
      <c r="J8" s="1">
        <v>45931</v>
      </c>
      <c r="K8" s="2">
        <v>1</v>
      </c>
      <c r="L8" s="2">
        <v>1</v>
      </c>
      <c r="N8" s="3">
        <v>1</v>
      </c>
      <c r="O8" s="2">
        <v>2</v>
      </c>
      <c r="P8" t="s">
        <v>416</v>
      </c>
      <c r="Q8" t="s">
        <v>1639</v>
      </c>
    </row>
    <row r="9" spans="1:17" x14ac:dyDescent="0.25">
      <c r="A9" s="4">
        <v>101055639600</v>
      </c>
      <c r="B9" s="4" t="str">
        <f t="shared" si="0"/>
        <v>1010556396000</v>
      </c>
      <c r="C9" s="4" t="str">
        <f t="shared" si="1"/>
        <v>101055639600OVR</v>
      </c>
      <c r="D9" t="s">
        <v>431</v>
      </c>
      <c r="E9">
        <v>20411454</v>
      </c>
      <c r="F9" t="s">
        <v>1663</v>
      </c>
      <c r="G9" t="s">
        <v>49</v>
      </c>
      <c r="H9" t="s">
        <v>415</v>
      </c>
      <c r="I9" s="1">
        <v>43466</v>
      </c>
      <c r="J9" s="1">
        <v>45931</v>
      </c>
      <c r="K9" s="2">
        <v>1</v>
      </c>
      <c r="L9" s="2">
        <v>1</v>
      </c>
      <c r="N9" s="3">
        <v>1</v>
      </c>
      <c r="O9" s="2">
        <v>2</v>
      </c>
      <c r="P9" t="s">
        <v>416</v>
      </c>
      <c r="Q9" t="s">
        <v>1639</v>
      </c>
    </row>
    <row r="10" spans="1:17" x14ac:dyDescent="0.25">
      <c r="A10" s="4">
        <v>101057312000</v>
      </c>
      <c r="B10" s="4" t="str">
        <f t="shared" si="0"/>
        <v>1010573120000</v>
      </c>
      <c r="C10" s="4" t="str">
        <f t="shared" si="1"/>
        <v>101057312000OVR</v>
      </c>
      <c r="D10" t="s">
        <v>433</v>
      </c>
      <c r="E10">
        <v>20411454</v>
      </c>
      <c r="F10" t="s">
        <v>1663</v>
      </c>
      <c r="G10" t="s">
        <v>49</v>
      </c>
      <c r="H10" t="s">
        <v>415</v>
      </c>
      <c r="I10" s="1">
        <v>43466</v>
      </c>
      <c r="J10" s="1">
        <v>45931</v>
      </c>
      <c r="K10" s="2">
        <v>1</v>
      </c>
      <c r="L10" s="2">
        <v>1</v>
      </c>
      <c r="N10" s="3">
        <v>1</v>
      </c>
      <c r="O10" s="2">
        <v>2</v>
      </c>
      <c r="P10" t="s">
        <v>416</v>
      </c>
      <c r="Q10" t="s">
        <v>1639</v>
      </c>
    </row>
    <row r="11" spans="1:17" x14ac:dyDescent="0.25">
      <c r="A11" s="4">
        <v>101057924100</v>
      </c>
      <c r="B11" s="4" t="str">
        <f t="shared" si="0"/>
        <v>1010579241000</v>
      </c>
      <c r="C11" s="4" t="str">
        <f t="shared" si="1"/>
        <v>101057924100OVR</v>
      </c>
      <c r="D11" t="s">
        <v>435</v>
      </c>
      <c r="E11">
        <v>20411454</v>
      </c>
      <c r="F11" t="s">
        <v>1663</v>
      </c>
      <c r="G11" t="s">
        <v>49</v>
      </c>
      <c r="H11" t="s">
        <v>415</v>
      </c>
      <c r="I11" s="1">
        <v>43466</v>
      </c>
      <c r="J11" s="1">
        <v>45931</v>
      </c>
      <c r="K11" s="2">
        <v>1</v>
      </c>
      <c r="L11" s="2">
        <v>1</v>
      </c>
      <c r="N11" s="3">
        <v>1</v>
      </c>
      <c r="O11" s="2">
        <v>2</v>
      </c>
      <c r="P11" t="s">
        <v>416</v>
      </c>
      <c r="Q11" t="s">
        <v>1639</v>
      </c>
    </row>
    <row r="12" spans="1:17" x14ac:dyDescent="0.25">
      <c r="A12" s="4">
        <v>101058087000</v>
      </c>
      <c r="B12" s="4" t="str">
        <f t="shared" si="0"/>
        <v>1010580870000</v>
      </c>
      <c r="C12" s="4" t="str">
        <f t="shared" si="1"/>
        <v>101058087000OVR</v>
      </c>
      <c r="D12" t="s">
        <v>437</v>
      </c>
      <c r="E12">
        <v>20411454</v>
      </c>
      <c r="F12" t="s">
        <v>1663</v>
      </c>
      <c r="G12" t="s">
        <v>49</v>
      </c>
      <c r="H12" t="s">
        <v>415</v>
      </c>
      <c r="I12" s="1">
        <v>44562</v>
      </c>
      <c r="J12" s="1">
        <v>45931</v>
      </c>
      <c r="K12" s="2">
        <v>1</v>
      </c>
      <c r="L12" s="2">
        <v>1</v>
      </c>
      <c r="N12" s="3">
        <v>1</v>
      </c>
      <c r="O12" s="2">
        <v>2</v>
      </c>
      <c r="P12" t="s">
        <v>416</v>
      </c>
      <c r="Q12" t="s">
        <v>1639</v>
      </c>
    </row>
    <row r="13" spans="1:17" x14ac:dyDescent="0.25">
      <c r="A13" s="4">
        <v>101058793600</v>
      </c>
      <c r="B13" s="4" t="str">
        <f t="shared" si="0"/>
        <v>1010587936000</v>
      </c>
      <c r="C13" s="4" t="str">
        <f t="shared" si="1"/>
        <v>101058793600OVR</v>
      </c>
      <c r="D13" t="s">
        <v>439</v>
      </c>
      <c r="E13">
        <v>20411454</v>
      </c>
      <c r="F13" t="s">
        <v>1663</v>
      </c>
      <c r="G13" t="s">
        <v>49</v>
      </c>
      <c r="H13" t="s">
        <v>415</v>
      </c>
      <c r="I13" s="1">
        <v>43466</v>
      </c>
      <c r="J13" s="1">
        <v>45931</v>
      </c>
      <c r="K13" s="2">
        <v>1</v>
      </c>
      <c r="L13" s="2">
        <v>1</v>
      </c>
      <c r="N13" s="3">
        <v>1</v>
      </c>
      <c r="O13" s="2">
        <v>2</v>
      </c>
      <c r="P13" t="s">
        <v>416</v>
      </c>
      <c r="Q13" t="s">
        <v>1639</v>
      </c>
    </row>
    <row r="14" spans="1:17" x14ac:dyDescent="0.25">
      <c r="A14" s="4">
        <v>101060073300</v>
      </c>
      <c r="B14" s="4" t="str">
        <f t="shared" si="0"/>
        <v>1010600733000</v>
      </c>
      <c r="C14" s="4" t="str">
        <f t="shared" si="1"/>
        <v>101060073300OVR</v>
      </c>
      <c r="D14" t="s">
        <v>441</v>
      </c>
      <c r="E14">
        <v>20411454</v>
      </c>
      <c r="F14" t="s">
        <v>1663</v>
      </c>
      <c r="G14" t="s">
        <v>49</v>
      </c>
      <c r="H14" t="s">
        <v>415</v>
      </c>
      <c r="I14" s="1">
        <v>43678</v>
      </c>
      <c r="J14" s="1">
        <v>45931</v>
      </c>
      <c r="K14" s="2">
        <v>1</v>
      </c>
      <c r="L14" s="2">
        <v>1</v>
      </c>
      <c r="N14" s="3">
        <v>1</v>
      </c>
      <c r="O14" s="2">
        <v>2</v>
      </c>
      <c r="P14" t="s">
        <v>416</v>
      </c>
      <c r="Q14" t="s">
        <v>1639</v>
      </c>
    </row>
    <row r="15" spans="1:17" x14ac:dyDescent="0.25">
      <c r="A15" s="4">
        <v>101060456400</v>
      </c>
      <c r="B15" s="4" t="str">
        <f t="shared" si="0"/>
        <v>1010604564000</v>
      </c>
      <c r="C15" s="4" t="str">
        <f t="shared" si="1"/>
        <v>101060456400OVR</v>
      </c>
      <c r="D15" t="s">
        <v>443</v>
      </c>
      <c r="E15">
        <v>20411454</v>
      </c>
      <c r="F15" t="s">
        <v>1663</v>
      </c>
      <c r="G15" t="s">
        <v>49</v>
      </c>
      <c r="H15" t="s">
        <v>415</v>
      </c>
      <c r="I15" s="1">
        <v>43466</v>
      </c>
      <c r="J15" s="1">
        <v>45931</v>
      </c>
      <c r="K15" s="2">
        <v>1</v>
      </c>
      <c r="L15" s="2">
        <v>1</v>
      </c>
      <c r="N15" s="3">
        <v>1</v>
      </c>
      <c r="O15" s="2">
        <v>2</v>
      </c>
      <c r="P15" t="s">
        <v>416</v>
      </c>
      <c r="Q15" t="s">
        <v>1639</v>
      </c>
    </row>
    <row r="16" spans="1:17" x14ac:dyDescent="0.25">
      <c r="A16" s="4">
        <v>101063039500</v>
      </c>
      <c r="B16" s="4" t="str">
        <f t="shared" si="0"/>
        <v>1010630395000</v>
      </c>
      <c r="C16" s="4" t="str">
        <f t="shared" si="1"/>
        <v>101063039500OVR</v>
      </c>
      <c r="D16" t="s">
        <v>445</v>
      </c>
      <c r="E16">
        <v>20411454</v>
      </c>
      <c r="F16" t="s">
        <v>1663</v>
      </c>
      <c r="G16" t="s">
        <v>49</v>
      </c>
      <c r="H16" t="s">
        <v>415</v>
      </c>
      <c r="I16" s="1">
        <v>45658</v>
      </c>
      <c r="J16" s="1">
        <v>45931</v>
      </c>
      <c r="K16" s="2">
        <v>1</v>
      </c>
      <c r="L16" s="2">
        <v>1</v>
      </c>
      <c r="N16" s="3">
        <v>1</v>
      </c>
      <c r="O16" s="2">
        <v>2</v>
      </c>
      <c r="P16" t="s">
        <v>416</v>
      </c>
      <c r="Q16" t="s">
        <v>1639</v>
      </c>
    </row>
    <row r="17" spans="1:17" x14ac:dyDescent="0.25">
      <c r="A17" s="4">
        <v>101064228200</v>
      </c>
      <c r="B17" s="4" t="str">
        <f t="shared" si="0"/>
        <v>1010642282000</v>
      </c>
      <c r="C17" s="4" t="str">
        <f t="shared" si="1"/>
        <v>101064228200OVR</v>
      </c>
      <c r="D17" t="s">
        <v>447</v>
      </c>
      <c r="E17">
        <v>20411454</v>
      </c>
      <c r="F17" t="s">
        <v>1663</v>
      </c>
      <c r="G17" t="s">
        <v>49</v>
      </c>
      <c r="H17" t="s">
        <v>415</v>
      </c>
      <c r="I17" s="1">
        <v>44562</v>
      </c>
      <c r="J17" s="1">
        <v>45931</v>
      </c>
      <c r="K17" s="2">
        <v>1</v>
      </c>
      <c r="L17" s="2">
        <v>1</v>
      </c>
      <c r="N17" s="3">
        <v>1</v>
      </c>
      <c r="O17" s="2">
        <v>2</v>
      </c>
      <c r="P17" t="s">
        <v>416</v>
      </c>
      <c r="Q17" t="s">
        <v>1639</v>
      </c>
    </row>
    <row r="18" spans="1:17" x14ac:dyDescent="0.25">
      <c r="A18" s="4">
        <v>101065991100</v>
      </c>
      <c r="B18" s="4" t="str">
        <f t="shared" si="0"/>
        <v>1010659911000</v>
      </c>
      <c r="C18" s="4" t="str">
        <f t="shared" si="1"/>
        <v>101065991100OVR</v>
      </c>
      <c r="D18" t="s">
        <v>449</v>
      </c>
      <c r="E18">
        <v>20411454</v>
      </c>
      <c r="F18" t="s">
        <v>1663</v>
      </c>
      <c r="G18" t="s">
        <v>49</v>
      </c>
      <c r="H18" t="s">
        <v>415</v>
      </c>
      <c r="I18" s="1">
        <v>44927</v>
      </c>
      <c r="J18" s="1">
        <v>45931</v>
      </c>
      <c r="K18" s="2">
        <v>1</v>
      </c>
      <c r="L18" s="2">
        <v>1</v>
      </c>
      <c r="N18" s="3">
        <v>1</v>
      </c>
      <c r="O18" s="2">
        <v>2</v>
      </c>
      <c r="P18" t="s">
        <v>416</v>
      </c>
      <c r="Q18" t="s">
        <v>1639</v>
      </c>
    </row>
    <row r="19" spans="1:17" x14ac:dyDescent="0.25">
      <c r="A19" s="4">
        <v>101066997100</v>
      </c>
      <c r="B19" s="4" t="str">
        <f t="shared" si="0"/>
        <v>1010669971000</v>
      </c>
      <c r="C19" s="4" t="str">
        <f t="shared" si="1"/>
        <v>101066997100OVR</v>
      </c>
      <c r="D19" t="s">
        <v>451</v>
      </c>
      <c r="E19">
        <v>20411454</v>
      </c>
      <c r="F19" t="s">
        <v>1663</v>
      </c>
      <c r="G19" t="s">
        <v>49</v>
      </c>
      <c r="H19" t="s">
        <v>415</v>
      </c>
      <c r="I19" s="1">
        <v>43891</v>
      </c>
      <c r="J19" s="1">
        <v>45931</v>
      </c>
      <c r="K19" s="2">
        <v>1</v>
      </c>
      <c r="L19" s="2">
        <v>1</v>
      </c>
      <c r="N19" s="3">
        <v>1</v>
      </c>
      <c r="O19" s="2">
        <v>2</v>
      </c>
      <c r="P19" t="s">
        <v>416</v>
      </c>
      <c r="Q19" t="s">
        <v>1639</v>
      </c>
    </row>
    <row r="20" spans="1:17" x14ac:dyDescent="0.25">
      <c r="A20" s="4">
        <v>101069148700</v>
      </c>
      <c r="B20" s="4" t="str">
        <f t="shared" si="0"/>
        <v>1010691487000</v>
      </c>
      <c r="C20" s="4" t="str">
        <f t="shared" si="1"/>
        <v>101069148700OVR</v>
      </c>
      <c r="D20" t="s">
        <v>453</v>
      </c>
      <c r="E20">
        <v>20411454</v>
      </c>
      <c r="F20" t="s">
        <v>1663</v>
      </c>
      <c r="G20" t="s">
        <v>49</v>
      </c>
      <c r="H20" t="s">
        <v>415</v>
      </c>
      <c r="I20" s="1">
        <v>45292</v>
      </c>
      <c r="J20" s="1">
        <v>45931</v>
      </c>
      <c r="K20" s="2">
        <v>1</v>
      </c>
      <c r="L20" s="2">
        <v>1</v>
      </c>
      <c r="N20" s="3">
        <v>1</v>
      </c>
      <c r="O20" s="2">
        <v>2</v>
      </c>
      <c r="P20" t="s">
        <v>416</v>
      </c>
      <c r="Q20" t="s">
        <v>1639</v>
      </c>
    </row>
    <row r="21" spans="1:17" x14ac:dyDescent="0.25">
      <c r="A21" s="4">
        <v>101070037600</v>
      </c>
      <c r="B21" s="4" t="str">
        <f t="shared" si="0"/>
        <v>1010700376000</v>
      </c>
      <c r="C21" s="4" t="str">
        <f t="shared" si="1"/>
        <v>101070037600OVR</v>
      </c>
      <c r="D21" t="s">
        <v>455</v>
      </c>
      <c r="E21">
        <v>20411454</v>
      </c>
      <c r="F21" t="s">
        <v>1663</v>
      </c>
      <c r="G21" t="s">
        <v>49</v>
      </c>
      <c r="H21" t="s">
        <v>415</v>
      </c>
      <c r="I21" s="1">
        <v>41640</v>
      </c>
      <c r="J21" s="1">
        <v>45931</v>
      </c>
      <c r="K21" s="2">
        <v>1</v>
      </c>
      <c r="L21" s="2">
        <v>1</v>
      </c>
      <c r="N21" s="3">
        <v>1</v>
      </c>
      <c r="O21" s="2">
        <v>2</v>
      </c>
      <c r="P21" t="s">
        <v>416</v>
      </c>
      <c r="Q21" t="s">
        <v>1639</v>
      </c>
    </row>
    <row r="22" spans="1:17" x14ac:dyDescent="0.25">
      <c r="A22" s="4">
        <v>101077326300</v>
      </c>
      <c r="B22" s="4" t="str">
        <f t="shared" si="0"/>
        <v>1010773263000</v>
      </c>
      <c r="C22" s="4" t="str">
        <f t="shared" si="1"/>
        <v>101077326300OVR</v>
      </c>
      <c r="D22" t="s">
        <v>457</v>
      </c>
      <c r="E22">
        <v>20411454</v>
      </c>
      <c r="F22" t="s">
        <v>1663</v>
      </c>
      <c r="G22" t="s">
        <v>49</v>
      </c>
      <c r="H22" t="s">
        <v>415</v>
      </c>
      <c r="I22" s="1">
        <v>43647</v>
      </c>
      <c r="J22" s="1">
        <v>45931</v>
      </c>
      <c r="K22" s="2">
        <v>1</v>
      </c>
      <c r="L22" s="2">
        <v>1</v>
      </c>
      <c r="N22" s="3">
        <v>1</v>
      </c>
      <c r="O22" s="2">
        <v>2</v>
      </c>
      <c r="P22" t="s">
        <v>416</v>
      </c>
      <c r="Q22" t="s">
        <v>1639</v>
      </c>
    </row>
    <row r="23" spans="1:17" x14ac:dyDescent="0.25">
      <c r="A23" s="4">
        <v>101079484800</v>
      </c>
      <c r="B23" s="4" t="str">
        <f t="shared" si="0"/>
        <v>1010794848000</v>
      </c>
      <c r="C23" s="4" t="str">
        <f t="shared" si="1"/>
        <v>101079484800OVR</v>
      </c>
      <c r="D23" t="s">
        <v>459</v>
      </c>
      <c r="E23">
        <v>20411454</v>
      </c>
      <c r="F23" t="s">
        <v>1663</v>
      </c>
      <c r="G23" t="s">
        <v>58</v>
      </c>
      <c r="H23" t="s">
        <v>415</v>
      </c>
      <c r="I23" s="1">
        <v>44044</v>
      </c>
      <c r="J23" s="1">
        <v>45931</v>
      </c>
      <c r="K23" s="2">
        <v>1</v>
      </c>
      <c r="L23" s="2">
        <v>1</v>
      </c>
      <c r="N23" s="3">
        <v>1</v>
      </c>
      <c r="O23" s="2">
        <v>2</v>
      </c>
      <c r="P23" t="s">
        <v>416</v>
      </c>
      <c r="Q23" t="s">
        <v>1639</v>
      </c>
    </row>
    <row r="24" spans="1:17" x14ac:dyDescent="0.25">
      <c r="A24" s="4">
        <v>101081464500</v>
      </c>
      <c r="B24" s="4" t="str">
        <f t="shared" si="0"/>
        <v>1010814645000</v>
      </c>
      <c r="C24" s="4" t="str">
        <f t="shared" si="1"/>
        <v>101081464500OVR</v>
      </c>
      <c r="D24" t="s">
        <v>461</v>
      </c>
      <c r="E24">
        <v>20411454</v>
      </c>
      <c r="F24" t="s">
        <v>1663</v>
      </c>
      <c r="G24" t="s">
        <v>49</v>
      </c>
      <c r="H24" t="s">
        <v>415</v>
      </c>
      <c r="I24" s="1">
        <v>40909</v>
      </c>
      <c r="J24" s="1">
        <v>45931</v>
      </c>
      <c r="K24" s="2">
        <v>1</v>
      </c>
      <c r="L24" s="2">
        <v>1</v>
      </c>
      <c r="N24" s="3">
        <v>1</v>
      </c>
      <c r="O24" s="2">
        <v>2</v>
      </c>
      <c r="P24" t="s">
        <v>416</v>
      </c>
      <c r="Q24" t="s">
        <v>1639</v>
      </c>
    </row>
    <row r="25" spans="1:17" x14ac:dyDescent="0.25">
      <c r="A25" s="4">
        <v>101083195000</v>
      </c>
      <c r="B25" s="4" t="str">
        <f t="shared" si="0"/>
        <v>1010831950000</v>
      </c>
      <c r="C25" s="4" t="str">
        <f t="shared" si="1"/>
        <v>101083195000OVR</v>
      </c>
      <c r="D25" t="s">
        <v>463</v>
      </c>
      <c r="E25">
        <v>20411454</v>
      </c>
      <c r="F25" t="s">
        <v>1663</v>
      </c>
      <c r="G25" t="s">
        <v>49</v>
      </c>
      <c r="H25" t="s">
        <v>415</v>
      </c>
      <c r="I25" s="1">
        <v>40909</v>
      </c>
      <c r="J25" s="1">
        <v>45931</v>
      </c>
      <c r="K25" s="2">
        <v>1</v>
      </c>
      <c r="L25" s="2">
        <v>1</v>
      </c>
      <c r="N25" s="3">
        <v>1</v>
      </c>
      <c r="O25" s="2">
        <v>2</v>
      </c>
      <c r="P25" t="s">
        <v>416</v>
      </c>
      <c r="Q25" t="s">
        <v>1639</v>
      </c>
    </row>
    <row r="26" spans="1:17" x14ac:dyDescent="0.25">
      <c r="A26" s="4">
        <v>101088372600</v>
      </c>
      <c r="B26" s="4" t="str">
        <f t="shared" si="0"/>
        <v>1010883726000</v>
      </c>
      <c r="C26" s="4" t="str">
        <f t="shared" si="1"/>
        <v>101088372600OVR</v>
      </c>
      <c r="D26" t="s">
        <v>465</v>
      </c>
      <c r="E26">
        <v>20411454</v>
      </c>
      <c r="F26" t="s">
        <v>1663</v>
      </c>
      <c r="G26" t="s">
        <v>49</v>
      </c>
      <c r="H26" t="s">
        <v>415</v>
      </c>
      <c r="I26" s="1">
        <v>44562</v>
      </c>
      <c r="J26" s="1">
        <v>45931</v>
      </c>
      <c r="K26" s="2">
        <v>1</v>
      </c>
      <c r="L26" s="2">
        <v>1</v>
      </c>
      <c r="N26" s="3">
        <v>1</v>
      </c>
      <c r="O26" s="2">
        <v>2</v>
      </c>
      <c r="P26" t="s">
        <v>416</v>
      </c>
      <c r="Q26" t="s">
        <v>1639</v>
      </c>
    </row>
    <row r="27" spans="1:17" x14ac:dyDescent="0.25">
      <c r="A27" s="4">
        <v>101091001900</v>
      </c>
      <c r="B27" s="4" t="str">
        <f t="shared" si="0"/>
        <v>1010910019000</v>
      </c>
      <c r="C27" s="4" t="str">
        <f t="shared" si="1"/>
        <v>101091001900OVR</v>
      </c>
      <c r="D27" t="s">
        <v>467</v>
      </c>
      <c r="E27">
        <v>20411454</v>
      </c>
      <c r="F27" t="s">
        <v>1663</v>
      </c>
      <c r="G27" t="s">
        <v>49</v>
      </c>
      <c r="H27" t="s">
        <v>415</v>
      </c>
      <c r="I27" s="1">
        <v>40909</v>
      </c>
      <c r="J27" s="1">
        <v>45931</v>
      </c>
      <c r="K27" s="2">
        <v>1</v>
      </c>
      <c r="L27" s="2">
        <v>1</v>
      </c>
      <c r="N27" s="3">
        <v>1</v>
      </c>
      <c r="O27" s="2">
        <v>2</v>
      </c>
      <c r="P27" t="s">
        <v>416</v>
      </c>
      <c r="Q27" t="s">
        <v>1639</v>
      </c>
    </row>
    <row r="28" spans="1:17" x14ac:dyDescent="0.25">
      <c r="A28" s="4">
        <v>101094290600</v>
      </c>
      <c r="B28" s="4" t="str">
        <f t="shared" si="0"/>
        <v>1010942906000</v>
      </c>
      <c r="C28" s="4" t="str">
        <f t="shared" si="1"/>
        <v>101094290600OVR</v>
      </c>
      <c r="D28" t="s">
        <v>469</v>
      </c>
      <c r="E28">
        <v>20411454</v>
      </c>
      <c r="F28" t="s">
        <v>1663</v>
      </c>
      <c r="G28" t="s">
        <v>49</v>
      </c>
      <c r="H28" t="s">
        <v>415</v>
      </c>
      <c r="I28" s="1">
        <v>44562</v>
      </c>
      <c r="J28" s="1">
        <v>45931</v>
      </c>
      <c r="K28" s="2">
        <v>1</v>
      </c>
      <c r="L28" s="2">
        <v>1</v>
      </c>
      <c r="N28" s="3">
        <v>1</v>
      </c>
      <c r="O28" s="2">
        <v>2</v>
      </c>
      <c r="P28" t="s">
        <v>416</v>
      </c>
      <c r="Q28" t="s">
        <v>1639</v>
      </c>
    </row>
    <row r="29" spans="1:17" x14ac:dyDescent="0.25">
      <c r="A29" s="4">
        <v>101097095200</v>
      </c>
      <c r="B29" s="4" t="str">
        <f t="shared" si="0"/>
        <v>1010970952000</v>
      </c>
      <c r="C29" s="4" t="str">
        <f t="shared" si="1"/>
        <v>101097095200OVR</v>
      </c>
      <c r="D29" t="s">
        <v>471</v>
      </c>
      <c r="E29">
        <v>20411454</v>
      </c>
      <c r="F29" t="s">
        <v>1663</v>
      </c>
      <c r="G29" t="s">
        <v>49</v>
      </c>
      <c r="H29" t="s">
        <v>415</v>
      </c>
      <c r="I29" s="1">
        <v>45658</v>
      </c>
      <c r="J29" s="1">
        <v>45931</v>
      </c>
      <c r="K29" s="2">
        <v>1</v>
      </c>
      <c r="L29" s="2">
        <v>1</v>
      </c>
      <c r="N29" s="3">
        <v>1</v>
      </c>
      <c r="O29" s="2">
        <v>2</v>
      </c>
      <c r="P29" t="s">
        <v>416</v>
      </c>
      <c r="Q29" t="s">
        <v>1639</v>
      </c>
    </row>
    <row r="30" spans="1:17" x14ac:dyDescent="0.25">
      <c r="A30" s="4">
        <v>101098603800</v>
      </c>
      <c r="B30" s="4" t="str">
        <f t="shared" si="0"/>
        <v>1010986038000</v>
      </c>
      <c r="C30" s="4" t="str">
        <f t="shared" si="1"/>
        <v>101098603800OVR</v>
      </c>
      <c r="D30" t="s">
        <v>473</v>
      </c>
      <c r="E30">
        <v>20411454</v>
      </c>
      <c r="F30" t="s">
        <v>1663</v>
      </c>
      <c r="G30" t="s">
        <v>49</v>
      </c>
      <c r="H30" t="s">
        <v>415</v>
      </c>
      <c r="I30" s="1">
        <v>44562</v>
      </c>
      <c r="J30" s="1">
        <v>45931</v>
      </c>
      <c r="K30" s="2">
        <v>1</v>
      </c>
      <c r="L30" s="2">
        <v>1</v>
      </c>
      <c r="N30" s="3">
        <v>1</v>
      </c>
      <c r="O30" s="2">
        <v>2</v>
      </c>
      <c r="P30" t="s">
        <v>416</v>
      </c>
      <c r="Q30" t="s">
        <v>1639</v>
      </c>
    </row>
    <row r="31" spans="1:17" x14ac:dyDescent="0.25">
      <c r="A31" s="4">
        <v>101109815100</v>
      </c>
      <c r="B31" s="4" t="str">
        <f t="shared" si="0"/>
        <v>1011098151000</v>
      </c>
      <c r="C31" s="4" t="str">
        <f t="shared" si="1"/>
        <v>101109815100OVR</v>
      </c>
      <c r="D31" t="s">
        <v>475</v>
      </c>
      <c r="E31">
        <v>20411454</v>
      </c>
      <c r="F31" t="s">
        <v>1663</v>
      </c>
      <c r="G31" t="s">
        <v>49</v>
      </c>
      <c r="H31" t="s">
        <v>415</v>
      </c>
      <c r="I31" s="1">
        <v>43831</v>
      </c>
      <c r="J31" s="1">
        <v>45931</v>
      </c>
      <c r="K31" s="2">
        <v>1</v>
      </c>
      <c r="L31" s="2">
        <v>1</v>
      </c>
      <c r="N31" s="3">
        <v>1</v>
      </c>
      <c r="O31" s="2">
        <v>2</v>
      </c>
      <c r="P31" t="s">
        <v>416</v>
      </c>
      <c r="Q31" t="s">
        <v>1639</v>
      </c>
    </row>
    <row r="32" spans="1:17" x14ac:dyDescent="0.25">
      <c r="A32" s="4">
        <v>101114920100</v>
      </c>
      <c r="B32" s="4" t="str">
        <f t="shared" si="0"/>
        <v>1011149201000</v>
      </c>
      <c r="C32" s="4" t="str">
        <f t="shared" si="1"/>
        <v>101114920100OVR</v>
      </c>
      <c r="D32" t="s">
        <v>477</v>
      </c>
      <c r="E32">
        <v>20411454</v>
      </c>
      <c r="F32" t="s">
        <v>1663</v>
      </c>
      <c r="G32" t="s">
        <v>49</v>
      </c>
      <c r="H32" t="s">
        <v>415</v>
      </c>
      <c r="I32" s="1">
        <v>44562</v>
      </c>
      <c r="J32" s="1">
        <v>45931</v>
      </c>
      <c r="K32" s="2">
        <v>1</v>
      </c>
      <c r="L32" s="2">
        <v>1</v>
      </c>
      <c r="N32" s="3">
        <v>1</v>
      </c>
      <c r="O32" s="2">
        <v>2</v>
      </c>
      <c r="P32" t="s">
        <v>416</v>
      </c>
      <c r="Q32" t="s">
        <v>1639</v>
      </c>
    </row>
    <row r="33" spans="1:17" x14ac:dyDescent="0.25">
      <c r="A33" s="4">
        <v>101119229200</v>
      </c>
      <c r="B33" s="4" t="str">
        <f t="shared" si="0"/>
        <v>1011192292000</v>
      </c>
      <c r="C33" s="4" t="str">
        <f t="shared" si="1"/>
        <v>101119229200OVR</v>
      </c>
      <c r="D33" t="s">
        <v>479</v>
      </c>
      <c r="E33">
        <v>20411454</v>
      </c>
      <c r="F33" t="s">
        <v>1663</v>
      </c>
      <c r="G33" t="s">
        <v>49</v>
      </c>
      <c r="H33" t="s">
        <v>415</v>
      </c>
      <c r="I33" s="1">
        <v>43831</v>
      </c>
      <c r="J33" s="1">
        <v>45931</v>
      </c>
      <c r="K33" s="2">
        <v>1</v>
      </c>
      <c r="L33" s="2">
        <v>1</v>
      </c>
      <c r="N33" s="3">
        <v>1</v>
      </c>
      <c r="O33" s="2">
        <v>2</v>
      </c>
      <c r="P33" t="s">
        <v>416</v>
      </c>
      <c r="Q33" t="s">
        <v>1639</v>
      </c>
    </row>
    <row r="34" spans="1:17" x14ac:dyDescent="0.25">
      <c r="A34" s="4">
        <v>101120868400</v>
      </c>
      <c r="B34" s="4" t="str">
        <f t="shared" si="0"/>
        <v>1011208684000</v>
      </c>
      <c r="C34" s="4" t="str">
        <f t="shared" si="1"/>
        <v>101120868400OVR</v>
      </c>
      <c r="D34" t="s">
        <v>481</v>
      </c>
      <c r="E34">
        <v>20411454</v>
      </c>
      <c r="F34" t="s">
        <v>1663</v>
      </c>
      <c r="G34" t="s">
        <v>49</v>
      </c>
      <c r="H34" t="s">
        <v>415</v>
      </c>
      <c r="I34" s="1">
        <v>43831</v>
      </c>
      <c r="J34" s="1">
        <v>45931</v>
      </c>
      <c r="K34" s="2">
        <v>1</v>
      </c>
      <c r="L34" s="2">
        <v>1</v>
      </c>
      <c r="N34" s="3">
        <v>1</v>
      </c>
      <c r="O34" s="2">
        <v>2</v>
      </c>
      <c r="P34" t="s">
        <v>416</v>
      </c>
      <c r="Q34" t="s">
        <v>1639</v>
      </c>
    </row>
    <row r="35" spans="1:17" x14ac:dyDescent="0.25">
      <c r="A35" s="4">
        <v>101129469000</v>
      </c>
      <c r="B35" s="4" t="str">
        <f t="shared" si="0"/>
        <v>1011294690000</v>
      </c>
      <c r="C35" s="4" t="str">
        <f t="shared" si="1"/>
        <v>101129469000OVR</v>
      </c>
      <c r="D35" t="s">
        <v>483</v>
      </c>
      <c r="E35">
        <v>20411454</v>
      </c>
      <c r="F35" t="s">
        <v>1663</v>
      </c>
      <c r="G35" t="s">
        <v>49</v>
      </c>
      <c r="H35" t="s">
        <v>415</v>
      </c>
      <c r="I35" s="1">
        <v>43831</v>
      </c>
      <c r="J35" s="1">
        <v>45931</v>
      </c>
      <c r="K35" s="2">
        <v>1</v>
      </c>
      <c r="L35" s="2">
        <v>1</v>
      </c>
      <c r="N35" s="3">
        <v>1</v>
      </c>
      <c r="O35" s="2">
        <v>2</v>
      </c>
      <c r="P35" t="s">
        <v>416</v>
      </c>
      <c r="Q35" t="s">
        <v>1639</v>
      </c>
    </row>
    <row r="36" spans="1:17" x14ac:dyDescent="0.25">
      <c r="A36" s="4">
        <v>101137592300</v>
      </c>
      <c r="B36" s="4" t="str">
        <f t="shared" si="0"/>
        <v>1011375923000</v>
      </c>
      <c r="C36" s="4" t="str">
        <f t="shared" si="1"/>
        <v>101137592300OVR</v>
      </c>
      <c r="D36" t="s">
        <v>485</v>
      </c>
      <c r="E36">
        <v>20411454</v>
      </c>
      <c r="F36" t="s">
        <v>1663</v>
      </c>
      <c r="G36" t="s">
        <v>49</v>
      </c>
      <c r="H36" t="s">
        <v>415</v>
      </c>
      <c r="I36" s="1">
        <v>43862</v>
      </c>
      <c r="J36" s="1">
        <v>45931</v>
      </c>
      <c r="K36" s="2">
        <v>1</v>
      </c>
      <c r="L36" s="2">
        <v>1</v>
      </c>
      <c r="N36" s="3">
        <v>1</v>
      </c>
      <c r="O36" s="2">
        <v>2</v>
      </c>
      <c r="P36" t="s">
        <v>416</v>
      </c>
      <c r="Q36" t="s">
        <v>1639</v>
      </c>
    </row>
    <row r="37" spans="1:17" x14ac:dyDescent="0.25">
      <c r="A37" s="4">
        <v>101138580000</v>
      </c>
      <c r="B37" s="4" t="str">
        <f t="shared" si="0"/>
        <v>1011385800000</v>
      </c>
      <c r="C37" s="4" t="str">
        <f t="shared" si="1"/>
        <v>101138580000OVR</v>
      </c>
      <c r="D37" t="s">
        <v>487</v>
      </c>
      <c r="E37">
        <v>20411454</v>
      </c>
      <c r="F37" t="s">
        <v>1663</v>
      </c>
      <c r="G37" t="s">
        <v>49</v>
      </c>
      <c r="H37" t="s">
        <v>415</v>
      </c>
      <c r="I37" s="1">
        <v>45292</v>
      </c>
      <c r="J37" s="1">
        <v>45931</v>
      </c>
      <c r="K37" s="2">
        <v>1</v>
      </c>
      <c r="L37" s="2">
        <v>1</v>
      </c>
      <c r="N37" s="3">
        <v>1</v>
      </c>
      <c r="O37" s="2">
        <v>2</v>
      </c>
      <c r="P37" t="s">
        <v>416</v>
      </c>
      <c r="Q37" t="s">
        <v>1639</v>
      </c>
    </row>
    <row r="38" spans="1:17" x14ac:dyDescent="0.25">
      <c r="A38" s="4">
        <v>101183834800</v>
      </c>
      <c r="B38" s="4" t="str">
        <f t="shared" si="0"/>
        <v>1011838348000</v>
      </c>
      <c r="C38" s="4" t="str">
        <f t="shared" si="1"/>
        <v>101183834800OVR</v>
      </c>
      <c r="D38" t="s">
        <v>491</v>
      </c>
      <c r="E38">
        <v>20411454</v>
      </c>
      <c r="F38" t="s">
        <v>1663</v>
      </c>
      <c r="G38" t="s">
        <v>49</v>
      </c>
      <c r="H38" t="s">
        <v>415</v>
      </c>
      <c r="I38" s="1">
        <v>45658</v>
      </c>
      <c r="J38" s="1">
        <v>45931</v>
      </c>
      <c r="K38" s="2">
        <v>1</v>
      </c>
      <c r="L38" s="2">
        <v>1</v>
      </c>
      <c r="N38" s="3">
        <v>1</v>
      </c>
      <c r="O38" s="2">
        <v>2</v>
      </c>
      <c r="P38" t="s">
        <v>416</v>
      </c>
      <c r="Q38" t="s">
        <v>1639</v>
      </c>
    </row>
    <row r="39" spans="1:17" x14ac:dyDescent="0.25">
      <c r="A39" s="4">
        <v>101189072000</v>
      </c>
      <c r="B39" s="4" t="str">
        <f t="shared" si="0"/>
        <v>1011890720000</v>
      </c>
      <c r="C39" s="4" t="str">
        <f t="shared" si="1"/>
        <v>101189072000OVR</v>
      </c>
      <c r="D39" t="s">
        <v>493</v>
      </c>
      <c r="E39">
        <v>20411454</v>
      </c>
      <c r="F39" t="s">
        <v>1663</v>
      </c>
      <c r="G39" t="s">
        <v>49</v>
      </c>
      <c r="H39" t="s">
        <v>415</v>
      </c>
      <c r="I39" s="1">
        <v>44197</v>
      </c>
      <c r="J39" s="1">
        <v>45931</v>
      </c>
      <c r="K39" s="2">
        <v>1</v>
      </c>
      <c r="L39" s="2">
        <v>1</v>
      </c>
      <c r="N39" s="3">
        <v>1</v>
      </c>
      <c r="O39" s="2">
        <v>2</v>
      </c>
      <c r="P39" t="s">
        <v>416</v>
      </c>
      <c r="Q39" t="s">
        <v>1639</v>
      </c>
    </row>
    <row r="40" spans="1:17" x14ac:dyDescent="0.25">
      <c r="A40" s="4">
        <v>101196246500</v>
      </c>
      <c r="B40" s="4" t="str">
        <f t="shared" si="0"/>
        <v>1011962465000</v>
      </c>
      <c r="C40" s="4" t="str">
        <f t="shared" si="1"/>
        <v>101196246500OVR</v>
      </c>
      <c r="D40" t="s">
        <v>495</v>
      </c>
      <c r="E40">
        <v>20411454</v>
      </c>
      <c r="F40" t="s">
        <v>1663</v>
      </c>
      <c r="G40" t="s">
        <v>49</v>
      </c>
      <c r="H40" t="s">
        <v>415</v>
      </c>
      <c r="I40" s="1">
        <v>44562</v>
      </c>
      <c r="J40" s="1">
        <v>45931</v>
      </c>
      <c r="K40" s="2">
        <v>1</v>
      </c>
      <c r="L40" s="2">
        <v>1</v>
      </c>
      <c r="N40" s="3">
        <v>1</v>
      </c>
      <c r="O40" s="2">
        <v>2</v>
      </c>
      <c r="P40" t="s">
        <v>416</v>
      </c>
      <c r="Q40" t="s">
        <v>1639</v>
      </c>
    </row>
    <row r="41" spans="1:17" x14ac:dyDescent="0.25">
      <c r="A41" s="4">
        <v>101196250400</v>
      </c>
      <c r="B41" s="4" t="str">
        <f t="shared" si="0"/>
        <v>1011962504000</v>
      </c>
      <c r="C41" s="4" t="str">
        <f t="shared" si="1"/>
        <v>101196250400OVR</v>
      </c>
      <c r="D41" t="s">
        <v>497</v>
      </c>
      <c r="E41">
        <v>20411454</v>
      </c>
      <c r="F41" t="s">
        <v>1663</v>
      </c>
      <c r="G41" t="s">
        <v>49</v>
      </c>
      <c r="H41" t="s">
        <v>415</v>
      </c>
      <c r="I41" s="1">
        <v>44562</v>
      </c>
      <c r="J41" s="1">
        <v>45931</v>
      </c>
      <c r="K41" s="2">
        <v>1</v>
      </c>
      <c r="L41" s="2">
        <v>1</v>
      </c>
      <c r="N41" s="3">
        <v>1</v>
      </c>
      <c r="O41" s="2">
        <v>2</v>
      </c>
      <c r="P41" t="s">
        <v>416</v>
      </c>
      <c r="Q41" t="s">
        <v>1639</v>
      </c>
    </row>
    <row r="42" spans="1:17" x14ac:dyDescent="0.25">
      <c r="A42" s="4">
        <v>101201876300</v>
      </c>
      <c r="B42" s="4" t="str">
        <f t="shared" si="0"/>
        <v>1012018763000</v>
      </c>
      <c r="C42" s="4" t="str">
        <f t="shared" si="1"/>
        <v>101201876300OVR</v>
      </c>
      <c r="D42" t="s">
        <v>499</v>
      </c>
      <c r="E42">
        <v>20411454</v>
      </c>
      <c r="F42" t="s">
        <v>1663</v>
      </c>
      <c r="G42" t="s">
        <v>49</v>
      </c>
      <c r="H42" t="s">
        <v>415</v>
      </c>
      <c r="I42" s="1">
        <v>44197</v>
      </c>
      <c r="J42" s="1">
        <v>45931</v>
      </c>
      <c r="K42" s="2">
        <v>1</v>
      </c>
      <c r="L42" s="2">
        <v>1</v>
      </c>
      <c r="N42" s="3">
        <v>1</v>
      </c>
      <c r="O42" s="2">
        <v>2</v>
      </c>
      <c r="P42" t="s">
        <v>416</v>
      </c>
      <c r="Q42" t="s">
        <v>1639</v>
      </c>
    </row>
    <row r="43" spans="1:17" x14ac:dyDescent="0.25">
      <c r="A43" s="4">
        <v>101201921800</v>
      </c>
      <c r="B43" s="4" t="str">
        <f t="shared" si="0"/>
        <v>1012019218000</v>
      </c>
      <c r="C43" s="4" t="str">
        <f t="shared" si="1"/>
        <v>101201921800OVR</v>
      </c>
      <c r="D43" t="s">
        <v>501</v>
      </c>
      <c r="E43">
        <v>20411454</v>
      </c>
      <c r="F43" t="s">
        <v>1663</v>
      </c>
      <c r="G43" t="s">
        <v>49</v>
      </c>
      <c r="H43" t="s">
        <v>415</v>
      </c>
      <c r="I43" s="1">
        <v>44197</v>
      </c>
      <c r="J43" s="1">
        <v>45931</v>
      </c>
      <c r="K43" s="2">
        <v>1</v>
      </c>
      <c r="L43" s="2">
        <v>1</v>
      </c>
      <c r="N43" s="3">
        <v>1</v>
      </c>
      <c r="O43" s="2">
        <v>2</v>
      </c>
      <c r="P43" t="s">
        <v>416</v>
      </c>
      <c r="Q43" t="s">
        <v>1639</v>
      </c>
    </row>
    <row r="44" spans="1:17" x14ac:dyDescent="0.25">
      <c r="A44" s="4">
        <v>101202905500</v>
      </c>
      <c r="B44" s="4" t="str">
        <f t="shared" si="0"/>
        <v>1012029055000</v>
      </c>
      <c r="C44" s="4" t="str">
        <f t="shared" si="1"/>
        <v>101202905500OVR</v>
      </c>
      <c r="D44" t="s">
        <v>503</v>
      </c>
      <c r="E44">
        <v>20411454</v>
      </c>
      <c r="F44" t="s">
        <v>1663</v>
      </c>
      <c r="G44" t="s">
        <v>49</v>
      </c>
      <c r="H44" t="s">
        <v>415</v>
      </c>
      <c r="I44" s="1">
        <v>44166</v>
      </c>
      <c r="J44" s="1">
        <v>45931</v>
      </c>
      <c r="K44" s="2">
        <v>1</v>
      </c>
      <c r="L44" s="2">
        <v>1</v>
      </c>
      <c r="N44" s="3">
        <v>1</v>
      </c>
      <c r="O44" s="2">
        <v>2</v>
      </c>
      <c r="P44" t="s">
        <v>416</v>
      </c>
      <c r="Q44" t="s">
        <v>1639</v>
      </c>
    </row>
    <row r="45" spans="1:17" x14ac:dyDescent="0.25">
      <c r="A45" s="4">
        <v>101204412700</v>
      </c>
      <c r="B45" s="4" t="str">
        <f t="shared" si="0"/>
        <v>1012044127000</v>
      </c>
      <c r="C45" s="4" t="str">
        <f t="shared" si="1"/>
        <v>101204412700OVR</v>
      </c>
      <c r="D45" t="s">
        <v>505</v>
      </c>
      <c r="E45">
        <v>20411454</v>
      </c>
      <c r="F45" t="s">
        <v>1663</v>
      </c>
      <c r="G45" t="s">
        <v>49</v>
      </c>
      <c r="H45" t="s">
        <v>415</v>
      </c>
      <c r="I45" s="1">
        <v>44197</v>
      </c>
      <c r="J45" s="1">
        <v>45931</v>
      </c>
      <c r="K45" s="2">
        <v>1</v>
      </c>
      <c r="L45" s="2">
        <v>1</v>
      </c>
      <c r="N45" s="3">
        <v>1</v>
      </c>
      <c r="O45" s="2">
        <v>2</v>
      </c>
      <c r="P45" t="s">
        <v>416</v>
      </c>
      <c r="Q45" t="s">
        <v>1639</v>
      </c>
    </row>
    <row r="46" spans="1:17" x14ac:dyDescent="0.25">
      <c r="A46" s="4">
        <v>101204473000</v>
      </c>
      <c r="B46" s="4" t="str">
        <f t="shared" si="0"/>
        <v>1012044730000</v>
      </c>
      <c r="C46" s="4" t="str">
        <f t="shared" si="1"/>
        <v>101204473000OVR</v>
      </c>
      <c r="D46" t="s">
        <v>507</v>
      </c>
      <c r="E46">
        <v>20411454</v>
      </c>
      <c r="F46" t="s">
        <v>1663</v>
      </c>
      <c r="G46" t="s">
        <v>49</v>
      </c>
      <c r="H46" t="s">
        <v>415</v>
      </c>
      <c r="I46" s="1">
        <v>44197</v>
      </c>
      <c r="J46" s="1">
        <v>45931</v>
      </c>
      <c r="K46" s="2">
        <v>1</v>
      </c>
      <c r="L46" s="2">
        <v>1</v>
      </c>
      <c r="N46" s="3">
        <v>1</v>
      </c>
      <c r="O46" s="2">
        <v>2</v>
      </c>
      <c r="P46" t="s">
        <v>416</v>
      </c>
      <c r="Q46" t="s">
        <v>1639</v>
      </c>
    </row>
    <row r="47" spans="1:17" x14ac:dyDescent="0.25">
      <c r="A47" s="4">
        <v>101205114900</v>
      </c>
      <c r="B47" s="4" t="str">
        <f t="shared" si="0"/>
        <v>1012051149000</v>
      </c>
      <c r="C47" s="4" t="str">
        <f t="shared" si="1"/>
        <v>101205114900OVR</v>
      </c>
      <c r="D47" t="s">
        <v>509</v>
      </c>
      <c r="E47">
        <v>20411454</v>
      </c>
      <c r="F47" t="s">
        <v>1663</v>
      </c>
      <c r="G47" t="s">
        <v>49</v>
      </c>
      <c r="H47" t="s">
        <v>415</v>
      </c>
      <c r="I47" s="1">
        <v>44197</v>
      </c>
      <c r="J47" s="1">
        <v>45931</v>
      </c>
      <c r="K47" s="2">
        <v>1</v>
      </c>
      <c r="L47" s="2">
        <v>1</v>
      </c>
      <c r="N47" s="3">
        <v>1</v>
      </c>
      <c r="O47" s="2">
        <v>2</v>
      </c>
      <c r="P47" t="s">
        <v>416</v>
      </c>
      <c r="Q47" t="s">
        <v>1639</v>
      </c>
    </row>
    <row r="48" spans="1:17" x14ac:dyDescent="0.25">
      <c r="A48" s="4">
        <v>101205241100</v>
      </c>
      <c r="B48" s="4" t="str">
        <f t="shared" si="0"/>
        <v>1012052411000</v>
      </c>
      <c r="C48" s="4" t="str">
        <f t="shared" si="1"/>
        <v>101205241100OVR</v>
      </c>
      <c r="D48" t="s">
        <v>511</v>
      </c>
      <c r="E48">
        <v>20411454</v>
      </c>
      <c r="F48" t="s">
        <v>1663</v>
      </c>
      <c r="G48" t="s">
        <v>49</v>
      </c>
      <c r="H48" t="s">
        <v>415</v>
      </c>
      <c r="I48" s="1">
        <v>44197</v>
      </c>
      <c r="J48" s="1">
        <v>45931</v>
      </c>
      <c r="K48" s="2">
        <v>1</v>
      </c>
      <c r="L48" s="2">
        <v>1</v>
      </c>
      <c r="N48" s="3">
        <v>1</v>
      </c>
      <c r="O48" s="2">
        <v>2</v>
      </c>
      <c r="P48" t="s">
        <v>416</v>
      </c>
      <c r="Q48" t="s">
        <v>1639</v>
      </c>
    </row>
    <row r="49" spans="1:17" x14ac:dyDescent="0.25">
      <c r="A49" s="4">
        <v>101209240300</v>
      </c>
      <c r="B49" s="4" t="str">
        <f t="shared" si="0"/>
        <v>1012092403000</v>
      </c>
      <c r="C49" s="4" t="str">
        <f t="shared" si="1"/>
        <v>101209240300OVR</v>
      </c>
      <c r="D49" t="s">
        <v>513</v>
      </c>
      <c r="E49">
        <v>20411454</v>
      </c>
      <c r="F49" t="s">
        <v>1663</v>
      </c>
      <c r="G49" t="s">
        <v>49</v>
      </c>
      <c r="H49" t="s">
        <v>415</v>
      </c>
      <c r="I49" s="1">
        <v>45658</v>
      </c>
      <c r="J49" s="1">
        <v>45931</v>
      </c>
      <c r="K49" s="2">
        <v>1</v>
      </c>
      <c r="L49" s="2">
        <v>1</v>
      </c>
      <c r="N49" s="3">
        <v>1</v>
      </c>
      <c r="O49" s="2">
        <v>2</v>
      </c>
      <c r="P49" t="s">
        <v>416</v>
      </c>
      <c r="Q49" t="s">
        <v>1639</v>
      </c>
    </row>
    <row r="50" spans="1:17" x14ac:dyDescent="0.25">
      <c r="A50" s="4">
        <v>101209273900</v>
      </c>
      <c r="B50" s="4" t="str">
        <f t="shared" si="0"/>
        <v>1012092739000</v>
      </c>
      <c r="C50" s="4" t="str">
        <f t="shared" si="1"/>
        <v>101209273900OVR</v>
      </c>
      <c r="D50" t="s">
        <v>515</v>
      </c>
      <c r="E50">
        <v>20411454</v>
      </c>
      <c r="F50" t="s">
        <v>1663</v>
      </c>
      <c r="G50" t="s">
        <v>49</v>
      </c>
      <c r="H50" t="s">
        <v>415</v>
      </c>
      <c r="I50" s="1">
        <v>44256</v>
      </c>
      <c r="J50" s="1">
        <v>45931</v>
      </c>
      <c r="K50" s="2">
        <v>1</v>
      </c>
      <c r="L50" s="2">
        <v>1</v>
      </c>
      <c r="N50" s="3">
        <v>1</v>
      </c>
      <c r="O50" s="2">
        <v>2</v>
      </c>
      <c r="P50" t="s">
        <v>416</v>
      </c>
      <c r="Q50" t="s">
        <v>1639</v>
      </c>
    </row>
    <row r="51" spans="1:17" x14ac:dyDescent="0.25">
      <c r="A51" s="4">
        <v>101209504000</v>
      </c>
      <c r="B51" s="4" t="str">
        <f t="shared" si="0"/>
        <v>1012095040000</v>
      </c>
      <c r="C51" s="4" t="str">
        <f t="shared" si="1"/>
        <v>101209504000OVR</v>
      </c>
      <c r="D51" t="s">
        <v>517</v>
      </c>
      <c r="E51">
        <v>20411454</v>
      </c>
      <c r="F51" t="s">
        <v>1663</v>
      </c>
      <c r="G51" t="s">
        <v>49</v>
      </c>
      <c r="H51" t="s">
        <v>415</v>
      </c>
      <c r="I51" s="1">
        <v>44927</v>
      </c>
      <c r="J51" s="1">
        <v>45931</v>
      </c>
      <c r="K51" s="2">
        <v>1</v>
      </c>
      <c r="L51" s="2">
        <v>1</v>
      </c>
      <c r="N51" s="3">
        <v>1</v>
      </c>
      <c r="O51" s="2">
        <v>2</v>
      </c>
      <c r="P51" t="s">
        <v>416</v>
      </c>
      <c r="Q51" t="s">
        <v>1639</v>
      </c>
    </row>
    <row r="52" spans="1:17" x14ac:dyDescent="0.25">
      <c r="A52" s="4">
        <v>101209755200</v>
      </c>
      <c r="B52" s="4" t="str">
        <f t="shared" si="0"/>
        <v>1012097552000</v>
      </c>
      <c r="C52" s="4" t="str">
        <f t="shared" si="1"/>
        <v>101209755200OVR</v>
      </c>
      <c r="D52" t="s">
        <v>519</v>
      </c>
      <c r="E52">
        <v>20411454</v>
      </c>
      <c r="F52" t="s">
        <v>1663</v>
      </c>
      <c r="G52" t="s">
        <v>49</v>
      </c>
      <c r="H52" t="s">
        <v>415</v>
      </c>
      <c r="I52" s="1">
        <v>45658</v>
      </c>
      <c r="J52" s="1">
        <v>45931</v>
      </c>
      <c r="K52" s="2">
        <v>1</v>
      </c>
      <c r="L52" s="2">
        <v>1</v>
      </c>
      <c r="N52" s="3">
        <v>1</v>
      </c>
      <c r="O52" s="2">
        <v>2</v>
      </c>
      <c r="P52" t="s">
        <v>416</v>
      </c>
      <c r="Q52" t="s">
        <v>1639</v>
      </c>
    </row>
    <row r="53" spans="1:17" x14ac:dyDescent="0.25">
      <c r="A53" s="4">
        <v>101209812800</v>
      </c>
      <c r="B53" s="4" t="str">
        <f t="shared" si="0"/>
        <v>1012098128000</v>
      </c>
      <c r="C53" s="4" t="str">
        <f t="shared" si="1"/>
        <v>101209812800OVR</v>
      </c>
      <c r="D53" t="s">
        <v>521</v>
      </c>
      <c r="E53">
        <v>20411454</v>
      </c>
      <c r="F53" t="s">
        <v>1663</v>
      </c>
      <c r="G53" t="s">
        <v>49</v>
      </c>
      <c r="H53" t="s">
        <v>415</v>
      </c>
      <c r="I53" s="1">
        <v>45658</v>
      </c>
      <c r="J53" s="1">
        <v>45931</v>
      </c>
      <c r="K53" s="2">
        <v>1</v>
      </c>
      <c r="L53" s="2">
        <v>1</v>
      </c>
      <c r="N53" s="3">
        <v>1</v>
      </c>
      <c r="O53" s="2">
        <v>2</v>
      </c>
      <c r="P53" t="s">
        <v>416</v>
      </c>
      <c r="Q53" t="s">
        <v>1639</v>
      </c>
    </row>
    <row r="54" spans="1:17" x14ac:dyDescent="0.25">
      <c r="A54" s="4">
        <v>101212333500</v>
      </c>
      <c r="B54" s="4" t="str">
        <f t="shared" si="0"/>
        <v>1012123335000</v>
      </c>
      <c r="C54" s="4" t="str">
        <f t="shared" si="1"/>
        <v>101212333500OVR</v>
      </c>
      <c r="D54" t="s">
        <v>523</v>
      </c>
      <c r="E54">
        <v>20411454</v>
      </c>
      <c r="F54" t="s">
        <v>1663</v>
      </c>
      <c r="G54" t="s">
        <v>49</v>
      </c>
      <c r="H54" t="s">
        <v>415</v>
      </c>
      <c r="I54" s="1">
        <v>44562</v>
      </c>
      <c r="J54" s="1">
        <v>45931</v>
      </c>
      <c r="K54" s="2">
        <v>1</v>
      </c>
      <c r="L54" s="2">
        <v>1</v>
      </c>
      <c r="N54" s="3">
        <v>1</v>
      </c>
      <c r="O54" s="2">
        <v>2</v>
      </c>
      <c r="P54" t="s">
        <v>416</v>
      </c>
      <c r="Q54" t="s">
        <v>1639</v>
      </c>
    </row>
    <row r="55" spans="1:17" x14ac:dyDescent="0.25">
      <c r="A55" s="4">
        <v>101212516000</v>
      </c>
      <c r="B55" s="4" t="str">
        <f t="shared" si="0"/>
        <v>1012125160000</v>
      </c>
      <c r="C55" s="4" t="str">
        <f t="shared" si="1"/>
        <v>101212516000OVR</v>
      </c>
      <c r="D55" t="s">
        <v>525</v>
      </c>
      <c r="E55">
        <v>20411454</v>
      </c>
      <c r="F55" t="s">
        <v>1663</v>
      </c>
      <c r="G55" t="s">
        <v>49</v>
      </c>
      <c r="H55" t="s">
        <v>415</v>
      </c>
      <c r="I55" s="1">
        <v>44562</v>
      </c>
      <c r="J55" s="1">
        <v>45931</v>
      </c>
      <c r="K55" s="2">
        <v>1</v>
      </c>
      <c r="L55" s="2">
        <v>1</v>
      </c>
      <c r="N55" s="3">
        <v>1</v>
      </c>
      <c r="O55" s="2">
        <v>2</v>
      </c>
      <c r="P55" t="s">
        <v>416</v>
      </c>
      <c r="Q55" t="s">
        <v>1639</v>
      </c>
    </row>
    <row r="56" spans="1:17" x14ac:dyDescent="0.25">
      <c r="A56" s="4">
        <v>101212543700</v>
      </c>
      <c r="B56" s="4" t="str">
        <f t="shared" si="0"/>
        <v>1012125437000</v>
      </c>
      <c r="C56" s="4" t="str">
        <f t="shared" si="1"/>
        <v>101212543700OVR</v>
      </c>
      <c r="D56" t="s">
        <v>527</v>
      </c>
      <c r="E56">
        <v>20411454</v>
      </c>
      <c r="F56" t="s">
        <v>1663</v>
      </c>
      <c r="G56" t="s">
        <v>49</v>
      </c>
      <c r="H56" t="s">
        <v>415</v>
      </c>
      <c r="I56" s="1">
        <v>44317</v>
      </c>
      <c r="J56" s="1">
        <v>45931</v>
      </c>
      <c r="K56" s="2">
        <v>1</v>
      </c>
      <c r="L56" s="2">
        <v>1</v>
      </c>
      <c r="N56" s="3">
        <v>1</v>
      </c>
      <c r="O56" s="2">
        <v>2</v>
      </c>
      <c r="P56" t="s">
        <v>416</v>
      </c>
      <c r="Q56" t="s">
        <v>1639</v>
      </c>
    </row>
    <row r="57" spans="1:17" x14ac:dyDescent="0.25">
      <c r="A57" s="4">
        <v>101260351600</v>
      </c>
      <c r="B57" s="4" t="str">
        <f t="shared" si="0"/>
        <v>1012603516000</v>
      </c>
      <c r="C57" s="4" t="str">
        <f t="shared" si="1"/>
        <v>101260351600OVR</v>
      </c>
      <c r="D57" t="s">
        <v>529</v>
      </c>
      <c r="E57">
        <v>20411454</v>
      </c>
      <c r="F57" t="s">
        <v>1663</v>
      </c>
      <c r="G57" t="s">
        <v>49</v>
      </c>
      <c r="H57" t="s">
        <v>415</v>
      </c>
      <c r="I57" s="1">
        <v>44256</v>
      </c>
      <c r="J57" s="1">
        <v>45931</v>
      </c>
      <c r="K57" s="2">
        <v>1</v>
      </c>
      <c r="L57" s="2">
        <v>1</v>
      </c>
      <c r="N57" s="3">
        <v>1</v>
      </c>
      <c r="O57" s="2">
        <v>2</v>
      </c>
      <c r="P57" t="s">
        <v>416</v>
      </c>
      <c r="Q57" t="s">
        <v>1639</v>
      </c>
    </row>
    <row r="58" spans="1:17" x14ac:dyDescent="0.25">
      <c r="A58" s="4">
        <v>101280490300</v>
      </c>
      <c r="B58" s="4" t="str">
        <f t="shared" si="0"/>
        <v>1012804903000</v>
      </c>
      <c r="C58" s="4" t="str">
        <f t="shared" si="1"/>
        <v>101280490300OVR</v>
      </c>
      <c r="D58" t="s">
        <v>531</v>
      </c>
      <c r="E58">
        <v>20411454</v>
      </c>
      <c r="F58" t="s">
        <v>1663</v>
      </c>
      <c r="G58" t="s">
        <v>49</v>
      </c>
      <c r="H58" t="s">
        <v>415</v>
      </c>
      <c r="I58" s="1">
        <v>43466</v>
      </c>
      <c r="J58" s="1">
        <v>45931</v>
      </c>
      <c r="K58" s="2">
        <v>1</v>
      </c>
      <c r="L58" s="2">
        <v>1</v>
      </c>
      <c r="N58" s="3">
        <v>1</v>
      </c>
      <c r="O58" s="2">
        <v>2</v>
      </c>
      <c r="P58" t="s">
        <v>416</v>
      </c>
      <c r="Q58" t="s">
        <v>1639</v>
      </c>
    </row>
    <row r="59" spans="1:17" x14ac:dyDescent="0.25">
      <c r="A59" s="4">
        <v>101298071600</v>
      </c>
      <c r="B59" s="4" t="str">
        <f t="shared" si="0"/>
        <v>1012980716000</v>
      </c>
      <c r="C59" s="4" t="str">
        <f t="shared" si="1"/>
        <v>101298071600OVR</v>
      </c>
      <c r="D59" t="s">
        <v>533</v>
      </c>
      <c r="E59">
        <v>20411454</v>
      </c>
      <c r="F59" t="s">
        <v>1663</v>
      </c>
      <c r="G59" t="s">
        <v>49</v>
      </c>
      <c r="H59" t="s">
        <v>415</v>
      </c>
      <c r="I59" s="1">
        <v>45292</v>
      </c>
      <c r="J59" s="1">
        <v>45931</v>
      </c>
      <c r="K59" s="2">
        <v>1</v>
      </c>
      <c r="L59" s="2">
        <v>1</v>
      </c>
      <c r="N59" s="3">
        <v>1</v>
      </c>
      <c r="O59" s="2">
        <v>2</v>
      </c>
      <c r="P59" t="s">
        <v>416</v>
      </c>
      <c r="Q59" t="s">
        <v>1639</v>
      </c>
    </row>
    <row r="60" spans="1:17" x14ac:dyDescent="0.25">
      <c r="A60" s="4">
        <v>101316867900</v>
      </c>
      <c r="B60" s="4" t="str">
        <f t="shared" si="0"/>
        <v>1013168679000</v>
      </c>
      <c r="C60" s="4" t="str">
        <f t="shared" si="1"/>
        <v>101316867900OVR</v>
      </c>
      <c r="D60" t="s">
        <v>538</v>
      </c>
      <c r="E60">
        <v>20411454</v>
      </c>
      <c r="F60" t="s">
        <v>1663</v>
      </c>
      <c r="G60" t="s">
        <v>49</v>
      </c>
      <c r="H60" t="s">
        <v>415</v>
      </c>
      <c r="I60" s="1">
        <v>43800</v>
      </c>
      <c r="J60" s="1">
        <v>45931</v>
      </c>
      <c r="K60" s="2">
        <v>1</v>
      </c>
      <c r="L60" s="2">
        <v>1</v>
      </c>
      <c r="N60" s="3">
        <v>1</v>
      </c>
      <c r="O60" s="2">
        <v>2</v>
      </c>
      <c r="P60" t="s">
        <v>416</v>
      </c>
      <c r="Q60" t="s">
        <v>1639</v>
      </c>
    </row>
    <row r="61" spans="1:17" x14ac:dyDescent="0.25">
      <c r="A61" s="4">
        <v>101337869700</v>
      </c>
      <c r="B61" s="4" t="str">
        <f t="shared" si="0"/>
        <v>1013378697000</v>
      </c>
      <c r="C61" s="4" t="str">
        <f t="shared" si="1"/>
        <v>101337869700OVR</v>
      </c>
      <c r="D61" t="s">
        <v>540</v>
      </c>
      <c r="E61">
        <v>20411454</v>
      </c>
      <c r="F61" t="s">
        <v>1663</v>
      </c>
      <c r="G61" t="s">
        <v>49</v>
      </c>
      <c r="H61" t="s">
        <v>415</v>
      </c>
      <c r="I61" s="1">
        <v>43466</v>
      </c>
      <c r="J61" s="1">
        <v>45931</v>
      </c>
      <c r="K61" s="2">
        <v>1</v>
      </c>
      <c r="L61" s="2">
        <v>1</v>
      </c>
      <c r="N61" s="3">
        <v>1</v>
      </c>
      <c r="O61" s="2">
        <v>2</v>
      </c>
      <c r="P61" t="s">
        <v>416</v>
      </c>
      <c r="Q61" t="s">
        <v>1639</v>
      </c>
    </row>
    <row r="62" spans="1:17" x14ac:dyDescent="0.25">
      <c r="A62" s="4">
        <v>101338772600</v>
      </c>
      <c r="B62" s="4" t="str">
        <f t="shared" si="0"/>
        <v>1013387726000</v>
      </c>
      <c r="C62" s="4" t="str">
        <f t="shared" si="1"/>
        <v>101338772600OVR</v>
      </c>
      <c r="D62" t="s">
        <v>542</v>
      </c>
      <c r="E62">
        <v>20411454</v>
      </c>
      <c r="F62" t="s">
        <v>1663</v>
      </c>
      <c r="G62" t="s">
        <v>49</v>
      </c>
      <c r="H62" t="s">
        <v>415</v>
      </c>
      <c r="I62" s="1">
        <v>45536</v>
      </c>
      <c r="J62" s="1">
        <v>45931</v>
      </c>
      <c r="K62" s="2">
        <v>1</v>
      </c>
      <c r="L62" s="2">
        <v>1</v>
      </c>
      <c r="N62" s="3">
        <v>1</v>
      </c>
      <c r="O62" s="2">
        <v>2</v>
      </c>
      <c r="P62" t="s">
        <v>416</v>
      </c>
      <c r="Q62" t="s">
        <v>1639</v>
      </c>
    </row>
    <row r="63" spans="1:17" x14ac:dyDescent="0.25">
      <c r="A63" s="4">
        <v>101351768100</v>
      </c>
      <c r="B63" s="4" t="str">
        <f t="shared" si="0"/>
        <v>1013517681000</v>
      </c>
      <c r="C63" s="4" t="str">
        <f t="shared" si="1"/>
        <v>101351768100OVR</v>
      </c>
      <c r="D63" t="s">
        <v>544</v>
      </c>
      <c r="E63">
        <v>20411454</v>
      </c>
      <c r="F63" t="s">
        <v>1663</v>
      </c>
      <c r="G63" t="s">
        <v>58</v>
      </c>
      <c r="H63" t="s">
        <v>415</v>
      </c>
      <c r="I63" s="1">
        <v>43831</v>
      </c>
      <c r="J63" s="1">
        <v>45931</v>
      </c>
      <c r="K63" s="2">
        <v>1</v>
      </c>
      <c r="L63" s="2">
        <v>1</v>
      </c>
      <c r="N63" s="3">
        <v>1</v>
      </c>
      <c r="O63" s="2">
        <v>2</v>
      </c>
      <c r="P63" t="s">
        <v>416</v>
      </c>
      <c r="Q63" t="s">
        <v>1639</v>
      </c>
    </row>
    <row r="64" spans="1:17" x14ac:dyDescent="0.25">
      <c r="A64" s="4">
        <v>101368023800</v>
      </c>
      <c r="B64" s="4" t="str">
        <f t="shared" si="0"/>
        <v>1013680238000</v>
      </c>
      <c r="C64" s="4" t="str">
        <f t="shared" si="1"/>
        <v>101368023800OVR</v>
      </c>
      <c r="D64" t="s">
        <v>546</v>
      </c>
      <c r="E64">
        <v>20411454</v>
      </c>
      <c r="F64" t="s">
        <v>1663</v>
      </c>
      <c r="G64" t="s">
        <v>49</v>
      </c>
      <c r="H64" t="s">
        <v>415</v>
      </c>
      <c r="I64" s="1">
        <v>45292</v>
      </c>
      <c r="J64" s="1">
        <v>45931</v>
      </c>
      <c r="K64" s="2">
        <v>1</v>
      </c>
      <c r="L64" s="2">
        <v>1</v>
      </c>
      <c r="N64" s="3">
        <v>1</v>
      </c>
      <c r="O64" s="2">
        <v>2</v>
      </c>
      <c r="P64" t="s">
        <v>416</v>
      </c>
      <c r="Q64" t="s">
        <v>1639</v>
      </c>
    </row>
    <row r="65" spans="1:17" x14ac:dyDescent="0.25">
      <c r="A65" s="4">
        <v>101375450100</v>
      </c>
      <c r="B65" s="4" t="str">
        <f t="shared" si="0"/>
        <v>1013754501000</v>
      </c>
      <c r="C65" s="4" t="str">
        <f t="shared" si="1"/>
        <v>101375450100OVR</v>
      </c>
      <c r="D65" t="s">
        <v>548</v>
      </c>
      <c r="E65">
        <v>20411454</v>
      </c>
      <c r="F65" t="s">
        <v>1663</v>
      </c>
      <c r="G65" t="s">
        <v>49</v>
      </c>
      <c r="H65" t="s">
        <v>415</v>
      </c>
      <c r="I65" s="1">
        <v>45292</v>
      </c>
      <c r="J65" s="1">
        <v>45931</v>
      </c>
      <c r="K65" s="2">
        <v>1</v>
      </c>
      <c r="L65" s="2">
        <v>1</v>
      </c>
      <c r="N65" s="3">
        <v>1</v>
      </c>
      <c r="O65" s="2">
        <v>2</v>
      </c>
      <c r="P65" t="s">
        <v>416</v>
      </c>
      <c r="Q65" t="s">
        <v>1639</v>
      </c>
    </row>
    <row r="66" spans="1:17" x14ac:dyDescent="0.25">
      <c r="A66" s="4">
        <v>101388566000</v>
      </c>
      <c r="B66" s="4" t="str">
        <f t="shared" ref="B66:B129" si="2">CONCATENATE(A66,0)</f>
        <v>1013885660000</v>
      </c>
      <c r="C66" s="4" t="str">
        <f t="shared" ref="C66:C129" si="3">CONCATENATE(A66, "OVR")</f>
        <v>101388566000OVR</v>
      </c>
      <c r="D66" t="s">
        <v>550</v>
      </c>
      <c r="E66">
        <v>20411454</v>
      </c>
      <c r="F66" t="s">
        <v>1663</v>
      </c>
      <c r="G66" t="s">
        <v>49</v>
      </c>
      <c r="H66" t="s">
        <v>415</v>
      </c>
      <c r="I66" s="1">
        <v>44136</v>
      </c>
      <c r="J66" s="1">
        <v>45931</v>
      </c>
      <c r="K66" s="2">
        <v>1</v>
      </c>
      <c r="L66" s="2">
        <v>1</v>
      </c>
      <c r="N66" s="3">
        <v>1</v>
      </c>
      <c r="O66" s="2">
        <v>2</v>
      </c>
      <c r="P66" t="s">
        <v>416</v>
      </c>
      <c r="Q66" t="s">
        <v>1639</v>
      </c>
    </row>
    <row r="67" spans="1:17" x14ac:dyDescent="0.25">
      <c r="A67" s="4">
        <v>101453387000</v>
      </c>
      <c r="B67" s="4" t="str">
        <f t="shared" si="2"/>
        <v>1014533870000</v>
      </c>
      <c r="C67" s="4" t="str">
        <f t="shared" si="3"/>
        <v>101453387000OVR</v>
      </c>
      <c r="D67" t="s">
        <v>552</v>
      </c>
      <c r="E67">
        <v>20411454</v>
      </c>
      <c r="F67" t="s">
        <v>1663</v>
      </c>
      <c r="G67" t="s">
        <v>49</v>
      </c>
      <c r="H67" t="s">
        <v>415</v>
      </c>
      <c r="I67" s="1">
        <v>44256</v>
      </c>
      <c r="J67" s="1">
        <v>45931</v>
      </c>
      <c r="K67" s="2">
        <v>1</v>
      </c>
      <c r="L67" s="2">
        <v>1</v>
      </c>
      <c r="N67" s="3">
        <v>1</v>
      </c>
      <c r="O67" s="2">
        <v>2</v>
      </c>
      <c r="P67" t="s">
        <v>416</v>
      </c>
      <c r="Q67" t="s">
        <v>1639</v>
      </c>
    </row>
    <row r="68" spans="1:17" x14ac:dyDescent="0.25">
      <c r="A68" s="4">
        <v>101453389700</v>
      </c>
      <c r="B68" s="4" t="str">
        <f t="shared" si="2"/>
        <v>1014533897000</v>
      </c>
      <c r="C68" s="4" t="str">
        <f t="shared" si="3"/>
        <v>101453389700OVR</v>
      </c>
      <c r="D68" t="s">
        <v>554</v>
      </c>
      <c r="E68">
        <v>20411454</v>
      </c>
      <c r="F68" t="s">
        <v>1663</v>
      </c>
      <c r="G68" t="s">
        <v>49</v>
      </c>
      <c r="H68" t="s">
        <v>415</v>
      </c>
      <c r="I68" s="1">
        <v>44287</v>
      </c>
      <c r="J68" s="1">
        <v>45931</v>
      </c>
      <c r="K68" s="2">
        <v>1</v>
      </c>
      <c r="L68" s="2">
        <v>1</v>
      </c>
      <c r="N68" s="3">
        <v>1</v>
      </c>
      <c r="O68" s="2">
        <v>2</v>
      </c>
      <c r="P68" t="s">
        <v>416</v>
      </c>
      <c r="Q68" t="s">
        <v>1639</v>
      </c>
    </row>
    <row r="69" spans="1:17" x14ac:dyDescent="0.25">
      <c r="A69" s="4">
        <v>101458682200</v>
      </c>
      <c r="B69" s="4" t="str">
        <f t="shared" si="2"/>
        <v>1014586822000</v>
      </c>
      <c r="C69" s="4" t="str">
        <f t="shared" si="3"/>
        <v>101458682200OVR</v>
      </c>
      <c r="D69" t="s">
        <v>559</v>
      </c>
      <c r="E69">
        <v>20411454</v>
      </c>
      <c r="F69" t="s">
        <v>1663</v>
      </c>
      <c r="G69" t="s">
        <v>49</v>
      </c>
      <c r="H69" t="s">
        <v>415</v>
      </c>
      <c r="I69" s="1">
        <v>44317</v>
      </c>
      <c r="J69" s="1">
        <v>45931</v>
      </c>
      <c r="K69" s="2">
        <v>1</v>
      </c>
      <c r="L69" s="2">
        <v>1</v>
      </c>
      <c r="N69" s="3">
        <v>1</v>
      </c>
      <c r="O69" s="2">
        <v>2</v>
      </c>
      <c r="P69" t="s">
        <v>416</v>
      </c>
      <c r="Q69" t="s">
        <v>1639</v>
      </c>
    </row>
    <row r="70" spans="1:17" x14ac:dyDescent="0.25">
      <c r="A70" s="4">
        <v>101458763400</v>
      </c>
      <c r="B70" s="4" t="str">
        <f t="shared" si="2"/>
        <v>1014587634000</v>
      </c>
      <c r="C70" s="4" t="str">
        <f t="shared" si="3"/>
        <v>101458763400OVR</v>
      </c>
      <c r="D70" t="s">
        <v>561</v>
      </c>
      <c r="E70">
        <v>20411454</v>
      </c>
      <c r="F70" t="s">
        <v>1663</v>
      </c>
      <c r="G70" t="s">
        <v>49</v>
      </c>
      <c r="H70" t="s">
        <v>415</v>
      </c>
      <c r="I70" s="1">
        <v>45658</v>
      </c>
      <c r="J70" s="1">
        <v>45931</v>
      </c>
      <c r="K70" s="2">
        <v>1</v>
      </c>
      <c r="L70" s="2">
        <v>1</v>
      </c>
      <c r="N70" s="3">
        <v>1</v>
      </c>
      <c r="O70" s="2">
        <v>2</v>
      </c>
      <c r="P70" t="s">
        <v>416</v>
      </c>
      <c r="Q70" t="s">
        <v>1639</v>
      </c>
    </row>
    <row r="71" spans="1:17" x14ac:dyDescent="0.25">
      <c r="A71" s="4">
        <v>101470696800</v>
      </c>
      <c r="B71" s="4" t="str">
        <f t="shared" si="2"/>
        <v>1014706968000</v>
      </c>
      <c r="C71" s="4" t="str">
        <f t="shared" si="3"/>
        <v>101470696800OVR</v>
      </c>
      <c r="D71" t="s">
        <v>563</v>
      </c>
      <c r="E71">
        <v>20411454</v>
      </c>
      <c r="F71" t="s">
        <v>1663</v>
      </c>
      <c r="G71" t="s">
        <v>49</v>
      </c>
      <c r="H71" t="s">
        <v>415</v>
      </c>
      <c r="I71" s="1">
        <v>44501</v>
      </c>
      <c r="J71" s="1">
        <v>45931</v>
      </c>
      <c r="K71" s="2">
        <v>1</v>
      </c>
      <c r="L71" s="2">
        <v>1</v>
      </c>
      <c r="N71" s="3">
        <v>1</v>
      </c>
      <c r="O71" s="2">
        <v>2</v>
      </c>
      <c r="P71" t="s">
        <v>416</v>
      </c>
      <c r="Q71" t="s">
        <v>1639</v>
      </c>
    </row>
    <row r="72" spans="1:17" x14ac:dyDescent="0.25">
      <c r="A72" s="4">
        <v>101471660500</v>
      </c>
      <c r="B72" s="4" t="str">
        <f t="shared" si="2"/>
        <v>1014716605000</v>
      </c>
      <c r="C72" s="4" t="str">
        <f t="shared" si="3"/>
        <v>101471660500OVR</v>
      </c>
      <c r="D72" t="s">
        <v>565</v>
      </c>
      <c r="E72">
        <v>20411454</v>
      </c>
      <c r="F72" t="s">
        <v>1663</v>
      </c>
      <c r="G72" t="s">
        <v>49</v>
      </c>
      <c r="H72" t="s">
        <v>415</v>
      </c>
      <c r="I72" s="1">
        <v>44562</v>
      </c>
      <c r="J72" s="1">
        <v>45931</v>
      </c>
      <c r="K72" s="2">
        <v>1</v>
      </c>
      <c r="L72" s="2">
        <v>1</v>
      </c>
      <c r="N72" s="3">
        <v>1</v>
      </c>
      <c r="O72" s="2">
        <v>2</v>
      </c>
      <c r="P72" t="s">
        <v>416</v>
      </c>
      <c r="Q72" t="s">
        <v>1639</v>
      </c>
    </row>
    <row r="73" spans="1:17" x14ac:dyDescent="0.25">
      <c r="A73" s="4">
        <v>101471707600</v>
      </c>
      <c r="B73" s="4" t="str">
        <f t="shared" si="2"/>
        <v>1014717076000</v>
      </c>
      <c r="C73" s="4" t="str">
        <f t="shared" si="3"/>
        <v>101471707600OVR</v>
      </c>
      <c r="D73" t="s">
        <v>567</v>
      </c>
      <c r="E73">
        <v>20411454</v>
      </c>
      <c r="F73" t="s">
        <v>1663</v>
      </c>
      <c r="G73" t="s">
        <v>49</v>
      </c>
      <c r="H73" t="s">
        <v>415</v>
      </c>
      <c r="I73" s="1">
        <v>44562</v>
      </c>
      <c r="J73" s="1">
        <v>45931</v>
      </c>
      <c r="K73" s="2">
        <v>1</v>
      </c>
      <c r="L73" s="2">
        <v>1</v>
      </c>
      <c r="N73" s="3">
        <v>1</v>
      </c>
      <c r="O73" s="2">
        <v>2</v>
      </c>
      <c r="P73" t="s">
        <v>416</v>
      </c>
      <c r="Q73" t="s">
        <v>1639</v>
      </c>
    </row>
    <row r="74" spans="1:17" x14ac:dyDescent="0.25">
      <c r="A74" s="4">
        <v>101471757300</v>
      </c>
      <c r="B74" s="4" t="str">
        <f t="shared" si="2"/>
        <v>1014717573000</v>
      </c>
      <c r="C74" s="4" t="str">
        <f t="shared" si="3"/>
        <v>101471757300OVR</v>
      </c>
      <c r="D74" t="s">
        <v>569</v>
      </c>
      <c r="E74">
        <v>20411454</v>
      </c>
      <c r="F74" t="s">
        <v>1663</v>
      </c>
      <c r="G74" t="s">
        <v>49</v>
      </c>
      <c r="H74" t="s">
        <v>415</v>
      </c>
      <c r="I74" s="1">
        <v>44562</v>
      </c>
      <c r="J74" s="1">
        <v>45931</v>
      </c>
      <c r="K74" s="2">
        <v>1</v>
      </c>
      <c r="L74" s="2">
        <v>1</v>
      </c>
      <c r="N74" s="3">
        <v>1</v>
      </c>
      <c r="O74" s="2">
        <v>2</v>
      </c>
      <c r="P74" t="s">
        <v>416</v>
      </c>
      <c r="Q74" t="s">
        <v>1639</v>
      </c>
    </row>
    <row r="75" spans="1:17" x14ac:dyDescent="0.25">
      <c r="A75" s="4">
        <v>101472308200</v>
      </c>
      <c r="B75" s="4" t="str">
        <f t="shared" si="2"/>
        <v>1014723082000</v>
      </c>
      <c r="C75" s="4" t="str">
        <f t="shared" si="3"/>
        <v>101472308200OVR</v>
      </c>
      <c r="D75" t="s">
        <v>571</v>
      </c>
      <c r="E75">
        <v>20411454</v>
      </c>
      <c r="F75" t="s">
        <v>1663</v>
      </c>
      <c r="G75" t="s">
        <v>49</v>
      </c>
      <c r="H75" t="s">
        <v>415</v>
      </c>
      <c r="I75" s="1">
        <v>44562</v>
      </c>
      <c r="J75" s="1">
        <v>45931</v>
      </c>
      <c r="K75" s="2">
        <v>1</v>
      </c>
      <c r="L75" s="2">
        <v>1</v>
      </c>
      <c r="N75" s="3">
        <v>1</v>
      </c>
      <c r="O75" s="2">
        <v>2</v>
      </c>
      <c r="P75" t="s">
        <v>416</v>
      </c>
      <c r="Q75" t="s">
        <v>1639</v>
      </c>
    </row>
    <row r="76" spans="1:17" x14ac:dyDescent="0.25">
      <c r="A76" s="4">
        <v>101472627800</v>
      </c>
      <c r="B76" s="4" t="str">
        <f t="shared" si="2"/>
        <v>1014726278000</v>
      </c>
      <c r="C76" s="4" t="str">
        <f t="shared" si="3"/>
        <v>101472627800OVR</v>
      </c>
      <c r="D76" t="s">
        <v>573</v>
      </c>
      <c r="E76">
        <v>20411454</v>
      </c>
      <c r="F76" t="s">
        <v>1663</v>
      </c>
      <c r="G76" t="s">
        <v>49</v>
      </c>
      <c r="H76" t="s">
        <v>415</v>
      </c>
      <c r="I76" s="1">
        <v>44562</v>
      </c>
      <c r="J76" s="1">
        <v>45931</v>
      </c>
      <c r="K76" s="2">
        <v>1</v>
      </c>
      <c r="L76" s="2">
        <v>1</v>
      </c>
      <c r="N76" s="3">
        <v>1</v>
      </c>
      <c r="O76" s="2">
        <v>2</v>
      </c>
      <c r="P76" t="s">
        <v>416</v>
      </c>
      <c r="Q76" t="s">
        <v>1639</v>
      </c>
    </row>
    <row r="77" spans="1:17" x14ac:dyDescent="0.25">
      <c r="A77" s="4">
        <v>101473096300</v>
      </c>
      <c r="B77" s="4" t="str">
        <f t="shared" si="2"/>
        <v>1014730963000</v>
      </c>
      <c r="C77" s="4" t="str">
        <f t="shared" si="3"/>
        <v>101473096300OVR</v>
      </c>
      <c r="D77" t="s">
        <v>575</v>
      </c>
      <c r="E77">
        <v>20411454</v>
      </c>
      <c r="F77" t="s">
        <v>1663</v>
      </c>
      <c r="G77" t="s">
        <v>49</v>
      </c>
      <c r="H77" t="s">
        <v>415</v>
      </c>
      <c r="I77" s="1">
        <v>44562</v>
      </c>
      <c r="J77" s="1">
        <v>45931</v>
      </c>
      <c r="K77" s="2">
        <v>1</v>
      </c>
      <c r="L77" s="2">
        <v>1</v>
      </c>
      <c r="N77" s="3">
        <v>1</v>
      </c>
      <c r="O77" s="2">
        <v>2</v>
      </c>
      <c r="P77" t="s">
        <v>416</v>
      </c>
      <c r="Q77" t="s">
        <v>1639</v>
      </c>
    </row>
    <row r="78" spans="1:17" x14ac:dyDescent="0.25">
      <c r="A78" s="4">
        <v>101473158500</v>
      </c>
      <c r="B78" s="4" t="str">
        <f t="shared" si="2"/>
        <v>1014731585000</v>
      </c>
      <c r="C78" s="4" t="str">
        <f t="shared" si="3"/>
        <v>101473158500OVR</v>
      </c>
      <c r="D78" t="s">
        <v>577</v>
      </c>
      <c r="E78">
        <v>20411454</v>
      </c>
      <c r="F78" t="s">
        <v>1663</v>
      </c>
      <c r="G78" t="s">
        <v>49</v>
      </c>
      <c r="H78" t="s">
        <v>415</v>
      </c>
      <c r="I78" s="1">
        <v>44927</v>
      </c>
      <c r="J78" s="1">
        <v>45931</v>
      </c>
      <c r="K78" s="2">
        <v>1</v>
      </c>
      <c r="L78" s="2">
        <v>1</v>
      </c>
      <c r="N78" s="3">
        <v>1</v>
      </c>
      <c r="O78" s="2">
        <v>2</v>
      </c>
      <c r="P78" t="s">
        <v>416</v>
      </c>
      <c r="Q78" t="s">
        <v>1639</v>
      </c>
    </row>
    <row r="79" spans="1:17" x14ac:dyDescent="0.25">
      <c r="A79" s="4">
        <v>101473461600</v>
      </c>
      <c r="B79" s="4" t="str">
        <f t="shared" si="2"/>
        <v>1014734616000</v>
      </c>
      <c r="C79" s="4" t="str">
        <f t="shared" si="3"/>
        <v>101473461600OVR</v>
      </c>
      <c r="D79" t="s">
        <v>579</v>
      </c>
      <c r="E79">
        <v>20411454</v>
      </c>
      <c r="F79" t="s">
        <v>1663</v>
      </c>
      <c r="G79" t="s">
        <v>49</v>
      </c>
      <c r="H79" t="s">
        <v>415</v>
      </c>
      <c r="I79" s="1">
        <v>44562</v>
      </c>
      <c r="J79" s="1">
        <v>45931</v>
      </c>
      <c r="K79" s="2">
        <v>1</v>
      </c>
      <c r="L79" s="2">
        <v>1</v>
      </c>
      <c r="N79" s="3">
        <v>1</v>
      </c>
      <c r="O79" s="2">
        <v>2</v>
      </c>
      <c r="P79" t="s">
        <v>416</v>
      </c>
      <c r="Q79" t="s">
        <v>1639</v>
      </c>
    </row>
    <row r="80" spans="1:17" x14ac:dyDescent="0.25">
      <c r="A80" s="4">
        <v>101473890900</v>
      </c>
      <c r="B80" s="4" t="str">
        <f t="shared" si="2"/>
        <v>1014738909000</v>
      </c>
      <c r="C80" s="4" t="str">
        <f t="shared" si="3"/>
        <v>101473890900OVR</v>
      </c>
      <c r="D80" t="s">
        <v>581</v>
      </c>
      <c r="E80">
        <v>20411454</v>
      </c>
      <c r="F80" t="s">
        <v>1663</v>
      </c>
      <c r="G80" t="s">
        <v>49</v>
      </c>
      <c r="H80" t="s">
        <v>415</v>
      </c>
      <c r="I80" s="1">
        <v>44562</v>
      </c>
      <c r="J80" s="1">
        <v>45931</v>
      </c>
      <c r="K80" s="2">
        <v>1</v>
      </c>
      <c r="L80" s="2">
        <v>1</v>
      </c>
      <c r="N80" s="3">
        <v>1</v>
      </c>
      <c r="O80" s="2">
        <v>2</v>
      </c>
      <c r="P80" t="s">
        <v>416</v>
      </c>
      <c r="Q80" t="s">
        <v>1639</v>
      </c>
    </row>
    <row r="81" spans="1:17" x14ac:dyDescent="0.25">
      <c r="A81" s="4">
        <v>101473907300</v>
      </c>
      <c r="B81" s="4" t="str">
        <f t="shared" si="2"/>
        <v>1014739073000</v>
      </c>
      <c r="C81" s="4" t="str">
        <f t="shared" si="3"/>
        <v>101473907300OVR</v>
      </c>
      <c r="D81" t="s">
        <v>583</v>
      </c>
      <c r="E81">
        <v>20411454</v>
      </c>
      <c r="F81" t="s">
        <v>1663</v>
      </c>
      <c r="G81" t="s">
        <v>49</v>
      </c>
      <c r="H81" t="s">
        <v>415</v>
      </c>
      <c r="I81" s="1">
        <v>44562</v>
      </c>
      <c r="J81" s="1">
        <v>45931</v>
      </c>
      <c r="K81" s="2">
        <v>1</v>
      </c>
      <c r="L81" s="2">
        <v>1</v>
      </c>
      <c r="N81" s="3">
        <v>1</v>
      </c>
      <c r="O81" s="2">
        <v>2</v>
      </c>
      <c r="P81" t="s">
        <v>416</v>
      </c>
      <c r="Q81" t="s">
        <v>1639</v>
      </c>
    </row>
    <row r="82" spans="1:17" x14ac:dyDescent="0.25">
      <c r="A82" s="4">
        <v>101474570000</v>
      </c>
      <c r="B82" s="4" t="str">
        <f t="shared" si="2"/>
        <v>1014745700000</v>
      </c>
      <c r="C82" s="4" t="str">
        <f t="shared" si="3"/>
        <v>101474570000OVR</v>
      </c>
      <c r="D82" t="s">
        <v>585</v>
      </c>
      <c r="E82">
        <v>20411454</v>
      </c>
      <c r="F82" t="s">
        <v>1663</v>
      </c>
      <c r="G82" t="s">
        <v>49</v>
      </c>
      <c r="H82" t="s">
        <v>415</v>
      </c>
      <c r="I82" s="1">
        <v>44562</v>
      </c>
      <c r="J82" s="1">
        <v>45931</v>
      </c>
      <c r="K82" s="2">
        <v>1</v>
      </c>
      <c r="L82" s="2">
        <v>1</v>
      </c>
      <c r="N82" s="3">
        <v>1</v>
      </c>
      <c r="O82" s="2">
        <v>2</v>
      </c>
      <c r="P82" t="s">
        <v>416</v>
      </c>
      <c r="Q82" t="s">
        <v>1639</v>
      </c>
    </row>
    <row r="83" spans="1:17" x14ac:dyDescent="0.25">
      <c r="A83" s="4">
        <v>101475440500</v>
      </c>
      <c r="B83" s="4" t="str">
        <f t="shared" si="2"/>
        <v>1014754405000</v>
      </c>
      <c r="C83" s="4" t="str">
        <f t="shared" si="3"/>
        <v>101475440500OVR</v>
      </c>
      <c r="D83" t="s">
        <v>587</v>
      </c>
      <c r="E83">
        <v>20411454</v>
      </c>
      <c r="F83" t="s">
        <v>1663</v>
      </c>
      <c r="G83" t="s">
        <v>49</v>
      </c>
      <c r="H83" t="s">
        <v>415</v>
      </c>
      <c r="I83" s="1">
        <v>44562</v>
      </c>
      <c r="J83" s="1">
        <v>45931</v>
      </c>
      <c r="K83" s="2">
        <v>1</v>
      </c>
      <c r="L83" s="2">
        <v>1</v>
      </c>
      <c r="N83" s="3">
        <v>1</v>
      </c>
      <c r="O83" s="2">
        <v>2</v>
      </c>
      <c r="P83" t="s">
        <v>416</v>
      </c>
      <c r="Q83" t="s">
        <v>1639</v>
      </c>
    </row>
    <row r="84" spans="1:17" x14ac:dyDescent="0.25">
      <c r="A84" s="4">
        <v>101475587700</v>
      </c>
      <c r="B84" s="4" t="str">
        <f t="shared" si="2"/>
        <v>1014755877000</v>
      </c>
      <c r="C84" s="4" t="str">
        <f t="shared" si="3"/>
        <v>101475587700OVR</v>
      </c>
      <c r="D84" t="s">
        <v>589</v>
      </c>
      <c r="E84">
        <v>20411454</v>
      </c>
      <c r="F84" t="s">
        <v>1663</v>
      </c>
      <c r="G84" t="s">
        <v>49</v>
      </c>
      <c r="H84" t="s">
        <v>415</v>
      </c>
      <c r="I84" s="1">
        <v>45658</v>
      </c>
      <c r="J84" s="1">
        <v>45931</v>
      </c>
      <c r="K84" s="2">
        <v>1</v>
      </c>
      <c r="L84" s="2">
        <v>1</v>
      </c>
      <c r="N84" s="3">
        <v>1</v>
      </c>
      <c r="O84" s="2">
        <v>2</v>
      </c>
      <c r="P84" t="s">
        <v>416</v>
      </c>
      <c r="Q84" t="s">
        <v>1639</v>
      </c>
    </row>
    <row r="85" spans="1:17" x14ac:dyDescent="0.25">
      <c r="A85" s="4">
        <v>101475742300</v>
      </c>
      <c r="B85" s="4" t="str">
        <f t="shared" si="2"/>
        <v>1014757423000</v>
      </c>
      <c r="C85" s="4" t="str">
        <f t="shared" si="3"/>
        <v>101475742300OVR</v>
      </c>
      <c r="D85" t="s">
        <v>591</v>
      </c>
      <c r="E85">
        <v>20411454</v>
      </c>
      <c r="F85" t="s">
        <v>1663</v>
      </c>
      <c r="G85" t="s">
        <v>49</v>
      </c>
      <c r="H85" t="s">
        <v>415</v>
      </c>
      <c r="I85" s="1">
        <v>44562</v>
      </c>
      <c r="J85" s="1">
        <v>45931</v>
      </c>
      <c r="K85" s="2">
        <v>1</v>
      </c>
      <c r="L85" s="2">
        <v>1</v>
      </c>
      <c r="N85" s="3">
        <v>1</v>
      </c>
      <c r="O85" s="2">
        <v>2</v>
      </c>
      <c r="P85" t="s">
        <v>416</v>
      </c>
      <c r="Q85" t="s">
        <v>1639</v>
      </c>
    </row>
    <row r="86" spans="1:17" x14ac:dyDescent="0.25">
      <c r="A86" s="4">
        <v>101476005600</v>
      </c>
      <c r="B86" s="4" t="str">
        <f t="shared" si="2"/>
        <v>1014760056000</v>
      </c>
      <c r="C86" s="4" t="str">
        <f t="shared" si="3"/>
        <v>101476005600OVR</v>
      </c>
      <c r="D86" t="s">
        <v>593</v>
      </c>
      <c r="E86">
        <v>20411454</v>
      </c>
      <c r="F86" t="s">
        <v>1663</v>
      </c>
      <c r="G86" t="s">
        <v>49</v>
      </c>
      <c r="H86" t="s">
        <v>415</v>
      </c>
      <c r="I86" s="1">
        <v>44501</v>
      </c>
      <c r="J86" s="1">
        <v>45931</v>
      </c>
      <c r="K86" s="2">
        <v>1</v>
      </c>
      <c r="L86" s="2">
        <v>1</v>
      </c>
      <c r="N86" s="3">
        <v>1</v>
      </c>
      <c r="O86" s="2">
        <v>2</v>
      </c>
      <c r="P86" t="s">
        <v>416</v>
      </c>
      <c r="Q86" t="s">
        <v>1639</v>
      </c>
    </row>
    <row r="87" spans="1:17" x14ac:dyDescent="0.25">
      <c r="A87" s="4">
        <v>101476298900</v>
      </c>
      <c r="B87" s="4" t="str">
        <f t="shared" si="2"/>
        <v>1014762989000</v>
      </c>
      <c r="C87" s="4" t="str">
        <f t="shared" si="3"/>
        <v>101476298900OVR</v>
      </c>
      <c r="D87" t="s">
        <v>595</v>
      </c>
      <c r="E87">
        <v>20411454</v>
      </c>
      <c r="F87" t="s">
        <v>1663</v>
      </c>
      <c r="G87" t="s">
        <v>49</v>
      </c>
      <c r="H87" t="s">
        <v>415</v>
      </c>
      <c r="I87" s="1">
        <v>44562</v>
      </c>
      <c r="J87" s="1">
        <v>45931</v>
      </c>
      <c r="K87" s="2">
        <v>1</v>
      </c>
      <c r="L87" s="2">
        <v>1</v>
      </c>
      <c r="N87" s="3">
        <v>1</v>
      </c>
      <c r="O87" s="2">
        <v>2</v>
      </c>
      <c r="P87" t="s">
        <v>416</v>
      </c>
      <c r="Q87" t="s">
        <v>1639</v>
      </c>
    </row>
    <row r="88" spans="1:17" x14ac:dyDescent="0.25">
      <c r="A88" s="4">
        <v>101477828300</v>
      </c>
      <c r="B88" s="4" t="str">
        <f t="shared" si="2"/>
        <v>1014778283000</v>
      </c>
      <c r="C88" s="4" t="str">
        <f t="shared" si="3"/>
        <v>101477828300OVR</v>
      </c>
      <c r="D88" t="s">
        <v>597</v>
      </c>
      <c r="E88">
        <v>20411454</v>
      </c>
      <c r="F88" t="s">
        <v>1663</v>
      </c>
      <c r="G88" t="s">
        <v>49</v>
      </c>
      <c r="H88" t="s">
        <v>415</v>
      </c>
      <c r="I88" s="1">
        <v>44562</v>
      </c>
      <c r="J88" s="1">
        <v>45931</v>
      </c>
      <c r="K88" s="2">
        <v>1</v>
      </c>
      <c r="L88" s="2">
        <v>1</v>
      </c>
      <c r="N88" s="3">
        <v>1</v>
      </c>
      <c r="O88" s="2">
        <v>2</v>
      </c>
      <c r="P88" t="s">
        <v>416</v>
      </c>
      <c r="Q88" t="s">
        <v>1639</v>
      </c>
    </row>
    <row r="89" spans="1:17" x14ac:dyDescent="0.25">
      <c r="A89" s="4">
        <v>101481629800</v>
      </c>
      <c r="B89" s="4" t="str">
        <f t="shared" si="2"/>
        <v>1014816298000</v>
      </c>
      <c r="C89" s="4" t="str">
        <f t="shared" si="3"/>
        <v>101481629800OVR</v>
      </c>
      <c r="D89" t="s">
        <v>599</v>
      </c>
      <c r="E89">
        <v>20411454</v>
      </c>
      <c r="F89" t="s">
        <v>1663</v>
      </c>
      <c r="G89" t="s">
        <v>49</v>
      </c>
      <c r="H89" t="s">
        <v>415</v>
      </c>
      <c r="I89" s="1">
        <v>44562</v>
      </c>
      <c r="J89" s="1">
        <v>45931</v>
      </c>
      <c r="K89" s="2">
        <v>1</v>
      </c>
      <c r="L89" s="2">
        <v>1</v>
      </c>
      <c r="N89" s="3">
        <v>1</v>
      </c>
      <c r="O89" s="2">
        <v>2</v>
      </c>
      <c r="P89" t="s">
        <v>416</v>
      </c>
      <c r="Q89" t="s">
        <v>1639</v>
      </c>
    </row>
    <row r="90" spans="1:17" x14ac:dyDescent="0.25">
      <c r="A90" s="4">
        <v>101485181900</v>
      </c>
      <c r="B90" s="4" t="str">
        <f t="shared" si="2"/>
        <v>1014851819000</v>
      </c>
      <c r="C90" s="4" t="str">
        <f t="shared" si="3"/>
        <v>101485181900OVR</v>
      </c>
      <c r="D90" t="s">
        <v>601</v>
      </c>
      <c r="E90">
        <v>20411454</v>
      </c>
      <c r="F90" t="s">
        <v>1663</v>
      </c>
      <c r="G90" t="s">
        <v>49</v>
      </c>
      <c r="H90" t="s">
        <v>415</v>
      </c>
      <c r="I90" s="1">
        <v>44562</v>
      </c>
      <c r="J90" s="1">
        <v>45931</v>
      </c>
      <c r="K90" s="2">
        <v>1</v>
      </c>
      <c r="L90" s="2">
        <v>1</v>
      </c>
      <c r="N90" s="3">
        <v>1</v>
      </c>
      <c r="O90" s="2">
        <v>2</v>
      </c>
      <c r="P90" t="s">
        <v>416</v>
      </c>
      <c r="Q90" t="s">
        <v>1639</v>
      </c>
    </row>
    <row r="91" spans="1:17" x14ac:dyDescent="0.25">
      <c r="A91" s="4">
        <v>101485351600</v>
      </c>
      <c r="B91" s="4" t="str">
        <f t="shared" si="2"/>
        <v>1014853516000</v>
      </c>
      <c r="C91" s="4" t="str">
        <f t="shared" si="3"/>
        <v>101485351600OVR</v>
      </c>
      <c r="D91" t="s">
        <v>603</v>
      </c>
      <c r="E91">
        <v>20411454</v>
      </c>
      <c r="F91" t="s">
        <v>1663</v>
      </c>
      <c r="G91" t="s">
        <v>49</v>
      </c>
      <c r="H91" t="s">
        <v>415</v>
      </c>
      <c r="I91" s="1">
        <v>44562</v>
      </c>
      <c r="J91" s="1">
        <v>45931</v>
      </c>
      <c r="K91" s="2">
        <v>1</v>
      </c>
      <c r="L91" s="2">
        <v>1</v>
      </c>
      <c r="N91" s="3">
        <v>1</v>
      </c>
      <c r="O91" s="2">
        <v>2</v>
      </c>
      <c r="P91" t="s">
        <v>416</v>
      </c>
      <c r="Q91" t="s">
        <v>1639</v>
      </c>
    </row>
    <row r="92" spans="1:17" x14ac:dyDescent="0.25">
      <c r="A92" s="4">
        <v>101486796300</v>
      </c>
      <c r="B92" s="4" t="str">
        <f t="shared" si="2"/>
        <v>1014867963000</v>
      </c>
      <c r="C92" s="4" t="str">
        <f t="shared" si="3"/>
        <v>101486796300OVR</v>
      </c>
      <c r="D92" t="s">
        <v>605</v>
      </c>
      <c r="E92">
        <v>20411454</v>
      </c>
      <c r="F92" t="s">
        <v>1663</v>
      </c>
      <c r="G92" t="s">
        <v>49</v>
      </c>
      <c r="H92" t="s">
        <v>415</v>
      </c>
      <c r="I92" s="1">
        <v>44562</v>
      </c>
      <c r="J92" s="1">
        <v>45931</v>
      </c>
      <c r="K92" s="2">
        <v>1</v>
      </c>
      <c r="L92" s="2">
        <v>1</v>
      </c>
      <c r="N92" s="3">
        <v>1</v>
      </c>
      <c r="O92" s="2">
        <v>2</v>
      </c>
      <c r="P92" t="s">
        <v>416</v>
      </c>
      <c r="Q92" t="s">
        <v>1639</v>
      </c>
    </row>
    <row r="93" spans="1:17" x14ac:dyDescent="0.25">
      <c r="A93" s="4">
        <v>101488727700</v>
      </c>
      <c r="B93" s="4" t="str">
        <f t="shared" si="2"/>
        <v>1014887277000</v>
      </c>
      <c r="C93" s="4" t="str">
        <f t="shared" si="3"/>
        <v>101488727700OVR</v>
      </c>
      <c r="D93" t="s">
        <v>607</v>
      </c>
      <c r="E93">
        <v>20411454</v>
      </c>
      <c r="F93" t="s">
        <v>1663</v>
      </c>
      <c r="G93" t="s">
        <v>49</v>
      </c>
      <c r="H93" t="s">
        <v>415</v>
      </c>
      <c r="I93" s="1">
        <v>44562</v>
      </c>
      <c r="J93" s="1">
        <v>45931</v>
      </c>
      <c r="K93" s="2">
        <v>1</v>
      </c>
      <c r="L93" s="2">
        <v>1</v>
      </c>
      <c r="N93" s="3">
        <v>1</v>
      </c>
      <c r="O93" s="2">
        <v>2</v>
      </c>
      <c r="P93" t="s">
        <v>416</v>
      </c>
      <c r="Q93" t="s">
        <v>1639</v>
      </c>
    </row>
    <row r="94" spans="1:17" x14ac:dyDescent="0.25">
      <c r="A94" s="4">
        <v>101494501900</v>
      </c>
      <c r="B94" s="4" t="str">
        <f t="shared" si="2"/>
        <v>1014945019000</v>
      </c>
      <c r="C94" s="4" t="str">
        <f t="shared" si="3"/>
        <v>101494501900OVR</v>
      </c>
      <c r="D94" t="s">
        <v>609</v>
      </c>
      <c r="E94">
        <v>20411454</v>
      </c>
      <c r="F94" t="s">
        <v>1663</v>
      </c>
      <c r="G94" t="s">
        <v>49</v>
      </c>
      <c r="H94" t="s">
        <v>415</v>
      </c>
      <c r="I94" s="1">
        <v>44562</v>
      </c>
      <c r="J94" s="1">
        <v>45931</v>
      </c>
      <c r="K94" s="2">
        <v>1</v>
      </c>
      <c r="L94" s="2">
        <v>1</v>
      </c>
      <c r="N94" s="3">
        <v>1</v>
      </c>
      <c r="O94" s="2">
        <v>2</v>
      </c>
      <c r="P94" t="s">
        <v>416</v>
      </c>
      <c r="Q94" t="s">
        <v>1639</v>
      </c>
    </row>
    <row r="95" spans="1:17" x14ac:dyDescent="0.25">
      <c r="A95" s="4">
        <v>101495427300</v>
      </c>
      <c r="B95" s="4" t="str">
        <f t="shared" si="2"/>
        <v>1014954273000</v>
      </c>
      <c r="C95" s="4" t="str">
        <f t="shared" si="3"/>
        <v>101495427300OVR</v>
      </c>
      <c r="D95" t="s">
        <v>613</v>
      </c>
      <c r="E95">
        <v>20411454</v>
      </c>
      <c r="F95" t="s">
        <v>1663</v>
      </c>
      <c r="G95" t="s">
        <v>49</v>
      </c>
      <c r="H95" t="s">
        <v>415</v>
      </c>
      <c r="I95" s="1">
        <v>44562</v>
      </c>
      <c r="J95" s="1">
        <v>45931</v>
      </c>
      <c r="K95" s="2">
        <v>1</v>
      </c>
      <c r="L95" s="2">
        <v>1</v>
      </c>
      <c r="N95" s="3">
        <v>1</v>
      </c>
      <c r="O95" s="2">
        <v>2</v>
      </c>
      <c r="P95" t="s">
        <v>416</v>
      </c>
      <c r="Q95" t="s">
        <v>1639</v>
      </c>
    </row>
    <row r="96" spans="1:17" x14ac:dyDescent="0.25">
      <c r="A96" s="4">
        <v>101495460400</v>
      </c>
      <c r="B96" s="4" t="str">
        <f t="shared" si="2"/>
        <v>1014954604000</v>
      </c>
      <c r="C96" s="4" t="str">
        <f t="shared" si="3"/>
        <v>101495460400OVR</v>
      </c>
      <c r="D96" t="s">
        <v>615</v>
      </c>
      <c r="E96">
        <v>20411454</v>
      </c>
      <c r="F96" t="s">
        <v>1663</v>
      </c>
      <c r="G96" t="s">
        <v>49</v>
      </c>
      <c r="H96" t="s">
        <v>415</v>
      </c>
      <c r="I96" s="1">
        <v>44562</v>
      </c>
      <c r="J96" s="1">
        <v>45931</v>
      </c>
      <c r="K96" s="2">
        <v>1</v>
      </c>
      <c r="L96" s="2">
        <v>1</v>
      </c>
      <c r="N96" s="3">
        <v>1</v>
      </c>
      <c r="O96" s="2">
        <v>2</v>
      </c>
      <c r="P96" t="s">
        <v>416</v>
      </c>
      <c r="Q96" t="s">
        <v>1639</v>
      </c>
    </row>
    <row r="97" spans="1:17" x14ac:dyDescent="0.25">
      <c r="A97" s="4">
        <v>101500561700</v>
      </c>
      <c r="B97" s="4" t="str">
        <f t="shared" si="2"/>
        <v>1015005617000</v>
      </c>
      <c r="C97" s="4" t="str">
        <f t="shared" si="3"/>
        <v>101500561700OVR</v>
      </c>
      <c r="D97" t="s">
        <v>617</v>
      </c>
      <c r="E97">
        <v>20411454</v>
      </c>
      <c r="F97" t="s">
        <v>1663</v>
      </c>
      <c r="G97" t="s">
        <v>49</v>
      </c>
      <c r="H97" t="s">
        <v>415</v>
      </c>
      <c r="I97" s="1">
        <v>44562</v>
      </c>
      <c r="J97" s="1">
        <v>45931</v>
      </c>
      <c r="K97" s="2">
        <v>1</v>
      </c>
      <c r="L97" s="2">
        <v>1</v>
      </c>
      <c r="N97" s="3">
        <v>1</v>
      </c>
      <c r="O97" s="2">
        <v>2</v>
      </c>
      <c r="P97" t="s">
        <v>416</v>
      </c>
      <c r="Q97" t="s">
        <v>1639</v>
      </c>
    </row>
    <row r="98" spans="1:17" x14ac:dyDescent="0.25">
      <c r="A98" s="4">
        <v>101502394600</v>
      </c>
      <c r="B98" s="4" t="str">
        <f t="shared" si="2"/>
        <v>1015023946000</v>
      </c>
      <c r="C98" s="4" t="str">
        <f t="shared" si="3"/>
        <v>101502394600OVR</v>
      </c>
      <c r="D98" t="s">
        <v>619</v>
      </c>
      <c r="E98">
        <v>20411454</v>
      </c>
      <c r="F98" t="s">
        <v>1663</v>
      </c>
      <c r="G98" t="s">
        <v>49</v>
      </c>
      <c r="H98" t="s">
        <v>415</v>
      </c>
      <c r="I98" s="1">
        <v>44562</v>
      </c>
      <c r="J98" s="1">
        <v>45931</v>
      </c>
      <c r="K98" s="2">
        <v>1</v>
      </c>
      <c r="L98" s="2">
        <v>1</v>
      </c>
      <c r="N98" s="3">
        <v>1</v>
      </c>
      <c r="O98" s="2">
        <v>2</v>
      </c>
      <c r="P98" t="s">
        <v>416</v>
      </c>
      <c r="Q98" t="s">
        <v>1639</v>
      </c>
    </row>
    <row r="99" spans="1:17" x14ac:dyDescent="0.25">
      <c r="A99" s="4">
        <v>101505160900</v>
      </c>
      <c r="B99" s="4" t="str">
        <f t="shared" si="2"/>
        <v>1015051609000</v>
      </c>
      <c r="C99" s="4" t="str">
        <f t="shared" si="3"/>
        <v>101505160900OVR</v>
      </c>
      <c r="D99" t="s">
        <v>621</v>
      </c>
      <c r="E99">
        <v>20411454</v>
      </c>
      <c r="F99" t="s">
        <v>1663</v>
      </c>
      <c r="G99" t="s">
        <v>49</v>
      </c>
      <c r="H99" t="s">
        <v>415</v>
      </c>
      <c r="I99" s="1">
        <v>44562</v>
      </c>
      <c r="J99" s="1">
        <v>45931</v>
      </c>
      <c r="K99" s="2">
        <v>1</v>
      </c>
      <c r="L99" s="2">
        <v>1</v>
      </c>
      <c r="N99" s="3">
        <v>1</v>
      </c>
      <c r="O99" s="2">
        <v>2</v>
      </c>
      <c r="P99" t="s">
        <v>416</v>
      </c>
      <c r="Q99" t="s">
        <v>1639</v>
      </c>
    </row>
    <row r="100" spans="1:17" x14ac:dyDescent="0.25">
      <c r="A100" s="4">
        <v>101506807700</v>
      </c>
      <c r="B100" s="4" t="str">
        <f t="shared" si="2"/>
        <v>1015068077000</v>
      </c>
      <c r="C100" s="4" t="str">
        <f t="shared" si="3"/>
        <v>101506807700OVR</v>
      </c>
      <c r="D100" t="s">
        <v>623</v>
      </c>
      <c r="E100">
        <v>20411454</v>
      </c>
      <c r="F100" t="s">
        <v>1663</v>
      </c>
      <c r="G100" t="s">
        <v>49</v>
      </c>
      <c r="H100" t="s">
        <v>415</v>
      </c>
      <c r="I100" s="1">
        <v>44562</v>
      </c>
      <c r="J100" s="1">
        <v>45931</v>
      </c>
      <c r="K100" s="2">
        <v>1</v>
      </c>
      <c r="L100" s="2">
        <v>1</v>
      </c>
      <c r="N100" s="3">
        <v>1</v>
      </c>
      <c r="O100" s="2">
        <v>2</v>
      </c>
      <c r="P100" t="s">
        <v>416</v>
      </c>
      <c r="Q100" t="s">
        <v>1639</v>
      </c>
    </row>
    <row r="101" spans="1:17" x14ac:dyDescent="0.25">
      <c r="A101" s="4">
        <v>101507907500</v>
      </c>
      <c r="B101" s="4" t="str">
        <f t="shared" si="2"/>
        <v>1015079075000</v>
      </c>
      <c r="C101" s="4" t="str">
        <f t="shared" si="3"/>
        <v>101507907500OVR</v>
      </c>
      <c r="D101" t="s">
        <v>625</v>
      </c>
      <c r="E101">
        <v>20411454</v>
      </c>
      <c r="F101" t="s">
        <v>1663</v>
      </c>
      <c r="G101" t="s">
        <v>49</v>
      </c>
      <c r="H101" t="s">
        <v>415</v>
      </c>
      <c r="I101" s="1">
        <v>44562</v>
      </c>
      <c r="J101" s="1">
        <v>45931</v>
      </c>
      <c r="K101" s="2">
        <v>1</v>
      </c>
      <c r="L101" s="2">
        <v>1</v>
      </c>
      <c r="N101" s="3">
        <v>1</v>
      </c>
      <c r="O101" s="2">
        <v>2</v>
      </c>
      <c r="P101" t="s">
        <v>416</v>
      </c>
      <c r="Q101" t="s">
        <v>1639</v>
      </c>
    </row>
    <row r="102" spans="1:17" x14ac:dyDescent="0.25">
      <c r="A102" s="4">
        <v>101508102100</v>
      </c>
      <c r="B102" s="4" t="str">
        <f t="shared" si="2"/>
        <v>1015081021000</v>
      </c>
      <c r="C102" s="4" t="str">
        <f t="shared" si="3"/>
        <v>101508102100OVR</v>
      </c>
      <c r="D102" t="s">
        <v>627</v>
      </c>
      <c r="E102">
        <v>20411454</v>
      </c>
      <c r="F102" t="s">
        <v>1663</v>
      </c>
      <c r="G102" t="s">
        <v>49</v>
      </c>
      <c r="H102" t="s">
        <v>415</v>
      </c>
      <c r="I102" s="1">
        <v>44562</v>
      </c>
      <c r="J102" s="1">
        <v>45931</v>
      </c>
      <c r="K102" s="2">
        <v>1</v>
      </c>
      <c r="L102" s="2">
        <v>1</v>
      </c>
      <c r="N102" s="3">
        <v>1</v>
      </c>
      <c r="O102" s="2">
        <v>2</v>
      </c>
      <c r="P102" t="s">
        <v>416</v>
      </c>
      <c r="Q102" t="s">
        <v>1639</v>
      </c>
    </row>
    <row r="103" spans="1:17" x14ac:dyDescent="0.25">
      <c r="A103" s="4">
        <v>101508874400</v>
      </c>
      <c r="B103" s="4" t="str">
        <f t="shared" si="2"/>
        <v>1015088744000</v>
      </c>
      <c r="C103" s="4" t="str">
        <f t="shared" si="3"/>
        <v>101508874400OVR</v>
      </c>
      <c r="D103" t="s">
        <v>629</v>
      </c>
      <c r="E103">
        <v>20411454</v>
      </c>
      <c r="F103" t="s">
        <v>1663</v>
      </c>
      <c r="G103" t="s">
        <v>49</v>
      </c>
      <c r="H103" t="s">
        <v>415</v>
      </c>
      <c r="I103" s="1">
        <v>44562</v>
      </c>
      <c r="J103" s="1">
        <v>45931</v>
      </c>
      <c r="K103" s="2">
        <v>1</v>
      </c>
      <c r="L103" s="2">
        <v>1</v>
      </c>
      <c r="N103" s="3">
        <v>1</v>
      </c>
      <c r="O103" s="2">
        <v>2</v>
      </c>
      <c r="P103" t="s">
        <v>416</v>
      </c>
      <c r="Q103" t="s">
        <v>1639</v>
      </c>
    </row>
    <row r="104" spans="1:17" x14ac:dyDescent="0.25">
      <c r="A104" s="4">
        <v>101515257200</v>
      </c>
      <c r="B104" s="4" t="str">
        <f t="shared" si="2"/>
        <v>1015152572000</v>
      </c>
      <c r="C104" s="4" t="str">
        <f t="shared" si="3"/>
        <v>101515257200OVR</v>
      </c>
      <c r="D104" t="s">
        <v>631</v>
      </c>
      <c r="E104">
        <v>20411454</v>
      </c>
      <c r="F104" t="s">
        <v>1663</v>
      </c>
      <c r="G104" t="s">
        <v>49</v>
      </c>
      <c r="H104" t="s">
        <v>415</v>
      </c>
      <c r="I104" s="1">
        <v>44593</v>
      </c>
      <c r="J104" s="1">
        <v>45931</v>
      </c>
      <c r="K104" s="2">
        <v>1</v>
      </c>
      <c r="L104" s="2">
        <v>1</v>
      </c>
      <c r="N104" s="3">
        <v>1</v>
      </c>
      <c r="O104" s="2">
        <v>2</v>
      </c>
      <c r="P104" t="s">
        <v>416</v>
      </c>
      <c r="Q104" t="s">
        <v>1639</v>
      </c>
    </row>
    <row r="105" spans="1:17" x14ac:dyDescent="0.25">
      <c r="A105" s="4">
        <v>101519777300</v>
      </c>
      <c r="B105" s="4" t="str">
        <f t="shared" si="2"/>
        <v>1015197773000</v>
      </c>
      <c r="C105" s="4" t="str">
        <f t="shared" si="3"/>
        <v>101519777300OVR</v>
      </c>
      <c r="D105" t="s">
        <v>633</v>
      </c>
      <c r="E105">
        <v>20411454</v>
      </c>
      <c r="F105" t="s">
        <v>1663</v>
      </c>
      <c r="G105" t="s">
        <v>49</v>
      </c>
      <c r="H105" t="s">
        <v>415</v>
      </c>
      <c r="I105" s="1">
        <v>45017</v>
      </c>
      <c r="J105" s="1">
        <v>45931</v>
      </c>
      <c r="K105" s="2">
        <v>1</v>
      </c>
      <c r="L105" s="2">
        <v>1</v>
      </c>
      <c r="N105" s="3">
        <v>1</v>
      </c>
      <c r="O105" s="2">
        <v>2</v>
      </c>
      <c r="P105" t="s">
        <v>416</v>
      </c>
      <c r="Q105" t="s">
        <v>1639</v>
      </c>
    </row>
    <row r="106" spans="1:17" x14ac:dyDescent="0.25">
      <c r="A106" s="4">
        <v>101520044500</v>
      </c>
      <c r="B106" s="4" t="str">
        <f t="shared" si="2"/>
        <v>1015200445000</v>
      </c>
      <c r="C106" s="4" t="str">
        <f t="shared" si="3"/>
        <v>101520044500OVR</v>
      </c>
      <c r="D106" t="s">
        <v>635</v>
      </c>
      <c r="E106">
        <v>20411454</v>
      </c>
      <c r="F106" t="s">
        <v>1663</v>
      </c>
      <c r="G106" t="s">
        <v>49</v>
      </c>
      <c r="H106" t="s">
        <v>415</v>
      </c>
      <c r="I106" s="1">
        <v>44593</v>
      </c>
      <c r="J106" s="1">
        <v>45931</v>
      </c>
      <c r="K106" s="2">
        <v>1</v>
      </c>
      <c r="L106" s="2">
        <v>1</v>
      </c>
      <c r="N106" s="3">
        <v>1</v>
      </c>
      <c r="O106" s="2">
        <v>2</v>
      </c>
      <c r="P106" t="s">
        <v>416</v>
      </c>
      <c r="Q106" t="s">
        <v>1639</v>
      </c>
    </row>
    <row r="107" spans="1:17" x14ac:dyDescent="0.25">
      <c r="A107" s="4">
        <v>101520916200</v>
      </c>
      <c r="B107" s="4" t="str">
        <f t="shared" si="2"/>
        <v>1015209162000</v>
      </c>
      <c r="C107" s="4" t="str">
        <f t="shared" si="3"/>
        <v>101520916200OVR</v>
      </c>
      <c r="D107" t="s">
        <v>637</v>
      </c>
      <c r="E107">
        <v>20411454</v>
      </c>
      <c r="F107" t="s">
        <v>1663</v>
      </c>
      <c r="G107" t="s">
        <v>49</v>
      </c>
      <c r="H107" t="s">
        <v>415</v>
      </c>
      <c r="I107" s="1">
        <v>44593</v>
      </c>
      <c r="J107" s="1">
        <v>45931</v>
      </c>
      <c r="K107" s="2">
        <v>1</v>
      </c>
      <c r="L107" s="2">
        <v>1</v>
      </c>
      <c r="N107" s="3">
        <v>1</v>
      </c>
      <c r="O107" s="2">
        <v>2</v>
      </c>
      <c r="P107" t="s">
        <v>416</v>
      </c>
      <c r="Q107" t="s">
        <v>1639</v>
      </c>
    </row>
    <row r="108" spans="1:17" x14ac:dyDescent="0.25">
      <c r="A108" s="4">
        <v>101526780400</v>
      </c>
      <c r="B108" s="4" t="str">
        <f t="shared" si="2"/>
        <v>1015267804000</v>
      </c>
      <c r="C108" s="4" t="str">
        <f t="shared" si="3"/>
        <v>101526780400OVR</v>
      </c>
      <c r="D108" t="s">
        <v>639</v>
      </c>
      <c r="E108">
        <v>20411454</v>
      </c>
      <c r="F108" t="s">
        <v>1663</v>
      </c>
      <c r="G108" t="s">
        <v>49</v>
      </c>
      <c r="H108" t="s">
        <v>415</v>
      </c>
      <c r="I108" s="1">
        <v>44682</v>
      </c>
      <c r="J108" s="1">
        <v>45931</v>
      </c>
      <c r="K108" s="2">
        <v>1</v>
      </c>
      <c r="L108" s="2">
        <v>1</v>
      </c>
      <c r="N108" s="3">
        <v>1</v>
      </c>
      <c r="O108" s="2">
        <v>2</v>
      </c>
      <c r="P108" t="s">
        <v>416</v>
      </c>
      <c r="Q108" t="s">
        <v>1639</v>
      </c>
    </row>
    <row r="109" spans="1:17" x14ac:dyDescent="0.25">
      <c r="A109" s="4">
        <v>101531379400</v>
      </c>
      <c r="B109" s="4" t="str">
        <f t="shared" si="2"/>
        <v>1015313794000</v>
      </c>
      <c r="C109" s="4" t="str">
        <f t="shared" si="3"/>
        <v>101531379400OVR</v>
      </c>
      <c r="D109" t="s">
        <v>641</v>
      </c>
      <c r="E109">
        <v>20411454</v>
      </c>
      <c r="F109" t="s">
        <v>1663</v>
      </c>
      <c r="G109" t="s">
        <v>49</v>
      </c>
      <c r="H109" t="s">
        <v>415</v>
      </c>
      <c r="I109" s="1">
        <v>44682</v>
      </c>
      <c r="J109" s="1">
        <v>45931</v>
      </c>
      <c r="K109" s="2">
        <v>1</v>
      </c>
      <c r="L109" s="2">
        <v>1</v>
      </c>
      <c r="N109" s="3">
        <v>1</v>
      </c>
      <c r="O109" s="2">
        <v>2</v>
      </c>
      <c r="P109" t="s">
        <v>416</v>
      </c>
      <c r="Q109" t="s">
        <v>1639</v>
      </c>
    </row>
    <row r="110" spans="1:17" x14ac:dyDescent="0.25">
      <c r="A110" s="4">
        <v>101533325800</v>
      </c>
      <c r="B110" s="4" t="str">
        <f t="shared" si="2"/>
        <v>1015333258000</v>
      </c>
      <c r="C110" s="4" t="str">
        <f t="shared" si="3"/>
        <v>101533325800OVR</v>
      </c>
      <c r="D110" t="s">
        <v>643</v>
      </c>
      <c r="E110">
        <v>20411454</v>
      </c>
      <c r="F110" t="s">
        <v>1663</v>
      </c>
      <c r="G110" t="s">
        <v>49</v>
      </c>
      <c r="H110" t="s">
        <v>415</v>
      </c>
      <c r="I110" s="1">
        <v>44652</v>
      </c>
      <c r="J110" s="1">
        <v>45931</v>
      </c>
      <c r="K110" s="2">
        <v>1</v>
      </c>
      <c r="L110" s="2">
        <v>1</v>
      </c>
      <c r="N110" s="3">
        <v>1</v>
      </c>
      <c r="O110" s="2">
        <v>2</v>
      </c>
      <c r="P110" t="s">
        <v>416</v>
      </c>
      <c r="Q110" t="s">
        <v>1639</v>
      </c>
    </row>
    <row r="111" spans="1:17" x14ac:dyDescent="0.25">
      <c r="A111" s="4">
        <v>101534378900</v>
      </c>
      <c r="B111" s="4" t="str">
        <f t="shared" si="2"/>
        <v>1015343789000</v>
      </c>
      <c r="C111" s="4" t="str">
        <f t="shared" si="3"/>
        <v>101534378900OVR</v>
      </c>
      <c r="D111" t="s">
        <v>645</v>
      </c>
      <c r="E111">
        <v>20411454</v>
      </c>
      <c r="F111" t="s">
        <v>1663</v>
      </c>
      <c r="G111" t="s">
        <v>49</v>
      </c>
      <c r="H111" t="s">
        <v>415</v>
      </c>
      <c r="I111" s="1">
        <v>44652</v>
      </c>
      <c r="J111" s="1">
        <v>45931</v>
      </c>
      <c r="K111" s="2">
        <v>1</v>
      </c>
      <c r="L111" s="2">
        <v>1</v>
      </c>
      <c r="N111" s="3">
        <v>1</v>
      </c>
      <c r="O111" s="2">
        <v>2</v>
      </c>
      <c r="P111" t="s">
        <v>416</v>
      </c>
      <c r="Q111" t="s">
        <v>1639</v>
      </c>
    </row>
    <row r="112" spans="1:17" x14ac:dyDescent="0.25">
      <c r="A112" s="4">
        <v>101537242400</v>
      </c>
      <c r="B112" s="4" t="str">
        <f t="shared" si="2"/>
        <v>1015372424000</v>
      </c>
      <c r="C112" s="4" t="str">
        <f t="shared" si="3"/>
        <v>101537242400OVR</v>
      </c>
      <c r="D112" t="s">
        <v>647</v>
      </c>
      <c r="E112">
        <v>20411454</v>
      </c>
      <c r="F112" t="s">
        <v>1663</v>
      </c>
      <c r="G112" t="s">
        <v>49</v>
      </c>
      <c r="H112" t="s">
        <v>415</v>
      </c>
      <c r="I112" s="1">
        <v>44743</v>
      </c>
      <c r="J112" s="1">
        <v>45931</v>
      </c>
      <c r="K112" s="2">
        <v>1</v>
      </c>
      <c r="L112" s="2">
        <v>1</v>
      </c>
      <c r="N112" s="3">
        <v>1</v>
      </c>
      <c r="O112" s="2">
        <v>2</v>
      </c>
      <c r="P112" t="s">
        <v>416</v>
      </c>
      <c r="Q112" t="s">
        <v>1639</v>
      </c>
    </row>
    <row r="113" spans="1:17" x14ac:dyDescent="0.25">
      <c r="A113" s="4">
        <v>101545532600</v>
      </c>
      <c r="B113" s="4" t="str">
        <f t="shared" si="2"/>
        <v>1015455326000</v>
      </c>
      <c r="C113" s="4" t="str">
        <f t="shared" si="3"/>
        <v>101545532600OVR</v>
      </c>
      <c r="D113" t="s">
        <v>652</v>
      </c>
      <c r="E113">
        <v>20411454</v>
      </c>
      <c r="F113" t="s">
        <v>1663</v>
      </c>
      <c r="G113" t="s">
        <v>49</v>
      </c>
      <c r="H113" t="s">
        <v>415</v>
      </c>
      <c r="I113" s="1">
        <v>44743</v>
      </c>
      <c r="J113" s="1">
        <v>45931</v>
      </c>
      <c r="K113" s="2">
        <v>1</v>
      </c>
      <c r="L113" s="2">
        <v>1</v>
      </c>
      <c r="N113" s="3">
        <v>1</v>
      </c>
      <c r="O113" s="2">
        <v>2</v>
      </c>
      <c r="P113" t="s">
        <v>416</v>
      </c>
      <c r="Q113" t="s">
        <v>1639</v>
      </c>
    </row>
    <row r="114" spans="1:17" x14ac:dyDescent="0.25">
      <c r="A114" s="4">
        <v>101546683100</v>
      </c>
      <c r="B114" s="4" t="str">
        <f t="shared" si="2"/>
        <v>1015466831000</v>
      </c>
      <c r="C114" s="4" t="str">
        <f t="shared" si="3"/>
        <v>101546683100OVR</v>
      </c>
      <c r="D114" t="s">
        <v>654</v>
      </c>
      <c r="E114">
        <v>20411454</v>
      </c>
      <c r="F114" t="s">
        <v>1663</v>
      </c>
      <c r="G114" t="s">
        <v>49</v>
      </c>
      <c r="H114" t="s">
        <v>415</v>
      </c>
      <c r="I114" s="1">
        <v>44774</v>
      </c>
      <c r="J114" s="1">
        <v>45931</v>
      </c>
      <c r="K114" s="2">
        <v>1</v>
      </c>
      <c r="L114" s="2">
        <v>1</v>
      </c>
      <c r="N114" s="3">
        <v>1</v>
      </c>
      <c r="O114" s="2">
        <v>2</v>
      </c>
      <c r="P114" t="s">
        <v>416</v>
      </c>
      <c r="Q114" t="s">
        <v>1639</v>
      </c>
    </row>
    <row r="115" spans="1:17" x14ac:dyDescent="0.25">
      <c r="A115" s="4">
        <v>101547081000</v>
      </c>
      <c r="B115" s="4" t="str">
        <f t="shared" si="2"/>
        <v>1015470810000</v>
      </c>
      <c r="C115" s="4" t="str">
        <f t="shared" si="3"/>
        <v>101547081000OVR</v>
      </c>
      <c r="D115" t="s">
        <v>656</v>
      </c>
      <c r="E115">
        <v>20411454</v>
      </c>
      <c r="F115" t="s">
        <v>1663</v>
      </c>
      <c r="G115" t="s">
        <v>49</v>
      </c>
      <c r="H115" t="s">
        <v>415</v>
      </c>
      <c r="I115" s="1">
        <v>44805</v>
      </c>
      <c r="J115" s="1">
        <v>45931</v>
      </c>
      <c r="K115" s="2">
        <v>1</v>
      </c>
      <c r="L115" s="2">
        <v>1</v>
      </c>
      <c r="N115" s="3">
        <v>1</v>
      </c>
      <c r="O115" s="2">
        <v>2</v>
      </c>
      <c r="P115" t="s">
        <v>416</v>
      </c>
      <c r="Q115" t="s">
        <v>1639</v>
      </c>
    </row>
    <row r="116" spans="1:17" x14ac:dyDescent="0.25">
      <c r="A116" s="4">
        <v>101548751600</v>
      </c>
      <c r="B116" s="4" t="str">
        <f t="shared" si="2"/>
        <v>1015487516000</v>
      </c>
      <c r="C116" s="4" t="str">
        <f t="shared" si="3"/>
        <v>101548751600OVR</v>
      </c>
      <c r="D116" t="s">
        <v>658</v>
      </c>
      <c r="E116">
        <v>20411454</v>
      </c>
      <c r="F116" t="s">
        <v>1663</v>
      </c>
      <c r="G116" t="s">
        <v>49</v>
      </c>
      <c r="H116" t="s">
        <v>415</v>
      </c>
      <c r="I116" s="1">
        <v>44743</v>
      </c>
      <c r="J116" s="1">
        <v>45931</v>
      </c>
      <c r="K116" s="2">
        <v>1</v>
      </c>
      <c r="L116" s="2">
        <v>1</v>
      </c>
      <c r="N116" s="3">
        <v>1</v>
      </c>
      <c r="O116" s="2">
        <v>2</v>
      </c>
      <c r="P116" t="s">
        <v>416</v>
      </c>
      <c r="Q116" t="s">
        <v>1639</v>
      </c>
    </row>
    <row r="117" spans="1:17" x14ac:dyDescent="0.25">
      <c r="A117" s="4">
        <v>101548955100</v>
      </c>
      <c r="B117" s="4" t="str">
        <f t="shared" si="2"/>
        <v>1015489551000</v>
      </c>
      <c r="C117" s="4" t="str">
        <f t="shared" si="3"/>
        <v>101548955100OVR</v>
      </c>
      <c r="D117" t="s">
        <v>660</v>
      </c>
      <c r="E117">
        <v>20411454</v>
      </c>
      <c r="F117" t="s">
        <v>1663</v>
      </c>
      <c r="G117" t="s">
        <v>49</v>
      </c>
      <c r="H117" t="s">
        <v>415</v>
      </c>
      <c r="I117" s="1">
        <v>44805</v>
      </c>
      <c r="J117" s="1">
        <v>45931</v>
      </c>
      <c r="K117" s="2">
        <v>1</v>
      </c>
      <c r="L117" s="2">
        <v>1</v>
      </c>
      <c r="N117" s="3">
        <v>1</v>
      </c>
      <c r="O117" s="2">
        <v>2</v>
      </c>
      <c r="P117" t="s">
        <v>416</v>
      </c>
      <c r="Q117" t="s">
        <v>1639</v>
      </c>
    </row>
    <row r="118" spans="1:17" x14ac:dyDescent="0.25">
      <c r="A118" s="4">
        <v>101549408600</v>
      </c>
      <c r="B118" s="4" t="str">
        <f t="shared" si="2"/>
        <v>1015494086000</v>
      </c>
      <c r="C118" s="4" t="str">
        <f t="shared" si="3"/>
        <v>101549408600OVR</v>
      </c>
      <c r="D118" t="s">
        <v>662</v>
      </c>
      <c r="E118">
        <v>20411454</v>
      </c>
      <c r="F118" t="s">
        <v>1663</v>
      </c>
      <c r="G118" t="s">
        <v>49</v>
      </c>
      <c r="H118" t="s">
        <v>415</v>
      </c>
      <c r="I118" s="1">
        <v>44805</v>
      </c>
      <c r="J118" s="1">
        <v>45931</v>
      </c>
      <c r="K118" s="2">
        <v>1</v>
      </c>
      <c r="L118" s="2">
        <v>1</v>
      </c>
      <c r="N118" s="3">
        <v>1</v>
      </c>
      <c r="O118" s="2">
        <v>2</v>
      </c>
      <c r="P118" t="s">
        <v>416</v>
      </c>
      <c r="Q118" t="s">
        <v>1639</v>
      </c>
    </row>
    <row r="119" spans="1:17" x14ac:dyDescent="0.25">
      <c r="A119" s="4">
        <v>101549506900</v>
      </c>
      <c r="B119" s="4" t="str">
        <f t="shared" si="2"/>
        <v>1015495069000</v>
      </c>
      <c r="C119" s="4" t="str">
        <f t="shared" si="3"/>
        <v>101549506900OVR</v>
      </c>
      <c r="D119" t="s">
        <v>664</v>
      </c>
      <c r="E119">
        <v>20411454</v>
      </c>
      <c r="F119" t="s">
        <v>1663</v>
      </c>
      <c r="G119" t="s">
        <v>49</v>
      </c>
      <c r="H119" t="s">
        <v>415</v>
      </c>
      <c r="I119" s="1">
        <v>44805</v>
      </c>
      <c r="J119" s="1">
        <v>45931</v>
      </c>
      <c r="K119" s="2">
        <v>1</v>
      </c>
      <c r="L119" s="2">
        <v>1</v>
      </c>
      <c r="N119" s="3">
        <v>1</v>
      </c>
      <c r="O119" s="2">
        <v>2</v>
      </c>
      <c r="P119" t="s">
        <v>416</v>
      </c>
      <c r="Q119" t="s">
        <v>1639</v>
      </c>
    </row>
    <row r="120" spans="1:17" x14ac:dyDescent="0.25">
      <c r="A120" s="4">
        <v>101550164600</v>
      </c>
      <c r="B120" s="4" t="str">
        <f t="shared" si="2"/>
        <v>1015501646000</v>
      </c>
      <c r="C120" s="4" t="str">
        <f t="shared" si="3"/>
        <v>101550164600OVR</v>
      </c>
      <c r="D120" t="s">
        <v>666</v>
      </c>
      <c r="E120">
        <v>20411454</v>
      </c>
      <c r="F120" t="s">
        <v>1663</v>
      </c>
      <c r="G120" t="s">
        <v>49</v>
      </c>
      <c r="H120" t="s">
        <v>415</v>
      </c>
      <c r="I120" s="1">
        <v>44835</v>
      </c>
      <c r="J120" s="1">
        <v>45931</v>
      </c>
      <c r="K120" s="2">
        <v>1</v>
      </c>
      <c r="L120" s="2">
        <v>1</v>
      </c>
      <c r="N120" s="3">
        <v>1</v>
      </c>
      <c r="O120" s="2">
        <v>2</v>
      </c>
      <c r="P120" t="s">
        <v>416</v>
      </c>
      <c r="Q120" t="s">
        <v>1639</v>
      </c>
    </row>
    <row r="121" spans="1:17" x14ac:dyDescent="0.25">
      <c r="A121" s="4">
        <v>101550521000</v>
      </c>
      <c r="B121" s="4" t="str">
        <f t="shared" si="2"/>
        <v>1015505210000</v>
      </c>
      <c r="C121" s="4" t="str">
        <f t="shared" si="3"/>
        <v>101550521000OVR</v>
      </c>
      <c r="D121" t="s">
        <v>668</v>
      </c>
      <c r="E121">
        <v>20411454</v>
      </c>
      <c r="F121" t="s">
        <v>1663</v>
      </c>
      <c r="G121" t="s">
        <v>49</v>
      </c>
      <c r="H121" t="s">
        <v>415</v>
      </c>
      <c r="I121" s="1">
        <v>44774</v>
      </c>
      <c r="J121" s="1">
        <v>45931</v>
      </c>
      <c r="K121" s="2">
        <v>1</v>
      </c>
      <c r="L121" s="2">
        <v>1</v>
      </c>
      <c r="N121" s="3">
        <v>1</v>
      </c>
      <c r="O121" s="2">
        <v>2</v>
      </c>
      <c r="P121" t="s">
        <v>416</v>
      </c>
      <c r="Q121" t="s">
        <v>1639</v>
      </c>
    </row>
    <row r="122" spans="1:17" x14ac:dyDescent="0.25">
      <c r="A122" s="4">
        <v>101550554800</v>
      </c>
      <c r="B122" s="4" t="str">
        <f t="shared" si="2"/>
        <v>1015505548000</v>
      </c>
      <c r="C122" s="4" t="str">
        <f t="shared" si="3"/>
        <v>101550554800OVR</v>
      </c>
      <c r="D122" t="s">
        <v>670</v>
      </c>
      <c r="E122">
        <v>20411454</v>
      </c>
      <c r="F122" t="s">
        <v>1663</v>
      </c>
      <c r="G122" t="s">
        <v>49</v>
      </c>
      <c r="H122" t="s">
        <v>415</v>
      </c>
      <c r="I122" s="1">
        <v>44774</v>
      </c>
      <c r="J122" s="1">
        <v>45931</v>
      </c>
      <c r="K122" s="2">
        <v>1</v>
      </c>
      <c r="L122" s="2">
        <v>1</v>
      </c>
      <c r="N122" s="3">
        <v>1</v>
      </c>
      <c r="O122" s="2">
        <v>2</v>
      </c>
      <c r="P122" t="s">
        <v>416</v>
      </c>
      <c r="Q122" t="s">
        <v>1639</v>
      </c>
    </row>
    <row r="123" spans="1:17" x14ac:dyDescent="0.25">
      <c r="A123" s="4">
        <v>101551336000</v>
      </c>
      <c r="B123" s="4" t="str">
        <f t="shared" si="2"/>
        <v>1015513360000</v>
      </c>
      <c r="C123" s="4" t="str">
        <f t="shared" si="3"/>
        <v>101551336000OVR</v>
      </c>
      <c r="D123" t="s">
        <v>672</v>
      </c>
      <c r="E123">
        <v>20411454</v>
      </c>
      <c r="F123" t="s">
        <v>1663</v>
      </c>
      <c r="G123" t="s">
        <v>49</v>
      </c>
      <c r="H123" t="s">
        <v>415</v>
      </c>
      <c r="I123" s="1">
        <v>44835</v>
      </c>
      <c r="J123" s="1">
        <v>45931</v>
      </c>
      <c r="K123" s="2">
        <v>1</v>
      </c>
      <c r="L123" s="2">
        <v>1</v>
      </c>
      <c r="N123" s="3">
        <v>1</v>
      </c>
      <c r="O123" s="2">
        <v>2</v>
      </c>
      <c r="P123" t="s">
        <v>416</v>
      </c>
      <c r="Q123" t="s">
        <v>1639</v>
      </c>
    </row>
    <row r="124" spans="1:17" x14ac:dyDescent="0.25">
      <c r="A124" s="4">
        <v>101554033600</v>
      </c>
      <c r="B124" s="4" t="str">
        <f t="shared" si="2"/>
        <v>1015540336000</v>
      </c>
      <c r="C124" s="4" t="str">
        <f t="shared" si="3"/>
        <v>101554033600OVR</v>
      </c>
      <c r="D124" t="s">
        <v>674</v>
      </c>
      <c r="E124">
        <v>20411454</v>
      </c>
      <c r="F124" t="s">
        <v>1663</v>
      </c>
      <c r="G124" t="s">
        <v>49</v>
      </c>
      <c r="H124" t="s">
        <v>415</v>
      </c>
      <c r="I124" s="1">
        <v>44866</v>
      </c>
      <c r="J124" s="1">
        <v>45931</v>
      </c>
      <c r="K124" s="2">
        <v>1</v>
      </c>
      <c r="L124" s="2">
        <v>1</v>
      </c>
      <c r="N124" s="3">
        <v>1</v>
      </c>
      <c r="O124" s="2">
        <v>2</v>
      </c>
      <c r="P124" t="s">
        <v>416</v>
      </c>
      <c r="Q124" t="s">
        <v>1639</v>
      </c>
    </row>
    <row r="125" spans="1:17" x14ac:dyDescent="0.25">
      <c r="A125" s="4">
        <v>101555784700</v>
      </c>
      <c r="B125" s="4" t="str">
        <f t="shared" si="2"/>
        <v>1015557847000</v>
      </c>
      <c r="C125" s="4" t="str">
        <f t="shared" si="3"/>
        <v>101555784700OVR</v>
      </c>
      <c r="D125" t="s">
        <v>676</v>
      </c>
      <c r="E125">
        <v>20411454</v>
      </c>
      <c r="F125" t="s">
        <v>1663</v>
      </c>
      <c r="G125" t="s">
        <v>49</v>
      </c>
      <c r="H125" t="s">
        <v>415</v>
      </c>
      <c r="I125" s="1">
        <v>44866</v>
      </c>
      <c r="J125" s="1">
        <v>45931</v>
      </c>
      <c r="K125" s="2">
        <v>1</v>
      </c>
      <c r="L125" s="2">
        <v>1</v>
      </c>
      <c r="N125" s="3">
        <v>1</v>
      </c>
      <c r="O125" s="2">
        <v>2</v>
      </c>
      <c r="P125" t="s">
        <v>416</v>
      </c>
      <c r="Q125" t="s">
        <v>1639</v>
      </c>
    </row>
    <row r="126" spans="1:17" x14ac:dyDescent="0.25">
      <c r="A126" s="4">
        <v>101558094400</v>
      </c>
      <c r="B126" s="4" t="str">
        <f t="shared" si="2"/>
        <v>1015580944000</v>
      </c>
      <c r="C126" s="4" t="str">
        <f t="shared" si="3"/>
        <v>101558094400OVR</v>
      </c>
      <c r="D126" t="s">
        <v>678</v>
      </c>
      <c r="E126">
        <v>20411454</v>
      </c>
      <c r="F126" t="s">
        <v>1663</v>
      </c>
      <c r="G126" t="s">
        <v>49</v>
      </c>
      <c r="H126" t="s">
        <v>415</v>
      </c>
      <c r="I126" s="1">
        <v>44835</v>
      </c>
      <c r="J126" s="1">
        <v>45931</v>
      </c>
      <c r="K126" s="2">
        <v>1</v>
      </c>
      <c r="L126" s="2">
        <v>1</v>
      </c>
      <c r="N126" s="3">
        <v>1</v>
      </c>
      <c r="O126" s="2">
        <v>2</v>
      </c>
      <c r="P126" t="s">
        <v>416</v>
      </c>
      <c r="Q126" t="s">
        <v>1639</v>
      </c>
    </row>
    <row r="127" spans="1:17" x14ac:dyDescent="0.25">
      <c r="A127" s="4">
        <v>101558299900</v>
      </c>
      <c r="B127" s="4" t="str">
        <f t="shared" si="2"/>
        <v>1015582999000</v>
      </c>
      <c r="C127" s="4" t="str">
        <f t="shared" si="3"/>
        <v>101558299900OVR</v>
      </c>
      <c r="D127" t="s">
        <v>680</v>
      </c>
      <c r="E127">
        <v>20411454</v>
      </c>
      <c r="F127" t="s">
        <v>1663</v>
      </c>
      <c r="G127" t="s">
        <v>49</v>
      </c>
      <c r="H127" t="s">
        <v>415</v>
      </c>
      <c r="I127" s="1">
        <v>44835</v>
      </c>
      <c r="J127" s="1">
        <v>45931</v>
      </c>
      <c r="K127" s="2">
        <v>1</v>
      </c>
      <c r="L127" s="2">
        <v>1</v>
      </c>
      <c r="N127" s="3">
        <v>1</v>
      </c>
      <c r="O127" s="2">
        <v>2</v>
      </c>
      <c r="P127" t="s">
        <v>416</v>
      </c>
      <c r="Q127" t="s">
        <v>1639</v>
      </c>
    </row>
    <row r="128" spans="1:17" x14ac:dyDescent="0.25">
      <c r="A128" s="4">
        <v>101559233900</v>
      </c>
      <c r="B128" s="4" t="str">
        <f t="shared" si="2"/>
        <v>1015592339000</v>
      </c>
      <c r="C128" s="4" t="str">
        <f t="shared" si="3"/>
        <v>101559233900OVR</v>
      </c>
      <c r="D128" t="s">
        <v>682</v>
      </c>
      <c r="E128">
        <v>20411454</v>
      </c>
      <c r="F128" t="s">
        <v>1663</v>
      </c>
      <c r="G128" t="s">
        <v>49</v>
      </c>
      <c r="H128" t="s">
        <v>415</v>
      </c>
      <c r="I128" s="1">
        <v>44896</v>
      </c>
      <c r="J128" s="1">
        <v>45931</v>
      </c>
      <c r="K128" s="2">
        <v>1</v>
      </c>
      <c r="L128" s="2">
        <v>1</v>
      </c>
      <c r="N128" s="3">
        <v>1</v>
      </c>
      <c r="O128" s="2">
        <v>2</v>
      </c>
      <c r="P128" t="s">
        <v>416</v>
      </c>
      <c r="Q128" t="s">
        <v>1639</v>
      </c>
    </row>
    <row r="129" spans="1:17" x14ac:dyDescent="0.25">
      <c r="A129" s="4">
        <v>101559848400</v>
      </c>
      <c r="B129" s="4" t="str">
        <f t="shared" si="2"/>
        <v>1015598484000</v>
      </c>
      <c r="C129" s="4" t="str">
        <f t="shared" si="3"/>
        <v>101559848400OVR</v>
      </c>
      <c r="D129" t="s">
        <v>684</v>
      </c>
      <c r="E129">
        <v>20411454</v>
      </c>
      <c r="F129" t="s">
        <v>1663</v>
      </c>
      <c r="G129" t="s">
        <v>49</v>
      </c>
      <c r="H129" t="s">
        <v>415</v>
      </c>
      <c r="I129" s="1">
        <v>44835</v>
      </c>
      <c r="J129" s="1">
        <v>45931</v>
      </c>
      <c r="K129" s="2">
        <v>1</v>
      </c>
      <c r="L129" s="2">
        <v>1</v>
      </c>
      <c r="N129" s="3">
        <v>1</v>
      </c>
      <c r="O129" s="2">
        <v>2</v>
      </c>
      <c r="P129" t="s">
        <v>416</v>
      </c>
      <c r="Q129" t="s">
        <v>1639</v>
      </c>
    </row>
    <row r="130" spans="1:17" x14ac:dyDescent="0.25">
      <c r="A130" s="4">
        <v>101559849800</v>
      </c>
      <c r="B130" s="4" t="str">
        <f t="shared" ref="B130:B193" si="4">CONCATENATE(A130,0)</f>
        <v>1015598498000</v>
      </c>
      <c r="C130" s="4" t="str">
        <f t="shared" ref="C130:C193" si="5">CONCATENATE(A130, "OVR")</f>
        <v>101559849800OVR</v>
      </c>
      <c r="D130" t="s">
        <v>686</v>
      </c>
      <c r="E130">
        <v>20411454</v>
      </c>
      <c r="F130" t="s">
        <v>1663</v>
      </c>
      <c r="G130" t="s">
        <v>49</v>
      </c>
      <c r="H130" t="s">
        <v>415</v>
      </c>
      <c r="I130" s="1">
        <v>44835</v>
      </c>
      <c r="J130" s="1">
        <v>45931</v>
      </c>
      <c r="K130" s="2">
        <v>1</v>
      </c>
      <c r="L130" s="2">
        <v>1</v>
      </c>
      <c r="N130" s="3">
        <v>1</v>
      </c>
      <c r="O130" s="2">
        <v>2</v>
      </c>
      <c r="P130" t="s">
        <v>416</v>
      </c>
      <c r="Q130" t="s">
        <v>1639</v>
      </c>
    </row>
    <row r="131" spans="1:17" x14ac:dyDescent="0.25">
      <c r="A131" s="4">
        <v>101562443500</v>
      </c>
      <c r="B131" s="4" t="str">
        <f t="shared" si="4"/>
        <v>1015624435000</v>
      </c>
      <c r="C131" s="4" t="str">
        <f t="shared" si="5"/>
        <v>101562443500OVR</v>
      </c>
      <c r="D131" t="s">
        <v>688</v>
      </c>
      <c r="E131">
        <v>20411454</v>
      </c>
      <c r="F131" t="s">
        <v>1663</v>
      </c>
      <c r="G131" t="s">
        <v>49</v>
      </c>
      <c r="H131" t="s">
        <v>415</v>
      </c>
      <c r="I131" s="1">
        <v>45017</v>
      </c>
      <c r="J131" s="1">
        <v>45931</v>
      </c>
      <c r="K131" s="2">
        <v>1</v>
      </c>
      <c r="L131" s="2">
        <v>1</v>
      </c>
      <c r="N131" s="3">
        <v>1</v>
      </c>
      <c r="O131" s="2">
        <v>2</v>
      </c>
      <c r="P131" t="s">
        <v>416</v>
      </c>
      <c r="Q131" t="s">
        <v>1639</v>
      </c>
    </row>
    <row r="132" spans="1:17" x14ac:dyDescent="0.25">
      <c r="A132" s="4">
        <v>101564021500</v>
      </c>
      <c r="B132" s="4" t="str">
        <f t="shared" si="4"/>
        <v>1015640215000</v>
      </c>
      <c r="C132" s="4" t="str">
        <f t="shared" si="5"/>
        <v>101564021500OVR</v>
      </c>
      <c r="D132" t="s">
        <v>690</v>
      </c>
      <c r="E132">
        <v>20411454</v>
      </c>
      <c r="F132" t="s">
        <v>1663</v>
      </c>
      <c r="G132" t="s">
        <v>49</v>
      </c>
      <c r="H132" t="s">
        <v>415</v>
      </c>
      <c r="I132" s="1">
        <v>44927</v>
      </c>
      <c r="J132" s="1">
        <v>45931</v>
      </c>
      <c r="K132" s="2">
        <v>1</v>
      </c>
      <c r="L132" s="2">
        <v>1</v>
      </c>
      <c r="N132" s="3">
        <v>1</v>
      </c>
      <c r="O132" s="2">
        <v>2</v>
      </c>
      <c r="P132" t="s">
        <v>416</v>
      </c>
      <c r="Q132" t="s">
        <v>1639</v>
      </c>
    </row>
    <row r="133" spans="1:17" x14ac:dyDescent="0.25">
      <c r="A133" s="4">
        <v>101564541800</v>
      </c>
      <c r="B133" s="4" t="str">
        <f t="shared" si="4"/>
        <v>1015645418000</v>
      </c>
      <c r="C133" s="4" t="str">
        <f t="shared" si="5"/>
        <v>101564541800OVR</v>
      </c>
      <c r="D133" t="s">
        <v>692</v>
      </c>
      <c r="E133">
        <v>20411454</v>
      </c>
      <c r="F133" t="s">
        <v>1663</v>
      </c>
      <c r="G133" t="s">
        <v>49</v>
      </c>
      <c r="H133" t="s">
        <v>415</v>
      </c>
      <c r="I133" s="1">
        <v>44927</v>
      </c>
      <c r="J133" s="1">
        <v>45931</v>
      </c>
      <c r="K133" s="2">
        <v>1</v>
      </c>
      <c r="L133" s="2">
        <v>1</v>
      </c>
      <c r="N133" s="3">
        <v>1</v>
      </c>
      <c r="O133" s="2">
        <v>2</v>
      </c>
      <c r="P133" t="s">
        <v>416</v>
      </c>
      <c r="Q133" t="s">
        <v>1639</v>
      </c>
    </row>
    <row r="134" spans="1:17" x14ac:dyDescent="0.25">
      <c r="A134" s="4">
        <v>101565188200</v>
      </c>
      <c r="B134" s="4" t="str">
        <f t="shared" si="4"/>
        <v>1015651882000</v>
      </c>
      <c r="C134" s="4" t="str">
        <f t="shared" si="5"/>
        <v>101565188200OVR</v>
      </c>
      <c r="D134" t="s">
        <v>694</v>
      </c>
      <c r="E134">
        <v>20411454</v>
      </c>
      <c r="F134" t="s">
        <v>1663</v>
      </c>
      <c r="G134" t="s">
        <v>49</v>
      </c>
      <c r="H134" t="s">
        <v>415</v>
      </c>
      <c r="I134" s="1">
        <v>44927</v>
      </c>
      <c r="J134" s="1">
        <v>45931</v>
      </c>
      <c r="K134" s="2">
        <v>1</v>
      </c>
      <c r="L134" s="2">
        <v>1</v>
      </c>
      <c r="N134" s="3">
        <v>1</v>
      </c>
      <c r="O134" s="2">
        <v>2</v>
      </c>
      <c r="P134" t="s">
        <v>416</v>
      </c>
      <c r="Q134" t="s">
        <v>1639</v>
      </c>
    </row>
    <row r="135" spans="1:17" x14ac:dyDescent="0.25">
      <c r="A135" s="4">
        <v>101565317500</v>
      </c>
      <c r="B135" s="4" t="str">
        <f t="shared" si="4"/>
        <v>1015653175000</v>
      </c>
      <c r="C135" s="4" t="str">
        <f t="shared" si="5"/>
        <v>101565317500OVR</v>
      </c>
      <c r="D135" t="s">
        <v>696</v>
      </c>
      <c r="E135">
        <v>20411454</v>
      </c>
      <c r="F135" t="s">
        <v>1663</v>
      </c>
      <c r="G135" t="s">
        <v>49</v>
      </c>
      <c r="H135" t="s">
        <v>415</v>
      </c>
      <c r="I135" s="1">
        <v>44927</v>
      </c>
      <c r="J135" s="1">
        <v>45931</v>
      </c>
      <c r="K135" s="2">
        <v>1</v>
      </c>
      <c r="L135" s="2">
        <v>1</v>
      </c>
      <c r="N135" s="3">
        <v>1</v>
      </c>
      <c r="O135" s="2">
        <v>2</v>
      </c>
      <c r="P135" t="s">
        <v>416</v>
      </c>
      <c r="Q135" t="s">
        <v>1639</v>
      </c>
    </row>
    <row r="136" spans="1:17" x14ac:dyDescent="0.25">
      <c r="A136" s="4">
        <v>101565368600</v>
      </c>
      <c r="B136" s="4" t="str">
        <f t="shared" si="4"/>
        <v>1015653686000</v>
      </c>
      <c r="C136" s="4" t="str">
        <f t="shared" si="5"/>
        <v>101565368600OVR</v>
      </c>
      <c r="D136" t="s">
        <v>698</v>
      </c>
      <c r="E136">
        <v>20411454</v>
      </c>
      <c r="F136" t="s">
        <v>1663</v>
      </c>
      <c r="G136" t="s">
        <v>49</v>
      </c>
      <c r="H136" t="s">
        <v>415</v>
      </c>
      <c r="I136" s="1">
        <v>44927</v>
      </c>
      <c r="J136" s="1">
        <v>45931</v>
      </c>
      <c r="K136" s="2">
        <v>1</v>
      </c>
      <c r="L136" s="2">
        <v>1</v>
      </c>
      <c r="N136" s="3">
        <v>1</v>
      </c>
      <c r="O136" s="2">
        <v>2</v>
      </c>
      <c r="P136" t="s">
        <v>416</v>
      </c>
      <c r="Q136" t="s">
        <v>1639</v>
      </c>
    </row>
    <row r="137" spans="1:17" x14ac:dyDescent="0.25">
      <c r="A137" s="4">
        <v>101565683600</v>
      </c>
      <c r="B137" s="4" t="str">
        <f t="shared" si="4"/>
        <v>1015656836000</v>
      </c>
      <c r="C137" s="4" t="str">
        <f t="shared" si="5"/>
        <v>101565683600OVR</v>
      </c>
      <c r="D137" t="s">
        <v>700</v>
      </c>
      <c r="E137">
        <v>20411454</v>
      </c>
      <c r="F137" t="s">
        <v>1663</v>
      </c>
      <c r="G137" t="s">
        <v>49</v>
      </c>
      <c r="H137" t="s">
        <v>415</v>
      </c>
      <c r="I137" s="1">
        <v>45658</v>
      </c>
      <c r="J137" s="1">
        <v>45931</v>
      </c>
      <c r="K137" s="2">
        <v>1</v>
      </c>
      <c r="L137" s="2">
        <v>1</v>
      </c>
      <c r="N137" s="3">
        <v>1</v>
      </c>
      <c r="O137" s="2">
        <v>2</v>
      </c>
      <c r="P137" t="s">
        <v>416</v>
      </c>
      <c r="Q137" t="s">
        <v>1639</v>
      </c>
    </row>
    <row r="138" spans="1:17" x14ac:dyDescent="0.25">
      <c r="A138" s="4">
        <v>101568867100</v>
      </c>
      <c r="B138" s="4" t="str">
        <f t="shared" si="4"/>
        <v>1015688671000</v>
      </c>
      <c r="C138" s="4" t="str">
        <f t="shared" si="5"/>
        <v>101568867100OVR</v>
      </c>
      <c r="D138" t="s">
        <v>702</v>
      </c>
      <c r="E138">
        <v>20411454</v>
      </c>
      <c r="F138" t="s">
        <v>1663</v>
      </c>
      <c r="G138" t="s">
        <v>49</v>
      </c>
      <c r="H138" t="s">
        <v>415</v>
      </c>
      <c r="I138" s="1">
        <v>44927</v>
      </c>
      <c r="J138" s="1">
        <v>45931</v>
      </c>
      <c r="K138" s="2">
        <v>1</v>
      </c>
      <c r="L138" s="2">
        <v>1</v>
      </c>
      <c r="N138" s="3">
        <v>1</v>
      </c>
      <c r="O138" s="2">
        <v>2</v>
      </c>
      <c r="P138" t="s">
        <v>416</v>
      </c>
      <c r="Q138" t="s">
        <v>1639</v>
      </c>
    </row>
    <row r="139" spans="1:17" x14ac:dyDescent="0.25">
      <c r="A139" s="4">
        <v>101581399800</v>
      </c>
      <c r="B139" s="4" t="str">
        <f t="shared" si="4"/>
        <v>1015813998000</v>
      </c>
      <c r="C139" s="4" t="str">
        <f t="shared" si="5"/>
        <v>101581399800OVR</v>
      </c>
      <c r="D139" t="s">
        <v>704</v>
      </c>
      <c r="E139">
        <v>20411454</v>
      </c>
      <c r="F139" t="s">
        <v>1663</v>
      </c>
      <c r="G139" t="s">
        <v>49</v>
      </c>
      <c r="H139" t="s">
        <v>415</v>
      </c>
      <c r="I139" s="1">
        <v>44927</v>
      </c>
      <c r="J139" s="1">
        <v>45931</v>
      </c>
      <c r="K139" s="2">
        <v>1</v>
      </c>
      <c r="L139" s="2">
        <v>1</v>
      </c>
      <c r="N139" s="3">
        <v>1</v>
      </c>
      <c r="O139" s="2">
        <v>2</v>
      </c>
      <c r="P139" t="s">
        <v>416</v>
      </c>
      <c r="Q139" t="s">
        <v>1639</v>
      </c>
    </row>
    <row r="140" spans="1:17" x14ac:dyDescent="0.25">
      <c r="A140" s="4">
        <v>101583947600</v>
      </c>
      <c r="B140" s="4" t="str">
        <f t="shared" si="4"/>
        <v>1015839476000</v>
      </c>
      <c r="C140" s="4" t="str">
        <f t="shared" si="5"/>
        <v>101583947600OVR</v>
      </c>
      <c r="D140" t="s">
        <v>706</v>
      </c>
      <c r="E140">
        <v>20411454</v>
      </c>
      <c r="F140" t="s">
        <v>1663</v>
      </c>
      <c r="G140" t="s">
        <v>49</v>
      </c>
      <c r="H140" t="s">
        <v>415</v>
      </c>
      <c r="I140" s="1">
        <v>44958</v>
      </c>
      <c r="J140" s="1">
        <v>45931</v>
      </c>
      <c r="K140" s="2">
        <v>1</v>
      </c>
      <c r="L140" s="2">
        <v>1</v>
      </c>
      <c r="N140" s="3">
        <v>1</v>
      </c>
      <c r="O140" s="2">
        <v>2</v>
      </c>
      <c r="P140" t="s">
        <v>416</v>
      </c>
      <c r="Q140" t="s">
        <v>1639</v>
      </c>
    </row>
    <row r="141" spans="1:17" x14ac:dyDescent="0.25">
      <c r="A141" s="4">
        <v>101585746700</v>
      </c>
      <c r="B141" s="4" t="str">
        <f t="shared" si="4"/>
        <v>1015857467000</v>
      </c>
      <c r="C141" s="4" t="str">
        <f t="shared" si="5"/>
        <v>101585746700OVR</v>
      </c>
      <c r="D141" t="s">
        <v>708</v>
      </c>
      <c r="E141">
        <v>20411454</v>
      </c>
      <c r="F141" t="s">
        <v>1663</v>
      </c>
      <c r="G141" t="s">
        <v>49</v>
      </c>
      <c r="H141" t="s">
        <v>415</v>
      </c>
      <c r="I141" s="1">
        <v>44927</v>
      </c>
      <c r="J141" s="1">
        <v>45931</v>
      </c>
      <c r="K141" s="2">
        <v>1</v>
      </c>
      <c r="L141" s="2">
        <v>1</v>
      </c>
      <c r="N141" s="3">
        <v>1</v>
      </c>
      <c r="O141" s="2">
        <v>2</v>
      </c>
      <c r="P141" t="s">
        <v>416</v>
      </c>
      <c r="Q141" t="s">
        <v>1639</v>
      </c>
    </row>
    <row r="142" spans="1:17" x14ac:dyDescent="0.25">
      <c r="A142" s="4">
        <v>101603418900</v>
      </c>
      <c r="B142" s="4" t="str">
        <f t="shared" si="4"/>
        <v>1016034189000</v>
      </c>
      <c r="C142" s="4" t="str">
        <f t="shared" si="5"/>
        <v>101603418900OVR</v>
      </c>
      <c r="D142" t="s">
        <v>710</v>
      </c>
      <c r="E142">
        <v>20411454</v>
      </c>
      <c r="F142" t="s">
        <v>1663</v>
      </c>
      <c r="G142" t="s">
        <v>49</v>
      </c>
      <c r="H142" t="s">
        <v>415</v>
      </c>
      <c r="I142" s="1">
        <v>44927</v>
      </c>
      <c r="J142" s="1">
        <v>45931</v>
      </c>
      <c r="K142" s="2">
        <v>1</v>
      </c>
      <c r="L142" s="2">
        <v>1</v>
      </c>
      <c r="N142" s="3">
        <v>1</v>
      </c>
      <c r="O142" s="2">
        <v>2</v>
      </c>
      <c r="P142" t="s">
        <v>416</v>
      </c>
      <c r="Q142" t="s">
        <v>1639</v>
      </c>
    </row>
    <row r="143" spans="1:17" x14ac:dyDescent="0.25">
      <c r="A143" s="4">
        <v>101617531200</v>
      </c>
      <c r="B143" s="4" t="str">
        <f t="shared" si="4"/>
        <v>1016175312000</v>
      </c>
      <c r="C143" s="4" t="str">
        <f t="shared" si="5"/>
        <v>101617531200OVR</v>
      </c>
      <c r="D143" t="s">
        <v>712</v>
      </c>
      <c r="E143">
        <v>20411454</v>
      </c>
      <c r="F143" t="s">
        <v>1663</v>
      </c>
      <c r="G143" t="s">
        <v>49</v>
      </c>
      <c r="H143" t="s">
        <v>415</v>
      </c>
      <c r="I143" s="1">
        <v>44927</v>
      </c>
      <c r="J143" s="1">
        <v>45931</v>
      </c>
      <c r="K143" s="2">
        <v>1</v>
      </c>
      <c r="L143" s="2">
        <v>1</v>
      </c>
      <c r="N143" s="3">
        <v>1</v>
      </c>
      <c r="O143" s="2">
        <v>2</v>
      </c>
      <c r="P143" t="s">
        <v>416</v>
      </c>
      <c r="Q143" t="s">
        <v>1639</v>
      </c>
    </row>
    <row r="144" spans="1:17" x14ac:dyDescent="0.25">
      <c r="A144" s="4">
        <v>101619192600</v>
      </c>
      <c r="B144" s="4" t="str">
        <f t="shared" si="4"/>
        <v>1016191926000</v>
      </c>
      <c r="C144" s="4" t="str">
        <f t="shared" si="5"/>
        <v>101619192600OVR</v>
      </c>
      <c r="D144" t="s">
        <v>714</v>
      </c>
      <c r="E144">
        <v>20411454</v>
      </c>
      <c r="F144" t="s">
        <v>1663</v>
      </c>
      <c r="G144" t="s">
        <v>49</v>
      </c>
      <c r="H144" t="s">
        <v>415</v>
      </c>
      <c r="I144" s="1">
        <v>44927</v>
      </c>
      <c r="J144" s="1">
        <v>45931</v>
      </c>
      <c r="K144" s="2">
        <v>1</v>
      </c>
      <c r="L144" s="2">
        <v>1</v>
      </c>
      <c r="N144" s="3">
        <v>1</v>
      </c>
      <c r="O144" s="2">
        <v>2</v>
      </c>
      <c r="P144" t="s">
        <v>416</v>
      </c>
      <c r="Q144" t="s">
        <v>1639</v>
      </c>
    </row>
    <row r="145" spans="1:17" x14ac:dyDescent="0.25">
      <c r="A145" s="4">
        <v>101625868700</v>
      </c>
      <c r="B145" s="4" t="str">
        <f t="shared" si="4"/>
        <v>1016258687000</v>
      </c>
      <c r="C145" s="4" t="str">
        <f t="shared" si="5"/>
        <v>101625868700OVR</v>
      </c>
      <c r="D145" t="s">
        <v>716</v>
      </c>
      <c r="E145">
        <v>20411454</v>
      </c>
      <c r="F145" t="s">
        <v>1663</v>
      </c>
      <c r="G145" t="s">
        <v>49</v>
      </c>
      <c r="H145" t="s">
        <v>415</v>
      </c>
      <c r="I145" s="1">
        <v>44927</v>
      </c>
      <c r="J145" s="1">
        <v>45931</v>
      </c>
      <c r="K145" s="2">
        <v>1</v>
      </c>
      <c r="L145" s="2">
        <v>1</v>
      </c>
      <c r="N145" s="3">
        <v>1</v>
      </c>
      <c r="O145" s="2">
        <v>2</v>
      </c>
      <c r="P145" t="s">
        <v>416</v>
      </c>
      <c r="Q145" t="s">
        <v>1639</v>
      </c>
    </row>
    <row r="146" spans="1:17" x14ac:dyDescent="0.25">
      <c r="A146" s="4">
        <v>101625894300</v>
      </c>
      <c r="B146" s="4" t="str">
        <f t="shared" si="4"/>
        <v>1016258943000</v>
      </c>
      <c r="C146" s="4" t="str">
        <f t="shared" si="5"/>
        <v>101625894300OVR</v>
      </c>
      <c r="D146" t="s">
        <v>718</v>
      </c>
      <c r="E146">
        <v>20411454</v>
      </c>
      <c r="F146" t="s">
        <v>1663</v>
      </c>
      <c r="G146" t="s">
        <v>49</v>
      </c>
      <c r="H146" t="s">
        <v>415</v>
      </c>
      <c r="I146" s="1">
        <v>44927</v>
      </c>
      <c r="J146" s="1">
        <v>45931</v>
      </c>
      <c r="K146" s="2">
        <v>1</v>
      </c>
      <c r="L146" s="2">
        <v>1</v>
      </c>
      <c r="N146" s="3">
        <v>1</v>
      </c>
      <c r="O146" s="2">
        <v>2</v>
      </c>
      <c r="P146" t="s">
        <v>416</v>
      </c>
      <c r="Q146" t="s">
        <v>1639</v>
      </c>
    </row>
    <row r="147" spans="1:17" x14ac:dyDescent="0.25">
      <c r="A147" s="4">
        <v>101626027800</v>
      </c>
      <c r="B147" s="4" t="str">
        <f t="shared" si="4"/>
        <v>1016260278000</v>
      </c>
      <c r="C147" s="4" t="str">
        <f t="shared" si="5"/>
        <v>101626027800OVR</v>
      </c>
      <c r="D147" t="s">
        <v>720</v>
      </c>
      <c r="E147">
        <v>20411454</v>
      </c>
      <c r="F147" t="s">
        <v>1663</v>
      </c>
      <c r="G147" t="s">
        <v>49</v>
      </c>
      <c r="H147" t="s">
        <v>415</v>
      </c>
      <c r="I147" s="1">
        <v>44986</v>
      </c>
      <c r="J147" s="1">
        <v>45931</v>
      </c>
      <c r="K147" s="2">
        <v>1</v>
      </c>
      <c r="L147" s="2">
        <v>1</v>
      </c>
      <c r="N147" s="3">
        <v>1</v>
      </c>
      <c r="O147" s="2">
        <v>2</v>
      </c>
      <c r="P147" t="s">
        <v>416</v>
      </c>
      <c r="Q147" t="s">
        <v>1639</v>
      </c>
    </row>
    <row r="148" spans="1:17" x14ac:dyDescent="0.25">
      <c r="A148" s="4">
        <v>101626129100</v>
      </c>
      <c r="B148" s="4" t="str">
        <f t="shared" si="4"/>
        <v>1016261291000</v>
      </c>
      <c r="C148" s="4" t="str">
        <f t="shared" si="5"/>
        <v>101626129100OVR</v>
      </c>
      <c r="D148" t="s">
        <v>722</v>
      </c>
      <c r="E148">
        <v>20411454</v>
      </c>
      <c r="F148" t="s">
        <v>1663</v>
      </c>
      <c r="G148" t="s">
        <v>49</v>
      </c>
      <c r="H148" t="s">
        <v>415</v>
      </c>
      <c r="I148" s="1">
        <v>44927</v>
      </c>
      <c r="J148" s="1">
        <v>45931</v>
      </c>
      <c r="K148" s="2">
        <v>1</v>
      </c>
      <c r="L148" s="2">
        <v>1</v>
      </c>
      <c r="N148" s="3">
        <v>1</v>
      </c>
      <c r="O148" s="2">
        <v>2</v>
      </c>
      <c r="P148" t="s">
        <v>416</v>
      </c>
      <c r="Q148" t="s">
        <v>1639</v>
      </c>
    </row>
    <row r="149" spans="1:17" x14ac:dyDescent="0.25">
      <c r="A149" s="4">
        <v>101626199000</v>
      </c>
      <c r="B149" s="4" t="str">
        <f t="shared" si="4"/>
        <v>1016261990000</v>
      </c>
      <c r="C149" s="4" t="str">
        <f t="shared" si="5"/>
        <v>101626199000OVR</v>
      </c>
      <c r="D149" t="s">
        <v>724</v>
      </c>
      <c r="E149">
        <v>20411454</v>
      </c>
      <c r="F149" t="s">
        <v>1663</v>
      </c>
      <c r="G149" t="s">
        <v>49</v>
      </c>
      <c r="H149" t="s">
        <v>415</v>
      </c>
      <c r="I149" s="1">
        <v>44927</v>
      </c>
      <c r="J149" s="1">
        <v>45931</v>
      </c>
      <c r="K149" s="2">
        <v>1</v>
      </c>
      <c r="L149" s="2">
        <v>1</v>
      </c>
      <c r="N149" s="3">
        <v>1</v>
      </c>
      <c r="O149" s="2">
        <v>2</v>
      </c>
      <c r="P149" t="s">
        <v>416</v>
      </c>
      <c r="Q149" t="s">
        <v>1639</v>
      </c>
    </row>
    <row r="150" spans="1:17" x14ac:dyDescent="0.25">
      <c r="A150" s="4">
        <v>101626483300</v>
      </c>
      <c r="B150" s="4" t="str">
        <f t="shared" si="4"/>
        <v>1016264833000</v>
      </c>
      <c r="C150" s="4" t="str">
        <f t="shared" si="5"/>
        <v>101626483300OVR</v>
      </c>
      <c r="D150" t="s">
        <v>726</v>
      </c>
      <c r="E150">
        <v>20411454</v>
      </c>
      <c r="F150" t="s">
        <v>1663</v>
      </c>
      <c r="G150" t="s">
        <v>49</v>
      </c>
      <c r="H150" t="s">
        <v>415</v>
      </c>
      <c r="I150" s="1">
        <v>44927</v>
      </c>
      <c r="J150" s="1">
        <v>45931</v>
      </c>
      <c r="K150" s="2">
        <v>1</v>
      </c>
      <c r="L150" s="2">
        <v>1</v>
      </c>
      <c r="N150" s="3">
        <v>1</v>
      </c>
      <c r="O150" s="2">
        <v>2</v>
      </c>
      <c r="P150" t="s">
        <v>416</v>
      </c>
      <c r="Q150" t="s">
        <v>1639</v>
      </c>
    </row>
    <row r="151" spans="1:17" x14ac:dyDescent="0.25">
      <c r="A151" s="4">
        <v>101626512800</v>
      </c>
      <c r="B151" s="4" t="str">
        <f t="shared" si="4"/>
        <v>1016265128000</v>
      </c>
      <c r="C151" s="4" t="str">
        <f t="shared" si="5"/>
        <v>101626512800OVR</v>
      </c>
      <c r="D151" t="s">
        <v>728</v>
      </c>
      <c r="E151">
        <v>20411454</v>
      </c>
      <c r="F151" t="s">
        <v>1663</v>
      </c>
      <c r="G151" t="s">
        <v>49</v>
      </c>
      <c r="H151" t="s">
        <v>415</v>
      </c>
      <c r="I151" s="1">
        <v>44927</v>
      </c>
      <c r="J151" s="1">
        <v>45931</v>
      </c>
      <c r="K151" s="2">
        <v>1</v>
      </c>
      <c r="L151" s="2">
        <v>1</v>
      </c>
      <c r="N151" s="3">
        <v>1</v>
      </c>
      <c r="O151" s="2">
        <v>2</v>
      </c>
      <c r="P151" t="s">
        <v>416</v>
      </c>
      <c r="Q151" t="s">
        <v>1639</v>
      </c>
    </row>
    <row r="152" spans="1:17" x14ac:dyDescent="0.25">
      <c r="A152" s="4">
        <v>101628755300</v>
      </c>
      <c r="B152" s="4" t="str">
        <f t="shared" si="4"/>
        <v>1016287553000</v>
      </c>
      <c r="C152" s="4" t="str">
        <f t="shared" si="5"/>
        <v>101628755300OVR</v>
      </c>
      <c r="D152" t="s">
        <v>730</v>
      </c>
      <c r="E152">
        <v>20411454</v>
      </c>
      <c r="F152" t="s">
        <v>1663</v>
      </c>
      <c r="G152" t="s">
        <v>49</v>
      </c>
      <c r="H152" t="s">
        <v>415</v>
      </c>
      <c r="I152" s="1">
        <v>44927</v>
      </c>
      <c r="J152" s="1">
        <v>45931</v>
      </c>
      <c r="K152" s="2">
        <v>1</v>
      </c>
      <c r="L152" s="2">
        <v>1</v>
      </c>
      <c r="N152" s="3">
        <v>1</v>
      </c>
      <c r="O152" s="2">
        <v>2</v>
      </c>
      <c r="P152" t="s">
        <v>416</v>
      </c>
      <c r="Q152" t="s">
        <v>1639</v>
      </c>
    </row>
    <row r="153" spans="1:17" x14ac:dyDescent="0.25">
      <c r="A153" s="4">
        <v>101628951400</v>
      </c>
      <c r="B153" s="4" t="str">
        <f t="shared" si="4"/>
        <v>1016289514000</v>
      </c>
      <c r="C153" s="4" t="str">
        <f t="shared" si="5"/>
        <v>101628951400OVR</v>
      </c>
      <c r="D153" t="s">
        <v>732</v>
      </c>
      <c r="E153">
        <v>20411454</v>
      </c>
      <c r="F153" t="s">
        <v>1663</v>
      </c>
      <c r="G153" t="s">
        <v>49</v>
      </c>
      <c r="H153" t="s">
        <v>415</v>
      </c>
      <c r="I153" s="1">
        <v>44927</v>
      </c>
      <c r="J153" s="1">
        <v>45931</v>
      </c>
      <c r="K153" s="2">
        <v>1</v>
      </c>
      <c r="L153" s="2">
        <v>1</v>
      </c>
      <c r="N153" s="3">
        <v>1</v>
      </c>
      <c r="O153" s="2">
        <v>2</v>
      </c>
      <c r="P153" t="s">
        <v>416</v>
      </c>
      <c r="Q153" t="s">
        <v>1639</v>
      </c>
    </row>
    <row r="154" spans="1:17" x14ac:dyDescent="0.25">
      <c r="A154" s="4">
        <v>101645477500</v>
      </c>
      <c r="B154" s="4" t="str">
        <f t="shared" si="4"/>
        <v>1016454775000</v>
      </c>
      <c r="C154" s="4" t="str">
        <f t="shared" si="5"/>
        <v>101645477500OVR</v>
      </c>
      <c r="D154" t="s">
        <v>734</v>
      </c>
      <c r="E154">
        <v>20411454</v>
      </c>
      <c r="F154" t="s">
        <v>1663</v>
      </c>
      <c r="G154" t="s">
        <v>49</v>
      </c>
      <c r="H154" t="s">
        <v>415</v>
      </c>
      <c r="I154" s="1">
        <v>44927</v>
      </c>
      <c r="J154" s="1">
        <v>45931</v>
      </c>
      <c r="K154" s="2">
        <v>1</v>
      </c>
      <c r="L154" s="2">
        <v>1</v>
      </c>
      <c r="N154" s="3">
        <v>1</v>
      </c>
      <c r="O154" s="2">
        <v>2</v>
      </c>
      <c r="P154" t="s">
        <v>416</v>
      </c>
      <c r="Q154" t="s">
        <v>1639</v>
      </c>
    </row>
    <row r="155" spans="1:17" x14ac:dyDescent="0.25">
      <c r="A155" s="4">
        <v>101645612000</v>
      </c>
      <c r="B155" s="4" t="str">
        <f t="shared" si="4"/>
        <v>1016456120000</v>
      </c>
      <c r="C155" s="4" t="str">
        <f t="shared" si="5"/>
        <v>101645612000OVR</v>
      </c>
      <c r="D155" t="s">
        <v>736</v>
      </c>
      <c r="E155">
        <v>20411454</v>
      </c>
      <c r="F155" t="s">
        <v>1663</v>
      </c>
      <c r="G155" t="s">
        <v>49</v>
      </c>
      <c r="H155" t="s">
        <v>415</v>
      </c>
      <c r="I155" s="1">
        <v>45658</v>
      </c>
      <c r="J155" s="1">
        <v>45931</v>
      </c>
      <c r="K155" s="2">
        <v>1</v>
      </c>
      <c r="L155" s="2">
        <v>1</v>
      </c>
      <c r="N155" s="3">
        <v>1</v>
      </c>
      <c r="O155" s="2">
        <v>2</v>
      </c>
      <c r="P155" t="s">
        <v>416</v>
      </c>
      <c r="Q155" t="s">
        <v>1639</v>
      </c>
    </row>
    <row r="156" spans="1:17" x14ac:dyDescent="0.25">
      <c r="A156" s="4">
        <v>101685445600</v>
      </c>
      <c r="B156" s="4" t="str">
        <f t="shared" si="4"/>
        <v>1016854456000</v>
      </c>
      <c r="C156" s="4" t="str">
        <f t="shared" si="5"/>
        <v>101685445600OVR</v>
      </c>
      <c r="D156" t="s">
        <v>738</v>
      </c>
      <c r="E156">
        <v>20411454</v>
      </c>
      <c r="F156" t="s">
        <v>1663</v>
      </c>
      <c r="G156" t="s">
        <v>49</v>
      </c>
      <c r="H156" t="s">
        <v>415</v>
      </c>
      <c r="I156" s="1">
        <v>44958</v>
      </c>
      <c r="J156" s="1">
        <v>45931</v>
      </c>
      <c r="K156" s="2">
        <v>1</v>
      </c>
      <c r="L156" s="2">
        <v>1</v>
      </c>
      <c r="N156" s="3">
        <v>1</v>
      </c>
      <c r="O156" s="2">
        <v>2</v>
      </c>
      <c r="P156" t="s">
        <v>416</v>
      </c>
      <c r="Q156" t="s">
        <v>1639</v>
      </c>
    </row>
    <row r="157" spans="1:17" x14ac:dyDescent="0.25">
      <c r="A157" s="4">
        <v>101685446200</v>
      </c>
      <c r="B157" s="4" t="str">
        <f t="shared" si="4"/>
        <v>1016854462000</v>
      </c>
      <c r="C157" s="4" t="str">
        <f t="shared" si="5"/>
        <v>101685446200OVR</v>
      </c>
      <c r="D157" t="s">
        <v>740</v>
      </c>
      <c r="E157">
        <v>20411454</v>
      </c>
      <c r="F157" t="s">
        <v>1663</v>
      </c>
      <c r="G157" t="s">
        <v>49</v>
      </c>
      <c r="H157" t="s">
        <v>415</v>
      </c>
      <c r="I157" s="1">
        <v>44986</v>
      </c>
      <c r="J157" s="1">
        <v>45931</v>
      </c>
      <c r="K157" s="2">
        <v>1</v>
      </c>
      <c r="L157" s="2">
        <v>1</v>
      </c>
      <c r="N157" s="3">
        <v>1</v>
      </c>
      <c r="O157" s="2">
        <v>2</v>
      </c>
      <c r="P157" t="s">
        <v>416</v>
      </c>
      <c r="Q157" t="s">
        <v>1639</v>
      </c>
    </row>
    <row r="158" spans="1:17" x14ac:dyDescent="0.25">
      <c r="A158" s="4">
        <v>101686775500</v>
      </c>
      <c r="B158" s="4" t="str">
        <f t="shared" si="4"/>
        <v>1016867755000</v>
      </c>
      <c r="C158" s="4" t="str">
        <f t="shared" si="5"/>
        <v>101686775500OVR</v>
      </c>
      <c r="D158" t="s">
        <v>742</v>
      </c>
      <c r="E158">
        <v>20411454</v>
      </c>
      <c r="F158" t="s">
        <v>1663</v>
      </c>
      <c r="G158" t="s">
        <v>49</v>
      </c>
      <c r="H158" t="s">
        <v>415</v>
      </c>
      <c r="I158" s="1">
        <v>44958</v>
      </c>
      <c r="J158" s="1">
        <v>45931</v>
      </c>
      <c r="K158" s="2">
        <v>1</v>
      </c>
      <c r="L158" s="2">
        <v>1</v>
      </c>
      <c r="N158" s="3">
        <v>1</v>
      </c>
      <c r="O158" s="2">
        <v>2</v>
      </c>
      <c r="P158" t="s">
        <v>416</v>
      </c>
      <c r="Q158" t="s">
        <v>1639</v>
      </c>
    </row>
    <row r="159" spans="1:17" x14ac:dyDescent="0.25">
      <c r="A159" s="4">
        <v>101689246200</v>
      </c>
      <c r="B159" s="4" t="str">
        <f t="shared" si="4"/>
        <v>1016892462000</v>
      </c>
      <c r="C159" s="4" t="str">
        <f t="shared" si="5"/>
        <v>101689246200OVR</v>
      </c>
      <c r="D159" t="s">
        <v>744</v>
      </c>
      <c r="E159">
        <v>20411454</v>
      </c>
      <c r="F159" t="s">
        <v>1663</v>
      </c>
      <c r="G159" t="s">
        <v>49</v>
      </c>
      <c r="H159" t="s">
        <v>415</v>
      </c>
      <c r="I159" s="1">
        <v>44958</v>
      </c>
      <c r="J159" s="1">
        <v>45931</v>
      </c>
      <c r="K159" s="2">
        <v>1</v>
      </c>
      <c r="L159" s="2">
        <v>1</v>
      </c>
      <c r="N159" s="3">
        <v>1</v>
      </c>
      <c r="O159" s="2">
        <v>2</v>
      </c>
      <c r="P159" t="s">
        <v>416</v>
      </c>
      <c r="Q159" t="s">
        <v>1639</v>
      </c>
    </row>
    <row r="160" spans="1:17" x14ac:dyDescent="0.25">
      <c r="A160" s="4">
        <v>101689670100</v>
      </c>
      <c r="B160" s="4" t="str">
        <f t="shared" si="4"/>
        <v>1016896701000</v>
      </c>
      <c r="C160" s="4" t="str">
        <f t="shared" si="5"/>
        <v>101689670100OVR</v>
      </c>
      <c r="D160" t="s">
        <v>746</v>
      </c>
      <c r="E160">
        <v>20411454</v>
      </c>
      <c r="F160" t="s">
        <v>1663</v>
      </c>
      <c r="G160" t="s">
        <v>49</v>
      </c>
      <c r="H160" t="s">
        <v>415</v>
      </c>
      <c r="I160" s="1">
        <v>44958</v>
      </c>
      <c r="J160" s="1">
        <v>45931</v>
      </c>
      <c r="K160" s="2">
        <v>1</v>
      </c>
      <c r="L160" s="2">
        <v>1</v>
      </c>
      <c r="N160" s="3">
        <v>1</v>
      </c>
      <c r="O160" s="2">
        <v>2</v>
      </c>
      <c r="P160" t="s">
        <v>416</v>
      </c>
      <c r="Q160" t="s">
        <v>1639</v>
      </c>
    </row>
    <row r="161" spans="1:40" x14ac:dyDescent="0.25">
      <c r="A161" s="4">
        <v>101693064700</v>
      </c>
      <c r="B161" s="4" t="str">
        <f t="shared" si="4"/>
        <v>1016930647000</v>
      </c>
      <c r="C161" s="4" t="str">
        <f t="shared" si="5"/>
        <v>101693064700OVR</v>
      </c>
      <c r="D161" t="s">
        <v>748</v>
      </c>
      <c r="E161">
        <v>20411454</v>
      </c>
      <c r="F161" t="s">
        <v>1663</v>
      </c>
      <c r="G161" t="s">
        <v>49</v>
      </c>
      <c r="H161" t="s">
        <v>415</v>
      </c>
      <c r="I161" s="1">
        <v>44986</v>
      </c>
      <c r="J161" s="1">
        <v>45931</v>
      </c>
      <c r="K161" s="2">
        <v>1</v>
      </c>
      <c r="L161" s="2">
        <v>1</v>
      </c>
      <c r="N161" s="3">
        <v>1</v>
      </c>
      <c r="O161" s="2">
        <v>2</v>
      </c>
      <c r="P161" t="s">
        <v>416</v>
      </c>
      <c r="Q161" t="s">
        <v>1639</v>
      </c>
    </row>
    <row r="162" spans="1:40" x14ac:dyDescent="0.25">
      <c r="A162" s="4">
        <v>101694605000</v>
      </c>
      <c r="B162" s="4" t="str">
        <f t="shared" si="4"/>
        <v>1016946050000</v>
      </c>
      <c r="C162" s="4" t="str">
        <f t="shared" si="5"/>
        <v>101694605000OVR</v>
      </c>
      <c r="D162" t="s">
        <v>750</v>
      </c>
      <c r="E162">
        <v>20411454</v>
      </c>
      <c r="F162" t="s">
        <v>1663</v>
      </c>
      <c r="G162" t="s">
        <v>49</v>
      </c>
      <c r="H162" t="s">
        <v>415</v>
      </c>
      <c r="I162" s="1">
        <v>45047</v>
      </c>
      <c r="J162" s="1">
        <v>45931</v>
      </c>
      <c r="K162" s="2">
        <v>1</v>
      </c>
      <c r="L162" s="2">
        <v>1</v>
      </c>
      <c r="N162" s="3">
        <v>1</v>
      </c>
      <c r="O162" s="2">
        <v>2</v>
      </c>
      <c r="P162" t="s">
        <v>416</v>
      </c>
      <c r="Q162" t="s">
        <v>1639</v>
      </c>
    </row>
    <row r="163" spans="1:40" x14ac:dyDescent="0.25">
      <c r="A163" s="4">
        <v>101696813600</v>
      </c>
      <c r="B163" s="4" t="str">
        <f t="shared" si="4"/>
        <v>1016968136000</v>
      </c>
      <c r="C163" s="4" t="str">
        <f t="shared" si="5"/>
        <v>101696813600OVR</v>
      </c>
      <c r="D163" t="s">
        <v>752</v>
      </c>
      <c r="E163">
        <v>20411454</v>
      </c>
      <c r="F163" t="s">
        <v>1663</v>
      </c>
      <c r="G163" t="s">
        <v>49</v>
      </c>
      <c r="H163" t="s">
        <v>415</v>
      </c>
      <c r="I163" s="1">
        <v>44986</v>
      </c>
      <c r="J163" s="1">
        <v>45931</v>
      </c>
      <c r="K163" s="2">
        <v>1</v>
      </c>
      <c r="L163" s="2">
        <v>1</v>
      </c>
      <c r="N163" s="3">
        <v>1</v>
      </c>
      <c r="O163" s="2">
        <v>2</v>
      </c>
      <c r="P163" t="s">
        <v>416</v>
      </c>
      <c r="Q163" t="s">
        <v>1639</v>
      </c>
    </row>
    <row r="164" spans="1:40" x14ac:dyDescent="0.25">
      <c r="A164" s="4">
        <v>101696815200</v>
      </c>
      <c r="B164" s="4" t="str">
        <f t="shared" si="4"/>
        <v>1016968152000</v>
      </c>
      <c r="C164" s="4" t="str">
        <f t="shared" si="5"/>
        <v>101696815200OVR</v>
      </c>
      <c r="D164" t="s">
        <v>754</v>
      </c>
      <c r="E164">
        <v>20411454</v>
      </c>
      <c r="F164" t="s">
        <v>1663</v>
      </c>
      <c r="G164" t="s">
        <v>49</v>
      </c>
      <c r="H164" t="s">
        <v>415</v>
      </c>
      <c r="I164" s="1">
        <v>45658</v>
      </c>
      <c r="J164" s="1">
        <v>45931</v>
      </c>
      <c r="K164" s="2">
        <v>1</v>
      </c>
      <c r="L164" s="2">
        <v>1</v>
      </c>
      <c r="N164" s="3">
        <v>1</v>
      </c>
      <c r="O164" s="2">
        <v>2</v>
      </c>
      <c r="P164" t="s">
        <v>416</v>
      </c>
      <c r="Q164" t="s">
        <v>1639</v>
      </c>
    </row>
    <row r="165" spans="1:40" x14ac:dyDescent="0.25">
      <c r="A165" s="4">
        <v>101697166100</v>
      </c>
      <c r="B165" s="4" t="str">
        <f t="shared" si="4"/>
        <v>1016971661000</v>
      </c>
      <c r="C165" s="4" t="str">
        <f t="shared" si="5"/>
        <v>101697166100OVR</v>
      </c>
      <c r="D165" t="s">
        <v>756</v>
      </c>
      <c r="E165">
        <v>20411454</v>
      </c>
      <c r="F165" t="s">
        <v>1663</v>
      </c>
      <c r="G165" t="s">
        <v>49</v>
      </c>
      <c r="H165" t="s">
        <v>415</v>
      </c>
      <c r="I165" s="1">
        <v>44986</v>
      </c>
      <c r="J165" s="1">
        <v>45931</v>
      </c>
      <c r="K165" s="2">
        <v>1</v>
      </c>
      <c r="L165" s="2">
        <v>1</v>
      </c>
      <c r="N165" s="3">
        <v>1</v>
      </c>
      <c r="O165" s="2">
        <v>2</v>
      </c>
      <c r="P165" t="s">
        <v>416</v>
      </c>
      <c r="Q165" t="s">
        <v>1639</v>
      </c>
    </row>
    <row r="166" spans="1:40" x14ac:dyDescent="0.25">
      <c r="A166" s="4">
        <v>101698190600</v>
      </c>
      <c r="B166" s="4" t="str">
        <f t="shared" si="4"/>
        <v>1016981906000</v>
      </c>
      <c r="C166" s="4" t="str">
        <f t="shared" si="5"/>
        <v>101698190600OVR</v>
      </c>
      <c r="D166" t="s">
        <v>758</v>
      </c>
      <c r="E166">
        <v>20411454</v>
      </c>
      <c r="F166" t="s">
        <v>1663</v>
      </c>
      <c r="G166" t="s">
        <v>49</v>
      </c>
      <c r="H166" t="s">
        <v>415</v>
      </c>
      <c r="I166" s="1">
        <v>44986</v>
      </c>
      <c r="J166" s="1">
        <v>45931</v>
      </c>
      <c r="K166" s="2">
        <v>1</v>
      </c>
      <c r="L166" s="2">
        <v>1</v>
      </c>
      <c r="N166" s="3">
        <v>1</v>
      </c>
      <c r="O166" s="2">
        <v>2</v>
      </c>
      <c r="P166" t="s">
        <v>416</v>
      </c>
      <c r="Q166" t="s">
        <v>1639</v>
      </c>
    </row>
    <row r="167" spans="1:40" x14ac:dyDescent="0.25">
      <c r="A167" s="4">
        <v>101705440500</v>
      </c>
      <c r="B167" s="4" t="str">
        <f t="shared" si="4"/>
        <v>1017054405000</v>
      </c>
      <c r="C167" s="4" t="str">
        <f t="shared" si="5"/>
        <v>101705440500OVR</v>
      </c>
      <c r="D167" t="s">
        <v>760</v>
      </c>
      <c r="E167">
        <v>20411454</v>
      </c>
      <c r="F167" t="s">
        <v>1663</v>
      </c>
      <c r="G167" t="s">
        <v>49</v>
      </c>
      <c r="H167" t="s">
        <v>415</v>
      </c>
      <c r="I167" s="1">
        <v>45017</v>
      </c>
      <c r="J167" s="1">
        <v>45931</v>
      </c>
      <c r="K167" s="2">
        <v>1</v>
      </c>
      <c r="L167" s="2">
        <v>1</v>
      </c>
      <c r="N167" s="3">
        <v>1</v>
      </c>
      <c r="O167" s="2">
        <v>2</v>
      </c>
      <c r="P167" t="s">
        <v>416</v>
      </c>
      <c r="Q167" t="s">
        <v>1639</v>
      </c>
    </row>
    <row r="168" spans="1:40" x14ac:dyDescent="0.25">
      <c r="A168" s="4">
        <v>101707211600</v>
      </c>
      <c r="B168" s="4" t="str">
        <f t="shared" si="4"/>
        <v>1017072116000</v>
      </c>
      <c r="C168" s="4" t="str">
        <f t="shared" si="5"/>
        <v>101707211600OVR</v>
      </c>
      <c r="D168" t="s">
        <v>762</v>
      </c>
      <c r="E168">
        <v>20411454</v>
      </c>
      <c r="F168" t="s">
        <v>1663</v>
      </c>
      <c r="G168" t="s">
        <v>49</v>
      </c>
      <c r="H168" t="s">
        <v>415</v>
      </c>
      <c r="I168" s="1">
        <v>45017</v>
      </c>
      <c r="J168" s="1">
        <v>45931</v>
      </c>
      <c r="K168" s="2">
        <v>1</v>
      </c>
      <c r="L168" s="2">
        <v>1</v>
      </c>
      <c r="N168" s="3">
        <v>1</v>
      </c>
      <c r="O168" s="2">
        <v>2</v>
      </c>
      <c r="P168" t="s">
        <v>416</v>
      </c>
      <c r="Q168" t="s">
        <v>1639</v>
      </c>
    </row>
    <row r="169" spans="1:40" x14ac:dyDescent="0.25">
      <c r="A169" s="4">
        <v>101708065000</v>
      </c>
      <c r="B169" s="4" t="str">
        <f t="shared" si="4"/>
        <v>1017080650000</v>
      </c>
      <c r="C169" s="4" t="str">
        <f t="shared" si="5"/>
        <v>101708065000OVR</v>
      </c>
      <c r="D169" t="s">
        <v>764</v>
      </c>
      <c r="E169">
        <v>20411454</v>
      </c>
      <c r="F169" t="s">
        <v>1663</v>
      </c>
      <c r="G169" t="s">
        <v>49</v>
      </c>
      <c r="H169" t="s">
        <v>415</v>
      </c>
      <c r="I169" s="1">
        <v>45078</v>
      </c>
      <c r="J169" s="1">
        <v>45931</v>
      </c>
      <c r="K169" s="2">
        <v>1</v>
      </c>
      <c r="L169" s="2">
        <v>1</v>
      </c>
      <c r="N169" s="3">
        <v>1</v>
      </c>
      <c r="O169" s="2">
        <v>2</v>
      </c>
      <c r="P169" t="s">
        <v>416</v>
      </c>
      <c r="Q169" t="s">
        <v>1639</v>
      </c>
    </row>
    <row r="170" spans="1:40" x14ac:dyDescent="0.25">
      <c r="A170" s="4">
        <v>101708071100</v>
      </c>
      <c r="B170" s="4" t="str">
        <f t="shared" si="4"/>
        <v>1017080711000</v>
      </c>
      <c r="C170" s="4" t="str">
        <f t="shared" si="5"/>
        <v>101708071100OVR</v>
      </c>
      <c r="D170" t="s">
        <v>766</v>
      </c>
      <c r="E170">
        <v>20411454</v>
      </c>
      <c r="F170" t="s">
        <v>1663</v>
      </c>
      <c r="G170" t="s">
        <v>49</v>
      </c>
      <c r="H170" t="s">
        <v>415</v>
      </c>
      <c r="I170" s="1">
        <v>45078</v>
      </c>
      <c r="J170" s="1">
        <v>45931</v>
      </c>
      <c r="K170" s="2">
        <v>1</v>
      </c>
      <c r="L170" s="2">
        <v>1</v>
      </c>
      <c r="N170" s="3">
        <v>1</v>
      </c>
      <c r="O170" s="2">
        <v>2</v>
      </c>
      <c r="P170" t="s">
        <v>416</v>
      </c>
      <c r="Q170" t="s">
        <v>1639</v>
      </c>
    </row>
    <row r="171" spans="1:40" x14ac:dyDescent="0.25">
      <c r="A171" s="4">
        <v>101708503500</v>
      </c>
      <c r="B171" s="4" t="str">
        <f t="shared" si="4"/>
        <v>1017085035000</v>
      </c>
      <c r="C171" s="4" t="str">
        <f t="shared" si="5"/>
        <v>101708503500OVR</v>
      </c>
      <c r="D171" t="s">
        <v>768</v>
      </c>
      <c r="E171">
        <v>20411454</v>
      </c>
      <c r="F171" t="s">
        <v>1663</v>
      </c>
      <c r="G171" t="s">
        <v>49</v>
      </c>
      <c r="H171" t="s">
        <v>415</v>
      </c>
      <c r="I171" s="1">
        <v>45017</v>
      </c>
      <c r="J171" s="1">
        <v>45945</v>
      </c>
      <c r="K171" s="2">
        <v>1</v>
      </c>
      <c r="L171" s="2">
        <v>1</v>
      </c>
      <c r="N171" s="3">
        <v>1</v>
      </c>
      <c r="O171" s="2">
        <v>2</v>
      </c>
      <c r="P171" t="s">
        <v>416</v>
      </c>
      <c r="Q171" t="s">
        <v>1639</v>
      </c>
    </row>
    <row r="172" spans="1:40" x14ac:dyDescent="0.25">
      <c r="A172" s="4">
        <v>101709439700</v>
      </c>
      <c r="B172" s="4" t="str">
        <f t="shared" si="4"/>
        <v>1017094397000</v>
      </c>
      <c r="C172" s="4" t="str">
        <f t="shared" si="5"/>
        <v>101709439700OVR</v>
      </c>
      <c r="D172" t="s">
        <v>770</v>
      </c>
      <c r="E172">
        <v>20411454</v>
      </c>
      <c r="F172" t="s">
        <v>1663</v>
      </c>
      <c r="G172" t="s">
        <v>49</v>
      </c>
      <c r="H172" t="s">
        <v>415</v>
      </c>
      <c r="I172" s="1">
        <v>45017</v>
      </c>
      <c r="J172" s="1">
        <v>45931</v>
      </c>
      <c r="K172" s="2">
        <v>1</v>
      </c>
      <c r="L172" s="2">
        <v>1</v>
      </c>
      <c r="N172" s="3">
        <v>1</v>
      </c>
      <c r="O172" s="2">
        <v>2</v>
      </c>
      <c r="P172" t="s">
        <v>416</v>
      </c>
      <c r="Q172" t="s">
        <v>1639</v>
      </c>
    </row>
    <row r="173" spans="1:40" x14ac:dyDescent="0.25">
      <c r="A173" s="4">
        <v>101720743300</v>
      </c>
      <c r="B173" s="4" t="str">
        <f t="shared" si="4"/>
        <v>1017207433000</v>
      </c>
      <c r="C173" s="4" t="str">
        <f t="shared" si="5"/>
        <v>101720743300OVR</v>
      </c>
      <c r="D173" t="s">
        <v>772</v>
      </c>
      <c r="E173">
        <v>20411454</v>
      </c>
      <c r="F173" t="s">
        <v>1663</v>
      </c>
      <c r="G173" t="s">
        <v>49</v>
      </c>
      <c r="H173" t="s">
        <v>415</v>
      </c>
      <c r="I173" s="1">
        <v>45047</v>
      </c>
      <c r="J173" s="1">
        <v>45931</v>
      </c>
      <c r="K173" s="2">
        <v>1</v>
      </c>
      <c r="L173" s="2">
        <v>1</v>
      </c>
      <c r="N173" s="3">
        <v>1</v>
      </c>
      <c r="O173" s="2">
        <v>2</v>
      </c>
      <c r="P173" t="s">
        <v>416</v>
      </c>
      <c r="Q173" t="s">
        <v>1639</v>
      </c>
    </row>
    <row r="174" spans="1:40" x14ac:dyDescent="0.25">
      <c r="A174" s="4">
        <v>101785684000</v>
      </c>
      <c r="B174" s="4" t="str">
        <f t="shared" si="4"/>
        <v>1017856840000</v>
      </c>
      <c r="C174" s="4" t="str">
        <f t="shared" si="5"/>
        <v>101785684000OVR</v>
      </c>
      <c r="D174" t="s">
        <v>774</v>
      </c>
      <c r="E174">
        <v>20411454</v>
      </c>
      <c r="F174" t="s">
        <v>1663</v>
      </c>
      <c r="G174" t="s">
        <v>49</v>
      </c>
      <c r="H174" t="s">
        <v>415</v>
      </c>
      <c r="I174" s="1">
        <v>45292</v>
      </c>
      <c r="J174" s="1">
        <v>45931</v>
      </c>
      <c r="K174" s="2">
        <v>1</v>
      </c>
      <c r="L174" s="2">
        <v>1</v>
      </c>
      <c r="N174" s="3">
        <v>1</v>
      </c>
      <c r="O174" s="2">
        <v>2</v>
      </c>
      <c r="P174" t="s">
        <v>416</v>
      </c>
      <c r="Q174" t="s">
        <v>1639</v>
      </c>
    </row>
    <row r="175" spans="1:40" x14ac:dyDescent="0.25">
      <c r="A175" s="12">
        <v>101825784200</v>
      </c>
      <c r="B175" s="12" t="str">
        <f t="shared" si="4"/>
        <v>1018257842000</v>
      </c>
      <c r="C175" s="4" t="str">
        <f t="shared" si="5"/>
        <v>101825784200OVR</v>
      </c>
      <c r="D175" s="13" t="s">
        <v>777</v>
      </c>
      <c r="E175" s="13">
        <v>20411454</v>
      </c>
      <c r="F175" s="13" t="s">
        <v>1663</v>
      </c>
      <c r="G175" s="13" t="s">
        <v>58</v>
      </c>
      <c r="H175" s="13" t="s">
        <v>415</v>
      </c>
      <c r="I175" s="14">
        <v>45658</v>
      </c>
      <c r="J175" s="1">
        <v>45931</v>
      </c>
      <c r="K175" s="15">
        <v>0</v>
      </c>
      <c r="L175" s="15">
        <v>0</v>
      </c>
      <c r="M175" s="13"/>
      <c r="N175" s="16">
        <v>1</v>
      </c>
      <c r="O175" s="15">
        <v>-4.17</v>
      </c>
      <c r="P175" s="13" t="s">
        <v>778</v>
      </c>
      <c r="Q175" s="13" t="s">
        <v>1639</v>
      </c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x14ac:dyDescent="0.25">
      <c r="A176" s="4">
        <v>101857276600</v>
      </c>
      <c r="B176" s="4" t="str">
        <f t="shared" si="4"/>
        <v>1018572766000</v>
      </c>
      <c r="C176" s="4" t="str">
        <f t="shared" si="5"/>
        <v>101857276600OVR</v>
      </c>
      <c r="D176" t="s">
        <v>780</v>
      </c>
      <c r="E176">
        <v>20411454</v>
      </c>
      <c r="F176" t="s">
        <v>1663</v>
      </c>
      <c r="G176" t="s">
        <v>49</v>
      </c>
      <c r="H176" t="s">
        <v>415</v>
      </c>
      <c r="I176" s="1">
        <v>45292</v>
      </c>
      <c r="J176" s="1">
        <v>45931</v>
      </c>
      <c r="K176" s="2">
        <v>1</v>
      </c>
      <c r="L176" s="2">
        <v>1</v>
      </c>
      <c r="N176" s="3">
        <v>1</v>
      </c>
      <c r="O176" s="2">
        <v>2</v>
      </c>
      <c r="P176" t="s">
        <v>416</v>
      </c>
      <c r="Q176" t="s">
        <v>1639</v>
      </c>
    </row>
    <row r="177" spans="1:17" x14ac:dyDescent="0.25">
      <c r="A177" s="4">
        <v>101857371800</v>
      </c>
      <c r="B177" s="4" t="str">
        <f t="shared" si="4"/>
        <v>1018573718000</v>
      </c>
      <c r="C177" s="4" t="str">
        <f t="shared" si="5"/>
        <v>101857371800OVR</v>
      </c>
      <c r="D177" t="s">
        <v>782</v>
      </c>
      <c r="E177">
        <v>20411454</v>
      </c>
      <c r="F177" t="s">
        <v>1663</v>
      </c>
      <c r="G177" t="s">
        <v>49</v>
      </c>
      <c r="H177" t="s">
        <v>415</v>
      </c>
      <c r="I177" s="1">
        <v>45292</v>
      </c>
      <c r="J177" s="1">
        <v>45931</v>
      </c>
      <c r="K177" s="2">
        <v>1</v>
      </c>
      <c r="L177" s="2">
        <v>1</v>
      </c>
      <c r="N177" s="3">
        <v>1</v>
      </c>
      <c r="O177" s="2">
        <v>2</v>
      </c>
      <c r="P177" t="s">
        <v>416</v>
      </c>
      <c r="Q177" t="s">
        <v>1639</v>
      </c>
    </row>
    <row r="178" spans="1:17" x14ac:dyDescent="0.25">
      <c r="A178" s="4">
        <v>101953198300</v>
      </c>
      <c r="B178" s="4" t="str">
        <f t="shared" si="4"/>
        <v>1019531983000</v>
      </c>
      <c r="C178" s="4" t="str">
        <f t="shared" si="5"/>
        <v>101953198300OVR</v>
      </c>
      <c r="D178" t="s">
        <v>786</v>
      </c>
      <c r="E178">
        <v>20411454</v>
      </c>
      <c r="F178" t="s">
        <v>1663</v>
      </c>
      <c r="G178" t="s">
        <v>49</v>
      </c>
      <c r="H178" t="s">
        <v>415</v>
      </c>
      <c r="I178" s="1">
        <v>45627</v>
      </c>
      <c r="J178" s="1">
        <v>45931</v>
      </c>
      <c r="K178" s="2">
        <v>1</v>
      </c>
      <c r="L178" s="2">
        <v>1</v>
      </c>
      <c r="N178" s="3">
        <v>1</v>
      </c>
      <c r="O178" s="2">
        <v>2</v>
      </c>
      <c r="P178" t="s">
        <v>416</v>
      </c>
      <c r="Q178" t="s">
        <v>1639</v>
      </c>
    </row>
    <row r="179" spans="1:17" x14ac:dyDescent="0.25">
      <c r="A179" s="4">
        <v>102006468500</v>
      </c>
      <c r="B179" s="4" t="str">
        <f t="shared" si="4"/>
        <v>1020064685000</v>
      </c>
      <c r="C179" s="4" t="str">
        <f t="shared" si="5"/>
        <v>102006468500OVR</v>
      </c>
      <c r="D179" t="s">
        <v>791</v>
      </c>
      <c r="E179">
        <v>20411454</v>
      </c>
      <c r="F179" t="s">
        <v>1663</v>
      </c>
      <c r="G179" t="s">
        <v>49</v>
      </c>
      <c r="H179" t="s">
        <v>415</v>
      </c>
      <c r="I179" s="1">
        <v>45444</v>
      </c>
      <c r="J179" s="1">
        <v>45931</v>
      </c>
      <c r="K179" s="2">
        <v>1</v>
      </c>
      <c r="L179" s="2">
        <v>1</v>
      </c>
      <c r="N179" s="3">
        <v>1</v>
      </c>
      <c r="O179" s="2">
        <v>2</v>
      </c>
      <c r="P179" t="s">
        <v>416</v>
      </c>
      <c r="Q179" t="s">
        <v>1639</v>
      </c>
    </row>
    <row r="180" spans="1:17" x14ac:dyDescent="0.25">
      <c r="A180" s="4">
        <v>102006527900</v>
      </c>
      <c r="B180" s="4" t="str">
        <f t="shared" si="4"/>
        <v>1020065279000</v>
      </c>
      <c r="C180" s="4" t="str">
        <f t="shared" si="5"/>
        <v>102006527900OVR</v>
      </c>
      <c r="D180" t="s">
        <v>793</v>
      </c>
      <c r="E180">
        <v>20411454</v>
      </c>
      <c r="F180" t="s">
        <v>1663</v>
      </c>
      <c r="G180" t="s">
        <v>49</v>
      </c>
      <c r="H180" t="s">
        <v>415</v>
      </c>
      <c r="I180" s="1">
        <v>45444</v>
      </c>
      <c r="J180" s="1">
        <v>45931</v>
      </c>
      <c r="K180" s="2">
        <v>1</v>
      </c>
      <c r="L180" s="2">
        <v>1</v>
      </c>
      <c r="N180" s="3">
        <v>1</v>
      </c>
      <c r="O180" s="2">
        <v>2</v>
      </c>
      <c r="P180" t="s">
        <v>416</v>
      </c>
      <c r="Q180" t="s">
        <v>1639</v>
      </c>
    </row>
    <row r="181" spans="1:17" x14ac:dyDescent="0.25">
      <c r="A181" s="4">
        <v>102007511900</v>
      </c>
      <c r="B181" s="4" t="str">
        <f t="shared" si="4"/>
        <v>1020075119000</v>
      </c>
      <c r="C181" s="4" t="str">
        <f t="shared" si="5"/>
        <v>102007511900OVR</v>
      </c>
      <c r="D181" t="s">
        <v>795</v>
      </c>
      <c r="E181">
        <v>20411454</v>
      </c>
      <c r="F181" t="s">
        <v>1663</v>
      </c>
      <c r="G181" t="s">
        <v>49</v>
      </c>
      <c r="H181" t="s">
        <v>415</v>
      </c>
      <c r="I181" s="1">
        <v>45505</v>
      </c>
      <c r="J181" s="1">
        <v>45931</v>
      </c>
      <c r="K181" s="2">
        <v>1</v>
      </c>
      <c r="L181" s="2">
        <v>1</v>
      </c>
      <c r="N181" s="3">
        <v>1</v>
      </c>
      <c r="O181" s="2">
        <v>2</v>
      </c>
      <c r="P181" t="s">
        <v>416</v>
      </c>
      <c r="Q181" t="s">
        <v>1639</v>
      </c>
    </row>
    <row r="182" spans="1:17" x14ac:dyDescent="0.25">
      <c r="A182" s="4">
        <v>102008188300</v>
      </c>
      <c r="B182" s="4" t="str">
        <f t="shared" si="4"/>
        <v>1020081883000</v>
      </c>
      <c r="C182" s="4" t="str">
        <f t="shared" si="5"/>
        <v>102008188300OVR</v>
      </c>
      <c r="D182" t="s">
        <v>797</v>
      </c>
      <c r="E182">
        <v>20411454</v>
      </c>
      <c r="F182" t="s">
        <v>1663</v>
      </c>
      <c r="G182" t="s">
        <v>49</v>
      </c>
      <c r="H182" t="s">
        <v>415</v>
      </c>
      <c r="I182" s="1">
        <v>45444</v>
      </c>
      <c r="J182" s="1">
        <v>45931</v>
      </c>
      <c r="K182" s="2">
        <v>1</v>
      </c>
      <c r="L182" s="2">
        <v>1</v>
      </c>
      <c r="N182" s="3">
        <v>1</v>
      </c>
      <c r="O182" s="2">
        <v>2</v>
      </c>
      <c r="P182" t="s">
        <v>416</v>
      </c>
      <c r="Q182" t="s">
        <v>1639</v>
      </c>
    </row>
    <row r="183" spans="1:17" x14ac:dyDescent="0.25">
      <c r="A183" s="4">
        <v>102009524100</v>
      </c>
      <c r="B183" s="4" t="str">
        <f t="shared" si="4"/>
        <v>1020095241000</v>
      </c>
      <c r="C183" s="4" t="str">
        <f t="shared" si="5"/>
        <v>102009524100OVR</v>
      </c>
      <c r="D183" t="s">
        <v>799</v>
      </c>
      <c r="E183">
        <v>20411454</v>
      </c>
      <c r="F183" t="s">
        <v>1663</v>
      </c>
      <c r="G183" t="s">
        <v>49</v>
      </c>
      <c r="H183" t="s">
        <v>415</v>
      </c>
      <c r="I183" s="1">
        <v>45444</v>
      </c>
      <c r="J183" s="1">
        <v>45931</v>
      </c>
      <c r="K183" s="2">
        <v>1</v>
      </c>
      <c r="L183" s="2">
        <v>1</v>
      </c>
      <c r="N183" s="3">
        <v>1</v>
      </c>
      <c r="O183" s="2">
        <v>2</v>
      </c>
      <c r="P183" t="s">
        <v>416</v>
      </c>
      <c r="Q183" t="s">
        <v>1639</v>
      </c>
    </row>
    <row r="184" spans="1:17" x14ac:dyDescent="0.25">
      <c r="A184" s="4">
        <v>102009546700</v>
      </c>
      <c r="B184" s="4" t="str">
        <f t="shared" si="4"/>
        <v>1020095467000</v>
      </c>
      <c r="C184" s="4" t="str">
        <f t="shared" si="5"/>
        <v>102009546700OVR</v>
      </c>
      <c r="D184" t="s">
        <v>801</v>
      </c>
      <c r="E184">
        <v>20411454</v>
      </c>
      <c r="F184" t="s">
        <v>1663</v>
      </c>
      <c r="G184" t="s">
        <v>49</v>
      </c>
      <c r="H184" t="s">
        <v>415</v>
      </c>
      <c r="I184" s="1">
        <v>45444</v>
      </c>
      <c r="J184" s="1">
        <v>45931</v>
      </c>
      <c r="K184" s="2">
        <v>1</v>
      </c>
      <c r="L184" s="2">
        <v>1</v>
      </c>
      <c r="N184" s="3">
        <v>1</v>
      </c>
      <c r="O184" s="2">
        <v>2</v>
      </c>
      <c r="P184" t="s">
        <v>416</v>
      </c>
      <c r="Q184" t="s">
        <v>1639</v>
      </c>
    </row>
    <row r="185" spans="1:17" x14ac:dyDescent="0.25">
      <c r="A185" s="4">
        <v>102010075000</v>
      </c>
      <c r="B185" s="4" t="str">
        <f t="shared" si="4"/>
        <v>1020100750000</v>
      </c>
      <c r="C185" s="4" t="str">
        <f t="shared" si="5"/>
        <v>102010075000OVR</v>
      </c>
      <c r="D185" t="s">
        <v>803</v>
      </c>
      <c r="E185">
        <v>20411454</v>
      </c>
      <c r="F185" t="s">
        <v>1663</v>
      </c>
      <c r="G185" t="s">
        <v>49</v>
      </c>
      <c r="H185" t="s">
        <v>415</v>
      </c>
      <c r="I185" s="1">
        <v>45474</v>
      </c>
      <c r="J185" s="1">
        <v>45931</v>
      </c>
      <c r="K185" s="2">
        <v>1</v>
      </c>
      <c r="L185" s="2">
        <v>1</v>
      </c>
      <c r="N185" s="3">
        <v>1</v>
      </c>
      <c r="O185" s="2">
        <v>2</v>
      </c>
      <c r="P185" t="s">
        <v>416</v>
      </c>
      <c r="Q185" t="s">
        <v>1639</v>
      </c>
    </row>
    <row r="186" spans="1:17" x14ac:dyDescent="0.25">
      <c r="A186" s="4">
        <v>102012252800</v>
      </c>
      <c r="B186" s="4" t="str">
        <f t="shared" si="4"/>
        <v>1020122528000</v>
      </c>
      <c r="C186" s="4" t="str">
        <f t="shared" si="5"/>
        <v>102012252800OVR</v>
      </c>
      <c r="D186" t="s">
        <v>805</v>
      </c>
      <c r="E186">
        <v>20411454</v>
      </c>
      <c r="F186" t="s">
        <v>1663</v>
      </c>
      <c r="G186" t="s">
        <v>49</v>
      </c>
      <c r="H186" t="s">
        <v>415</v>
      </c>
      <c r="I186" s="1">
        <v>45505</v>
      </c>
      <c r="J186" s="1">
        <v>45931</v>
      </c>
      <c r="K186" s="2">
        <v>1</v>
      </c>
      <c r="L186" s="2">
        <v>1</v>
      </c>
      <c r="N186" s="3">
        <v>1</v>
      </c>
      <c r="O186" s="2">
        <v>2</v>
      </c>
      <c r="P186" t="s">
        <v>416</v>
      </c>
      <c r="Q186" t="s">
        <v>1639</v>
      </c>
    </row>
    <row r="187" spans="1:17" x14ac:dyDescent="0.25">
      <c r="A187" s="4">
        <v>102013256200</v>
      </c>
      <c r="B187" s="4" t="str">
        <f t="shared" si="4"/>
        <v>1020132562000</v>
      </c>
      <c r="C187" s="4" t="str">
        <f t="shared" si="5"/>
        <v>102013256200OVR</v>
      </c>
      <c r="D187" t="s">
        <v>808</v>
      </c>
      <c r="E187">
        <v>20411454</v>
      </c>
      <c r="F187" t="s">
        <v>1663</v>
      </c>
      <c r="G187" t="s">
        <v>49</v>
      </c>
      <c r="H187" t="s">
        <v>415</v>
      </c>
      <c r="I187" s="1">
        <v>45505</v>
      </c>
      <c r="J187" s="1">
        <v>45931</v>
      </c>
      <c r="K187" s="2">
        <v>1</v>
      </c>
      <c r="L187" s="2">
        <v>1</v>
      </c>
      <c r="N187" s="3">
        <v>1</v>
      </c>
      <c r="O187" s="2">
        <v>2</v>
      </c>
      <c r="P187" t="s">
        <v>416</v>
      </c>
      <c r="Q187" t="s">
        <v>1639</v>
      </c>
    </row>
    <row r="188" spans="1:17" x14ac:dyDescent="0.25">
      <c r="A188" s="4">
        <v>102014399100</v>
      </c>
      <c r="B188" s="4" t="str">
        <f t="shared" si="4"/>
        <v>1020143991000</v>
      </c>
      <c r="C188" s="4" t="str">
        <f t="shared" si="5"/>
        <v>102014399100OVR</v>
      </c>
      <c r="D188" t="s">
        <v>810</v>
      </c>
      <c r="E188">
        <v>20411454</v>
      </c>
      <c r="F188" t="s">
        <v>1663</v>
      </c>
      <c r="G188" t="s">
        <v>49</v>
      </c>
      <c r="H188" t="s">
        <v>415</v>
      </c>
      <c r="I188" s="1">
        <v>45505</v>
      </c>
      <c r="J188" s="1">
        <v>45931</v>
      </c>
      <c r="K188" s="2">
        <v>1</v>
      </c>
      <c r="L188" s="2">
        <v>1</v>
      </c>
      <c r="N188" s="3">
        <v>1</v>
      </c>
      <c r="O188" s="2">
        <v>2</v>
      </c>
      <c r="P188" t="s">
        <v>416</v>
      </c>
      <c r="Q188" t="s">
        <v>1639</v>
      </c>
    </row>
    <row r="189" spans="1:17" x14ac:dyDescent="0.25">
      <c r="A189" s="4">
        <v>102014897000</v>
      </c>
      <c r="B189" s="4" t="str">
        <f t="shared" si="4"/>
        <v>1020148970000</v>
      </c>
      <c r="C189" s="4" t="str">
        <f t="shared" si="5"/>
        <v>102014897000OVR</v>
      </c>
      <c r="D189" t="s">
        <v>814</v>
      </c>
      <c r="E189">
        <v>20411454</v>
      </c>
      <c r="F189" t="s">
        <v>1663</v>
      </c>
      <c r="G189" t="s">
        <v>49</v>
      </c>
      <c r="H189" t="s">
        <v>415</v>
      </c>
      <c r="I189" s="1">
        <v>45474</v>
      </c>
      <c r="J189" s="1">
        <v>45931</v>
      </c>
      <c r="K189" s="2">
        <v>1</v>
      </c>
      <c r="L189" s="2">
        <v>1</v>
      </c>
      <c r="N189" s="3">
        <v>1</v>
      </c>
      <c r="O189" s="2">
        <v>2</v>
      </c>
      <c r="P189" t="s">
        <v>416</v>
      </c>
      <c r="Q189" t="s">
        <v>1639</v>
      </c>
    </row>
    <row r="190" spans="1:17" x14ac:dyDescent="0.25">
      <c r="A190" s="4">
        <v>102015648800</v>
      </c>
      <c r="B190" s="4" t="str">
        <f t="shared" si="4"/>
        <v>1020156488000</v>
      </c>
      <c r="C190" s="4" t="str">
        <f t="shared" si="5"/>
        <v>102015648800OVR</v>
      </c>
      <c r="D190" t="s">
        <v>818</v>
      </c>
      <c r="E190">
        <v>20411454</v>
      </c>
      <c r="F190" t="s">
        <v>1663</v>
      </c>
      <c r="G190" t="s">
        <v>49</v>
      </c>
      <c r="H190" t="s">
        <v>415</v>
      </c>
      <c r="I190" s="1">
        <v>45474</v>
      </c>
      <c r="J190" s="1">
        <v>45931</v>
      </c>
      <c r="K190" s="2">
        <v>1</v>
      </c>
      <c r="L190" s="2">
        <v>1</v>
      </c>
      <c r="N190" s="3">
        <v>1</v>
      </c>
      <c r="O190" s="2">
        <v>2</v>
      </c>
      <c r="P190" t="s">
        <v>416</v>
      </c>
      <c r="Q190" t="s">
        <v>1639</v>
      </c>
    </row>
    <row r="191" spans="1:17" x14ac:dyDescent="0.25">
      <c r="A191" s="4">
        <v>102015762800</v>
      </c>
      <c r="B191" s="4" t="str">
        <f t="shared" si="4"/>
        <v>1020157628000</v>
      </c>
      <c r="C191" s="4" t="str">
        <f t="shared" si="5"/>
        <v>102015762800OVR</v>
      </c>
      <c r="D191" t="s">
        <v>820</v>
      </c>
      <c r="E191">
        <v>20411454</v>
      </c>
      <c r="F191" t="s">
        <v>1663</v>
      </c>
      <c r="G191" t="s">
        <v>49</v>
      </c>
      <c r="H191" t="s">
        <v>415</v>
      </c>
      <c r="I191" s="1">
        <v>45474</v>
      </c>
      <c r="J191" s="1">
        <v>45931</v>
      </c>
      <c r="K191" s="2">
        <v>1</v>
      </c>
      <c r="L191" s="2">
        <v>1</v>
      </c>
      <c r="N191" s="3">
        <v>1</v>
      </c>
      <c r="O191" s="2">
        <v>2</v>
      </c>
      <c r="P191" t="s">
        <v>416</v>
      </c>
      <c r="Q191" t="s">
        <v>1639</v>
      </c>
    </row>
    <row r="192" spans="1:17" x14ac:dyDescent="0.25">
      <c r="A192" s="4">
        <v>102017009100</v>
      </c>
      <c r="B192" s="4" t="str">
        <f t="shared" si="4"/>
        <v>1020170091000</v>
      </c>
      <c r="C192" s="4" t="str">
        <f t="shared" si="5"/>
        <v>102017009100OVR</v>
      </c>
      <c r="D192" t="s">
        <v>822</v>
      </c>
      <c r="E192">
        <v>20411454</v>
      </c>
      <c r="F192" t="s">
        <v>1663</v>
      </c>
      <c r="G192" t="s">
        <v>49</v>
      </c>
      <c r="H192" t="s">
        <v>415</v>
      </c>
      <c r="I192" s="1">
        <v>45474</v>
      </c>
      <c r="J192" s="1">
        <v>45931</v>
      </c>
      <c r="K192" s="2">
        <v>1</v>
      </c>
      <c r="L192" s="2">
        <v>1</v>
      </c>
      <c r="N192" s="3">
        <v>1</v>
      </c>
      <c r="O192" s="2">
        <v>2</v>
      </c>
      <c r="P192" t="s">
        <v>416</v>
      </c>
      <c r="Q192" t="s">
        <v>1639</v>
      </c>
    </row>
    <row r="193" spans="1:17" x14ac:dyDescent="0.25">
      <c r="A193" s="4">
        <v>102017011000</v>
      </c>
      <c r="B193" s="4" t="str">
        <f t="shared" si="4"/>
        <v>1020170110000</v>
      </c>
      <c r="C193" s="4" t="str">
        <f t="shared" si="5"/>
        <v>102017011000OVR</v>
      </c>
      <c r="D193" t="s">
        <v>824</v>
      </c>
      <c r="E193">
        <v>20411454</v>
      </c>
      <c r="F193" t="s">
        <v>1663</v>
      </c>
      <c r="G193" t="s">
        <v>58</v>
      </c>
      <c r="H193" t="s">
        <v>415</v>
      </c>
      <c r="I193" s="1">
        <v>45658</v>
      </c>
      <c r="J193" s="1">
        <v>45931</v>
      </c>
      <c r="K193" s="2">
        <v>1</v>
      </c>
      <c r="L193" s="2">
        <v>1</v>
      </c>
      <c r="N193" s="3">
        <v>1</v>
      </c>
      <c r="O193" s="2">
        <v>2</v>
      </c>
      <c r="P193" t="s">
        <v>416</v>
      </c>
      <c r="Q193" t="s">
        <v>1639</v>
      </c>
    </row>
    <row r="194" spans="1:17" x14ac:dyDescent="0.25">
      <c r="A194" s="4">
        <v>102017011100</v>
      </c>
      <c r="B194" s="4" t="str">
        <f t="shared" ref="B194:B257" si="6">CONCATENATE(A194,0)</f>
        <v>1020170111000</v>
      </c>
      <c r="C194" s="4" t="str">
        <f t="shared" ref="C194:C257" si="7">CONCATENATE(A194, "OVR")</f>
        <v>102017011100OVR</v>
      </c>
      <c r="D194" t="s">
        <v>826</v>
      </c>
      <c r="E194">
        <v>20411454</v>
      </c>
      <c r="F194" t="s">
        <v>1663</v>
      </c>
      <c r="G194" t="s">
        <v>49</v>
      </c>
      <c r="H194" t="s">
        <v>415</v>
      </c>
      <c r="I194" s="1">
        <v>45474</v>
      </c>
      <c r="J194" s="1">
        <v>45931</v>
      </c>
      <c r="K194" s="2">
        <v>1</v>
      </c>
      <c r="L194" s="2">
        <v>1</v>
      </c>
      <c r="N194" s="3">
        <v>1</v>
      </c>
      <c r="O194" s="2">
        <v>2</v>
      </c>
      <c r="P194" t="s">
        <v>416</v>
      </c>
      <c r="Q194" t="s">
        <v>1639</v>
      </c>
    </row>
    <row r="195" spans="1:17" x14ac:dyDescent="0.25">
      <c r="A195" s="4">
        <v>102017118900</v>
      </c>
      <c r="B195" s="4" t="str">
        <f t="shared" si="6"/>
        <v>1020171189000</v>
      </c>
      <c r="C195" s="4" t="str">
        <f t="shared" si="7"/>
        <v>102017118900OVR</v>
      </c>
      <c r="D195" t="s">
        <v>828</v>
      </c>
      <c r="E195">
        <v>20411454</v>
      </c>
      <c r="F195" t="s">
        <v>1663</v>
      </c>
      <c r="G195" t="s">
        <v>49</v>
      </c>
      <c r="H195" t="s">
        <v>415</v>
      </c>
      <c r="I195" s="1">
        <v>45474</v>
      </c>
      <c r="J195" s="1">
        <v>45931</v>
      </c>
      <c r="K195" s="2">
        <v>1</v>
      </c>
      <c r="L195" s="2">
        <v>1</v>
      </c>
      <c r="N195" s="3">
        <v>1</v>
      </c>
      <c r="O195" s="2">
        <v>2</v>
      </c>
      <c r="P195" t="s">
        <v>416</v>
      </c>
      <c r="Q195" t="s">
        <v>1639</v>
      </c>
    </row>
    <row r="196" spans="1:17" x14ac:dyDescent="0.25">
      <c r="A196" s="4">
        <v>102018981300</v>
      </c>
      <c r="B196" s="4" t="str">
        <f t="shared" si="6"/>
        <v>1020189813000</v>
      </c>
      <c r="C196" s="4" t="str">
        <f t="shared" si="7"/>
        <v>102018981300OVR</v>
      </c>
      <c r="D196" t="s">
        <v>830</v>
      </c>
      <c r="E196">
        <v>20411454</v>
      </c>
      <c r="F196" t="s">
        <v>1663</v>
      </c>
      <c r="G196" t="s">
        <v>49</v>
      </c>
      <c r="H196" t="s">
        <v>415</v>
      </c>
      <c r="I196" s="1">
        <v>45505</v>
      </c>
      <c r="J196" s="1">
        <v>45931</v>
      </c>
      <c r="K196" s="2">
        <v>1</v>
      </c>
      <c r="L196" s="2">
        <v>1</v>
      </c>
      <c r="N196" s="3">
        <v>1</v>
      </c>
      <c r="O196" s="2">
        <v>2</v>
      </c>
      <c r="P196" t="s">
        <v>416</v>
      </c>
      <c r="Q196" t="s">
        <v>1639</v>
      </c>
    </row>
    <row r="197" spans="1:17" x14ac:dyDescent="0.25">
      <c r="A197" s="4">
        <v>102021150000</v>
      </c>
      <c r="B197" s="4" t="str">
        <f t="shared" si="6"/>
        <v>1020211500000</v>
      </c>
      <c r="C197" s="4" t="str">
        <f t="shared" si="7"/>
        <v>102021150000OVR</v>
      </c>
      <c r="D197" t="s">
        <v>832</v>
      </c>
      <c r="E197">
        <v>20411454</v>
      </c>
      <c r="F197" t="s">
        <v>1663</v>
      </c>
      <c r="G197" t="s">
        <v>49</v>
      </c>
      <c r="H197" t="s">
        <v>415</v>
      </c>
      <c r="I197" s="1">
        <v>45536</v>
      </c>
      <c r="J197" s="1">
        <v>45931</v>
      </c>
      <c r="K197" s="2">
        <v>1</v>
      </c>
      <c r="L197" s="2">
        <v>1</v>
      </c>
      <c r="N197" s="3">
        <v>1</v>
      </c>
      <c r="O197" s="2">
        <v>2</v>
      </c>
      <c r="P197" t="s">
        <v>416</v>
      </c>
      <c r="Q197" t="s">
        <v>1639</v>
      </c>
    </row>
    <row r="198" spans="1:17" x14ac:dyDescent="0.25">
      <c r="A198" s="4">
        <v>102021599000</v>
      </c>
      <c r="B198" s="4" t="str">
        <f t="shared" si="6"/>
        <v>1020215990000</v>
      </c>
      <c r="C198" s="4" t="str">
        <f t="shared" si="7"/>
        <v>102021599000OVR</v>
      </c>
      <c r="D198" t="s">
        <v>834</v>
      </c>
      <c r="E198">
        <v>20411454</v>
      </c>
      <c r="F198" t="s">
        <v>1663</v>
      </c>
      <c r="G198" t="s">
        <v>49</v>
      </c>
      <c r="H198" t="s">
        <v>415</v>
      </c>
      <c r="I198" s="1">
        <v>45505</v>
      </c>
      <c r="J198" s="1">
        <v>45931</v>
      </c>
      <c r="K198" s="2">
        <v>1</v>
      </c>
      <c r="L198" s="2">
        <v>1</v>
      </c>
      <c r="N198" s="3">
        <v>1</v>
      </c>
      <c r="O198" s="2">
        <v>2</v>
      </c>
      <c r="P198" t="s">
        <v>416</v>
      </c>
      <c r="Q198" t="s">
        <v>1639</v>
      </c>
    </row>
    <row r="199" spans="1:17" x14ac:dyDescent="0.25">
      <c r="A199" s="4">
        <v>102021703600</v>
      </c>
      <c r="B199" s="4" t="str">
        <f t="shared" si="6"/>
        <v>1020217036000</v>
      </c>
      <c r="C199" s="4" t="str">
        <f t="shared" si="7"/>
        <v>102021703600OVR</v>
      </c>
      <c r="D199" t="s">
        <v>836</v>
      </c>
      <c r="E199">
        <v>20411454</v>
      </c>
      <c r="F199" t="s">
        <v>1663</v>
      </c>
      <c r="G199" t="s">
        <v>49</v>
      </c>
      <c r="H199" t="s">
        <v>415</v>
      </c>
      <c r="I199" s="1">
        <v>45536</v>
      </c>
      <c r="J199" s="1">
        <v>45931</v>
      </c>
      <c r="K199" s="2">
        <v>1</v>
      </c>
      <c r="L199" s="2">
        <v>1</v>
      </c>
      <c r="N199" s="3">
        <v>1</v>
      </c>
      <c r="O199" s="2">
        <v>2</v>
      </c>
      <c r="P199" t="s">
        <v>416</v>
      </c>
      <c r="Q199" t="s">
        <v>1639</v>
      </c>
    </row>
    <row r="200" spans="1:17" x14ac:dyDescent="0.25">
      <c r="A200" s="4">
        <v>102022258700</v>
      </c>
      <c r="B200" s="4" t="str">
        <f t="shared" si="6"/>
        <v>1020222587000</v>
      </c>
      <c r="C200" s="4" t="str">
        <f t="shared" si="7"/>
        <v>102022258700OVR</v>
      </c>
      <c r="D200" t="s">
        <v>838</v>
      </c>
      <c r="E200">
        <v>20411454</v>
      </c>
      <c r="F200" t="s">
        <v>1663</v>
      </c>
      <c r="G200" t="s">
        <v>49</v>
      </c>
      <c r="H200" t="s">
        <v>415</v>
      </c>
      <c r="I200" s="1">
        <v>45474</v>
      </c>
      <c r="J200" s="1">
        <v>45931</v>
      </c>
      <c r="K200" s="2">
        <v>1</v>
      </c>
      <c r="L200" s="2">
        <v>1</v>
      </c>
      <c r="N200" s="3">
        <v>1</v>
      </c>
      <c r="O200" s="2">
        <v>2</v>
      </c>
      <c r="P200" t="s">
        <v>416</v>
      </c>
      <c r="Q200" t="s">
        <v>1639</v>
      </c>
    </row>
    <row r="201" spans="1:17" x14ac:dyDescent="0.25">
      <c r="A201" s="4">
        <v>102022261800</v>
      </c>
      <c r="B201" s="4" t="str">
        <f t="shared" si="6"/>
        <v>1020222618000</v>
      </c>
      <c r="C201" s="4" t="str">
        <f t="shared" si="7"/>
        <v>102022261800OVR</v>
      </c>
      <c r="D201" t="s">
        <v>840</v>
      </c>
      <c r="E201">
        <v>20411454</v>
      </c>
      <c r="F201" t="s">
        <v>1663</v>
      </c>
      <c r="G201" t="s">
        <v>49</v>
      </c>
      <c r="H201" t="s">
        <v>415</v>
      </c>
      <c r="I201" s="1">
        <v>45474</v>
      </c>
      <c r="J201" s="1">
        <v>45931</v>
      </c>
      <c r="K201" s="2">
        <v>1</v>
      </c>
      <c r="L201" s="2">
        <v>1</v>
      </c>
      <c r="N201" s="3">
        <v>1</v>
      </c>
      <c r="O201" s="2">
        <v>2</v>
      </c>
      <c r="P201" t="s">
        <v>416</v>
      </c>
      <c r="Q201" t="s">
        <v>1639</v>
      </c>
    </row>
    <row r="202" spans="1:17" x14ac:dyDescent="0.25">
      <c r="A202" s="4">
        <v>102022904500</v>
      </c>
      <c r="B202" s="4" t="str">
        <f t="shared" si="6"/>
        <v>1020229045000</v>
      </c>
      <c r="C202" s="4" t="str">
        <f t="shared" si="7"/>
        <v>102022904500OVR</v>
      </c>
      <c r="D202" t="s">
        <v>842</v>
      </c>
      <c r="E202">
        <v>20411454</v>
      </c>
      <c r="F202" t="s">
        <v>1663</v>
      </c>
      <c r="G202" t="s">
        <v>49</v>
      </c>
      <c r="H202" t="s">
        <v>415</v>
      </c>
      <c r="I202" s="1">
        <v>45505</v>
      </c>
      <c r="J202" s="1">
        <v>45931</v>
      </c>
      <c r="K202" s="2">
        <v>1</v>
      </c>
      <c r="L202" s="2">
        <v>1</v>
      </c>
      <c r="N202" s="3">
        <v>1</v>
      </c>
      <c r="O202" s="2">
        <v>2</v>
      </c>
      <c r="P202" t="s">
        <v>416</v>
      </c>
      <c r="Q202" t="s">
        <v>1639</v>
      </c>
    </row>
    <row r="203" spans="1:17" x14ac:dyDescent="0.25">
      <c r="A203" s="4">
        <v>102025517700</v>
      </c>
      <c r="B203" s="4" t="str">
        <f t="shared" si="6"/>
        <v>1020255177000</v>
      </c>
      <c r="C203" s="4" t="str">
        <f t="shared" si="7"/>
        <v>102025517700OVR</v>
      </c>
      <c r="D203" t="s">
        <v>846</v>
      </c>
      <c r="E203">
        <v>20411454</v>
      </c>
      <c r="F203" t="s">
        <v>1663</v>
      </c>
      <c r="G203" t="s">
        <v>49</v>
      </c>
      <c r="H203" t="s">
        <v>415</v>
      </c>
      <c r="I203" s="1">
        <v>45474</v>
      </c>
      <c r="J203" s="1">
        <v>45931</v>
      </c>
      <c r="K203" s="2">
        <v>1</v>
      </c>
      <c r="L203" s="2">
        <v>1</v>
      </c>
      <c r="N203" s="3">
        <v>1</v>
      </c>
      <c r="O203" s="2">
        <v>2</v>
      </c>
      <c r="P203" t="s">
        <v>416</v>
      </c>
      <c r="Q203" t="s">
        <v>1639</v>
      </c>
    </row>
    <row r="204" spans="1:17" x14ac:dyDescent="0.25">
      <c r="A204" s="4">
        <v>102025592500</v>
      </c>
      <c r="B204" s="4" t="str">
        <f t="shared" si="6"/>
        <v>1020255925000</v>
      </c>
      <c r="C204" s="4" t="str">
        <f t="shared" si="7"/>
        <v>102025592500OVR</v>
      </c>
      <c r="D204" t="s">
        <v>848</v>
      </c>
      <c r="E204">
        <v>20411454</v>
      </c>
      <c r="F204" t="s">
        <v>1663</v>
      </c>
      <c r="G204" t="s">
        <v>49</v>
      </c>
      <c r="H204" t="s">
        <v>415</v>
      </c>
      <c r="I204" s="1">
        <v>45505</v>
      </c>
      <c r="J204" s="1">
        <v>45931</v>
      </c>
      <c r="K204" s="2">
        <v>1</v>
      </c>
      <c r="L204" s="2">
        <v>1</v>
      </c>
      <c r="N204" s="3">
        <v>1</v>
      </c>
      <c r="O204" s="2">
        <v>2</v>
      </c>
      <c r="P204" t="s">
        <v>416</v>
      </c>
      <c r="Q204" t="s">
        <v>1639</v>
      </c>
    </row>
    <row r="205" spans="1:17" x14ac:dyDescent="0.25">
      <c r="A205" s="4">
        <v>102026454000</v>
      </c>
      <c r="B205" s="4" t="str">
        <f t="shared" si="6"/>
        <v>1020264540000</v>
      </c>
      <c r="C205" s="4" t="str">
        <f t="shared" si="7"/>
        <v>102026454000OVR</v>
      </c>
      <c r="D205" t="s">
        <v>851</v>
      </c>
      <c r="E205">
        <v>20411454</v>
      </c>
      <c r="F205" t="s">
        <v>1663</v>
      </c>
      <c r="G205" t="s">
        <v>49</v>
      </c>
      <c r="H205" t="s">
        <v>415</v>
      </c>
      <c r="I205" s="1">
        <v>45474</v>
      </c>
      <c r="J205" s="1">
        <v>45931</v>
      </c>
      <c r="K205" s="2">
        <v>1</v>
      </c>
      <c r="L205" s="2">
        <v>1</v>
      </c>
      <c r="N205" s="3">
        <v>1</v>
      </c>
      <c r="O205" s="2">
        <v>2</v>
      </c>
      <c r="P205" t="s">
        <v>416</v>
      </c>
      <c r="Q205" t="s">
        <v>1639</v>
      </c>
    </row>
    <row r="206" spans="1:17" x14ac:dyDescent="0.25">
      <c r="A206" s="4">
        <v>102027923000</v>
      </c>
      <c r="B206" s="4" t="str">
        <f t="shared" si="6"/>
        <v>1020279230000</v>
      </c>
      <c r="C206" s="4" t="str">
        <f t="shared" si="7"/>
        <v>102027923000OVR</v>
      </c>
      <c r="D206" t="s">
        <v>854</v>
      </c>
      <c r="E206">
        <v>20411454</v>
      </c>
      <c r="F206" t="s">
        <v>1663</v>
      </c>
      <c r="G206" t="s">
        <v>49</v>
      </c>
      <c r="H206" t="s">
        <v>415</v>
      </c>
      <c r="I206" s="1">
        <v>45474</v>
      </c>
      <c r="J206" s="1">
        <v>45931</v>
      </c>
      <c r="K206" s="2">
        <v>1</v>
      </c>
      <c r="L206" s="2">
        <v>1</v>
      </c>
      <c r="N206" s="3">
        <v>1</v>
      </c>
      <c r="O206" s="2">
        <v>2</v>
      </c>
      <c r="P206" t="s">
        <v>416</v>
      </c>
      <c r="Q206" t="s">
        <v>1639</v>
      </c>
    </row>
    <row r="207" spans="1:17" x14ac:dyDescent="0.25">
      <c r="A207" s="4">
        <v>102028483000</v>
      </c>
      <c r="B207" s="4" t="str">
        <f t="shared" si="6"/>
        <v>1020284830000</v>
      </c>
      <c r="C207" s="4" t="str">
        <f t="shared" si="7"/>
        <v>102028483000OVR</v>
      </c>
      <c r="D207" t="s">
        <v>856</v>
      </c>
      <c r="E207">
        <v>20411454</v>
      </c>
      <c r="F207" t="s">
        <v>1663</v>
      </c>
      <c r="G207" t="s">
        <v>49</v>
      </c>
      <c r="H207" t="s">
        <v>415</v>
      </c>
      <c r="I207" s="1">
        <v>45505</v>
      </c>
      <c r="J207" s="1">
        <v>45931</v>
      </c>
      <c r="K207" s="2">
        <v>1</v>
      </c>
      <c r="L207" s="2">
        <v>1</v>
      </c>
      <c r="N207" s="3">
        <v>1</v>
      </c>
      <c r="O207" s="2">
        <v>2</v>
      </c>
      <c r="P207" t="s">
        <v>416</v>
      </c>
      <c r="Q207" t="s">
        <v>1639</v>
      </c>
    </row>
    <row r="208" spans="1:17" x14ac:dyDescent="0.25">
      <c r="A208" s="4">
        <v>102029053100</v>
      </c>
      <c r="B208" s="4" t="str">
        <f t="shared" si="6"/>
        <v>1020290531000</v>
      </c>
      <c r="C208" s="4" t="str">
        <f t="shared" si="7"/>
        <v>102029053100OVR</v>
      </c>
      <c r="D208" t="s">
        <v>858</v>
      </c>
      <c r="E208">
        <v>20411454</v>
      </c>
      <c r="F208" t="s">
        <v>1663</v>
      </c>
      <c r="G208" t="s">
        <v>49</v>
      </c>
      <c r="H208" t="s">
        <v>415</v>
      </c>
      <c r="I208" s="1">
        <v>45566</v>
      </c>
      <c r="J208" s="1">
        <v>45931</v>
      </c>
      <c r="K208" s="2">
        <v>1</v>
      </c>
      <c r="L208" s="2">
        <v>1</v>
      </c>
      <c r="N208" s="3">
        <v>1</v>
      </c>
      <c r="O208" s="2">
        <v>2</v>
      </c>
      <c r="P208" t="s">
        <v>416</v>
      </c>
      <c r="Q208" t="s">
        <v>1639</v>
      </c>
    </row>
    <row r="209" spans="1:17" x14ac:dyDescent="0.25">
      <c r="A209" s="4">
        <v>102029646800</v>
      </c>
      <c r="B209" s="4" t="str">
        <f t="shared" si="6"/>
        <v>1020296468000</v>
      </c>
      <c r="C209" s="4" t="str">
        <f t="shared" si="7"/>
        <v>102029646800OVR</v>
      </c>
      <c r="D209" t="s">
        <v>860</v>
      </c>
      <c r="E209">
        <v>20411454</v>
      </c>
      <c r="F209" t="s">
        <v>1663</v>
      </c>
      <c r="G209" t="s">
        <v>49</v>
      </c>
      <c r="H209" t="s">
        <v>415</v>
      </c>
      <c r="I209" s="1">
        <v>45566</v>
      </c>
      <c r="J209" s="1">
        <v>45931</v>
      </c>
      <c r="K209" s="2">
        <v>1</v>
      </c>
      <c r="L209" s="2">
        <v>1</v>
      </c>
      <c r="N209" s="3">
        <v>1</v>
      </c>
      <c r="O209" s="2">
        <v>2</v>
      </c>
      <c r="P209" t="s">
        <v>416</v>
      </c>
      <c r="Q209" t="s">
        <v>1639</v>
      </c>
    </row>
    <row r="210" spans="1:17" x14ac:dyDescent="0.25">
      <c r="A210" s="4">
        <v>102030348000</v>
      </c>
      <c r="B210" s="4" t="str">
        <f t="shared" si="6"/>
        <v>1020303480000</v>
      </c>
      <c r="C210" s="4" t="str">
        <f t="shared" si="7"/>
        <v>102030348000OVR</v>
      </c>
      <c r="D210" t="s">
        <v>862</v>
      </c>
      <c r="E210">
        <v>20411454</v>
      </c>
      <c r="F210" t="s">
        <v>1663</v>
      </c>
      <c r="G210" t="s">
        <v>49</v>
      </c>
      <c r="H210" t="s">
        <v>415</v>
      </c>
      <c r="I210" s="1">
        <v>45505</v>
      </c>
      <c r="J210" s="1">
        <v>45931</v>
      </c>
      <c r="K210" s="2">
        <v>1</v>
      </c>
      <c r="L210" s="2">
        <v>1</v>
      </c>
      <c r="N210" s="3">
        <v>1</v>
      </c>
      <c r="O210" s="2">
        <v>2</v>
      </c>
      <c r="P210" t="s">
        <v>416</v>
      </c>
      <c r="Q210" t="s">
        <v>1639</v>
      </c>
    </row>
    <row r="211" spans="1:17" x14ac:dyDescent="0.25">
      <c r="A211" s="4">
        <v>102030760700</v>
      </c>
      <c r="B211" s="4" t="str">
        <f t="shared" si="6"/>
        <v>1020307607000</v>
      </c>
      <c r="C211" s="4" t="str">
        <f t="shared" si="7"/>
        <v>102030760700OVR</v>
      </c>
      <c r="D211" t="s">
        <v>864</v>
      </c>
      <c r="E211">
        <v>20411454</v>
      </c>
      <c r="F211" t="s">
        <v>1663</v>
      </c>
      <c r="G211" t="s">
        <v>49</v>
      </c>
      <c r="H211" t="s">
        <v>415</v>
      </c>
      <c r="I211" s="1">
        <v>45505</v>
      </c>
      <c r="J211" s="1">
        <v>45931</v>
      </c>
      <c r="K211" s="2">
        <v>1</v>
      </c>
      <c r="L211" s="2">
        <v>1</v>
      </c>
      <c r="N211" s="3">
        <v>1</v>
      </c>
      <c r="O211" s="2">
        <v>2</v>
      </c>
      <c r="P211" t="s">
        <v>416</v>
      </c>
      <c r="Q211" t="s">
        <v>1639</v>
      </c>
    </row>
    <row r="212" spans="1:17" x14ac:dyDescent="0.25">
      <c r="A212" s="4">
        <v>102030823900</v>
      </c>
      <c r="B212" s="4" t="str">
        <f t="shared" si="6"/>
        <v>1020308239000</v>
      </c>
      <c r="C212" s="4" t="str">
        <f t="shared" si="7"/>
        <v>102030823900OVR</v>
      </c>
      <c r="D212" t="s">
        <v>866</v>
      </c>
      <c r="E212">
        <v>20411454</v>
      </c>
      <c r="F212" t="s">
        <v>1663</v>
      </c>
      <c r="G212" t="s">
        <v>49</v>
      </c>
      <c r="H212" t="s">
        <v>415</v>
      </c>
      <c r="I212" s="1">
        <v>45505</v>
      </c>
      <c r="J212" s="1">
        <v>45931</v>
      </c>
      <c r="K212" s="2">
        <v>1</v>
      </c>
      <c r="L212" s="2">
        <v>1</v>
      </c>
      <c r="N212" s="3">
        <v>1</v>
      </c>
      <c r="O212" s="2">
        <v>2</v>
      </c>
      <c r="P212" t="s">
        <v>416</v>
      </c>
      <c r="Q212" t="s">
        <v>1639</v>
      </c>
    </row>
    <row r="213" spans="1:17" x14ac:dyDescent="0.25">
      <c r="A213" s="4">
        <v>102030825500</v>
      </c>
      <c r="B213" s="4" t="str">
        <f t="shared" si="6"/>
        <v>1020308255000</v>
      </c>
      <c r="C213" s="4" t="str">
        <f t="shared" si="7"/>
        <v>102030825500OVR</v>
      </c>
      <c r="D213" t="s">
        <v>868</v>
      </c>
      <c r="E213">
        <v>20411454</v>
      </c>
      <c r="F213" t="s">
        <v>1663</v>
      </c>
      <c r="G213" t="s">
        <v>49</v>
      </c>
      <c r="H213" t="s">
        <v>415</v>
      </c>
      <c r="I213" s="1">
        <v>45505</v>
      </c>
      <c r="J213" s="1">
        <v>45931</v>
      </c>
      <c r="K213" s="2">
        <v>1</v>
      </c>
      <c r="L213" s="2">
        <v>1</v>
      </c>
      <c r="N213" s="3">
        <v>1</v>
      </c>
      <c r="O213" s="2">
        <v>2</v>
      </c>
      <c r="P213" t="s">
        <v>416</v>
      </c>
      <c r="Q213" t="s">
        <v>1639</v>
      </c>
    </row>
    <row r="214" spans="1:17" x14ac:dyDescent="0.25">
      <c r="A214" s="4">
        <v>102031351800</v>
      </c>
      <c r="B214" s="4" t="str">
        <f t="shared" si="6"/>
        <v>1020313518000</v>
      </c>
      <c r="C214" s="4" t="str">
        <f t="shared" si="7"/>
        <v>102031351800OVR</v>
      </c>
      <c r="D214" t="s">
        <v>870</v>
      </c>
      <c r="E214">
        <v>20411454</v>
      </c>
      <c r="F214" t="s">
        <v>1663</v>
      </c>
      <c r="G214" t="s">
        <v>49</v>
      </c>
      <c r="H214" t="s">
        <v>415</v>
      </c>
      <c r="I214" s="1">
        <v>45505</v>
      </c>
      <c r="J214" s="1">
        <v>45931</v>
      </c>
      <c r="K214" s="2">
        <v>1</v>
      </c>
      <c r="L214" s="2">
        <v>1</v>
      </c>
      <c r="N214" s="3">
        <v>1</v>
      </c>
      <c r="O214" s="2">
        <v>2</v>
      </c>
      <c r="P214" t="s">
        <v>416</v>
      </c>
      <c r="Q214" t="s">
        <v>1639</v>
      </c>
    </row>
    <row r="215" spans="1:17" x14ac:dyDescent="0.25">
      <c r="A215" s="4">
        <v>102033862400</v>
      </c>
      <c r="B215" s="4" t="str">
        <f t="shared" si="6"/>
        <v>1020338624000</v>
      </c>
      <c r="C215" s="4" t="str">
        <f t="shared" si="7"/>
        <v>102033862400OVR</v>
      </c>
      <c r="D215" t="s">
        <v>876</v>
      </c>
      <c r="E215">
        <v>20411454</v>
      </c>
      <c r="F215" t="s">
        <v>1663</v>
      </c>
      <c r="G215" t="s">
        <v>49</v>
      </c>
      <c r="H215" t="s">
        <v>415</v>
      </c>
      <c r="I215" s="1">
        <v>45505</v>
      </c>
      <c r="J215" s="1">
        <v>45931</v>
      </c>
      <c r="K215" s="2">
        <v>1</v>
      </c>
      <c r="L215" s="2">
        <v>1</v>
      </c>
      <c r="N215" s="3">
        <v>1</v>
      </c>
      <c r="O215" s="2">
        <v>2</v>
      </c>
      <c r="P215" t="s">
        <v>416</v>
      </c>
      <c r="Q215" t="s">
        <v>1639</v>
      </c>
    </row>
    <row r="216" spans="1:17" x14ac:dyDescent="0.25">
      <c r="A216" s="4">
        <v>102034658300</v>
      </c>
      <c r="B216" s="4" t="str">
        <f t="shared" si="6"/>
        <v>1020346583000</v>
      </c>
      <c r="C216" s="4" t="str">
        <f t="shared" si="7"/>
        <v>102034658300OVR</v>
      </c>
      <c r="D216" t="s">
        <v>878</v>
      </c>
      <c r="E216">
        <v>20411454</v>
      </c>
      <c r="F216" t="s">
        <v>1663</v>
      </c>
      <c r="G216" t="s">
        <v>49</v>
      </c>
      <c r="H216" t="s">
        <v>415</v>
      </c>
      <c r="I216" s="1">
        <v>45536</v>
      </c>
      <c r="J216" s="1">
        <v>45931</v>
      </c>
      <c r="K216" s="2">
        <v>1</v>
      </c>
      <c r="L216" s="2">
        <v>1</v>
      </c>
      <c r="N216" s="3">
        <v>1</v>
      </c>
      <c r="O216" s="2">
        <v>2</v>
      </c>
      <c r="P216" t="s">
        <v>416</v>
      </c>
      <c r="Q216" t="s">
        <v>1639</v>
      </c>
    </row>
    <row r="217" spans="1:17" x14ac:dyDescent="0.25">
      <c r="A217" s="4">
        <v>102035247000</v>
      </c>
      <c r="B217" s="4" t="str">
        <f t="shared" si="6"/>
        <v>1020352470000</v>
      </c>
      <c r="C217" s="4" t="str">
        <f t="shared" si="7"/>
        <v>102035247000OVR</v>
      </c>
      <c r="D217" t="s">
        <v>880</v>
      </c>
      <c r="E217">
        <v>20411454</v>
      </c>
      <c r="F217" t="s">
        <v>1663</v>
      </c>
      <c r="G217" t="s">
        <v>49</v>
      </c>
      <c r="H217" t="s">
        <v>415</v>
      </c>
      <c r="I217" s="1">
        <v>45536</v>
      </c>
      <c r="J217" s="1">
        <v>45931</v>
      </c>
      <c r="K217" s="2">
        <v>1</v>
      </c>
      <c r="L217" s="2">
        <v>1</v>
      </c>
      <c r="N217" s="3">
        <v>1</v>
      </c>
      <c r="O217" s="2">
        <v>2</v>
      </c>
      <c r="P217" t="s">
        <v>416</v>
      </c>
      <c r="Q217" t="s">
        <v>1639</v>
      </c>
    </row>
    <row r="218" spans="1:17" x14ac:dyDescent="0.25">
      <c r="A218" s="4">
        <v>102035273900</v>
      </c>
      <c r="B218" s="4" t="str">
        <f t="shared" si="6"/>
        <v>1020352739000</v>
      </c>
      <c r="C218" s="4" t="str">
        <f t="shared" si="7"/>
        <v>102035273900OVR</v>
      </c>
      <c r="D218" t="s">
        <v>882</v>
      </c>
      <c r="E218">
        <v>20411454</v>
      </c>
      <c r="F218" t="s">
        <v>1663</v>
      </c>
      <c r="G218" t="s">
        <v>49</v>
      </c>
      <c r="H218" t="s">
        <v>415</v>
      </c>
      <c r="I218" s="1">
        <v>45566</v>
      </c>
      <c r="J218" s="1">
        <v>45931</v>
      </c>
      <c r="K218" s="2">
        <v>1</v>
      </c>
      <c r="L218" s="2">
        <v>1</v>
      </c>
      <c r="N218" s="3">
        <v>1</v>
      </c>
      <c r="O218" s="2">
        <v>2</v>
      </c>
      <c r="P218" t="s">
        <v>416</v>
      </c>
      <c r="Q218" t="s">
        <v>1639</v>
      </c>
    </row>
    <row r="219" spans="1:17" x14ac:dyDescent="0.25">
      <c r="A219" s="4">
        <v>102035359600</v>
      </c>
      <c r="B219" s="4" t="str">
        <f t="shared" si="6"/>
        <v>1020353596000</v>
      </c>
      <c r="C219" s="4" t="str">
        <f t="shared" si="7"/>
        <v>102035359600OVR</v>
      </c>
      <c r="D219" t="s">
        <v>884</v>
      </c>
      <c r="E219">
        <v>20411454</v>
      </c>
      <c r="F219" t="s">
        <v>1663</v>
      </c>
      <c r="G219" t="s">
        <v>49</v>
      </c>
      <c r="H219" t="s">
        <v>415</v>
      </c>
      <c r="I219" s="1">
        <v>45505</v>
      </c>
      <c r="J219" s="1">
        <v>45931</v>
      </c>
      <c r="K219" s="2">
        <v>1</v>
      </c>
      <c r="L219" s="2">
        <v>1</v>
      </c>
      <c r="N219" s="3">
        <v>1</v>
      </c>
      <c r="O219" s="2">
        <v>2</v>
      </c>
      <c r="P219" t="s">
        <v>416</v>
      </c>
      <c r="Q219" t="s">
        <v>1639</v>
      </c>
    </row>
    <row r="220" spans="1:17" x14ac:dyDescent="0.25">
      <c r="A220" s="4">
        <v>102035806200</v>
      </c>
      <c r="B220" s="4" t="str">
        <f t="shared" si="6"/>
        <v>1020358062000</v>
      </c>
      <c r="C220" s="4" t="str">
        <f t="shared" si="7"/>
        <v>102035806200OVR</v>
      </c>
      <c r="D220" t="s">
        <v>886</v>
      </c>
      <c r="E220">
        <v>20411454</v>
      </c>
      <c r="F220" t="s">
        <v>1663</v>
      </c>
      <c r="G220" t="s">
        <v>49</v>
      </c>
      <c r="H220" t="s">
        <v>415</v>
      </c>
      <c r="I220" s="1">
        <v>45566</v>
      </c>
      <c r="J220" s="1">
        <v>45931</v>
      </c>
      <c r="K220" s="2">
        <v>1</v>
      </c>
      <c r="L220" s="2">
        <v>1</v>
      </c>
      <c r="N220" s="3">
        <v>1</v>
      </c>
      <c r="O220" s="2">
        <v>2</v>
      </c>
      <c r="P220" t="s">
        <v>416</v>
      </c>
      <c r="Q220" t="s">
        <v>1639</v>
      </c>
    </row>
    <row r="221" spans="1:17" x14ac:dyDescent="0.25">
      <c r="A221" s="4">
        <v>102035849400</v>
      </c>
      <c r="B221" s="4" t="str">
        <f t="shared" si="6"/>
        <v>1020358494000</v>
      </c>
      <c r="C221" s="4" t="str">
        <f t="shared" si="7"/>
        <v>102035849400OVR</v>
      </c>
      <c r="D221" t="s">
        <v>891</v>
      </c>
      <c r="E221">
        <v>20411454</v>
      </c>
      <c r="F221" t="s">
        <v>1663</v>
      </c>
      <c r="G221" t="s">
        <v>49</v>
      </c>
      <c r="H221" t="s">
        <v>415</v>
      </c>
      <c r="I221" s="1">
        <v>45505</v>
      </c>
      <c r="J221" s="1">
        <v>45931</v>
      </c>
      <c r="K221" s="2">
        <v>1</v>
      </c>
      <c r="L221" s="2">
        <v>1</v>
      </c>
      <c r="N221" s="3">
        <v>1</v>
      </c>
      <c r="O221" s="2">
        <v>2</v>
      </c>
      <c r="P221" t="s">
        <v>416</v>
      </c>
      <c r="Q221" t="s">
        <v>1639</v>
      </c>
    </row>
    <row r="222" spans="1:17" x14ac:dyDescent="0.25">
      <c r="A222" s="4">
        <v>102035916500</v>
      </c>
      <c r="B222" s="4" t="str">
        <f t="shared" si="6"/>
        <v>1020359165000</v>
      </c>
      <c r="C222" s="4" t="str">
        <f t="shared" si="7"/>
        <v>102035916500OVR</v>
      </c>
      <c r="D222" t="s">
        <v>893</v>
      </c>
      <c r="E222">
        <v>20411454</v>
      </c>
      <c r="F222" t="s">
        <v>1663</v>
      </c>
      <c r="G222" t="s">
        <v>49</v>
      </c>
      <c r="H222" t="s">
        <v>415</v>
      </c>
      <c r="I222" s="1">
        <v>45505</v>
      </c>
      <c r="J222" s="1">
        <v>45931</v>
      </c>
      <c r="K222" s="2">
        <v>1</v>
      </c>
      <c r="L222" s="2">
        <v>1</v>
      </c>
      <c r="N222" s="3">
        <v>1</v>
      </c>
      <c r="O222" s="2">
        <v>2</v>
      </c>
      <c r="P222" t="s">
        <v>416</v>
      </c>
      <c r="Q222" t="s">
        <v>1639</v>
      </c>
    </row>
    <row r="223" spans="1:17" x14ac:dyDescent="0.25">
      <c r="A223" s="4">
        <v>102036450000</v>
      </c>
      <c r="B223" s="4" t="str">
        <f t="shared" si="6"/>
        <v>1020364500000</v>
      </c>
      <c r="C223" s="4" t="str">
        <f t="shared" si="7"/>
        <v>102036450000OVR</v>
      </c>
      <c r="D223" t="s">
        <v>898</v>
      </c>
      <c r="E223">
        <v>20411454</v>
      </c>
      <c r="F223" t="s">
        <v>1663</v>
      </c>
      <c r="G223" t="s">
        <v>49</v>
      </c>
      <c r="H223" t="s">
        <v>415</v>
      </c>
      <c r="I223" s="1">
        <v>45505</v>
      </c>
      <c r="J223" s="1">
        <v>45931</v>
      </c>
      <c r="K223" s="2">
        <v>1</v>
      </c>
      <c r="L223" s="2">
        <v>1</v>
      </c>
      <c r="N223" s="3">
        <v>1</v>
      </c>
      <c r="O223" s="2">
        <v>2</v>
      </c>
      <c r="P223" t="s">
        <v>416</v>
      </c>
      <c r="Q223" t="s">
        <v>1639</v>
      </c>
    </row>
    <row r="224" spans="1:17" x14ac:dyDescent="0.25">
      <c r="A224" s="4">
        <v>102036471300</v>
      </c>
      <c r="B224" s="4" t="str">
        <f t="shared" si="6"/>
        <v>1020364713000</v>
      </c>
      <c r="C224" s="4" t="str">
        <f t="shared" si="7"/>
        <v>102036471300OVR</v>
      </c>
      <c r="D224" t="s">
        <v>900</v>
      </c>
      <c r="E224">
        <v>20411454</v>
      </c>
      <c r="F224" t="s">
        <v>1663</v>
      </c>
      <c r="G224" t="s">
        <v>49</v>
      </c>
      <c r="H224" t="s">
        <v>415</v>
      </c>
      <c r="I224" s="1">
        <v>45505</v>
      </c>
      <c r="J224" s="1">
        <v>45931</v>
      </c>
      <c r="K224" s="2">
        <v>1</v>
      </c>
      <c r="L224" s="2">
        <v>1</v>
      </c>
      <c r="N224" s="3">
        <v>1</v>
      </c>
      <c r="O224" s="2">
        <v>2</v>
      </c>
      <c r="P224" t="s">
        <v>416</v>
      </c>
      <c r="Q224" t="s">
        <v>1639</v>
      </c>
    </row>
    <row r="225" spans="1:17" x14ac:dyDescent="0.25">
      <c r="A225" s="4">
        <v>102037067200</v>
      </c>
      <c r="B225" s="4" t="str">
        <f t="shared" si="6"/>
        <v>1020370672000</v>
      </c>
      <c r="C225" s="4" t="str">
        <f t="shared" si="7"/>
        <v>102037067200OVR</v>
      </c>
      <c r="D225" t="s">
        <v>902</v>
      </c>
      <c r="E225">
        <v>20411454</v>
      </c>
      <c r="F225" t="s">
        <v>1663</v>
      </c>
      <c r="G225" t="s">
        <v>49</v>
      </c>
      <c r="H225" t="s">
        <v>415</v>
      </c>
      <c r="I225" s="1">
        <v>45566</v>
      </c>
      <c r="J225" s="1">
        <v>45931</v>
      </c>
      <c r="K225" s="2">
        <v>1</v>
      </c>
      <c r="L225" s="2">
        <v>1</v>
      </c>
      <c r="N225" s="3">
        <v>1</v>
      </c>
      <c r="O225" s="2">
        <v>2</v>
      </c>
      <c r="P225" t="s">
        <v>416</v>
      </c>
      <c r="Q225" t="s">
        <v>1639</v>
      </c>
    </row>
    <row r="226" spans="1:17" x14ac:dyDescent="0.25">
      <c r="A226" s="4">
        <v>102037178300</v>
      </c>
      <c r="B226" s="4" t="str">
        <f t="shared" si="6"/>
        <v>1020371783000</v>
      </c>
      <c r="C226" s="4" t="str">
        <f t="shared" si="7"/>
        <v>102037178300OVR</v>
      </c>
      <c r="D226" t="s">
        <v>904</v>
      </c>
      <c r="E226">
        <v>20411454</v>
      </c>
      <c r="F226" t="s">
        <v>1663</v>
      </c>
      <c r="G226" t="s">
        <v>49</v>
      </c>
      <c r="H226" t="s">
        <v>415</v>
      </c>
      <c r="I226" s="1">
        <v>45505</v>
      </c>
      <c r="J226" s="1">
        <v>45931</v>
      </c>
      <c r="K226" s="2">
        <v>1</v>
      </c>
      <c r="L226" s="2">
        <v>1</v>
      </c>
      <c r="N226" s="3">
        <v>1</v>
      </c>
      <c r="O226" s="2">
        <v>2</v>
      </c>
      <c r="P226" t="s">
        <v>416</v>
      </c>
      <c r="Q226" t="s">
        <v>1639</v>
      </c>
    </row>
    <row r="227" spans="1:17" x14ac:dyDescent="0.25">
      <c r="A227" s="4">
        <v>102037208500</v>
      </c>
      <c r="B227" s="4" t="str">
        <f t="shared" si="6"/>
        <v>1020372085000</v>
      </c>
      <c r="C227" s="4" t="str">
        <f t="shared" si="7"/>
        <v>102037208500OVR</v>
      </c>
      <c r="D227" t="s">
        <v>906</v>
      </c>
      <c r="E227">
        <v>20411454</v>
      </c>
      <c r="F227" t="s">
        <v>1663</v>
      </c>
      <c r="G227" t="s">
        <v>49</v>
      </c>
      <c r="H227" t="s">
        <v>415</v>
      </c>
      <c r="I227" s="1">
        <v>45566</v>
      </c>
      <c r="J227" s="1">
        <v>45931</v>
      </c>
      <c r="K227" s="2">
        <v>1</v>
      </c>
      <c r="L227" s="2">
        <v>1</v>
      </c>
      <c r="N227" s="3">
        <v>1</v>
      </c>
      <c r="O227" s="2">
        <v>2</v>
      </c>
      <c r="P227" t="s">
        <v>416</v>
      </c>
      <c r="Q227" t="s">
        <v>1639</v>
      </c>
    </row>
    <row r="228" spans="1:17" x14ac:dyDescent="0.25">
      <c r="A228" s="4">
        <v>102037260600</v>
      </c>
      <c r="B228" s="4" t="str">
        <f t="shared" si="6"/>
        <v>1020372606000</v>
      </c>
      <c r="C228" s="4" t="str">
        <f t="shared" si="7"/>
        <v>102037260600OVR</v>
      </c>
      <c r="D228" t="s">
        <v>908</v>
      </c>
      <c r="E228">
        <v>20411454</v>
      </c>
      <c r="F228" t="s">
        <v>1663</v>
      </c>
      <c r="G228" t="s">
        <v>49</v>
      </c>
      <c r="H228" t="s">
        <v>415</v>
      </c>
      <c r="I228" s="1">
        <v>45505</v>
      </c>
      <c r="J228" s="1">
        <v>45931</v>
      </c>
      <c r="K228" s="2">
        <v>1</v>
      </c>
      <c r="L228" s="2">
        <v>1</v>
      </c>
      <c r="N228" s="3">
        <v>1</v>
      </c>
      <c r="O228" s="2">
        <v>2</v>
      </c>
      <c r="P228" t="s">
        <v>416</v>
      </c>
      <c r="Q228" t="s">
        <v>1639</v>
      </c>
    </row>
    <row r="229" spans="1:17" x14ac:dyDescent="0.25">
      <c r="A229" s="4">
        <v>102037642800</v>
      </c>
      <c r="B229" s="4" t="str">
        <f t="shared" si="6"/>
        <v>1020376428000</v>
      </c>
      <c r="C229" s="4" t="str">
        <f t="shared" si="7"/>
        <v>102037642800OVR</v>
      </c>
      <c r="D229" t="s">
        <v>910</v>
      </c>
      <c r="E229">
        <v>20411454</v>
      </c>
      <c r="F229" t="s">
        <v>1663</v>
      </c>
      <c r="G229" t="s">
        <v>49</v>
      </c>
      <c r="H229" t="s">
        <v>415</v>
      </c>
      <c r="I229" s="1">
        <v>45505</v>
      </c>
      <c r="J229" s="1">
        <v>45931</v>
      </c>
      <c r="K229" s="2">
        <v>1</v>
      </c>
      <c r="L229" s="2">
        <v>1</v>
      </c>
      <c r="N229" s="3">
        <v>1</v>
      </c>
      <c r="O229" s="2">
        <v>2</v>
      </c>
      <c r="P229" t="s">
        <v>416</v>
      </c>
      <c r="Q229" t="s">
        <v>1639</v>
      </c>
    </row>
    <row r="230" spans="1:17" x14ac:dyDescent="0.25">
      <c r="A230" s="4">
        <v>102038194700</v>
      </c>
      <c r="B230" s="4" t="str">
        <f t="shared" si="6"/>
        <v>1020381947000</v>
      </c>
      <c r="C230" s="4" t="str">
        <f t="shared" si="7"/>
        <v>102038194700OVR</v>
      </c>
      <c r="D230" t="s">
        <v>912</v>
      </c>
      <c r="E230">
        <v>20411454</v>
      </c>
      <c r="F230" t="s">
        <v>1663</v>
      </c>
      <c r="G230" t="s">
        <v>49</v>
      </c>
      <c r="H230" t="s">
        <v>415</v>
      </c>
      <c r="I230" s="1">
        <v>45505</v>
      </c>
      <c r="J230" s="1">
        <v>45931</v>
      </c>
      <c r="K230" s="2">
        <v>1</v>
      </c>
      <c r="L230" s="2">
        <v>1</v>
      </c>
      <c r="N230" s="3">
        <v>1</v>
      </c>
      <c r="O230" s="2">
        <v>2</v>
      </c>
      <c r="P230" t="s">
        <v>416</v>
      </c>
      <c r="Q230" t="s">
        <v>1639</v>
      </c>
    </row>
    <row r="231" spans="1:17" x14ac:dyDescent="0.25">
      <c r="A231" s="4">
        <v>102040124800</v>
      </c>
      <c r="B231" s="4" t="str">
        <f t="shared" si="6"/>
        <v>1020401248000</v>
      </c>
      <c r="C231" s="4" t="str">
        <f t="shared" si="7"/>
        <v>102040124800OVR</v>
      </c>
      <c r="D231" t="s">
        <v>914</v>
      </c>
      <c r="E231">
        <v>20411454</v>
      </c>
      <c r="F231" t="s">
        <v>1663</v>
      </c>
      <c r="G231" t="s">
        <v>49</v>
      </c>
      <c r="H231" t="s">
        <v>415</v>
      </c>
      <c r="I231" s="1">
        <v>45536</v>
      </c>
      <c r="J231" s="1">
        <v>45931</v>
      </c>
      <c r="K231" s="2">
        <v>1</v>
      </c>
      <c r="L231" s="2">
        <v>1</v>
      </c>
      <c r="N231" s="3">
        <v>1</v>
      </c>
      <c r="O231" s="2">
        <v>2</v>
      </c>
      <c r="P231" t="s">
        <v>416</v>
      </c>
      <c r="Q231" t="s">
        <v>1639</v>
      </c>
    </row>
    <row r="232" spans="1:17" x14ac:dyDescent="0.25">
      <c r="A232" s="4">
        <v>102040827300</v>
      </c>
      <c r="B232" s="4" t="str">
        <f t="shared" si="6"/>
        <v>1020408273000</v>
      </c>
      <c r="C232" s="4" t="str">
        <f t="shared" si="7"/>
        <v>102040827300OVR</v>
      </c>
      <c r="D232" t="s">
        <v>916</v>
      </c>
      <c r="E232">
        <v>20411454</v>
      </c>
      <c r="F232" t="s">
        <v>1663</v>
      </c>
      <c r="G232" t="s">
        <v>49</v>
      </c>
      <c r="H232" t="s">
        <v>415</v>
      </c>
      <c r="I232" s="1">
        <v>45566</v>
      </c>
      <c r="J232" s="1">
        <v>45931</v>
      </c>
      <c r="K232" s="2">
        <v>1</v>
      </c>
      <c r="L232" s="2">
        <v>1</v>
      </c>
      <c r="N232" s="3">
        <v>1</v>
      </c>
      <c r="O232" s="2">
        <v>2</v>
      </c>
      <c r="P232" t="s">
        <v>416</v>
      </c>
      <c r="Q232" t="s">
        <v>1639</v>
      </c>
    </row>
    <row r="233" spans="1:17" x14ac:dyDescent="0.25">
      <c r="A233" s="4">
        <v>102041647300</v>
      </c>
      <c r="B233" s="4" t="str">
        <f t="shared" si="6"/>
        <v>1020416473000</v>
      </c>
      <c r="C233" s="4" t="str">
        <f t="shared" si="7"/>
        <v>102041647300OVR</v>
      </c>
      <c r="D233" t="s">
        <v>918</v>
      </c>
      <c r="E233">
        <v>20411454</v>
      </c>
      <c r="F233" t="s">
        <v>1663</v>
      </c>
      <c r="G233" t="s">
        <v>49</v>
      </c>
      <c r="H233" t="s">
        <v>415</v>
      </c>
      <c r="I233" s="1">
        <v>45505</v>
      </c>
      <c r="J233" s="1">
        <v>45931</v>
      </c>
      <c r="K233" s="2">
        <v>1</v>
      </c>
      <c r="L233" s="2">
        <v>1</v>
      </c>
      <c r="N233" s="3">
        <v>1</v>
      </c>
      <c r="O233" s="2">
        <v>2</v>
      </c>
      <c r="P233" t="s">
        <v>416</v>
      </c>
      <c r="Q233" t="s">
        <v>1639</v>
      </c>
    </row>
    <row r="234" spans="1:17" x14ac:dyDescent="0.25">
      <c r="A234" s="4">
        <v>102042487000</v>
      </c>
      <c r="B234" s="4" t="str">
        <f t="shared" si="6"/>
        <v>1020424870000</v>
      </c>
      <c r="C234" s="4" t="str">
        <f t="shared" si="7"/>
        <v>102042487000OVR</v>
      </c>
      <c r="D234" t="s">
        <v>920</v>
      </c>
      <c r="E234">
        <v>20411454</v>
      </c>
      <c r="F234" t="s">
        <v>1663</v>
      </c>
      <c r="G234" t="s">
        <v>49</v>
      </c>
      <c r="H234" t="s">
        <v>415</v>
      </c>
      <c r="I234" s="1">
        <v>45536</v>
      </c>
      <c r="J234" s="1">
        <v>45931</v>
      </c>
      <c r="K234" s="2">
        <v>1</v>
      </c>
      <c r="L234" s="2">
        <v>1</v>
      </c>
      <c r="N234" s="3">
        <v>1</v>
      </c>
      <c r="O234" s="2">
        <v>2</v>
      </c>
      <c r="P234" t="s">
        <v>416</v>
      </c>
      <c r="Q234" t="s">
        <v>1639</v>
      </c>
    </row>
    <row r="235" spans="1:17" x14ac:dyDescent="0.25">
      <c r="A235" s="4">
        <v>102043771500</v>
      </c>
      <c r="B235" s="4" t="str">
        <f t="shared" si="6"/>
        <v>1020437715000</v>
      </c>
      <c r="C235" s="4" t="str">
        <f t="shared" si="7"/>
        <v>102043771500OVR</v>
      </c>
      <c r="D235" t="s">
        <v>926</v>
      </c>
      <c r="E235">
        <v>20411454</v>
      </c>
      <c r="F235" t="s">
        <v>1663</v>
      </c>
      <c r="G235" t="s">
        <v>49</v>
      </c>
      <c r="H235" t="s">
        <v>415</v>
      </c>
      <c r="I235" s="1">
        <v>45566</v>
      </c>
      <c r="J235" s="1">
        <v>45931</v>
      </c>
      <c r="K235" s="2">
        <v>1</v>
      </c>
      <c r="L235" s="2">
        <v>1</v>
      </c>
      <c r="N235" s="3">
        <v>1</v>
      </c>
      <c r="O235" s="2">
        <v>2</v>
      </c>
      <c r="P235" t="s">
        <v>416</v>
      </c>
      <c r="Q235" t="s">
        <v>1639</v>
      </c>
    </row>
    <row r="236" spans="1:17" x14ac:dyDescent="0.25">
      <c r="A236" s="4">
        <v>102043872000</v>
      </c>
      <c r="B236" s="4" t="str">
        <f t="shared" si="6"/>
        <v>1020438720000</v>
      </c>
      <c r="C236" s="4" t="str">
        <f t="shared" si="7"/>
        <v>102043872000OVR</v>
      </c>
      <c r="D236" t="s">
        <v>928</v>
      </c>
      <c r="E236">
        <v>20411454</v>
      </c>
      <c r="F236" t="s">
        <v>1663</v>
      </c>
      <c r="G236" t="s">
        <v>49</v>
      </c>
      <c r="H236" t="s">
        <v>415</v>
      </c>
      <c r="I236" s="1">
        <v>45536</v>
      </c>
      <c r="J236" s="1">
        <v>45931</v>
      </c>
      <c r="K236" s="2">
        <v>1</v>
      </c>
      <c r="L236" s="2">
        <v>1</v>
      </c>
      <c r="N236" s="3">
        <v>1</v>
      </c>
      <c r="O236" s="2">
        <v>2</v>
      </c>
      <c r="P236" t="s">
        <v>416</v>
      </c>
      <c r="Q236" t="s">
        <v>1639</v>
      </c>
    </row>
    <row r="237" spans="1:17" x14ac:dyDescent="0.25">
      <c r="A237" s="4">
        <v>102044679100</v>
      </c>
      <c r="B237" s="4" t="str">
        <f t="shared" si="6"/>
        <v>1020446791000</v>
      </c>
      <c r="C237" s="4" t="str">
        <f t="shared" si="7"/>
        <v>102044679100OVR</v>
      </c>
      <c r="D237" t="s">
        <v>930</v>
      </c>
      <c r="E237">
        <v>20411454</v>
      </c>
      <c r="F237" t="s">
        <v>1663</v>
      </c>
      <c r="G237" t="s">
        <v>49</v>
      </c>
      <c r="H237" t="s">
        <v>415</v>
      </c>
      <c r="I237" s="1">
        <v>45566</v>
      </c>
      <c r="J237" s="1">
        <v>45931</v>
      </c>
      <c r="K237" s="2">
        <v>1</v>
      </c>
      <c r="L237" s="2">
        <v>1</v>
      </c>
      <c r="N237" s="3">
        <v>1</v>
      </c>
      <c r="O237" s="2">
        <v>2</v>
      </c>
      <c r="P237" t="s">
        <v>416</v>
      </c>
      <c r="Q237" t="s">
        <v>1639</v>
      </c>
    </row>
    <row r="238" spans="1:17" x14ac:dyDescent="0.25">
      <c r="A238" s="4">
        <v>102044729900</v>
      </c>
      <c r="B238" s="4" t="str">
        <f t="shared" si="6"/>
        <v>1020447299000</v>
      </c>
      <c r="C238" s="4" t="str">
        <f t="shared" si="7"/>
        <v>102044729900OVR</v>
      </c>
      <c r="D238" t="s">
        <v>932</v>
      </c>
      <c r="E238">
        <v>20411454</v>
      </c>
      <c r="F238" t="s">
        <v>1663</v>
      </c>
      <c r="G238" t="s">
        <v>49</v>
      </c>
      <c r="H238" t="s">
        <v>415</v>
      </c>
      <c r="I238" s="1">
        <v>45566</v>
      </c>
      <c r="J238" s="1">
        <v>45931</v>
      </c>
      <c r="K238" s="2">
        <v>1</v>
      </c>
      <c r="L238" s="2">
        <v>1</v>
      </c>
      <c r="N238" s="3">
        <v>1</v>
      </c>
      <c r="O238" s="2">
        <v>2</v>
      </c>
      <c r="P238" t="s">
        <v>416</v>
      </c>
      <c r="Q238" t="s">
        <v>1639</v>
      </c>
    </row>
    <row r="239" spans="1:17" x14ac:dyDescent="0.25">
      <c r="A239" s="4">
        <v>102044738100</v>
      </c>
      <c r="B239" s="4" t="str">
        <f t="shared" si="6"/>
        <v>1020447381000</v>
      </c>
      <c r="C239" s="4" t="str">
        <f t="shared" si="7"/>
        <v>102044738100OVR</v>
      </c>
      <c r="D239" t="s">
        <v>934</v>
      </c>
      <c r="E239">
        <v>20411454</v>
      </c>
      <c r="F239" t="s">
        <v>1663</v>
      </c>
      <c r="G239" t="s">
        <v>49</v>
      </c>
      <c r="H239" t="s">
        <v>415</v>
      </c>
      <c r="I239" s="1">
        <v>45536</v>
      </c>
      <c r="J239" s="1">
        <v>45931</v>
      </c>
      <c r="K239" s="2">
        <v>-1</v>
      </c>
      <c r="L239" s="2">
        <v>-1</v>
      </c>
      <c r="N239" s="3">
        <v>1</v>
      </c>
      <c r="O239" s="2">
        <v>-2</v>
      </c>
      <c r="P239" t="s">
        <v>416</v>
      </c>
      <c r="Q239" t="s">
        <v>1639</v>
      </c>
    </row>
    <row r="240" spans="1:17" x14ac:dyDescent="0.25">
      <c r="A240" s="4">
        <v>102046259200</v>
      </c>
      <c r="B240" s="4" t="str">
        <f t="shared" si="6"/>
        <v>1020462592000</v>
      </c>
      <c r="C240" s="4" t="str">
        <f t="shared" si="7"/>
        <v>102046259200OVR</v>
      </c>
      <c r="D240" t="s">
        <v>937</v>
      </c>
      <c r="E240">
        <v>20411454</v>
      </c>
      <c r="F240" t="s">
        <v>1663</v>
      </c>
      <c r="G240" t="s">
        <v>49</v>
      </c>
      <c r="H240" t="s">
        <v>415</v>
      </c>
      <c r="I240" s="1">
        <v>45597</v>
      </c>
      <c r="J240" s="1">
        <v>45931</v>
      </c>
      <c r="K240" s="2">
        <v>1</v>
      </c>
      <c r="L240" s="2">
        <v>1</v>
      </c>
      <c r="N240" s="3">
        <v>1</v>
      </c>
      <c r="O240" s="2">
        <v>2</v>
      </c>
      <c r="P240" t="s">
        <v>416</v>
      </c>
      <c r="Q240" t="s">
        <v>1639</v>
      </c>
    </row>
    <row r="241" spans="1:40" x14ac:dyDescent="0.25">
      <c r="A241" s="4">
        <v>102046287500</v>
      </c>
      <c r="B241" s="4" t="str">
        <f t="shared" si="6"/>
        <v>1020462875000</v>
      </c>
      <c r="C241" s="4" t="str">
        <f t="shared" si="7"/>
        <v>102046287500OVR</v>
      </c>
      <c r="D241" t="s">
        <v>939</v>
      </c>
      <c r="E241">
        <v>20411454</v>
      </c>
      <c r="F241" t="s">
        <v>1663</v>
      </c>
      <c r="G241" t="s">
        <v>49</v>
      </c>
      <c r="H241" t="s">
        <v>415</v>
      </c>
      <c r="I241" s="1">
        <v>45536</v>
      </c>
      <c r="J241" s="1">
        <v>45931</v>
      </c>
      <c r="K241" s="2">
        <v>1</v>
      </c>
      <c r="L241" s="2">
        <v>1</v>
      </c>
      <c r="N241" s="3">
        <v>1</v>
      </c>
      <c r="O241" s="2">
        <v>2</v>
      </c>
      <c r="P241" t="s">
        <v>416</v>
      </c>
      <c r="Q241" t="s">
        <v>1639</v>
      </c>
    </row>
    <row r="242" spans="1:40" x14ac:dyDescent="0.25">
      <c r="A242" s="4">
        <v>102046673700</v>
      </c>
      <c r="B242" s="4" t="str">
        <f t="shared" si="6"/>
        <v>1020466737000</v>
      </c>
      <c r="C242" s="4" t="str">
        <f t="shared" si="7"/>
        <v>102046673700OVR</v>
      </c>
      <c r="D242" t="s">
        <v>941</v>
      </c>
      <c r="E242">
        <v>20411454</v>
      </c>
      <c r="F242" t="s">
        <v>1663</v>
      </c>
      <c r="G242" t="s">
        <v>49</v>
      </c>
      <c r="H242" t="s">
        <v>415</v>
      </c>
      <c r="I242" s="1">
        <v>45536</v>
      </c>
      <c r="J242" s="1">
        <v>45931</v>
      </c>
      <c r="K242" s="2">
        <v>1</v>
      </c>
      <c r="L242" s="2">
        <v>1</v>
      </c>
      <c r="N242" s="3">
        <v>1</v>
      </c>
      <c r="O242" s="2">
        <v>2</v>
      </c>
      <c r="P242" t="s">
        <v>416</v>
      </c>
      <c r="Q242" t="s">
        <v>1639</v>
      </c>
    </row>
    <row r="243" spans="1:40" x14ac:dyDescent="0.25">
      <c r="A243" s="4">
        <v>102048671500</v>
      </c>
      <c r="B243" s="4" t="str">
        <f t="shared" si="6"/>
        <v>1020486715000</v>
      </c>
      <c r="C243" s="4" t="str">
        <f t="shared" si="7"/>
        <v>102048671500OVR</v>
      </c>
      <c r="D243" t="s">
        <v>943</v>
      </c>
      <c r="E243">
        <v>20411454</v>
      </c>
      <c r="F243" t="s">
        <v>1663</v>
      </c>
      <c r="G243" t="s">
        <v>49</v>
      </c>
      <c r="H243" t="s">
        <v>415</v>
      </c>
      <c r="I243" s="1">
        <v>45566</v>
      </c>
      <c r="J243" s="1">
        <v>45931</v>
      </c>
      <c r="K243" s="2">
        <v>1</v>
      </c>
      <c r="L243" s="2">
        <v>1</v>
      </c>
      <c r="N243" s="3">
        <v>1</v>
      </c>
      <c r="O243" s="2">
        <v>2</v>
      </c>
      <c r="P243" t="s">
        <v>416</v>
      </c>
      <c r="Q243" t="s">
        <v>1639</v>
      </c>
    </row>
    <row r="244" spans="1:40" x14ac:dyDescent="0.25">
      <c r="A244" s="4">
        <v>102048695700</v>
      </c>
      <c r="B244" s="4" t="str">
        <f t="shared" si="6"/>
        <v>1020486957000</v>
      </c>
      <c r="C244" s="4" t="str">
        <f t="shared" si="7"/>
        <v>102048695700OVR</v>
      </c>
      <c r="D244" t="s">
        <v>945</v>
      </c>
      <c r="E244">
        <v>20411454</v>
      </c>
      <c r="F244" t="s">
        <v>1663</v>
      </c>
      <c r="G244" t="s">
        <v>49</v>
      </c>
      <c r="H244" t="s">
        <v>415</v>
      </c>
      <c r="I244" s="1">
        <v>45536</v>
      </c>
      <c r="J244" s="1">
        <v>45931</v>
      </c>
      <c r="K244" s="2">
        <v>1</v>
      </c>
      <c r="L244" s="2">
        <v>1</v>
      </c>
      <c r="N244" s="3">
        <v>1</v>
      </c>
      <c r="O244" s="2">
        <v>2</v>
      </c>
      <c r="P244" t="s">
        <v>416</v>
      </c>
      <c r="Q244" t="s">
        <v>1639</v>
      </c>
    </row>
    <row r="245" spans="1:40" x14ac:dyDescent="0.25">
      <c r="A245" s="4">
        <v>102049165000</v>
      </c>
      <c r="B245" s="4" t="str">
        <f t="shared" si="6"/>
        <v>1020491650000</v>
      </c>
      <c r="C245" s="4" t="str">
        <f t="shared" si="7"/>
        <v>102049165000OVR</v>
      </c>
      <c r="D245" t="s">
        <v>947</v>
      </c>
      <c r="E245">
        <v>20411454</v>
      </c>
      <c r="F245" t="s">
        <v>1663</v>
      </c>
      <c r="G245" t="s">
        <v>49</v>
      </c>
      <c r="H245" t="s">
        <v>415</v>
      </c>
      <c r="I245" s="1">
        <v>45566</v>
      </c>
      <c r="J245" s="1">
        <v>45931</v>
      </c>
      <c r="K245" s="2">
        <v>1</v>
      </c>
      <c r="L245" s="2">
        <v>1</v>
      </c>
      <c r="N245" s="3">
        <v>1</v>
      </c>
      <c r="O245" s="2">
        <v>2</v>
      </c>
      <c r="P245" t="s">
        <v>416</v>
      </c>
      <c r="Q245" t="s">
        <v>1639</v>
      </c>
    </row>
    <row r="246" spans="1:40" s="13" customFormat="1" x14ac:dyDescent="0.25">
      <c r="A246" s="4">
        <v>102049245100</v>
      </c>
      <c r="B246" s="4" t="str">
        <f t="shared" si="6"/>
        <v>1020492451000</v>
      </c>
      <c r="C246" s="4" t="str">
        <f t="shared" si="7"/>
        <v>102049245100OVR</v>
      </c>
      <c r="D246" t="s">
        <v>949</v>
      </c>
      <c r="E246">
        <v>20411454</v>
      </c>
      <c r="F246" t="s">
        <v>1663</v>
      </c>
      <c r="G246" t="s">
        <v>49</v>
      </c>
      <c r="H246" t="s">
        <v>415</v>
      </c>
      <c r="I246" s="1">
        <v>45597</v>
      </c>
      <c r="J246" s="1">
        <v>45931</v>
      </c>
      <c r="K246" s="2">
        <v>1</v>
      </c>
      <c r="L246" s="2">
        <v>1</v>
      </c>
      <c r="M246"/>
      <c r="N246" s="3">
        <v>1</v>
      </c>
      <c r="O246" s="2">
        <v>2</v>
      </c>
      <c r="P246" t="s">
        <v>416</v>
      </c>
      <c r="Q246" t="s">
        <v>1639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</row>
    <row r="247" spans="1:40" x14ac:dyDescent="0.25">
      <c r="A247" s="4">
        <v>102049267000</v>
      </c>
      <c r="B247" s="4" t="str">
        <f t="shared" si="6"/>
        <v>1020492670000</v>
      </c>
      <c r="C247" s="4" t="str">
        <f t="shared" si="7"/>
        <v>102049267000OVR</v>
      </c>
      <c r="D247" t="s">
        <v>952</v>
      </c>
      <c r="E247">
        <v>20411454</v>
      </c>
      <c r="F247" t="s">
        <v>1663</v>
      </c>
      <c r="G247" t="s">
        <v>49</v>
      </c>
      <c r="H247" t="s">
        <v>415</v>
      </c>
      <c r="I247" s="1">
        <v>45536</v>
      </c>
      <c r="J247" s="1">
        <v>45931</v>
      </c>
      <c r="K247" s="2">
        <v>1</v>
      </c>
      <c r="L247" s="2">
        <v>1</v>
      </c>
      <c r="N247" s="3">
        <v>1</v>
      </c>
      <c r="O247" s="2">
        <v>2</v>
      </c>
      <c r="P247" t="s">
        <v>416</v>
      </c>
      <c r="Q247" t="s">
        <v>1639</v>
      </c>
    </row>
    <row r="248" spans="1:40" x14ac:dyDescent="0.25">
      <c r="A248" s="4">
        <v>102049634300</v>
      </c>
      <c r="B248" s="4" t="str">
        <f t="shared" si="6"/>
        <v>1020496343000</v>
      </c>
      <c r="C248" s="4" t="str">
        <f t="shared" si="7"/>
        <v>102049634300OVR</v>
      </c>
      <c r="D248" t="s">
        <v>954</v>
      </c>
      <c r="E248">
        <v>20411454</v>
      </c>
      <c r="F248" t="s">
        <v>1663</v>
      </c>
      <c r="G248" t="s">
        <v>49</v>
      </c>
      <c r="H248" t="s">
        <v>415</v>
      </c>
      <c r="I248" s="1">
        <v>45597</v>
      </c>
      <c r="J248" s="1">
        <v>45931</v>
      </c>
      <c r="K248" s="2">
        <v>1</v>
      </c>
      <c r="L248" s="2">
        <v>1</v>
      </c>
      <c r="N248" s="3">
        <v>1</v>
      </c>
      <c r="O248" s="2">
        <v>2</v>
      </c>
      <c r="P248" t="s">
        <v>416</v>
      </c>
      <c r="Q248" t="s">
        <v>1639</v>
      </c>
    </row>
    <row r="249" spans="1:40" x14ac:dyDescent="0.25">
      <c r="A249" s="4">
        <v>102049702100</v>
      </c>
      <c r="B249" s="4" t="str">
        <f t="shared" si="6"/>
        <v>1020497021000</v>
      </c>
      <c r="C249" s="4" t="str">
        <f t="shared" si="7"/>
        <v>102049702100OVR</v>
      </c>
      <c r="D249" t="s">
        <v>958</v>
      </c>
      <c r="E249">
        <v>20411454</v>
      </c>
      <c r="F249" t="s">
        <v>1663</v>
      </c>
      <c r="G249" t="s">
        <v>49</v>
      </c>
      <c r="H249" t="s">
        <v>415</v>
      </c>
      <c r="I249" s="1">
        <v>45536</v>
      </c>
      <c r="J249" s="1">
        <v>45931</v>
      </c>
      <c r="K249" s="2">
        <v>1</v>
      </c>
      <c r="L249" s="2">
        <v>1</v>
      </c>
      <c r="N249" s="3">
        <v>1</v>
      </c>
      <c r="O249" s="2">
        <v>2</v>
      </c>
      <c r="P249" t="s">
        <v>416</v>
      </c>
      <c r="Q249" t="s">
        <v>1639</v>
      </c>
    </row>
    <row r="250" spans="1:40" x14ac:dyDescent="0.25">
      <c r="A250" s="4">
        <v>102049732200</v>
      </c>
      <c r="B250" s="4" t="str">
        <f t="shared" si="6"/>
        <v>1020497322000</v>
      </c>
      <c r="C250" s="4" t="str">
        <f t="shared" si="7"/>
        <v>102049732200OVR</v>
      </c>
      <c r="D250" t="s">
        <v>961</v>
      </c>
      <c r="E250">
        <v>20411454</v>
      </c>
      <c r="F250" t="s">
        <v>1663</v>
      </c>
      <c r="G250" t="s">
        <v>49</v>
      </c>
      <c r="H250" t="s">
        <v>415</v>
      </c>
      <c r="I250" s="1">
        <v>45597</v>
      </c>
      <c r="J250" s="1">
        <v>45931</v>
      </c>
      <c r="K250" s="2">
        <v>1</v>
      </c>
      <c r="L250" s="2">
        <v>1</v>
      </c>
      <c r="N250" s="3">
        <v>1</v>
      </c>
      <c r="O250" s="2">
        <v>2</v>
      </c>
      <c r="P250" t="s">
        <v>416</v>
      </c>
      <c r="Q250" t="s">
        <v>1639</v>
      </c>
    </row>
    <row r="251" spans="1:40" x14ac:dyDescent="0.25">
      <c r="A251" s="4">
        <v>102050057000</v>
      </c>
      <c r="B251" s="4" t="str">
        <f t="shared" si="6"/>
        <v>1020500570000</v>
      </c>
      <c r="C251" s="4" t="str">
        <f t="shared" si="7"/>
        <v>102050057000OVR</v>
      </c>
      <c r="D251" t="s">
        <v>963</v>
      </c>
      <c r="E251">
        <v>20411454</v>
      </c>
      <c r="F251" t="s">
        <v>1663</v>
      </c>
      <c r="G251" t="s">
        <v>49</v>
      </c>
      <c r="H251" t="s">
        <v>415</v>
      </c>
      <c r="I251" s="1">
        <v>45566</v>
      </c>
      <c r="J251" s="1">
        <v>45931</v>
      </c>
      <c r="K251" s="2">
        <v>1</v>
      </c>
      <c r="L251" s="2">
        <v>1</v>
      </c>
      <c r="N251" s="3">
        <v>1</v>
      </c>
      <c r="O251" s="2">
        <v>2</v>
      </c>
      <c r="P251" t="s">
        <v>416</v>
      </c>
      <c r="Q251" t="s">
        <v>1639</v>
      </c>
    </row>
    <row r="252" spans="1:40" x14ac:dyDescent="0.25">
      <c r="A252" s="4">
        <v>102050057700</v>
      </c>
      <c r="B252" s="4" t="str">
        <f t="shared" si="6"/>
        <v>1020500577000</v>
      </c>
      <c r="C252" s="4" t="str">
        <f t="shared" si="7"/>
        <v>102050057700OVR</v>
      </c>
      <c r="D252" t="s">
        <v>965</v>
      </c>
      <c r="E252">
        <v>20411454</v>
      </c>
      <c r="F252" t="s">
        <v>1663</v>
      </c>
      <c r="G252" t="s">
        <v>49</v>
      </c>
      <c r="H252" t="s">
        <v>415</v>
      </c>
      <c r="I252" s="1">
        <v>45566</v>
      </c>
      <c r="J252" s="1">
        <v>45931</v>
      </c>
      <c r="K252" s="2">
        <v>1</v>
      </c>
      <c r="L252" s="2">
        <v>1</v>
      </c>
      <c r="N252" s="3">
        <v>1</v>
      </c>
      <c r="O252" s="2">
        <v>2</v>
      </c>
      <c r="P252" t="s">
        <v>416</v>
      </c>
      <c r="Q252" t="s">
        <v>1639</v>
      </c>
    </row>
    <row r="253" spans="1:40" x14ac:dyDescent="0.25">
      <c r="A253" s="4">
        <v>102050179700</v>
      </c>
      <c r="B253" s="4" t="str">
        <f t="shared" si="6"/>
        <v>1020501797000</v>
      </c>
      <c r="C253" s="4" t="str">
        <f t="shared" si="7"/>
        <v>102050179700OVR</v>
      </c>
      <c r="D253" t="s">
        <v>969</v>
      </c>
      <c r="E253">
        <v>20411454</v>
      </c>
      <c r="F253" t="s">
        <v>1663</v>
      </c>
      <c r="G253" t="s">
        <v>49</v>
      </c>
      <c r="H253" t="s">
        <v>415</v>
      </c>
      <c r="I253" s="1">
        <v>45536</v>
      </c>
      <c r="J253" s="1">
        <v>45931</v>
      </c>
      <c r="K253" s="2">
        <v>1</v>
      </c>
      <c r="L253" s="2">
        <v>1</v>
      </c>
      <c r="N253" s="3">
        <v>1</v>
      </c>
      <c r="O253" s="2">
        <v>2</v>
      </c>
      <c r="P253" t="s">
        <v>416</v>
      </c>
      <c r="Q253" t="s">
        <v>1639</v>
      </c>
    </row>
    <row r="254" spans="1:40" x14ac:dyDescent="0.25">
      <c r="A254" s="4">
        <v>102050715300</v>
      </c>
      <c r="B254" s="4" t="str">
        <f t="shared" si="6"/>
        <v>1020507153000</v>
      </c>
      <c r="C254" s="4" t="str">
        <f t="shared" si="7"/>
        <v>102050715300OVR</v>
      </c>
      <c r="D254" t="s">
        <v>971</v>
      </c>
      <c r="E254">
        <v>20411454</v>
      </c>
      <c r="F254" t="s">
        <v>1663</v>
      </c>
      <c r="G254" t="s">
        <v>49</v>
      </c>
      <c r="H254" t="s">
        <v>415</v>
      </c>
      <c r="I254" s="1">
        <v>45566</v>
      </c>
      <c r="J254" s="1">
        <v>45931</v>
      </c>
      <c r="K254" s="2">
        <v>1</v>
      </c>
      <c r="L254" s="2">
        <v>1</v>
      </c>
      <c r="N254" s="3">
        <v>1</v>
      </c>
      <c r="O254" s="2">
        <v>2</v>
      </c>
      <c r="P254" t="s">
        <v>416</v>
      </c>
      <c r="Q254" t="s">
        <v>1639</v>
      </c>
    </row>
    <row r="255" spans="1:40" x14ac:dyDescent="0.25">
      <c r="A255" s="4">
        <v>102051406100</v>
      </c>
      <c r="B255" s="4" t="str">
        <f t="shared" si="6"/>
        <v>1020514061000</v>
      </c>
      <c r="C255" s="4" t="str">
        <f t="shared" si="7"/>
        <v>102051406100OVR</v>
      </c>
      <c r="D255" t="s">
        <v>975</v>
      </c>
      <c r="E255">
        <v>20411454</v>
      </c>
      <c r="F255" t="s">
        <v>1663</v>
      </c>
      <c r="G255" t="s">
        <v>49</v>
      </c>
      <c r="H255" t="s">
        <v>415</v>
      </c>
      <c r="I255" s="1">
        <v>45536</v>
      </c>
      <c r="J255" s="1">
        <v>45931</v>
      </c>
      <c r="K255" s="2">
        <v>1</v>
      </c>
      <c r="L255" s="2">
        <v>1</v>
      </c>
      <c r="N255" s="3">
        <v>1</v>
      </c>
      <c r="O255" s="2">
        <v>2</v>
      </c>
      <c r="P255" t="s">
        <v>416</v>
      </c>
      <c r="Q255" t="s">
        <v>1639</v>
      </c>
    </row>
    <row r="256" spans="1:40" x14ac:dyDescent="0.25">
      <c r="A256" s="4">
        <v>102051423100</v>
      </c>
      <c r="B256" s="4" t="str">
        <f t="shared" si="6"/>
        <v>1020514231000</v>
      </c>
      <c r="C256" s="4" t="str">
        <f t="shared" si="7"/>
        <v>102051423100OVR</v>
      </c>
      <c r="D256" t="s">
        <v>977</v>
      </c>
      <c r="E256">
        <v>20411454</v>
      </c>
      <c r="F256" t="s">
        <v>1663</v>
      </c>
      <c r="G256" t="s">
        <v>49</v>
      </c>
      <c r="H256" t="s">
        <v>415</v>
      </c>
      <c r="I256" s="1">
        <v>45536</v>
      </c>
      <c r="J256" s="1">
        <v>45931</v>
      </c>
      <c r="K256" s="2">
        <v>1</v>
      </c>
      <c r="L256" s="2">
        <v>1</v>
      </c>
      <c r="N256" s="3">
        <v>1</v>
      </c>
      <c r="O256" s="2">
        <v>2</v>
      </c>
      <c r="P256" t="s">
        <v>416</v>
      </c>
      <c r="Q256" t="s">
        <v>1639</v>
      </c>
    </row>
    <row r="257" spans="1:17" x14ac:dyDescent="0.25">
      <c r="A257" s="4">
        <v>102051462300</v>
      </c>
      <c r="B257" s="4" t="str">
        <f t="shared" si="6"/>
        <v>1020514623000</v>
      </c>
      <c r="C257" s="4" t="str">
        <f t="shared" si="7"/>
        <v>102051462300OVR</v>
      </c>
      <c r="D257" t="s">
        <v>982</v>
      </c>
      <c r="E257">
        <v>20411454</v>
      </c>
      <c r="F257" t="s">
        <v>1663</v>
      </c>
      <c r="G257" t="s">
        <v>49</v>
      </c>
      <c r="H257" t="s">
        <v>415</v>
      </c>
      <c r="I257" s="1">
        <v>45536</v>
      </c>
      <c r="J257" s="1">
        <v>45931</v>
      </c>
      <c r="K257" s="2">
        <v>1</v>
      </c>
      <c r="L257" s="2">
        <v>1</v>
      </c>
      <c r="N257" s="3">
        <v>1</v>
      </c>
      <c r="O257" s="2">
        <v>2</v>
      </c>
      <c r="P257" t="s">
        <v>416</v>
      </c>
      <c r="Q257" t="s">
        <v>1639</v>
      </c>
    </row>
    <row r="258" spans="1:17" x14ac:dyDescent="0.25">
      <c r="A258" s="4">
        <v>102051937300</v>
      </c>
      <c r="B258" s="4" t="str">
        <f t="shared" ref="B258:B315" si="8">CONCATENATE(A258,0)</f>
        <v>1020519373000</v>
      </c>
      <c r="C258" s="4" t="str">
        <f t="shared" ref="C258:C321" si="9">CONCATENATE(A258, "OVR")</f>
        <v>102051937300OVR</v>
      </c>
      <c r="D258" t="s">
        <v>984</v>
      </c>
      <c r="E258">
        <v>20411454</v>
      </c>
      <c r="F258" t="s">
        <v>1663</v>
      </c>
      <c r="G258" t="s">
        <v>49</v>
      </c>
      <c r="H258" t="s">
        <v>415</v>
      </c>
      <c r="I258" s="1">
        <v>45536</v>
      </c>
      <c r="J258" s="1">
        <v>45931</v>
      </c>
      <c r="K258" s="2">
        <v>1</v>
      </c>
      <c r="L258" s="2">
        <v>1</v>
      </c>
      <c r="N258" s="3">
        <v>1</v>
      </c>
      <c r="O258" s="2">
        <v>2</v>
      </c>
      <c r="P258" t="s">
        <v>416</v>
      </c>
      <c r="Q258" t="s">
        <v>1639</v>
      </c>
    </row>
    <row r="259" spans="1:17" x14ac:dyDescent="0.25">
      <c r="A259" s="4">
        <v>102052502800</v>
      </c>
      <c r="B259" s="4" t="str">
        <f t="shared" si="8"/>
        <v>1020525028000</v>
      </c>
      <c r="C259" s="4" t="str">
        <f t="shared" si="9"/>
        <v>102052502800OVR</v>
      </c>
      <c r="D259" t="s">
        <v>986</v>
      </c>
      <c r="E259">
        <v>20411454</v>
      </c>
      <c r="F259" t="s">
        <v>1663</v>
      </c>
      <c r="G259" t="s">
        <v>49</v>
      </c>
      <c r="H259" t="s">
        <v>415</v>
      </c>
      <c r="I259" s="1">
        <v>45536</v>
      </c>
      <c r="J259" s="1">
        <v>45931</v>
      </c>
      <c r="K259" s="2">
        <v>1</v>
      </c>
      <c r="L259" s="2">
        <v>1</v>
      </c>
      <c r="N259" s="3">
        <v>1</v>
      </c>
      <c r="O259" s="2">
        <v>2</v>
      </c>
      <c r="P259" t="s">
        <v>416</v>
      </c>
      <c r="Q259" t="s">
        <v>1639</v>
      </c>
    </row>
    <row r="260" spans="1:17" x14ac:dyDescent="0.25">
      <c r="A260" s="4">
        <v>102053217100</v>
      </c>
      <c r="B260" s="4" t="str">
        <f t="shared" si="8"/>
        <v>1020532171000</v>
      </c>
      <c r="C260" s="4" t="str">
        <f t="shared" si="9"/>
        <v>102053217100OVR</v>
      </c>
      <c r="D260" t="s">
        <v>990</v>
      </c>
      <c r="E260">
        <v>20411454</v>
      </c>
      <c r="F260" t="s">
        <v>1663</v>
      </c>
      <c r="G260" t="s">
        <v>49</v>
      </c>
      <c r="H260" t="s">
        <v>415</v>
      </c>
      <c r="I260" s="1">
        <v>45536</v>
      </c>
      <c r="J260" s="1">
        <v>45931</v>
      </c>
      <c r="K260" s="2">
        <v>1</v>
      </c>
      <c r="L260" s="2">
        <v>1</v>
      </c>
      <c r="N260" s="3">
        <v>1</v>
      </c>
      <c r="O260" s="2">
        <v>2</v>
      </c>
      <c r="P260" t="s">
        <v>416</v>
      </c>
      <c r="Q260" t="s">
        <v>1639</v>
      </c>
    </row>
    <row r="261" spans="1:17" x14ac:dyDescent="0.25">
      <c r="A261" s="4">
        <v>102053241100</v>
      </c>
      <c r="B261" s="4" t="str">
        <f t="shared" si="8"/>
        <v>1020532411000</v>
      </c>
      <c r="C261" s="4" t="str">
        <f t="shared" si="9"/>
        <v>102053241100OVR</v>
      </c>
      <c r="D261" t="s">
        <v>992</v>
      </c>
      <c r="E261">
        <v>20411454</v>
      </c>
      <c r="F261" t="s">
        <v>1663</v>
      </c>
      <c r="G261" t="s">
        <v>49</v>
      </c>
      <c r="H261" t="s">
        <v>415</v>
      </c>
      <c r="I261" s="1">
        <v>45536</v>
      </c>
      <c r="J261" s="1">
        <v>45931</v>
      </c>
      <c r="K261" s="2">
        <v>1</v>
      </c>
      <c r="L261" s="2">
        <v>1</v>
      </c>
      <c r="N261" s="3">
        <v>1</v>
      </c>
      <c r="O261" s="2">
        <v>2</v>
      </c>
      <c r="P261" t="s">
        <v>416</v>
      </c>
      <c r="Q261" t="s">
        <v>1639</v>
      </c>
    </row>
    <row r="262" spans="1:17" x14ac:dyDescent="0.25">
      <c r="A262" s="4">
        <v>102053814300</v>
      </c>
      <c r="B262" s="4" t="str">
        <f t="shared" si="8"/>
        <v>1020538143000</v>
      </c>
      <c r="C262" s="4" t="str">
        <f t="shared" si="9"/>
        <v>102053814300OVR</v>
      </c>
      <c r="D262" t="s">
        <v>994</v>
      </c>
      <c r="E262">
        <v>20411454</v>
      </c>
      <c r="F262" t="s">
        <v>1663</v>
      </c>
      <c r="G262" t="s">
        <v>49</v>
      </c>
      <c r="H262" t="s">
        <v>415</v>
      </c>
      <c r="I262" s="1">
        <v>45536</v>
      </c>
      <c r="J262" s="1">
        <v>45931</v>
      </c>
      <c r="K262" s="2">
        <v>1</v>
      </c>
      <c r="L262" s="2">
        <v>1</v>
      </c>
      <c r="N262" s="3">
        <v>1</v>
      </c>
      <c r="O262" s="2">
        <v>2</v>
      </c>
      <c r="P262" t="s">
        <v>416</v>
      </c>
      <c r="Q262" t="s">
        <v>1639</v>
      </c>
    </row>
    <row r="263" spans="1:17" x14ac:dyDescent="0.25">
      <c r="A263" s="4">
        <v>102054994500</v>
      </c>
      <c r="B263" s="4" t="str">
        <f t="shared" si="8"/>
        <v>1020549945000</v>
      </c>
      <c r="C263" s="4" t="str">
        <f t="shared" si="9"/>
        <v>102054994500OVR</v>
      </c>
      <c r="D263" t="s">
        <v>996</v>
      </c>
      <c r="E263">
        <v>20411454</v>
      </c>
      <c r="F263" t="s">
        <v>1663</v>
      </c>
      <c r="G263" t="s">
        <v>49</v>
      </c>
      <c r="H263" t="s">
        <v>415</v>
      </c>
      <c r="I263" s="1">
        <v>45566</v>
      </c>
      <c r="J263" s="1">
        <v>45931</v>
      </c>
      <c r="K263" s="2">
        <v>1</v>
      </c>
      <c r="L263" s="2">
        <v>1</v>
      </c>
      <c r="N263" s="3">
        <v>1</v>
      </c>
      <c r="O263" s="2">
        <v>2</v>
      </c>
      <c r="P263" t="s">
        <v>416</v>
      </c>
      <c r="Q263" t="s">
        <v>1639</v>
      </c>
    </row>
    <row r="264" spans="1:17" x14ac:dyDescent="0.25">
      <c r="A264" s="4">
        <v>102054999900</v>
      </c>
      <c r="B264" s="4" t="str">
        <f t="shared" si="8"/>
        <v>1020549999000</v>
      </c>
      <c r="C264" s="4" t="str">
        <f t="shared" si="9"/>
        <v>102054999900OVR</v>
      </c>
      <c r="D264" t="s">
        <v>998</v>
      </c>
      <c r="E264">
        <v>20411454</v>
      </c>
      <c r="F264" t="s">
        <v>1663</v>
      </c>
      <c r="G264" t="s">
        <v>49</v>
      </c>
      <c r="H264" t="s">
        <v>415</v>
      </c>
      <c r="I264" s="1">
        <v>45566</v>
      </c>
      <c r="J264" s="1">
        <v>45931</v>
      </c>
      <c r="K264" s="2">
        <v>1</v>
      </c>
      <c r="L264" s="2">
        <v>1</v>
      </c>
      <c r="N264" s="3">
        <v>1</v>
      </c>
      <c r="O264" s="2">
        <v>2</v>
      </c>
      <c r="P264" t="s">
        <v>416</v>
      </c>
      <c r="Q264" t="s">
        <v>1639</v>
      </c>
    </row>
    <row r="265" spans="1:17" x14ac:dyDescent="0.25">
      <c r="A265" s="4">
        <v>102055396200</v>
      </c>
      <c r="B265" s="4" t="str">
        <f t="shared" si="8"/>
        <v>1020553962000</v>
      </c>
      <c r="C265" s="4" t="str">
        <f t="shared" si="9"/>
        <v>102055396200OVR</v>
      </c>
      <c r="D265" t="s">
        <v>1000</v>
      </c>
      <c r="E265">
        <v>20411454</v>
      </c>
      <c r="F265" t="s">
        <v>1663</v>
      </c>
      <c r="G265" t="s">
        <v>49</v>
      </c>
      <c r="H265" t="s">
        <v>415</v>
      </c>
      <c r="I265" s="1">
        <v>45566</v>
      </c>
      <c r="J265" s="1">
        <v>45931</v>
      </c>
      <c r="K265" s="2">
        <v>1</v>
      </c>
      <c r="L265" s="2">
        <v>1</v>
      </c>
      <c r="N265" s="3">
        <v>1</v>
      </c>
      <c r="O265" s="2">
        <v>2</v>
      </c>
      <c r="P265" t="s">
        <v>416</v>
      </c>
      <c r="Q265" t="s">
        <v>1639</v>
      </c>
    </row>
    <row r="266" spans="1:17" x14ac:dyDescent="0.25">
      <c r="A266" s="4">
        <v>102055440700</v>
      </c>
      <c r="B266" s="4" t="str">
        <f t="shared" si="8"/>
        <v>1020554407000</v>
      </c>
      <c r="C266" s="4" t="str">
        <f t="shared" si="9"/>
        <v>102055440700OVR</v>
      </c>
      <c r="D266" t="s">
        <v>1002</v>
      </c>
      <c r="E266">
        <v>20411454</v>
      </c>
      <c r="F266" t="s">
        <v>1663</v>
      </c>
      <c r="G266" t="s">
        <v>49</v>
      </c>
      <c r="H266" t="s">
        <v>415</v>
      </c>
      <c r="I266" s="1">
        <v>45597</v>
      </c>
      <c r="J266" s="1">
        <v>45931</v>
      </c>
      <c r="K266" s="2">
        <v>1</v>
      </c>
      <c r="L266" s="2">
        <v>1</v>
      </c>
      <c r="N266" s="3">
        <v>1</v>
      </c>
      <c r="O266" s="2">
        <v>2</v>
      </c>
      <c r="P266" t="s">
        <v>416</v>
      </c>
      <c r="Q266" t="s">
        <v>1639</v>
      </c>
    </row>
    <row r="267" spans="1:17" x14ac:dyDescent="0.25">
      <c r="A267" s="4">
        <v>102056819400</v>
      </c>
      <c r="B267" s="4" t="str">
        <f t="shared" si="8"/>
        <v>1020568194000</v>
      </c>
      <c r="C267" s="4" t="str">
        <f t="shared" si="9"/>
        <v>102056819400OVR</v>
      </c>
      <c r="D267" t="s">
        <v>1004</v>
      </c>
      <c r="E267">
        <v>20411454</v>
      </c>
      <c r="F267" t="s">
        <v>1663</v>
      </c>
      <c r="G267" t="s">
        <v>49</v>
      </c>
      <c r="H267" t="s">
        <v>415</v>
      </c>
      <c r="I267" s="1">
        <v>45566</v>
      </c>
      <c r="J267" s="1">
        <v>45931</v>
      </c>
      <c r="K267" s="2">
        <v>1</v>
      </c>
      <c r="L267" s="2">
        <v>1</v>
      </c>
      <c r="N267" s="3">
        <v>1</v>
      </c>
      <c r="O267" s="2">
        <v>2</v>
      </c>
      <c r="P267" t="s">
        <v>416</v>
      </c>
      <c r="Q267" t="s">
        <v>1639</v>
      </c>
    </row>
    <row r="268" spans="1:17" x14ac:dyDescent="0.25">
      <c r="A268" s="4">
        <v>102056835200</v>
      </c>
      <c r="B268" s="4" t="str">
        <f t="shared" si="8"/>
        <v>1020568352000</v>
      </c>
      <c r="C268" s="4" t="str">
        <f t="shared" si="9"/>
        <v>102056835200OVR</v>
      </c>
      <c r="D268" t="s">
        <v>1006</v>
      </c>
      <c r="E268">
        <v>20411454</v>
      </c>
      <c r="F268" t="s">
        <v>1663</v>
      </c>
      <c r="G268" t="s">
        <v>49</v>
      </c>
      <c r="H268" t="s">
        <v>415</v>
      </c>
      <c r="I268" s="1">
        <v>45566</v>
      </c>
      <c r="J268" s="1">
        <v>45931</v>
      </c>
      <c r="K268" s="2">
        <v>1</v>
      </c>
      <c r="L268" s="2">
        <v>1</v>
      </c>
      <c r="N268" s="3">
        <v>1</v>
      </c>
      <c r="O268" s="2">
        <v>2</v>
      </c>
      <c r="P268" t="s">
        <v>416</v>
      </c>
      <c r="Q268" t="s">
        <v>1639</v>
      </c>
    </row>
    <row r="269" spans="1:17" x14ac:dyDescent="0.25">
      <c r="A269" s="4">
        <v>102058131300</v>
      </c>
      <c r="B269" s="4" t="str">
        <f t="shared" si="8"/>
        <v>1020581313000</v>
      </c>
      <c r="C269" s="4" t="str">
        <f t="shared" si="9"/>
        <v>102058131300OVR</v>
      </c>
      <c r="D269" t="s">
        <v>1008</v>
      </c>
      <c r="E269">
        <v>20411454</v>
      </c>
      <c r="F269" t="s">
        <v>1663</v>
      </c>
      <c r="G269" t="s">
        <v>49</v>
      </c>
      <c r="H269" t="s">
        <v>415</v>
      </c>
      <c r="I269" s="1">
        <v>45566</v>
      </c>
      <c r="J269" s="1">
        <v>45931</v>
      </c>
      <c r="K269" s="2">
        <v>-1</v>
      </c>
      <c r="L269" s="2">
        <v>-1</v>
      </c>
      <c r="N269" s="3">
        <v>1</v>
      </c>
      <c r="O269" s="2">
        <v>-2</v>
      </c>
      <c r="P269" t="s">
        <v>416</v>
      </c>
      <c r="Q269" t="s">
        <v>1639</v>
      </c>
    </row>
    <row r="270" spans="1:17" x14ac:dyDescent="0.25">
      <c r="A270" s="4">
        <v>102058154400</v>
      </c>
      <c r="B270" s="4" t="str">
        <f t="shared" si="8"/>
        <v>1020581544000</v>
      </c>
      <c r="C270" s="4" t="str">
        <f t="shared" si="9"/>
        <v>102058154400OVR</v>
      </c>
      <c r="D270" t="s">
        <v>1010</v>
      </c>
      <c r="E270">
        <v>20411454</v>
      </c>
      <c r="F270" t="s">
        <v>1663</v>
      </c>
      <c r="G270" t="s">
        <v>49</v>
      </c>
      <c r="H270" t="s">
        <v>415</v>
      </c>
      <c r="I270" s="1">
        <v>45597</v>
      </c>
      <c r="J270" s="1">
        <v>45931</v>
      </c>
      <c r="K270" s="2">
        <v>1</v>
      </c>
      <c r="L270" s="2">
        <v>1</v>
      </c>
      <c r="N270" s="3">
        <v>1</v>
      </c>
      <c r="O270" s="2">
        <v>2</v>
      </c>
      <c r="P270" t="s">
        <v>416</v>
      </c>
      <c r="Q270" t="s">
        <v>1639</v>
      </c>
    </row>
    <row r="271" spans="1:17" x14ac:dyDescent="0.25">
      <c r="A271" s="4">
        <v>102058162400</v>
      </c>
      <c r="B271" s="4" t="str">
        <f t="shared" si="8"/>
        <v>1020581624000</v>
      </c>
      <c r="C271" s="4" t="str">
        <f t="shared" si="9"/>
        <v>102058162400OVR</v>
      </c>
      <c r="D271" t="s">
        <v>1012</v>
      </c>
      <c r="E271">
        <v>20411454</v>
      </c>
      <c r="F271" t="s">
        <v>1663</v>
      </c>
      <c r="G271" t="s">
        <v>49</v>
      </c>
      <c r="H271" t="s">
        <v>415</v>
      </c>
      <c r="I271" s="1">
        <v>45566</v>
      </c>
      <c r="J271" s="1">
        <v>45931</v>
      </c>
      <c r="K271" s="2">
        <v>1</v>
      </c>
      <c r="L271" s="2">
        <v>1</v>
      </c>
      <c r="N271" s="3">
        <v>1</v>
      </c>
      <c r="O271" s="2">
        <v>2</v>
      </c>
      <c r="P271" t="s">
        <v>416</v>
      </c>
      <c r="Q271" t="s">
        <v>1639</v>
      </c>
    </row>
    <row r="272" spans="1:17" x14ac:dyDescent="0.25">
      <c r="A272" s="4">
        <v>102058656500</v>
      </c>
      <c r="B272" s="4" t="str">
        <f t="shared" si="8"/>
        <v>1020586565000</v>
      </c>
      <c r="C272" s="4" t="str">
        <f t="shared" si="9"/>
        <v>102058656500OVR</v>
      </c>
      <c r="D272" t="s">
        <v>1014</v>
      </c>
      <c r="E272">
        <v>20411454</v>
      </c>
      <c r="F272" t="s">
        <v>1663</v>
      </c>
      <c r="G272" t="s">
        <v>49</v>
      </c>
      <c r="H272" t="s">
        <v>415</v>
      </c>
      <c r="I272" s="1">
        <v>45597</v>
      </c>
      <c r="J272" s="1">
        <v>45931</v>
      </c>
      <c r="K272" s="2">
        <v>1</v>
      </c>
      <c r="L272" s="2">
        <v>1</v>
      </c>
      <c r="N272" s="3">
        <v>1</v>
      </c>
      <c r="O272" s="2">
        <v>2</v>
      </c>
      <c r="P272" t="s">
        <v>416</v>
      </c>
      <c r="Q272" t="s">
        <v>1639</v>
      </c>
    </row>
    <row r="273" spans="1:17" x14ac:dyDescent="0.25">
      <c r="A273" s="4">
        <v>102059200300</v>
      </c>
      <c r="B273" s="4" t="str">
        <f t="shared" si="8"/>
        <v>1020592003000</v>
      </c>
      <c r="C273" s="4" t="str">
        <f t="shared" si="9"/>
        <v>102059200300OVR</v>
      </c>
      <c r="D273" t="s">
        <v>1016</v>
      </c>
      <c r="E273">
        <v>20411454</v>
      </c>
      <c r="F273" t="s">
        <v>1663</v>
      </c>
      <c r="G273" t="s">
        <v>49</v>
      </c>
      <c r="H273" t="s">
        <v>415</v>
      </c>
      <c r="I273" s="1">
        <v>45566</v>
      </c>
      <c r="J273" s="1">
        <v>45931</v>
      </c>
      <c r="K273" s="2">
        <v>1</v>
      </c>
      <c r="L273" s="2">
        <v>1</v>
      </c>
      <c r="N273" s="3">
        <v>1</v>
      </c>
      <c r="O273" s="2">
        <v>2</v>
      </c>
      <c r="P273" t="s">
        <v>416</v>
      </c>
      <c r="Q273" t="s">
        <v>1639</v>
      </c>
    </row>
    <row r="274" spans="1:17" x14ac:dyDescent="0.25">
      <c r="A274" s="4">
        <v>102059218000</v>
      </c>
      <c r="B274" s="4" t="str">
        <f t="shared" si="8"/>
        <v>1020592180000</v>
      </c>
      <c r="C274" s="4" t="str">
        <f t="shared" si="9"/>
        <v>102059218000OVR</v>
      </c>
      <c r="D274" t="s">
        <v>1018</v>
      </c>
      <c r="E274">
        <v>20411454</v>
      </c>
      <c r="F274" t="s">
        <v>1663</v>
      </c>
      <c r="G274" t="s">
        <v>49</v>
      </c>
      <c r="H274" t="s">
        <v>415</v>
      </c>
      <c r="I274" s="1">
        <v>45566</v>
      </c>
      <c r="J274" s="1">
        <v>45931</v>
      </c>
      <c r="K274" s="2">
        <v>1</v>
      </c>
      <c r="L274" s="2">
        <v>1</v>
      </c>
      <c r="N274" s="3">
        <v>1</v>
      </c>
      <c r="O274" s="2">
        <v>2</v>
      </c>
      <c r="P274" t="s">
        <v>416</v>
      </c>
      <c r="Q274" t="s">
        <v>1639</v>
      </c>
    </row>
    <row r="275" spans="1:17" x14ac:dyDescent="0.25">
      <c r="A275" s="4">
        <v>102059559800</v>
      </c>
      <c r="B275" s="4" t="str">
        <f t="shared" si="8"/>
        <v>1020595598000</v>
      </c>
      <c r="C275" s="4" t="str">
        <f t="shared" si="9"/>
        <v>102059559800OVR</v>
      </c>
      <c r="D275" t="s">
        <v>1020</v>
      </c>
      <c r="E275">
        <v>20411454</v>
      </c>
      <c r="F275" t="s">
        <v>1663</v>
      </c>
      <c r="G275" t="s">
        <v>49</v>
      </c>
      <c r="H275" t="s">
        <v>415</v>
      </c>
      <c r="I275" s="1">
        <v>45566</v>
      </c>
      <c r="J275" s="1">
        <v>45931</v>
      </c>
      <c r="K275" s="2">
        <v>1</v>
      </c>
      <c r="L275" s="2">
        <v>1</v>
      </c>
      <c r="N275" s="3">
        <v>1</v>
      </c>
      <c r="O275" s="2">
        <v>2</v>
      </c>
      <c r="P275" t="s">
        <v>416</v>
      </c>
      <c r="Q275" t="s">
        <v>1639</v>
      </c>
    </row>
    <row r="276" spans="1:17" x14ac:dyDescent="0.25">
      <c r="A276" s="4">
        <v>102059560100</v>
      </c>
      <c r="B276" s="4" t="str">
        <f t="shared" si="8"/>
        <v>1020595601000</v>
      </c>
      <c r="C276" s="4" t="str">
        <f t="shared" si="9"/>
        <v>102059560100OVR</v>
      </c>
      <c r="D276" t="s">
        <v>1022</v>
      </c>
      <c r="E276">
        <v>20411454</v>
      </c>
      <c r="F276" t="s">
        <v>1663</v>
      </c>
      <c r="G276" t="s">
        <v>49</v>
      </c>
      <c r="H276" t="s">
        <v>415</v>
      </c>
      <c r="I276" s="1">
        <v>45566</v>
      </c>
      <c r="J276" s="1">
        <v>45931</v>
      </c>
      <c r="K276" s="2">
        <v>1</v>
      </c>
      <c r="L276" s="2">
        <v>1</v>
      </c>
      <c r="N276" s="3">
        <v>1</v>
      </c>
      <c r="O276" s="2">
        <v>2</v>
      </c>
      <c r="P276" t="s">
        <v>416</v>
      </c>
      <c r="Q276" t="s">
        <v>1639</v>
      </c>
    </row>
    <row r="277" spans="1:17" x14ac:dyDescent="0.25">
      <c r="A277" s="4">
        <v>102061419300</v>
      </c>
      <c r="B277" s="4" t="str">
        <f t="shared" si="8"/>
        <v>1020614193000</v>
      </c>
      <c r="C277" s="4" t="str">
        <f t="shared" si="9"/>
        <v>102061419300OVR</v>
      </c>
      <c r="D277" t="s">
        <v>1029</v>
      </c>
      <c r="E277">
        <v>20411454</v>
      </c>
      <c r="F277" t="s">
        <v>1663</v>
      </c>
      <c r="G277" t="s">
        <v>49</v>
      </c>
      <c r="H277" t="s">
        <v>415</v>
      </c>
      <c r="I277" s="1">
        <v>45566</v>
      </c>
      <c r="J277" s="1">
        <v>45931</v>
      </c>
      <c r="K277" s="2">
        <v>1</v>
      </c>
      <c r="L277" s="2">
        <v>1</v>
      </c>
      <c r="N277" s="3">
        <v>1</v>
      </c>
      <c r="O277" s="2">
        <v>2</v>
      </c>
      <c r="P277" t="s">
        <v>416</v>
      </c>
      <c r="Q277" t="s">
        <v>1639</v>
      </c>
    </row>
    <row r="278" spans="1:17" x14ac:dyDescent="0.25">
      <c r="A278" s="4">
        <v>102061556500</v>
      </c>
      <c r="B278" s="4" t="str">
        <f t="shared" si="8"/>
        <v>1020615565000</v>
      </c>
      <c r="C278" s="4" t="str">
        <f t="shared" si="9"/>
        <v>102061556500OVR</v>
      </c>
      <c r="D278" t="s">
        <v>1031</v>
      </c>
      <c r="E278">
        <v>20411454</v>
      </c>
      <c r="F278" t="s">
        <v>1663</v>
      </c>
      <c r="G278" t="s">
        <v>49</v>
      </c>
      <c r="H278" t="s">
        <v>415</v>
      </c>
      <c r="I278" s="1">
        <v>45566</v>
      </c>
      <c r="J278" s="1">
        <v>45931</v>
      </c>
      <c r="K278" s="2">
        <v>1</v>
      </c>
      <c r="L278" s="2">
        <v>1</v>
      </c>
      <c r="N278" s="3">
        <v>1</v>
      </c>
      <c r="O278" s="2">
        <v>2</v>
      </c>
      <c r="P278" t="s">
        <v>416</v>
      </c>
      <c r="Q278" t="s">
        <v>1639</v>
      </c>
    </row>
    <row r="279" spans="1:17" x14ac:dyDescent="0.25">
      <c r="A279" s="4">
        <v>102061588300</v>
      </c>
      <c r="B279" s="4" t="str">
        <f t="shared" si="8"/>
        <v>1020615883000</v>
      </c>
      <c r="C279" s="4" t="str">
        <f t="shared" si="9"/>
        <v>102061588300OVR</v>
      </c>
      <c r="D279" t="s">
        <v>1035</v>
      </c>
      <c r="E279">
        <v>20411454</v>
      </c>
      <c r="F279" t="s">
        <v>1663</v>
      </c>
      <c r="G279" t="s">
        <v>49</v>
      </c>
      <c r="H279" t="s">
        <v>415</v>
      </c>
      <c r="I279" s="1">
        <v>45566</v>
      </c>
      <c r="J279" s="1">
        <v>45931</v>
      </c>
      <c r="K279" s="2">
        <v>1</v>
      </c>
      <c r="L279" s="2">
        <v>1</v>
      </c>
      <c r="N279" s="3">
        <v>1</v>
      </c>
      <c r="O279" s="2">
        <v>2</v>
      </c>
      <c r="P279" t="s">
        <v>416</v>
      </c>
      <c r="Q279" t="s">
        <v>1639</v>
      </c>
    </row>
    <row r="280" spans="1:17" x14ac:dyDescent="0.25">
      <c r="A280" s="4">
        <v>102061850500</v>
      </c>
      <c r="B280" s="4" t="str">
        <f t="shared" si="8"/>
        <v>1020618505000</v>
      </c>
      <c r="C280" s="4" t="str">
        <f t="shared" si="9"/>
        <v>102061850500OVR</v>
      </c>
      <c r="D280" t="s">
        <v>1039</v>
      </c>
      <c r="E280">
        <v>20411454</v>
      </c>
      <c r="F280" t="s">
        <v>1663</v>
      </c>
      <c r="G280" t="s">
        <v>49</v>
      </c>
      <c r="H280" t="s">
        <v>415</v>
      </c>
      <c r="I280" s="1">
        <v>45566</v>
      </c>
      <c r="J280" s="1">
        <v>45931</v>
      </c>
      <c r="K280" s="2">
        <v>1</v>
      </c>
      <c r="L280" s="2">
        <v>1</v>
      </c>
      <c r="N280" s="3">
        <v>1</v>
      </c>
      <c r="O280" s="2">
        <v>2</v>
      </c>
      <c r="P280" t="s">
        <v>416</v>
      </c>
      <c r="Q280" t="s">
        <v>1639</v>
      </c>
    </row>
    <row r="281" spans="1:17" x14ac:dyDescent="0.25">
      <c r="A281" s="4">
        <v>102062449500</v>
      </c>
      <c r="B281" s="4" t="str">
        <f t="shared" si="8"/>
        <v>1020624495000</v>
      </c>
      <c r="C281" s="4" t="str">
        <f t="shared" si="9"/>
        <v>102062449500OVR</v>
      </c>
      <c r="D281" t="s">
        <v>1041</v>
      </c>
      <c r="E281">
        <v>20411454</v>
      </c>
      <c r="F281" t="s">
        <v>1663</v>
      </c>
      <c r="G281" t="s">
        <v>49</v>
      </c>
      <c r="H281" t="s">
        <v>415</v>
      </c>
      <c r="I281" s="1">
        <v>45627</v>
      </c>
      <c r="J281" s="1">
        <v>45931</v>
      </c>
      <c r="K281" s="2">
        <v>1</v>
      </c>
      <c r="L281" s="2">
        <v>1</v>
      </c>
      <c r="N281" s="3">
        <v>1</v>
      </c>
      <c r="O281" s="2">
        <v>2</v>
      </c>
      <c r="P281" t="s">
        <v>416</v>
      </c>
      <c r="Q281" t="s">
        <v>1639</v>
      </c>
    </row>
    <row r="282" spans="1:17" x14ac:dyDescent="0.25">
      <c r="A282" s="4">
        <v>102063468900</v>
      </c>
      <c r="B282" s="4" t="str">
        <f t="shared" si="8"/>
        <v>1020634689000</v>
      </c>
      <c r="C282" s="4" t="str">
        <f t="shared" si="9"/>
        <v>102063468900OVR</v>
      </c>
      <c r="D282" t="s">
        <v>1043</v>
      </c>
      <c r="E282">
        <v>20411454</v>
      </c>
      <c r="F282" t="s">
        <v>1663</v>
      </c>
      <c r="G282" t="s">
        <v>49</v>
      </c>
      <c r="H282" t="s">
        <v>415</v>
      </c>
      <c r="I282" s="1">
        <v>45566</v>
      </c>
      <c r="J282" s="1">
        <v>45931</v>
      </c>
      <c r="K282" s="2">
        <v>1</v>
      </c>
      <c r="L282" s="2">
        <v>1</v>
      </c>
      <c r="N282" s="3">
        <v>1</v>
      </c>
      <c r="O282" s="2">
        <v>2</v>
      </c>
      <c r="P282" t="s">
        <v>416</v>
      </c>
      <c r="Q282" t="s">
        <v>1639</v>
      </c>
    </row>
    <row r="283" spans="1:17" x14ac:dyDescent="0.25">
      <c r="A283" s="4">
        <v>102064231900</v>
      </c>
      <c r="B283" s="4" t="str">
        <f t="shared" si="8"/>
        <v>1020642319000</v>
      </c>
      <c r="C283" s="4" t="str">
        <f t="shared" si="9"/>
        <v>102064231900OVR</v>
      </c>
      <c r="D283" t="s">
        <v>1051</v>
      </c>
      <c r="E283">
        <v>20411454</v>
      </c>
      <c r="F283" t="s">
        <v>1663</v>
      </c>
      <c r="G283" t="s">
        <v>49</v>
      </c>
      <c r="H283" t="s">
        <v>415</v>
      </c>
      <c r="I283" s="1">
        <v>45566</v>
      </c>
      <c r="J283" s="1">
        <v>45931</v>
      </c>
      <c r="K283" s="2">
        <v>1</v>
      </c>
      <c r="L283" s="2">
        <v>1</v>
      </c>
      <c r="N283" s="3">
        <v>1</v>
      </c>
      <c r="O283" s="2">
        <v>2</v>
      </c>
      <c r="P283" t="s">
        <v>416</v>
      </c>
      <c r="Q283" t="s">
        <v>1639</v>
      </c>
    </row>
    <row r="284" spans="1:17" x14ac:dyDescent="0.25">
      <c r="A284" s="4">
        <v>102064758600</v>
      </c>
      <c r="B284" s="4" t="str">
        <f t="shared" si="8"/>
        <v>1020647586000</v>
      </c>
      <c r="C284" s="4" t="str">
        <f t="shared" si="9"/>
        <v>102064758600OVR</v>
      </c>
      <c r="D284" t="s">
        <v>1053</v>
      </c>
      <c r="E284">
        <v>20411454</v>
      </c>
      <c r="F284" t="s">
        <v>1663</v>
      </c>
      <c r="G284" t="s">
        <v>49</v>
      </c>
      <c r="H284" t="s">
        <v>415</v>
      </c>
      <c r="I284" s="1">
        <v>45566</v>
      </c>
      <c r="J284" s="1">
        <v>45931</v>
      </c>
      <c r="K284" s="2">
        <v>1</v>
      </c>
      <c r="L284" s="2">
        <v>1</v>
      </c>
      <c r="N284" s="3">
        <v>1</v>
      </c>
      <c r="O284" s="2">
        <v>2</v>
      </c>
      <c r="P284" t="s">
        <v>416</v>
      </c>
      <c r="Q284" t="s">
        <v>1639</v>
      </c>
    </row>
    <row r="285" spans="1:17" x14ac:dyDescent="0.25">
      <c r="A285" s="4">
        <v>102064852300</v>
      </c>
      <c r="B285" s="4" t="str">
        <f t="shared" si="8"/>
        <v>1020648523000</v>
      </c>
      <c r="C285" s="4" t="str">
        <f t="shared" si="9"/>
        <v>102064852300OVR</v>
      </c>
      <c r="D285" t="s">
        <v>1057</v>
      </c>
      <c r="E285">
        <v>20411454</v>
      </c>
      <c r="F285" t="s">
        <v>1663</v>
      </c>
      <c r="G285" t="s">
        <v>49</v>
      </c>
      <c r="H285" t="s">
        <v>415</v>
      </c>
      <c r="I285" s="1">
        <v>45566</v>
      </c>
      <c r="J285" s="1">
        <v>45931</v>
      </c>
      <c r="K285" s="2">
        <v>1</v>
      </c>
      <c r="L285" s="2">
        <v>1</v>
      </c>
      <c r="N285" s="3">
        <v>1</v>
      </c>
      <c r="O285" s="2">
        <v>2</v>
      </c>
      <c r="P285" t="s">
        <v>416</v>
      </c>
      <c r="Q285" t="s">
        <v>1639</v>
      </c>
    </row>
    <row r="286" spans="1:17" x14ac:dyDescent="0.25">
      <c r="A286" s="4">
        <v>102065623700</v>
      </c>
      <c r="B286" s="4" t="str">
        <f t="shared" si="8"/>
        <v>1020656237000</v>
      </c>
      <c r="C286" s="4" t="str">
        <f t="shared" si="9"/>
        <v>102065623700OVR</v>
      </c>
      <c r="D286" t="s">
        <v>1059</v>
      </c>
      <c r="E286">
        <v>20411454</v>
      </c>
      <c r="F286" t="s">
        <v>1663</v>
      </c>
      <c r="G286" t="s">
        <v>49</v>
      </c>
      <c r="H286" t="s">
        <v>415</v>
      </c>
      <c r="I286" s="1">
        <v>45597</v>
      </c>
      <c r="J286" s="1">
        <v>45931</v>
      </c>
      <c r="K286" s="2">
        <v>1</v>
      </c>
      <c r="L286" s="2">
        <v>1</v>
      </c>
      <c r="N286" s="3">
        <v>1</v>
      </c>
      <c r="O286" s="2">
        <v>2</v>
      </c>
      <c r="P286" t="s">
        <v>416</v>
      </c>
      <c r="Q286" t="s">
        <v>1639</v>
      </c>
    </row>
    <row r="287" spans="1:17" x14ac:dyDescent="0.25">
      <c r="A287" s="4">
        <v>102065624200</v>
      </c>
      <c r="B287" s="4" t="str">
        <f t="shared" si="8"/>
        <v>1020656242000</v>
      </c>
      <c r="C287" s="4" t="str">
        <f t="shared" si="9"/>
        <v>102065624200OVR</v>
      </c>
      <c r="D287" t="s">
        <v>1061</v>
      </c>
      <c r="E287">
        <v>20411454</v>
      </c>
      <c r="F287" t="s">
        <v>1663</v>
      </c>
      <c r="G287" t="s">
        <v>49</v>
      </c>
      <c r="H287" t="s">
        <v>415</v>
      </c>
      <c r="I287" s="1">
        <v>45597</v>
      </c>
      <c r="J287" s="1">
        <v>45931</v>
      </c>
      <c r="K287" s="2">
        <v>1</v>
      </c>
      <c r="L287" s="2">
        <v>1</v>
      </c>
      <c r="N287" s="3">
        <v>1</v>
      </c>
      <c r="O287" s="2">
        <v>2</v>
      </c>
      <c r="P287" t="s">
        <v>416</v>
      </c>
      <c r="Q287" t="s">
        <v>1639</v>
      </c>
    </row>
    <row r="288" spans="1:17" x14ac:dyDescent="0.25">
      <c r="A288" s="4">
        <v>102066402500</v>
      </c>
      <c r="B288" s="4" t="str">
        <f t="shared" si="8"/>
        <v>1020664025000</v>
      </c>
      <c r="C288" s="4" t="str">
        <f t="shared" si="9"/>
        <v>102066402500OVR</v>
      </c>
      <c r="D288" t="s">
        <v>1063</v>
      </c>
      <c r="E288">
        <v>20411454</v>
      </c>
      <c r="F288" t="s">
        <v>1663</v>
      </c>
      <c r="G288" t="s">
        <v>49</v>
      </c>
      <c r="H288" t="s">
        <v>415</v>
      </c>
      <c r="I288" s="1">
        <v>45597</v>
      </c>
      <c r="J288" s="1">
        <v>45931</v>
      </c>
      <c r="K288" s="2">
        <v>1</v>
      </c>
      <c r="L288" s="2">
        <v>1</v>
      </c>
      <c r="N288" s="3">
        <v>1</v>
      </c>
      <c r="O288" s="2">
        <v>2</v>
      </c>
      <c r="P288" t="s">
        <v>416</v>
      </c>
      <c r="Q288" t="s">
        <v>1639</v>
      </c>
    </row>
    <row r="289" spans="1:17" x14ac:dyDescent="0.25">
      <c r="A289" s="4">
        <v>102066699300</v>
      </c>
      <c r="B289" s="4" t="str">
        <f t="shared" si="8"/>
        <v>1020666993000</v>
      </c>
      <c r="C289" s="4" t="str">
        <f t="shared" si="9"/>
        <v>102066699300OVR</v>
      </c>
      <c r="D289" t="s">
        <v>1065</v>
      </c>
      <c r="E289">
        <v>20411454</v>
      </c>
      <c r="F289" t="s">
        <v>1663</v>
      </c>
      <c r="G289" t="s">
        <v>49</v>
      </c>
      <c r="H289" t="s">
        <v>415</v>
      </c>
      <c r="I289" s="1">
        <v>45597</v>
      </c>
      <c r="J289" s="1">
        <v>45931</v>
      </c>
      <c r="K289" s="2">
        <v>1</v>
      </c>
      <c r="L289" s="2">
        <v>1</v>
      </c>
      <c r="N289" s="3">
        <v>1</v>
      </c>
      <c r="O289" s="2">
        <v>2</v>
      </c>
      <c r="P289" t="s">
        <v>416</v>
      </c>
      <c r="Q289" t="s">
        <v>1639</v>
      </c>
    </row>
    <row r="290" spans="1:17" x14ac:dyDescent="0.25">
      <c r="A290" s="4">
        <v>102068178600</v>
      </c>
      <c r="B290" s="4" t="str">
        <f t="shared" si="8"/>
        <v>1020681786000</v>
      </c>
      <c r="C290" s="4" t="str">
        <f t="shared" si="9"/>
        <v>102068178600OVR</v>
      </c>
      <c r="D290" t="s">
        <v>1067</v>
      </c>
      <c r="E290">
        <v>20411454</v>
      </c>
      <c r="F290" t="s">
        <v>1663</v>
      </c>
      <c r="G290" t="s">
        <v>49</v>
      </c>
      <c r="H290" t="s">
        <v>415</v>
      </c>
      <c r="I290" s="1">
        <v>45597</v>
      </c>
      <c r="J290" s="1">
        <v>45931</v>
      </c>
      <c r="K290" s="2">
        <v>1</v>
      </c>
      <c r="L290" s="2">
        <v>1</v>
      </c>
      <c r="N290" s="3">
        <v>1</v>
      </c>
      <c r="O290" s="2">
        <v>2</v>
      </c>
      <c r="P290" t="s">
        <v>416</v>
      </c>
      <c r="Q290" t="s">
        <v>1639</v>
      </c>
    </row>
    <row r="291" spans="1:17" x14ac:dyDescent="0.25">
      <c r="A291" s="4">
        <v>102068196700</v>
      </c>
      <c r="B291" s="4" t="str">
        <f t="shared" si="8"/>
        <v>1020681967000</v>
      </c>
      <c r="C291" s="4" t="str">
        <f t="shared" si="9"/>
        <v>102068196700OVR</v>
      </c>
      <c r="D291" t="s">
        <v>1069</v>
      </c>
      <c r="E291">
        <v>20411454</v>
      </c>
      <c r="F291" t="s">
        <v>1663</v>
      </c>
      <c r="G291" t="s">
        <v>49</v>
      </c>
      <c r="H291" t="s">
        <v>415</v>
      </c>
      <c r="I291" s="1">
        <v>45597</v>
      </c>
      <c r="J291" s="1">
        <v>45931</v>
      </c>
      <c r="K291" s="2">
        <v>1</v>
      </c>
      <c r="L291" s="2">
        <v>1</v>
      </c>
      <c r="N291" s="3">
        <v>1</v>
      </c>
      <c r="O291" s="2">
        <v>2</v>
      </c>
      <c r="P291" t="s">
        <v>416</v>
      </c>
      <c r="Q291" t="s">
        <v>1639</v>
      </c>
    </row>
    <row r="292" spans="1:17" x14ac:dyDescent="0.25">
      <c r="A292" s="4">
        <v>102069037500</v>
      </c>
      <c r="B292" s="4" t="str">
        <f t="shared" si="8"/>
        <v>1020690375000</v>
      </c>
      <c r="C292" s="4" t="str">
        <f t="shared" si="9"/>
        <v>102069037500OVR</v>
      </c>
      <c r="D292" t="s">
        <v>1071</v>
      </c>
      <c r="E292">
        <v>20411454</v>
      </c>
      <c r="F292" t="s">
        <v>1663</v>
      </c>
      <c r="G292" t="s">
        <v>49</v>
      </c>
      <c r="H292" t="s">
        <v>415</v>
      </c>
      <c r="I292" s="1">
        <v>45627</v>
      </c>
      <c r="J292" s="1">
        <v>45931</v>
      </c>
      <c r="K292" s="2">
        <v>1</v>
      </c>
      <c r="L292" s="2">
        <v>1</v>
      </c>
      <c r="N292" s="3">
        <v>1</v>
      </c>
      <c r="O292" s="2">
        <v>2</v>
      </c>
      <c r="P292" t="s">
        <v>416</v>
      </c>
      <c r="Q292" t="s">
        <v>1639</v>
      </c>
    </row>
    <row r="293" spans="1:17" x14ac:dyDescent="0.25">
      <c r="A293" s="4">
        <v>102069330900</v>
      </c>
      <c r="B293" s="4" t="str">
        <f t="shared" si="8"/>
        <v>1020693309000</v>
      </c>
      <c r="C293" s="4" t="str">
        <f t="shared" si="9"/>
        <v>102069330900OVR</v>
      </c>
      <c r="D293" t="s">
        <v>1073</v>
      </c>
      <c r="E293">
        <v>20411454</v>
      </c>
      <c r="F293" t="s">
        <v>1663</v>
      </c>
      <c r="G293" t="s">
        <v>49</v>
      </c>
      <c r="H293" t="s">
        <v>415</v>
      </c>
      <c r="I293" s="1">
        <v>45597</v>
      </c>
      <c r="J293" s="1">
        <v>45931</v>
      </c>
      <c r="K293" s="2">
        <v>1</v>
      </c>
      <c r="L293" s="2">
        <v>1</v>
      </c>
      <c r="N293" s="3">
        <v>1</v>
      </c>
      <c r="O293" s="2">
        <v>2</v>
      </c>
      <c r="P293" t="s">
        <v>416</v>
      </c>
      <c r="Q293" t="s">
        <v>1639</v>
      </c>
    </row>
    <row r="294" spans="1:17" x14ac:dyDescent="0.25">
      <c r="A294" s="4">
        <v>102069393600</v>
      </c>
      <c r="B294" s="4" t="str">
        <f t="shared" si="8"/>
        <v>1020693936000</v>
      </c>
      <c r="C294" s="4" t="str">
        <f t="shared" si="9"/>
        <v>102069393600OVR</v>
      </c>
      <c r="D294" t="s">
        <v>1075</v>
      </c>
      <c r="E294">
        <v>20411454</v>
      </c>
      <c r="F294" t="s">
        <v>1663</v>
      </c>
      <c r="G294" t="s">
        <v>49</v>
      </c>
      <c r="H294" t="s">
        <v>415</v>
      </c>
      <c r="I294" s="1">
        <v>45627</v>
      </c>
      <c r="J294" s="1">
        <v>45931</v>
      </c>
      <c r="K294" s="2">
        <v>1</v>
      </c>
      <c r="L294" s="2">
        <v>1</v>
      </c>
      <c r="N294" s="3">
        <v>1</v>
      </c>
      <c r="O294" s="2">
        <v>2</v>
      </c>
      <c r="P294" t="s">
        <v>416</v>
      </c>
      <c r="Q294" t="s">
        <v>1639</v>
      </c>
    </row>
    <row r="295" spans="1:17" x14ac:dyDescent="0.25">
      <c r="A295" s="4">
        <v>102071177500</v>
      </c>
      <c r="B295" s="4" t="str">
        <f t="shared" si="8"/>
        <v>1020711775000</v>
      </c>
      <c r="C295" s="4" t="str">
        <f t="shared" si="9"/>
        <v>102071177500OVR</v>
      </c>
      <c r="D295" t="s">
        <v>1081</v>
      </c>
      <c r="E295">
        <v>20411454</v>
      </c>
      <c r="F295" t="s">
        <v>1663</v>
      </c>
      <c r="G295" t="s">
        <v>49</v>
      </c>
      <c r="H295" t="s">
        <v>415</v>
      </c>
      <c r="I295" s="1">
        <v>45597</v>
      </c>
      <c r="J295" s="1">
        <v>45931</v>
      </c>
      <c r="K295" s="2">
        <v>1</v>
      </c>
      <c r="L295" s="2">
        <v>1</v>
      </c>
      <c r="N295" s="3">
        <v>1</v>
      </c>
      <c r="O295" s="2">
        <v>2</v>
      </c>
      <c r="P295" t="s">
        <v>416</v>
      </c>
      <c r="Q295" t="s">
        <v>1639</v>
      </c>
    </row>
    <row r="296" spans="1:17" x14ac:dyDescent="0.25">
      <c r="A296" s="4">
        <v>102072923100</v>
      </c>
      <c r="B296" s="4" t="str">
        <f t="shared" si="8"/>
        <v>1020729231000</v>
      </c>
      <c r="C296" s="4" t="str">
        <f t="shared" si="9"/>
        <v>102072923100OVR</v>
      </c>
      <c r="D296" t="s">
        <v>1083</v>
      </c>
      <c r="E296">
        <v>20411454</v>
      </c>
      <c r="F296" t="s">
        <v>1663</v>
      </c>
      <c r="G296" t="s">
        <v>49</v>
      </c>
      <c r="H296" t="s">
        <v>415</v>
      </c>
      <c r="I296" s="1">
        <v>45627</v>
      </c>
      <c r="J296" s="1">
        <v>45931</v>
      </c>
      <c r="K296" s="2">
        <v>1</v>
      </c>
      <c r="L296" s="2">
        <v>1</v>
      </c>
      <c r="N296" s="3">
        <v>1</v>
      </c>
      <c r="O296" s="2">
        <v>2</v>
      </c>
      <c r="P296" t="s">
        <v>416</v>
      </c>
      <c r="Q296" t="s">
        <v>1639</v>
      </c>
    </row>
    <row r="297" spans="1:17" x14ac:dyDescent="0.25">
      <c r="A297" s="4">
        <v>102078192100</v>
      </c>
      <c r="B297" s="4" t="str">
        <f t="shared" si="8"/>
        <v>1020781921000</v>
      </c>
      <c r="C297" s="4" t="str">
        <f t="shared" si="9"/>
        <v>102078192100OVR</v>
      </c>
      <c r="D297" t="s">
        <v>1088</v>
      </c>
      <c r="E297">
        <v>20411454</v>
      </c>
      <c r="F297" t="s">
        <v>1663</v>
      </c>
      <c r="G297" t="s">
        <v>49</v>
      </c>
      <c r="H297" t="s">
        <v>415</v>
      </c>
      <c r="I297" s="1">
        <v>45597</v>
      </c>
      <c r="J297" s="1">
        <v>45931</v>
      </c>
      <c r="K297" s="2">
        <v>1</v>
      </c>
      <c r="L297" s="2">
        <v>1</v>
      </c>
      <c r="N297" s="3">
        <v>1</v>
      </c>
      <c r="O297" s="2">
        <v>2</v>
      </c>
      <c r="P297" t="s">
        <v>416</v>
      </c>
      <c r="Q297" t="s">
        <v>1639</v>
      </c>
    </row>
    <row r="298" spans="1:17" x14ac:dyDescent="0.25">
      <c r="A298" s="4">
        <v>102078822400</v>
      </c>
      <c r="B298" s="4" t="str">
        <f t="shared" si="8"/>
        <v>1020788224000</v>
      </c>
      <c r="C298" s="4" t="str">
        <f t="shared" si="9"/>
        <v>102078822400OVR</v>
      </c>
      <c r="D298" t="s">
        <v>1093</v>
      </c>
      <c r="E298">
        <v>20411454</v>
      </c>
      <c r="F298" t="s">
        <v>1663</v>
      </c>
      <c r="G298" t="s">
        <v>49</v>
      </c>
      <c r="H298" t="s">
        <v>415</v>
      </c>
      <c r="I298" s="1">
        <v>45627</v>
      </c>
      <c r="J298" s="1">
        <v>45931</v>
      </c>
      <c r="K298" s="2">
        <v>1</v>
      </c>
      <c r="L298" s="2">
        <v>1</v>
      </c>
      <c r="N298" s="3">
        <v>1</v>
      </c>
      <c r="O298" s="2">
        <v>2</v>
      </c>
      <c r="P298" t="s">
        <v>416</v>
      </c>
      <c r="Q298" t="s">
        <v>1639</v>
      </c>
    </row>
    <row r="299" spans="1:17" x14ac:dyDescent="0.25">
      <c r="A299" s="4">
        <v>102079442100</v>
      </c>
      <c r="B299" s="4" t="str">
        <f t="shared" si="8"/>
        <v>1020794421000</v>
      </c>
      <c r="C299" s="4" t="str">
        <f t="shared" si="9"/>
        <v>102079442100OVR</v>
      </c>
      <c r="D299" t="s">
        <v>1095</v>
      </c>
      <c r="E299">
        <v>20411454</v>
      </c>
      <c r="F299" t="s">
        <v>1663</v>
      </c>
      <c r="G299" t="s">
        <v>49</v>
      </c>
      <c r="H299" t="s">
        <v>415</v>
      </c>
      <c r="I299" s="1">
        <v>45597</v>
      </c>
      <c r="J299" s="1">
        <v>45931</v>
      </c>
      <c r="K299" s="2">
        <v>1</v>
      </c>
      <c r="L299" s="2">
        <v>1</v>
      </c>
      <c r="N299" s="3">
        <v>1</v>
      </c>
      <c r="O299" s="2">
        <v>2</v>
      </c>
      <c r="P299" t="s">
        <v>416</v>
      </c>
      <c r="Q299" t="s">
        <v>1639</v>
      </c>
    </row>
    <row r="300" spans="1:17" x14ac:dyDescent="0.25">
      <c r="A300" s="4">
        <v>102081559700</v>
      </c>
      <c r="B300" s="4" t="str">
        <f t="shared" si="8"/>
        <v>1020815597000</v>
      </c>
      <c r="C300" s="4" t="str">
        <f t="shared" si="9"/>
        <v>102081559700OVR</v>
      </c>
      <c r="D300" t="s">
        <v>1099</v>
      </c>
      <c r="E300">
        <v>20411454</v>
      </c>
      <c r="F300" t="s">
        <v>1663</v>
      </c>
      <c r="G300" t="s">
        <v>49</v>
      </c>
      <c r="H300" t="s">
        <v>415</v>
      </c>
      <c r="I300" s="1">
        <v>45627</v>
      </c>
      <c r="J300" s="1">
        <v>45931</v>
      </c>
      <c r="K300" s="2">
        <v>1</v>
      </c>
      <c r="L300" s="2">
        <v>1</v>
      </c>
      <c r="N300" s="3">
        <v>1</v>
      </c>
      <c r="O300" s="2">
        <v>2</v>
      </c>
      <c r="P300" t="s">
        <v>416</v>
      </c>
      <c r="Q300" t="s">
        <v>1639</v>
      </c>
    </row>
    <row r="301" spans="1:17" x14ac:dyDescent="0.25">
      <c r="A301" s="4">
        <v>102082370200</v>
      </c>
      <c r="B301" s="4" t="str">
        <f t="shared" si="8"/>
        <v>1020823702000</v>
      </c>
      <c r="C301" s="4" t="str">
        <f t="shared" si="9"/>
        <v>102082370200OVR</v>
      </c>
      <c r="D301" t="s">
        <v>1101</v>
      </c>
      <c r="E301">
        <v>20411454</v>
      </c>
      <c r="F301" t="s">
        <v>1663</v>
      </c>
      <c r="G301" t="s">
        <v>49</v>
      </c>
      <c r="H301" t="s">
        <v>415</v>
      </c>
      <c r="I301" s="1">
        <v>45597</v>
      </c>
      <c r="J301" s="1">
        <v>45931</v>
      </c>
      <c r="K301" s="2">
        <v>1</v>
      </c>
      <c r="L301" s="2">
        <v>1</v>
      </c>
      <c r="N301" s="3">
        <v>1</v>
      </c>
      <c r="O301" s="2">
        <v>2</v>
      </c>
      <c r="P301" t="s">
        <v>416</v>
      </c>
      <c r="Q301" t="s">
        <v>1639</v>
      </c>
    </row>
    <row r="302" spans="1:17" x14ac:dyDescent="0.25">
      <c r="A302" s="4">
        <v>102084927600</v>
      </c>
      <c r="B302" s="4" t="str">
        <f t="shared" si="8"/>
        <v>1020849276000</v>
      </c>
      <c r="C302" s="4" t="str">
        <f t="shared" si="9"/>
        <v>102084927600OVR</v>
      </c>
      <c r="D302" t="s">
        <v>1103</v>
      </c>
      <c r="E302">
        <v>20411454</v>
      </c>
      <c r="F302" t="s">
        <v>1663</v>
      </c>
      <c r="G302" t="s">
        <v>49</v>
      </c>
      <c r="H302" t="s">
        <v>415</v>
      </c>
      <c r="I302" s="1">
        <v>45627</v>
      </c>
      <c r="J302" s="1">
        <v>45931</v>
      </c>
      <c r="K302" s="2">
        <v>1</v>
      </c>
      <c r="L302" s="2">
        <v>1</v>
      </c>
      <c r="N302" s="3">
        <v>1</v>
      </c>
      <c r="O302" s="2">
        <v>2</v>
      </c>
      <c r="P302" t="s">
        <v>416</v>
      </c>
      <c r="Q302" t="s">
        <v>1639</v>
      </c>
    </row>
    <row r="303" spans="1:17" x14ac:dyDescent="0.25">
      <c r="A303" s="4">
        <v>102085672600</v>
      </c>
      <c r="B303" s="4" t="str">
        <f t="shared" si="8"/>
        <v>1020856726000</v>
      </c>
      <c r="C303" s="4" t="str">
        <f t="shared" si="9"/>
        <v>102085672600OVR</v>
      </c>
      <c r="D303" t="s">
        <v>1105</v>
      </c>
      <c r="E303">
        <v>20411454</v>
      </c>
      <c r="F303" t="s">
        <v>1663</v>
      </c>
      <c r="G303" t="s">
        <v>49</v>
      </c>
      <c r="H303" t="s">
        <v>415</v>
      </c>
      <c r="I303" s="1">
        <v>45627</v>
      </c>
      <c r="J303" s="1">
        <v>45931</v>
      </c>
      <c r="K303" s="2">
        <v>1</v>
      </c>
      <c r="L303" s="2">
        <v>1</v>
      </c>
      <c r="N303" s="3">
        <v>1</v>
      </c>
      <c r="O303" s="2">
        <v>2</v>
      </c>
      <c r="P303" t="s">
        <v>416</v>
      </c>
      <c r="Q303" t="s">
        <v>1639</v>
      </c>
    </row>
    <row r="304" spans="1:17" x14ac:dyDescent="0.25">
      <c r="A304" s="4">
        <v>102086309300</v>
      </c>
      <c r="B304" s="4" t="str">
        <f t="shared" si="8"/>
        <v>1020863093000</v>
      </c>
      <c r="C304" s="4" t="str">
        <f t="shared" si="9"/>
        <v>102086309300OVR</v>
      </c>
      <c r="D304" t="s">
        <v>1107</v>
      </c>
      <c r="E304">
        <v>20411454</v>
      </c>
      <c r="F304" t="s">
        <v>1663</v>
      </c>
      <c r="G304" t="s">
        <v>49</v>
      </c>
      <c r="H304" t="s">
        <v>415</v>
      </c>
      <c r="I304" s="1">
        <v>45627</v>
      </c>
      <c r="J304" s="1">
        <v>45931</v>
      </c>
      <c r="K304" s="2">
        <v>1</v>
      </c>
      <c r="L304" s="2">
        <v>1</v>
      </c>
      <c r="N304" s="3">
        <v>1</v>
      </c>
      <c r="O304" s="2">
        <v>2</v>
      </c>
      <c r="P304" t="s">
        <v>416</v>
      </c>
      <c r="Q304" t="s">
        <v>1639</v>
      </c>
    </row>
    <row r="305" spans="1:17" x14ac:dyDescent="0.25">
      <c r="A305" s="4">
        <v>102088844600</v>
      </c>
      <c r="B305" s="4" t="str">
        <f t="shared" si="8"/>
        <v>1020888446000</v>
      </c>
      <c r="C305" s="4" t="str">
        <f t="shared" si="9"/>
        <v>102088844600OVR</v>
      </c>
      <c r="D305" t="s">
        <v>1109</v>
      </c>
      <c r="E305">
        <v>20411454</v>
      </c>
      <c r="F305" t="s">
        <v>1663</v>
      </c>
      <c r="G305" t="s">
        <v>49</v>
      </c>
      <c r="H305" t="s">
        <v>415</v>
      </c>
      <c r="I305" s="1">
        <v>45627</v>
      </c>
      <c r="J305" s="1">
        <v>45931</v>
      </c>
      <c r="K305" s="2">
        <v>1</v>
      </c>
      <c r="L305" s="2">
        <v>1</v>
      </c>
      <c r="N305" s="3">
        <v>1</v>
      </c>
      <c r="O305" s="2">
        <v>2</v>
      </c>
      <c r="P305" t="s">
        <v>416</v>
      </c>
      <c r="Q305" t="s">
        <v>1639</v>
      </c>
    </row>
    <row r="306" spans="1:17" x14ac:dyDescent="0.25">
      <c r="A306" s="4">
        <v>102092114400</v>
      </c>
      <c r="B306" s="4" t="str">
        <f t="shared" si="8"/>
        <v>1020921144000</v>
      </c>
      <c r="C306" s="4" t="str">
        <f t="shared" si="9"/>
        <v>102092114400OVR</v>
      </c>
      <c r="D306" t="s">
        <v>1111</v>
      </c>
      <c r="E306">
        <v>20411454</v>
      </c>
      <c r="F306" t="s">
        <v>1663</v>
      </c>
      <c r="G306" t="s">
        <v>49</v>
      </c>
      <c r="H306" t="s">
        <v>415</v>
      </c>
      <c r="I306" s="1">
        <v>45627</v>
      </c>
      <c r="J306" s="1">
        <v>45931</v>
      </c>
      <c r="K306" s="2">
        <v>1</v>
      </c>
      <c r="L306" s="2">
        <v>1</v>
      </c>
      <c r="N306" s="3">
        <v>1</v>
      </c>
      <c r="O306" s="2">
        <v>2</v>
      </c>
      <c r="P306" t="s">
        <v>416</v>
      </c>
      <c r="Q306" t="s">
        <v>1639</v>
      </c>
    </row>
    <row r="307" spans="1:17" x14ac:dyDescent="0.25">
      <c r="A307" s="4">
        <v>102095689100</v>
      </c>
      <c r="B307" s="4" t="str">
        <f t="shared" si="8"/>
        <v>1020956891000</v>
      </c>
      <c r="C307" s="4" t="str">
        <f t="shared" si="9"/>
        <v>102095689100OVR</v>
      </c>
      <c r="D307" t="s">
        <v>1113</v>
      </c>
      <c r="E307">
        <v>20411454</v>
      </c>
      <c r="F307" t="s">
        <v>1663</v>
      </c>
      <c r="G307" t="s">
        <v>49</v>
      </c>
      <c r="H307" t="s">
        <v>415</v>
      </c>
      <c r="I307" s="1">
        <v>45627</v>
      </c>
      <c r="J307" s="1">
        <v>45931</v>
      </c>
      <c r="K307" s="2">
        <v>1</v>
      </c>
      <c r="L307" s="2">
        <v>1</v>
      </c>
      <c r="N307" s="3">
        <v>1</v>
      </c>
      <c r="O307" s="2">
        <v>2</v>
      </c>
      <c r="P307" t="s">
        <v>416</v>
      </c>
      <c r="Q307" t="s">
        <v>1639</v>
      </c>
    </row>
    <row r="308" spans="1:17" x14ac:dyDescent="0.25">
      <c r="A308" s="4">
        <v>102097467700</v>
      </c>
      <c r="B308" s="4" t="str">
        <f t="shared" si="8"/>
        <v>1020974677000</v>
      </c>
      <c r="C308" s="4" t="str">
        <f t="shared" si="9"/>
        <v>102097467700OVR</v>
      </c>
      <c r="D308" t="s">
        <v>1115</v>
      </c>
      <c r="E308">
        <v>20411454</v>
      </c>
      <c r="F308" t="s">
        <v>1663</v>
      </c>
      <c r="G308" t="s">
        <v>49</v>
      </c>
      <c r="H308" t="s">
        <v>415</v>
      </c>
      <c r="I308" s="1">
        <v>45627</v>
      </c>
      <c r="J308" s="1">
        <v>45931</v>
      </c>
      <c r="K308" s="2">
        <v>1</v>
      </c>
      <c r="L308" s="2">
        <v>1</v>
      </c>
      <c r="N308" s="3">
        <v>1</v>
      </c>
      <c r="O308" s="2">
        <v>2</v>
      </c>
      <c r="P308" t="s">
        <v>416</v>
      </c>
      <c r="Q308" t="s">
        <v>1639</v>
      </c>
    </row>
    <row r="309" spans="1:17" x14ac:dyDescent="0.25">
      <c r="A309" s="4">
        <v>102098890500</v>
      </c>
      <c r="B309" s="4" t="str">
        <f t="shared" si="8"/>
        <v>1020988905000</v>
      </c>
      <c r="C309" s="4" t="str">
        <f t="shared" si="9"/>
        <v>102098890500OVR</v>
      </c>
      <c r="D309" t="s">
        <v>1117</v>
      </c>
      <c r="E309">
        <v>20411454</v>
      </c>
      <c r="F309" t="s">
        <v>1663</v>
      </c>
      <c r="G309" t="s">
        <v>49</v>
      </c>
      <c r="H309" t="s">
        <v>415</v>
      </c>
      <c r="I309" s="1">
        <v>45627</v>
      </c>
      <c r="J309" s="1">
        <v>45931</v>
      </c>
      <c r="K309" s="2">
        <v>1</v>
      </c>
      <c r="L309" s="2">
        <v>1</v>
      </c>
      <c r="N309" s="3">
        <v>1</v>
      </c>
      <c r="O309" s="2">
        <v>2</v>
      </c>
      <c r="P309" t="s">
        <v>416</v>
      </c>
      <c r="Q309" t="s">
        <v>1639</v>
      </c>
    </row>
    <row r="310" spans="1:17" x14ac:dyDescent="0.25">
      <c r="A310" s="4">
        <v>102104604100</v>
      </c>
      <c r="B310" s="4" t="str">
        <f t="shared" si="8"/>
        <v>1021046041000</v>
      </c>
      <c r="C310" s="4" t="str">
        <f t="shared" si="9"/>
        <v>102104604100OVR</v>
      </c>
      <c r="D310" t="s">
        <v>1119</v>
      </c>
      <c r="E310">
        <v>20411454</v>
      </c>
      <c r="F310" t="s">
        <v>1663</v>
      </c>
      <c r="G310" t="s">
        <v>49</v>
      </c>
      <c r="H310" t="s">
        <v>415</v>
      </c>
      <c r="I310" s="1">
        <v>45627</v>
      </c>
      <c r="J310" s="1">
        <v>45931</v>
      </c>
      <c r="K310" s="2">
        <v>1</v>
      </c>
      <c r="L310" s="2">
        <v>1</v>
      </c>
      <c r="N310" s="3">
        <v>1</v>
      </c>
      <c r="O310" s="2">
        <v>2</v>
      </c>
      <c r="P310" t="s">
        <v>416</v>
      </c>
      <c r="Q310" t="s">
        <v>1639</v>
      </c>
    </row>
    <row r="311" spans="1:17" x14ac:dyDescent="0.25">
      <c r="A311" s="4">
        <v>102105540600</v>
      </c>
      <c r="B311" s="4" t="str">
        <f t="shared" si="8"/>
        <v>1021055406000</v>
      </c>
      <c r="C311" s="4" t="str">
        <f t="shared" si="9"/>
        <v>102105540600OVR</v>
      </c>
      <c r="D311" t="s">
        <v>1121</v>
      </c>
      <c r="E311">
        <v>20411454</v>
      </c>
      <c r="F311" t="s">
        <v>1663</v>
      </c>
      <c r="G311" t="s">
        <v>49</v>
      </c>
      <c r="H311" t="s">
        <v>415</v>
      </c>
      <c r="I311" s="1">
        <v>45627</v>
      </c>
      <c r="J311" s="1">
        <v>45931</v>
      </c>
      <c r="K311" s="2">
        <v>1</v>
      </c>
      <c r="L311" s="2">
        <v>1</v>
      </c>
      <c r="N311" s="3">
        <v>1</v>
      </c>
      <c r="O311" s="2">
        <v>2</v>
      </c>
      <c r="P311" t="s">
        <v>416</v>
      </c>
      <c r="Q311" t="s">
        <v>1639</v>
      </c>
    </row>
    <row r="312" spans="1:17" x14ac:dyDescent="0.25">
      <c r="A312" s="4">
        <v>102105930700</v>
      </c>
      <c r="B312" s="4" t="str">
        <f t="shared" si="8"/>
        <v>1021059307000</v>
      </c>
      <c r="C312" s="4" t="str">
        <f t="shared" si="9"/>
        <v>102105930700OVR</v>
      </c>
      <c r="D312" t="s">
        <v>1123</v>
      </c>
      <c r="E312">
        <v>20411454</v>
      </c>
      <c r="F312" t="s">
        <v>1663</v>
      </c>
      <c r="G312" t="s">
        <v>49</v>
      </c>
      <c r="H312" t="s">
        <v>415</v>
      </c>
      <c r="I312" s="1">
        <v>45627</v>
      </c>
      <c r="J312" s="1">
        <v>45931</v>
      </c>
      <c r="K312" s="2">
        <v>1</v>
      </c>
      <c r="L312" s="2">
        <v>1</v>
      </c>
      <c r="N312" s="3">
        <v>1</v>
      </c>
      <c r="O312" s="2">
        <v>2</v>
      </c>
      <c r="P312" t="s">
        <v>416</v>
      </c>
      <c r="Q312" t="s">
        <v>1639</v>
      </c>
    </row>
    <row r="313" spans="1:17" x14ac:dyDescent="0.25">
      <c r="A313" s="4">
        <v>102109694200</v>
      </c>
      <c r="B313" s="4" t="str">
        <f t="shared" si="8"/>
        <v>1021096942000</v>
      </c>
      <c r="C313" s="4" t="str">
        <f t="shared" si="9"/>
        <v>102109694200OVR</v>
      </c>
      <c r="D313" t="s">
        <v>1125</v>
      </c>
      <c r="E313">
        <v>20411454</v>
      </c>
      <c r="F313" t="s">
        <v>1663</v>
      </c>
      <c r="G313" t="s">
        <v>49</v>
      </c>
      <c r="H313" t="s">
        <v>415</v>
      </c>
      <c r="I313" s="1">
        <v>45627</v>
      </c>
      <c r="J313" s="1">
        <v>45931</v>
      </c>
      <c r="K313" s="2">
        <v>1</v>
      </c>
      <c r="L313" s="2">
        <v>1</v>
      </c>
      <c r="N313" s="3">
        <v>1</v>
      </c>
      <c r="O313" s="2">
        <v>2</v>
      </c>
      <c r="P313" t="s">
        <v>416</v>
      </c>
      <c r="Q313" t="s">
        <v>1639</v>
      </c>
    </row>
    <row r="314" spans="1:17" x14ac:dyDescent="0.25">
      <c r="A314" s="4">
        <v>102123717600</v>
      </c>
      <c r="B314" s="4" t="str">
        <f t="shared" si="8"/>
        <v>1021237176000</v>
      </c>
      <c r="C314" s="4" t="str">
        <f t="shared" si="9"/>
        <v>102123717600OVR</v>
      </c>
      <c r="D314" t="s">
        <v>1127</v>
      </c>
      <c r="E314">
        <v>20411454</v>
      </c>
      <c r="F314" t="s">
        <v>1663</v>
      </c>
      <c r="G314" t="s">
        <v>49</v>
      </c>
      <c r="H314" t="s">
        <v>415</v>
      </c>
      <c r="I314" s="1">
        <v>45627</v>
      </c>
      <c r="J314" s="1">
        <v>45931</v>
      </c>
      <c r="K314" s="2">
        <v>1</v>
      </c>
      <c r="L314" s="2">
        <v>1</v>
      </c>
      <c r="N314" s="3">
        <v>1</v>
      </c>
      <c r="O314" s="2">
        <v>2</v>
      </c>
      <c r="P314" t="s">
        <v>416</v>
      </c>
      <c r="Q314" t="s">
        <v>1639</v>
      </c>
    </row>
    <row r="315" spans="1:17" x14ac:dyDescent="0.25">
      <c r="A315" s="4">
        <v>102131626700</v>
      </c>
      <c r="B315" s="4" t="str">
        <f t="shared" si="8"/>
        <v>1021316267000</v>
      </c>
      <c r="C315" s="4" t="str">
        <f t="shared" si="9"/>
        <v>102131626700OVR</v>
      </c>
      <c r="D315" t="s">
        <v>1129</v>
      </c>
      <c r="E315">
        <v>20411454</v>
      </c>
      <c r="F315" t="s">
        <v>1663</v>
      </c>
      <c r="G315" t="s">
        <v>49</v>
      </c>
      <c r="H315" t="s">
        <v>415</v>
      </c>
      <c r="I315" s="1">
        <v>45627</v>
      </c>
      <c r="J315" s="1">
        <v>45931</v>
      </c>
      <c r="K315" s="2">
        <v>1</v>
      </c>
      <c r="L315" s="2">
        <v>1</v>
      </c>
      <c r="N315" s="3">
        <v>1</v>
      </c>
      <c r="O315" s="2">
        <v>2</v>
      </c>
      <c r="P315" t="s">
        <v>416</v>
      </c>
      <c r="Q315" t="s">
        <v>1639</v>
      </c>
    </row>
    <row r="316" spans="1:17" x14ac:dyDescent="0.25">
      <c r="A316" s="4">
        <v>1020919674009</v>
      </c>
      <c r="B316" s="4">
        <v>1020919674009</v>
      </c>
      <c r="C316" s="4" t="str">
        <f t="shared" si="9"/>
        <v>1020919674009OVR</v>
      </c>
      <c r="D316" t="s">
        <v>1398</v>
      </c>
      <c r="E316">
        <v>20411454</v>
      </c>
      <c r="F316" t="s">
        <v>1663</v>
      </c>
      <c r="G316" t="s">
        <v>1391</v>
      </c>
      <c r="H316" t="s">
        <v>415</v>
      </c>
      <c r="I316" s="1">
        <v>45658</v>
      </c>
      <c r="J316" s="1">
        <v>45931</v>
      </c>
      <c r="O316">
        <v>-16.66</v>
      </c>
      <c r="Q316" t="s">
        <v>1639</v>
      </c>
    </row>
    <row r="317" spans="1:17" x14ac:dyDescent="0.25">
      <c r="A317" s="4">
        <v>1021372729009</v>
      </c>
      <c r="B317" s="4">
        <v>1021372729009</v>
      </c>
      <c r="C317" s="4" t="str">
        <f t="shared" si="9"/>
        <v>1021372729009OVR</v>
      </c>
      <c r="D317" t="s">
        <v>1400</v>
      </c>
      <c r="E317">
        <v>20411454</v>
      </c>
      <c r="F317" t="s">
        <v>1663</v>
      </c>
      <c r="G317" t="s">
        <v>1391</v>
      </c>
      <c r="H317" t="s">
        <v>415</v>
      </c>
      <c r="I317" s="1">
        <v>45689</v>
      </c>
      <c r="J317" s="1">
        <v>45931</v>
      </c>
      <c r="O317">
        <v>-25</v>
      </c>
      <c r="Q317" t="s">
        <v>1639</v>
      </c>
    </row>
    <row r="318" spans="1:17" x14ac:dyDescent="0.25">
      <c r="A318" s="4">
        <v>102035997700</v>
      </c>
      <c r="B318" s="4" t="str">
        <f t="shared" ref="B318:B346" si="10">CONCATENATE(A318,0)</f>
        <v>1020359977000</v>
      </c>
      <c r="C318" s="4" t="str">
        <f t="shared" si="9"/>
        <v>102035997700OVR</v>
      </c>
      <c r="D318" t="s">
        <v>895</v>
      </c>
      <c r="E318">
        <v>20411454</v>
      </c>
      <c r="F318" t="s">
        <v>1663</v>
      </c>
      <c r="G318" t="s">
        <v>49</v>
      </c>
      <c r="H318" t="s">
        <v>896</v>
      </c>
      <c r="I318" s="1">
        <v>45474</v>
      </c>
      <c r="J318" s="1">
        <v>45931</v>
      </c>
      <c r="K318" s="2">
        <v>1</v>
      </c>
      <c r="L318" s="2">
        <v>1</v>
      </c>
      <c r="N318" s="3">
        <v>1</v>
      </c>
      <c r="O318" s="2">
        <v>2</v>
      </c>
      <c r="P318" t="s">
        <v>416</v>
      </c>
      <c r="Q318" t="s">
        <v>1639</v>
      </c>
    </row>
    <row r="319" spans="1:17" x14ac:dyDescent="0.25">
      <c r="A319" s="4">
        <v>102074570600</v>
      </c>
      <c r="B319" s="4" t="str">
        <f t="shared" si="10"/>
        <v>1020745706000</v>
      </c>
      <c r="C319" s="4" t="str">
        <f t="shared" si="9"/>
        <v>102074570600OVR</v>
      </c>
      <c r="D319" t="s">
        <v>1085</v>
      </c>
      <c r="E319">
        <v>20411454</v>
      </c>
      <c r="F319" t="s">
        <v>1663</v>
      </c>
      <c r="G319" t="s">
        <v>49</v>
      </c>
      <c r="H319" t="s">
        <v>896</v>
      </c>
      <c r="I319" s="1">
        <v>45597</v>
      </c>
      <c r="J319" s="1">
        <v>45931</v>
      </c>
      <c r="K319" s="2">
        <v>1</v>
      </c>
      <c r="L319" s="2">
        <v>1</v>
      </c>
      <c r="N319" s="3">
        <v>1</v>
      </c>
      <c r="O319" s="2">
        <v>2</v>
      </c>
      <c r="P319" t="s">
        <v>416</v>
      </c>
      <c r="Q319" t="s">
        <v>1639</v>
      </c>
    </row>
    <row r="320" spans="1:17" x14ac:dyDescent="0.25">
      <c r="A320" s="4">
        <v>101301145800</v>
      </c>
      <c r="B320" s="4" t="str">
        <f t="shared" si="10"/>
        <v>1013011458000</v>
      </c>
      <c r="C320" s="4" t="str">
        <f t="shared" si="9"/>
        <v>101301145800OVR</v>
      </c>
      <c r="D320" t="s">
        <v>535</v>
      </c>
      <c r="E320">
        <v>20411454</v>
      </c>
      <c r="F320" t="s">
        <v>1663</v>
      </c>
      <c r="G320" t="s">
        <v>49</v>
      </c>
      <c r="H320" t="s">
        <v>536</v>
      </c>
      <c r="I320" s="1">
        <v>45566</v>
      </c>
      <c r="J320" s="1">
        <v>45931</v>
      </c>
      <c r="K320" s="2">
        <v>1</v>
      </c>
      <c r="L320" s="2">
        <v>1</v>
      </c>
      <c r="N320" s="3">
        <v>1</v>
      </c>
      <c r="O320" s="2">
        <v>2</v>
      </c>
      <c r="P320" t="s">
        <v>416</v>
      </c>
      <c r="Q320" t="s">
        <v>1639</v>
      </c>
    </row>
    <row r="321" spans="1:17" x14ac:dyDescent="0.25">
      <c r="A321" s="4">
        <v>101458074100</v>
      </c>
      <c r="B321" s="4" t="str">
        <f t="shared" si="10"/>
        <v>1014580741000</v>
      </c>
      <c r="C321" s="4" t="str">
        <f t="shared" si="9"/>
        <v>101458074100OVR</v>
      </c>
      <c r="D321" t="s">
        <v>556</v>
      </c>
      <c r="E321">
        <v>20411454</v>
      </c>
      <c r="F321" t="s">
        <v>1663</v>
      </c>
      <c r="G321" t="s">
        <v>49</v>
      </c>
      <c r="H321" t="s">
        <v>536</v>
      </c>
      <c r="I321" s="1">
        <v>45597</v>
      </c>
      <c r="J321" s="1">
        <v>45931</v>
      </c>
      <c r="K321" s="2">
        <v>1</v>
      </c>
      <c r="L321" s="2">
        <v>1</v>
      </c>
      <c r="N321" s="3">
        <v>1</v>
      </c>
      <c r="O321" s="2">
        <v>2</v>
      </c>
      <c r="P321" t="s">
        <v>416</v>
      </c>
      <c r="Q321" t="s">
        <v>1639</v>
      </c>
    </row>
    <row r="322" spans="1:17" x14ac:dyDescent="0.25">
      <c r="A322" s="4">
        <v>101545020000</v>
      </c>
      <c r="B322" s="4" t="str">
        <f t="shared" si="10"/>
        <v>1015450200000</v>
      </c>
      <c r="C322" s="4" t="str">
        <f t="shared" ref="C322:C357" si="11">CONCATENATE(A322, "OVR")</f>
        <v>101545020000OVR</v>
      </c>
      <c r="D322" t="s">
        <v>649</v>
      </c>
      <c r="E322">
        <v>20411454</v>
      </c>
      <c r="F322" t="s">
        <v>1663</v>
      </c>
      <c r="G322" t="s">
        <v>49</v>
      </c>
      <c r="H322" t="s">
        <v>536</v>
      </c>
      <c r="I322" s="1">
        <v>45536</v>
      </c>
      <c r="J322" s="1">
        <v>45931</v>
      </c>
      <c r="K322" s="2">
        <v>1</v>
      </c>
      <c r="L322" s="2">
        <v>1</v>
      </c>
      <c r="N322" s="3">
        <v>1</v>
      </c>
      <c r="O322" s="2">
        <v>2</v>
      </c>
      <c r="P322" t="s">
        <v>416</v>
      </c>
      <c r="Q322" t="s">
        <v>1639</v>
      </c>
    </row>
    <row r="323" spans="1:17" x14ac:dyDescent="0.25">
      <c r="A323" s="4">
        <v>101872588800</v>
      </c>
      <c r="B323" s="4" t="str">
        <f t="shared" si="10"/>
        <v>1018725888000</v>
      </c>
      <c r="C323" s="4" t="str">
        <f t="shared" si="11"/>
        <v>101872588800OVR</v>
      </c>
      <c r="D323" t="s">
        <v>784</v>
      </c>
      <c r="E323">
        <v>20411454</v>
      </c>
      <c r="F323" t="s">
        <v>1663</v>
      </c>
      <c r="G323" t="s">
        <v>49</v>
      </c>
      <c r="H323" t="s">
        <v>536</v>
      </c>
      <c r="I323" s="1">
        <v>45474</v>
      </c>
      <c r="J323" s="1">
        <v>45931</v>
      </c>
      <c r="K323" s="2">
        <v>1</v>
      </c>
      <c r="L323" s="2">
        <v>1</v>
      </c>
      <c r="N323" s="3">
        <v>1</v>
      </c>
      <c r="O323" s="2">
        <v>2</v>
      </c>
      <c r="P323" t="s">
        <v>416</v>
      </c>
      <c r="Q323" t="s">
        <v>1639</v>
      </c>
    </row>
    <row r="324" spans="1:17" x14ac:dyDescent="0.25">
      <c r="A324" s="4">
        <v>101987999900</v>
      </c>
      <c r="B324" s="4" t="str">
        <f t="shared" si="10"/>
        <v>1019879999000</v>
      </c>
      <c r="C324" s="4" t="str">
        <f t="shared" si="11"/>
        <v>101987999900OVR</v>
      </c>
      <c r="D324" t="s">
        <v>788</v>
      </c>
      <c r="E324">
        <v>20411454</v>
      </c>
      <c r="F324" t="s">
        <v>1663</v>
      </c>
      <c r="G324" t="s">
        <v>49</v>
      </c>
      <c r="H324" t="s">
        <v>536</v>
      </c>
      <c r="I324" s="1">
        <v>45536</v>
      </c>
      <c r="J324" s="1">
        <v>45931</v>
      </c>
      <c r="K324" s="2">
        <v>1</v>
      </c>
      <c r="L324" s="2">
        <v>1</v>
      </c>
      <c r="N324" s="3">
        <v>1</v>
      </c>
      <c r="O324" s="2">
        <v>2</v>
      </c>
      <c r="P324" t="s">
        <v>416</v>
      </c>
      <c r="Q324" t="s">
        <v>1639</v>
      </c>
    </row>
    <row r="325" spans="1:17" x14ac:dyDescent="0.25">
      <c r="A325" s="4">
        <v>102022919300</v>
      </c>
      <c r="B325" s="4" t="str">
        <f t="shared" si="10"/>
        <v>1020229193000</v>
      </c>
      <c r="C325" s="4" t="str">
        <f t="shared" si="11"/>
        <v>102022919300OVR</v>
      </c>
      <c r="D325" t="s">
        <v>844</v>
      </c>
      <c r="E325">
        <v>20411454</v>
      </c>
      <c r="F325" t="s">
        <v>1663</v>
      </c>
      <c r="G325" t="s">
        <v>49</v>
      </c>
      <c r="H325" t="s">
        <v>536</v>
      </c>
      <c r="I325" s="1">
        <v>45474</v>
      </c>
      <c r="J325" s="1">
        <v>45931</v>
      </c>
      <c r="K325" s="2">
        <v>1</v>
      </c>
      <c r="L325" s="2">
        <v>1</v>
      </c>
      <c r="N325" s="3">
        <v>1</v>
      </c>
      <c r="O325" s="2">
        <v>2</v>
      </c>
      <c r="P325" t="s">
        <v>416</v>
      </c>
      <c r="Q325" t="s">
        <v>1639</v>
      </c>
    </row>
    <row r="326" spans="1:17" x14ac:dyDescent="0.25">
      <c r="A326" s="4">
        <v>102033829400</v>
      </c>
      <c r="B326" s="4" t="str">
        <f t="shared" si="10"/>
        <v>1020338294000</v>
      </c>
      <c r="C326" s="4" t="str">
        <f t="shared" si="11"/>
        <v>102033829400OVR</v>
      </c>
      <c r="D326" t="s">
        <v>872</v>
      </c>
      <c r="E326">
        <v>20411454</v>
      </c>
      <c r="F326" t="s">
        <v>1663</v>
      </c>
      <c r="G326" t="s">
        <v>49</v>
      </c>
      <c r="H326" t="s">
        <v>536</v>
      </c>
      <c r="I326" s="1">
        <v>45505</v>
      </c>
      <c r="J326" s="1">
        <v>45931</v>
      </c>
      <c r="K326" s="2">
        <v>1</v>
      </c>
      <c r="L326" s="2">
        <v>1</v>
      </c>
      <c r="N326" s="3">
        <v>1</v>
      </c>
      <c r="O326" s="2">
        <v>2</v>
      </c>
      <c r="P326" t="s">
        <v>416</v>
      </c>
      <c r="Q326" t="s">
        <v>1639</v>
      </c>
    </row>
    <row r="327" spans="1:17" x14ac:dyDescent="0.25">
      <c r="A327" s="4">
        <v>102042978300</v>
      </c>
      <c r="B327" s="4" t="str">
        <f t="shared" si="10"/>
        <v>1020429783000</v>
      </c>
      <c r="C327" s="4" t="str">
        <f t="shared" si="11"/>
        <v>102042978300OVR</v>
      </c>
      <c r="D327" t="s">
        <v>922</v>
      </c>
      <c r="E327">
        <v>20411454</v>
      </c>
      <c r="F327" t="s">
        <v>1663</v>
      </c>
      <c r="G327" t="s">
        <v>49</v>
      </c>
      <c r="H327" t="s">
        <v>536</v>
      </c>
      <c r="I327" s="1">
        <v>45536</v>
      </c>
      <c r="J327" s="1">
        <v>45931</v>
      </c>
      <c r="K327" s="2">
        <v>1</v>
      </c>
      <c r="L327" s="2">
        <v>1</v>
      </c>
      <c r="N327" s="3">
        <v>1</v>
      </c>
      <c r="O327" s="2">
        <v>2</v>
      </c>
      <c r="P327" t="s">
        <v>416</v>
      </c>
      <c r="Q327" t="s">
        <v>1639</v>
      </c>
    </row>
    <row r="328" spans="1:17" x14ac:dyDescent="0.25">
      <c r="A328" s="4">
        <v>102049657500</v>
      </c>
      <c r="B328" s="4" t="str">
        <f t="shared" si="10"/>
        <v>1020496575000</v>
      </c>
      <c r="C328" s="4" t="str">
        <f t="shared" si="11"/>
        <v>102049657500OVR</v>
      </c>
      <c r="D328" t="s">
        <v>956</v>
      </c>
      <c r="E328">
        <v>20411454</v>
      </c>
      <c r="F328" t="s">
        <v>1663</v>
      </c>
      <c r="G328" t="s">
        <v>49</v>
      </c>
      <c r="H328" t="s">
        <v>536</v>
      </c>
      <c r="I328" s="1">
        <v>45536</v>
      </c>
      <c r="J328" s="1">
        <v>45931</v>
      </c>
      <c r="K328" s="2">
        <v>1</v>
      </c>
      <c r="L328" s="2">
        <v>1</v>
      </c>
      <c r="N328" s="3">
        <v>1</v>
      </c>
      <c r="O328" s="2">
        <v>2</v>
      </c>
      <c r="P328" t="s">
        <v>416</v>
      </c>
      <c r="Q328" t="s">
        <v>1639</v>
      </c>
    </row>
    <row r="329" spans="1:17" x14ac:dyDescent="0.25">
      <c r="A329" s="4">
        <v>102050160600</v>
      </c>
      <c r="B329" s="4" t="str">
        <f t="shared" si="10"/>
        <v>1020501606000</v>
      </c>
      <c r="C329" s="4" t="str">
        <f t="shared" si="11"/>
        <v>102050160600OVR</v>
      </c>
      <c r="D329" t="s">
        <v>967</v>
      </c>
      <c r="E329">
        <v>20411454</v>
      </c>
      <c r="F329" t="s">
        <v>1663</v>
      </c>
      <c r="G329" t="s">
        <v>49</v>
      </c>
      <c r="H329" t="s">
        <v>536</v>
      </c>
      <c r="I329" s="1">
        <v>45536</v>
      </c>
      <c r="J329" s="1">
        <v>45931</v>
      </c>
      <c r="K329" s="2">
        <v>1</v>
      </c>
      <c r="L329" s="2">
        <v>1</v>
      </c>
      <c r="N329" s="3">
        <v>1</v>
      </c>
      <c r="O329" s="2">
        <v>2</v>
      </c>
      <c r="P329" t="s">
        <v>416</v>
      </c>
      <c r="Q329" t="s">
        <v>1639</v>
      </c>
    </row>
    <row r="330" spans="1:17" x14ac:dyDescent="0.25">
      <c r="A330" s="4">
        <v>102053113700</v>
      </c>
      <c r="B330" s="4" t="str">
        <f t="shared" si="10"/>
        <v>1020531137000</v>
      </c>
      <c r="C330" s="4" t="str">
        <f t="shared" si="11"/>
        <v>102053113700OVR</v>
      </c>
      <c r="D330" t="s">
        <v>988</v>
      </c>
      <c r="E330">
        <v>20411454</v>
      </c>
      <c r="F330" t="s">
        <v>1663</v>
      </c>
      <c r="G330" t="s">
        <v>49</v>
      </c>
      <c r="H330" t="s">
        <v>536</v>
      </c>
      <c r="I330" s="1">
        <v>45536</v>
      </c>
      <c r="J330" s="1">
        <v>45931</v>
      </c>
      <c r="K330" s="2">
        <v>1</v>
      </c>
      <c r="L330" s="2">
        <v>1</v>
      </c>
      <c r="N330" s="3">
        <v>1</v>
      </c>
      <c r="O330" s="2">
        <v>2</v>
      </c>
      <c r="P330" t="s">
        <v>416</v>
      </c>
      <c r="Q330" t="s">
        <v>1639</v>
      </c>
    </row>
    <row r="331" spans="1:17" x14ac:dyDescent="0.25">
      <c r="A331" s="4">
        <v>102059613800</v>
      </c>
      <c r="B331" s="4" t="str">
        <f t="shared" si="10"/>
        <v>1020596138000</v>
      </c>
      <c r="C331" s="4" t="str">
        <f t="shared" si="11"/>
        <v>102059613800OVR</v>
      </c>
      <c r="D331" t="s">
        <v>1025</v>
      </c>
      <c r="E331">
        <v>20411454</v>
      </c>
      <c r="F331" t="s">
        <v>1663</v>
      </c>
      <c r="G331" t="s">
        <v>49</v>
      </c>
      <c r="H331" t="s">
        <v>536</v>
      </c>
      <c r="I331" s="1">
        <v>45566</v>
      </c>
      <c r="J331" s="1">
        <v>45931</v>
      </c>
      <c r="K331" s="2">
        <v>1</v>
      </c>
      <c r="L331" s="2">
        <v>1</v>
      </c>
      <c r="N331" s="3">
        <v>1</v>
      </c>
      <c r="O331" s="2">
        <v>2</v>
      </c>
      <c r="P331" t="s">
        <v>416</v>
      </c>
      <c r="Q331" t="s">
        <v>1639</v>
      </c>
    </row>
    <row r="332" spans="1:17" x14ac:dyDescent="0.25">
      <c r="A332" s="4">
        <v>102059621800</v>
      </c>
      <c r="B332" s="4" t="str">
        <f t="shared" si="10"/>
        <v>1020596218000</v>
      </c>
      <c r="C332" s="4" t="str">
        <f t="shared" si="11"/>
        <v>102059621800OVR</v>
      </c>
      <c r="D332" t="s">
        <v>1027</v>
      </c>
      <c r="E332">
        <v>20411454</v>
      </c>
      <c r="F332" t="s">
        <v>1663</v>
      </c>
      <c r="G332" t="s">
        <v>49</v>
      </c>
      <c r="H332" t="s">
        <v>536</v>
      </c>
      <c r="I332" s="1">
        <v>45566</v>
      </c>
      <c r="J332" s="1">
        <v>45931</v>
      </c>
      <c r="K332" s="2">
        <v>1</v>
      </c>
      <c r="L332" s="2">
        <v>1</v>
      </c>
      <c r="N332" s="3">
        <v>1</v>
      </c>
      <c r="O332" s="2">
        <v>2</v>
      </c>
      <c r="P332" t="s">
        <v>416</v>
      </c>
      <c r="Q332" t="s">
        <v>1639</v>
      </c>
    </row>
    <row r="333" spans="1:17" x14ac:dyDescent="0.25">
      <c r="A333" s="4">
        <v>102063802200</v>
      </c>
      <c r="B333" s="4" t="str">
        <f t="shared" si="10"/>
        <v>1020638022000</v>
      </c>
      <c r="C333" s="4" t="str">
        <f t="shared" si="11"/>
        <v>102063802200OVR</v>
      </c>
      <c r="D333" t="s">
        <v>1047</v>
      </c>
      <c r="E333">
        <v>20411454</v>
      </c>
      <c r="F333" t="s">
        <v>1663</v>
      </c>
      <c r="G333" t="s">
        <v>49</v>
      </c>
      <c r="H333" t="s">
        <v>536</v>
      </c>
      <c r="I333" s="1">
        <v>45566</v>
      </c>
      <c r="J333" s="1">
        <v>45931</v>
      </c>
      <c r="K333" s="2">
        <v>1</v>
      </c>
      <c r="L333" s="2">
        <v>1</v>
      </c>
      <c r="N333" s="3">
        <v>1</v>
      </c>
      <c r="O333" s="2">
        <v>2</v>
      </c>
      <c r="P333" t="s">
        <v>416</v>
      </c>
      <c r="Q333" t="s">
        <v>1639</v>
      </c>
    </row>
    <row r="334" spans="1:17" x14ac:dyDescent="0.25">
      <c r="A334" s="4">
        <v>102063811100</v>
      </c>
      <c r="B334" s="4" t="str">
        <f t="shared" si="10"/>
        <v>1020638111000</v>
      </c>
      <c r="C334" s="4" t="str">
        <f t="shared" si="11"/>
        <v>102063811100OVR</v>
      </c>
      <c r="D334" t="s">
        <v>1049</v>
      </c>
      <c r="E334">
        <v>20411454</v>
      </c>
      <c r="F334" t="s">
        <v>1663</v>
      </c>
      <c r="G334" t="s">
        <v>49</v>
      </c>
      <c r="H334" t="s">
        <v>536</v>
      </c>
      <c r="I334" s="1">
        <v>45566</v>
      </c>
      <c r="J334" s="1">
        <v>45931</v>
      </c>
      <c r="K334" s="2">
        <v>1</v>
      </c>
      <c r="L334" s="2">
        <v>1</v>
      </c>
      <c r="N334" s="3">
        <v>1</v>
      </c>
      <c r="O334" s="2">
        <v>2</v>
      </c>
      <c r="P334" t="s">
        <v>416</v>
      </c>
      <c r="Q334" t="s">
        <v>1639</v>
      </c>
    </row>
    <row r="335" spans="1:17" x14ac:dyDescent="0.25">
      <c r="A335" s="4">
        <v>102064780500</v>
      </c>
      <c r="B335" s="4" t="str">
        <f t="shared" si="10"/>
        <v>1020647805000</v>
      </c>
      <c r="C335" s="4" t="str">
        <f t="shared" si="11"/>
        <v>102064780500OVR</v>
      </c>
      <c r="D335" t="s">
        <v>1055</v>
      </c>
      <c r="E335">
        <v>20411454</v>
      </c>
      <c r="F335" t="s">
        <v>1663</v>
      </c>
      <c r="G335" t="s">
        <v>49</v>
      </c>
      <c r="H335" t="s">
        <v>536</v>
      </c>
      <c r="I335" s="1">
        <v>45566</v>
      </c>
      <c r="J335" s="1">
        <v>45931</v>
      </c>
      <c r="K335" s="2">
        <v>1</v>
      </c>
      <c r="L335" s="2">
        <v>1</v>
      </c>
      <c r="N335" s="3">
        <v>1</v>
      </c>
      <c r="O335" s="2">
        <v>2</v>
      </c>
      <c r="P335" t="s">
        <v>416</v>
      </c>
      <c r="Q335" t="s">
        <v>1639</v>
      </c>
    </row>
    <row r="336" spans="1:17" x14ac:dyDescent="0.25">
      <c r="A336" s="4">
        <v>102070306300</v>
      </c>
      <c r="B336" s="4" t="str">
        <f t="shared" si="10"/>
        <v>1020703063000</v>
      </c>
      <c r="C336" s="4" t="str">
        <f t="shared" si="11"/>
        <v>102070306300OVR</v>
      </c>
      <c r="D336" t="s">
        <v>1079</v>
      </c>
      <c r="E336">
        <v>20411454</v>
      </c>
      <c r="F336" t="s">
        <v>1663</v>
      </c>
      <c r="G336" t="s">
        <v>49</v>
      </c>
      <c r="H336" t="s">
        <v>536</v>
      </c>
      <c r="I336" s="1">
        <v>45597</v>
      </c>
      <c r="J336" s="1">
        <v>45931</v>
      </c>
      <c r="K336" s="2">
        <v>1</v>
      </c>
      <c r="L336" s="2">
        <v>1</v>
      </c>
      <c r="N336" s="3">
        <v>1</v>
      </c>
      <c r="O336" s="2">
        <v>2</v>
      </c>
      <c r="P336" t="s">
        <v>416</v>
      </c>
      <c r="Q336" t="s">
        <v>1639</v>
      </c>
    </row>
    <row r="337" spans="1:17" x14ac:dyDescent="0.25">
      <c r="A337" s="4">
        <v>102079872100</v>
      </c>
      <c r="B337" s="4" t="str">
        <f t="shared" si="10"/>
        <v>1020798721000</v>
      </c>
      <c r="C337" s="4" t="str">
        <f t="shared" si="11"/>
        <v>102079872100OVR</v>
      </c>
      <c r="D337" t="s">
        <v>1097</v>
      </c>
      <c r="E337">
        <v>20411454</v>
      </c>
      <c r="F337" t="s">
        <v>1663</v>
      </c>
      <c r="G337" t="s">
        <v>49</v>
      </c>
      <c r="H337" t="s">
        <v>536</v>
      </c>
      <c r="I337" s="1">
        <v>45597</v>
      </c>
      <c r="J337" s="1">
        <v>45931</v>
      </c>
      <c r="K337" s="2">
        <v>1</v>
      </c>
      <c r="L337" s="2">
        <v>1</v>
      </c>
      <c r="N337" s="3">
        <v>1</v>
      </c>
      <c r="O337" s="2">
        <v>2</v>
      </c>
      <c r="P337" t="s">
        <v>416</v>
      </c>
      <c r="Q337" t="s">
        <v>1639</v>
      </c>
    </row>
    <row r="338" spans="1:17" x14ac:dyDescent="0.25">
      <c r="A338" s="4">
        <v>101825784200</v>
      </c>
      <c r="B338" s="4" t="str">
        <f t="shared" si="10"/>
        <v>1018257842000</v>
      </c>
      <c r="C338" s="4" t="str">
        <f t="shared" si="11"/>
        <v>101825784200OVR</v>
      </c>
      <c r="D338" t="s">
        <v>777</v>
      </c>
      <c r="E338">
        <v>20411454</v>
      </c>
      <c r="F338" t="s">
        <v>1663</v>
      </c>
      <c r="G338" t="s">
        <v>49</v>
      </c>
      <c r="H338" t="s">
        <v>536</v>
      </c>
      <c r="I338" s="1">
        <v>45901</v>
      </c>
      <c r="J338" s="1">
        <v>45931</v>
      </c>
      <c r="K338" s="2">
        <v>0</v>
      </c>
      <c r="L338" s="2">
        <v>16.670000000000002</v>
      </c>
      <c r="M338">
        <v>1</v>
      </c>
      <c r="N338" s="3">
        <v>1</v>
      </c>
      <c r="O338" s="2">
        <v>16.670000000000002</v>
      </c>
      <c r="P338" t="s">
        <v>1317</v>
      </c>
      <c r="Q338" t="s">
        <v>1639</v>
      </c>
    </row>
    <row r="339" spans="1:17" x14ac:dyDescent="0.25">
      <c r="A339" s="4">
        <v>101948431000</v>
      </c>
      <c r="B339" s="4" t="str">
        <f t="shared" si="10"/>
        <v>1019484310000</v>
      </c>
      <c r="C339" s="4" t="str">
        <f t="shared" si="11"/>
        <v>101948431000OVR</v>
      </c>
      <c r="D339" t="s">
        <v>1319</v>
      </c>
      <c r="E339">
        <v>20411454</v>
      </c>
      <c r="F339" t="s">
        <v>1663</v>
      </c>
      <c r="G339" t="s">
        <v>49</v>
      </c>
      <c r="H339" t="s">
        <v>536</v>
      </c>
      <c r="I339" s="1">
        <v>45901</v>
      </c>
      <c r="J339" s="1">
        <v>45931</v>
      </c>
      <c r="K339" s="2">
        <v>0</v>
      </c>
      <c r="L339" s="2">
        <v>16.670000000000002</v>
      </c>
      <c r="M339">
        <v>1</v>
      </c>
      <c r="N339" s="3">
        <v>1</v>
      </c>
      <c r="O339" s="2">
        <v>16.670000000000002</v>
      </c>
      <c r="P339" t="s">
        <v>1317</v>
      </c>
      <c r="Q339" t="s">
        <v>1639</v>
      </c>
    </row>
    <row r="340" spans="1:17" x14ac:dyDescent="0.25">
      <c r="A340" s="4">
        <v>102192327300</v>
      </c>
      <c r="B340" s="4" t="str">
        <f t="shared" si="10"/>
        <v>1021923273000</v>
      </c>
      <c r="C340" s="4" t="str">
        <f t="shared" si="11"/>
        <v>102192327300OVR</v>
      </c>
      <c r="D340" t="s">
        <v>1321</v>
      </c>
      <c r="E340">
        <v>20411454</v>
      </c>
      <c r="F340" t="s">
        <v>1663</v>
      </c>
      <c r="G340" t="s">
        <v>49</v>
      </c>
      <c r="H340" t="s">
        <v>536</v>
      </c>
      <c r="I340" s="1">
        <v>45962</v>
      </c>
      <c r="J340" s="1">
        <v>45992</v>
      </c>
      <c r="K340" s="2">
        <v>0</v>
      </c>
      <c r="L340" s="2">
        <v>8.33</v>
      </c>
      <c r="M340">
        <v>1</v>
      </c>
      <c r="N340" s="3">
        <v>1</v>
      </c>
      <c r="O340" s="2">
        <v>8.33</v>
      </c>
      <c r="P340" t="s">
        <v>1324</v>
      </c>
      <c r="Q340" t="s">
        <v>1639</v>
      </c>
    </row>
    <row r="341" spans="1:17" x14ac:dyDescent="0.25">
      <c r="A341" s="4">
        <v>102192330700</v>
      </c>
      <c r="B341" s="4" t="str">
        <f t="shared" si="10"/>
        <v>1021923307000</v>
      </c>
      <c r="C341" s="4" t="str">
        <f t="shared" si="11"/>
        <v>102192330700OVR</v>
      </c>
      <c r="D341" t="s">
        <v>1326</v>
      </c>
      <c r="E341">
        <v>20411454</v>
      </c>
      <c r="F341" t="s">
        <v>1663</v>
      </c>
      <c r="G341" t="s">
        <v>49</v>
      </c>
      <c r="H341" t="s">
        <v>536</v>
      </c>
      <c r="I341" s="1">
        <v>45901</v>
      </c>
      <c r="J341" s="1">
        <v>45931</v>
      </c>
      <c r="K341" s="2">
        <v>0</v>
      </c>
      <c r="L341" s="2">
        <v>16.670000000000002</v>
      </c>
      <c r="M341">
        <v>1</v>
      </c>
      <c r="N341" s="3">
        <v>1</v>
      </c>
      <c r="O341" s="2">
        <v>16.670000000000002</v>
      </c>
      <c r="P341" t="s">
        <v>1317</v>
      </c>
      <c r="Q341" t="s">
        <v>1639</v>
      </c>
    </row>
    <row r="342" spans="1:17" x14ac:dyDescent="0.25">
      <c r="A342" s="4">
        <v>102193141200</v>
      </c>
      <c r="B342" s="4" t="str">
        <f t="shared" si="10"/>
        <v>1021931412000</v>
      </c>
      <c r="C342" s="4" t="str">
        <f t="shared" si="11"/>
        <v>102193141200OVR</v>
      </c>
      <c r="D342" t="s">
        <v>1328</v>
      </c>
      <c r="E342">
        <v>20411454</v>
      </c>
      <c r="F342" t="s">
        <v>1663</v>
      </c>
      <c r="G342" t="s">
        <v>49</v>
      </c>
      <c r="H342" t="s">
        <v>536</v>
      </c>
      <c r="I342" s="1">
        <v>45901</v>
      </c>
      <c r="J342" s="1">
        <v>45931</v>
      </c>
      <c r="K342" s="2">
        <v>0</v>
      </c>
      <c r="L342" s="2">
        <v>16.670000000000002</v>
      </c>
      <c r="M342">
        <v>1</v>
      </c>
      <c r="N342" s="3">
        <v>1</v>
      </c>
      <c r="O342" s="2">
        <v>16.670000000000002</v>
      </c>
      <c r="P342" t="s">
        <v>1317</v>
      </c>
      <c r="Q342" t="s">
        <v>1639</v>
      </c>
    </row>
    <row r="343" spans="1:17" x14ac:dyDescent="0.25">
      <c r="A343" s="4">
        <v>102193288000</v>
      </c>
      <c r="B343" s="4" t="str">
        <f t="shared" si="10"/>
        <v>1021932880000</v>
      </c>
      <c r="C343" s="4" t="str">
        <f t="shared" si="11"/>
        <v>102193288000OVR</v>
      </c>
      <c r="D343" t="s">
        <v>1332</v>
      </c>
      <c r="E343">
        <v>20411454</v>
      </c>
      <c r="F343" t="s">
        <v>1663</v>
      </c>
      <c r="G343" t="s">
        <v>49</v>
      </c>
      <c r="H343" t="s">
        <v>536</v>
      </c>
      <c r="I343" s="1">
        <v>45901</v>
      </c>
      <c r="J343" s="1">
        <v>45931</v>
      </c>
      <c r="K343" s="2">
        <v>0</v>
      </c>
      <c r="L343" s="2">
        <v>16.670000000000002</v>
      </c>
      <c r="M343">
        <v>1</v>
      </c>
      <c r="N343" s="3">
        <v>1</v>
      </c>
      <c r="O343" s="2">
        <v>16.670000000000002</v>
      </c>
      <c r="P343" t="s">
        <v>1317</v>
      </c>
      <c r="Q343" t="s">
        <v>1639</v>
      </c>
    </row>
    <row r="344" spans="1:17" x14ac:dyDescent="0.25">
      <c r="A344" s="4">
        <v>102193378500</v>
      </c>
      <c r="B344" s="4" t="str">
        <f t="shared" si="10"/>
        <v>1021933785000</v>
      </c>
      <c r="C344" s="4" t="str">
        <f t="shared" si="11"/>
        <v>102193378500OVR</v>
      </c>
      <c r="D344" t="s">
        <v>1336</v>
      </c>
      <c r="E344">
        <v>20411454</v>
      </c>
      <c r="F344" t="s">
        <v>1663</v>
      </c>
      <c r="G344" t="s">
        <v>49</v>
      </c>
      <c r="H344" t="s">
        <v>536</v>
      </c>
      <c r="I344" s="1">
        <v>45931</v>
      </c>
      <c r="J344" s="1">
        <v>45962</v>
      </c>
      <c r="K344" s="2">
        <v>0</v>
      </c>
      <c r="L344" s="2">
        <v>12.5</v>
      </c>
      <c r="M344">
        <v>1</v>
      </c>
      <c r="N344" s="3">
        <v>1</v>
      </c>
      <c r="O344" s="2">
        <v>12.5</v>
      </c>
      <c r="P344" t="s">
        <v>1337</v>
      </c>
      <c r="Q344" t="s">
        <v>1639</v>
      </c>
    </row>
    <row r="345" spans="1:17" x14ac:dyDescent="0.25">
      <c r="A345" s="4">
        <v>102193425800</v>
      </c>
      <c r="B345" s="4" t="str">
        <f t="shared" si="10"/>
        <v>1021934258000</v>
      </c>
      <c r="C345" s="4" t="str">
        <f t="shared" si="11"/>
        <v>102193425800OVR</v>
      </c>
      <c r="D345" t="s">
        <v>1339</v>
      </c>
      <c r="E345">
        <v>20411454</v>
      </c>
      <c r="F345" t="s">
        <v>1663</v>
      </c>
      <c r="G345" t="s">
        <v>49</v>
      </c>
      <c r="H345" t="s">
        <v>536</v>
      </c>
      <c r="I345" s="1">
        <v>45931</v>
      </c>
      <c r="J345" s="1">
        <v>45962</v>
      </c>
      <c r="K345" s="2">
        <v>0</v>
      </c>
      <c r="L345" s="2">
        <v>12.5</v>
      </c>
      <c r="M345">
        <v>1</v>
      </c>
      <c r="N345" s="3">
        <v>1</v>
      </c>
      <c r="O345" s="2">
        <v>12.5</v>
      </c>
      <c r="P345" t="s">
        <v>1337</v>
      </c>
      <c r="Q345" t="s">
        <v>1639</v>
      </c>
    </row>
    <row r="346" spans="1:17" x14ac:dyDescent="0.25">
      <c r="A346" s="4">
        <v>102193606100</v>
      </c>
      <c r="B346" s="4" t="str">
        <f t="shared" si="10"/>
        <v>1021936061000</v>
      </c>
      <c r="C346" s="4" t="str">
        <f t="shared" si="11"/>
        <v>102193606100OVR</v>
      </c>
      <c r="D346" t="s">
        <v>1341</v>
      </c>
      <c r="E346">
        <v>20411454</v>
      </c>
      <c r="F346" t="s">
        <v>1663</v>
      </c>
      <c r="G346" t="s">
        <v>49</v>
      </c>
      <c r="H346" t="s">
        <v>536</v>
      </c>
      <c r="I346" s="1">
        <v>45992</v>
      </c>
      <c r="J346" s="1">
        <v>46023</v>
      </c>
      <c r="K346" s="2">
        <v>0</v>
      </c>
      <c r="L346" s="2">
        <v>4.17</v>
      </c>
      <c r="M346">
        <v>1</v>
      </c>
      <c r="N346" s="3">
        <v>1</v>
      </c>
      <c r="O346" s="2">
        <v>4.17</v>
      </c>
      <c r="P346" t="s">
        <v>1342</v>
      </c>
      <c r="Q346" t="s">
        <v>1639</v>
      </c>
    </row>
    <row r="347" spans="1:17" x14ac:dyDescent="0.25">
      <c r="A347" s="4">
        <v>101825784200</v>
      </c>
      <c r="B347" s="4">
        <v>101825784200</v>
      </c>
      <c r="C347" s="4" t="str">
        <f t="shared" si="11"/>
        <v>101825784200OVR</v>
      </c>
      <c r="D347" t="s">
        <v>777</v>
      </c>
      <c r="E347">
        <v>20411454</v>
      </c>
      <c r="F347" t="s">
        <v>1663</v>
      </c>
      <c r="G347" t="s">
        <v>1391</v>
      </c>
      <c r="H347" t="s">
        <v>536</v>
      </c>
      <c r="I347" s="1">
        <v>45931</v>
      </c>
      <c r="J347" s="1">
        <v>45962</v>
      </c>
      <c r="O347">
        <v>-12.5</v>
      </c>
      <c r="Q347" t="s">
        <v>1639</v>
      </c>
    </row>
    <row r="348" spans="1:17" x14ac:dyDescent="0.25">
      <c r="A348" s="4" t="s">
        <v>1567</v>
      </c>
      <c r="B348" s="4" t="str">
        <f t="shared" ref="B348:B357" si="12">CONCATENATE(A348,0)</f>
        <v>614W137560</v>
      </c>
      <c r="C348" s="4" t="str">
        <f t="shared" si="11"/>
        <v>614W13756OVR</v>
      </c>
      <c r="D348" t="s">
        <v>1157</v>
      </c>
      <c r="E348">
        <v>20411454</v>
      </c>
      <c r="F348" t="s">
        <v>1663</v>
      </c>
      <c r="G348" t="s">
        <v>58</v>
      </c>
      <c r="H348" t="s">
        <v>1158</v>
      </c>
      <c r="I348" s="1">
        <v>45566</v>
      </c>
      <c r="J348" s="1">
        <v>46023</v>
      </c>
      <c r="K348" s="2">
        <v>1</v>
      </c>
      <c r="L348" s="2">
        <v>1</v>
      </c>
      <c r="N348" s="3">
        <v>1</v>
      </c>
      <c r="O348" s="2">
        <v>12.5</v>
      </c>
      <c r="P348" t="s">
        <v>1153</v>
      </c>
      <c r="Q348" t="s">
        <v>1640</v>
      </c>
    </row>
    <row r="349" spans="1:17" x14ac:dyDescent="0.25">
      <c r="A349" s="4" t="s">
        <v>1568</v>
      </c>
      <c r="B349" s="4" t="str">
        <f t="shared" si="12"/>
        <v>829W215440</v>
      </c>
      <c r="C349" s="4" t="str">
        <f t="shared" si="11"/>
        <v>829W21544OVR</v>
      </c>
      <c r="D349" t="s">
        <v>1160</v>
      </c>
      <c r="E349">
        <v>20411454</v>
      </c>
      <c r="F349" t="s">
        <v>1663</v>
      </c>
      <c r="G349" t="s">
        <v>49</v>
      </c>
      <c r="H349" t="s">
        <v>1158</v>
      </c>
      <c r="I349" s="1">
        <v>45597</v>
      </c>
      <c r="J349" s="1">
        <v>46113</v>
      </c>
      <c r="K349" s="2">
        <v>1</v>
      </c>
      <c r="L349" s="2">
        <v>1</v>
      </c>
      <c r="N349" s="3">
        <v>1</v>
      </c>
      <c r="O349" s="2">
        <v>12.5</v>
      </c>
      <c r="P349" t="s">
        <v>1153</v>
      </c>
      <c r="Q349" t="s">
        <v>1640</v>
      </c>
    </row>
    <row r="350" spans="1:17" x14ac:dyDescent="0.25">
      <c r="A350" s="4" t="s">
        <v>1571</v>
      </c>
      <c r="B350" s="4" t="str">
        <f t="shared" si="12"/>
        <v>948W212160</v>
      </c>
      <c r="C350" s="4" t="str">
        <f t="shared" si="11"/>
        <v>948W21216OVR</v>
      </c>
      <c r="D350" t="s">
        <v>1177</v>
      </c>
      <c r="E350">
        <v>20411454</v>
      </c>
      <c r="F350" t="s">
        <v>1663</v>
      </c>
      <c r="G350" t="s">
        <v>49</v>
      </c>
      <c r="H350" t="s">
        <v>1158</v>
      </c>
      <c r="I350" s="1">
        <v>45536</v>
      </c>
      <c r="J350" s="1">
        <v>45992</v>
      </c>
      <c r="K350" s="2">
        <v>1</v>
      </c>
      <c r="L350" s="2">
        <v>1</v>
      </c>
      <c r="N350" s="3">
        <v>1</v>
      </c>
      <c r="O350" s="2">
        <v>12.5</v>
      </c>
      <c r="P350" t="s">
        <v>1153</v>
      </c>
      <c r="Q350" t="s">
        <v>1640</v>
      </c>
    </row>
    <row r="351" spans="1:17" x14ac:dyDescent="0.25">
      <c r="A351" s="4" t="s">
        <v>1565</v>
      </c>
      <c r="B351" s="4" t="str">
        <f t="shared" si="12"/>
        <v>140W109310</v>
      </c>
      <c r="C351" s="4" t="str">
        <f t="shared" si="11"/>
        <v>140W10931OVR</v>
      </c>
      <c r="D351" t="s">
        <v>1149</v>
      </c>
      <c r="E351">
        <v>20411454</v>
      </c>
      <c r="F351" t="s">
        <v>1663</v>
      </c>
      <c r="G351" t="s">
        <v>49</v>
      </c>
      <c r="H351" t="s">
        <v>1152</v>
      </c>
      <c r="I351" s="1">
        <v>45717</v>
      </c>
      <c r="J351" s="1">
        <v>46174</v>
      </c>
      <c r="K351" s="2">
        <v>1</v>
      </c>
      <c r="L351" s="2">
        <v>1</v>
      </c>
      <c r="N351" s="3">
        <v>1</v>
      </c>
      <c r="O351" s="2">
        <v>7</v>
      </c>
      <c r="P351" t="s">
        <v>1153</v>
      </c>
      <c r="Q351" t="s">
        <v>1640</v>
      </c>
    </row>
    <row r="352" spans="1:17" x14ac:dyDescent="0.25">
      <c r="A352" s="4" t="s">
        <v>1566</v>
      </c>
      <c r="B352" s="4" t="str">
        <f t="shared" si="12"/>
        <v>283W175780</v>
      </c>
      <c r="C352" s="4" t="str">
        <f t="shared" si="11"/>
        <v>283W17578OVR</v>
      </c>
      <c r="D352" t="s">
        <v>1155</v>
      </c>
      <c r="E352">
        <v>20411454</v>
      </c>
      <c r="F352" t="s">
        <v>1663</v>
      </c>
      <c r="G352" t="s">
        <v>49</v>
      </c>
      <c r="H352" t="s">
        <v>1152</v>
      </c>
      <c r="I352" s="1">
        <v>45658</v>
      </c>
      <c r="J352" s="1">
        <v>46113</v>
      </c>
      <c r="K352" s="2">
        <v>1</v>
      </c>
      <c r="L352" s="2">
        <v>1</v>
      </c>
      <c r="N352" s="3">
        <v>1</v>
      </c>
      <c r="O352" s="2">
        <v>7</v>
      </c>
      <c r="P352" t="s">
        <v>1153</v>
      </c>
      <c r="Q352" t="s">
        <v>1640</v>
      </c>
    </row>
    <row r="353" spans="1:40" x14ac:dyDescent="0.25">
      <c r="A353" s="4" t="s">
        <v>1623</v>
      </c>
      <c r="B353" s="4" t="str">
        <f t="shared" si="12"/>
        <v>18R5U3H940</v>
      </c>
      <c r="C353" s="4" t="str">
        <f t="shared" si="11"/>
        <v>18R5U3H94OVR</v>
      </c>
      <c r="D353" t="s">
        <v>1344</v>
      </c>
      <c r="E353">
        <v>20411454</v>
      </c>
      <c r="F353" t="s">
        <v>1663</v>
      </c>
      <c r="G353" t="s">
        <v>49</v>
      </c>
      <c r="H353" t="s">
        <v>1345</v>
      </c>
      <c r="I353" s="1">
        <v>45717</v>
      </c>
      <c r="J353" s="1">
        <v>45931</v>
      </c>
      <c r="K353" s="2">
        <v>0</v>
      </c>
      <c r="L353" s="2">
        <v>100</v>
      </c>
      <c r="M353">
        <v>1</v>
      </c>
      <c r="N353" s="3">
        <v>1</v>
      </c>
      <c r="O353" s="2">
        <v>100</v>
      </c>
      <c r="Q353" t="s">
        <v>1641</v>
      </c>
    </row>
    <row r="354" spans="1:40" x14ac:dyDescent="0.25">
      <c r="A354" s="4" t="s">
        <v>1624</v>
      </c>
      <c r="B354" s="4" t="str">
        <f t="shared" si="12"/>
        <v>32F8A3X710</v>
      </c>
      <c r="C354" s="4" t="str">
        <f t="shared" si="11"/>
        <v>32F8A3X71OVR</v>
      </c>
      <c r="D354" t="s">
        <v>1347</v>
      </c>
      <c r="E354">
        <v>20411454</v>
      </c>
      <c r="F354" t="s">
        <v>1663</v>
      </c>
      <c r="G354" t="s">
        <v>49</v>
      </c>
      <c r="H354" t="s">
        <v>1345</v>
      </c>
      <c r="I354" s="1">
        <v>45839</v>
      </c>
      <c r="J354" s="1">
        <v>45931</v>
      </c>
      <c r="K354" s="2">
        <v>0</v>
      </c>
      <c r="L354" s="2">
        <v>100</v>
      </c>
      <c r="M354">
        <v>1</v>
      </c>
      <c r="N354" s="3">
        <v>1</v>
      </c>
      <c r="O354" s="2">
        <v>100</v>
      </c>
      <c r="Q354" t="s">
        <v>1641</v>
      </c>
    </row>
    <row r="355" spans="1:40" x14ac:dyDescent="0.25">
      <c r="A355" s="4" t="s">
        <v>1625</v>
      </c>
      <c r="B355" s="4" t="str">
        <f t="shared" si="12"/>
        <v>35X3H1X410</v>
      </c>
      <c r="C355" s="4" t="str">
        <f t="shared" si="11"/>
        <v>35X3H1X41OVR</v>
      </c>
      <c r="D355" t="s">
        <v>1349</v>
      </c>
      <c r="E355">
        <v>20411454</v>
      </c>
      <c r="F355" t="s">
        <v>1663</v>
      </c>
      <c r="G355" t="s">
        <v>49</v>
      </c>
      <c r="H355" t="s">
        <v>1345</v>
      </c>
      <c r="I355" s="1">
        <v>45870</v>
      </c>
      <c r="J355" s="1">
        <v>45931</v>
      </c>
      <c r="K355" s="2">
        <v>0</v>
      </c>
      <c r="L355" s="2">
        <v>100</v>
      </c>
      <c r="M355">
        <v>1</v>
      </c>
      <c r="N355" s="3">
        <v>1</v>
      </c>
      <c r="O355" s="2">
        <v>100</v>
      </c>
      <c r="Q355" t="s">
        <v>1641</v>
      </c>
    </row>
    <row r="356" spans="1:40" x14ac:dyDescent="0.25">
      <c r="A356" s="4" t="s">
        <v>1626</v>
      </c>
      <c r="B356" s="4" t="str">
        <f t="shared" si="12"/>
        <v>36F8L5X890</v>
      </c>
      <c r="C356" s="4" t="str">
        <f t="shared" si="11"/>
        <v>36F8L5X89OVR</v>
      </c>
      <c r="D356" t="s">
        <v>1351</v>
      </c>
      <c r="E356">
        <v>20411454</v>
      </c>
      <c r="F356" t="s">
        <v>1663</v>
      </c>
      <c r="G356" t="s">
        <v>49</v>
      </c>
      <c r="H356" t="s">
        <v>1345</v>
      </c>
      <c r="I356" s="1">
        <v>45870</v>
      </c>
      <c r="J356" s="1">
        <v>45931</v>
      </c>
      <c r="K356" s="2">
        <v>0</v>
      </c>
      <c r="L356" s="2">
        <v>100</v>
      </c>
      <c r="M356">
        <v>1</v>
      </c>
      <c r="N356" s="3">
        <v>1</v>
      </c>
      <c r="O356" s="2">
        <v>100</v>
      </c>
      <c r="Q356" t="s">
        <v>1641</v>
      </c>
    </row>
    <row r="357" spans="1:40" x14ac:dyDescent="0.25">
      <c r="A357" s="4" t="s">
        <v>1627</v>
      </c>
      <c r="B357" s="4" t="str">
        <f t="shared" si="12"/>
        <v>59H7H1X370</v>
      </c>
      <c r="C357" s="4" t="str">
        <f t="shared" si="11"/>
        <v>59H7H1X37OVR</v>
      </c>
      <c r="D357" t="s">
        <v>1353</v>
      </c>
      <c r="E357">
        <v>20411454</v>
      </c>
      <c r="F357" t="s">
        <v>1663</v>
      </c>
      <c r="G357" t="s">
        <v>49</v>
      </c>
      <c r="H357" t="s">
        <v>1345</v>
      </c>
      <c r="I357" s="1">
        <v>45870</v>
      </c>
      <c r="J357" s="1">
        <v>45931</v>
      </c>
      <c r="K357" s="2">
        <v>0</v>
      </c>
      <c r="L357" s="2">
        <v>100</v>
      </c>
      <c r="M357">
        <v>1</v>
      </c>
      <c r="N357" s="3">
        <v>1</v>
      </c>
      <c r="O357" s="2">
        <v>100</v>
      </c>
      <c r="Q357" t="s">
        <v>1641</v>
      </c>
    </row>
    <row r="358" spans="1:40" x14ac:dyDescent="0.25">
      <c r="A358" s="5" t="s">
        <v>1432</v>
      </c>
      <c r="B358" s="5" t="str">
        <f t="shared" ref="B358:B384" si="13">CONCATENATE(A358,1)</f>
        <v>00021836561K1</v>
      </c>
      <c r="C358" s="5" t="s">
        <v>1679</v>
      </c>
      <c r="D358" s="6" t="s">
        <v>134</v>
      </c>
      <c r="E358" s="6">
        <v>7470776</v>
      </c>
      <c r="F358" s="6" t="s">
        <v>92</v>
      </c>
      <c r="G358" s="6" t="s">
        <v>49</v>
      </c>
      <c r="H358" s="6" t="s">
        <v>126</v>
      </c>
      <c r="I358" s="7">
        <v>45474</v>
      </c>
      <c r="J358" s="1">
        <v>45931</v>
      </c>
      <c r="K358" s="8">
        <v>1</v>
      </c>
      <c r="L358" s="8">
        <v>1</v>
      </c>
      <c r="M358" s="6"/>
      <c r="N358" s="9">
        <v>1</v>
      </c>
      <c r="O358" s="8">
        <v>25.5</v>
      </c>
      <c r="P358" s="6" t="s">
        <v>94</v>
      </c>
      <c r="Q358" s="6" t="s">
        <v>1643</v>
      </c>
      <c r="R358" s="6" t="s">
        <v>1738</v>
      </c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</row>
    <row r="359" spans="1:40" x14ac:dyDescent="0.25">
      <c r="A359" s="5" t="s">
        <v>1434</v>
      </c>
      <c r="B359" s="5" t="str">
        <f t="shared" si="13"/>
        <v>00021836597K1</v>
      </c>
      <c r="C359" s="5" t="s">
        <v>1680</v>
      </c>
      <c r="D359" s="6" t="s">
        <v>137</v>
      </c>
      <c r="E359" s="6">
        <v>7470776</v>
      </c>
      <c r="F359" s="6" t="s">
        <v>92</v>
      </c>
      <c r="G359" s="6" t="s">
        <v>49</v>
      </c>
      <c r="H359" s="6" t="s">
        <v>126</v>
      </c>
      <c r="I359" s="7">
        <v>45474</v>
      </c>
      <c r="J359" s="1">
        <v>45931</v>
      </c>
      <c r="K359" s="8">
        <v>1</v>
      </c>
      <c r="L359" s="8">
        <v>1</v>
      </c>
      <c r="M359" s="6"/>
      <c r="N359" s="9">
        <v>1</v>
      </c>
      <c r="O359" s="8">
        <v>25.5</v>
      </c>
      <c r="P359" s="6" t="s">
        <v>94</v>
      </c>
      <c r="Q359" s="6" t="s">
        <v>1643</v>
      </c>
      <c r="R359" s="6" t="s">
        <v>1738</v>
      </c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</row>
    <row r="360" spans="1:40" x14ac:dyDescent="0.25">
      <c r="A360" s="5" t="s">
        <v>1444</v>
      </c>
      <c r="B360" s="5" t="str">
        <f t="shared" si="13"/>
        <v>00021865984K1</v>
      </c>
      <c r="C360" s="5" t="s">
        <v>1681</v>
      </c>
      <c r="D360" s="6" t="s">
        <v>157</v>
      </c>
      <c r="E360" s="6">
        <v>7470776</v>
      </c>
      <c r="F360" s="6" t="s">
        <v>92</v>
      </c>
      <c r="G360" s="6" t="s">
        <v>49</v>
      </c>
      <c r="H360" s="6" t="s">
        <v>126</v>
      </c>
      <c r="I360" s="7">
        <v>45474</v>
      </c>
      <c r="J360" s="1">
        <v>45931</v>
      </c>
      <c r="K360" s="8">
        <v>1</v>
      </c>
      <c r="L360" s="8">
        <v>1</v>
      </c>
      <c r="M360" s="6"/>
      <c r="N360" s="9">
        <v>1</v>
      </c>
      <c r="O360" s="8">
        <v>25.5</v>
      </c>
      <c r="P360" s="6" t="s">
        <v>94</v>
      </c>
      <c r="Q360" s="6" t="s">
        <v>1643</v>
      </c>
      <c r="R360" s="6" t="s">
        <v>1738</v>
      </c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</row>
    <row r="361" spans="1:40" x14ac:dyDescent="0.25">
      <c r="A361" s="5" t="s">
        <v>1450</v>
      </c>
      <c r="B361" s="5" t="str">
        <f t="shared" si="13"/>
        <v>00021882434K1</v>
      </c>
      <c r="C361" s="5" t="s">
        <v>1682</v>
      </c>
      <c r="D361" s="6" t="s">
        <v>170</v>
      </c>
      <c r="E361" s="6">
        <v>7470776</v>
      </c>
      <c r="F361" s="6" t="s">
        <v>92</v>
      </c>
      <c r="G361" s="6" t="s">
        <v>49</v>
      </c>
      <c r="H361" s="6" t="s">
        <v>126</v>
      </c>
      <c r="I361" s="7">
        <v>45474</v>
      </c>
      <c r="J361" s="1">
        <v>45931</v>
      </c>
      <c r="K361" s="8">
        <v>1</v>
      </c>
      <c r="L361" s="8">
        <v>1</v>
      </c>
      <c r="M361" s="6"/>
      <c r="N361" s="9">
        <v>1</v>
      </c>
      <c r="O361" s="8">
        <v>25.5</v>
      </c>
      <c r="P361" s="6" t="s">
        <v>94</v>
      </c>
      <c r="Q361" s="6" t="s">
        <v>1643</v>
      </c>
      <c r="R361" s="6" t="s">
        <v>1738</v>
      </c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</row>
    <row r="362" spans="1:40" x14ac:dyDescent="0.25">
      <c r="A362" s="5" t="s">
        <v>1458</v>
      </c>
      <c r="B362" s="5" t="str">
        <f t="shared" si="13"/>
        <v>00021895977K1</v>
      </c>
      <c r="C362" s="5" t="s">
        <v>1683</v>
      </c>
      <c r="D362" s="6" t="s">
        <v>187</v>
      </c>
      <c r="E362" s="6">
        <v>7470776</v>
      </c>
      <c r="F362" s="6" t="s">
        <v>92</v>
      </c>
      <c r="G362" s="6" t="s">
        <v>49</v>
      </c>
      <c r="H362" s="6" t="s">
        <v>126</v>
      </c>
      <c r="I362" s="7">
        <v>45505</v>
      </c>
      <c r="J362" s="1">
        <v>45931</v>
      </c>
      <c r="K362" s="8">
        <v>1</v>
      </c>
      <c r="L362" s="8">
        <v>1</v>
      </c>
      <c r="M362" s="6"/>
      <c r="N362" s="9">
        <v>1</v>
      </c>
      <c r="O362" s="8">
        <v>25.5</v>
      </c>
      <c r="P362" s="6" t="s">
        <v>94</v>
      </c>
      <c r="Q362" s="6" t="s">
        <v>1643</v>
      </c>
      <c r="R362" s="6" t="s">
        <v>1738</v>
      </c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</row>
    <row r="363" spans="1:40" x14ac:dyDescent="0.25">
      <c r="A363" s="5" t="s">
        <v>1463</v>
      </c>
      <c r="B363" s="5" t="str">
        <f t="shared" si="13"/>
        <v>00021917176K1</v>
      </c>
      <c r="C363" s="5" t="s">
        <v>1684</v>
      </c>
      <c r="D363" s="6" t="s">
        <v>196</v>
      </c>
      <c r="E363" s="6">
        <v>7470776</v>
      </c>
      <c r="F363" s="6" t="s">
        <v>92</v>
      </c>
      <c r="G363" s="6" t="s">
        <v>49</v>
      </c>
      <c r="H363" s="6" t="s">
        <v>126</v>
      </c>
      <c r="I363" s="7">
        <v>45505</v>
      </c>
      <c r="J363" s="1">
        <v>45931</v>
      </c>
      <c r="K363" s="8">
        <v>1</v>
      </c>
      <c r="L363" s="8">
        <v>1</v>
      </c>
      <c r="M363" s="6"/>
      <c r="N363" s="9">
        <v>1</v>
      </c>
      <c r="O363" s="8">
        <v>25.5</v>
      </c>
      <c r="P363" s="6" t="s">
        <v>94</v>
      </c>
      <c r="Q363" s="6" t="s">
        <v>1643</v>
      </c>
      <c r="R363" s="6" t="s">
        <v>1738</v>
      </c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</row>
    <row r="364" spans="1:40" x14ac:dyDescent="0.25">
      <c r="A364" s="5" t="s">
        <v>1477</v>
      </c>
      <c r="B364" s="5" t="str">
        <f t="shared" si="13"/>
        <v>00021973839K1</v>
      </c>
      <c r="C364" s="5" t="s">
        <v>1685</v>
      </c>
      <c r="D364" s="6" t="s">
        <v>229</v>
      </c>
      <c r="E364" s="6">
        <v>7470776</v>
      </c>
      <c r="F364" s="6" t="s">
        <v>92</v>
      </c>
      <c r="G364" s="6" t="s">
        <v>49</v>
      </c>
      <c r="H364" s="6" t="s">
        <v>126</v>
      </c>
      <c r="I364" s="7">
        <v>45536</v>
      </c>
      <c r="J364" s="1">
        <v>45931</v>
      </c>
      <c r="K364" s="8">
        <v>1</v>
      </c>
      <c r="L364" s="8">
        <v>1</v>
      </c>
      <c r="M364" s="6"/>
      <c r="N364" s="9">
        <v>1</v>
      </c>
      <c r="O364" s="8">
        <v>25.5</v>
      </c>
      <c r="P364" s="6" t="s">
        <v>94</v>
      </c>
      <c r="Q364" s="6" t="s">
        <v>1643</v>
      </c>
      <c r="R364" s="6" t="s">
        <v>1738</v>
      </c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</row>
    <row r="365" spans="1:40" x14ac:dyDescent="0.25">
      <c r="A365" s="5" t="s">
        <v>1481</v>
      </c>
      <c r="B365" s="5" t="str">
        <f t="shared" si="13"/>
        <v>00022004915K1</v>
      </c>
      <c r="C365" s="5" t="s">
        <v>1686</v>
      </c>
      <c r="D365" s="6" t="s">
        <v>236</v>
      </c>
      <c r="E365" s="6">
        <v>7470776</v>
      </c>
      <c r="F365" s="6" t="s">
        <v>92</v>
      </c>
      <c r="G365" s="6" t="s">
        <v>49</v>
      </c>
      <c r="H365" s="6" t="s">
        <v>126</v>
      </c>
      <c r="I365" s="7">
        <v>45536</v>
      </c>
      <c r="J365" s="1">
        <v>45931</v>
      </c>
      <c r="K365" s="8">
        <v>1</v>
      </c>
      <c r="L365" s="8">
        <v>1</v>
      </c>
      <c r="M365" s="6"/>
      <c r="N365" s="9">
        <v>1</v>
      </c>
      <c r="O365" s="8">
        <v>25.5</v>
      </c>
      <c r="P365" s="6" t="s">
        <v>94</v>
      </c>
      <c r="Q365" s="6" t="s">
        <v>1643</v>
      </c>
      <c r="R365" s="6" t="s">
        <v>1738</v>
      </c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</row>
    <row r="366" spans="1:40" x14ac:dyDescent="0.25">
      <c r="A366" s="5" t="s">
        <v>1487</v>
      </c>
      <c r="B366" s="5" t="str">
        <f t="shared" si="13"/>
        <v>00022025150K1</v>
      </c>
      <c r="C366" s="5" t="s">
        <v>1687</v>
      </c>
      <c r="D366" s="6" t="s">
        <v>249</v>
      </c>
      <c r="E366" s="6">
        <v>7470776</v>
      </c>
      <c r="F366" s="6" t="s">
        <v>92</v>
      </c>
      <c r="G366" s="6" t="s">
        <v>58</v>
      </c>
      <c r="H366" s="6" t="s">
        <v>126</v>
      </c>
      <c r="I366" s="7">
        <v>45566</v>
      </c>
      <c r="J366" s="1">
        <v>45931</v>
      </c>
      <c r="K366" s="8">
        <v>1</v>
      </c>
      <c r="L366" s="8">
        <v>1</v>
      </c>
      <c r="M366" s="6"/>
      <c r="N366" s="9">
        <v>1</v>
      </c>
      <c r="O366" s="8">
        <v>25.5</v>
      </c>
      <c r="P366" s="6" t="s">
        <v>94</v>
      </c>
      <c r="Q366" s="6" t="s">
        <v>1643</v>
      </c>
      <c r="R366" s="6" t="s">
        <v>1738</v>
      </c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</row>
    <row r="367" spans="1:40" x14ac:dyDescent="0.25">
      <c r="A367" s="5" t="s">
        <v>1490</v>
      </c>
      <c r="B367" s="5" t="str">
        <f t="shared" si="13"/>
        <v>00022031158K1</v>
      </c>
      <c r="C367" s="5" t="s">
        <v>1688</v>
      </c>
      <c r="D367" s="6" t="s">
        <v>254</v>
      </c>
      <c r="E367" s="6">
        <v>7470776</v>
      </c>
      <c r="F367" s="6" t="s">
        <v>92</v>
      </c>
      <c r="G367" s="6" t="s">
        <v>58</v>
      </c>
      <c r="H367" s="6" t="s">
        <v>126</v>
      </c>
      <c r="I367" s="7">
        <v>45566</v>
      </c>
      <c r="J367" s="1">
        <v>45931</v>
      </c>
      <c r="K367" s="8">
        <v>1</v>
      </c>
      <c r="L367" s="8">
        <v>1</v>
      </c>
      <c r="M367" s="6"/>
      <c r="N367" s="9">
        <v>1</v>
      </c>
      <c r="O367" s="8">
        <v>25.5</v>
      </c>
      <c r="P367" s="6" t="s">
        <v>94</v>
      </c>
      <c r="Q367" s="6" t="s">
        <v>1643</v>
      </c>
      <c r="R367" s="6" t="s">
        <v>1738</v>
      </c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</row>
    <row r="368" spans="1:40" x14ac:dyDescent="0.25">
      <c r="A368" s="5" t="s">
        <v>1492</v>
      </c>
      <c r="B368" s="5" t="str">
        <f t="shared" si="13"/>
        <v>00022032935K1</v>
      </c>
      <c r="C368" s="5" t="s">
        <v>1689</v>
      </c>
      <c r="D368" s="6" t="s">
        <v>257</v>
      </c>
      <c r="E368" s="6">
        <v>7470776</v>
      </c>
      <c r="F368" s="6" t="s">
        <v>92</v>
      </c>
      <c r="G368" s="6" t="s">
        <v>58</v>
      </c>
      <c r="H368" s="6" t="s">
        <v>126</v>
      </c>
      <c r="I368" s="7">
        <v>45566</v>
      </c>
      <c r="J368" s="1">
        <v>45931</v>
      </c>
      <c r="K368" s="8">
        <v>1</v>
      </c>
      <c r="L368" s="8">
        <v>1</v>
      </c>
      <c r="M368" s="6"/>
      <c r="N368" s="9">
        <v>1</v>
      </c>
      <c r="O368" s="8">
        <v>25.5</v>
      </c>
      <c r="P368" s="6" t="s">
        <v>94</v>
      </c>
      <c r="Q368" s="6" t="s">
        <v>1643</v>
      </c>
      <c r="R368" s="6" t="s">
        <v>1738</v>
      </c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</row>
    <row r="369" spans="1:40" x14ac:dyDescent="0.25">
      <c r="A369" s="5" t="s">
        <v>1496</v>
      </c>
      <c r="B369" s="5" t="str">
        <f t="shared" si="13"/>
        <v>00022035242K1</v>
      </c>
      <c r="C369" s="5" t="s">
        <v>1690</v>
      </c>
      <c r="D369" s="6" t="s">
        <v>266</v>
      </c>
      <c r="E369" s="6">
        <v>7470776</v>
      </c>
      <c r="F369" s="6" t="s">
        <v>92</v>
      </c>
      <c r="G369" s="6" t="s">
        <v>58</v>
      </c>
      <c r="H369" s="6" t="s">
        <v>126</v>
      </c>
      <c r="I369" s="7">
        <v>45566</v>
      </c>
      <c r="J369" s="1">
        <v>45931</v>
      </c>
      <c r="K369" s="8">
        <v>1</v>
      </c>
      <c r="L369" s="8">
        <v>1</v>
      </c>
      <c r="M369" s="6"/>
      <c r="N369" s="9">
        <v>1</v>
      </c>
      <c r="O369" s="8">
        <v>25.5</v>
      </c>
      <c r="P369" s="6" t="s">
        <v>94</v>
      </c>
      <c r="Q369" s="6" t="s">
        <v>1643</v>
      </c>
      <c r="R369" s="6" t="s">
        <v>1738</v>
      </c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</row>
    <row r="370" spans="1:40" x14ac:dyDescent="0.25">
      <c r="A370" s="5" t="s">
        <v>1498</v>
      </c>
      <c r="B370" s="5" t="str">
        <f t="shared" si="13"/>
        <v>00022040894K1</v>
      </c>
      <c r="C370" s="5" t="s">
        <v>1691</v>
      </c>
      <c r="D370" s="6" t="s">
        <v>269</v>
      </c>
      <c r="E370" s="6">
        <v>7470776</v>
      </c>
      <c r="F370" s="6" t="s">
        <v>92</v>
      </c>
      <c r="G370" s="6" t="s">
        <v>58</v>
      </c>
      <c r="H370" s="6" t="s">
        <v>126</v>
      </c>
      <c r="I370" s="7">
        <v>45566</v>
      </c>
      <c r="J370" s="1">
        <v>45931</v>
      </c>
      <c r="K370" s="8">
        <v>1</v>
      </c>
      <c r="L370" s="8">
        <v>1</v>
      </c>
      <c r="M370" s="6"/>
      <c r="N370" s="9">
        <v>1</v>
      </c>
      <c r="O370" s="8">
        <v>25.5</v>
      </c>
      <c r="P370" s="6" t="s">
        <v>94</v>
      </c>
      <c r="Q370" s="6" t="s">
        <v>1643</v>
      </c>
      <c r="R370" s="6" t="s">
        <v>1738</v>
      </c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</row>
    <row r="371" spans="1:40" x14ac:dyDescent="0.25">
      <c r="A371" s="5" t="s">
        <v>1501</v>
      </c>
      <c r="B371" s="5" t="str">
        <f t="shared" si="13"/>
        <v>00022052067K1</v>
      </c>
      <c r="C371" s="5" t="s">
        <v>1692</v>
      </c>
      <c r="D371" s="6" t="s">
        <v>274</v>
      </c>
      <c r="E371" s="6">
        <v>7470776</v>
      </c>
      <c r="F371" s="6" t="s">
        <v>92</v>
      </c>
      <c r="G371" s="6" t="s">
        <v>58</v>
      </c>
      <c r="H371" s="6" t="s">
        <v>126</v>
      </c>
      <c r="I371" s="7">
        <v>45566</v>
      </c>
      <c r="J371" s="1">
        <v>45931</v>
      </c>
      <c r="K371" s="8">
        <v>1</v>
      </c>
      <c r="L371" s="8">
        <v>1</v>
      </c>
      <c r="M371" s="6"/>
      <c r="N371" s="9">
        <v>1</v>
      </c>
      <c r="O371" s="8">
        <v>25.5</v>
      </c>
      <c r="P371" s="6" t="s">
        <v>94</v>
      </c>
      <c r="Q371" s="6" t="s">
        <v>1643</v>
      </c>
      <c r="R371" s="6" t="s">
        <v>1738</v>
      </c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</row>
    <row r="372" spans="1:40" x14ac:dyDescent="0.25">
      <c r="A372" s="5" t="s">
        <v>1519</v>
      </c>
      <c r="B372" s="5" t="str">
        <f t="shared" si="13"/>
        <v>00022094729K1</v>
      </c>
      <c r="C372" s="5" t="s">
        <v>1693</v>
      </c>
      <c r="D372" s="6" t="s">
        <v>313</v>
      </c>
      <c r="E372" s="6">
        <v>7470776</v>
      </c>
      <c r="F372" s="6" t="s">
        <v>92</v>
      </c>
      <c r="G372" s="6" t="s">
        <v>49</v>
      </c>
      <c r="H372" s="6" t="s">
        <v>126</v>
      </c>
      <c r="I372" s="7">
        <v>45597</v>
      </c>
      <c r="J372" s="1">
        <v>45931</v>
      </c>
      <c r="K372" s="8">
        <v>1</v>
      </c>
      <c r="L372" s="8">
        <v>1</v>
      </c>
      <c r="M372" s="6"/>
      <c r="N372" s="9">
        <v>1</v>
      </c>
      <c r="O372" s="8">
        <v>25.5</v>
      </c>
      <c r="P372" s="6" t="s">
        <v>94</v>
      </c>
      <c r="Q372" s="6" t="s">
        <v>1643</v>
      </c>
      <c r="R372" s="6" t="s">
        <v>1738</v>
      </c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</row>
    <row r="373" spans="1:40" x14ac:dyDescent="0.25">
      <c r="A373" s="5" t="s">
        <v>1521</v>
      </c>
      <c r="B373" s="5" t="str">
        <f t="shared" si="13"/>
        <v>00022094985K1</v>
      </c>
      <c r="C373" s="5" t="s">
        <v>1694</v>
      </c>
      <c r="D373" s="6" t="s">
        <v>316</v>
      </c>
      <c r="E373" s="6">
        <v>7470776</v>
      </c>
      <c r="F373" s="6" t="s">
        <v>92</v>
      </c>
      <c r="G373" s="6" t="s">
        <v>49</v>
      </c>
      <c r="H373" s="6" t="s">
        <v>126</v>
      </c>
      <c r="I373" s="7">
        <v>45597</v>
      </c>
      <c r="J373" s="1">
        <v>45931</v>
      </c>
      <c r="K373" s="8">
        <v>1</v>
      </c>
      <c r="L373" s="8">
        <v>1</v>
      </c>
      <c r="M373" s="6"/>
      <c r="N373" s="9">
        <v>1</v>
      </c>
      <c r="O373" s="8">
        <v>25.5</v>
      </c>
      <c r="P373" s="6" t="s">
        <v>94</v>
      </c>
      <c r="Q373" s="6" t="s">
        <v>1643</v>
      </c>
      <c r="R373" s="6" t="s">
        <v>1738</v>
      </c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</row>
    <row r="374" spans="1:40" x14ac:dyDescent="0.25">
      <c r="A374" s="5" t="s">
        <v>1524</v>
      </c>
      <c r="B374" s="5" t="str">
        <f t="shared" si="13"/>
        <v>00022095955K1</v>
      </c>
      <c r="C374" s="5" t="s">
        <v>1695</v>
      </c>
      <c r="D374" s="6" t="s">
        <v>321</v>
      </c>
      <c r="E374" s="6">
        <v>7470776</v>
      </c>
      <c r="F374" s="6" t="s">
        <v>92</v>
      </c>
      <c r="G374" s="6" t="s">
        <v>49</v>
      </c>
      <c r="H374" s="6" t="s">
        <v>126</v>
      </c>
      <c r="I374" s="7">
        <v>45597</v>
      </c>
      <c r="J374" s="1">
        <v>45931</v>
      </c>
      <c r="K374" s="8">
        <v>1</v>
      </c>
      <c r="L374" s="8">
        <v>1</v>
      </c>
      <c r="M374" s="6"/>
      <c r="N374" s="9">
        <v>1</v>
      </c>
      <c r="O374" s="8">
        <v>25.5</v>
      </c>
      <c r="P374" s="6" t="s">
        <v>94</v>
      </c>
      <c r="Q374" s="6" t="s">
        <v>1643</v>
      </c>
      <c r="R374" s="6" t="s">
        <v>1738</v>
      </c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</row>
    <row r="375" spans="1:40" x14ac:dyDescent="0.25">
      <c r="A375" s="5" t="s">
        <v>1526</v>
      </c>
      <c r="B375" s="5" t="str">
        <f t="shared" si="13"/>
        <v>00022096948K1</v>
      </c>
      <c r="C375" s="5" t="s">
        <v>1696</v>
      </c>
      <c r="D375" s="6" t="s">
        <v>324</v>
      </c>
      <c r="E375" s="6">
        <v>7470776</v>
      </c>
      <c r="F375" s="6" t="s">
        <v>92</v>
      </c>
      <c r="G375" s="6" t="s">
        <v>49</v>
      </c>
      <c r="H375" s="6" t="s">
        <v>126</v>
      </c>
      <c r="I375" s="7">
        <v>45597</v>
      </c>
      <c r="J375" s="1">
        <v>45931</v>
      </c>
      <c r="K375" s="8">
        <v>1</v>
      </c>
      <c r="L375" s="8">
        <v>1</v>
      </c>
      <c r="M375" s="6"/>
      <c r="N375" s="9">
        <v>1</v>
      </c>
      <c r="O375" s="8">
        <v>25.5</v>
      </c>
      <c r="P375" s="6" t="s">
        <v>94</v>
      </c>
      <c r="Q375" s="6" t="s">
        <v>1643</v>
      </c>
      <c r="R375" s="6" t="s">
        <v>1738</v>
      </c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</row>
    <row r="376" spans="1:40" x14ac:dyDescent="0.25">
      <c r="A376" s="5" t="s">
        <v>1528</v>
      </c>
      <c r="B376" s="5" t="str">
        <f t="shared" si="13"/>
        <v>00022097947K1</v>
      </c>
      <c r="C376" s="5" t="s">
        <v>1697</v>
      </c>
      <c r="D376" s="6" t="s">
        <v>327</v>
      </c>
      <c r="E376" s="6">
        <v>7470776</v>
      </c>
      <c r="F376" s="6" t="s">
        <v>92</v>
      </c>
      <c r="G376" s="6" t="s">
        <v>49</v>
      </c>
      <c r="H376" s="6" t="s">
        <v>126</v>
      </c>
      <c r="I376" s="7">
        <v>45597</v>
      </c>
      <c r="J376" s="1">
        <v>45931</v>
      </c>
      <c r="K376" s="8">
        <v>1</v>
      </c>
      <c r="L376" s="8">
        <v>1</v>
      </c>
      <c r="M376" s="6"/>
      <c r="N376" s="9">
        <v>1</v>
      </c>
      <c r="O376" s="8">
        <v>25.5</v>
      </c>
      <c r="P376" s="6" t="s">
        <v>94</v>
      </c>
      <c r="Q376" s="6" t="s">
        <v>1643</v>
      </c>
      <c r="R376" s="6" t="s">
        <v>1738</v>
      </c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</row>
    <row r="377" spans="1:40" x14ac:dyDescent="0.25">
      <c r="A377" s="5" t="s">
        <v>1415</v>
      </c>
      <c r="B377" s="5" t="str">
        <f t="shared" si="13"/>
        <v>00020054580K1</v>
      </c>
      <c r="C377" s="5" t="s">
        <v>1698</v>
      </c>
      <c r="D377" s="6" t="s">
        <v>90</v>
      </c>
      <c r="E377" s="6">
        <v>7470776</v>
      </c>
      <c r="F377" s="6" t="s">
        <v>92</v>
      </c>
      <c r="G377" s="6" t="s">
        <v>49</v>
      </c>
      <c r="H377" s="6" t="s">
        <v>93</v>
      </c>
      <c r="I377" s="7">
        <v>45505</v>
      </c>
      <c r="J377" s="1">
        <v>45931</v>
      </c>
      <c r="K377" s="8">
        <v>1</v>
      </c>
      <c r="L377" s="8">
        <v>1</v>
      </c>
      <c r="M377" s="6"/>
      <c r="N377" s="9">
        <v>1</v>
      </c>
      <c r="O377" s="8">
        <v>25.5</v>
      </c>
      <c r="P377" s="6" t="s">
        <v>94</v>
      </c>
      <c r="Q377" s="6" t="s">
        <v>1643</v>
      </c>
      <c r="R377" s="6" t="s">
        <v>1738</v>
      </c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</row>
    <row r="378" spans="1:40" x14ac:dyDescent="0.25">
      <c r="A378" s="5" t="s">
        <v>1454</v>
      </c>
      <c r="B378" s="5" t="str">
        <f t="shared" si="13"/>
        <v>00021884516K1</v>
      </c>
      <c r="C378" s="5" t="s">
        <v>1699</v>
      </c>
      <c r="D378" s="6" t="s">
        <v>177</v>
      </c>
      <c r="E378" s="6">
        <v>7470776</v>
      </c>
      <c r="F378" s="6" t="s">
        <v>92</v>
      </c>
      <c r="G378" s="6" t="s">
        <v>49</v>
      </c>
      <c r="H378" s="6" t="s">
        <v>93</v>
      </c>
      <c r="I378" s="7">
        <v>45474</v>
      </c>
      <c r="J378" s="1">
        <v>45931</v>
      </c>
      <c r="K378" s="8">
        <v>1</v>
      </c>
      <c r="L378" s="8">
        <v>1</v>
      </c>
      <c r="M378" s="6"/>
      <c r="N378" s="9">
        <v>1</v>
      </c>
      <c r="O378" s="8">
        <v>25.5</v>
      </c>
      <c r="P378" s="6" t="s">
        <v>94</v>
      </c>
      <c r="Q378" s="6" t="s">
        <v>1643</v>
      </c>
      <c r="R378" s="6" t="s">
        <v>1738</v>
      </c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</row>
    <row r="379" spans="1:40" x14ac:dyDescent="0.25">
      <c r="A379" s="5" t="s">
        <v>1440</v>
      </c>
      <c r="B379" s="5" t="str">
        <f t="shared" si="13"/>
        <v>00021853815K1</v>
      </c>
      <c r="C379" s="5" t="s">
        <v>1708</v>
      </c>
      <c r="D379" s="6" t="s">
        <v>149</v>
      </c>
      <c r="E379" s="6">
        <v>7146581</v>
      </c>
      <c r="F379" s="6" t="s">
        <v>63</v>
      </c>
      <c r="G379" s="6" t="s">
        <v>49</v>
      </c>
      <c r="H379" s="6" t="s">
        <v>126</v>
      </c>
      <c r="I379" s="7">
        <v>45474</v>
      </c>
      <c r="J379" s="1">
        <v>45931</v>
      </c>
      <c r="K379" s="8">
        <v>1</v>
      </c>
      <c r="L379" s="8">
        <v>1</v>
      </c>
      <c r="M379" s="6"/>
      <c r="N379" s="9">
        <v>1</v>
      </c>
      <c r="O379" s="8">
        <v>25.5</v>
      </c>
      <c r="P379" s="6" t="s">
        <v>94</v>
      </c>
      <c r="Q379" s="6" t="s">
        <v>1643</v>
      </c>
      <c r="R379" s="6" t="s">
        <v>1738</v>
      </c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</row>
    <row r="380" spans="1:40" x14ac:dyDescent="0.25">
      <c r="A380" s="5" t="s">
        <v>1436</v>
      </c>
      <c r="B380" s="5" t="str">
        <f t="shared" si="13"/>
        <v>00021852153K1</v>
      </c>
      <c r="C380" s="5" t="s">
        <v>1709</v>
      </c>
      <c r="D380" s="6" t="s">
        <v>140</v>
      </c>
      <c r="E380" s="6">
        <v>7146581</v>
      </c>
      <c r="F380" s="6" t="s">
        <v>63</v>
      </c>
      <c r="G380" s="6" t="s">
        <v>49</v>
      </c>
      <c r="H380" s="6" t="s">
        <v>141</v>
      </c>
      <c r="I380" s="7">
        <v>45474</v>
      </c>
      <c r="J380" s="1">
        <v>45931</v>
      </c>
      <c r="K380" s="8">
        <v>1</v>
      </c>
      <c r="L380" s="8">
        <v>1</v>
      </c>
      <c r="M380" s="6"/>
      <c r="N380" s="9">
        <v>1</v>
      </c>
      <c r="O380" s="8">
        <v>25.5</v>
      </c>
      <c r="P380" s="6" t="s">
        <v>94</v>
      </c>
      <c r="Q380" s="6" t="s">
        <v>1643</v>
      </c>
      <c r="R380" s="6" t="s">
        <v>1738</v>
      </c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</row>
    <row r="381" spans="1:40" x14ac:dyDescent="0.25">
      <c r="A381" s="5" t="s">
        <v>1438</v>
      </c>
      <c r="B381" s="5" t="str">
        <f t="shared" si="13"/>
        <v>00021853327K1</v>
      </c>
      <c r="C381" s="5" t="s">
        <v>1724</v>
      </c>
      <c r="D381" s="6" t="s">
        <v>144</v>
      </c>
      <c r="E381" s="6">
        <v>8814784</v>
      </c>
      <c r="F381" s="6" t="s">
        <v>146</v>
      </c>
      <c r="G381" s="6" t="s">
        <v>49</v>
      </c>
      <c r="H381" s="6" t="s">
        <v>126</v>
      </c>
      <c r="I381" s="7">
        <v>45474</v>
      </c>
      <c r="J381" s="1">
        <v>45931</v>
      </c>
      <c r="K381" s="8">
        <v>1</v>
      </c>
      <c r="L381" s="8">
        <v>1</v>
      </c>
      <c r="M381" s="6"/>
      <c r="N381" s="9">
        <v>1</v>
      </c>
      <c r="O381" s="8">
        <v>25.5</v>
      </c>
      <c r="P381" s="6" t="s">
        <v>94</v>
      </c>
      <c r="Q381" s="6" t="s">
        <v>1643</v>
      </c>
      <c r="R381" s="6" t="s">
        <v>1738</v>
      </c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</row>
    <row r="382" spans="1:40" x14ac:dyDescent="0.25">
      <c r="A382" s="5" t="s">
        <v>1428</v>
      </c>
      <c r="B382" s="5" t="str">
        <f t="shared" si="13"/>
        <v>00021812164K1</v>
      </c>
      <c r="C382" s="5" t="s">
        <v>1726</v>
      </c>
      <c r="D382" s="6" t="s">
        <v>125</v>
      </c>
      <c r="E382" s="6">
        <v>9213293</v>
      </c>
      <c r="F382" s="6" t="s">
        <v>75</v>
      </c>
      <c r="G382" s="6" t="s">
        <v>49</v>
      </c>
      <c r="H382" s="6" t="s">
        <v>126</v>
      </c>
      <c r="I382" s="7">
        <v>45444</v>
      </c>
      <c r="J382" s="1">
        <v>45931</v>
      </c>
      <c r="K382" s="8">
        <v>1</v>
      </c>
      <c r="L382" s="8">
        <v>1</v>
      </c>
      <c r="M382" s="6"/>
      <c r="N382" s="9">
        <v>1</v>
      </c>
      <c r="O382" s="8">
        <v>25.5</v>
      </c>
      <c r="P382" s="6" t="s">
        <v>94</v>
      </c>
      <c r="Q382" s="6" t="s">
        <v>1643</v>
      </c>
      <c r="R382" s="6" t="s">
        <v>1738</v>
      </c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</row>
    <row r="383" spans="1:40" x14ac:dyDescent="0.25">
      <c r="A383" s="5" t="s">
        <v>1430</v>
      </c>
      <c r="B383" s="5" t="str">
        <f t="shared" si="13"/>
        <v>00021819613K1</v>
      </c>
      <c r="C383" s="5" t="s">
        <v>1672</v>
      </c>
      <c r="D383" s="6" t="s">
        <v>129</v>
      </c>
      <c r="E383" s="6">
        <v>8244481</v>
      </c>
      <c r="F383" s="6" t="s">
        <v>131</v>
      </c>
      <c r="G383" s="6" t="s">
        <v>49</v>
      </c>
      <c r="H383" s="6" t="s">
        <v>126</v>
      </c>
      <c r="I383" s="7">
        <v>45444</v>
      </c>
      <c r="J383" s="1">
        <v>45931</v>
      </c>
      <c r="K383" s="8">
        <v>1</v>
      </c>
      <c r="L383" s="8">
        <v>1</v>
      </c>
      <c r="M383" s="6"/>
      <c r="N383" s="9">
        <v>1</v>
      </c>
      <c r="O383" s="8">
        <v>25.5</v>
      </c>
      <c r="P383" s="6" t="s">
        <v>94</v>
      </c>
      <c r="Q383" s="6" t="s">
        <v>1643</v>
      </c>
      <c r="R383" s="6" t="s">
        <v>1738</v>
      </c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</row>
    <row r="384" spans="1:40" x14ac:dyDescent="0.25">
      <c r="A384" s="5" t="s">
        <v>1442</v>
      </c>
      <c r="B384" s="5" t="str">
        <f t="shared" si="13"/>
        <v>00021859258K1</v>
      </c>
      <c r="C384" s="5" t="s">
        <v>1675</v>
      </c>
      <c r="D384" s="6" t="s">
        <v>152</v>
      </c>
      <c r="E384" s="6">
        <v>19200754</v>
      </c>
      <c r="F384" s="6" t="s">
        <v>154</v>
      </c>
      <c r="G384" s="6" t="s">
        <v>49</v>
      </c>
      <c r="H384" s="6" t="s">
        <v>126</v>
      </c>
      <c r="I384" s="7">
        <v>45474</v>
      </c>
      <c r="J384" s="1">
        <v>45931</v>
      </c>
      <c r="K384" s="8">
        <v>1</v>
      </c>
      <c r="L384" s="8">
        <v>1</v>
      </c>
      <c r="M384" s="6"/>
      <c r="N384" s="9">
        <v>1</v>
      </c>
      <c r="O384" s="8">
        <v>25.5</v>
      </c>
      <c r="P384" s="6" t="s">
        <v>94</v>
      </c>
      <c r="Q384" s="6" t="s">
        <v>1643</v>
      </c>
      <c r="R384" s="6" t="s">
        <v>1738</v>
      </c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 spans="1:17" x14ac:dyDescent="0.25">
      <c r="A385" s="4" t="s">
        <v>1456</v>
      </c>
      <c r="B385" s="4" t="str">
        <f t="shared" ref="B385:B404" si="14">CONCATENATE(A385,0)</f>
        <v>00021892187K0</v>
      </c>
      <c r="C385" s="4" t="str">
        <f t="shared" ref="C385:C404" si="15">CONCATENATE(A385, "OVR")</f>
        <v>00021892187KOVR</v>
      </c>
      <c r="D385" t="s">
        <v>180</v>
      </c>
      <c r="E385">
        <v>20411454</v>
      </c>
      <c r="F385" t="s">
        <v>1663</v>
      </c>
      <c r="G385" t="s">
        <v>49</v>
      </c>
      <c r="H385" t="s">
        <v>183</v>
      </c>
      <c r="I385" s="1">
        <v>45474</v>
      </c>
      <c r="J385" s="1">
        <v>45931</v>
      </c>
      <c r="K385" s="2">
        <v>1</v>
      </c>
      <c r="L385" s="2">
        <v>1</v>
      </c>
      <c r="N385" s="3">
        <v>1</v>
      </c>
      <c r="O385" s="2">
        <v>7</v>
      </c>
      <c r="P385" t="s">
        <v>53</v>
      </c>
      <c r="Q385" t="s">
        <v>1642</v>
      </c>
    </row>
    <row r="386" spans="1:17" x14ac:dyDescent="0.25">
      <c r="A386" s="4" t="s">
        <v>1461</v>
      </c>
      <c r="B386" s="4" t="str">
        <f t="shared" si="14"/>
        <v>00021908647K0</v>
      </c>
      <c r="C386" s="4" t="str">
        <f t="shared" si="15"/>
        <v>00021908647KOVR</v>
      </c>
      <c r="D386" t="s">
        <v>192</v>
      </c>
      <c r="E386">
        <v>20411454</v>
      </c>
      <c r="F386" t="s">
        <v>1663</v>
      </c>
      <c r="G386" t="s">
        <v>49</v>
      </c>
      <c r="H386" t="s">
        <v>183</v>
      </c>
      <c r="I386" s="1">
        <v>45505</v>
      </c>
      <c r="J386" s="1">
        <v>45931</v>
      </c>
      <c r="K386" s="2">
        <v>1</v>
      </c>
      <c r="L386" s="2">
        <v>1</v>
      </c>
      <c r="N386" s="3">
        <v>1</v>
      </c>
      <c r="O386" s="2">
        <v>7</v>
      </c>
      <c r="P386" t="s">
        <v>53</v>
      </c>
      <c r="Q386" t="s">
        <v>1642</v>
      </c>
    </row>
    <row r="387" spans="1:17" x14ac:dyDescent="0.25">
      <c r="A387" s="4" t="s">
        <v>1405</v>
      </c>
      <c r="B387" s="4" t="str">
        <f t="shared" si="14"/>
        <v>00000076874F0</v>
      </c>
      <c r="C387" s="4" t="str">
        <f t="shared" si="15"/>
        <v>00000076874FOVR</v>
      </c>
      <c r="D387" t="s">
        <v>45</v>
      </c>
      <c r="E387">
        <v>20411454</v>
      </c>
      <c r="F387" t="s">
        <v>1663</v>
      </c>
      <c r="G387" t="s">
        <v>49</v>
      </c>
      <c r="H387" t="s">
        <v>50</v>
      </c>
      <c r="I387" s="1">
        <v>45597</v>
      </c>
      <c r="J387" s="1">
        <v>45931</v>
      </c>
      <c r="K387" s="2">
        <v>1</v>
      </c>
      <c r="L387" s="2">
        <v>1</v>
      </c>
      <c r="N387" s="3">
        <v>1</v>
      </c>
      <c r="O387" s="2">
        <v>9</v>
      </c>
      <c r="P387" t="s">
        <v>53</v>
      </c>
      <c r="Q387" t="s">
        <v>1642</v>
      </c>
    </row>
    <row r="388" spans="1:17" x14ac:dyDescent="0.25">
      <c r="A388" s="4" t="s">
        <v>1407</v>
      </c>
      <c r="B388" s="4" t="str">
        <f t="shared" si="14"/>
        <v>00010066661K0</v>
      </c>
      <c r="C388" s="4" t="str">
        <f t="shared" si="15"/>
        <v>00010066661KOVR</v>
      </c>
      <c r="D388" t="s">
        <v>61</v>
      </c>
      <c r="E388">
        <v>20411454</v>
      </c>
      <c r="F388" t="s">
        <v>1663</v>
      </c>
      <c r="G388" t="s">
        <v>58</v>
      </c>
      <c r="H388" t="s">
        <v>50</v>
      </c>
      <c r="I388" s="1">
        <v>45505</v>
      </c>
      <c r="J388" s="1">
        <v>45931</v>
      </c>
      <c r="K388" s="2">
        <v>1</v>
      </c>
      <c r="L388" s="2">
        <v>1</v>
      </c>
      <c r="N388" s="3">
        <v>1</v>
      </c>
      <c r="O388" s="2">
        <v>9</v>
      </c>
      <c r="P388" t="s">
        <v>53</v>
      </c>
      <c r="Q388" t="s">
        <v>1642</v>
      </c>
    </row>
    <row r="389" spans="1:17" x14ac:dyDescent="0.25">
      <c r="A389" s="4" t="s">
        <v>1408</v>
      </c>
      <c r="B389" s="4" t="str">
        <f t="shared" si="14"/>
        <v>00011182221K0</v>
      </c>
      <c r="C389" s="4" t="str">
        <f t="shared" si="15"/>
        <v>00011182221KOVR</v>
      </c>
      <c r="D389" t="s">
        <v>65</v>
      </c>
      <c r="E389">
        <v>20411454</v>
      </c>
      <c r="F389" t="s">
        <v>1663</v>
      </c>
      <c r="G389" t="s">
        <v>58</v>
      </c>
      <c r="H389" t="s">
        <v>50</v>
      </c>
      <c r="I389" s="1">
        <v>45566</v>
      </c>
      <c r="J389" s="1">
        <v>45931</v>
      </c>
      <c r="K389" s="2">
        <v>1</v>
      </c>
      <c r="L389" s="2">
        <v>1</v>
      </c>
      <c r="N389" s="3">
        <v>1</v>
      </c>
      <c r="O389" s="2">
        <v>9</v>
      </c>
      <c r="P389" t="s">
        <v>53</v>
      </c>
      <c r="Q389" t="s">
        <v>1642</v>
      </c>
    </row>
    <row r="390" spans="1:17" x14ac:dyDescent="0.25">
      <c r="A390" s="4" t="s">
        <v>1409</v>
      </c>
      <c r="B390" s="4" t="str">
        <f t="shared" si="14"/>
        <v>00011519472K0</v>
      </c>
      <c r="C390" s="4" t="str">
        <f t="shared" si="15"/>
        <v>00011519472KOVR</v>
      </c>
      <c r="D390" t="s">
        <v>69</v>
      </c>
      <c r="E390">
        <v>20411454</v>
      </c>
      <c r="F390" t="s">
        <v>1663</v>
      </c>
      <c r="G390" t="s">
        <v>49</v>
      </c>
      <c r="H390" t="s">
        <v>50</v>
      </c>
      <c r="I390" s="1">
        <v>45597</v>
      </c>
      <c r="J390" s="1">
        <v>45931</v>
      </c>
      <c r="K390" s="2">
        <v>1</v>
      </c>
      <c r="L390" s="2">
        <v>1</v>
      </c>
      <c r="N390" s="3">
        <v>1</v>
      </c>
      <c r="O390" s="2">
        <v>9</v>
      </c>
      <c r="P390" t="s">
        <v>53</v>
      </c>
      <c r="Q390" t="s">
        <v>1642</v>
      </c>
    </row>
    <row r="391" spans="1:17" x14ac:dyDescent="0.25">
      <c r="A391" s="4" t="s">
        <v>1411</v>
      </c>
      <c r="B391" s="4" t="str">
        <f t="shared" si="14"/>
        <v>00013131759K0</v>
      </c>
      <c r="C391" s="4" t="str">
        <f t="shared" si="15"/>
        <v>00013131759KOVR</v>
      </c>
      <c r="D391" t="s">
        <v>78</v>
      </c>
      <c r="E391">
        <v>20411454</v>
      </c>
      <c r="F391" t="s">
        <v>1663</v>
      </c>
      <c r="G391" t="s">
        <v>58</v>
      </c>
      <c r="H391" t="s">
        <v>50</v>
      </c>
      <c r="I391" s="1">
        <v>45505</v>
      </c>
      <c r="J391" s="1">
        <v>45931</v>
      </c>
      <c r="K391" s="2">
        <v>1</v>
      </c>
      <c r="L391" s="2">
        <v>1</v>
      </c>
      <c r="N391" s="3">
        <v>1</v>
      </c>
      <c r="O391" s="2">
        <v>9</v>
      </c>
      <c r="P391" t="s">
        <v>53</v>
      </c>
      <c r="Q391" t="s">
        <v>1642</v>
      </c>
    </row>
    <row r="392" spans="1:17" x14ac:dyDescent="0.25">
      <c r="A392" s="4" t="s">
        <v>1413</v>
      </c>
      <c r="B392" s="4" t="str">
        <f t="shared" si="14"/>
        <v>00017632868K0</v>
      </c>
      <c r="C392" s="4" t="str">
        <f t="shared" si="15"/>
        <v>00017632868KOVR</v>
      </c>
      <c r="D392" t="s">
        <v>84</v>
      </c>
      <c r="E392">
        <v>20411454</v>
      </c>
      <c r="F392" t="s">
        <v>1663</v>
      </c>
      <c r="G392" t="s">
        <v>49</v>
      </c>
      <c r="H392" t="s">
        <v>50</v>
      </c>
      <c r="I392" s="1">
        <v>45627</v>
      </c>
      <c r="J392" s="1">
        <v>45931</v>
      </c>
      <c r="K392" s="2">
        <v>1</v>
      </c>
      <c r="L392" s="2">
        <v>1</v>
      </c>
      <c r="N392" s="3">
        <v>1</v>
      </c>
      <c r="O392" s="2">
        <v>9</v>
      </c>
      <c r="P392" t="s">
        <v>53</v>
      </c>
      <c r="Q392" t="s">
        <v>1642</v>
      </c>
    </row>
    <row r="393" spans="1:17" x14ac:dyDescent="0.25">
      <c r="A393" s="4" t="s">
        <v>1414</v>
      </c>
      <c r="B393" s="4" t="str">
        <f t="shared" si="14"/>
        <v>00018671925K0</v>
      </c>
      <c r="C393" s="4" t="str">
        <f t="shared" si="15"/>
        <v>00018671925KOVR</v>
      </c>
      <c r="D393" t="s">
        <v>86</v>
      </c>
      <c r="E393">
        <v>20411454</v>
      </c>
      <c r="F393" t="s">
        <v>1663</v>
      </c>
      <c r="G393" t="s">
        <v>49</v>
      </c>
      <c r="H393" t="s">
        <v>50</v>
      </c>
      <c r="I393" s="1">
        <v>45597</v>
      </c>
      <c r="J393" s="1">
        <v>45931</v>
      </c>
      <c r="K393" s="2">
        <v>1</v>
      </c>
      <c r="L393" s="2">
        <v>1</v>
      </c>
      <c r="N393" s="3">
        <v>1</v>
      </c>
      <c r="O393" s="2">
        <v>9</v>
      </c>
      <c r="P393" t="s">
        <v>53</v>
      </c>
      <c r="Q393" t="s">
        <v>1642</v>
      </c>
    </row>
    <row r="394" spans="1:17" x14ac:dyDescent="0.25">
      <c r="A394" s="4" t="s">
        <v>1417</v>
      </c>
      <c r="B394" s="4" t="str">
        <f t="shared" si="14"/>
        <v>00020195670K0</v>
      </c>
      <c r="C394" s="4" t="str">
        <f t="shared" si="15"/>
        <v>00020195670KOVR</v>
      </c>
      <c r="D394" t="s">
        <v>97</v>
      </c>
      <c r="E394">
        <v>20411454</v>
      </c>
      <c r="F394" t="s">
        <v>1663</v>
      </c>
      <c r="G394" t="s">
        <v>49</v>
      </c>
      <c r="H394" t="s">
        <v>50</v>
      </c>
      <c r="I394" s="1">
        <v>45566</v>
      </c>
      <c r="J394" s="1">
        <v>45931</v>
      </c>
      <c r="K394" s="2">
        <v>1</v>
      </c>
      <c r="L394" s="2">
        <v>1</v>
      </c>
      <c r="N394" s="3">
        <v>1</v>
      </c>
      <c r="O394" s="2">
        <v>9</v>
      </c>
      <c r="P394" t="s">
        <v>53</v>
      </c>
      <c r="Q394" t="s">
        <v>1642</v>
      </c>
    </row>
    <row r="395" spans="1:17" x14ac:dyDescent="0.25">
      <c r="A395" s="4" t="s">
        <v>1418</v>
      </c>
      <c r="B395" s="4" t="str">
        <f t="shared" si="14"/>
        <v>00021641743K0</v>
      </c>
      <c r="C395" s="4" t="str">
        <f t="shared" si="15"/>
        <v>00021641743KOVR</v>
      </c>
      <c r="D395" t="s">
        <v>99</v>
      </c>
      <c r="E395">
        <v>20411454</v>
      </c>
      <c r="F395" t="s">
        <v>1663</v>
      </c>
      <c r="G395" t="s">
        <v>58</v>
      </c>
      <c r="H395" t="s">
        <v>50</v>
      </c>
      <c r="I395" s="1">
        <v>45444</v>
      </c>
      <c r="J395" s="1">
        <v>45931</v>
      </c>
      <c r="K395" s="2">
        <v>1</v>
      </c>
      <c r="L395" s="2">
        <v>1</v>
      </c>
      <c r="N395" s="3">
        <v>1</v>
      </c>
      <c r="O395" s="2">
        <v>9</v>
      </c>
      <c r="P395" t="s">
        <v>53</v>
      </c>
      <c r="Q395" t="s">
        <v>1642</v>
      </c>
    </row>
    <row r="396" spans="1:17" x14ac:dyDescent="0.25">
      <c r="A396" s="4" t="s">
        <v>1419</v>
      </c>
      <c r="B396" s="4" t="str">
        <f t="shared" si="14"/>
        <v>00021686716K0</v>
      </c>
      <c r="C396" s="4" t="str">
        <f t="shared" si="15"/>
        <v>00021686716KOVR</v>
      </c>
      <c r="D396" t="s">
        <v>103</v>
      </c>
      <c r="E396">
        <v>20411454</v>
      </c>
      <c r="F396" t="s">
        <v>1663</v>
      </c>
      <c r="G396" t="s">
        <v>58</v>
      </c>
      <c r="H396" t="s">
        <v>50</v>
      </c>
      <c r="I396" s="1">
        <v>45444</v>
      </c>
      <c r="J396" s="1">
        <v>45931</v>
      </c>
      <c r="K396" s="2">
        <v>1</v>
      </c>
      <c r="L396" s="2">
        <v>1</v>
      </c>
      <c r="N396" s="3">
        <v>1</v>
      </c>
      <c r="O396" s="2">
        <v>9</v>
      </c>
      <c r="P396" t="s">
        <v>53</v>
      </c>
      <c r="Q396" t="s">
        <v>1642</v>
      </c>
    </row>
    <row r="397" spans="1:17" x14ac:dyDescent="0.25">
      <c r="A397" s="4" t="s">
        <v>1420</v>
      </c>
      <c r="B397" s="4" t="str">
        <f t="shared" si="14"/>
        <v>00021695147K0</v>
      </c>
      <c r="C397" s="4" t="str">
        <f t="shared" si="15"/>
        <v>00021695147KOVR</v>
      </c>
      <c r="D397" t="s">
        <v>105</v>
      </c>
      <c r="E397">
        <v>20411454</v>
      </c>
      <c r="F397" t="s">
        <v>1663</v>
      </c>
      <c r="G397" t="s">
        <v>58</v>
      </c>
      <c r="H397" t="s">
        <v>50</v>
      </c>
      <c r="I397" s="1">
        <v>45474</v>
      </c>
      <c r="J397" s="1">
        <v>45931</v>
      </c>
      <c r="K397" s="2">
        <v>1</v>
      </c>
      <c r="L397" s="2">
        <v>1</v>
      </c>
      <c r="N397" s="3">
        <v>1</v>
      </c>
      <c r="O397" s="2">
        <v>9</v>
      </c>
      <c r="P397" t="s">
        <v>53</v>
      </c>
      <c r="Q397" t="s">
        <v>1642</v>
      </c>
    </row>
    <row r="398" spans="1:17" x14ac:dyDescent="0.25">
      <c r="A398" s="4" t="s">
        <v>1421</v>
      </c>
      <c r="B398" s="4" t="str">
        <f t="shared" si="14"/>
        <v>00021754102K0</v>
      </c>
      <c r="C398" s="4" t="str">
        <f t="shared" si="15"/>
        <v>00021754102KOVR</v>
      </c>
      <c r="D398" t="s">
        <v>109</v>
      </c>
      <c r="E398">
        <v>20411454</v>
      </c>
      <c r="F398" t="s">
        <v>1663</v>
      </c>
      <c r="G398" t="s">
        <v>58</v>
      </c>
      <c r="H398" t="s">
        <v>50</v>
      </c>
      <c r="I398" s="1">
        <v>45474</v>
      </c>
      <c r="J398" s="1">
        <v>45931</v>
      </c>
      <c r="K398" s="2">
        <v>1</v>
      </c>
      <c r="L398" s="2">
        <v>1</v>
      </c>
      <c r="N398" s="3">
        <v>1</v>
      </c>
      <c r="O398" s="2">
        <v>9</v>
      </c>
      <c r="P398" t="s">
        <v>53</v>
      </c>
      <c r="Q398" t="s">
        <v>1642</v>
      </c>
    </row>
    <row r="399" spans="1:17" x14ac:dyDescent="0.25">
      <c r="A399" s="4" t="s">
        <v>1422</v>
      </c>
      <c r="B399" s="4" t="str">
        <f t="shared" si="14"/>
        <v>00021776882K0</v>
      </c>
      <c r="C399" s="4" t="str">
        <f t="shared" si="15"/>
        <v>00021776882KOVR</v>
      </c>
      <c r="D399" t="s">
        <v>111</v>
      </c>
      <c r="E399">
        <v>20411454</v>
      </c>
      <c r="F399" t="s">
        <v>1663</v>
      </c>
      <c r="G399" t="s">
        <v>58</v>
      </c>
      <c r="H399" t="s">
        <v>50</v>
      </c>
      <c r="I399" s="1">
        <v>45505</v>
      </c>
      <c r="J399" s="1">
        <v>45931</v>
      </c>
      <c r="K399" s="2">
        <v>1</v>
      </c>
      <c r="L399" s="2">
        <v>1</v>
      </c>
      <c r="N399" s="3">
        <v>1</v>
      </c>
      <c r="O399" s="2">
        <v>9</v>
      </c>
      <c r="P399" t="s">
        <v>53</v>
      </c>
      <c r="Q399" t="s">
        <v>1642</v>
      </c>
    </row>
    <row r="400" spans="1:17" x14ac:dyDescent="0.25">
      <c r="A400" s="4" t="s">
        <v>1423</v>
      </c>
      <c r="B400" s="4" t="str">
        <f t="shared" si="14"/>
        <v>00021778915K0</v>
      </c>
      <c r="C400" s="4" t="str">
        <f t="shared" si="15"/>
        <v>00021778915KOVR</v>
      </c>
      <c r="D400" t="s">
        <v>113</v>
      </c>
      <c r="E400">
        <v>20411454</v>
      </c>
      <c r="F400" t="s">
        <v>1663</v>
      </c>
      <c r="G400" t="s">
        <v>58</v>
      </c>
      <c r="H400" t="s">
        <v>50</v>
      </c>
      <c r="I400" s="1">
        <v>45444</v>
      </c>
      <c r="J400" s="1">
        <v>45931</v>
      </c>
      <c r="K400" s="2">
        <v>1</v>
      </c>
      <c r="L400" s="2">
        <v>1</v>
      </c>
      <c r="N400" s="3">
        <v>1</v>
      </c>
      <c r="O400" s="2">
        <v>9</v>
      </c>
      <c r="P400" t="s">
        <v>53</v>
      </c>
      <c r="Q400" t="s">
        <v>1642</v>
      </c>
    </row>
    <row r="401" spans="1:17" x14ac:dyDescent="0.25">
      <c r="A401" s="4" t="s">
        <v>1424</v>
      </c>
      <c r="B401" s="4" t="str">
        <f t="shared" si="14"/>
        <v>00021783471K0</v>
      </c>
      <c r="C401" s="4" t="str">
        <f t="shared" si="15"/>
        <v>00021783471KOVR</v>
      </c>
      <c r="D401" t="s">
        <v>115</v>
      </c>
      <c r="E401">
        <v>20411454</v>
      </c>
      <c r="F401" t="s">
        <v>1663</v>
      </c>
      <c r="G401" t="s">
        <v>58</v>
      </c>
      <c r="H401" t="s">
        <v>50</v>
      </c>
      <c r="I401" s="1">
        <v>45474</v>
      </c>
      <c r="J401" s="1">
        <v>45931</v>
      </c>
      <c r="K401" s="2">
        <v>1</v>
      </c>
      <c r="L401" s="2">
        <v>1</v>
      </c>
      <c r="N401" s="3">
        <v>1</v>
      </c>
      <c r="O401" s="2">
        <v>9</v>
      </c>
      <c r="P401" t="s">
        <v>53</v>
      </c>
      <c r="Q401" t="s">
        <v>1642</v>
      </c>
    </row>
    <row r="402" spans="1:17" x14ac:dyDescent="0.25">
      <c r="A402" s="4" t="s">
        <v>1425</v>
      </c>
      <c r="B402" s="4" t="str">
        <f t="shared" si="14"/>
        <v>00021784141K0</v>
      </c>
      <c r="C402" s="4" t="str">
        <f t="shared" si="15"/>
        <v>00021784141KOVR</v>
      </c>
      <c r="D402" t="s">
        <v>119</v>
      </c>
      <c r="E402">
        <v>20411454</v>
      </c>
      <c r="F402" t="s">
        <v>1663</v>
      </c>
      <c r="G402" t="s">
        <v>58</v>
      </c>
      <c r="H402" t="s">
        <v>50</v>
      </c>
      <c r="I402" s="1">
        <v>45444</v>
      </c>
      <c r="J402" s="1">
        <v>45931</v>
      </c>
      <c r="K402" s="2">
        <v>1</v>
      </c>
      <c r="L402" s="2">
        <v>1</v>
      </c>
      <c r="N402" s="3">
        <v>1</v>
      </c>
      <c r="O402" s="2">
        <v>9</v>
      </c>
      <c r="P402" t="s">
        <v>53</v>
      </c>
      <c r="Q402" t="s">
        <v>1642</v>
      </c>
    </row>
    <row r="403" spans="1:17" x14ac:dyDescent="0.25">
      <c r="A403" s="4" t="s">
        <v>1426</v>
      </c>
      <c r="B403" s="4" t="str">
        <f t="shared" si="14"/>
        <v>00021792778K0</v>
      </c>
      <c r="C403" s="4" t="str">
        <f t="shared" si="15"/>
        <v>00021792778KOVR</v>
      </c>
      <c r="D403" t="s">
        <v>121</v>
      </c>
      <c r="E403">
        <v>20411454</v>
      </c>
      <c r="F403" t="s">
        <v>1663</v>
      </c>
      <c r="G403" t="s">
        <v>58</v>
      </c>
      <c r="H403" t="s">
        <v>50</v>
      </c>
      <c r="I403" s="1">
        <v>45505</v>
      </c>
      <c r="J403" s="1">
        <v>45931</v>
      </c>
      <c r="K403" s="2">
        <v>1</v>
      </c>
      <c r="L403" s="2">
        <v>1</v>
      </c>
      <c r="N403" s="3">
        <v>1</v>
      </c>
      <c r="O403" s="2">
        <v>9</v>
      </c>
      <c r="P403" t="s">
        <v>53</v>
      </c>
      <c r="Q403" t="s">
        <v>1642</v>
      </c>
    </row>
    <row r="404" spans="1:17" x14ac:dyDescent="0.25">
      <c r="A404" s="4" t="s">
        <v>1427</v>
      </c>
      <c r="B404" s="4" t="str">
        <f t="shared" si="14"/>
        <v>00021801538K0</v>
      </c>
      <c r="C404" s="4" t="str">
        <f t="shared" si="15"/>
        <v>00021801538KOVR</v>
      </c>
      <c r="D404" t="s">
        <v>123</v>
      </c>
      <c r="E404">
        <v>20411454</v>
      </c>
      <c r="F404" t="s">
        <v>1663</v>
      </c>
      <c r="G404" t="s">
        <v>58</v>
      </c>
      <c r="H404" t="s">
        <v>50</v>
      </c>
      <c r="I404" s="1">
        <v>45444</v>
      </c>
      <c r="J404" s="1">
        <v>45931</v>
      </c>
      <c r="K404" s="2">
        <v>1</v>
      </c>
      <c r="L404" s="2">
        <v>1</v>
      </c>
      <c r="N404" s="3">
        <v>1</v>
      </c>
      <c r="O404" s="2">
        <v>9</v>
      </c>
      <c r="P404" t="s">
        <v>53</v>
      </c>
      <c r="Q404" t="s">
        <v>1642</v>
      </c>
    </row>
    <row r="405" spans="1:17" x14ac:dyDescent="0.25">
      <c r="A405" s="4" t="s">
        <v>1429</v>
      </c>
      <c r="B405" s="4" t="s">
        <v>1429</v>
      </c>
      <c r="C405" s="4" t="str">
        <f t="shared" ref="C405:C413" si="16">CONCATENATE(A405, "R")</f>
        <v>00021812164KOVR</v>
      </c>
      <c r="D405" t="s">
        <v>125</v>
      </c>
      <c r="E405">
        <v>20411454</v>
      </c>
      <c r="F405" t="s">
        <v>1663</v>
      </c>
      <c r="G405" t="s">
        <v>49</v>
      </c>
      <c r="H405" t="s">
        <v>50</v>
      </c>
      <c r="I405" s="1">
        <v>45444</v>
      </c>
      <c r="J405" s="1">
        <v>45931</v>
      </c>
      <c r="K405" s="2">
        <v>1</v>
      </c>
      <c r="L405" s="2">
        <v>1</v>
      </c>
      <c r="N405" s="3">
        <v>1</v>
      </c>
      <c r="O405" s="2">
        <v>9</v>
      </c>
      <c r="P405" t="s">
        <v>94</v>
      </c>
      <c r="Q405" t="s">
        <v>1642</v>
      </c>
    </row>
    <row r="406" spans="1:17" x14ac:dyDescent="0.25">
      <c r="A406" s="4" t="s">
        <v>1431</v>
      </c>
      <c r="B406" s="4" t="s">
        <v>1431</v>
      </c>
      <c r="C406" s="4" t="str">
        <f t="shared" si="16"/>
        <v>00021819613KOVR</v>
      </c>
      <c r="D406" t="s">
        <v>129</v>
      </c>
      <c r="E406">
        <v>20411454</v>
      </c>
      <c r="F406" t="s">
        <v>1663</v>
      </c>
      <c r="G406" t="s">
        <v>49</v>
      </c>
      <c r="H406" t="s">
        <v>50</v>
      </c>
      <c r="I406" s="1">
        <v>45444</v>
      </c>
      <c r="J406" s="1">
        <v>45931</v>
      </c>
      <c r="K406" s="2">
        <v>1</v>
      </c>
      <c r="L406" s="2">
        <v>1</v>
      </c>
      <c r="N406" s="3">
        <v>1</v>
      </c>
      <c r="O406" s="2">
        <v>9</v>
      </c>
      <c r="P406" t="s">
        <v>94</v>
      </c>
      <c r="Q406" t="s">
        <v>1642</v>
      </c>
    </row>
    <row r="407" spans="1:17" x14ac:dyDescent="0.25">
      <c r="A407" s="4" t="s">
        <v>1433</v>
      </c>
      <c r="B407" s="4" t="s">
        <v>1433</v>
      </c>
      <c r="C407" s="4" t="str">
        <f t="shared" si="16"/>
        <v>00021836561KOVR</v>
      </c>
      <c r="D407" t="s">
        <v>134</v>
      </c>
      <c r="E407">
        <v>20411454</v>
      </c>
      <c r="F407" t="s">
        <v>1663</v>
      </c>
      <c r="G407" t="s">
        <v>49</v>
      </c>
      <c r="H407" t="s">
        <v>50</v>
      </c>
      <c r="I407" s="1">
        <v>45474</v>
      </c>
      <c r="J407" s="1">
        <v>45931</v>
      </c>
      <c r="K407" s="2">
        <v>1</v>
      </c>
      <c r="L407" s="2">
        <v>1</v>
      </c>
      <c r="N407" s="3">
        <v>1</v>
      </c>
      <c r="O407" s="2">
        <v>9</v>
      </c>
      <c r="P407" t="s">
        <v>94</v>
      </c>
      <c r="Q407" t="s">
        <v>1642</v>
      </c>
    </row>
    <row r="408" spans="1:17" x14ac:dyDescent="0.25">
      <c r="A408" s="4" t="s">
        <v>1435</v>
      </c>
      <c r="B408" s="4" t="s">
        <v>1435</v>
      </c>
      <c r="C408" s="4" t="str">
        <f t="shared" si="16"/>
        <v>00021836597KOVR</v>
      </c>
      <c r="D408" t="s">
        <v>137</v>
      </c>
      <c r="E408">
        <v>20411454</v>
      </c>
      <c r="F408" t="s">
        <v>1663</v>
      </c>
      <c r="G408" t="s">
        <v>49</v>
      </c>
      <c r="H408" t="s">
        <v>50</v>
      </c>
      <c r="I408" s="1">
        <v>45474</v>
      </c>
      <c r="J408" s="1">
        <v>45931</v>
      </c>
      <c r="K408" s="2">
        <v>1</v>
      </c>
      <c r="L408" s="2">
        <v>1</v>
      </c>
      <c r="N408" s="3">
        <v>1</v>
      </c>
      <c r="O408" s="2">
        <v>9</v>
      </c>
      <c r="P408" t="s">
        <v>94</v>
      </c>
      <c r="Q408" t="s">
        <v>1642</v>
      </c>
    </row>
    <row r="409" spans="1:17" x14ac:dyDescent="0.25">
      <c r="A409" s="4" t="s">
        <v>1437</v>
      </c>
      <c r="B409" s="4" t="s">
        <v>1437</v>
      </c>
      <c r="C409" s="4" t="str">
        <f t="shared" si="16"/>
        <v>00021852153KOVR</v>
      </c>
      <c r="D409" t="s">
        <v>140</v>
      </c>
      <c r="E409">
        <v>20411454</v>
      </c>
      <c r="F409" t="s">
        <v>1663</v>
      </c>
      <c r="G409" t="s">
        <v>49</v>
      </c>
      <c r="H409" t="s">
        <v>50</v>
      </c>
      <c r="I409" s="1">
        <v>45474</v>
      </c>
      <c r="J409" s="1">
        <v>45931</v>
      </c>
      <c r="K409" s="2">
        <v>1</v>
      </c>
      <c r="L409" s="2">
        <v>1</v>
      </c>
      <c r="N409" s="3">
        <v>1</v>
      </c>
      <c r="O409" s="2">
        <v>9</v>
      </c>
      <c r="P409" t="s">
        <v>94</v>
      </c>
      <c r="Q409" t="s">
        <v>1642</v>
      </c>
    </row>
    <row r="410" spans="1:17" x14ac:dyDescent="0.25">
      <c r="A410" s="4" t="s">
        <v>1439</v>
      </c>
      <c r="B410" s="4" t="s">
        <v>1439</v>
      </c>
      <c r="C410" s="4" t="str">
        <f t="shared" si="16"/>
        <v>00021853327KOVR</v>
      </c>
      <c r="D410" t="s">
        <v>144</v>
      </c>
      <c r="E410">
        <v>20411454</v>
      </c>
      <c r="F410" t="s">
        <v>1663</v>
      </c>
      <c r="G410" t="s">
        <v>49</v>
      </c>
      <c r="H410" t="s">
        <v>50</v>
      </c>
      <c r="I410" s="1">
        <v>45474</v>
      </c>
      <c r="J410" s="1">
        <v>45931</v>
      </c>
      <c r="K410" s="2">
        <v>1</v>
      </c>
      <c r="L410" s="2">
        <v>1</v>
      </c>
      <c r="N410" s="3">
        <v>1</v>
      </c>
      <c r="O410" s="2">
        <v>9</v>
      </c>
      <c r="P410" t="s">
        <v>94</v>
      </c>
      <c r="Q410" t="s">
        <v>1642</v>
      </c>
    </row>
    <row r="411" spans="1:17" x14ac:dyDescent="0.25">
      <c r="A411" s="4" t="s">
        <v>1441</v>
      </c>
      <c r="B411" s="4" t="s">
        <v>1441</v>
      </c>
      <c r="C411" s="4" t="str">
        <f t="shared" si="16"/>
        <v>00021853815KOVR</v>
      </c>
      <c r="D411" t="s">
        <v>149</v>
      </c>
      <c r="E411">
        <v>20411454</v>
      </c>
      <c r="F411" t="s">
        <v>1663</v>
      </c>
      <c r="G411" t="s">
        <v>49</v>
      </c>
      <c r="H411" t="s">
        <v>50</v>
      </c>
      <c r="I411" s="1">
        <v>45474</v>
      </c>
      <c r="J411" s="1">
        <v>45931</v>
      </c>
      <c r="K411" s="2">
        <v>1</v>
      </c>
      <c r="L411" s="2">
        <v>1</v>
      </c>
      <c r="N411" s="3">
        <v>1</v>
      </c>
      <c r="O411" s="2">
        <v>9</v>
      </c>
      <c r="P411" t="s">
        <v>94</v>
      </c>
      <c r="Q411" t="s">
        <v>1642</v>
      </c>
    </row>
    <row r="412" spans="1:17" x14ac:dyDescent="0.25">
      <c r="A412" s="4" t="s">
        <v>1443</v>
      </c>
      <c r="B412" s="4" t="s">
        <v>1443</v>
      </c>
      <c r="C412" s="4" t="str">
        <f t="shared" si="16"/>
        <v>00021859258KOVR</v>
      </c>
      <c r="D412" t="s">
        <v>152</v>
      </c>
      <c r="E412">
        <v>20411454</v>
      </c>
      <c r="F412" t="s">
        <v>1663</v>
      </c>
      <c r="G412" t="s">
        <v>49</v>
      </c>
      <c r="H412" t="s">
        <v>50</v>
      </c>
      <c r="I412" s="1">
        <v>45474</v>
      </c>
      <c r="J412" s="1">
        <v>45931</v>
      </c>
      <c r="K412" s="2">
        <v>1</v>
      </c>
      <c r="L412" s="2">
        <v>1</v>
      </c>
      <c r="N412" s="3">
        <v>1</v>
      </c>
      <c r="O412" s="2">
        <v>9</v>
      </c>
      <c r="P412" t="s">
        <v>94</v>
      </c>
      <c r="Q412" t="s">
        <v>1642</v>
      </c>
    </row>
    <row r="413" spans="1:17" x14ac:dyDescent="0.25">
      <c r="A413" s="4" t="s">
        <v>1445</v>
      </c>
      <c r="B413" s="4" t="s">
        <v>1445</v>
      </c>
      <c r="C413" s="4" t="str">
        <f t="shared" si="16"/>
        <v>00021865984KOVR</v>
      </c>
      <c r="D413" t="s">
        <v>157</v>
      </c>
      <c r="E413">
        <v>20411454</v>
      </c>
      <c r="F413" t="s">
        <v>1663</v>
      </c>
      <c r="G413" t="s">
        <v>58</v>
      </c>
      <c r="H413" t="s">
        <v>50</v>
      </c>
      <c r="I413" s="1">
        <v>45474</v>
      </c>
      <c r="J413" s="1">
        <v>45931</v>
      </c>
      <c r="K413" s="2">
        <v>1</v>
      </c>
      <c r="L413" s="2">
        <v>1</v>
      </c>
      <c r="N413" s="3">
        <v>1</v>
      </c>
      <c r="O413" s="2">
        <v>9</v>
      </c>
      <c r="P413" t="s">
        <v>94</v>
      </c>
      <c r="Q413" t="s">
        <v>1642</v>
      </c>
    </row>
    <row r="414" spans="1:17" x14ac:dyDescent="0.25">
      <c r="A414" s="4" t="s">
        <v>1446</v>
      </c>
      <c r="B414" s="4" t="str">
        <f>CONCATENATE(A414,0)</f>
        <v>00021876313K0</v>
      </c>
      <c r="C414" s="4" t="str">
        <f>CONCATENATE(A414, "OVR")</f>
        <v>00021876313KOVR</v>
      </c>
      <c r="D414" t="s">
        <v>160</v>
      </c>
      <c r="E414">
        <v>20411454</v>
      </c>
      <c r="F414" t="s">
        <v>1663</v>
      </c>
      <c r="G414" t="s">
        <v>58</v>
      </c>
      <c r="H414" t="s">
        <v>50</v>
      </c>
      <c r="I414" s="1">
        <v>45474</v>
      </c>
      <c r="J414" s="1">
        <v>45931</v>
      </c>
      <c r="K414" s="2">
        <v>1</v>
      </c>
      <c r="L414" s="2">
        <v>1</v>
      </c>
      <c r="N414" s="3">
        <v>1</v>
      </c>
      <c r="O414" s="2">
        <v>9</v>
      </c>
      <c r="P414" t="s">
        <v>53</v>
      </c>
      <c r="Q414" t="s">
        <v>1642</v>
      </c>
    </row>
    <row r="415" spans="1:17" x14ac:dyDescent="0.25">
      <c r="A415" s="4" t="s">
        <v>1447</v>
      </c>
      <c r="B415" s="4" t="str">
        <f>CONCATENATE(A415,0)</f>
        <v>00021876763K0</v>
      </c>
      <c r="C415" s="4" t="str">
        <f>CONCATENATE(A415, "OVR")</f>
        <v>00021876763KOVR</v>
      </c>
      <c r="D415" t="s">
        <v>162</v>
      </c>
      <c r="E415">
        <v>20411454</v>
      </c>
      <c r="F415" t="s">
        <v>1663</v>
      </c>
      <c r="G415" t="s">
        <v>58</v>
      </c>
      <c r="H415" t="s">
        <v>50</v>
      </c>
      <c r="I415" s="1">
        <v>45505</v>
      </c>
      <c r="J415" s="1">
        <v>45931</v>
      </c>
      <c r="K415" s="2">
        <v>1</v>
      </c>
      <c r="L415" s="2">
        <v>1</v>
      </c>
      <c r="N415" s="3">
        <v>1</v>
      </c>
      <c r="O415" s="2">
        <v>9</v>
      </c>
      <c r="P415" t="s">
        <v>53</v>
      </c>
      <c r="Q415" t="s">
        <v>1642</v>
      </c>
    </row>
    <row r="416" spans="1:17" x14ac:dyDescent="0.25">
      <c r="A416" s="4" t="s">
        <v>1448</v>
      </c>
      <c r="B416" s="4" t="str">
        <f>CONCATENATE(A416,0)</f>
        <v>00021878864K0</v>
      </c>
      <c r="C416" s="4" t="str">
        <f>CONCATENATE(A416, "OVR")</f>
        <v>00021878864KOVR</v>
      </c>
      <c r="D416" t="s">
        <v>164</v>
      </c>
      <c r="E416">
        <v>20411454</v>
      </c>
      <c r="F416" t="s">
        <v>1663</v>
      </c>
      <c r="G416" t="s">
        <v>58</v>
      </c>
      <c r="H416" t="s">
        <v>50</v>
      </c>
      <c r="I416" s="1">
        <v>45474</v>
      </c>
      <c r="J416" s="1">
        <v>45931</v>
      </c>
      <c r="K416" s="2">
        <v>1</v>
      </c>
      <c r="L416" s="2">
        <v>1</v>
      </c>
      <c r="N416" s="3">
        <v>1</v>
      </c>
      <c r="O416" s="2">
        <v>9</v>
      </c>
      <c r="P416" t="s">
        <v>53</v>
      </c>
      <c r="Q416" t="s">
        <v>1642</v>
      </c>
    </row>
    <row r="417" spans="1:17" x14ac:dyDescent="0.25">
      <c r="A417" s="4" t="s">
        <v>1449</v>
      </c>
      <c r="B417" s="4" t="str">
        <f>CONCATENATE(A417,0)</f>
        <v>00021881964K0</v>
      </c>
      <c r="C417" s="4" t="str">
        <f>CONCATENATE(A417, "OVR")</f>
        <v>00021881964KOVR</v>
      </c>
      <c r="D417" t="s">
        <v>166</v>
      </c>
      <c r="E417">
        <v>20411454</v>
      </c>
      <c r="F417" t="s">
        <v>1663</v>
      </c>
      <c r="G417" t="s">
        <v>58</v>
      </c>
      <c r="H417" t="s">
        <v>50</v>
      </c>
      <c r="I417" s="1">
        <v>45505</v>
      </c>
      <c r="J417" s="1">
        <v>45931</v>
      </c>
      <c r="K417" s="2">
        <v>1</v>
      </c>
      <c r="L417" s="2">
        <v>1</v>
      </c>
      <c r="N417" s="3">
        <v>1</v>
      </c>
      <c r="O417" s="2">
        <v>9</v>
      </c>
      <c r="P417" t="s">
        <v>53</v>
      </c>
      <c r="Q417" t="s">
        <v>1642</v>
      </c>
    </row>
    <row r="418" spans="1:17" x14ac:dyDescent="0.25">
      <c r="A418" s="4" t="s">
        <v>1451</v>
      </c>
      <c r="B418" s="4" t="s">
        <v>1451</v>
      </c>
      <c r="C418" s="4" t="str">
        <f>CONCATENATE(A418, "R")</f>
        <v>00021882434KOVR</v>
      </c>
      <c r="D418" t="s">
        <v>170</v>
      </c>
      <c r="E418">
        <v>20411454</v>
      </c>
      <c r="F418" t="s">
        <v>1663</v>
      </c>
      <c r="G418" t="s">
        <v>49</v>
      </c>
      <c r="H418" t="s">
        <v>50</v>
      </c>
      <c r="I418" s="1">
        <v>45474</v>
      </c>
      <c r="J418" s="1">
        <v>45931</v>
      </c>
      <c r="K418" s="2">
        <v>1</v>
      </c>
      <c r="L418" s="2">
        <v>1</v>
      </c>
      <c r="N418" s="3">
        <v>1</v>
      </c>
      <c r="O418" s="2">
        <v>9</v>
      </c>
      <c r="P418" t="s">
        <v>94</v>
      </c>
      <c r="Q418" t="s">
        <v>1642</v>
      </c>
    </row>
    <row r="419" spans="1:17" x14ac:dyDescent="0.25">
      <c r="A419" s="4" t="s">
        <v>1452</v>
      </c>
      <c r="B419" s="4" t="str">
        <f>CONCATENATE(A419,0)</f>
        <v>00021883797K0</v>
      </c>
      <c r="C419" s="4" t="str">
        <f>CONCATENATE(A419, "OVR")</f>
        <v>00021883797KOVR</v>
      </c>
      <c r="D419" t="s">
        <v>173</v>
      </c>
      <c r="E419">
        <v>20411454</v>
      </c>
      <c r="F419" t="s">
        <v>1663</v>
      </c>
      <c r="G419" t="s">
        <v>58</v>
      </c>
      <c r="H419" t="s">
        <v>50</v>
      </c>
      <c r="I419" s="1">
        <v>45474</v>
      </c>
      <c r="J419" s="1">
        <v>45931</v>
      </c>
      <c r="K419" s="2">
        <v>1</v>
      </c>
      <c r="L419" s="2">
        <v>1</v>
      </c>
      <c r="N419" s="3">
        <v>1</v>
      </c>
      <c r="O419" s="2">
        <v>9</v>
      </c>
      <c r="P419" t="s">
        <v>53</v>
      </c>
      <c r="Q419" t="s">
        <v>1642</v>
      </c>
    </row>
    <row r="420" spans="1:17" x14ac:dyDescent="0.25">
      <c r="A420" s="4" t="s">
        <v>1453</v>
      </c>
      <c r="B420" s="4" t="str">
        <f>CONCATENATE(A420,0)</f>
        <v>00021883866K0</v>
      </c>
      <c r="C420" s="4" t="str">
        <f>CONCATENATE(A420, "OVR")</f>
        <v>00021883866KOVR</v>
      </c>
      <c r="D420" t="s">
        <v>175</v>
      </c>
      <c r="E420">
        <v>20411454</v>
      </c>
      <c r="F420" t="s">
        <v>1663</v>
      </c>
      <c r="G420" t="s">
        <v>58</v>
      </c>
      <c r="H420" t="s">
        <v>50</v>
      </c>
      <c r="I420" s="1">
        <v>45444</v>
      </c>
      <c r="J420" s="1">
        <v>45931</v>
      </c>
      <c r="K420" s="2">
        <v>1</v>
      </c>
      <c r="L420" s="2">
        <v>1</v>
      </c>
      <c r="N420" s="3">
        <v>1</v>
      </c>
      <c r="O420" s="2">
        <v>9</v>
      </c>
      <c r="P420" t="s">
        <v>53</v>
      </c>
      <c r="Q420" t="s">
        <v>1642</v>
      </c>
    </row>
    <row r="421" spans="1:17" x14ac:dyDescent="0.25">
      <c r="A421" s="4" t="s">
        <v>1455</v>
      </c>
      <c r="B421" s="4" t="s">
        <v>1455</v>
      </c>
      <c r="C421" s="4" t="str">
        <f>CONCATENATE(A421, "R")</f>
        <v>00021884516KOVR</v>
      </c>
      <c r="D421" t="s">
        <v>177</v>
      </c>
      <c r="E421">
        <v>20411454</v>
      </c>
      <c r="F421" t="s">
        <v>1663</v>
      </c>
      <c r="G421" t="s">
        <v>49</v>
      </c>
      <c r="H421" t="s">
        <v>50</v>
      </c>
      <c r="I421" s="1">
        <v>45474</v>
      </c>
      <c r="J421" s="1">
        <v>45931</v>
      </c>
      <c r="K421" s="2">
        <v>1</v>
      </c>
      <c r="L421" s="2">
        <v>1</v>
      </c>
      <c r="N421" s="3">
        <v>1</v>
      </c>
      <c r="O421" s="2">
        <v>9</v>
      </c>
      <c r="P421" t="s">
        <v>94</v>
      </c>
      <c r="Q421" t="s">
        <v>1642</v>
      </c>
    </row>
    <row r="422" spans="1:17" x14ac:dyDescent="0.25">
      <c r="A422" s="4" t="s">
        <v>1457</v>
      </c>
      <c r="B422" s="4" t="str">
        <f>CONCATENATE(A422,0)</f>
        <v>00021895596K0</v>
      </c>
      <c r="C422" s="4" t="str">
        <f>CONCATENATE(A422, "OVR")</f>
        <v>00021895596KOVR</v>
      </c>
      <c r="D422" t="s">
        <v>185</v>
      </c>
      <c r="E422">
        <v>20411454</v>
      </c>
      <c r="F422" t="s">
        <v>1663</v>
      </c>
      <c r="G422" t="s">
        <v>58</v>
      </c>
      <c r="H422" t="s">
        <v>50</v>
      </c>
      <c r="I422" s="1">
        <v>45474</v>
      </c>
      <c r="J422" s="1">
        <v>45931</v>
      </c>
      <c r="K422" s="2">
        <v>1</v>
      </c>
      <c r="L422" s="2">
        <v>1</v>
      </c>
      <c r="N422" s="3">
        <v>1</v>
      </c>
      <c r="O422" s="2">
        <v>9</v>
      </c>
      <c r="P422" t="s">
        <v>53</v>
      </c>
      <c r="Q422" t="s">
        <v>1642</v>
      </c>
    </row>
    <row r="423" spans="1:17" x14ac:dyDescent="0.25">
      <c r="A423" s="4" t="s">
        <v>1459</v>
      </c>
      <c r="B423" s="4" t="s">
        <v>1459</v>
      </c>
      <c r="C423" s="4" t="str">
        <f>CONCATENATE(A423, "R")</f>
        <v>00021895977KOVR</v>
      </c>
      <c r="D423" t="s">
        <v>187</v>
      </c>
      <c r="E423">
        <v>20411454</v>
      </c>
      <c r="F423" t="s">
        <v>1663</v>
      </c>
      <c r="G423" t="s">
        <v>49</v>
      </c>
      <c r="H423" t="s">
        <v>50</v>
      </c>
      <c r="I423" s="1">
        <v>45505</v>
      </c>
      <c r="J423" s="1">
        <v>45931</v>
      </c>
      <c r="K423" s="2">
        <v>1</v>
      </c>
      <c r="L423" s="2">
        <v>1</v>
      </c>
      <c r="N423" s="3">
        <v>1</v>
      </c>
      <c r="O423" s="2">
        <v>9</v>
      </c>
      <c r="P423" t="s">
        <v>94</v>
      </c>
      <c r="Q423" t="s">
        <v>1642</v>
      </c>
    </row>
    <row r="424" spans="1:17" x14ac:dyDescent="0.25">
      <c r="A424" s="4" t="s">
        <v>1460</v>
      </c>
      <c r="B424" s="4" t="str">
        <f>CONCATENATE(A424,0)</f>
        <v>00021906634K0</v>
      </c>
      <c r="C424" s="4" t="str">
        <f>CONCATENATE(A424, "OVR")</f>
        <v>00021906634KOVR</v>
      </c>
      <c r="D424" t="s">
        <v>190</v>
      </c>
      <c r="E424">
        <v>20411454</v>
      </c>
      <c r="F424" t="s">
        <v>1663</v>
      </c>
      <c r="G424" t="s">
        <v>58</v>
      </c>
      <c r="H424" t="s">
        <v>50</v>
      </c>
      <c r="I424" s="1">
        <v>45536</v>
      </c>
      <c r="J424" s="1">
        <v>45931</v>
      </c>
      <c r="K424" s="2">
        <v>1</v>
      </c>
      <c r="L424" s="2">
        <v>1</v>
      </c>
      <c r="N424" s="3">
        <v>1</v>
      </c>
      <c r="O424" s="2">
        <v>9</v>
      </c>
      <c r="P424" t="s">
        <v>53</v>
      </c>
      <c r="Q424" t="s">
        <v>1642</v>
      </c>
    </row>
    <row r="425" spans="1:17" x14ac:dyDescent="0.25">
      <c r="A425" s="4" t="s">
        <v>1462</v>
      </c>
      <c r="B425" s="4" t="str">
        <f>CONCATENATE(A425,0)</f>
        <v>00021915889K0</v>
      </c>
      <c r="C425" s="4" t="str">
        <f>CONCATENATE(A425, "OVR")</f>
        <v>00021915889KOVR</v>
      </c>
      <c r="D425" t="s">
        <v>194</v>
      </c>
      <c r="E425">
        <v>20411454</v>
      </c>
      <c r="F425" t="s">
        <v>1663</v>
      </c>
      <c r="G425" t="s">
        <v>58</v>
      </c>
      <c r="H425" t="s">
        <v>50</v>
      </c>
      <c r="I425" s="1">
        <v>45536</v>
      </c>
      <c r="J425" s="1">
        <v>45931</v>
      </c>
      <c r="K425" s="2">
        <v>1</v>
      </c>
      <c r="L425" s="2">
        <v>1</v>
      </c>
      <c r="N425" s="3">
        <v>1</v>
      </c>
      <c r="O425" s="2">
        <v>9</v>
      </c>
      <c r="P425" t="s">
        <v>53</v>
      </c>
      <c r="Q425" t="s">
        <v>1642</v>
      </c>
    </row>
    <row r="426" spans="1:17" x14ac:dyDescent="0.25">
      <c r="A426" s="4" t="s">
        <v>1464</v>
      </c>
      <c r="B426" s="4" t="s">
        <v>1464</v>
      </c>
      <c r="C426" s="4" t="str">
        <f>CONCATENATE(A426, "R")</f>
        <v>00021917176KOVR</v>
      </c>
      <c r="D426" t="s">
        <v>196</v>
      </c>
      <c r="E426">
        <v>20411454</v>
      </c>
      <c r="F426" t="s">
        <v>1663</v>
      </c>
      <c r="G426" t="s">
        <v>49</v>
      </c>
      <c r="H426" t="s">
        <v>50</v>
      </c>
      <c r="I426" s="1">
        <v>45505</v>
      </c>
      <c r="J426" s="1">
        <v>45931</v>
      </c>
      <c r="K426" s="2">
        <v>1</v>
      </c>
      <c r="L426" s="2">
        <v>1</v>
      </c>
      <c r="N426" s="3">
        <v>1</v>
      </c>
      <c r="O426" s="2">
        <v>9</v>
      </c>
      <c r="P426" t="s">
        <v>94</v>
      </c>
      <c r="Q426" t="s">
        <v>1642</v>
      </c>
    </row>
    <row r="427" spans="1:17" x14ac:dyDescent="0.25">
      <c r="A427" s="4" t="s">
        <v>1465</v>
      </c>
      <c r="B427" s="4" t="str">
        <f t="shared" ref="B427:B438" si="17">CONCATENATE(A427,0)</f>
        <v>00021918216K0</v>
      </c>
      <c r="C427" s="4" t="str">
        <f t="shared" ref="C427:C438" si="18">CONCATENATE(A427, "OVR")</f>
        <v>00021918216KOVR</v>
      </c>
      <c r="D427" t="s">
        <v>199</v>
      </c>
      <c r="E427">
        <v>20411454</v>
      </c>
      <c r="F427" t="s">
        <v>1663</v>
      </c>
      <c r="G427" t="s">
        <v>58</v>
      </c>
      <c r="H427" t="s">
        <v>50</v>
      </c>
      <c r="I427" s="1">
        <v>45505</v>
      </c>
      <c r="J427" s="1">
        <v>45931</v>
      </c>
      <c r="K427" s="2">
        <v>1</v>
      </c>
      <c r="L427" s="2">
        <v>1</v>
      </c>
      <c r="N427" s="3">
        <v>1</v>
      </c>
      <c r="O427" s="2">
        <v>9</v>
      </c>
      <c r="P427" t="s">
        <v>53</v>
      </c>
      <c r="Q427" t="s">
        <v>1642</v>
      </c>
    </row>
    <row r="428" spans="1:17" x14ac:dyDescent="0.25">
      <c r="A428" s="4" t="s">
        <v>1466</v>
      </c>
      <c r="B428" s="4" t="str">
        <f t="shared" si="17"/>
        <v>00021920479K0</v>
      </c>
      <c r="C428" s="4" t="str">
        <f t="shared" si="18"/>
        <v>00021920479KOVR</v>
      </c>
      <c r="D428" t="s">
        <v>201</v>
      </c>
      <c r="E428">
        <v>20411454</v>
      </c>
      <c r="F428" t="s">
        <v>1663</v>
      </c>
      <c r="G428" t="s">
        <v>58</v>
      </c>
      <c r="H428" t="s">
        <v>50</v>
      </c>
      <c r="I428" s="1">
        <v>45505</v>
      </c>
      <c r="J428" s="1">
        <v>45931</v>
      </c>
      <c r="K428" s="2">
        <v>1</v>
      </c>
      <c r="L428" s="2">
        <v>1</v>
      </c>
      <c r="N428" s="3">
        <v>1</v>
      </c>
      <c r="O428" s="2">
        <v>9</v>
      </c>
      <c r="P428" t="s">
        <v>53</v>
      </c>
      <c r="Q428" t="s">
        <v>1642</v>
      </c>
    </row>
    <row r="429" spans="1:17" x14ac:dyDescent="0.25">
      <c r="A429" s="4" t="s">
        <v>1467</v>
      </c>
      <c r="B429" s="4" t="str">
        <f t="shared" si="17"/>
        <v>00021920643K0</v>
      </c>
      <c r="C429" s="4" t="str">
        <f t="shared" si="18"/>
        <v>00021920643KOVR</v>
      </c>
      <c r="D429" t="s">
        <v>203</v>
      </c>
      <c r="E429">
        <v>20411454</v>
      </c>
      <c r="F429" t="s">
        <v>1663</v>
      </c>
      <c r="G429" t="s">
        <v>58</v>
      </c>
      <c r="H429" t="s">
        <v>50</v>
      </c>
      <c r="I429" s="1">
        <v>45505</v>
      </c>
      <c r="J429" s="1">
        <v>45931</v>
      </c>
      <c r="K429" s="2">
        <v>1</v>
      </c>
      <c r="L429" s="2">
        <v>1</v>
      </c>
      <c r="N429" s="3">
        <v>1</v>
      </c>
      <c r="O429" s="2">
        <v>9</v>
      </c>
      <c r="P429" t="s">
        <v>53</v>
      </c>
      <c r="Q429" t="s">
        <v>1642</v>
      </c>
    </row>
    <row r="430" spans="1:17" x14ac:dyDescent="0.25">
      <c r="A430" s="4" t="s">
        <v>1468</v>
      </c>
      <c r="B430" s="4" t="str">
        <f t="shared" si="17"/>
        <v>00021921861K0</v>
      </c>
      <c r="C430" s="4" t="str">
        <f t="shared" si="18"/>
        <v>00021921861KOVR</v>
      </c>
      <c r="D430" t="s">
        <v>205</v>
      </c>
      <c r="E430">
        <v>20411454</v>
      </c>
      <c r="F430" t="s">
        <v>1663</v>
      </c>
      <c r="G430" t="s">
        <v>58</v>
      </c>
      <c r="H430" t="s">
        <v>50</v>
      </c>
      <c r="I430" s="1">
        <v>45505</v>
      </c>
      <c r="J430" s="1">
        <v>45931</v>
      </c>
      <c r="K430" s="2">
        <v>1</v>
      </c>
      <c r="L430" s="2">
        <v>1</v>
      </c>
      <c r="N430" s="3">
        <v>1</v>
      </c>
      <c r="O430" s="2">
        <v>9</v>
      </c>
      <c r="P430" t="s">
        <v>53</v>
      </c>
      <c r="Q430" t="s">
        <v>1642</v>
      </c>
    </row>
    <row r="431" spans="1:17" x14ac:dyDescent="0.25">
      <c r="A431" s="4" t="s">
        <v>1469</v>
      </c>
      <c r="B431" s="4" t="str">
        <f t="shared" si="17"/>
        <v>00021926659K0</v>
      </c>
      <c r="C431" s="4" t="str">
        <f t="shared" si="18"/>
        <v>00021926659KOVR</v>
      </c>
      <c r="D431" t="s">
        <v>207</v>
      </c>
      <c r="E431">
        <v>20411454</v>
      </c>
      <c r="F431" t="s">
        <v>1663</v>
      </c>
      <c r="G431" t="s">
        <v>58</v>
      </c>
      <c r="H431" t="s">
        <v>50</v>
      </c>
      <c r="I431" s="1">
        <v>45505</v>
      </c>
      <c r="J431" s="1">
        <v>45931</v>
      </c>
      <c r="K431" s="2">
        <v>1</v>
      </c>
      <c r="L431" s="2">
        <v>1</v>
      </c>
      <c r="N431" s="3">
        <v>1</v>
      </c>
      <c r="O431" s="2">
        <v>9</v>
      </c>
      <c r="P431" t="s">
        <v>53</v>
      </c>
      <c r="Q431" t="s">
        <v>1642</v>
      </c>
    </row>
    <row r="432" spans="1:17" x14ac:dyDescent="0.25">
      <c r="A432" s="4" t="s">
        <v>1470</v>
      </c>
      <c r="B432" s="4" t="str">
        <f t="shared" si="17"/>
        <v>00021937596K0</v>
      </c>
      <c r="C432" s="4" t="str">
        <f t="shared" si="18"/>
        <v>00021937596KOVR</v>
      </c>
      <c r="D432" t="s">
        <v>209</v>
      </c>
      <c r="E432">
        <v>20411454</v>
      </c>
      <c r="F432" t="s">
        <v>1663</v>
      </c>
      <c r="G432" t="s">
        <v>49</v>
      </c>
      <c r="H432" t="s">
        <v>50</v>
      </c>
      <c r="I432" s="1">
        <v>45505</v>
      </c>
      <c r="J432" s="1">
        <v>45931</v>
      </c>
      <c r="K432" s="2">
        <v>1</v>
      </c>
      <c r="L432" s="2">
        <v>1</v>
      </c>
      <c r="N432" s="3">
        <v>1</v>
      </c>
      <c r="O432" s="2">
        <v>9</v>
      </c>
      <c r="P432" t="s">
        <v>53</v>
      </c>
      <c r="Q432" t="s">
        <v>1642</v>
      </c>
    </row>
    <row r="433" spans="1:17" x14ac:dyDescent="0.25">
      <c r="A433" s="4" t="s">
        <v>1471</v>
      </c>
      <c r="B433" s="4" t="str">
        <f t="shared" si="17"/>
        <v>00021938736K0</v>
      </c>
      <c r="C433" s="4" t="str">
        <f t="shared" si="18"/>
        <v>00021938736KOVR</v>
      </c>
      <c r="D433" t="s">
        <v>211</v>
      </c>
      <c r="E433">
        <v>20411454</v>
      </c>
      <c r="F433" t="s">
        <v>1663</v>
      </c>
      <c r="G433" t="s">
        <v>58</v>
      </c>
      <c r="H433" t="s">
        <v>50</v>
      </c>
      <c r="I433" s="1">
        <v>45505</v>
      </c>
      <c r="J433" s="1">
        <v>45931</v>
      </c>
      <c r="K433" s="2">
        <v>1</v>
      </c>
      <c r="L433" s="2">
        <v>1</v>
      </c>
      <c r="N433" s="3">
        <v>1</v>
      </c>
      <c r="O433" s="2">
        <v>9</v>
      </c>
      <c r="P433" t="s">
        <v>53</v>
      </c>
      <c r="Q433" t="s">
        <v>1642</v>
      </c>
    </row>
    <row r="434" spans="1:17" x14ac:dyDescent="0.25">
      <c r="A434" s="4" t="s">
        <v>1472</v>
      </c>
      <c r="B434" s="4" t="str">
        <f t="shared" si="17"/>
        <v>00021938762K0</v>
      </c>
      <c r="C434" s="4" t="str">
        <f t="shared" si="18"/>
        <v>00021938762KOVR</v>
      </c>
      <c r="D434" t="s">
        <v>213</v>
      </c>
      <c r="E434">
        <v>20411454</v>
      </c>
      <c r="F434" t="s">
        <v>1663</v>
      </c>
      <c r="G434" t="s">
        <v>49</v>
      </c>
      <c r="H434" t="s">
        <v>50</v>
      </c>
      <c r="I434" s="1">
        <v>45536</v>
      </c>
      <c r="J434" s="1">
        <v>45931</v>
      </c>
      <c r="K434" s="2">
        <v>1</v>
      </c>
      <c r="L434" s="2">
        <v>1</v>
      </c>
      <c r="N434" s="3">
        <v>1</v>
      </c>
      <c r="O434" s="2">
        <v>9</v>
      </c>
      <c r="P434" t="s">
        <v>53</v>
      </c>
      <c r="Q434" t="s">
        <v>1642</v>
      </c>
    </row>
    <row r="435" spans="1:17" x14ac:dyDescent="0.25">
      <c r="A435" s="4" t="s">
        <v>1473</v>
      </c>
      <c r="B435" s="4" t="str">
        <f t="shared" si="17"/>
        <v>00021942365K0</v>
      </c>
      <c r="C435" s="4" t="str">
        <f t="shared" si="18"/>
        <v>00021942365KOVR</v>
      </c>
      <c r="D435" t="s">
        <v>215</v>
      </c>
      <c r="E435">
        <v>20411454</v>
      </c>
      <c r="F435" t="s">
        <v>1663</v>
      </c>
      <c r="G435" t="s">
        <v>58</v>
      </c>
      <c r="H435" t="s">
        <v>50</v>
      </c>
      <c r="I435" s="1">
        <v>45505</v>
      </c>
      <c r="J435" s="1">
        <v>45931</v>
      </c>
      <c r="K435" s="2">
        <v>1</v>
      </c>
      <c r="L435" s="2">
        <v>1</v>
      </c>
      <c r="N435" s="3">
        <v>1</v>
      </c>
      <c r="O435" s="2">
        <v>9</v>
      </c>
      <c r="P435" t="s">
        <v>53</v>
      </c>
      <c r="Q435" t="s">
        <v>1642</v>
      </c>
    </row>
    <row r="436" spans="1:17" x14ac:dyDescent="0.25">
      <c r="A436" s="4" t="s">
        <v>1474</v>
      </c>
      <c r="B436" s="4" t="str">
        <f t="shared" si="17"/>
        <v>00021948322K0</v>
      </c>
      <c r="C436" s="4" t="str">
        <f t="shared" si="18"/>
        <v>00021948322KOVR</v>
      </c>
      <c r="D436" t="s">
        <v>219</v>
      </c>
      <c r="E436">
        <v>20411454</v>
      </c>
      <c r="F436" t="s">
        <v>1663</v>
      </c>
      <c r="G436" t="s">
        <v>49</v>
      </c>
      <c r="H436" t="s">
        <v>50</v>
      </c>
      <c r="I436" s="1">
        <v>45566</v>
      </c>
      <c r="J436" s="1">
        <v>45931</v>
      </c>
      <c r="K436" s="2">
        <v>1</v>
      </c>
      <c r="L436" s="2">
        <v>1</v>
      </c>
      <c r="N436" s="3">
        <v>1</v>
      </c>
      <c r="O436" s="2">
        <v>9</v>
      </c>
      <c r="P436" t="s">
        <v>53</v>
      </c>
      <c r="Q436" t="s">
        <v>1642</v>
      </c>
    </row>
    <row r="437" spans="1:17" x14ac:dyDescent="0.25">
      <c r="A437" s="4" t="s">
        <v>1475</v>
      </c>
      <c r="B437" s="4" t="str">
        <f t="shared" si="17"/>
        <v>00021951591K0</v>
      </c>
      <c r="C437" s="4" t="str">
        <f t="shared" si="18"/>
        <v>00021951591KOVR</v>
      </c>
      <c r="D437" t="s">
        <v>223</v>
      </c>
      <c r="E437">
        <v>20411454</v>
      </c>
      <c r="F437" t="s">
        <v>1663</v>
      </c>
      <c r="G437" t="s">
        <v>58</v>
      </c>
      <c r="H437" t="s">
        <v>50</v>
      </c>
      <c r="I437" s="1">
        <v>45536</v>
      </c>
      <c r="J437" s="1">
        <v>45931</v>
      </c>
      <c r="K437" s="2">
        <v>1</v>
      </c>
      <c r="L437" s="2">
        <v>1</v>
      </c>
      <c r="N437" s="3">
        <v>1</v>
      </c>
      <c r="O437" s="2">
        <v>9</v>
      </c>
      <c r="P437" t="s">
        <v>53</v>
      </c>
      <c r="Q437" t="s">
        <v>1642</v>
      </c>
    </row>
    <row r="438" spans="1:17" x14ac:dyDescent="0.25">
      <c r="A438" s="4" t="s">
        <v>1476</v>
      </c>
      <c r="B438" s="4" t="str">
        <f t="shared" si="17"/>
        <v>00021961080K0</v>
      </c>
      <c r="C438" s="4" t="str">
        <f t="shared" si="18"/>
        <v>00021961080KOVR</v>
      </c>
      <c r="D438" t="s">
        <v>227</v>
      </c>
      <c r="E438">
        <v>20411454</v>
      </c>
      <c r="F438" t="s">
        <v>1663</v>
      </c>
      <c r="G438" t="s">
        <v>58</v>
      </c>
      <c r="H438" t="s">
        <v>50</v>
      </c>
      <c r="I438" s="1">
        <v>45505</v>
      </c>
      <c r="J438" s="1">
        <v>45931</v>
      </c>
      <c r="K438" s="2">
        <v>1</v>
      </c>
      <c r="L438" s="2">
        <v>1</v>
      </c>
      <c r="N438" s="3">
        <v>1</v>
      </c>
      <c r="O438" s="2">
        <v>9</v>
      </c>
      <c r="P438" t="s">
        <v>53</v>
      </c>
      <c r="Q438" t="s">
        <v>1642</v>
      </c>
    </row>
    <row r="439" spans="1:17" x14ac:dyDescent="0.25">
      <c r="A439" s="4" t="s">
        <v>1478</v>
      </c>
      <c r="B439" s="4" t="s">
        <v>1478</v>
      </c>
      <c r="C439" s="4" t="str">
        <f>CONCATENATE(A439, "R")</f>
        <v>00021973839KOVR</v>
      </c>
      <c r="D439" t="s">
        <v>229</v>
      </c>
      <c r="E439">
        <v>20411454</v>
      </c>
      <c r="F439" t="s">
        <v>1663</v>
      </c>
      <c r="G439" t="s">
        <v>49</v>
      </c>
      <c r="H439" t="s">
        <v>50</v>
      </c>
      <c r="I439" s="1">
        <v>45536</v>
      </c>
      <c r="J439" s="1">
        <v>45931</v>
      </c>
      <c r="K439" s="2">
        <v>1</v>
      </c>
      <c r="L439" s="2">
        <v>1</v>
      </c>
      <c r="N439" s="3">
        <v>1</v>
      </c>
      <c r="O439" s="2">
        <v>9</v>
      </c>
      <c r="P439" t="s">
        <v>94</v>
      </c>
      <c r="Q439" t="s">
        <v>1642</v>
      </c>
    </row>
    <row r="440" spans="1:17" x14ac:dyDescent="0.25">
      <c r="A440" s="4" t="s">
        <v>1479</v>
      </c>
      <c r="B440" s="4" t="str">
        <f>CONCATENATE(A440,0)</f>
        <v>00021996169K0</v>
      </c>
      <c r="C440" s="4" t="str">
        <f>CONCATENATE(A440, "OVR")</f>
        <v>00021996169KOVR</v>
      </c>
      <c r="D440" t="s">
        <v>232</v>
      </c>
      <c r="E440">
        <v>20411454</v>
      </c>
      <c r="F440" t="s">
        <v>1663</v>
      </c>
      <c r="G440" t="s">
        <v>58</v>
      </c>
      <c r="H440" t="s">
        <v>50</v>
      </c>
      <c r="I440" s="1">
        <v>45536</v>
      </c>
      <c r="J440" s="1">
        <v>45931</v>
      </c>
      <c r="K440" s="2">
        <v>1</v>
      </c>
      <c r="L440" s="2">
        <v>1</v>
      </c>
      <c r="N440" s="3">
        <v>1</v>
      </c>
      <c r="O440" s="2">
        <v>9</v>
      </c>
      <c r="P440" t="s">
        <v>53</v>
      </c>
      <c r="Q440" t="s">
        <v>1642</v>
      </c>
    </row>
    <row r="441" spans="1:17" x14ac:dyDescent="0.25">
      <c r="A441" s="4" t="s">
        <v>1480</v>
      </c>
      <c r="B441" s="4" t="str">
        <f>CONCATENATE(A441,0)</f>
        <v>00021999707K0</v>
      </c>
      <c r="C441" s="4" t="str">
        <f>CONCATENATE(A441, "OVR")</f>
        <v>00021999707KOVR</v>
      </c>
      <c r="D441" t="s">
        <v>234</v>
      </c>
      <c r="E441">
        <v>20411454</v>
      </c>
      <c r="F441" t="s">
        <v>1663</v>
      </c>
      <c r="G441" t="s">
        <v>58</v>
      </c>
      <c r="H441" t="s">
        <v>50</v>
      </c>
      <c r="I441" s="1">
        <v>45597</v>
      </c>
      <c r="J441" s="1">
        <v>45931</v>
      </c>
      <c r="K441" s="2">
        <v>1</v>
      </c>
      <c r="L441" s="2">
        <v>1</v>
      </c>
      <c r="N441" s="3">
        <v>1</v>
      </c>
      <c r="O441" s="2">
        <v>9</v>
      </c>
      <c r="P441" t="s">
        <v>53</v>
      </c>
      <c r="Q441" t="s">
        <v>1642</v>
      </c>
    </row>
    <row r="442" spans="1:17" x14ac:dyDescent="0.25">
      <c r="A442" s="4" t="s">
        <v>1482</v>
      </c>
      <c r="B442" s="4" t="s">
        <v>1482</v>
      </c>
      <c r="C442" s="4" t="str">
        <f>CONCATENATE(A442, "R")</f>
        <v>00022004915KOVR</v>
      </c>
      <c r="D442" t="s">
        <v>236</v>
      </c>
      <c r="E442">
        <v>20411454</v>
      </c>
      <c r="F442" t="s">
        <v>1663</v>
      </c>
      <c r="G442" t="s">
        <v>49</v>
      </c>
      <c r="H442" t="s">
        <v>50</v>
      </c>
      <c r="I442" s="1">
        <v>45536</v>
      </c>
      <c r="J442" s="1">
        <v>45931</v>
      </c>
      <c r="K442" s="2">
        <v>1</v>
      </c>
      <c r="L442" s="2">
        <v>1</v>
      </c>
      <c r="N442" s="3">
        <v>1</v>
      </c>
      <c r="O442" s="2">
        <v>9</v>
      </c>
      <c r="P442" t="s">
        <v>94</v>
      </c>
      <c r="Q442" t="s">
        <v>1642</v>
      </c>
    </row>
    <row r="443" spans="1:17" x14ac:dyDescent="0.25">
      <c r="A443" s="4" t="s">
        <v>1483</v>
      </c>
      <c r="B443" s="4" t="str">
        <f>CONCATENATE(A443,0)</f>
        <v>00022011876K0</v>
      </c>
      <c r="C443" s="4" t="str">
        <f>CONCATENATE(A443, "OVR")</f>
        <v>00022011876KOVR</v>
      </c>
      <c r="D443" t="s">
        <v>239</v>
      </c>
      <c r="E443">
        <v>20411454</v>
      </c>
      <c r="F443" t="s">
        <v>1663</v>
      </c>
      <c r="G443" t="s">
        <v>58</v>
      </c>
      <c r="H443" t="s">
        <v>50</v>
      </c>
      <c r="I443" s="1">
        <v>45536</v>
      </c>
      <c r="J443" s="1">
        <v>45931</v>
      </c>
      <c r="K443" s="2">
        <v>1</v>
      </c>
      <c r="L443" s="2">
        <v>1</v>
      </c>
      <c r="N443" s="3">
        <v>1</v>
      </c>
      <c r="O443" s="2">
        <v>9</v>
      </c>
      <c r="P443" t="s">
        <v>53</v>
      </c>
      <c r="Q443" t="s">
        <v>1642</v>
      </c>
    </row>
    <row r="444" spans="1:17" x14ac:dyDescent="0.25">
      <c r="A444" s="4" t="s">
        <v>1484</v>
      </c>
      <c r="B444" s="4" t="str">
        <f>CONCATENATE(A444,0)</f>
        <v>00022014220K0</v>
      </c>
      <c r="C444" s="4" t="str">
        <f>CONCATENATE(A444, "OVR")</f>
        <v>00022014220KOVR</v>
      </c>
      <c r="D444" t="s">
        <v>243</v>
      </c>
      <c r="E444">
        <v>20411454</v>
      </c>
      <c r="F444" t="s">
        <v>1663</v>
      </c>
      <c r="G444" t="s">
        <v>58</v>
      </c>
      <c r="H444" t="s">
        <v>50</v>
      </c>
      <c r="I444" s="1">
        <v>45536</v>
      </c>
      <c r="J444" s="1">
        <v>45931</v>
      </c>
      <c r="K444" s="2">
        <v>1</v>
      </c>
      <c r="L444" s="2">
        <v>1</v>
      </c>
      <c r="N444" s="3">
        <v>1</v>
      </c>
      <c r="O444" s="2">
        <v>9</v>
      </c>
      <c r="P444" t="s">
        <v>53</v>
      </c>
      <c r="Q444" t="s">
        <v>1642</v>
      </c>
    </row>
    <row r="445" spans="1:17" x14ac:dyDescent="0.25">
      <c r="A445" s="4" t="s">
        <v>1485</v>
      </c>
      <c r="B445" s="4" t="str">
        <f>CONCATENATE(A445,0)</f>
        <v>00022021737K0</v>
      </c>
      <c r="C445" s="4" t="str">
        <f>CONCATENATE(A445, "OVR")</f>
        <v>00022021737KOVR</v>
      </c>
      <c r="D445" t="s">
        <v>245</v>
      </c>
      <c r="E445">
        <v>20411454</v>
      </c>
      <c r="F445" t="s">
        <v>1663</v>
      </c>
      <c r="G445" t="s">
        <v>58</v>
      </c>
      <c r="H445" t="s">
        <v>50</v>
      </c>
      <c r="I445" s="1">
        <v>45566</v>
      </c>
      <c r="J445" s="1">
        <v>45931</v>
      </c>
      <c r="K445" s="2">
        <v>1</v>
      </c>
      <c r="L445" s="2">
        <v>1</v>
      </c>
      <c r="N445" s="3">
        <v>1</v>
      </c>
      <c r="O445" s="2">
        <v>9</v>
      </c>
      <c r="P445" t="s">
        <v>53</v>
      </c>
      <c r="Q445" t="s">
        <v>1642</v>
      </c>
    </row>
    <row r="446" spans="1:17" x14ac:dyDescent="0.25">
      <c r="A446" s="4" t="s">
        <v>1486</v>
      </c>
      <c r="B446" s="4" t="str">
        <f>CONCATENATE(A446,0)</f>
        <v>00022023339K0</v>
      </c>
      <c r="C446" s="4" t="str">
        <f>CONCATENATE(A446, "OVR")</f>
        <v>00022023339KOVR</v>
      </c>
      <c r="D446" t="s">
        <v>247</v>
      </c>
      <c r="E446">
        <v>20411454</v>
      </c>
      <c r="F446" t="s">
        <v>1663</v>
      </c>
      <c r="G446" t="s">
        <v>58</v>
      </c>
      <c r="H446" t="s">
        <v>50</v>
      </c>
      <c r="I446" s="1">
        <v>45536</v>
      </c>
      <c r="J446" s="1">
        <v>45931</v>
      </c>
      <c r="K446" s="2">
        <v>1</v>
      </c>
      <c r="L446" s="2">
        <v>1</v>
      </c>
      <c r="N446" s="3">
        <v>1</v>
      </c>
      <c r="O446" s="2">
        <v>9</v>
      </c>
      <c r="P446" t="s">
        <v>53</v>
      </c>
      <c r="Q446" t="s">
        <v>1642</v>
      </c>
    </row>
    <row r="447" spans="1:17" x14ac:dyDescent="0.25">
      <c r="A447" s="4" t="s">
        <v>1488</v>
      </c>
      <c r="B447" s="4" t="s">
        <v>1488</v>
      </c>
      <c r="C447" s="4" t="str">
        <f>CONCATENATE(A447, "R")</f>
        <v>00022025150KOVR</v>
      </c>
      <c r="D447" t="s">
        <v>249</v>
      </c>
      <c r="E447">
        <v>20411454</v>
      </c>
      <c r="F447" t="s">
        <v>1663</v>
      </c>
      <c r="G447" t="s">
        <v>49</v>
      </c>
      <c r="H447" t="s">
        <v>50</v>
      </c>
      <c r="I447" s="1">
        <v>45566</v>
      </c>
      <c r="J447" s="1">
        <v>45931</v>
      </c>
      <c r="K447" s="2">
        <v>1</v>
      </c>
      <c r="L447" s="2">
        <v>1</v>
      </c>
      <c r="N447" s="3">
        <v>1</v>
      </c>
      <c r="O447" s="2">
        <v>9</v>
      </c>
      <c r="P447" t="s">
        <v>94</v>
      </c>
      <c r="Q447" t="s">
        <v>1642</v>
      </c>
    </row>
    <row r="448" spans="1:17" x14ac:dyDescent="0.25">
      <c r="A448" s="4" t="s">
        <v>1489</v>
      </c>
      <c r="B448" s="4" t="str">
        <f>CONCATENATE(A448,0)</f>
        <v>00022026537K0</v>
      </c>
      <c r="C448" s="4" t="str">
        <f>CONCATENATE(A448, "OVR")</f>
        <v>00022026537KOVR</v>
      </c>
      <c r="D448" t="s">
        <v>252</v>
      </c>
      <c r="E448">
        <v>20411454</v>
      </c>
      <c r="F448" t="s">
        <v>1663</v>
      </c>
      <c r="G448" t="s">
        <v>58</v>
      </c>
      <c r="H448" t="s">
        <v>50</v>
      </c>
      <c r="I448" s="1">
        <v>45536</v>
      </c>
      <c r="J448" s="1">
        <v>45931</v>
      </c>
      <c r="K448" s="2">
        <v>1</v>
      </c>
      <c r="L448" s="2">
        <v>1</v>
      </c>
      <c r="N448" s="3">
        <v>1</v>
      </c>
      <c r="O448" s="2">
        <v>9</v>
      </c>
      <c r="P448" t="s">
        <v>53</v>
      </c>
      <c r="Q448" t="s">
        <v>1642</v>
      </c>
    </row>
    <row r="449" spans="1:17" x14ac:dyDescent="0.25">
      <c r="A449" s="4" t="s">
        <v>1491</v>
      </c>
      <c r="B449" s="4" t="s">
        <v>1491</v>
      </c>
      <c r="C449" s="4" t="str">
        <f>CONCATENATE(A449, "R")</f>
        <v>00022031158KOVR</v>
      </c>
      <c r="D449" t="s">
        <v>254</v>
      </c>
      <c r="E449">
        <v>20411454</v>
      </c>
      <c r="F449" t="s">
        <v>1663</v>
      </c>
      <c r="G449" t="s">
        <v>49</v>
      </c>
      <c r="H449" t="s">
        <v>50</v>
      </c>
      <c r="I449" s="1">
        <v>45566</v>
      </c>
      <c r="J449" s="1">
        <v>45931</v>
      </c>
      <c r="K449" s="2">
        <v>1</v>
      </c>
      <c r="L449" s="2">
        <v>1</v>
      </c>
      <c r="N449" s="3">
        <v>1</v>
      </c>
      <c r="O449" s="2">
        <v>9</v>
      </c>
      <c r="P449" t="s">
        <v>94</v>
      </c>
      <c r="Q449" t="s">
        <v>1642</v>
      </c>
    </row>
    <row r="450" spans="1:17" x14ac:dyDescent="0.25">
      <c r="A450" s="4" t="s">
        <v>1493</v>
      </c>
      <c r="B450" s="4" t="s">
        <v>1493</v>
      </c>
      <c r="C450" s="4" t="str">
        <f>CONCATENATE(A450, "R")</f>
        <v>00022032935KOVR</v>
      </c>
      <c r="D450" t="s">
        <v>257</v>
      </c>
      <c r="E450">
        <v>20411454</v>
      </c>
      <c r="F450" t="s">
        <v>1663</v>
      </c>
      <c r="G450" t="s">
        <v>49</v>
      </c>
      <c r="H450" t="s">
        <v>50</v>
      </c>
      <c r="I450" s="1">
        <v>45566</v>
      </c>
      <c r="J450" s="1">
        <v>45931</v>
      </c>
      <c r="K450" s="2">
        <v>1</v>
      </c>
      <c r="L450" s="2">
        <v>1</v>
      </c>
      <c r="N450" s="3">
        <v>1</v>
      </c>
      <c r="O450" s="2">
        <v>9</v>
      </c>
      <c r="P450" t="s">
        <v>94</v>
      </c>
      <c r="Q450" t="s">
        <v>1642</v>
      </c>
    </row>
    <row r="451" spans="1:17" x14ac:dyDescent="0.25">
      <c r="A451" s="4" t="s">
        <v>1494</v>
      </c>
      <c r="B451" s="4" t="str">
        <f>CONCATENATE(A451,0)</f>
        <v>00022033067K0</v>
      </c>
      <c r="C451" s="4" t="str">
        <f>CONCATENATE(A451, "OVR")</f>
        <v>00022033067KOVR</v>
      </c>
      <c r="D451" t="s">
        <v>260</v>
      </c>
      <c r="E451">
        <v>20411454</v>
      </c>
      <c r="F451" t="s">
        <v>1663</v>
      </c>
      <c r="G451" t="s">
        <v>58</v>
      </c>
      <c r="H451" t="s">
        <v>50</v>
      </c>
      <c r="I451" s="1">
        <v>45566</v>
      </c>
      <c r="J451" s="1">
        <v>45931</v>
      </c>
      <c r="K451" s="2">
        <v>1</v>
      </c>
      <c r="L451" s="2">
        <v>1</v>
      </c>
      <c r="N451" s="3">
        <v>1</v>
      </c>
      <c r="O451" s="2">
        <v>9</v>
      </c>
      <c r="P451" t="s">
        <v>53</v>
      </c>
      <c r="Q451" t="s">
        <v>1642</v>
      </c>
    </row>
    <row r="452" spans="1:17" x14ac:dyDescent="0.25">
      <c r="A452" s="4" t="s">
        <v>1495</v>
      </c>
      <c r="B452" s="4" t="str">
        <f>CONCATENATE(A452,0)</f>
        <v>00022033172K0</v>
      </c>
      <c r="C452" s="4" t="str">
        <f>CONCATENATE(A452, "OVR")</f>
        <v>00022033172KOVR</v>
      </c>
      <c r="D452" t="s">
        <v>262</v>
      </c>
      <c r="E452">
        <v>20411454</v>
      </c>
      <c r="F452" t="s">
        <v>1663</v>
      </c>
      <c r="G452" t="s">
        <v>58</v>
      </c>
      <c r="H452" t="s">
        <v>50</v>
      </c>
      <c r="I452" s="1">
        <v>45566</v>
      </c>
      <c r="J452" s="1">
        <v>45931</v>
      </c>
      <c r="K452" s="2">
        <v>1</v>
      </c>
      <c r="L452" s="2">
        <v>1</v>
      </c>
      <c r="N452" s="3">
        <v>1</v>
      </c>
      <c r="O452" s="2">
        <v>9</v>
      </c>
      <c r="P452" t="s">
        <v>53</v>
      </c>
      <c r="Q452" t="s">
        <v>1642</v>
      </c>
    </row>
    <row r="453" spans="1:17" x14ac:dyDescent="0.25">
      <c r="A453" s="4" t="s">
        <v>1497</v>
      </c>
      <c r="B453" s="4" t="s">
        <v>1497</v>
      </c>
      <c r="C453" s="4" t="str">
        <f>CONCATENATE(A453, "R")</f>
        <v>00022035242KOVR</v>
      </c>
      <c r="D453" t="s">
        <v>266</v>
      </c>
      <c r="E453">
        <v>20411454</v>
      </c>
      <c r="F453" t="s">
        <v>1663</v>
      </c>
      <c r="G453" t="s">
        <v>49</v>
      </c>
      <c r="H453" t="s">
        <v>50</v>
      </c>
      <c r="I453" s="1">
        <v>45566</v>
      </c>
      <c r="J453" s="1">
        <v>45931</v>
      </c>
      <c r="K453" s="2">
        <v>1</v>
      </c>
      <c r="L453" s="2">
        <v>1</v>
      </c>
      <c r="N453" s="3">
        <v>1</v>
      </c>
      <c r="O453" s="2">
        <v>9</v>
      </c>
      <c r="P453" t="s">
        <v>94</v>
      </c>
      <c r="Q453" t="s">
        <v>1642</v>
      </c>
    </row>
    <row r="454" spans="1:17" x14ac:dyDescent="0.25">
      <c r="A454" s="4" t="s">
        <v>1499</v>
      </c>
      <c r="B454" s="4" t="s">
        <v>1499</v>
      </c>
      <c r="C454" s="4" t="str">
        <f>CONCATENATE(A454, "R")</f>
        <v>00022040894KOVR</v>
      </c>
      <c r="D454" t="s">
        <v>269</v>
      </c>
      <c r="E454">
        <v>20411454</v>
      </c>
      <c r="F454" t="s">
        <v>1663</v>
      </c>
      <c r="G454" t="s">
        <v>49</v>
      </c>
      <c r="H454" t="s">
        <v>50</v>
      </c>
      <c r="I454" s="1">
        <v>45566</v>
      </c>
      <c r="J454" s="1">
        <v>45931</v>
      </c>
      <c r="K454" s="2">
        <v>1</v>
      </c>
      <c r="L454" s="2">
        <v>1</v>
      </c>
      <c r="N454" s="3">
        <v>1</v>
      </c>
      <c r="O454" s="2">
        <v>9</v>
      </c>
      <c r="P454" t="s">
        <v>94</v>
      </c>
      <c r="Q454" t="s">
        <v>1642</v>
      </c>
    </row>
    <row r="455" spans="1:17" x14ac:dyDescent="0.25">
      <c r="A455" s="4" t="s">
        <v>1500</v>
      </c>
      <c r="B455" s="4" t="str">
        <f>CONCATENATE(A455,0)</f>
        <v>00022049020K0</v>
      </c>
      <c r="C455" s="4" t="str">
        <f>CONCATENATE(A455, "OVR")</f>
        <v>00022049020KOVR</v>
      </c>
      <c r="D455" t="s">
        <v>272</v>
      </c>
      <c r="E455">
        <v>20411454</v>
      </c>
      <c r="F455" t="s">
        <v>1663</v>
      </c>
      <c r="G455" t="s">
        <v>49</v>
      </c>
      <c r="H455" t="s">
        <v>50</v>
      </c>
      <c r="I455" s="1">
        <v>45627</v>
      </c>
      <c r="J455" s="1">
        <v>45931</v>
      </c>
      <c r="K455" s="2">
        <v>1</v>
      </c>
      <c r="L455" s="2">
        <v>1</v>
      </c>
      <c r="N455" s="3">
        <v>1</v>
      </c>
      <c r="O455" s="2">
        <v>9</v>
      </c>
      <c r="P455" t="s">
        <v>53</v>
      </c>
      <c r="Q455" t="s">
        <v>1642</v>
      </c>
    </row>
    <row r="456" spans="1:17" x14ac:dyDescent="0.25">
      <c r="A456" s="4" t="s">
        <v>1502</v>
      </c>
      <c r="B456" s="4" t="s">
        <v>1502</v>
      </c>
      <c r="C456" s="4" t="str">
        <f>CONCATENATE(A456, "R")</f>
        <v>00022052067KOVR</v>
      </c>
      <c r="D456" t="s">
        <v>274</v>
      </c>
      <c r="E456">
        <v>20411454</v>
      </c>
      <c r="F456" t="s">
        <v>1663</v>
      </c>
      <c r="G456" t="s">
        <v>49</v>
      </c>
      <c r="H456" t="s">
        <v>50</v>
      </c>
      <c r="I456" s="1">
        <v>45566</v>
      </c>
      <c r="J456" s="1">
        <v>45931</v>
      </c>
      <c r="K456" s="2">
        <v>1</v>
      </c>
      <c r="L456" s="2">
        <v>1</v>
      </c>
      <c r="N456" s="3">
        <v>1</v>
      </c>
      <c r="O456" s="2">
        <v>9</v>
      </c>
      <c r="P456" t="s">
        <v>94</v>
      </c>
      <c r="Q456" t="s">
        <v>1642</v>
      </c>
    </row>
    <row r="457" spans="1:17" x14ac:dyDescent="0.25">
      <c r="A457" s="4" t="s">
        <v>1503</v>
      </c>
      <c r="B457" s="4" t="str">
        <f t="shared" ref="B457:B472" si="19">CONCATENATE(A457,0)</f>
        <v>00022063091K0</v>
      </c>
      <c r="C457" s="4" t="str">
        <f t="shared" ref="C457:C472" si="20">CONCATENATE(A457, "OVR")</f>
        <v>00022063091KOVR</v>
      </c>
      <c r="D457" t="s">
        <v>277</v>
      </c>
      <c r="E457">
        <v>20411454</v>
      </c>
      <c r="F457" t="s">
        <v>1663</v>
      </c>
      <c r="G457" t="s">
        <v>49</v>
      </c>
      <c r="H457" t="s">
        <v>50</v>
      </c>
      <c r="I457" s="1">
        <v>45566</v>
      </c>
      <c r="J457" s="1">
        <v>45931</v>
      </c>
      <c r="K457" s="2">
        <v>1</v>
      </c>
      <c r="L457" s="2">
        <v>1</v>
      </c>
      <c r="N457" s="3">
        <v>1</v>
      </c>
      <c r="O457" s="2">
        <v>9</v>
      </c>
      <c r="P457" t="s">
        <v>53</v>
      </c>
      <c r="Q457" t="s">
        <v>1642</v>
      </c>
    </row>
    <row r="458" spans="1:17" x14ac:dyDescent="0.25">
      <c r="A458" s="4" t="s">
        <v>1504</v>
      </c>
      <c r="B458" s="4" t="str">
        <f t="shared" si="19"/>
        <v>00022063543K0</v>
      </c>
      <c r="C458" s="4" t="str">
        <f t="shared" si="20"/>
        <v>00022063543KOVR</v>
      </c>
      <c r="D458" t="s">
        <v>279</v>
      </c>
      <c r="E458">
        <v>20411454</v>
      </c>
      <c r="F458" t="s">
        <v>1663</v>
      </c>
      <c r="G458" t="s">
        <v>49</v>
      </c>
      <c r="H458" t="s">
        <v>50</v>
      </c>
      <c r="I458" s="1">
        <v>45566</v>
      </c>
      <c r="J458" s="1">
        <v>45931</v>
      </c>
      <c r="K458" s="2">
        <v>1</v>
      </c>
      <c r="L458" s="2">
        <v>1</v>
      </c>
      <c r="N458" s="3">
        <v>1</v>
      </c>
      <c r="O458" s="2">
        <v>9</v>
      </c>
      <c r="P458" t="s">
        <v>53</v>
      </c>
      <c r="Q458" t="s">
        <v>1642</v>
      </c>
    </row>
    <row r="459" spans="1:17" x14ac:dyDescent="0.25">
      <c r="A459" s="4" t="s">
        <v>1505</v>
      </c>
      <c r="B459" s="4" t="str">
        <f t="shared" si="19"/>
        <v>00022070044K0</v>
      </c>
      <c r="C459" s="4" t="str">
        <f t="shared" si="20"/>
        <v>00022070044KOVR</v>
      </c>
      <c r="D459" t="s">
        <v>283</v>
      </c>
      <c r="E459">
        <v>20411454</v>
      </c>
      <c r="F459" t="s">
        <v>1663</v>
      </c>
      <c r="G459" t="s">
        <v>49</v>
      </c>
      <c r="H459" t="s">
        <v>50</v>
      </c>
      <c r="I459" s="1">
        <v>45597</v>
      </c>
      <c r="J459" s="1">
        <v>45931</v>
      </c>
      <c r="K459" s="2">
        <v>1</v>
      </c>
      <c r="L459" s="2">
        <v>1</v>
      </c>
      <c r="N459" s="3">
        <v>1</v>
      </c>
      <c r="O459" s="2">
        <v>9</v>
      </c>
      <c r="P459" t="s">
        <v>53</v>
      </c>
      <c r="Q459" t="s">
        <v>1642</v>
      </c>
    </row>
    <row r="460" spans="1:17" x14ac:dyDescent="0.25">
      <c r="A460" s="4" t="s">
        <v>1506</v>
      </c>
      <c r="B460" s="4" t="str">
        <f t="shared" si="19"/>
        <v>00022074715K0</v>
      </c>
      <c r="C460" s="4" t="str">
        <f t="shared" si="20"/>
        <v>00022074715KOVR</v>
      </c>
      <c r="D460" t="s">
        <v>285</v>
      </c>
      <c r="E460">
        <v>20411454</v>
      </c>
      <c r="F460" t="s">
        <v>1663</v>
      </c>
      <c r="G460" t="s">
        <v>49</v>
      </c>
      <c r="H460" t="s">
        <v>50</v>
      </c>
      <c r="I460" s="1">
        <v>45627</v>
      </c>
      <c r="J460" s="1">
        <v>45931</v>
      </c>
      <c r="K460" s="2">
        <v>1</v>
      </c>
      <c r="L460" s="2">
        <v>1</v>
      </c>
      <c r="N460" s="3">
        <v>1</v>
      </c>
      <c r="O460" s="2">
        <v>9</v>
      </c>
      <c r="P460" t="s">
        <v>53</v>
      </c>
      <c r="Q460" t="s">
        <v>1642</v>
      </c>
    </row>
    <row r="461" spans="1:17" x14ac:dyDescent="0.25">
      <c r="A461" s="4" t="s">
        <v>1507</v>
      </c>
      <c r="B461" s="4" t="str">
        <f t="shared" si="19"/>
        <v>00022077041K0</v>
      </c>
      <c r="C461" s="4" t="str">
        <f t="shared" si="20"/>
        <v>00022077041KOVR</v>
      </c>
      <c r="D461" t="s">
        <v>287</v>
      </c>
      <c r="E461">
        <v>20411454</v>
      </c>
      <c r="F461" t="s">
        <v>1663</v>
      </c>
      <c r="G461" t="s">
        <v>49</v>
      </c>
      <c r="H461" t="s">
        <v>50</v>
      </c>
      <c r="I461" s="1">
        <v>45566</v>
      </c>
      <c r="J461" s="1">
        <v>45931</v>
      </c>
      <c r="K461" s="2">
        <v>1</v>
      </c>
      <c r="L461" s="2">
        <v>1</v>
      </c>
      <c r="N461" s="3">
        <v>1</v>
      </c>
      <c r="O461" s="2">
        <v>9</v>
      </c>
      <c r="P461" t="s">
        <v>53</v>
      </c>
      <c r="Q461" t="s">
        <v>1642</v>
      </c>
    </row>
    <row r="462" spans="1:17" x14ac:dyDescent="0.25">
      <c r="A462" s="4" t="s">
        <v>1508</v>
      </c>
      <c r="B462" s="4" t="str">
        <f t="shared" si="19"/>
        <v>00022077130K0</v>
      </c>
      <c r="C462" s="4" t="str">
        <f t="shared" si="20"/>
        <v>00022077130KOVR</v>
      </c>
      <c r="D462" t="s">
        <v>289</v>
      </c>
      <c r="E462">
        <v>20411454</v>
      </c>
      <c r="F462" t="s">
        <v>1663</v>
      </c>
      <c r="G462" t="s">
        <v>49</v>
      </c>
      <c r="H462" t="s">
        <v>50</v>
      </c>
      <c r="I462" s="1">
        <v>45597</v>
      </c>
      <c r="J462" s="1">
        <v>45931</v>
      </c>
      <c r="K462" s="2">
        <v>-4</v>
      </c>
      <c r="L462" s="2">
        <v>-4</v>
      </c>
      <c r="N462" s="3">
        <v>1</v>
      </c>
      <c r="O462" s="2">
        <v>-36</v>
      </c>
      <c r="P462" t="s">
        <v>53</v>
      </c>
      <c r="Q462" t="s">
        <v>1642</v>
      </c>
    </row>
    <row r="463" spans="1:17" x14ac:dyDescent="0.25">
      <c r="A463" s="4" t="s">
        <v>1509</v>
      </c>
      <c r="B463" s="4" t="str">
        <f t="shared" si="19"/>
        <v>00022077277K0</v>
      </c>
      <c r="C463" s="4" t="str">
        <f t="shared" si="20"/>
        <v>00022077277KOVR</v>
      </c>
      <c r="D463" t="s">
        <v>291</v>
      </c>
      <c r="E463">
        <v>20411454</v>
      </c>
      <c r="F463" t="s">
        <v>1663</v>
      </c>
      <c r="G463" t="s">
        <v>49</v>
      </c>
      <c r="H463" t="s">
        <v>50</v>
      </c>
      <c r="I463" s="1">
        <v>45566</v>
      </c>
      <c r="J463" s="1">
        <v>45931</v>
      </c>
      <c r="K463" s="2">
        <v>1</v>
      </c>
      <c r="L463" s="2">
        <v>1</v>
      </c>
      <c r="N463" s="3">
        <v>1</v>
      </c>
      <c r="O463" s="2">
        <v>9</v>
      </c>
      <c r="P463" t="s">
        <v>53</v>
      </c>
      <c r="Q463" t="s">
        <v>1642</v>
      </c>
    </row>
    <row r="464" spans="1:17" x14ac:dyDescent="0.25">
      <c r="A464" s="4" t="s">
        <v>1510</v>
      </c>
      <c r="B464" s="4" t="str">
        <f t="shared" si="19"/>
        <v>00022078841K0</v>
      </c>
      <c r="C464" s="4" t="str">
        <f t="shared" si="20"/>
        <v>00022078841KOVR</v>
      </c>
      <c r="D464" t="s">
        <v>293</v>
      </c>
      <c r="E464">
        <v>20411454</v>
      </c>
      <c r="F464" t="s">
        <v>1663</v>
      </c>
      <c r="G464" t="s">
        <v>49</v>
      </c>
      <c r="H464" t="s">
        <v>50</v>
      </c>
      <c r="I464" s="1">
        <v>45627</v>
      </c>
      <c r="J464" s="1">
        <v>45931</v>
      </c>
      <c r="K464" s="2">
        <v>1</v>
      </c>
      <c r="L464" s="2">
        <v>1</v>
      </c>
      <c r="N464" s="3">
        <v>1</v>
      </c>
      <c r="O464" s="2">
        <v>9</v>
      </c>
      <c r="P464" t="s">
        <v>53</v>
      </c>
      <c r="Q464" t="s">
        <v>1642</v>
      </c>
    </row>
    <row r="465" spans="1:17" x14ac:dyDescent="0.25">
      <c r="A465" s="4" t="s">
        <v>1511</v>
      </c>
      <c r="B465" s="4" t="str">
        <f t="shared" si="19"/>
        <v>00022082807K0</v>
      </c>
      <c r="C465" s="4" t="str">
        <f t="shared" si="20"/>
        <v>00022082807KOVR</v>
      </c>
      <c r="D465" t="s">
        <v>295</v>
      </c>
      <c r="E465">
        <v>20411454</v>
      </c>
      <c r="F465" t="s">
        <v>1663</v>
      </c>
      <c r="G465" t="s">
        <v>49</v>
      </c>
      <c r="H465" t="s">
        <v>50</v>
      </c>
      <c r="I465" s="1">
        <v>45566</v>
      </c>
      <c r="J465" s="1">
        <v>45931</v>
      </c>
      <c r="K465" s="2">
        <v>1</v>
      </c>
      <c r="L465" s="2">
        <v>1</v>
      </c>
      <c r="N465" s="3">
        <v>1</v>
      </c>
      <c r="O465" s="2">
        <v>9</v>
      </c>
      <c r="P465" t="s">
        <v>53</v>
      </c>
      <c r="Q465" t="s">
        <v>1642</v>
      </c>
    </row>
    <row r="466" spans="1:17" x14ac:dyDescent="0.25">
      <c r="A466" s="4" t="s">
        <v>1512</v>
      </c>
      <c r="B466" s="4" t="str">
        <f t="shared" si="19"/>
        <v>00022083688K0</v>
      </c>
      <c r="C466" s="4" t="str">
        <f t="shared" si="20"/>
        <v>00022083688KOVR</v>
      </c>
      <c r="D466" t="s">
        <v>297</v>
      </c>
      <c r="E466">
        <v>20411454</v>
      </c>
      <c r="F466" t="s">
        <v>1663</v>
      </c>
      <c r="G466" t="s">
        <v>49</v>
      </c>
      <c r="H466" t="s">
        <v>50</v>
      </c>
      <c r="I466" s="1">
        <v>45566</v>
      </c>
      <c r="J466" s="1">
        <v>45931</v>
      </c>
      <c r="K466" s="2">
        <v>1</v>
      </c>
      <c r="L466" s="2">
        <v>1</v>
      </c>
      <c r="N466" s="3">
        <v>1</v>
      </c>
      <c r="O466" s="2">
        <v>9</v>
      </c>
      <c r="P466" t="s">
        <v>53</v>
      </c>
      <c r="Q466" t="s">
        <v>1642</v>
      </c>
    </row>
    <row r="467" spans="1:17" x14ac:dyDescent="0.25">
      <c r="A467" s="4" t="s">
        <v>1513</v>
      </c>
      <c r="B467" s="4" t="str">
        <f t="shared" si="19"/>
        <v>00022084599K0</v>
      </c>
      <c r="C467" s="4" t="str">
        <f t="shared" si="20"/>
        <v>00022084599KOVR</v>
      </c>
      <c r="D467" t="s">
        <v>301</v>
      </c>
      <c r="E467">
        <v>20411454</v>
      </c>
      <c r="F467" t="s">
        <v>1663</v>
      </c>
      <c r="G467" t="s">
        <v>49</v>
      </c>
      <c r="H467" t="s">
        <v>50</v>
      </c>
      <c r="I467" s="1">
        <v>45566</v>
      </c>
      <c r="J467" s="1">
        <v>45931</v>
      </c>
      <c r="K467" s="2">
        <v>1</v>
      </c>
      <c r="L467" s="2">
        <v>1</v>
      </c>
      <c r="N467" s="3">
        <v>1</v>
      </c>
      <c r="O467" s="2">
        <v>9</v>
      </c>
      <c r="P467" t="s">
        <v>53</v>
      </c>
      <c r="Q467" t="s">
        <v>1642</v>
      </c>
    </row>
    <row r="468" spans="1:17" x14ac:dyDescent="0.25">
      <c r="A468" s="4" t="s">
        <v>1514</v>
      </c>
      <c r="B468" s="4" t="str">
        <f t="shared" si="19"/>
        <v>00022085271K0</v>
      </c>
      <c r="C468" s="4" t="str">
        <f t="shared" si="20"/>
        <v>00022085271KOVR</v>
      </c>
      <c r="D468" t="s">
        <v>303</v>
      </c>
      <c r="E468">
        <v>20411454</v>
      </c>
      <c r="F468" t="s">
        <v>1663</v>
      </c>
      <c r="G468" t="s">
        <v>49</v>
      </c>
      <c r="H468" t="s">
        <v>50</v>
      </c>
      <c r="I468" s="1">
        <v>45597</v>
      </c>
      <c r="J468" s="1">
        <v>45931</v>
      </c>
      <c r="K468" s="2">
        <v>1</v>
      </c>
      <c r="L468" s="2">
        <v>1</v>
      </c>
      <c r="N468" s="3">
        <v>1</v>
      </c>
      <c r="O468" s="2">
        <v>9</v>
      </c>
      <c r="P468" t="s">
        <v>53</v>
      </c>
      <c r="Q468" t="s">
        <v>1642</v>
      </c>
    </row>
    <row r="469" spans="1:17" x14ac:dyDescent="0.25">
      <c r="A469" s="4" t="s">
        <v>1515</v>
      </c>
      <c r="B469" s="4" t="str">
        <f t="shared" si="19"/>
        <v>00022085971K0</v>
      </c>
      <c r="C469" s="4" t="str">
        <f t="shared" si="20"/>
        <v>00022085971KOVR</v>
      </c>
      <c r="D469" t="s">
        <v>305</v>
      </c>
      <c r="E469">
        <v>20411454</v>
      </c>
      <c r="F469" t="s">
        <v>1663</v>
      </c>
      <c r="G469" t="s">
        <v>49</v>
      </c>
      <c r="H469" t="s">
        <v>50</v>
      </c>
      <c r="I469" s="1">
        <v>45566</v>
      </c>
      <c r="J469" s="1">
        <v>45931</v>
      </c>
      <c r="K469" s="2">
        <v>1</v>
      </c>
      <c r="L469" s="2">
        <v>1</v>
      </c>
      <c r="N469" s="3">
        <v>1</v>
      </c>
      <c r="O469" s="2">
        <v>9</v>
      </c>
      <c r="P469" t="s">
        <v>53</v>
      </c>
      <c r="Q469" t="s">
        <v>1642</v>
      </c>
    </row>
    <row r="470" spans="1:17" x14ac:dyDescent="0.25">
      <c r="A470" s="4" t="s">
        <v>1516</v>
      </c>
      <c r="B470" s="4" t="str">
        <f t="shared" si="19"/>
        <v>00022087983K0</v>
      </c>
      <c r="C470" s="4" t="str">
        <f t="shared" si="20"/>
        <v>00022087983KOVR</v>
      </c>
      <c r="D470" t="s">
        <v>307</v>
      </c>
      <c r="E470">
        <v>20411454</v>
      </c>
      <c r="F470" t="s">
        <v>1663</v>
      </c>
      <c r="G470" t="s">
        <v>49</v>
      </c>
      <c r="H470" t="s">
        <v>50</v>
      </c>
      <c r="I470" s="1">
        <v>45566</v>
      </c>
      <c r="J470" s="1">
        <v>45931</v>
      </c>
      <c r="K470" s="2">
        <v>1</v>
      </c>
      <c r="L470" s="2">
        <v>1</v>
      </c>
      <c r="N470" s="3">
        <v>1</v>
      </c>
      <c r="O470" s="2">
        <v>9</v>
      </c>
      <c r="P470" t="s">
        <v>53</v>
      </c>
      <c r="Q470" t="s">
        <v>1642</v>
      </c>
    </row>
    <row r="471" spans="1:17" x14ac:dyDescent="0.25">
      <c r="A471" s="4" t="s">
        <v>1517</v>
      </c>
      <c r="B471" s="4" t="str">
        <f t="shared" si="19"/>
        <v>00022088151K0</v>
      </c>
      <c r="C471" s="4" t="str">
        <f t="shared" si="20"/>
        <v>00022088151KOVR</v>
      </c>
      <c r="D471" t="s">
        <v>309</v>
      </c>
      <c r="E471">
        <v>20411454</v>
      </c>
      <c r="F471" t="s">
        <v>1663</v>
      </c>
      <c r="G471" t="s">
        <v>49</v>
      </c>
      <c r="H471" t="s">
        <v>50</v>
      </c>
      <c r="I471" s="1">
        <v>45566</v>
      </c>
      <c r="J471" s="1">
        <v>45931</v>
      </c>
      <c r="K471" s="2">
        <v>1</v>
      </c>
      <c r="L471" s="2">
        <v>1</v>
      </c>
      <c r="N471" s="3">
        <v>1</v>
      </c>
      <c r="O471" s="2">
        <v>9</v>
      </c>
      <c r="P471" t="s">
        <v>53</v>
      </c>
      <c r="Q471" t="s">
        <v>1642</v>
      </c>
    </row>
    <row r="472" spans="1:17" x14ac:dyDescent="0.25">
      <c r="A472" s="4" t="s">
        <v>1518</v>
      </c>
      <c r="B472" s="4" t="str">
        <f t="shared" si="19"/>
        <v>00022092926K0</v>
      </c>
      <c r="C472" s="4" t="str">
        <f t="shared" si="20"/>
        <v>00022092926KOVR</v>
      </c>
      <c r="D472" t="s">
        <v>311</v>
      </c>
      <c r="E472">
        <v>20411454</v>
      </c>
      <c r="F472" t="s">
        <v>1663</v>
      </c>
      <c r="G472" t="s">
        <v>49</v>
      </c>
      <c r="H472" t="s">
        <v>50</v>
      </c>
      <c r="I472" s="1">
        <v>45566</v>
      </c>
      <c r="J472" s="1">
        <v>45931</v>
      </c>
      <c r="K472" s="2">
        <v>1</v>
      </c>
      <c r="L472" s="2">
        <v>1</v>
      </c>
      <c r="N472" s="3">
        <v>1</v>
      </c>
      <c r="O472" s="2">
        <v>9</v>
      </c>
      <c r="P472" t="s">
        <v>53</v>
      </c>
      <c r="Q472" t="s">
        <v>1642</v>
      </c>
    </row>
    <row r="473" spans="1:17" x14ac:dyDescent="0.25">
      <c r="A473" s="4" t="s">
        <v>1520</v>
      </c>
      <c r="B473" s="4" t="s">
        <v>1520</v>
      </c>
      <c r="C473" s="4" t="str">
        <f>CONCATENATE(A473, "R")</f>
        <v>00022094729KOVR</v>
      </c>
      <c r="D473" t="s">
        <v>313</v>
      </c>
      <c r="E473">
        <v>20411454</v>
      </c>
      <c r="F473" t="s">
        <v>1663</v>
      </c>
      <c r="G473" t="s">
        <v>49</v>
      </c>
      <c r="H473" t="s">
        <v>50</v>
      </c>
      <c r="I473" s="1">
        <v>45597</v>
      </c>
      <c r="J473" s="1">
        <v>45931</v>
      </c>
      <c r="K473" s="2">
        <v>1</v>
      </c>
      <c r="L473" s="2">
        <v>1</v>
      </c>
      <c r="N473" s="3">
        <v>1</v>
      </c>
      <c r="O473" s="2">
        <v>9</v>
      </c>
      <c r="P473" t="s">
        <v>94</v>
      </c>
      <c r="Q473" t="s">
        <v>1642</v>
      </c>
    </row>
    <row r="474" spans="1:17" x14ac:dyDescent="0.25">
      <c r="A474" s="4" t="s">
        <v>1522</v>
      </c>
      <c r="B474" s="4" t="s">
        <v>1522</v>
      </c>
      <c r="C474" s="4" t="str">
        <f>CONCATENATE(A474, "R")</f>
        <v>00022094985KOVR</v>
      </c>
      <c r="D474" t="s">
        <v>316</v>
      </c>
      <c r="E474">
        <v>20411454</v>
      </c>
      <c r="F474" t="s">
        <v>1663</v>
      </c>
      <c r="G474" t="s">
        <v>49</v>
      </c>
      <c r="H474" t="s">
        <v>50</v>
      </c>
      <c r="I474" s="1">
        <v>45597</v>
      </c>
      <c r="J474" s="1">
        <v>45931</v>
      </c>
      <c r="K474" s="2">
        <v>1</v>
      </c>
      <c r="L474" s="2">
        <v>1</v>
      </c>
      <c r="N474" s="3">
        <v>1</v>
      </c>
      <c r="O474" s="2">
        <v>9</v>
      </c>
      <c r="P474" t="s">
        <v>94</v>
      </c>
      <c r="Q474" t="s">
        <v>1642</v>
      </c>
    </row>
    <row r="475" spans="1:17" x14ac:dyDescent="0.25">
      <c r="A475" s="4" t="s">
        <v>1523</v>
      </c>
      <c r="B475" s="4" t="str">
        <f>CONCATENATE(A475,0)</f>
        <v>00022094990K0</v>
      </c>
      <c r="C475" s="4" t="str">
        <f>CONCATENATE(A475, "OVR")</f>
        <v>00022094990KOVR</v>
      </c>
      <c r="D475" t="s">
        <v>319</v>
      </c>
      <c r="E475">
        <v>20411454</v>
      </c>
      <c r="F475" t="s">
        <v>1663</v>
      </c>
      <c r="G475" t="s">
        <v>49</v>
      </c>
      <c r="H475" t="s">
        <v>50</v>
      </c>
      <c r="I475" s="1">
        <v>45566</v>
      </c>
      <c r="J475" s="1">
        <v>45931</v>
      </c>
      <c r="K475" s="2">
        <v>1</v>
      </c>
      <c r="L475" s="2">
        <v>1</v>
      </c>
      <c r="N475" s="3">
        <v>1</v>
      </c>
      <c r="O475" s="2">
        <v>9</v>
      </c>
      <c r="P475" t="s">
        <v>53</v>
      </c>
      <c r="Q475" t="s">
        <v>1642</v>
      </c>
    </row>
    <row r="476" spans="1:17" x14ac:dyDescent="0.25">
      <c r="A476" s="4" t="s">
        <v>1525</v>
      </c>
      <c r="B476" s="4" t="s">
        <v>1525</v>
      </c>
      <c r="C476" s="4" t="str">
        <f>CONCATENATE(A476, "R")</f>
        <v>00022095955KOVR</v>
      </c>
      <c r="D476" t="s">
        <v>321</v>
      </c>
      <c r="E476">
        <v>20411454</v>
      </c>
      <c r="F476" t="s">
        <v>1663</v>
      </c>
      <c r="G476" t="s">
        <v>49</v>
      </c>
      <c r="H476" t="s">
        <v>50</v>
      </c>
      <c r="I476" s="1">
        <v>45597</v>
      </c>
      <c r="J476" s="1">
        <v>45931</v>
      </c>
      <c r="K476" s="2">
        <v>1</v>
      </c>
      <c r="L476" s="2">
        <v>1</v>
      </c>
      <c r="N476" s="3">
        <v>1</v>
      </c>
      <c r="O476" s="2">
        <v>9</v>
      </c>
      <c r="P476" t="s">
        <v>94</v>
      </c>
      <c r="Q476" t="s">
        <v>1642</v>
      </c>
    </row>
    <row r="477" spans="1:17" x14ac:dyDescent="0.25">
      <c r="A477" s="4" t="s">
        <v>1527</v>
      </c>
      <c r="B477" s="4" t="s">
        <v>1527</v>
      </c>
      <c r="C477" s="4" t="str">
        <f>CONCATENATE(A477, "R")</f>
        <v>00022096948KOVR</v>
      </c>
      <c r="D477" t="s">
        <v>324</v>
      </c>
      <c r="E477">
        <v>20411454</v>
      </c>
      <c r="F477" t="s">
        <v>1663</v>
      </c>
      <c r="G477" t="s">
        <v>49</v>
      </c>
      <c r="H477" t="s">
        <v>50</v>
      </c>
      <c r="I477" s="1">
        <v>45597</v>
      </c>
      <c r="J477" s="1">
        <v>45931</v>
      </c>
      <c r="K477" s="2">
        <v>1</v>
      </c>
      <c r="L477" s="2">
        <v>1</v>
      </c>
      <c r="N477" s="3">
        <v>1</v>
      </c>
      <c r="O477" s="2">
        <v>9</v>
      </c>
      <c r="P477" t="s">
        <v>94</v>
      </c>
      <c r="Q477" t="s">
        <v>1642</v>
      </c>
    </row>
    <row r="478" spans="1:17" x14ac:dyDescent="0.25">
      <c r="A478" s="4" t="s">
        <v>1529</v>
      </c>
      <c r="B478" s="4" t="s">
        <v>1529</v>
      </c>
      <c r="C478" s="4" t="str">
        <f>CONCATENATE(A478, "R")</f>
        <v>00022097947KOVR</v>
      </c>
      <c r="D478" t="s">
        <v>327</v>
      </c>
      <c r="E478">
        <v>20411454</v>
      </c>
      <c r="F478" t="s">
        <v>1663</v>
      </c>
      <c r="G478" t="s">
        <v>49</v>
      </c>
      <c r="H478" t="s">
        <v>50</v>
      </c>
      <c r="I478" s="1">
        <v>45597</v>
      </c>
      <c r="J478" s="1">
        <v>45931</v>
      </c>
      <c r="K478" s="2">
        <v>1</v>
      </c>
      <c r="L478" s="2">
        <v>1</v>
      </c>
      <c r="N478" s="3">
        <v>1</v>
      </c>
      <c r="O478" s="2">
        <v>9</v>
      </c>
      <c r="P478" t="s">
        <v>94</v>
      </c>
      <c r="Q478" t="s">
        <v>1642</v>
      </c>
    </row>
    <row r="479" spans="1:17" x14ac:dyDescent="0.25">
      <c r="A479" s="4" t="s">
        <v>1530</v>
      </c>
      <c r="B479" s="4" t="str">
        <f t="shared" ref="B479:B524" si="21">CONCATENATE(A479,0)</f>
        <v>00022106958K0</v>
      </c>
      <c r="C479" s="4" t="str">
        <f t="shared" ref="C479:C524" si="22">CONCATENATE(A479, "OVR")</f>
        <v>00022106958KOVR</v>
      </c>
      <c r="D479" t="s">
        <v>330</v>
      </c>
      <c r="E479">
        <v>20411454</v>
      </c>
      <c r="F479" t="s">
        <v>1663</v>
      </c>
      <c r="G479" t="s">
        <v>49</v>
      </c>
      <c r="H479" t="s">
        <v>50</v>
      </c>
      <c r="I479" s="1">
        <v>45627</v>
      </c>
      <c r="J479" s="1">
        <v>45931</v>
      </c>
      <c r="K479" s="2">
        <v>1</v>
      </c>
      <c r="L479" s="2">
        <v>1</v>
      </c>
      <c r="N479" s="3">
        <v>1</v>
      </c>
      <c r="O479" s="2">
        <v>9</v>
      </c>
      <c r="P479" t="s">
        <v>53</v>
      </c>
      <c r="Q479" t="s">
        <v>1642</v>
      </c>
    </row>
    <row r="480" spans="1:17" x14ac:dyDescent="0.25">
      <c r="A480" s="4" t="s">
        <v>1531</v>
      </c>
      <c r="B480" s="4" t="str">
        <f t="shared" si="21"/>
        <v>00022107554K0</v>
      </c>
      <c r="C480" s="4" t="str">
        <f t="shared" si="22"/>
        <v>00022107554KOVR</v>
      </c>
      <c r="D480" t="s">
        <v>332</v>
      </c>
      <c r="E480">
        <v>20411454</v>
      </c>
      <c r="F480" t="s">
        <v>1663</v>
      </c>
      <c r="G480" t="s">
        <v>49</v>
      </c>
      <c r="H480" t="s">
        <v>50</v>
      </c>
      <c r="I480" s="1">
        <v>45566</v>
      </c>
      <c r="J480" s="1">
        <v>45931</v>
      </c>
      <c r="K480" s="2">
        <v>1</v>
      </c>
      <c r="L480" s="2">
        <v>1</v>
      </c>
      <c r="N480" s="3">
        <v>1</v>
      </c>
      <c r="O480" s="2">
        <v>9</v>
      </c>
      <c r="P480" t="s">
        <v>53</v>
      </c>
      <c r="Q480" t="s">
        <v>1642</v>
      </c>
    </row>
    <row r="481" spans="1:17" x14ac:dyDescent="0.25">
      <c r="A481" s="4" t="s">
        <v>1532</v>
      </c>
      <c r="B481" s="4" t="str">
        <f t="shared" si="21"/>
        <v>00022112017K0</v>
      </c>
      <c r="C481" s="4" t="str">
        <f t="shared" si="22"/>
        <v>00022112017KOVR</v>
      </c>
      <c r="D481" t="s">
        <v>334</v>
      </c>
      <c r="E481">
        <v>20411454</v>
      </c>
      <c r="F481" t="s">
        <v>1663</v>
      </c>
      <c r="G481" t="s">
        <v>49</v>
      </c>
      <c r="H481" t="s">
        <v>50</v>
      </c>
      <c r="I481" s="1">
        <v>45597</v>
      </c>
      <c r="J481" s="1">
        <v>45931</v>
      </c>
      <c r="K481" s="2">
        <v>1</v>
      </c>
      <c r="L481" s="2">
        <v>1</v>
      </c>
      <c r="N481" s="3">
        <v>1</v>
      </c>
      <c r="O481" s="2">
        <v>9</v>
      </c>
      <c r="P481" t="s">
        <v>53</v>
      </c>
      <c r="Q481" t="s">
        <v>1642</v>
      </c>
    </row>
    <row r="482" spans="1:17" x14ac:dyDescent="0.25">
      <c r="A482" s="4" t="s">
        <v>1533</v>
      </c>
      <c r="B482" s="4" t="str">
        <f t="shared" si="21"/>
        <v>00022137026K0</v>
      </c>
      <c r="C482" s="4" t="str">
        <f t="shared" si="22"/>
        <v>00022137026KOVR</v>
      </c>
      <c r="D482" t="s">
        <v>336</v>
      </c>
      <c r="E482">
        <v>20411454</v>
      </c>
      <c r="F482" t="s">
        <v>1663</v>
      </c>
      <c r="G482" t="s">
        <v>49</v>
      </c>
      <c r="H482" t="s">
        <v>50</v>
      </c>
      <c r="I482" s="1">
        <v>45597</v>
      </c>
      <c r="J482" s="1">
        <v>45931</v>
      </c>
      <c r="K482" s="2">
        <v>1</v>
      </c>
      <c r="L482" s="2">
        <v>1</v>
      </c>
      <c r="N482" s="3">
        <v>1</v>
      </c>
      <c r="O482" s="2">
        <v>9</v>
      </c>
      <c r="P482" t="s">
        <v>53</v>
      </c>
      <c r="Q482" t="s">
        <v>1642</v>
      </c>
    </row>
    <row r="483" spans="1:17" x14ac:dyDescent="0.25">
      <c r="A483" s="4" t="s">
        <v>1534</v>
      </c>
      <c r="B483" s="4" t="str">
        <f t="shared" si="21"/>
        <v>00022148995K0</v>
      </c>
      <c r="C483" s="4" t="str">
        <f t="shared" si="22"/>
        <v>00022148995KOVR</v>
      </c>
      <c r="D483" t="s">
        <v>338</v>
      </c>
      <c r="E483">
        <v>20411454</v>
      </c>
      <c r="F483" t="s">
        <v>1663</v>
      </c>
      <c r="G483" t="s">
        <v>49</v>
      </c>
      <c r="H483" t="s">
        <v>50</v>
      </c>
      <c r="I483" s="1">
        <v>45597</v>
      </c>
      <c r="J483" s="1">
        <v>45931</v>
      </c>
      <c r="K483" s="2">
        <v>1</v>
      </c>
      <c r="L483" s="2">
        <v>1</v>
      </c>
      <c r="N483" s="3">
        <v>1</v>
      </c>
      <c r="O483" s="2">
        <v>9</v>
      </c>
      <c r="P483" t="s">
        <v>53</v>
      </c>
      <c r="Q483" t="s">
        <v>1642</v>
      </c>
    </row>
    <row r="484" spans="1:17" x14ac:dyDescent="0.25">
      <c r="A484" s="4" t="s">
        <v>1535</v>
      </c>
      <c r="B484" s="4" t="str">
        <f t="shared" si="21"/>
        <v>00022193283K0</v>
      </c>
      <c r="C484" s="4" t="str">
        <f t="shared" si="22"/>
        <v>00022193283KOVR</v>
      </c>
      <c r="D484" t="s">
        <v>340</v>
      </c>
      <c r="E484">
        <v>20411454</v>
      </c>
      <c r="F484" t="s">
        <v>1663</v>
      </c>
      <c r="G484" t="s">
        <v>49</v>
      </c>
      <c r="H484" t="s">
        <v>50</v>
      </c>
      <c r="I484" s="1">
        <v>45627</v>
      </c>
      <c r="J484" s="1">
        <v>45931</v>
      </c>
      <c r="K484" s="2">
        <v>1</v>
      </c>
      <c r="L484" s="2">
        <v>1</v>
      </c>
      <c r="N484" s="3">
        <v>1</v>
      </c>
      <c r="O484" s="2">
        <v>9</v>
      </c>
      <c r="P484" t="s">
        <v>53</v>
      </c>
      <c r="Q484" t="s">
        <v>1642</v>
      </c>
    </row>
    <row r="485" spans="1:17" x14ac:dyDescent="0.25">
      <c r="A485" s="4" t="s">
        <v>1536</v>
      </c>
      <c r="B485" s="4" t="str">
        <f t="shared" si="21"/>
        <v>00022198910K0</v>
      </c>
      <c r="C485" s="4" t="str">
        <f t="shared" si="22"/>
        <v>00022198910KOVR</v>
      </c>
      <c r="D485" t="s">
        <v>342</v>
      </c>
      <c r="E485">
        <v>20411454</v>
      </c>
      <c r="F485" t="s">
        <v>1663</v>
      </c>
      <c r="G485" t="s">
        <v>49</v>
      </c>
      <c r="H485" t="s">
        <v>50</v>
      </c>
      <c r="I485" s="1">
        <v>45597</v>
      </c>
      <c r="J485" s="1">
        <v>45931</v>
      </c>
      <c r="K485" s="2">
        <v>1</v>
      </c>
      <c r="L485" s="2">
        <v>1</v>
      </c>
      <c r="N485" s="3">
        <v>1</v>
      </c>
      <c r="O485" s="2">
        <v>9</v>
      </c>
      <c r="P485" t="s">
        <v>53</v>
      </c>
      <c r="Q485" t="s">
        <v>1642</v>
      </c>
    </row>
    <row r="486" spans="1:17" x14ac:dyDescent="0.25">
      <c r="A486" s="4" t="s">
        <v>1537</v>
      </c>
      <c r="B486" s="4" t="str">
        <f t="shared" si="21"/>
        <v>00022203514K0</v>
      </c>
      <c r="C486" s="4" t="str">
        <f t="shared" si="22"/>
        <v>00022203514KOVR</v>
      </c>
      <c r="D486" t="s">
        <v>344</v>
      </c>
      <c r="E486">
        <v>20411454</v>
      </c>
      <c r="F486" t="s">
        <v>1663</v>
      </c>
      <c r="G486" t="s">
        <v>49</v>
      </c>
      <c r="H486" t="s">
        <v>50</v>
      </c>
      <c r="I486" s="1">
        <v>45597</v>
      </c>
      <c r="J486" s="1">
        <v>45931</v>
      </c>
      <c r="K486" s="2">
        <v>1</v>
      </c>
      <c r="L486" s="2">
        <v>1</v>
      </c>
      <c r="N486" s="3">
        <v>1</v>
      </c>
      <c r="O486" s="2">
        <v>9</v>
      </c>
      <c r="P486" t="s">
        <v>53</v>
      </c>
      <c r="Q486" t="s">
        <v>1642</v>
      </c>
    </row>
    <row r="487" spans="1:17" x14ac:dyDescent="0.25">
      <c r="A487" s="4" t="s">
        <v>1538</v>
      </c>
      <c r="B487" s="4" t="str">
        <f t="shared" si="21"/>
        <v>00022217599K0</v>
      </c>
      <c r="C487" s="4" t="str">
        <f t="shared" si="22"/>
        <v>00022217599KOVR</v>
      </c>
      <c r="D487" t="s">
        <v>346</v>
      </c>
      <c r="E487">
        <v>20411454</v>
      </c>
      <c r="F487" t="s">
        <v>1663</v>
      </c>
      <c r="G487" t="s">
        <v>49</v>
      </c>
      <c r="H487" t="s">
        <v>50</v>
      </c>
      <c r="I487" s="1">
        <v>45566</v>
      </c>
      <c r="J487" s="1">
        <v>45931</v>
      </c>
      <c r="K487" s="2">
        <v>1</v>
      </c>
      <c r="L487" s="2">
        <v>1</v>
      </c>
      <c r="N487" s="3">
        <v>1</v>
      </c>
      <c r="O487" s="2">
        <v>9</v>
      </c>
      <c r="P487" t="s">
        <v>53</v>
      </c>
      <c r="Q487" t="s">
        <v>1642</v>
      </c>
    </row>
    <row r="488" spans="1:17" x14ac:dyDescent="0.25">
      <c r="A488" s="4" t="s">
        <v>1539</v>
      </c>
      <c r="B488" s="4" t="str">
        <f t="shared" si="21"/>
        <v>00022235665K0</v>
      </c>
      <c r="C488" s="4" t="str">
        <f t="shared" si="22"/>
        <v>00022235665KOVR</v>
      </c>
      <c r="D488" t="s">
        <v>350</v>
      </c>
      <c r="E488">
        <v>20411454</v>
      </c>
      <c r="F488" t="s">
        <v>1663</v>
      </c>
      <c r="G488" t="s">
        <v>49</v>
      </c>
      <c r="H488" t="s">
        <v>50</v>
      </c>
      <c r="I488" s="1">
        <v>45627</v>
      </c>
      <c r="J488" s="1">
        <v>45931</v>
      </c>
      <c r="K488" s="2">
        <v>1</v>
      </c>
      <c r="L488" s="2">
        <v>1</v>
      </c>
      <c r="N488" s="3">
        <v>1</v>
      </c>
      <c r="O488" s="2">
        <v>9</v>
      </c>
      <c r="P488" t="s">
        <v>53</v>
      </c>
      <c r="Q488" t="s">
        <v>1642</v>
      </c>
    </row>
    <row r="489" spans="1:17" x14ac:dyDescent="0.25">
      <c r="A489" s="4" t="s">
        <v>1540</v>
      </c>
      <c r="B489" s="4" t="str">
        <f t="shared" si="21"/>
        <v>00022241122K0</v>
      </c>
      <c r="C489" s="4" t="str">
        <f t="shared" si="22"/>
        <v>00022241122KOVR</v>
      </c>
      <c r="D489" t="s">
        <v>352</v>
      </c>
      <c r="E489">
        <v>20411454</v>
      </c>
      <c r="F489" t="s">
        <v>1663</v>
      </c>
      <c r="G489" t="s">
        <v>49</v>
      </c>
      <c r="H489" t="s">
        <v>50</v>
      </c>
      <c r="I489" s="1">
        <v>45597</v>
      </c>
      <c r="J489" s="1">
        <v>45931</v>
      </c>
      <c r="K489" s="2">
        <v>1</v>
      </c>
      <c r="L489" s="2">
        <v>1</v>
      </c>
      <c r="N489" s="3">
        <v>1</v>
      </c>
      <c r="O489" s="2">
        <v>9</v>
      </c>
      <c r="P489" t="s">
        <v>53</v>
      </c>
      <c r="Q489" t="s">
        <v>1642</v>
      </c>
    </row>
    <row r="490" spans="1:17" x14ac:dyDescent="0.25">
      <c r="A490" s="4" t="s">
        <v>1541</v>
      </c>
      <c r="B490" s="4" t="str">
        <f t="shared" si="21"/>
        <v>00022256745K0</v>
      </c>
      <c r="C490" s="4" t="str">
        <f t="shared" si="22"/>
        <v>00022256745KOVR</v>
      </c>
      <c r="D490" t="s">
        <v>354</v>
      </c>
      <c r="E490">
        <v>20411454</v>
      </c>
      <c r="F490" t="s">
        <v>1663</v>
      </c>
      <c r="G490" t="s">
        <v>49</v>
      </c>
      <c r="H490" t="s">
        <v>50</v>
      </c>
      <c r="I490" s="1">
        <v>45597</v>
      </c>
      <c r="J490" s="1">
        <v>45931</v>
      </c>
      <c r="K490" s="2">
        <v>1</v>
      </c>
      <c r="L490" s="2">
        <v>1</v>
      </c>
      <c r="N490" s="3">
        <v>1</v>
      </c>
      <c r="O490" s="2">
        <v>9</v>
      </c>
      <c r="P490" t="s">
        <v>53</v>
      </c>
      <c r="Q490" t="s">
        <v>1642</v>
      </c>
    </row>
    <row r="491" spans="1:17" x14ac:dyDescent="0.25">
      <c r="A491" s="4" t="s">
        <v>1542</v>
      </c>
      <c r="B491" s="4" t="str">
        <f t="shared" si="21"/>
        <v>00022351069K0</v>
      </c>
      <c r="C491" s="4" t="str">
        <f t="shared" si="22"/>
        <v>00022351069KOVR</v>
      </c>
      <c r="D491" t="s">
        <v>356</v>
      </c>
      <c r="E491">
        <v>20411454</v>
      </c>
      <c r="F491" t="s">
        <v>1663</v>
      </c>
      <c r="G491" t="s">
        <v>49</v>
      </c>
      <c r="H491" t="s">
        <v>50</v>
      </c>
      <c r="I491" s="1">
        <v>45597</v>
      </c>
      <c r="J491" s="1">
        <v>45931</v>
      </c>
      <c r="K491" s="2">
        <v>1</v>
      </c>
      <c r="L491" s="2">
        <v>1</v>
      </c>
      <c r="N491" s="3">
        <v>1</v>
      </c>
      <c r="O491" s="2">
        <v>9</v>
      </c>
      <c r="P491" t="s">
        <v>53</v>
      </c>
      <c r="Q491" t="s">
        <v>1642</v>
      </c>
    </row>
    <row r="492" spans="1:17" x14ac:dyDescent="0.25">
      <c r="A492" s="4" t="s">
        <v>1543</v>
      </c>
      <c r="B492" s="4" t="str">
        <f t="shared" si="21"/>
        <v>00022366455K0</v>
      </c>
      <c r="C492" s="4" t="str">
        <f t="shared" si="22"/>
        <v>00022366455KOVR</v>
      </c>
      <c r="D492" t="s">
        <v>358</v>
      </c>
      <c r="E492">
        <v>20411454</v>
      </c>
      <c r="F492" t="s">
        <v>1663</v>
      </c>
      <c r="G492" t="s">
        <v>49</v>
      </c>
      <c r="H492" t="s">
        <v>50</v>
      </c>
      <c r="I492" s="1">
        <v>45597</v>
      </c>
      <c r="J492" s="1">
        <v>45931</v>
      </c>
      <c r="K492" s="2">
        <v>1</v>
      </c>
      <c r="L492" s="2">
        <v>1</v>
      </c>
      <c r="N492" s="3">
        <v>1</v>
      </c>
      <c r="O492" s="2">
        <v>4</v>
      </c>
      <c r="P492" t="s">
        <v>53</v>
      </c>
      <c r="Q492" t="s">
        <v>1642</v>
      </c>
    </row>
    <row r="493" spans="1:17" x14ac:dyDescent="0.25">
      <c r="A493" s="4" t="s">
        <v>1544</v>
      </c>
      <c r="B493" s="4" t="str">
        <f t="shared" si="21"/>
        <v>00022386017K0</v>
      </c>
      <c r="C493" s="4" t="str">
        <f t="shared" si="22"/>
        <v>00022386017KOVR</v>
      </c>
      <c r="D493" t="s">
        <v>362</v>
      </c>
      <c r="E493">
        <v>20411454</v>
      </c>
      <c r="F493" t="s">
        <v>1663</v>
      </c>
      <c r="G493" t="s">
        <v>49</v>
      </c>
      <c r="H493" t="s">
        <v>50</v>
      </c>
      <c r="I493" s="1">
        <v>45597</v>
      </c>
      <c r="J493" s="1">
        <v>45931</v>
      </c>
      <c r="K493" s="2">
        <v>1</v>
      </c>
      <c r="L493" s="2">
        <v>1</v>
      </c>
      <c r="N493" s="3">
        <v>1</v>
      </c>
      <c r="O493" s="2">
        <v>9</v>
      </c>
      <c r="P493" t="s">
        <v>53</v>
      </c>
      <c r="Q493" t="s">
        <v>1642</v>
      </c>
    </row>
    <row r="494" spans="1:17" x14ac:dyDescent="0.25">
      <c r="A494" s="4" t="s">
        <v>1545</v>
      </c>
      <c r="B494" s="4" t="str">
        <f t="shared" si="21"/>
        <v>00022406995K0</v>
      </c>
      <c r="C494" s="4" t="str">
        <f t="shared" si="22"/>
        <v>00022406995KOVR</v>
      </c>
      <c r="D494" t="s">
        <v>364</v>
      </c>
      <c r="E494">
        <v>20411454</v>
      </c>
      <c r="F494" t="s">
        <v>1663</v>
      </c>
      <c r="G494" t="s">
        <v>49</v>
      </c>
      <c r="H494" t="s">
        <v>50</v>
      </c>
      <c r="I494" s="1">
        <v>45627</v>
      </c>
      <c r="J494" s="1">
        <v>45931</v>
      </c>
      <c r="K494" s="2">
        <v>1</v>
      </c>
      <c r="L494" s="2">
        <v>1</v>
      </c>
      <c r="N494" s="3">
        <v>1</v>
      </c>
      <c r="O494" s="2">
        <v>9</v>
      </c>
      <c r="P494" t="s">
        <v>53</v>
      </c>
      <c r="Q494" t="s">
        <v>1642</v>
      </c>
    </row>
    <row r="495" spans="1:17" x14ac:dyDescent="0.25">
      <c r="A495" s="4" t="s">
        <v>1546</v>
      </c>
      <c r="B495" s="4" t="str">
        <f t="shared" si="21"/>
        <v>00022413863K0</v>
      </c>
      <c r="C495" s="4" t="str">
        <f t="shared" si="22"/>
        <v>00022413863KOVR</v>
      </c>
      <c r="D495" t="s">
        <v>366</v>
      </c>
      <c r="E495">
        <v>20411454</v>
      </c>
      <c r="F495" t="s">
        <v>1663</v>
      </c>
      <c r="G495" t="s">
        <v>49</v>
      </c>
      <c r="H495" t="s">
        <v>50</v>
      </c>
      <c r="I495" s="1">
        <v>45627</v>
      </c>
      <c r="J495" s="1">
        <v>45931</v>
      </c>
      <c r="K495" s="2">
        <v>1</v>
      </c>
      <c r="L495" s="2">
        <v>1</v>
      </c>
      <c r="N495" s="3">
        <v>1</v>
      </c>
      <c r="O495" s="2">
        <v>9</v>
      </c>
      <c r="P495" t="s">
        <v>53</v>
      </c>
      <c r="Q495" t="s">
        <v>1642</v>
      </c>
    </row>
    <row r="496" spans="1:17" x14ac:dyDescent="0.25">
      <c r="A496" s="4" t="s">
        <v>1547</v>
      </c>
      <c r="B496" s="4" t="str">
        <f t="shared" si="21"/>
        <v>00022462923K0</v>
      </c>
      <c r="C496" s="4" t="str">
        <f t="shared" si="22"/>
        <v>00022462923KOVR</v>
      </c>
      <c r="D496" t="s">
        <v>370</v>
      </c>
      <c r="E496">
        <v>20411454</v>
      </c>
      <c r="F496" t="s">
        <v>1663</v>
      </c>
      <c r="G496" t="s">
        <v>49</v>
      </c>
      <c r="H496" t="s">
        <v>50</v>
      </c>
      <c r="I496" s="1">
        <v>45627</v>
      </c>
      <c r="J496" s="1">
        <v>45931</v>
      </c>
      <c r="K496" s="2">
        <v>1</v>
      </c>
      <c r="L496" s="2">
        <v>1</v>
      </c>
      <c r="N496" s="3">
        <v>1</v>
      </c>
      <c r="O496" s="2">
        <v>9</v>
      </c>
      <c r="P496" t="s">
        <v>53</v>
      </c>
      <c r="Q496" t="s">
        <v>1642</v>
      </c>
    </row>
    <row r="497" spans="1:40" x14ac:dyDescent="0.25">
      <c r="A497" s="4" t="s">
        <v>1548</v>
      </c>
      <c r="B497" s="4" t="str">
        <f t="shared" si="21"/>
        <v>00022466880K0</v>
      </c>
      <c r="C497" s="4" t="str">
        <f t="shared" si="22"/>
        <v>00022466880KOVR</v>
      </c>
      <c r="D497" t="s">
        <v>372</v>
      </c>
      <c r="E497">
        <v>20411454</v>
      </c>
      <c r="F497" t="s">
        <v>1663</v>
      </c>
      <c r="G497" t="s">
        <v>49</v>
      </c>
      <c r="H497" t="s">
        <v>50</v>
      </c>
      <c r="I497" s="1">
        <v>45627</v>
      </c>
      <c r="J497" s="1">
        <v>45931</v>
      </c>
      <c r="K497" s="2">
        <v>1</v>
      </c>
      <c r="L497" s="2">
        <v>1</v>
      </c>
      <c r="N497" s="3">
        <v>1</v>
      </c>
      <c r="O497" s="2">
        <v>9</v>
      </c>
      <c r="P497" t="s">
        <v>53</v>
      </c>
      <c r="Q497" t="s">
        <v>1642</v>
      </c>
    </row>
    <row r="498" spans="1:40" x14ac:dyDescent="0.25">
      <c r="A498" s="4" t="s">
        <v>1549</v>
      </c>
      <c r="B498" s="4" t="str">
        <f t="shared" si="21"/>
        <v>00022498051K0</v>
      </c>
      <c r="C498" s="4" t="str">
        <f t="shared" si="22"/>
        <v>00022498051KOVR</v>
      </c>
      <c r="D498" t="s">
        <v>374</v>
      </c>
      <c r="E498">
        <v>20411454</v>
      </c>
      <c r="F498" t="s">
        <v>1663</v>
      </c>
      <c r="G498" t="s">
        <v>49</v>
      </c>
      <c r="H498" t="s">
        <v>50</v>
      </c>
      <c r="I498" s="1">
        <v>45627</v>
      </c>
      <c r="J498" s="1">
        <v>45931</v>
      </c>
      <c r="K498" s="2">
        <v>1</v>
      </c>
      <c r="L498" s="2">
        <v>1</v>
      </c>
      <c r="N498" s="3">
        <v>1</v>
      </c>
      <c r="O498" s="2">
        <v>9</v>
      </c>
      <c r="P498" t="s">
        <v>53</v>
      </c>
      <c r="Q498" t="s">
        <v>1642</v>
      </c>
    </row>
    <row r="499" spans="1:40" x14ac:dyDescent="0.25">
      <c r="A499" s="4" t="s">
        <v>1550</v>
      </c>
      <c r="B499" s="4" t="str">
        <f t="shared" si="21"/>
        <v>00022524693K0</v>
      </c>
      <c r="C499" s="4" t="str">
        <f t="shared" si="22"/>
        <v>00022524693KOVR</v>
      </c>
      <c r="D499" t="s">
        <v>376</v>
      </c>
      <c r="E499">
        <v>20411454</v>
      </c>
      <c r="F499" t="s">
        <v>1663</v>
      </c>
      <c r="G499" t="s">
        <v>49</v>
      </c>
      <c r="H499" t="s">
        <v>50</v>
      </c>
      <c r="I499" s="1">
        <v>45627</v>
      </c>
      <c r="J499" s="1">
        <v>45931</v>
      </c>
      <c r="K499" s="2">
        <v>1</v>
      </c>
      <c r="L499" s="2">
        <v>1</v>
      </c>
      <c r="N499" s="3">
        <v>1</v>
      </c>
      <c r="O499" s="2">
        <v>9</v>
      </c>
      <c r="P499" t="s">
        <v>53</v>
      </c>
      <c r="Q499" t="s">
        <v>1642</v>
      </c>
    </row>
    <row r="500" spans="1:40" x14ac:dyDescent="0.25">
      <c r="A500" s="4" t="s">
        <v>1551</v>
      </c>
      <c r="B500" s="4" t="str">
        <f t="shared" si="21"/>
        <v>00022571242K0</v>
      </c>
      <c r="C500" s="4" t="str">
        <f t="shared" si="22"/>
        <v>00022571242KOVR</v>
      </c>
      <c r="D500" t="s">
        <v>378</v>
      </c>
      <c r="E500">
        <v>20411454</v>
      </c>
      <c r="F500" t="s">
        <v>1663</v>
      </c>
      <c r="G500" t="s">
        <v>49</v>
      </c>
      <c r="H500" t="s">
        <v>50</v>
      </c>
      <c r="I500" s="1">
        <v>45627</v>
      </c>
      <c r="J500" s="1">
        <v>45931</v>
      </c>
      <c r="K500" s="2">
        <v>1</v>
      </c>
      <c r="L500" s="2">
        <v>1</v>
      </c>
      <c r="N500" s="3">
        <v>1</v>
      </c>
      <c r="O500" s="2">
        <v>9</v>
      </c>
      <c r="P500" t="s">
        <v>53</v>
      </c>
      <c r="Q500" t="s">
        <v>1642</v>
      </c>
    </row>
    <row r="501" spans="1:40" x14ac:dyDescent="0.25">
      <c r="A501" s="4" t="s">
        <v>1552</v>
      </c>
      <c r="B501" s="4" t="str">
        <f t="shared" si="21"/>
        <v>00022602838K0</v>
      </c>
      <c r="C501" s="4" t="str">
        <f t="shared" si="22"/>
        <v>00022602838KOVR</v>
      </c>
      <c r="D501" t="s">
        <v>380</v>
      </c>
      <c r="E501">
        <v>20411454</v>
      </c>
      <c r="F501" t="s">
        <v>1663</v>
      </c>
      <c r="G501" t="s">
        <v>49</v>
      </c>
      <c r="H501" t="s">
        <v>50</v>
      </c>
      <c r="I501" s="1">
        <v>45627</v>
      </c>
      <c r="J501" s="1">
        <v>45931</v>
      </c>
      <c r="K501" s="2">
        <v>1</v>
      </c>
      <c r="L501" s="2">
        <v>1</v>
      </c>
      <c r="N501" s="3">
        <v>1</v>
      </c>
      <c r="O501" s="2">
        <v>9</v>
      </c>
      <c r="P501" t="s">
        <v>53</v>
      </c>
      <c r="Q501" t="s">
        <v>1642</v>
      </c>
    </row>
    <row r="502" spans="1:40" x14ac:dyDescent="0.25">
      <c r="A502" s="4" t="s">
        <v>1553</v>
      </c>
      <c r="B502" s="4" t="str">
        <f t="shared" si="21"/>
        <v>00022627896K0</v>
      </c>
      <c r="C502" s="4" t="str">
        <f t="shared" si="22"/>
        <v>00022627896KOVR</v>
      </c>
      <c r="D502" t="s">
        <v>382</v>
      </c>
      <c r="E502">
        <v>20411454</v>
      </c>
      <c r="F502" t="s">
        <v>1663</v>
      </c>
      <c r="G502" t="s">
        <v>49</v>
      </c>
      <c r="H502" t="s">
        <v>50</v>
      </c>
      <c r="I502" s="1">
        <v>45627</v>
      </c>
      <c r="J502" s="1">
        <v>45931</v>
      </c>
      <c r="K502" s="2">
        <v>1</v>
      </c>
      <c r="L502" s="2">
        <v>1</v>
      </c>
      <c r="N502" s="3">
        <v>1</v>
      </c>
      <c r="O502" s="2">
        <v>9</v>
      </c>
      <c r="P502" t="s">
        <v>53</v>
      </c>
      <c r="Q502" t="s">
        <v>1642</v>
      </c>
    </row>
    <row r="503" spans="1:40" s="6" customFormat="1" x14ac:dyDescent="0.25">
      <c r="A503" s="4" t="s">
        <v>1554</v>
      </c>
      <c r="B503" s="4" t="str">
        <f t="shared" si="21"/>
        <v>00022643625K0</v>
      </c>
      <c r="C503" s="4" t="str">
        <f t="shared" si="22"/>
        <v>00022643625KOVR</v>
      </c>
      <c r="D503" t="s">
        <v>384</v>
      </c>
      <c r="E503">
        <v>20411454</v>
      </c>
      <c r="F503" t="s">
        <v>1663</v>
      </c>
      <c r="G503" t="s">
        <v>49</v>
      </c>
      <c r="H503" t="s">
        <v>50</v>
      </c>
      <c r="I503" s="1">
        <v>45627</v>
      </c>
      <c r="J503" s="1">
        <v>45931</v>
      </c>
      <c r="K503" s="2">
        <v>1</v>
      </c>
      <c r="L503" s="2">
        <v>1</v>
      </c>
      <c r="M503"/>
      <c r="N503" s="3">
        <v>1</v>
      </c>
      <c r="O503" s="2">
        <v>9</v>
      </c>
      <c r="P503" t="s">
        <v>53</v>
      </c>
      <c r="Q503" t="s">
        <v>1642</v>
      </c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</row>
    <row r="504" spans="1:40" s="6" customFormat="1" x14ac:dyDescent="0.25">
      <c r="A504" s="4" t="s">
        <v>1555</v>
      </c>
      <c r="B504" s="4" t="str">
        <f t="shared" si="21"/>
        <v>00022646876K0</v>
      </c>
      <c r="C504" s="4" t="str">
        <f t="shared" si="22"/>
        <v>00022646876KOVR</v>
      </c>
      <c r="D504" t="s">
        <v>386</v>
      </c>
      <c r="E504">
        <v>20411454</v>
      </c>
      <c r="F504" t="s">
        <v>1663</v>
      </c>
      <c r="G504" t="s">
        <v>49</v>
      </c>
      <c r="H504" t="s">
        <v>50</v>
      </c>
      <c r="I504" s="1">
        <v>45627</v>
      </c>
      <c r="J504" s="1">
        <v>45931</v>
      </c>
      <c r="K504" s="2">
        <v>1</v>
      </c>
      <c r="L504" s="2">
        <v>1</v>
      </c>
      <c r="M504"/>
      <c r="N504" s="3">
        <v>1</v>
      </c>
      <c r="O504" s="2">
        <v>9</v>
      </c>
      <c r="P504" t="s">
        <v>53</v>
      </c>
      <c r="Q504" t="s">
        <v>1642</v>
      </c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</row>
    <row r="505" spans="1:40" s="6" customFormat="1" x14ac:dyDescent="0.25">
      <c r="A505" s="4" t="s">
        <v>1556</v>
      </c>
      <c r="B505" s="4" t="str">
        <f t="shared" si="21"/>
        <v>00022659909K0</v>
      </c>
      <c r="C505" s="4" t="str">
        <f t="shared" si="22"/>
        <v>00022659909KOVR</v>
      </c>
      <c r="D505" t="s">
        <v>388</v>
      </c>
      <c r="E505">
        <v>20411454</v>
      </c>
      <c r="F505" t="s">
        <v>1663</v>
      </c>
      <c r="G505" t="s">
        <v>49</v>
      </c>
      <c r="H505" t="s">
        <v>50</v>
      </c>
      <c r="I505" s="1">
        <v>45627</v>
      </c>
      <c r="J505" s="1">
        <v>45931</v>
      </c>
      <c r="K505" s="2">
        <v>1</v>
      </c>
      <c r="L505" s="2">
        <v>1</v>
      </c>
      <c r="M505"/>
      <c r="N505" s="3">
        <v>1</v>
      </c>
      <c r="O505" s="2">
        <v>9</v>
      </c>
      <c r="P505" t="s">
        <v>53</v>
      </c>
      <c r="Q505" t="s">
        <v>1642</v>
      </c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</row>
    <row r="506" spans="1:40" s="6" customFormat="1" x14ac:dyDescent="0.25">
      <c r="A506" s="4" t="s">
        <v>1557</v>
      </c>
      <c r="B506" s="4" t="str">
        <f t="shared" si="21"/>
        <v>00022671607K0</v>
      </c>
      <c r="C506" s="4" t="str">
        <f t="shared" si="22"/>
        <v>00022671607KOVR</v>
      </c>
      <c r="D506" t="s">
        <v>390</v>
      </c>
      <c r="E506">
        <v>20411454</v>
      </c>
      <c r="F506" t="s">
        <v>1663</v>
      </c>
      <c r="G506" t="s">
        <v>49</v>
      </c>
      <c r="H506" t="s">
        <v>50</v>
      </c>
      <c r="I506" s="1">
        <v>45627</v>
      </c>
      <c r="J506" s="1">
        <v>45931</v>
      </c>
      <c r="K506" s="2">
        <v>1</v>
      </c>
      <c r="L506" s="2">
        <v>1</v>
      </c>
      <c r="M506"/>
      <c r="N506" s="3">
        <v>1</v>
      </c>
      <c r="O506" s="2">
        <v>9</v>
      </c>
      <c r="P506" t="s">
        <v>53</v>
      </c>
      <c r="Q506" t="s">
        <v>1642</v>
      </c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</row>
    <row r="507" spans="1:40" s="6" customFormat="1" x14ac:dyDescent="0.25">
      <c r="A507" s="4" t="s">
        <v>1558</v>
      </c>
      <c r="B507" s="4" t="str">
        <f t="shared" si="21"/>
        <v>00022674415K0</v>
      </c>
      <c r="C507" s="4" t="str">
        <f t="shared" si="22"/>
        <v>00022674415KOVR</v>
      </c>
      <c r="D507" t="s">
        <v>392</v>
      </c>
      <c r="E507">
        <v>20411454</v>
      </c>
      <c r="F507" t="s">
        <v>1663</v>
      </c>
      <c r="G507" t="s">
        <v>49</v>
      </c>
      <c r="H507" t="s">
        <v>50</v>
      </c>
      <c r="I507" s="1">
        <v>45627</v>
      </c>
      <c r="J507" s="1">
        <v>45931</v>
      </c>
      <c r="K507" s="2">
        <v>1</v>
      </c>
      <c r="L507" s="2">
        <v>1</v>
      </c>
      <c r="M507"/>
      <c r="N507" s="3">
        <v>1</v>
      </c>
      <c r="O507" s="2">
        <v>9</v>
      </c>
      <c r="P507" t="s">
        <v>53</v>
      </c>
      <c r="Q507" t="s">
        <v>1642</v>
      </c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</row>
    <row r="508" spans="1:40" s="6" customFormat="1" x14ac:dyDescent="0.25">
      <c r="A508" s="4" t="s">
        <v>1559</v>
      </c>
      <c r="B508" s="4" t="str">
        <f t="shared" si="21"/>
        <v>00022688863K0</v>
      </c>
      <c r="C508" s="4" t="str">
        <f t="shared" si="22"/>
        <v>00022688863KOVR</v>
      </c>
      <c r="D508" t="s">
        <v>394</v>
      </c>
      <c r="E508">
        <v>20411454</v>
      </c>
      <c r="F508" t="s">
        <v>1663</v>
      </c>
      <c r="G508" t="s">
        <v>58</v>
      </c>
      <c r="H508" t="s">
        <v>50</v>
      </c>
      <c r="I508" s="1">
        <v>45627</v>
      </c>
      <c r="J508" s="1">
        <v>45931</v>
      </c>
      <c r="K508" s="2">
        <v>1</v>
      </c>
      <c r="L508" s="2">
        <v>1</v>
      </c>
      <c r="M508"/>
      <c r="N508" s="3">
        <v>1</v>
      </c>
      <c r="O508" s="2">
        <v>9</v>
      </c>
      <c r="P508" t="s">
        <v>53</v>
      </c>
      <c r="Q508" t="s">
        <v>1642</v>
      </c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</row>
    <row r="509" spans="1:40" s="6" customFormat="1" x14ac:dyDescent="0.25">
      <c r="A509" s="4" t="s">
        <v>1560</v>
      </c>
      <c r="B509" s="4" t="str">
        <f t="shared" si="21"/>
        <v>00022698535K0</v>
      </c>
      <c r="C509" s="4" t="str">
        <f t="shared" si="22"/>
        <v>00022698535KOVR</v>
      </c>
      <c r="D509" t="s">
        <v>396</v>
      </c>
      <c r="E509">
        <v>20411454</v>
      </c>
      <c r="F509" t="s">
        <v>1663</v>
      </c>
      <c r="G509" t="s">
        <v>49</v>
      </c>
      <c r="H509" t="s">
        <v>50</v>
      </c>
      <c r="I509" s="1">
        <v>45627</v>
      </c>
      <c r="J509" s="1">
        <v>45931</v>
      </c>
      <c r="K509" s="2">
        <v>1</v>
      </c>
      <c r="L509" s="2">
        <v>1</v>
      </c>
      <c r="M509"/>
      <c r="N509" s="3">
        <v>1</v>
      </c>
      <c r="O509" s="2">
        <v>9</v>
      </c>
      <c r="P509" t="s">
        <v>53</v>
      </c>
      <c r="Q509" t="s">
        <v>1642</v>
      </c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</row>
    <row r="510" spans="1:40" s="6" customFormat="1" x14ac:dyDescent="0.25">
      <c r="A510" s="4" t="s">
        <v>1561</v>
      </c>
      <c r="B510" s="4" t="str">
        <f t="shared" si="21"/>
        <v>00022763707K0</v>
      </c>
      <c r="C510" s="4" t="str">
        <f t="shared" si="22"/>
        <v>00022763707KOVR</v>
      </c>
      <c r="D510" t="s">
        <v>398</v>
      </c>
      <c r="E510">
        <v>20411454</v>
      </c>
      <c r="F510" t="s">
        <v>1663</v>
      </c>
      <c r="G510" t="s">
        <v>49</v>
      </c>
      <c r="H510" t="s">
        <v>50</v>
      </c>
      <c r="I510" s="1">
        <v>45627</v>
      </c>
      <c r="J510" s="1">
        <v>45931</v>
      </c>
      <c r="K510" s="2">
        <v>1</v>
      </c>
      <c r="L510" s="2">
        <v>1</v>
      </c>
      <c r="M510"/>
      <c r="N510" s="3">
        <v>1</v>
      </c>
      <c r="O510" s="2">
        <v>9</v>
      </c>
      <c r="P510" t="s">
        <v>53</v>
      </c>
      <c r="Q510" t="s">
        <v>1642</v>
      </c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</row>
    <row r="511" spans="1:40" s="6" customFormat="1" x14ac:dyDescent="0.25">
      <c r="A511" s="4" t="s">
        <v>1609</v>
      </c>
      <c r="B511" s="4" t="str">
        <f t="shared" si="21"/>
        <v>00020774853K0</v>
      </c>
      <c r="C511" s="4" t="str">
        <f t="shared" si="22"/>
        <v>00020774853KOVR</v>
      </c>
      <c r="D511" t="s">
        <v>1285</v>
      </c>
      <c r="E511">
        <v>20411454</v>
      </c>
      <c r="F511" t="s">
        <v>1663</v>
      </c>
      <c r="G511" t="s">
        <v>49</v>
      </c>
      <c r="H511" t="s">
        <v>50</v>
      </c>
      <c r="I511" s="1">
        <v>45931</v>
      </c>
      <c r="J511" s="1">
        <v>45962</v>
      </c>
      <c r="K511" s="2">
        <v>0</v>
      </c>
      <c r="L511" s="2">
        <v>175</v>
      </c>
      <c r="M511">
        <v>1</v>
      </c>
      <c r="N511" s="3">
        <v>1</v>
      </c>
      <c r="O511" s="2">
        <v>175</v>
      </c>
      <c r="P511"/>
      <c r="Q511" t="s">
        <v>1642</v>
      </c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</row>
    <row r="512" spans="1:40" s="6" customFormat="1" x14ac:dyDescent="0.25">
      <c r="A512" s="4" t="s">
        <v>1610</v>
      </c>
      <c r="B512" s="4" t="str">
        <f t="shared" si="21"/>
        <v>00023618424K0</v>
      </c>
      <c r="C512" s="4" t="str">
        <f t="shared" si="22"/>
        <v>00023618424KOVR</v>
      </c>
      <c r="D512" t="s">
        <v>1287</v>
      </c>
      <c r="E512">
        <v>20411454</v>
      </c>
      <c r="F512" t="s">
        <v>1663</v>
      </c>
      <c r="G512" t="s">
        <v>49</v>
      </c>
      <c r="H512" t="s">
        <v>50</v>
      </c>
      <c r="I512" s="1">
        <v>45931</v>
      </c>
      <c r="J512" s="1">
        <v>45962</v>
      </c>
      <c r="K512" s="2">
        <v>0</v>
      </c>
      <c r="L512" s="2">
        <v>175</v>
      </c>
      <c r="M512">
        <v>1</v>
      </c>
      <c r="N512" s="3">
        <v>1</v>
      </c>
      <c r="O512" s="2">
        <v>175</v>
      </c>
      <c r="P512"/>
      <c r="Q512" t="s">
        <v>1642</v>
      </c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</row>
    <row r="513" spans="1:40" s="6" customFormat="1" x14ac:dyDescent="0.25">
      <c r="A513" s="4" t="s">
        <v>1613</v>
      </c>
      <c r="B513" s="4" t="str">
        <f t="shared" si="21"/>
        <v>00023621536K0</v>
      </c>
      <c r="C513" s="4" t="str">
        <f t="shared" si="22"/>
        <v>00023621536KOVR</v>
      </c>
      <c r="D513" t="s">
        <v>1296</v>
      </c>
      <c r="E513">
        <v>20411454</v>
      </c>
      <c r="F513" t="s">
        <v>1663</v>
      </c>
      <c r="G513" t="s">
        <v>49</v>
      </c>
      <c r="H513" t="s">
        <v>50</v>
      </c>
      <c r="I513" s="1">
        <v>45992</v>
      </c>
      <c r="J513" s="1">
        <v>46023</v>
      </c>
      <c r="K513" s="2">
        <v>0</v>
      </c>
      <c r="L513" s="2">
        <v>175</v>
      </c>
      <c r="M513">
        <v>1</v>
      </c>
      <c r="N513" s="3">
        <v>1</v>
      </c>
      <c r="O513" s="2">
        <v>175</v>
      </c>
      <c r="P513"/>
      <c r="Q513" t="s">
        <v>1642</v>
      </c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</row>
    <row r="514" spans="1:40" s="6" customFormat="1" x14ac:dyDescent="0.25">
      <c r="A514" s="4" t="s">
        <v>1614</v>
      </c>
      <c r="B514" s="4" t="str">
        <f t="shared" si="21"/>
        <v>00023622344K0</v>
      </c>
      <c r="C514" s="4" t="str">
        <f t="shared" si="22"/>
        <v>00023622344KOVR</v>
      </c>
      <c r="D514" t="s">
        <v>1299</v>
      </c>
      <c r="E514">
        <v>20411454</v>
      </c>
      <c r="F514" t="s">
        <v>1663</v>
      </c>
      <c r="G514" t="s">
        <v>49</v>
      </c>
      <c r="H514" t="s">
        <v>50</v>
      </c>
      <c r="I514" s="1">
        <v>45931</v>
      </c>
      <c r="J514" s="1">
        <v>45962</v>
      </c>
      <c r="K514" s="2">
        <v>0</v>
      </c>
      <c r="L514" s="2">
        <v>175</v>
      </c>
      <c r="M514">
        <v>1</v>
      </c>
      <c r="N514" s="3">
        <v>1</v>
      </c>
      <c r="O514" s="2">
        <v>175</v>
      </c>
      <c r="P514"/>
      <c r="Q514" t="s">
        <v>1642</v>
      </c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</row>
    <row r="515" spans="1:40" s="6" customFormat="1" x14ac:dyDescent="0.25">
      <c r="A515" s="4" t="s">
        <v>1615</v>
      </c>
      <c r="B515" s="4" t="str">
        <f t="shared" si="21"/>
        <v>00023622537K0</v>
      </c>
      <c r="C515" s="4" t="str">
        <f t="shared" si="22"/>
        <v>00023622537KOVR</v>
      </c>
      <c r="D515" t="s">
        <v>1301</v>
      </c>
      <c r="E515">
        <v>20411454</v>
      </c>
      <c r="F515" t="s">
        <v>1663</v>
      </c>
      <c r="G515" t="s">
        <v>49</v>
      </c>
      <c r="H515" t="s">
        <v>50</v>
      </c>
      <c r="I515" s="1">
        <v>45992</v>
      </c>
      <c r="J515" s="1">
        <v>46023</v>
      </c>
      <c r="K515" s="2">
        <v>0</v>
      </c>
      <c r="L515" s="2">
        <v>175</v>
      </c>
      <c r="M515">
        <v>1</v>
      </c>
      <c r="N515" s="3">
        <v>1</v>
      </c>
      <c r="O515" s="2">
        <v>175</v>
      </c>
      <c r="P515"/>
      <c r="Q515" t="s">
        <v>1642</v>
      </c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</row>
    <row r="516" spans="1:40" s="6" customFormat="1" x14ac:dyDescent="0.25">
      <c r="A516" s="4" t="s">
        <v>1616</v>
      </c>
      <c r="B516" s="4" t="str">
        <f t="shared" si="21"/>
        <v>00023623847K0</v>
      </c>
      <c r="C516" s="4" t="str">
        <f t="shared" si="22"/>
        <v>00023623847KOVR</v>
      </c>
      <c r="D516" t="s">
        <v>1303</v>
      </c>
      <c r="E516">
        <v>20411454</v>
      </c>
      <c r="F516" t="s">
        <v>1663</v>
      </c>
      <c r="G516" t="s">
        <v>49</v>
      </c>
      <c r="H516" t="s">
        <v>50</v>
      </c>
      <c r="I516" s="1">
        <v>45931</v>
      </c>
      <c r="J516" s="1">
        <v>45962</v>
      </c>
      <c r="K516" s="2">
        <v>0</v>
      </c>
      <c r="L516" s="2">
        <v>175</v>
      </c>
      <c r="M516">
        <v>1</v>
      </c>
      <c r="N516" s="3">
        <v>1</v>
      </c>
      <c r="O516" s="2">
        <v>175</v>
      </c>
      <c r="P516"/>
      <c r="Q516" t="s">
        <v>1642</v>
      </c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</row>
    <row r="517" spans="1:40" s="6" customFormat="1" x14ac:dyDescent="0.25">
      <c r="A517" s="4" t="s">
        <v>1617</v>
      </c>
      <c r="B517" s="4" t="str">
        <f t="shared" si="21"/>
        <v>00023626937K0</v>
      </c>
      <c r="C517" s="4" t="str">
        <f t="shared" si="22"/>
        <v>00023626937KOVR</v>
      </c>
      <c r="D517" t="s">
        <v>1305</v>
      </c>
      <c r="E517">
        <v>20411454</v>
      </c>
      <c r="F517" t="s">
        <v>1663</v>
      </c>
      <c r="G517" t="s">
        <v>49</v>
      </c>
      <c r="H517" t="s">
        <v>50</v>
      </c>
      <c r="I517" s="1">
        <v>45931</v>
      </c>
      <c r="J517" s="1">
        <v>45962</v>
      </c>
      <c r="K517" s="2">
        <v>0</v>
      </c>
      <c r="L517" s="2">
        <v>175</v>
      </c>
      <c r="M517">
        <v>1</v>
      </c>
      <c r="N517" s="3">
        <v>1</v>
      </c>
      <c r="O517" s="2">
        <v>175</v>
      </c>
      <c r="P517"/>
      <c r="Q517" t="s">
        <v>1642</v>
      </c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</row>
    <row r="518" spans="1:40" s="6" customFormat="1" x14ac:dyDescent="0.25">
      <c r="A518" s="4" t="s">
        <v>1618</v>
      </c>
      <c r="B518" s="4" t="str">
        <f t="shared" si="21"/>
        <v>00023626943K0</v>
      </c>
      <c r="C518" s="4" t="str">
        <f t="shared" si="22"/>
        <v>00023626943KOVR</v>
      </c>
      <c r="D518" t="s">
        <v>1307</v>
      </c>
      <c r="E518">
        <v>20411454</v>
      </c>
      <c r="F518" t="s">
        <v>1663</v>
      </c>
      <c r="G518" t="s">
        <v>49</v>
      </c>
      <c r="H518" t="s">
        <v>50</v>
      </c>
      <c r="I518" s="1">
        <v>45962</v>
      </c>
      <c r="J518" s="1">
        <v>45992</v>
      </c>
      <c r="K518" s="2">
        <v>0</v>
      </c>
      <c r="L518" s="2">
        <v>175</v>
      </c>
      <c r="M518">
        <v>1</v>
      </c>
      <c r="N518" s="3">
        <v>1</v>
      </c>
      <c r="O518" s="2">
        <v>175</v>
      </c>
      <c r="P518"/>
      <c r="Q518" t="s">
        <v>1642</v>
      </c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</row>
    <row r="519" spans="1:40" s="6" customFormat="1" x14ac:dyDescent="0.25">
      <c r="A519" s="4" t="s">
        <v>1619</v>
      </c>
      <c r="B519" s="4" t="str">
        <f t="shared" si="21"/>
        <v>00023627144K0</v>
      </c>
      <c r="C519" s="4" t="str">
        <f t="shared" si="22"/>
        <v>00023627144KOVR</v>
      </c>
      <c r="D519" t="s">
        <v>1309</v>
      </c>
      <c r="E519">
        <v>20411454</v>
      </c>
      <c r="F519" t="s">
        <v>1663</v>
      </c>
      <c r="G519" t="s">
        <v>49</v>
      </c>
      <c r="H519" t="s">
        <v>50</v>
      </c>
      <c r="I519" s="1">
        <v>45931</v>
      </c>
      <c r="J519" s="1">
        <v>45962</v>
      </c>
      <c r="K519" s="2">
        <v>0</v>
      </c>
      <c r="L519" s="2">
        <v>175</v>
      </c>
      <c r="M519">
        <v>1</v>
      </c>
      <c r="N519" s="3">
        <v>1</v>
      </c>
      <c r="O519" s="2">
        <v>175</v>
      </c>
      <c r="P519"/>
      <c r="Q519" t="s">
        <v>1642</v>
      </c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</row>
    <row r="520" spans="1:40" s="6" customFormat="1" x14ac:dyDescent="0.25">
      <c r="A520" s="4" t="s">
        <v>1620</v>
      </c>
      <c r="B520" s="4" t="str">
        <f t="shared" si="21"/>
        <v>00023631968K0</v>
      </c>
      <c r="C520" s="4" t="str">
        <f t="shared" si="22"/>
        <v>00023631968KOVR</v>
      </c>
      <c r="D520" t="s">
        <v>1311</v>
      </c>
      <c r="E520">
        <v>20411454</v>
      </c>
      <c r="F520" t="s">
        <v>1663</v>
      </c>
      <c r="G520" t="s">
        <v>49</v>
      </c>
      <c r="H520" t="s">
        <v>50</v>
      </c>
      <c r="I520" s="1">
        <v>45931</v>
      </c>
      <c r="J520" s="1">
        <v>45962</v>
      </c>
      <c r="K520" s="2">
        <v>0</v>
      </c>
      <c r="L520" s="2">
        <v>175</v>
      </c>
      <c r="M520">
        <v>1</v>
      </c>
      <c r="N520" s="3">
        <v>1</v>
      </c>
      <c r="O520" s="2">
        <v>175</v>
      </c>
      <c r="P520"/>
      <c r="Q520" t="s">
        <v>1642</v>
      </c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</row>
    <row r="521" spans="1:40" s="6" customFormat="1" x14ac:dyDescent="0.25">
      <c r="A521" s="4" t="s">
        <v>1621</v>
      </c>
      <c r="B521" s="4" t="str">
        <f t="shared" si="21"/>
        <v>00023634221K0</v>
      </c>
      <c r="C521" s="4" t="str">
        <f t="shared" si="22"/>
        <v>00023634221KOVR</v>
      </c>
      <c r="D521" t="s">
        <v>1313</v>
      </c>
      <c r="E521">
        <v>20411454</v>
      </c>
      <c r="F521" t="s">
        <v>1663</v>
      </c>
      <c r="G521" t="s">
        <v>49</v>
      </c>
      <c r="H521" t="s">
        <v>50</v>
      </c>
      <c r="I521" s="1">
        <v>45931</v>
      </c>
      <c r="J521" s="1">
        <v>45962</v>
      </c>
      <c r="K521" s="2">
        <v>0</v>
      </c>
      <c r="L521" s="2">
        <v>175</v>
      </c>
      <c r="M521">
        <v>1</v>
      </c>
      <c r="N521" s="3">
        <v>1</v>
      </c>
      <c r="O521" s="2">
        <v>175</v>
      </c>
      <c r="P521"/>
      <c r="Q521" t="s">
        <v>1642</v>
      </c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</row>
    <row r="522" spans="1:40" s="6" customFormat="1" x14ac:dyDescent="0.25">
      <c r="A522" s="4" t="s">
        <v>1622</v>
      </c>
      <c r="B522" s="4" t="str">
        <f t="shared" si="21"/>
        <v>00023635595K0</v>
      </c>
      <c r="C522" s="4" t="str">
        <f t="shared" si="22"/>
        <v>00023635595KOVR</v>
      </c>
      <c r="D522" t="s">
        <v>1315</v>
      </c>
      <c r="E522">
        <v>20411454</v>
      </c>
      <c r="F522" t="s">
        <v>1663</v>
      </c>
      <c r="G522" t="s">
        <v>49</v>
      </c>
      <c r="H522" t="s">
        <v>50</v>
      </c>
      <c r="I522" s="1">
        <v>45931</v>
      </c>
      <c r="J522" s="1">
        <v>45962</v>
      </c>
      <c r="K522" s="2">
        <v>0</v>
      </c>
      <c r="L522" s="2">
        <v>175</v>
      </c>
      <c r="M522">
        <v>1</v>
      </c>
      <c r="N522" s="3">
        <v>1</v>
      </c>
      <c r="O522" s="2">
        <v>175</v>
      </c>
      <c r="P522"/>
      <c r="Q522" t="s">
        <v>1642</v>
      </c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</row>
    <row r="523" spans="1:40" s="6" customFormat="1" x14ac:dyDescent="0.25">
      <c r="A523" s="4" t="s">
        <v>1732</v>
      </c>
      <c r="B523" s="4" t="str">
        <f t="shared" si="21"/>
        <v>00019922531K0</v>
      </c>
      <c r="C523" s="4" t="str">
        <f t="shared" si="22"/>
        <v>00019922531KOVR</v>
      </c>
      <c r="D523" t="s">
        <v>1393</v>
      </c>
      <c r="E523">
        <v>20411454</v>
      </c>
      <c r="F523" t="s">
        <v>1663</v>
      </c>
      <c r="G523" t="s">
        <v>1391</v>
      </c>
      <c r="H523" t="s">
        <v>50</v>
      </c>
      <c r="I523" s="1">
        <v>45870</v>
      </c>
      <c r="J523" s="1">
        <v>45931</v>
      </c>
      <c r="K523"/>
      <c r="L523"/>
      <c r="M523"/>
      <c r="N523"/>
      <c r="O523">
        <v>-161</v>
      </c>
      <c r="P523"/>
      <c r="Q523" t="s">
        <v>1642</v>
      </c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</row>
    <row r="524" spans="1:40" s="6" customFormat="1" x14ac:dyDescent="0.25">
      <c r="A524" s="4" t="s">
        <v>1406</v>
      </c>
      <c r="B524" s="4" t="str">
        <f t="shared" si="21"/>
        <v>00001672119K0</v>
      </c>
      <c r="C524" s="4" t="str">
        <f t="shared" si="22"/>
        <v>00001672119KOVR</v>
      </c>
      <c r="D524" t="s">
        <v>55</v>
      </c>
      <c r="E524">
        <v>20411454</v>
      </c>
      <c r="F524" t="s">
        <v>1663</v>
      </c>
      <c r="G524" t="s">
        <v>58</v>
      </c>
      <c r="H524" t="s">
        <v>59</v>
      </c>
      <c r="I524" s="1">
        <v>45536</v>
      </c>
      <c r="J524" s="1">
        <v>45931</v>
      </c>
      <c r="K524" s="2">
        <v>1</v>
      </c>
      <c r="L524" s="2">
        <v>1</v>
      </c>
      <c r="M524"/>
      <c r="N524" s="3">
        <v>1</v>
      </c>
      <c r="O524" s="2">
        <v>9</v>
      </c>
      <c r="P524" t="s">
        <v>53</v>
      </c>
      <c r="Q524" t="s">
        <v>1642</v>
      </c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</row>
    <row r="525" spans="1:40" s="6" customFormat="1" x14ac:dyDescent="0.25">
      <c r="A525" s="4" t="s">
        <v>1410</v>
      </c>
      <c r="B525" s="4" t="s">
        <v>1410</v>
      </c>
      <c r="C525" s="4" t="s">
        <v>1733</v>
      </c>
      <c r="D525" t="s">
        <v>73</v>
      </c>
      <c r="E525">
        <v>20411454</v>
      </c>
      <c r="F525" t="s">
        <v>1663</v>
      </c>
      <c r="G525" t="s">
        <v>58</v>
      </c>
      <c r="H525" t="s">
        <v>59</v>
      </c>
      <c r="I525" s="1">
        <v>45658</v>
      </c>
      <c r="J525" s="1">
        <v>45931</v>
      </c>
      <c r="K525" s="2">
        <v>0</v>
      </c>
      <c r="L525" s="2">
        <v>0</v>
      </c>
      <c r="M525"/>
      <c r="N525" s="3">
        <v>1</v>
      </c>
      <c r="O525" s="2">
        <v>-35.64</v>
      </c>
      <c r="P525" t="s">
        <v>76</v>
      </c>
      <c r="Q525" t="s">
        <v>1642</v>
      </c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</row>
    <row r="526" spans="1:40" s="6" customFormat="1" x14ac:dyDescent="0.25">
      <c r="A526" s="4" t="s">
        <v>1412</v>
      </c>
      <c r="B526" s="4" t="str">
        <f>CONCATENATE(A526,0)</f>
        <v>00017505325K0</v>
      </c>
      <c r="C526" s="4" t="str">
        <f>CONCATENATE(A526, "OVR")</f>
        <v>00017505325KOVR</v>
      </c>
      <c r="D526" t="s">
        <v>80</v>
      </c>
      <c r="E526">
        <v>20411454</v>
      </c>
      <c r="F526" t="s">
        <v>1663</v>
      </c>
      <c r="G526" t="s">
        <v>58</v>
      </c>
      <c r="H526" t="s">
        <v>59</v>
      </c>
      <c r="I526" s="1">
        <v>45474</v>
      </c>
      <c r="J526" s="1">
        <v>45931</v>
      </c>
      <c r="K526" s="2">
        <v>1</v>
      </c>
      <c r="L526" s="2">
        <v>1</v>
      </c>
      <c r="M526"/>
      <c r="N526" s="3">
        <v>1</v>
      </c>
      <c r="O526" s="2">
        <v>9</v>
      </c>
      <c r="P526" t="s">
        <v>53</v>
      </c>
      <c r="Q526" t="s">
        <v>1642</v>
      </c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</row>
    <row r="527" spans="1:40" s="6" customFormat="1" x14ac:dyDescent="0.25">
      <c r="A527" s="4" t="s">
        <v>1416</v>
      </c>
      <c r="B527" s="4" t="s">
        <v>1416</v>
      </c>
      <c r="C527" s="4" t="str">
        <f>CONCATENATE(A527, "R")</f>
        <v>00020054580KOVR</v>
      </c>
      <c r="D527" t="s">
        <v>90</v>
      </c>
      <c r="E527">
        <v>20411454</v>
      </c>
      <c r="F527" t="s">
        <v>1663</v>
      </c>
      <c r="G527" t="s">
        <v>49</v>
      </c>
      <c r="H527" t="s">
        <v>59</v>
      </c>
      <c r="I527" s="1">
        <v>45505</v>
      </c>
      <c r="J527" s="1">
        <v>45931</v>
      </c>
      <c r="K527" s="2">
        <v>1</v>
      </c>
      <c r="L527" s="2">
        <v>1</v>
      </c>
      <c r="M527"/>
      <c r="N527" s="3">
        <v>1</v>
      </c>
      <c r="O527" s="2">
        <v>9</v>
      </c>
      <c r="P527" t="s">
        <v>94</v>
      </c>
      <c r="Q527" t="s">
        <v>1642</v>
      </c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</row>
    <row r="528" spans="1:40" s="6" customFormat="1" x14ac:dyDescent="0.25">
      <c r="A528" s="4" t="s">
        <v>1608</v>
      </c>
      <c r="B528" s="4" t="str">
        <f>CONCATENATE(A528,0)</f>
        <v>00018492763K0</v>
      </c>
      <c r="C528" s="4" t="str">
        <f>CONCATENATE(A528, "OVR")</f>
        <v>00018492763KOVR</v>
      </c>
      <c r="D528" t="s">
        <v>1283</v>
      </c>
      <c r="E528">
        <v>20411454</v>
      </c>
      <c r="F528" t="s">
        <v>1663</v>
      </c>
      <c r="G528" t="s">
        <v>49</v>
      </c>
      <c r="H528" t="s">
        <v>59</v>
      </c>
      <c r="I528" s="1">
        <v>45931</v>
      </c>
      <c r="J528" s="1">
        <v>45962</v>
      </c>
      <c r="K528" s="2">
        <v>0</v>
      </c>
      <c r="L528" s="2">
        <v>108</v>
      </c>
      <c r="M528">
        <v>1</v>
      </c>
      <c r="N528" s="3">
        <v>1</v>
      </c>
      <c r="O528" s="2">
        <v>108</v>
      </c>
      <c r="P528"/>
      <c r="Q528" t="s">
        <v>1642</v>
      </c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</row>
    <row r="529" spans="1:40" s="6" customFormat="1" x14ac:dyDescent="0.25">
      <c r="A529" s="4" t="s">
        <v>1734</v>
      </c>
      <c r="B529" s="4" t="s">
        <v>1734</v>
      </c>
      <c r="C529" s="4" t="str">
        <f>CONCATENATE(A529, "OVR")</f>
        <v>00018927296K9OVR</v>
      </c>
      <c r="D529" t="s">
        <v>1390</v>
      </c>
      <c r="E529">
        <v>20411454</v>
      </c>
      <c r="F529" t="s">
        <v>1663</v>
      </c>
      <c r="G529" t="s">
        <v>1391</v>
      </c>
      <c r="H529" t="s">
        <v>59</v>
      </c>
      <c r="I529" s="1">
        <v>45658</v>
      </c>
      <c r="J529" s="1">
        <v>45931</v>
      </c>
      <c r="K529"/>
      <c r="L529"/>
      <c r="M529"/>
      <c r="N529"/>
      <c r="O529">
        <v>-27</v>
      </c>
      <c r="P529"/>
      <c r="Q529" t="s">
        <v>1642</v>
      </c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</row>
    <row r="530" spans="1:40" s="6" customFormat="1" x14ac:dyDescent="0.25">
      <c r="A530" s="5" t="s">
        <v>1611</v>
      </c>
      <c r="B530" s="5" t="s">
        <v>1611</v>
      </c>
      <c r="C530" s="5" t="s">
        <v>1611</v>
      </c>
      <c r="D530" s="6" t="s">
        <v>1289</v>
      </c>
      <c r="E530" s="6">
        <v>20724564</v>
      </c>
      <c r="F530" s="6" t="s">
        <v>1291</v>
      </c>
      <c r="G530" s="6" t="s">
        <v>49</v>
      </c>
      <c r="H530" s="6" t="s">
        <v>1292</v>
      </c>
      <c r="I530" s="7">
        <v>45992</v>
      </c>
      <c r="J530" s="7">
        <v>46023</v>
      </c>
      <c r="K530" s="8">
        <v>0</v>
      </c>
      <c r="L530" s="8">
        <v>15</v>
      </c>
      <c r="M530" s="6">
        <v>1</v>
      </c>
      <c r="N530" s="9">
        <v>1</v>
      </c>
      <c r="O530" s="8">
        <v>15</v>
      </c>
      <c r="Q530" s="6" t="s">
        <v>1644</v>
      </c>
    </row>
    <row r="531" spans="1:40" s="6" customFormat="1" x14ac:dyDescent="0.25">
      <c r="A531" s="5" t="s">
        <v>1612</v>
      </c>
      <c r="B531" s="5" t="s">
        <v>1612</v>
      </c>
      <c r="C531" s="5" t="s">
        <v>1612</v>
      </c>
      <c r="D531" s="6" t="s">
        <v>1294</v>
      </c>
      <c r="E531" s="6">
        <v>20724564</v>
      </c>
      <c r="F531" s="6" t="s">
        <v>1291</v>
      </c>
      <c r="G531" s="6" t="s">
        <v>49</v>
      </c>
      <c r="H531" s="6" t="s">
        <v>1292</v>
      </c>
      <c r="I531" s="7">
        <v>45992</v>
      </c>
      <c r="J531" s="7">
        <v>46023</v>
      </c>
      <c r="K531" s="8">
        <v>0</v>
      </c>
      <c r="L531" s="8">
        <v>15</v>
      </c>
      <c r="M531" s="6">
        <v>1</v>
      </c>
      <c r="N531" s="9">
        <v>1</v>
      </c>
      <c r="O531" s="8">
        <v>15</v>
      </c>
      <c r="Q531" s="6" t="s">
        <v>1644</v>
      </c>
    </row>
    <row r="532" spans="1:40" s="6" customFormat="1" x14ac:dyDescent="0.25">
      <c r="A532" s="5" t="s">
        <v>1637</v>
      </c>
      <c r="B532" s="5" t="str">
        <f t="shared" ref="B532:B563" si="23">CONCATENATE(A532,1)</f>
        <v>A043306231</v>
      </c>
      <c r="C532" s="5" t="s">
        <v>1714</v>
      </c>
      <c r="D532" s="6" t="s">
        <v>1381</v>
      </c>
      <c r="E532" s="6">
        <v>20003537</v>
      </c>
      <c r="F532" s="6" t="s">
        <v>1383</v>
      </c>
      <c r="G532" s="6" t="s">
        <v>49</v>
      </c>
      <c r="H532" s="6" t="s">
        <v>1384</v>
      </c>
      <c r="I532" s="7">
        <v>45901</v>
      </c>
      <c r="J532" s="7">
        <v>46204</v>
      </c>
      <c r="K532" s="8">
        <v>0</v>
      </c>
      <c r="L532" s="8">
        <v>28.02</v>
      </c>
      <c r="M532" s="6">
        <v>9</v>
      </c>
      <c r="N532" s="9">
        <v>1</v>
      </c>
      <c r="O532" s="8">
        <v>252.18</v>
      </c>
      <c r="Q532" s="6" t="s">
        <v>1384</v>
      </c>
      <c r="Y532" s="10"/>
    </row>
    <row r="533" spans="1:40" s="6" customFormat="1" x14ac:dyDescent="0.25">
      <c r="A533" s="5" t="s">
        <v>1585</v>
      </c>
      <c r="B533" s="5" t="str">
        <f t="shared" si="23"/>
        <v>A040829491</v>
      </c>
      <c r="C533" s="5" t="s">
        <v>1710</v>
      </c>
      <c r="D533" s="6" t="s">
        <v>1225</v>
      </c>
      <c r="E533" s="6">
        <v>17425766</v>
      </c>
      <c r="F533" s="6" t="s">
        <v>107</v>
      </c>
      <c r="G533" s="6" t="s">
        <v>49</v>
      </c>
      <c r="H533" s="6" t="s">
        <v>1226</v>
      </c>
      <c r="I533" s="7">
        <v>45536</v>
      </c>
      <c r="J533" s="1">
        <v>45931</v>
      </c>
      <c r="K533" s="8">
        <v>1</v>
      </c>
      <c r="L533" s="8">
        <v>1</v>
      </c>
      <c r="N533" s="9">
        <v>1</v>
      </c>
      <c r="O533" s="8">
        <v>44.31</v>
      </c>
      <c r="P533" s="6" t="s">
        <v>1207</v>
      </c>
      <c r="Q533" s="6" t="s">
        <v>1648</v>
      </c>
      <c r="Y533" s="10"/>
    </row>
    <row r="534" spans="1:40" s="6" customFormat="1" x14ac:dyDescent="0.25">
      <c r="A534" s="5" t="s">
        <v>1602</v>
      </c>
      <c r="B534" s="5" t="str">
        <f t="shared" si="23"/>
        <v>A041273251</v>
      </c>
      <c r="C534" s="5" t="s">
        <v>1711</v>
      </c>
      <c r="D534" s="6" t="s">
        <v>1267</v>
      </c>
      <c r="E534" s="6">
        <v>17425766</v>
      </c>
      <c r="F534" s="6" t="s">
        <v>107</v>
      </c>
      <c r="G534" s="6" t="s">
        <v>49</v>
      </c>
      <c r="H534" s="6" t="s">
        <v>1226</v>
      </c>
      <c r="I534" s="7">
        <v>45566</v>
      </c>
      <c r="J534" s="1">
        <v>45931</v>
      </c>
      <c r="K534" s="8">
        <v>1</v>
      </c>
      <c r="L534" s="8">
        <v>1</v>
      </c>
      <c r="N534" s="9">
        <v>1</v>
      </c>
      <c r="O534" s="8">
        <v>44.31</v>
      </c>
      <c r="P534" s="6" t="s">
        <v>1207</v>
      </c>
      <c r="Q534" s="6" t="s">
        <v>1648</v>
      </c>
      <c r="Y534" s="10"/>
    </row>
    <row r="535" spans="1:40" s="6" customFormat="1" x14ac:dyDescent="0.25">
      <c r="A535" s="5" t="s">
        <v>1597</v>
      </c>
      <c r="B535" s="5" t="str">
        <f t="shared" si="23"/>
        <v>A041155411</v>
      </c>
      <c r="C535" s="5" t="s">
        <v>1715</v>
      </c>
      <c r="D535" s="6" t="s">
        <v>1257</v>
      </c>
      <c r="E535" s="6">
        <v>8325282</v>
      </c>
      <c r="F535" s="6" t="s">
        <v>299</v>
      </c>
      <c r="G535" s="6" t="s">
        <v>49</v>
      </c>
      <c r="H535" s="6" t="s">
        <v>1232</v>
      </c>
      <c r="I535" s="7">
        <v>45536</v>
      </c>
      <c r="J535" s="1">
        <v>45931</v>
      </c>
      <c r="K535" s="8">
        <v>1</v>
      </c>
      <c r="L535" s="8">
        <v>1</v>
      </c>
      <c r="N535" s="9">
        <v>1</v>
      </c>
      <c r="O535" s="8">
        <v>31.98</v>
      </c>
      <c r="P535" s="6" t="s">
        <v>1207</v>
      </c>
      <c r="Q535" s="6" t="s">
        <v>1645</v>
      </c>
    </row>
    <row r="536" spans="1:40" s="6" customFormat="1" x14ac:dyDescent="0.25">
      <c r="A536" s="5" t="s">
        <v>1600</v>
      </c>
      <c r="B536" s="5" t="str">
        <f t="shared" si="23"/>
        <v>A041271401</v>
      </c>
      <c r="C536" s="5" t="s">
        <v>1716</v>
      </c>
      <c r="D536" s="6" t="s">
        <v>1263</v>
      </c>
      <c r="E536" s="6">
        <v>8325282</v>
      </c>
      <c r="F536" s="6" t="s">
        <v>299</v>
      </c>
      <c r="G536" s="6" t="s">
        <v>49</v>
      </c>
      <c r="H536" s="6" t="s">
        <v>1232</v>
      </c>
      <c r="I536" s="7">
        <v>45597</v>
      </c>
      <c r="J536" s="1">
        <v>45931</v>
      </c>
      <c r="K536" s="8">
        <v>1</v>
      </c>
      <c r="L536" s="8">
        <v>1</v>
      </c>
      <c r="N536" s="9">
        <v>1</v>
      </c>
      <c r="O536" s="8">
        <v>31.98</v>
      </c>
      <c r="P536" s="6" t="s">
        <v>1207</v>
      </c>
      <c r="Q536" s="6" t="s">
        <v>1645</v>
      </c>
    </row>
    <row r="537" spans="1:40" s="6" customFormat="1" x14ac:dyDescent="0.25">
      <c r="A537" s="5" t="s">
        <v>1601</v>
      </c>
      <c r="B537" s="5" t="str">
        <f t="shared" si="23"/>
        <v>A041271761</v>
      </c>
      <c r="C537" s="5" t="s">
        <v>1717</v>
      </c>
      <c r="D537" s="6" t="s">
        <v>1265</v>
      </c>
      <c r="E537" s="6">
        <v>8325282</v>
      </c>
      <c r="F537" s="6" t="s">
        <v>299</v>
      </c>
      <c r="G537" s="6" t="s">
        <v>49</v>
      </c>
      <c r="H537" s="6" t="s">
        <v>1232</v>
      </c>
      <c r="I537" s="7">
        <v>45597</v>
      </c>
      <c r="J537" s="1">
        <v>45931</v>
      </c>
      <c r="K537" s="8">
        <v>1</v>
      </c>
      <c r="L537" s="8">
        <v>1</v>
      </c>
      <c r="N537" s="9">
        <v>1</v>
      </c>
      <c r="O537" s="8">
        <v>31.98</v>
      </c>
      <c r="P537" s="6" t="s">
        <v>1207</v>
      </c>
      <c r="Q537" s="6" t="s">
        <v>1645</v>
      </c>
    </row>
    <row r="538" spans="1:40" s="6" customFormat="1" x14ac:dyDescent="0.25">
      <c r="A538" s="5" t="s">
        <v>1604</v>
      </c>
      <c r="B538" s="5" t="str">
        <f t="shared" si="23"/>
        <v>A041370151</v>
      </c>
      <c r="C538" s="5" t="s">
        <v>1718</v>
      </c>
      <c r="D538" s="6" t="s">
        <v>1271</v>
      </c>
      <c r="E538" s="6">
        <v>8325282</v>
      </c>
      <c r="F538" s="6" t="s">
        <v>299</v>
      </c>
      <c r="G538" s="6" t="s">
        <v>49</v>
      </c>
      <c r="H538" s="6" t="s">
        <v>1232</v>
      </c>
      <c r="I538" s="7">
        <v>45597</v>
      </c>
      <c r="J538" s="1">
        <v>45931</v>
      </c>
      <c r="K538" s="8">
        <v>1</v>
      </c>
      <c r="L538" s="8">
        <v>1</v>
      </c>
      <c r="N538" s="9">
        <v>1</v>
      </c>
      <c r="O538" s="8">
        <v>31.98</v>
      </c>
      <c r="P538" s="6" t="s">
        <v>1207</v>
      </c>
      <c r="Q538" s="6" t="s">
        <v>1645</v>
      </c>
    </row>
    <row r="539" spans="1:40" s="6" customFormat="1" x14ac:dyDescent="0.25">
      <c r="A539" s="5" t="s">
        <v>1605</v>
      </c>
      <c r="B539" s="5" t="str">
        <f t="shared" si="23"/>
        <v>A041373421</v>
      </c>
      <c r="C539" s="5" t="s">
        <v>1719</v>
      </c>
      <c r="D539" s="6" t="s">
        <v>1273</v>
      </c>
      <c r="E539" s="6">
        <v>8325282</v>
      </c>
      <c r="F539" s="6" t="s">
        <v>299</v>
      </c>
      <c r="G539" s="6" t="s">
        <v>49</v>
      </c>
      <c r="H539" s="6" t="s">
        <v>1232</v>
      </c>
      <c r="I539" s="7">
        <v>45597</v>
      </c>
      <c r="J539" s="1">
        <v>45931</v>
      </c>
      <c r="K539" s="8">
        <v>1</v>
      </c>
      <c r="L539" s="8">
        <v>1</v>
      </c>
      <c r="N539" s="9">
        <v>1</v>
      </c>
      <c r="O539" s="8">
        <v>31.98</v>
      </c>
      <c r="P539" s="6" t="s">
        <v>1207</v>
      </c>
      <c r="Q539" s="6" t="s">
        <v>1645</v>
      </c>
    </row>
    <row r="540" spans="1:40" s="6" customFormat="1" x14ac:dyDescent="0.25">
      <c r="A540" s="5" t="s">
        <v>1606</v>
      </c>
      <c r="B540" s="5" t="str">
        <f t="shared" si="23"/>
        <v>A041378281</v>
      </c>
      <c r="C540" s="5" t="s">
        <v>1720</v>
      </c>
      <c r="D540" s="6" t="s">
        <v>1275</v>
      </c>
      <c r="E540" s="6">
        <v>8325282</v>
      </c>
      <c r="F540" s="6" t="s">
        <v>299</v>
      </c>
      <c r="G540" s="6" t="s">
        <v>49</v>
      </c>
      <c r="H540" s="6" t="s">
        <v>1232</v>
      </c>
      <c r="I540" s="7">
        <v>45597</v>
      </c>
      <c r="J540" s="1">
        <v>45931</v>
      </c>
      <c r="K540" s="8">
        <v>1</v>
      </c>
      <c r="L540" s="8">
        <v>1</v>
      </c>
      <c r="N540" s="9">
        <v>1</v>
      </c>
      <c r="O540" s="8">
        <v>31.98</v>
      </c>
      <c r="P540" s="6" t="s">
        <v>1207</v>
      </c>
      <c r="Q540" s="6" t="s">
        <v>1645</v>
      </c>
    </row>
    <row r="541" spans="1:40" s="6" customFormat="1" x14ac:dyDescent="0.25">
      <c r="A541" s="5" t="s">
        <v>1607</v>
      </c>
      <c r="B541" s="5" t="str">
        <f t="shared" si="23"/>
        <v>A041505201</v>
      </c>
      <c r="C541" s="5" t="s">
        <v>1721</v>
      </c>
      <c r="D541" s="6" t="s">
        <v>1277</v>
      </c>
      <c r="E541" s="6">
        <v>8325282</v>
      </c>
      <c r="F541" s="6" t="s">
        <v>299</v>
      </c>
      <c r="G541" s="6" t="s">
        <v>49</v>
      </c>
      <c r="H541" s="6" t="s">
        <v>1232</v>
      </c>
      <c r="I541" s="7">
        <v>45597</v>
      </c>
      <c r="J541" s="1">
        <v>45931</v>
      </c>
      <c r="K541" s="8">
        <v>1</v>
      </c>
      <c r="L541" s="8">
        <v>1</v>
      </c>
      <c r="N541" s="9">
        <v>1</v>
      </c>
      <c r="O541" s="8">
        <v>31.98</v>
      </c>
      <c r="P541" s="6" t="s">
        <v>1207</v>
      </c>
      <c r="Q541" s="6" t="s">
        <v>1645</v>
      </c>
    </row>
    <row r="542" spans="1:40" s="6" customFormat="1" x14ac:dyDescent="0.25">
      <c r="A542" s="5" t="s">
        <v>1590</v>
      </c>
      <c r="B542" s="5" t="str">
        <f t="shared" si="23"/>
        <v>A041071511</v>
      </c>
      <c r="C542" s="5" t="s">
        <v>1725</v>
      </c>
      <c r="D542" s="6" t="s">
        <v>1240</v>
      </c>
      <c r="E542" s="6">
        <v>8814784</v>
      </c>
      <c r="F542" s="6" t="s">
        <v>146</v>
      </c>
      <c r="G542" s="6" t="s">
        <v>49</v>
      </c>
      <c r="H542" s="6" t="s">
        <v>1232</v>
      </c>
      <c r="I542" s="7">
        <v>45566</v>
      </c>
      <c r="J542" s="1">
        <v>45931</v>
      </c>
      <c r="K542" s="8">
        <v>1</v>
      </c>
      <c r="L542" s="8">
        <v>1</v>
      </c>
      <c r="N542" s="9">
        <v>1</v>
      </c>
      <c r="O542" s="8">
        <v>31.98</v>
      </c>
      <c r="P542" s="6" t="s">
        <v>1207</v>
      </c>
      <c r="Q542" s="6" t="s">
        <v>1645</v>
      </c>
    </row>
    <row r="543" spans="1:40" s="6" customFormat="1" x14ac:dyDescent="0.25">
      <c r="A543" s="5" t="s">
        <v>1638</v>
      </c>
      <c r="B543" s="5" t="str">
        <f t="shared" si="23"/>
        <v>A043312691</v>
      </c>
      <c r="C543" s="5" t="s">
        <v>1727</v>
      </c>
      <c r="D543" s="6" t="s">
        <v>1386</v>
      </c>
      <c r="E543" s="6">
        <v>9213293</v>
      </c>
      <c r="F543" s="6" t="s">
        <v>75</v>
      </c>
      <c r="G543" s="6" t="s">
        <v>49</v>
      </c>
      <c r="H543" s="6" t="s">
        <v>1387</v>
      </c>
      <c r="I543" s="7">
        <v>45992</v>
      </c>
      <c r="J543" s="7">
        <v>46296</v>
      </c>
      <c r="K543" s="8">
        <v>0</v>
      </c>
      <c r="L543" s="8">
        <v>31.98</v>
      </c>
      <c r="M543" s="6">
        <v>9</v>
      </c>
      <c r="N543" s="9">
        <v>1</v>
      </c>
      <c r="O543" s="8">
        <v>287.82</v>
      </c>
      <c r="Q543" s="6" t="s">
        <v>1645</v>
      </c>
    </row>
    <row r="544" spans="1:40" s="6" customFormat="1" x14ac:dyDescent="0.25">
      <c r="A544" s="5" t="s">
        <v>1587</v>
      </c>
      <c r="B544" s="5" t="str">
        <f t="shared" si="23"/>
        <v>A040892061</v>
      </c>
      <c r="C544" s="5" t="s">
        <v>1728</v>
      </c>
      <c r="D544" s="6" t="s">
        <v>1231</v>
      </c>
      <c r="E544" s="6">
        <v>9213293</v>
      </c>
      <c r="F544" s="6" t="s">
        <v>75</v>
      </c>
      <c r="G544" s="6" t="s">
        <v>49</v>
      </c>
      <c r="H544" s="6" t="s">
        <v>1232</v>
      </c>
      <c r="I544" s="7">
        <v>45505</v>
      </c>
      <c r="J544" s="1">
        <v>45931</v>
      </c>
      <c r="K544" s="8">
        <v>1</v>
      </c>
      <c r="L544" s="8">
        <v>1</v>
      </c>
      <c r="N544" s="9">
        <v>1</v>
      </c>
      <c r="O544" s="8">
        <v>31.98</v>
      </c>
      <c r="P544" s="6" t="s">
        <v>1207</v>
      </c>
      <c r="Q544" s="6" t="s">
        <v>1645</v>
      </c>
      <c r="Y544" s="10"/>
    </row>
    <row r="545" spans="1:17" s="6" customFormat="1" x14ac:dyDescent="0.25">
      <c r="A545" s="5" t="s">
        <v>1592</v>
      </c>
      <c r="B545" s="5" t="str">
        <f t="shared" si="23"/>
        <v>A041109701</v>
      </c>
      <c r="C545" s="5" t="s">
        <v>1729</v>
      </c>
      <c r="D545" s="6" t="s">
        <v>1246</v>
      </c>
      <c r="E545" s="6">
        <v>9213293</v>
      </c>
      <c r="F545" s="6" t="s">
        <v>75</v>
      </c>
      <c r="G545" s="6" t="s">
        <v>49</v>
      </c>
      <c r="H545" s="6" t="s">
        <v>1232</v>
      </c>
      <c r="I545" s="7">
        <v>45566</v>
      </c>
      <c r="J545" s="1">
        <v>45931</v>
      </c>
      <c r="K545" s="8">
        <v>1</v>
      </c>
      <c r="L545" s="8">
        <v>1</v>
      </c>
      <c r="N545" s="9">
        <v>1</v>
      </c>
      <c r="O545" s="8">
        <v>31.98</v>
      </c>
      <c r="P545" s="6" t="s">
        <v>1207</v>
      </c>
      <c r="Q545" s="6" t="s">
        <v>1645</v>
      </c>
    </row>
    <row r="546" spans="1:17" s="6" customFormat="1" x14ac:dyDescent="0.25">
      <c r="A546" s="5" t="s">
        <v>1603</v>
      </c>
      <c r="B546" s="5" t="str">
        <f t="shared" si="23"/>
        <v>A041359011</v>
      </c>
      <c r="C546" s="5" t="s">
        <v>1730</v>
      </c>
      <c r="D546" s="6" t="s">
        <v>1269</v>
      </c>
      <c r="E546" s="6">
        <v>9213293</v>
      </c>
      <c r="F546" s="6" t="s">
        <v>75</v>
      </c>
      <c r="G546" s="6" t="s">
        <v>49</v>
      </c>
      <c r="H546" s="6" t="s">
        <v>1232</v>
      </c>
      <c r="I546" s="7">
        <v>45597</v>
      </c>
      <c r="J546" s="1">
        <v>45931</v>
      </c>
      <c r="K546" s="8">
        <v>1</v>
      </c>
      <c r="L546" s="8">
        <v>1</v>
      </c>
      <c r="N546" s="9">
        <v>1</v>
      </c>
      <c r="O546" s="8">
        <v>31.98</v>
      </c>
      <c r="P546" s="6" t="s">
        <v>1207</v>
      </c>
      <c r="Q546" s="6" t="s">
        <v>1645</v>
      </c>
    </row>
    <row r="547" spans="1:17" s="6" customFormat="1" x14ac:dyDescent="0.25">
      <c r="A547" s="5" t="s">
        <v>1598</v>
      </c>
      <c r="B547" s="5" t="str">
        <f t="shared" si="23"/>
        <v>A041203631</v>
      </c>
      <c r="C547" s="5" t="s">
        <v>1676</v>
      </c>
      <c r="D547" s="6" t="s">
        <v>1259</v>
      </c>
      <c r="E547" s="6">
        <v>19200754</v>
      </c>
      <c r="F547" s="6" t="s">
        <v>154</v>
      </c>
      <c r="G547" s="6" t="s">
        <v>49</v>
      </c>
      <c r="H547" s="6" t="s">
        <v>1232</v>
      </c>
      <c r="I547" s="7">
        <v>45597</v>
      </c>
      <c r="J547" s="1">
        <v>45931</v>
      </c>
      <c r="K547" s="8">
        <v>1</v>
      </c>
      <c r="L547" s="8">
        <v>1</v>
      </c>
      <c r="N547" s="9">
        <v>1</v>
      </c>
      <c r="O547" s="8">
        <v>31.98</v>
      </c>
      <c r="P547" s="6" t="s">
        <v>1207</v>
      </c>
      <c r="Q547" s="6" t="s">
        <v>1645</v>
      </c>
    </row>
    <row r="548" spans="1:17" s="6" customFormat="1" x14ac:dyDescent="0.25">
      <c r="A548" s="5" t="s">
        <v>1580</v>
      </c>
      <c r="B548" s="5" t="str">
        <f t="shared" si="23"/>
        <v>A037551451</v>
      </c>
      <c r="C548" s="5" t="s">
        <v>1722</v>
      </c>
      <c r="D548" s="6" t="s">
        <v>1209</v>
      </c>
      <c r="E548" s="6">
        <v>8325282</v>
      </c>
      <c r="F548" s="6" t="s">
        <v>299</v>
      </c>
      <c r="G548" s="6" t="s">
        <v>49</v>
      </c>
      <c r="H548" s="6" t="s">
        <v>1210</v>
      </c>
      <c r="I548" s="7">
        <v>45627</v>
      </c>
      <c r="J548" s="1">
        <v>45931</v>
      </c>
      <c r="K548" s="8">
        <v>1</v>
      </c>
      <c r="L548" s="8">
        <v>1</v>
      </c>
      <c r="N548" s="9">
        <v>1</v>
      </c>
      <c r="O548" s="8">
        <v>28.78</v>
      </c>
      <c r="P548" s="6" t="s">
        <v>1207</v>
      </c>
      <c r="Q548" s="6" t="s">
        <v>1649</v>
      </c>
    </row>
    <row r="549" spans="1:17" s="6" customFormat="1" x14ac:dyDescent="0.25">
      <c r="A549" s="5" t="s">
        <v>1591</v>
      </c>
      <c r="B549" s="5" t="str">
        <f t="shared" si="23"/>
        <v>A041081521</v>
      </c>
      <c r="C549" s="5" t="s">
        <v>1731</v>
      </c>
      <c r="D549" s="6" t="s">
        <v>1242</v>
      </c>
      <c r="E549" s="6">
        <v>9213293</v>
      </c>
      <c r="F549" s="6" t="s">
        <v>75</v>
      </c>
      <c r="G549" s="6" t="s">
        <v>49</v>
      </c>
      <c r="H549" s="6" t="s">
        <v>1244</v>
      </c>
      <c r="I549" s="7">
        <v>45566</v>
      </c>
      <c r="J549" s="1">
        <v>45931</v>
      </c>
      <c r="K549" s="8">
        <v>1</v>
      </c>
      <c r="L549" s="8">
        <v>1</v>
      </c>
      <c r="N549" s="9">
        <v>1</v>
      </c>
      <c r="O549" s="8">
        <v>33</v>
      </c>
      <c r="P549" s="6" t="s">
        <v>1207</v>
      </c>
      <c r="Q549" s="6" t="s">
        <v>1650</v>
      </c>
    </row>
    <row r="550" spans="1:17" s="6" customFormat="1" x14ac:dyDescent="0.25">
      <c r="A550" s="5" t="s">
        <v>1589</v>
      </c>
      <c r="B550" s="5" t="str">
        <f t="shared" si="23"/>
        <v>A041028101</v>
      </c>
      <c r="C550" s="5" t="s">
        <v>1700</v>
      </c>
      <c r="D550" s="6" t="s">
        <v>1237</v>
      </c>
      <c r="E550" s="6">
        <v>19278370</v>
      </c>
      <c r="F550" s="6" t="s">
        <v>816</v>
      </c>
      <c r="G550" s="6" t="s">
        <v>49</v>
      </c>
      <c r="H550" s="6" t="s">
        <v>1238</v>
      </c>
      <c r="I550" s="7">
        <v>45536</v>
      </c>
      <c r="J550" s="1">
        <v>45931</v>
      </c>
      <c r="K550" s="8">
        <v>1</v>
      </c>
      <c r="L550" s="8">
        <v>1</v>
      </c>
      <c r="N550" s="9">
        <v>1</v>
      </c>
      <c r="O550" s="8">
        <v>36</v>
      </c>
      <c r="P550" s="6" t="s">
        <v>1207</v>
      </c>
      <c r="Q550" s="6" t="s">
        <v>1651</v>
      </c>
    </row>
    <row r="551" spans="1:17" s="6" customFormat="1" x14ac:dyDescent="0.25">
      <c r="A551" s="5" t="s">
        <v>1635</v>
      </c>
      <c r="B551" s="5" t="str">
        <f t="shared" si="23"/>
        <v>A043295711</v>
      </c>
      <c r="C551" s="5" t="s">
        <v>1673</v>
      </c>
      <c r="D551" s="6" t="s">
        <v>1376</v>
      </c>
      <c r="E551" s="6">
        <v>8244481</v>
      </c>
      <c r="F551" s="6" t="s">
        <v>131</v>
      </c>
      <c r="G551" s="6" t="s">
        <v>49</v>
      </c>
      <c r="H551" s="6" t="s">
        <v>1377</v>
      </c>
      <c r="I551" s="7">
        <v>45931</v>
      </c>
      <c r="J551" s="7">
        <v>46235</v>
      </c>
      <c r="K551" s="8">
        <v>0</v>
      </c>
      <c r="L551" s="8">
        <v>30</v>
      </c>
      <c r="M551" s="6">
        <v>9</v>
      </c>
      <c r="N551" s="9">
        <v>1</v>
      </c>
      <c r="O551" s="8">
        <v>270</v>
      </c>
      <c r="Q551" s="6" t="s">
        <v>1646</v>
      </c>
    </row>
    <row r="552" spans="1:17" s="6" customFormat="1" x14ac:dyDescent="0.25">
      <c r="A552" s="5" t="s">
        <v>1582</v>
      </c>
      <c r="B552" s="5" t="str">
        <f t="shared" si="23"/>
        <v>A040749091</v>
      </c>
      <c r="C552" s="5" t="s">
        <v>1701</v>
      </c>
      <c r="D552" s="6" t="s">
        <v>1215</v>
      </c>
      <c r="E552" s="6">
        <v>19278370</v>
      </c>
      <c r="F552" s="6" t="s">
        <v>816</v>
      </c>
      <c r="G552" s="6" t="s">
        <v>49</v>
      </c>
      <c r="H552" s="6" t="s">
        <v>1216</v>
      </c>
      <c r="I552" s="7">
        <v>45474</v>
      </c>
      <c r="J552" s="1">
        <v>45931</v>
      </c>
      <c r="K552" s="8">
        <v>1</v>
      </c>
      <c r="L552" s="8">
        <v>1</v>
      </c>
      <c r="N552" s="9">
        <v>1</v>
      </c>
      <c r="O552" s="8">
        <v>37.5</v>
      </c>
      <c r="P552" s="6" t="s">
        <v>1207</v>
      </c>
      <c r="Q552" s="6" t="s">
        <v>1653</v>
      </c>
    </row>
    <row r="553" spans="1:17" s="6" customFormat="1" x14ac:dyDescent="0.25">
      <c r="A553" s="5" t="s">
        <v>1593</v>
      </c>
      <c r="B553" s="5" t="str">
        <f t="shared" si="23"/>
        <v>A041112521</v>
      </c>
      <c r="C553" s="5" t="s">
        <v>1702</v>
      </c>
      <c r="D553" s="6" t="s">
        <v>1248</v>
      </c>
      <c r="E553" s="6">
        <v>19278370</v>
      </c>
      <c r="F553" s="6" t="s">
        <v>816</v>
      </c>
      <c r="G553" s="6" t="s">
        <v>49</v>
      </c>
      <c r="H553" s="6" t="s">
        <v>1216</v>
      </c>
      <c r="I553" s="7">
        <v>45536</v>
      </c>
      <c r="J553" s="1">
        <v>45931</v>
      </c>
      <c r="K553" s="8">
        <v>1</v>
      </c>
      <c r="L553" s="8">
        <v>1</v>
      </c>
      <c r="N553" s="9">
        <v>1</v>
      </c>
      <c r="O553" s="8">
        <v>37.5</v>
      </c>
      <c r="P553" s="6" t="s">
        <v>1207</v>
      </c>
      <c r="Q553" s="6" t="s">
        <v>1653</v>
      </c>
    </row>
    <row r="554" spans="1:17" s="6" customFormat="1" x14ac:dyDescent="0.25">
      <c r="A554" s="5" t="s">
        <v>1594</v>
      </c>
      <c r="B554" s="5" t="str">
        <f t="shared" si="23"/>
        <v>A041117441</v>
      </c>
      <c r="C554" s="5" t="s">
        <v>1703</v>
      </c>
      <c r="D554" s="6" t="s">
        <v>1250</v>
      </c>
      <c r="E554" s="6">
        <v>19278370</v>
      </c>
      <c r="F554" s="6" t="s">
        <v>816</v>
      </c>
      <c r="G554" s="6" t="s">
        <v>49</v>
      </c>
      <c r="H554" s="6" t="s">
        <v>1216</v>
      </c>
      <c r="I554" s="7">
        <v>45536</v>
      </c>
      <c r="J554" s="1">
        <v>45931</v>
      </c>
      <c r="K554" s="8">
        <v>1</v>
      </c>
      <c r="L554" s="8">
        <v>1</v>
      </c>
      <c r="N554" s="9">
        <v>1</v>
      </c>
      <c r="O554" s="8">
        <v>37.5</v>
      </c>
      <c r="P554" s="6" t="s">
        <v>1207</v>
      </c>
      <c r="Q554" s="6" t="s">
        <v>1653</v>
      </c>
    </row>
    <row r="555" spans="1:17" s="6" customFormat="1" x14ac:dyDescent="0.25">
      <c r="A555" s="5" t="s">
        <v>1599</v>
      </c>
      <c r="B555" s="5" t="str">
        <f t="shared" si="23"/>
        <v>A041257351</v>
      </c>
      <c r="C555" s="5" t="s">
        <v>1704</v>
      </c>
      <c r="D555" s="6" t="s">
        <v>1261</v>
      </c>
      <c r="E555" s="6">
        <v>19278370</v>
      </c>
      <c r="F555" s="6" t="s">
        <v>816</v>
      </c>
      <c r="G555" s="6" t="s">
        <v>49</v>
      </c>
      <c r="H555" s="6" t="s">
        <v>1216</v>
      </c>
      <c r="I555" s="7">
        <v>45566</v>
      </c>
      <c r="J555" s="1">
        <v>45931</v>
      </c>
      <c r="K555" s="8">
        <v>1</v>
      </c>
      <c r="L555" s="8">
        <v>1</v>
      </c>
      <c r="N555" s="9">
        <v>1</v>
      </c>
      <c r="O555" s="8">
        <v>37.5</v>
      </c>
      <c r="P555" s="6" t="s">
        <v>1207</v>
      </c>
      <c r="Q555" s="6" t="s">
        <v>1653</v>
      </c>
    </row>
    <row r="556" spans="1:17" s="6" customFormat="1" x14ac:dyDescent="0.25">
      <c r="A556" s="5" t="s">
        <v>1586</v>
      </c>
      <c r="B556" s="5" t="str">
        <f t="shared" si="23"/>
        <v>A040865931</v>
      </c>
      <c r="C556" s="5" t="s">
        <v>1705</v>
      </c>
      <c r="D556" s="6" t="s">
        <v>1228</v>
      </c>
      <c r="E556" s="6">
        <v>19278370</v>
      </c>
      <c r="F556" s="6" t="s">
        <v>816</v>
      </c>
      <c r="G556" s="6" t="s">
        <v>49</v>
      </c>
      <c r="H556" s="6" t="s">
        <v>1229</v>
      </c>
      <c r="I556" s="7">
        <v>45505</v>
      </c>
      <c r="J556" s="1">
        <v>45931</v>
      </c>
      <c r="K556" s="8">
        <v>1</v>
      </c>
      <c r="L556" s="8">
        <v>1</v>
      </c>
      <c r="N556" s="9">
        <v>1</v>
      </c>
      <c r="O556" s="8">
        <v>31.02</v>
      </c>
      <c r="P556" s="6" t="s">
        <v>1207</v>
      </c>
      <c r="Q556" s="6" t="s">
        <v>1647</v>
      </c>
    </row>
    <row r="557" spans="1:17" s="6" customFormat="1" x14ac:dyDescent="0.25">
      <c r="A557" s="5" t="s">
        <v>1630</v>
      </c>
      <c r="B557" s="5" t="str">
        <f t="shared" si="23"/>
        <v>A043201481</v>
      </c>
      <c r="C557" s="5" t="s">
        <v>1664</v>
      </c>
      <c r="D557" s="6" t="s">
        <v>1289</v>
      </c>
      <c r="E557" s="6">
        <v>20724564</v>
      </c>
      <c r="F557" s="6" t="s">
        <v>1291</v>
      </c>
      <c r="G557" s="6" t="s">
        <v>49</v>
      </c>
      <c r="H557" s="6" t="s">
        <v>1367</v>
      </c>
      <c r="I557" s="7">
        <v>45992</v>
      </c>
      <c r="J557" s="7">
        <v>46296</v>
      </c>
      <c r="K557" s="8">
        <v>0</v>
      </c>
      <c r="L557" s="8">
        <v>31.02</v>
      </c>
      <c r="M557" s="6">
        <v>9</v>
      </c>
      <c r="N557" s="9">
        <v>1</v>
      </c>
      <c r="O557" s="8">
        <v>279.18</v>
      </c>
      <c r="Q557" s="6" t="s">
        <v>1647</v>
      </c>
    </row>
    <row r="558" spans="1:17" s="6" customFormat="1" x14ac:dyDescent="0.25">
      <c r="A558" s="5" t="s">
        <v>1631</v>
      </c>
      <c r="B558" s="5" t="str">
        <f t="shared" si="23"/>
        <v>A043262341</v>
      </c>
      <c r="C558" s="5" t="s">
        <v>1665</v>
      </c>
      <c r="D558" s="6" t="s">
        <v>1369</v>
      </c>
      <c r="E558" s="6">
        <v>20724564</v>
      </c>
      <c r="F558" s="6" t="s">
        <v>1291</v>
      </c>
      <c r="G558" s="6" t="s">
        <v>49</v>
      </c>
      <c r="H558" s="6" t="s">
        <v>1367</v>
      </c>
      <c r="I558" s="7">
        <v>45992</v>
      </c>
      <c r="J558" s="7">
        <v>46296</v>
      </c>
      <c r="K558" s="8">
        <v>0</v>
      </c>
      <c r="L558" s="8">
        <v>31.02</v>
      </c>
      <c r="M558" s="6">
        <v>9</v>
      </c>
      <c r="N558" s="9">
        <v>1</v>
      </c>
      <c r="O558" s="8">
        <v>279.18</v>
      </c>
      <c r="Q558" s="6" t="s">
        <v>1647</v>
      </c>
    </row>
    <row r="559" spans="1:17" s="6" customFormat="1" x14ac:dyDescent="0.25">
      <c r="A559" s="5" t="s">
        <v>1632</v>
      </c>
      <c r="B559" s="5" t="str">
        <f t="shared" si="23"/>
        <v>A043273521</v>
      </c>
      <c r="C559" s="5" t="s">
        <v>1666</v>
      </c>
      <c r="D559" s="6" t="s">
        <v>1371</v>
      </c>
      <c r="E559" s="6">
        <v>20724564</v>
      </c>
      <c r="F559" s="6" t="s">
        <v>1291</v>
      </c>
      <c r="G559" s="6" t="s">
        <v>49</v>
      </c>
      <c r="H559" s="6" t="s">
        <v>1367</v>
      </c>
      <c r="I559" s="7">
        <v>45901</v>
      </c>
      <c r="J559" s="7">
        <v>46204</v>
      </c>
      <c r="K559" s="8">
        <v>0</v>
      </c>
      <c r="L559" s="8">
        <v>31.02</v>
      </c>
      <c r="M559" s="6">
        <v>9</v>
      </c>
      <c r="N559" s="9">
        <v>1</v>
      </c>
      <c r="O559" s="8">
        <v>279.18</v>
      </c>
      <c r="Q559" s="6" t="s">
        <v>1647</v>
      </c>
    </row>
    <row r="560" spans="1:17" s="6" customFormat="1" x14ac:dyDescent="0.25">
      <c r="A560" s="5" t="s">
        <v>1633</v>
      </c>
      <c r="B560" s="5" t="str">
        <f t="shared" si="23"/>
        <v>A043274781</v>
      </c>
      <c r="C560" s="5" t="s">
        <v>1667</v>
      </c>
      <c r="D560" s="6" t="s">
        <v>1373</v>
      </c>
      <c r="E560" s="6">
        <v>20724564</v>
      </c>
      <c r="F560" s="6" t="s">
        <v>1291</v>
      </c>
      <c r="G560" s="6" t="s">
        <v>49</v>
      </c>
      <c r="H560" s="6" t="s">
        <v>1367</v>
      </c>
      <c r="I560" s="7">
        <v>45901</v>
      </c>
      <c r="J560" s="7">
        <v>46204</v>
      </c>
      <c r="K560" s="8">
        <v>0</v>
      </c>
      <c r="L560" s="8">
        <v>31.02</v>
      </c>
      <c r="M560" s="6">
        <v>9</v>
      </c>
      <c r="N560" s="9">
        <v>1</v>
      </c>
      <c r="O560" s="8">
        <v>279.18</v>
      </c>
      <c r="Q560" s="6" t="s">
        <v>1647</v>
      </c>
    </row>
    <row r="561" spans="1:40" s="6" customFormat="1" x14ac:dyDescent="0.25">
      <c r="A561" s="5" t="s">
        <v>1634</v>
      </c>
      <c r="B561" s="5" t="str">
        <f t="shared" si="23"/>
        <v>A043293031</v>
      </c>
      <c r="C561" s="5" t="s">
        <v>1668</v>
      </c>
      <c r="D561" s="6" t="s">
        <v>1294</v>
      </c>
      <c r="E561" s="6">
        <v>20724564</v>
      </c>
      <c r="F561" s="6" t="s">
        <v>1291</v>
      </c>
      <c r="G561" s="6" t="s">
        <v>49</v>
      </c>
      <c r="H561" s="6" t="s">
        <v>1367</v>
      </c>
      <c r="I561" s="7">
        <v>45992</v>
      </c>
      <c r="J561" s="7">
        <v>46296</v>
      </c>
      <c r="K561" s="8">
        <v>0</v>
      </c>
      <c r="L561" s="8">
        <v>31.02</v>
      </c>
      <c r="M561" s="6">
        <v>9</v>
      </c>
      <c r="N561" s="9">
        <v>1</v>
      </c>
      <c r="O561" s="8">
        <v>279.18</v>
      </c>
      <c r="Q561" s="6" t="s">
        <v>1647</v>
      </c>
    </row>
    <row r="562" spans="1:40" s="6" customFormat="1" x14ac:dyDescent="0.25">
      <c r="A562" s="5" t="s">
        <v>1636</v>
      </c>
      <c r="B562" s="5" t="str">
        <f t="shared" si="23"/>
        <v>A043305291</v>
      </c>
      <c r="C562" s="5" t="s">
        <v>1669</v>
      </c>
      <c r="D562" s="6" t="s">
        <v>1379</v>
      </c>
      <c r="E562" s="6">
        <v>20724564</v>
      </c>
      <c r="F562" s="6" t="s">
        <v>1291</v>
      </c>
      <c r="G562" s="6" t="s">
        <v>49</v>
      </c>
      <c r="H562" s="6" t="s">
        <v>1367</v>
      </c>
      <c r="I562" s="7">
        <v>45992</v>
      </c>
      <c r="J562" s="7">
        <v>46296</v>
      </c>
      <c r="K562" s="8">
        <v>0</v>
      </c>
      <c r="L562" s="8">
        <v>31.02</v>
      </c>
      <c r="M562" s="6">
        <v>9</v>
      </c>
      <c r="N562" s="9">
        <v>1</v>
      </c>
      <c r="O562" s="8">
        <v>279.18</v>
      </c>
      <c r="Q562" s="6" t="s">
        <v>1647</v>
      </c>
    </row>
    <row r="563" spans="1:40" s="6" customFormat="1" x14ac:dyDescent="0.25">
      <c r="A563" s="5" t="s">
        <v>1595</v>
      </c>
      <c r="B563" s="5" t="str">
        <f t="shared" si="23"/>
        <v>A041122781</v>
      </c>
      <c r="C563" s="5" t="s">
        <v>1706</v>
      </c>
      <c r="D563" s="6" t="s">
        <v>1252</v>
      </c>
      <c r="E563" s="6">
        <v>19278370</v>
      </c>
      <c r="F563" s="6" t="s">
        <v>816</v>
      </c>
      <c r="G563" s="6" t="s">
        <v>49</v>
      </c>
      <c r="H563" s="6" t="s">
        <v>1235</v>
      </c>
      <c r="I563" s="7">
        <v>45536</v>
      </c>
      <c r="J563" s="1">
        <v>45931</v>
      </c>
      <c r="K563" s="8">
        <v>1</v>
      </c>
      <c r="L563" s="8">
        <v>1</v>
      </c>
      <c r="N563" s="9">
        <v>1</v>
      </c>
      <c r="O563" s="8">
        <v>36.479999999999997</v>
      </c>
      <c r="P563" s="6" t="s">
        <v>1207</v>
      </c>
      <c r="Q563" s="6" t="s">
        <v>1662</v>
      </c>
    </row>
    <row r="564" spans="1:40" s="6" customFormat="1" x14ac:dyDescent="0.25">
      <c r="A564" s="5" t="s">
        <v>1588</v>
      </c>
      <c r="B564" s="5" t="str">
        <f t="shared" ref="B564:B587" si="24">CONCATENATE(A564,1)</f>
        <v>A040923891</v>
      </c>
      <c r="C564" s="5" t="s">
        <v>1674</v>
      </c>
      <c r="D564" s="6" t="s">
        <v>1234</v>
      </c>
      <c r="E564" s="6">
        <v>16509456</v>
      </c>
      <c r="F564" s="6" t="s">
        <v>874</v>
      </c>
      <c r="G564" s="6" t="s">
        <v>49</v>
      </c>
      <c r="H564" s="6" t="s">
        <v>1235</v>
      </c>
      <c r="I564" s="7">
        <v>45536</v>
      </c>
      <c r="J564" s="1">
        <v>45931</v>
      </c>
      <c r="K564" s="8">
        <v>1</v>
      </c>
      <c r="L564" s="8">
        <v>1</v>
      </c>
      <c r="N564" s="9">
        <v>1</v>
      </c>
      <c r="O564" s="8">
        <v>36.479999999999997</v>
      </c>
      <c r="P564" s="6" t="s">
        <v>1207</v>
      </c>
      <c r="Q564" s="6" t="s">
        <v>1662</v>
      </c>
    </row>
    <row r="565" spans="1:40" s="6" customFormat="1" x14ac:dyDescent="0.25">
      <c r="A565" s="5" t="s">
        <v>1583</v>
      </c>
      <c r="B565" s="5" t="str">
        <f t="shared" si="24"/>
        <v>A040787281</v>
      </c>
      <c r="C565" s="5" t="s">
        <v>1723</v>
      </c>
      <c r="D565" s="6" t="s">
        <v>1218</v>
      </c>
      <c r="E565" s="6">
        <v>17528908</v>
      </c>
      <c r="F565" s="6" t="s">
        <v>408</v>
      </c>
      <c r="G565" s="6" t="s">
        <v>49</v>
      </c>
      <c r="H565" s="6" t="s">
        <v>1219</v>
      </c>
      <c r="I565" s="7">
        <v>45474</v>
      </c>
      <c r="J565" s="1">
        <v>45931</v>
      </c>
      <c r="K565" s="8">
        <v>1</v>
      </c>
      <c r="L565" s="8">
        <v>1</v>
      </c>
      <c r="N565" s="9">
        <v>1</v>
      </c>
      <c r="O565" s="8">
        <v>1.3</v>
      </c>
      <c r="P565" s="6" t="s">
        <v>1207</v>
      </c>
      <c r="Q565" s="6" t="s">
        <v>1654</v>
      </c>
    </row>
    <row r="566" spans="1:40" s="6" customFormat="1" x14ac:dyDescent="0.25">
      <c r="A566" s="5" t="s">
        <v>1596</v>
      </c>
      <c r="B566" s="5" t="str">
        <f t="shared" si="24"/>
        <v>A041136271</v>
      </c>
      <c r="C566" s="5" t="s">
        <v>1671</v>
      </c>
      <c r="D566" s="6" t="s">
        <v>1254</v>
      </c>
      <c r="E566" s="6">
        <v>18710070</v>
      </c>
      <c r="F566" s="6" t="s">
        <v>812</v>
      </c>
      <c r="G566" s="6" t="s">
        <v>49</v>
      </c>
      <c r="H566" s="6" t="s">
        <v>1255</v>
      </c>
      <c r="I566" s="7">
        <v>45566</v>
      </c>
      <c r="J566" s="1">
        <v>45931</v>
      </c>
      <c r="K566" s="8">
        <v>1</v>
      </c>
      <c r="L566" s="8">
        <v>1</v>
      </c>
      <c r="N566" s="9">
        <v>1</v>
      </c>
      <c r="O566" s="8">
        <v>25.98</v>
      </c>
      <c r="P566" s="6" t="s">
        <v>1207</v>
      </c>
      <c r="Q566" s="6" t="s">
        <v>1654</v>
      </c>
    </row>
    <row r="567" spans="1:40" s="6" customFormat="1" x14ac:dyDescent="0.25">
      <c r="A567" s="5" t="s">
        <v>1579</v>
      </c>
      <c r="B567" s="5" t="str">
        <f t="shared" si="24"/>
        <v>A037226851</v>
      </c>
      <c r="C567" s="5" t="s">
        <v>1707</v>
      </c>
      <c r="D567" s="6" t="s">
        <v>1205</v>
      </c>
      <c r="E567" s="6">
        <v>19278370</v>
      </c>
      <c r="F567" s="6" t="s">
        <v>816</v>
      </c>
      <c r="G567" s="6" t="s">
        <v>49</v>
      </c>
      <c r="H567" s="6" t="s">
        <v>1206</v>
      </c>
      <c r="I567" s="7">
        <v>45689</v>
      </c>
      <c r="J567" s="1">
        <v>45931</v>
      </c>
      <c r="K567" s="8">
        <v>1</v>
      </c>
      <c r="L567" s="8">
        <v>1</v>
      </c>
      <c r="N567" s="9">
        <v>1</v>
      </c>
      <c r="O567" s="8">
        <v>24.73</v>
      </c>
      <c r="P567" s="6" t="s">
        <v>1207</v>
      </c>
      <c r="Q567" s="6" t="s">
        <v>1655</v>
      </c>
    </row>
    <row r="568" spans="1:40" s="6" customFormat="1" x14ac:dyDescent="0.25">
      <c r="A568" s="5" t="s">
        <v>1584</v>
      </c>
      <c r="B568" s="5" t="str">
        <f t="shared" si="24"/>
        <v>A040814131</v>
      </c>
      <c r="C568" s="5" t="s">
        <v>1712</v>
      </c>
      <c r="D568" s="6" t="s">
        <v>1221</v>
      </c>
      <c r="E568" s="6">
        <v>17425766</v>
      </c>
      <c r="F568" s="6" t="s">
        <v>107</v>
      </c>
      <c r="G568" s="6" t="s">
        <v>49</v>
      </c>
      <c r="H568" s="6" t="s">
        <v>1223</v>
      </c>
      <c r="I568" s="7">
        <v>45505</v>
      </c>
      <c r="J568" s="1">
        <v>45931</v>
      </c>
      <c r="K568" s="8">
        <v>1</v>
      </c>
      <c r="L568" s="8">
        <v>1</v>
      </c>
      <c r="N568" s="9">
        <v>1</v>
      </c>
      <c r="O568" s="8">
        <v>25.02</v>
      </c>
      <c r="P568" s="6" t="s">
        <v>1207</v>
      </c>
      <c r="Q568" s="6" t="s">
        <v>1652</v>
      </c>
    </row>
    <row r="569" spans="1:40" s="6" customFormat="1" x14ac:dyDescent="0.25">
      <c r="A569" s="5" t="s">
        <v>1581</v>
      </c>
      <c r="B569" s="5" t="str">
        <f t="shared" si="24"/>
        <v>A037778171</v>
      </c>
      <c r="C569" s="5" t="s">
        <v>1713</v>
      </c>
      <c r="D569" s="6" t="s">
        <v>1212</v>
      </c>
      <c r="E569" s="6">
        <v>17425766</v>
      </c>
      <c r="F569" s="6" t="s">
        <v>107</v>
      </c>
      <c r="G569" s="6" t="s">
        <v>58</v>
      </c>
      <c r="H569" s="6" t="s">
        <v>1213</v>
      </c>
      <c r="I569" s="7">
        <v>45597</v>
      </c>
      <c r="J569" s="1">
        <v>45931</v>
      </c>
      <c r="K569" s="8">
        <v>1</v>
      </c>
      <c r="L569" s="8">
        <v>1</v>
      </c>
      <c r="N569" s="9">
        <v>1</v>
      </c>
      <c r="O569" s="8">
        <v>22.52</v>
      </c>
      <c r="P569" s="6" t="s">
        <v>1207</v>
      </c>
      <c r="Q569" s="6" t="s">
        <v>1652</v>
      </c>
    </row>
    <row r="570" spans="1:40" x14ac:dyDescent="0.25">
      <c r="A570" s="5">
        <v>992296804</v>
      </c>
      <c r="B570" s="5" t="str">
        <f t="shared" si="24"/>
        <v>9922968041</v>
      </c>
      <c r="C570" s="5" t="s">
        <v>1737</v>
      </c>
      <c r="D570" s="6" t="s">
        <v>1402</v>
      </c>
      <c r="E570" s="6">
        <v>17301495</v>
      </c>
      <c r="F570" s="6" t="s">
        <v>57</v>
      </c>
      <c r="G570" s="6" t="s">
        <v>1391</v>
      </c>
      <c r="H570" s="6" t="s">
        <v>1404</v>
      </c>
      <c r="I570" s="7">
        <v>45748</v>
      </c>
      <c r="J570" s="1">
        <v>45931</v>
      </c>
      <c r="K570" s="6"/>
      <c r="L570" s="6"/>
      <c r="M570" s="6"/>
      <c r="N570" s="6"/>
      <c r="O570" s="6">
        <v>-156.5</v>
      </c>
      <c r="P570" s="6"/>
      <c r="Q570" s="6" t="s">
        <v>1658</v>
      </c>
      <c r="R570" s="6" t="s">
        <v>1736</v>
      </c>
      <c r="S570" s="6"/>
      <c r="T570" s="6"/>
      <c r="U570" s="6">
        <f>313/12*6</f>
        <v>156.5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 spans="1:40" x14ac:dyDescent="0.25">
      <c r="A571" s="5">
        <v>902277837</v>
      </c>
      <c r="B571" s="5" t="str">
        <f t="shared" si="24"/>
        <v>9022778371</v>
      </c>
      <c r="C571" s="11">
        <v>9022778371</v>
      </c>
      <c r="D571" s="6" t="s">
        <v>1355</v>
      </c>
      <c r="E571" s="6">
        <v>2158366</v>
      </c>
      <c r="F571" s="6" t="s">
        <v>368</v>
      </c>
      <c r="G571" s="6" t="s">
        <v>49</v>
      </c>
      <c r="H571" s="6" t="s">
        <v>1356</v>
      </c>
      <c r="I571" s="7">
        <v>45931</v>
      </c>
      <c r="J571" s="1">
        <v>45931</v>
      </c>
      <c r="K571" s="8">
        <v>0</v>
      </c>
      <c r="L571" s="8">
        <v>78.25</v>
      </c>
      <c r="M571" s="6">
        <v>1</v>
      </c>
      <c r="N571" s="9">
        <v>1</v>
      </c>
      <c r="O571" s="8">
        <v>78.25</v>
      </c>
      <c r="P571" s="6" t="s">
        <v>1337</v>
      </c>
      <c r="Q571" s="6" t="s">
        <v>1658</v>
      </c>
      <c r="R571" s="6" t="s">
        <v>1739</v>
      </c>
      <c r="S571" s="6"/>
      <c r="T571" s="6"/>
      <c r="U571" s="6">
        <f>313/12*3</f>
        <v>78.25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 spans="1:40" x14ac:dyDescent="0.25">
      <c r="A572" s="5">
        <v>938197847</v>
      </c>
      <c r="B572" s="5" t="str">
        <f t="shared" si="24"/>
        <v>9381978471</v>
      </c>
      <c r="C572" s="11">
        <v>9381978471</v>
      </c>
      <c r="D572" s="6" t="s">
        <v>1360</v>
      </c>
      <c r="E572" s="6">
        <v>2158366</v>
      </c>
      <c r="F572" s="6" t="s">
        <v>368</v>
      </c>
      <c r="G572" s="6" t="s">
        <v>49</v>
      </c>
      <c r="H572" s="6" t="s">
        <v>1356</v>
      </c>
      <c r="I572" s="7">
        <v>45931</v>
      </c>
      <c r="J572" s="1">
        <v>45931</v>
      </c>
      <c r="K572" s="8">
        <v>0</v>
      </c>
      <c r="L572" s="8">
        <v>78.25</v>
      </c>
      <c r="M572" s="6">
        <v>1</v>
      </c>
      <c r="N572" s="9">
        <v>1</v>
      </c>
      <c r="O572" s="8">
        <v>78.25</v>
      </c>
      <c r="P572" s="6" t="s">
        <v>1337</v>
      </c>
      <c r="Q572" s="6" t="s">
        <v>1658</v>
      </c>
      <c r="R572" s="6" t="s">
        <v>1739</v>
      </c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 spans="1:40" x14ac:dyDescent="0.25">
      <c r="A573" s="5">
        <v>960245270</v>
      </c>
      <c r="B573" s="5" t="str">
        <f t="shared" si="24"/>
        <v>9602452701</v>
      </c>
      <c r="C573" s="5" t="s">
        <v>1678</v>
      </c>
      <c r="D573" s="6" t="s">
        <v>1364</v>
      </c>
      <c r="E573" s="6">
        <v>19645587</v>
      </c>
      <c r="F573" s="6" t="s">
        <v>221</v>
      </c>
      <c r="G573" s="6" t="s">
        <v>49</v>
      </c>
      <c r="H573" s="6" t="s">
        <v>1356</v>
      </c>
      <c r="I573" s="7">
        <v>45717</v>
      </c>
      <c r="J573" s="1">
        <v>45931</v>
      </c>
      <c r="K573" s="8">
        <v>0</v>
      </c>
      <c r="L573" s="8">
        <v>260.83</v>
      </c>
      <c r="M573" s="6">
        <v>1</v>
      </c>
      <c r="N573" s="9">
        <v>1</v>
      </c>
      <c r="O573" s="8">
        <v>260.83</v>
      </c>
      <c r="P573" s="6" t="s">
        <v>1365</v>
      </c>
      <c r="Q573" s="6" t="s">
        <v>1658</v>
      </c>
      <c r="R573" s="6" t="s">
        <v>1740</v>
      </c>
      <c r="S573" s="6"/>
      <c r="T573" s="6"/>
      <c r="U573" s="6">
        <f>313/12*10</f>
        <v>260.83333333333331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 spans="1:40" x14ac:dyDescent="0.25">
      <c r="A574" s="5">
        <v>909023469</v>
      </c>
      <c r="B574" s="5" t="str">
        <f t="shared" si="24"/>
        <v>9090234691</v>
      </c>
      <c r="C574" s="11">
        <v>9090234691</v>
      </c>
      <c r="D574" s="6" t="s">
        <v>1171</v>
      </c>
      <c r="E574" s="6">
        <v>19278370</v>
      </c>
      <c r="F574" s="6" t="s">
        <v>816</v>
      </c>
      <c r="G574" s="6" t="s">
        <v>58</v>
      </c>
      <c r="H574" s="6" t="s">
        <v>1172</v>
      </c>
      <c r="I574" s="7">
        <v>45627</v>
      </c>
      <c r="J574" s="1">
        <v>45931</v>
      </c>
      <c r="K574" s="8">
        <v>1</v>
      </c>
      <c r="L574" s="8">
        <v>1</v>
      </c>
      <c r="M574" s="6"/>
      <c r="N574" s="9">
        <v>1</v>
      </c>
      <c r="O574" s="8">
        <v>28.75</v>
      </c>
      <c r="P574" s="6" t="s">
        <v>1137</v>
      </c>
      <c r="Q574" s="6" t="s">
        <v>1659</v>
      </c>
      <c r="R574" s="6" t="s">
        <v>1741</v>
      </c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 spans="1:40" x14ac:dyDescent="0.25">
      <c r="A575" s="5">
        <v>909023469</v>
      </c>
      <c r="B575" s="5" t="str">
        <f t="shared" si="24"/>
        <v>9090234691</v>
      </c>
      <c r="C575" s="11">
        <v>9090234691</v>
      </c>
      <c r="D575" s="6" t="s">
        <v>1171</v>
      </c>
      <c r="E575" s="6">
        <v>19278370</v>
      </c>
      <c r="F575" s="6" t="s">
        <v>816</v>
      </c>
      <c r="G575" s="6" t="s">
        <v>58</v>
      </c>
      <c r="H575" s="6" t="s">
        <v>1172</v>
      </c>
      <c r="I575" s="7">
        <v>45627</v>
      </c>
      <c r="J575" s="1">
        <v>45931</v>
      </c>
      <c r="K575" s="8">
        <v>1</v>
      </c>
      <c r="L575" s="8">
        <v>1</v>
      </c>
      <c r="M575" s="6"/>
      <c r="N575" s="9">
        <v>1</v>
      </c>
      <c r="O575" s="8">
        <v>28.75</v>
      </c>
      <c r="P575" s="6" t="s">
        <v>1137</v>
      </c>
      <c r="Q575" s="6" t="s">
        <v>1659</v>
      </c>
      <c r="R575" s="6" t="s">
        <v>1741</v>
      </c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 spans="1:40" x14ac:dyDescent="0.25">
      <c r="A576" s="5">
        <v>130273314</v>
      </c>
      <c r="B576" s="5" t="str">
        <f t="shared" si="24"/>
        <v>1302733141</v>
      </c>
      <c r="C576" s="11">
        <v>1302733141</v>
      </c>
      <c r="D576" s="6" t="s">
        <v>1133</v>
      </c>
      <c r="E576" s="6">
        <v>17195620</v>
      </c>
      <c r="F576" s="6" t="s">
        <v>1135</v>
      </c>
      <c r="G576" s="6" t="s">
        <v>49</v>
      </c>
      <c r="H576" s="6" t="s">
        <v>1136</v>
      </c>
      <c r="I576" s="7">
        <v>45474</v>
      </c>
      <c r="J576" s="1">
        <v>45931</v>
      </c>
      <c r="K576" s="8">
        <v>1</v>
      </c>
      <c r="L576" s="8">
        <v>1</v>
      </c>
      <c r="M576" s="6"/>
      <c r="N576" s="9">
        <v>1</v>
      </c>
      <c r="O576" s="8">
        <v>25.5</v>
      </c>
      <c r="P576" s="6" t="s">
        <v>1137</v>
      </c>
      <c r="Q576" s="6" t="s">
        <v>1657</v>
      </c>
      <c r="R576" s="6" t="s">
        <v>1738</v>
      </c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 spans="1:40" x14ac:dyDescent="0.25">
      <c r="A577" s="5">
        <v>130524428</v>
      </c>
      <c r="B577" s="5" t="str">
        <f t="shared" si="24"/>
        <v>1305244281</v>
      </c>
      <c r="C577" s="11">
        <v>1305244281</v>
      </c>
      <c r="D577" s="6" t="s">
        <v>1141</v>
      </c>
      <c r="E577" s="6">
        <v>17195620</v>
      </c>
      <c r="F577" s="6" t="s">
        <v>1135</v>
      </c>
      <c r="G577" s="6" t="s">
        <v>49</v>
      </c>
      <c r="H577" s="6" t="s">
        <v>1142</v>
      </c>
      <c r="I577" s="7">
        <v>45505</v>
      </c>
      <c r="J577" s="1">
        <v>45931</v>
      </c>
      <c r="K577" s="8">
        <v>1</v>
      </c>
      <c r="L577" s="8">
        <v>1</v>
      </c>
      <c r="M577" s="6"/>
      <c r="N577" s="9">
        <v>1</v>
      </c>
      <c r="O577" s="8">
        <v>25.5</v>
      </c>
      <c r="P577" s="6" t="s">
        <v>1137</v>
      </c>
      <c r="Q577" s="6" t="s">
        <v>1657</v>
      </c>
      <c r="R577" s="6" t="s">
        <v>1738</v>
      </c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 spans="1:40" x14ac:dyDescent="0.25">
      <c r="A578" s="5">
        <v>993708991</v>
      </c>
      <c r="B578" s="5" t="str">
        <f t="shared" si="24"/>
        <v>9937089911</v>
      </c>
      <c r="C578" s="11">
        <v>9937089911</v>
      </c>
      <c r="D578" s="6" t="s">
        <v>1202</v>
      </c>
      <c r="E578" s="6">
        <v>19681796</v>
      </c>
      <c r="F578" s="6" t="s">
        <v>88</v>
      </c>
      <c r="G578" s="6" t="s">
        <v>49</v>
      </c>
      <c r="H578" s="6" t="s">
        <v>1142</v>
      </c>
      <c r="I578" s="7">
        <v>45566</v>
      </c>
      <c r="J578" s="1">
        <v>45931</v>
      </c>
      <c r="K578" s="8">
        <v>1</v>
      </c>
      <c r="L578" s="8">
        <v>1</v>
      </c>
      <c r="M578" s="6"/>
      <c r="N578" s="9">
        <v>1</v>
      </c>
      <c r="O578" s="8">
        <v>25.5</v>
      </c>
      <c r="P578" s="6" t="s">
        <v>1137</v>
      </c>
      <c r="Q578" s="6" t="s">
        <v>1657</v>
      </c>
      <c r="R578" s="6" t="s">
        <v>1738</v>
      </c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 spans="1:40" x14ac:dyDescent="0.25">
      <c r="A579" s="5">
        <v>967561705</v>
      </c>
      <c r="B579" s="5" t="str">
        <f t="shared" si="24"/>
        <v>9675617051</v>
      </c>
      <c r="C579" s="11">
        <v>9675617051</v>
      </c>
      <c r="D579" s="6" t="s">
        <v>1179</v>
      </c>
      <c r="E579" s="6">
        <v>8325282</v>
      </c>
      <c r="F579" s="6" t="s">
        <v>299</v>
      </c>
      <c r="G579" s="6" t="s">
        <v>49</v>
      </c>
      <c r="H579" s="6" t="s">
        <v>1136</v>
      </c>
      <c r="I579" s="7">
        <v>45597</v>
      </c>
      <c r="J579" s="1">
        <v>45931</v>
      </c>
      <c r="K579" s="8">
        <v>1</v>
      </c>
      <c r="L579" s="8">
        <v>1</v>
      </c>
      <c r="M579" s="6"/>
      <c r="N579" s="9">
        <v>1</v>
      </c>
      <c r="O579" s="8">
        <v>25.5</v>
      </c>
      <c r="P579" s="6" t="s">
        <v>1137</v>
      </c>
      <c r="Q579" s="6" t="s">
        <v>1657</v>
      </c>
      <c r="R579" s="6" t="s">
        <v>1738</v>
      </c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 spans="1:40" x14ac:dyDescent="0.25">
      <c r="A580" s="5">
        <v>906051412</v>
      </c>
      <c r="B580" s="5" t="str">
        <f t="shared" si="24"/>
        <v>9060514121</v>
      </c>
      <c r="C580" s="11">
        <v>9060514121</v>
      </c>
      <c r="D580" s="6" t="s">
        <v>1168</v>
      </c>
      <c r="E580" s="6">
        <v>9213293</v>
      </c>
      <c r="F580" s="6" t="s">
        <v>75</v>
      </c>
      <c r="G580" s="6" t="s">
        <v>49</v>
      </c>
      <c r="H580" s="6" t="s">
        <v>1136</v>
      </c>
      <c r="I580" s="7">
        <v>45566</v>
      </c>
      <c r="J580" s="1">
        <v>45931</v>
      </c>
      <c r="K580" s="8">
        <v>1</v>
      </c>
      <c r="L580" s="8">
        <v>1</v>
      </c>
      <c r="M580" s="6"/>
      <c r="N580" s="9">
        <v>1</v>
      </c>
      <c r="O580" s="8">
        <v>25.5</v>
      </c>
      <c r="P580" s="6" t="s">
        <v>1137</v>
      </c>
      <c r="Q580" s="6" t="s">
        <v>1657</v>
      </c>
      <c r="R580" s="6" t="s">
        <v>1738</v>
      </c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 spans="1:40" x14ac:dyDescent="0.25">
      <c r="A581" s="5">
        <v>992426853</v>
      </c>
      <c r="B581" s="5" t="str">
        <f t="shared" si="24"/>
        <v>9924268531</v>
      </c>
      <c r="C581" s="11">
        <v>9924268531</v>
      </c>
      <c r="D581" s="6" t="s">
        <v>1198</v>
      </c>
      <c r="E581" s="6">
        <v>9213293</v>
      </c>
      <c r="F581" s="6" t="s">
        <v>75</v>
      </c>
      <c r="G581" s="6" t="s">
        <v>49</v>
      </c>
      <c r="H581" s="6" t="s">
        <v>1199</v>
      </c>
      <c r="I581" s="7">
        <v>45566</v>
      </c>
      <c r="J581" s="1">
        <v>45931</v>
      </c>
      <c r="K581" s="8">
        <v>1</v>
      </c>
      <c r="L581" s="8">
        <v>1</v>
      </c>
      <c r="M581" s="6"/>
      <c r="N581" s="9">
        <v>1</v>
      </c>
      <c r="O581" s="8">
        <v>25.5</v>
      </c>
      <c r="P581" s="6" t="s">
        <v>1137</v>
      </c>
      <c r="Q581" s="6" t="s">
        <v>1657</v>
      </c>
      <c r="R581" s="6" t="s">
        <v>1738</v>
      </c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 spans="1:40" x14ac:dyDescent="0.25">
      <c r="A582" s="5">
        <v>970181792</v>
      </c>
      <c r="B582" s="5" t="str">
        <f t="shared" si="24"/>
        <v>9701817921</v>
      </c>
      <c r="C582" s="11">
        <v>9701817921</v>
      </c>
      <c r="D582" s="6" t="s">
        <v>1184</v>
      </c>
      <c r="E582" s="6">
        <v>8307933</v>
      </c>
      <c r="F582" s="6" t="s">
        <v>101</v>
      </c>
      <c r="G582" s="6" t="s">
        <v>58</v>
      </c>
      <c r="H582" s="6" t="s">
        <v>1136</v>
      </c>
      <c r="I582" s="7">
        <v>45597</v>
      </c>
      <c r="J582" s="1">
        <v>45931</v>
      </c>
      <c r="K582" s="8">
        <v>1</v>
      </c>
      <c r="L582" s="8">
        <v>1</v>
      </c>
      <c r="M582" s="6"/>
      <c r="N582" s="9">
        <v>1</v>
      </c>
      <c r="O582" s="8">
        <v>25.5</v>
      </c>
      <c r="P582" s="6" t="s">
        <v>1137</v>
      </c>
      <c r="Q582" s="6" t="s">
        <v>1657</v>
      </c>
      <c r="R582" s="6" t="s">
        <v>1738</v>
      </c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 spans="1:40" x14ac:dyDescent="0.25">
      <c r="A583" s="5">
        <v>992088421</v>
      </c>
      <c r="B583" s="5" t="str">
        <f t="shared" si="24"/>
        <v>9920884211</v>
      </c>
      <c r="C583" s="11">
        <v>9920884211</v>
      </c>
      <c r="D583" s="6" t="s">
        <v>1192</v>
      </c>
      <c r="E583" s="6">
        <v>8307933</v>
      </c>
      <c r="F583" s="6" t="s">
        <v>101</v>
      </c>
      <c r="G583" s="6" t="s">
        <v>49</v>
      </c>
      <c r="H583" s="6" t="s">
        <v>1136</v>
      </c>
      <c r="I583" s="7">
        <v>45597</v>
      </c>
      <c r="J583" s="1">
        <v>45931</v>
      </c>
      <c r="K583" s="8">
        <v>1</v>
      </c>
      <c r="L583" s="8">
        <v>1</v>
      </c>
      <c r="M583" s="6"/>
      <c r="N583" s="9">
        <v>1</v>
      </c>
      <c r="O583" s="8">
        <v>25.5</v>
      </c>
      <c r="P583" s="6" t="s">
        <v>1137</v>
      </c>
      <c r="Q583" s="6" t="s">
        <v>1657</v>
      </c>
      <c r="R583" s="6" t="s">
        <v>1738</v>
      </c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 spans="1:40" x14ac:dyDescent="0.25">
      <c r="A584" s="5">
        <v>991398727</v>
      </c>
      <c r="B584" s="5" t="str">
        <f t="shared" si="24"/>
        <v>9913987271</v>
      </c>
      <c r="C584" s="11">
        <v>9913987271</v>
      </c>
      <c r="D584" s="6" t="s">
        <v>1190</v>
      </c>
      <c r="E584" s="6">
        <v>16865615</v>
      </c>
      <c r="F584" s="6" t="s">
        <v>264</v>
      </c>
      <c r="G584" s="6" t="s">
        <v>49</v>
      </c>
      <c r="H584" s="6" t="s">
        <v>1136</v>
      </c>
      <c r="I584" s="7">
        <v>45474</v>
      </c>
      <c r="J584" s="1">
        <v>45931</v>
      </c>
      <c r="K584" s="8">
        <v>1</v>
      </c>
      <c r="L584" s="8">
        <v>1</v>
      </c>
      <c r="M584" s="6"/>
      <c r="N584" s="9">
        <v>1</v>
      </c>
      <c r="O584" s="8">
        <v>25.5</v>
      </c>
      <c r="P584" s="6" t="s">
        <v>1137</v>
      </c>
      <c r="Q584" s="6" t="s">
        <v>1657</v>
      </c>
      <c r="R584" s="6" t="s">
        <v>1738</v>
      </c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 spans="1:40" x14ac:dyDescent="0.25">
      <c r="A585" s="5">
        <v>981141937</v>
      </c>
      <c r="B585" s="5" t="str">
        <f t="shared" si="24"/>
        <v>9811419371</v>
      </c>
      <c r="C585" s="11">
        <v>9811419371</v>
      </c>
      <c r="D585" s="6" t="s">
        <v>1187</v>
      </c>
      <c r="E585" s="6">
        <v>16865615</v>
      </c>
      <c r="F585" s="6" t="s">
        <v>264</v>
      </c>
      <c r="G585" s="6" t="s">
        <v>49</v>
      </c>
      <c r="H585" s="6" t="s">
        <v>1142</v>
      </c>
      <c r="I585" s="7">
        <v>45597</v>
      </c>
      <c r="J585" s="1">
        <v>45931</v>
      </c>
      <c r="K585" s="8">
        <v>1</v>
      </c>
      <c r="L585" s="8">
        <v>1</v>
      </c>
      <c r="M585" s="6"/>
      <c r="N585" s="9">
        <v>1</v>
      </c>
      <c r="O585" s="8">
        <v>25.5</v>
      </c>
      <c r="P585" s="6" t="s">
        <v>1137</v>
      </c>
      <c r="Q585" s="6" t="s">
        <v>1657</v>
      </c>
      <c r="R585" s="6" t="s">
        <v>1738</v>
      </c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 spans="1:40" s="6" customFormat="1" x14ac:dyDescent="0.25">
      <c r="A586" s="5">
        <v>992248315</v>
      </c>
      <c r="B586" s="5" t="str">
        <f t="shared" si="24"/>
        <v>9922483151</v>
      </c>
      <c r="C586" s="5" t="s">
        <v>1670</v>
      </c>
      <c r="D586" s="6" t="s">
        <v>1195</v>
      </c>
      <c r="E586" s="6">
        <v>18828278</v>
      </c>
      <c r="F586" s="6" t="s">
        <v>348</v>
      </c>
      <c r="G586" s="6" t="s">
        <v>49</v>
      </c>
      <c r="H586" s="6" t="s">
        <v>1136</v>
      </c>
      <c r="I586" s="7">
        <v>45536</v>
      </c>
      <c r="J586" s="1">
        <v>45931</v>
      </c>
      <c r="K586" s="8">
        <v>1</v>
      </c>
      <c r="L586" s="8">
        <v>1</v>
      </c>
      <c r="N586" s="9">
        <v>1</v>
      </c>
      <c r="O586" s="8">
        <v>25.5</v>
      </c>
      <c r="P586" s="6" t="s">
        <v>1137</v>
      </c>
      <c r="Q586" s="6" t="s">
        <v>1657</v>
      </c>
      <c r="R586" s="6" t="s">
        <v>1738</v>
      </c>
    </row>
    <row r="587" spans="1:40" s="6" customFormat="1" x14ac:dyDescent="0.25">
      <c r="A587" s="5">
        <v>130625781</v>
      </c>
      <c r="B587" s="5" t="str">
        <f t="shared" si="24"/>
        <v>1306257811</v>
      </c>
      <c r="C587" s="5" t="s">
        <v>1677</v>
      </c>
      <c r="D587" s="6" t="s">
        <v>1146</v>
      </c>
      <c r="E587" s="6">
        <v>19200754</v>
      </c>
      <c r="F587" s="6" t="s">
        <v>154</v>
      </c>
      <c r="G587" s="6" t="s">
        <v>49</v>
      </c>
      <c r="H587" s="6" t="s">
        <v>1136</v>
      </c>
      <c r="I587" s="7">
        <v>45536</v>
      </c>
      <c r="J587" s="1">
        <v>45931</v>
      </c>
      <c r="K587" s="8">
        <v>1</v>
      </c>
      <c r="L587" s="8">
        <v>1</v>
      </c>
      <c r="N587" s="9">
        <v>1</v>
      </c>
      <c r="O587" s="8">
        <v>25.5</v>
      </c>
      <c r="P587" s="6" t="s">
        <v>1137</v>
      </c>
      <c r="Q587" s="6" t="s">
        <v>1657</v>
      </c>
      <c r="R587" s="6" t="s">
        <v>1738</v>
      </c>
    </row>
    <row r="588" spans="1:40" s="6" customFormat="1" x14ac:dyDescent="0.25">
      <c r="A588" s="4" t="s">
        <v>1562</v>
      </c>
      <c r="B588" s="4" t="str">
        <f t="shared" ref="B588:B600" si="25">CONCATENATE(A588,0)</f>
        <v>130273314OV0</v>
      </c>
      <c r="C588" s="4" t="str">
        <f t="shared" ref="C588:C594" si="26">CONCATENATE(A588, "R")</f>
        <v>130273314OVR</v>
      </c>
      <c r="D588" t="s">
        <v>1133</v>
      </c>
      <c r="E588">
        <v>20411454</v>
      </c>
      <c r="F588" t="s">
        <v>1663</v>
      </c>
      <c r="G588" t="s">
        <v>49</v>
      </c>
      <c r="H588" t="s">
        <v>1139</v>
      </c>
      <c r="I588" s="1">
        <v>45474</v>
      </c>
      <c r="J588" s="1">
        <v>45931</v>
      </c>
      <c r="K588" s="2">
        <v>1</v>
      </c>
      <c r="L588" s="2">
        <v>1</v>
      </c>
      <c r="M588"/>
      <c r="N588" s="3">
        <v>1</v>
      </c>
      <c r="O588" s="2">
        <v>6</v>
      </c>
      <c r="P588" t="s">
        <v>1137</v>
      </c>
      <c r="Q588" t="s">
        <v>1656</v>
      </c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</row>
    <row r="589" spans="1:40" s="6" customFormat="1" x14ac:dyDescent="0.25">
      <c r="A589" s="4" t="s">
        <v>1564</v>
      </c>
      <c r="B589" s="4" t="str">
        <f t="shared" si="25"/>
        <v>130625781OV0</v>
      </c>
      <c r="C589" s="4" t="str">
        <f t="shared" si="26"/>
        <v>130625781OVR</v>
      </c>
      <c r="D589" t="s">
        <v>1146</v>
      </c>
      <c r="E589">
        <v>20411454</v>
      </c>
      <c r="F589" t="s">
        <v>1663</v>
      </c>
      <c r="G589" t="s">
        <v>49</v>
      </c>
      <c r="H589" t="s">
        <v>1139</v>
      </c>
      <c r="I589" s="1">
        <v>45536</v>
      </c>
      <c r="J589" s="1">
        <v>45931</v>
      </c>
      <c r="K589" s="2">
        <v>1</v>
      </c>
      <c r="L589" s="2">
        <v>1</v>
      </c>
      <c r="M589"/>
      <c r="N589" s="3">
        <v>1</v>
      </c>
      <c r="O589" s="2">
        <v>6</v>
      </c>
      <c r="P589" t="s">
        <v>1137</v>
      </c>
      <c r="Q589" t="s">
        <v>1656</v>
      </c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</row>
    <row r="590" spans="1:40" s="6" customFormat="1" x14ac:dyDescent="0.25">
      <c r="A590" s="4" t="s">
        <v>1570</v>
      </c>
      <c r="B590" s="4" t="str">
        <f t="shared" si="25"/>
        <v>906051412OV0</v>
      </c>
      <c r="C590" s="4" t="str">
        <f t="shared" si="26"/>
        <v>906051412OVR</v>
      </c>
      <c r="D590" t="s">
        <v>1168</v>
      </c>
      <c r="E590">
        <v>20411454</v>
      </c>
      <c r="F590" t="s">
        <v>1663</v>
      </c>
      <c r="G590" t="s">
        <v>49</v>
      </c>
      <c r="H590" t="s">
        <v>1139</v>
      </c>
      <c r="I590" s="1">
        <v>45566</v>
      </c>
      <c r="J590" s="1">
        <v>45931</v>
      </c>
      <c r="K590" s="2">
        <v>1</v>
      </c>
      <c r="L590" s="2">
        <v>1</v>
      </c>
      <c r="M590"/>
      <c r="N590" s="3">
        <v>1</v>
      </c>
      <c r="O590" s="2">
        <v>6</v>
      </c>
      <c r="P590" t="s">
        <v>1137</v>
      </c>
      <c r="Q590" t="s">
        <v>1656</v>
      </c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</row>
    <row r="591" spans="1:40" s="6" customFormat="1" x14ac:dyDescent="0.25">
      <c r="A591" s="4" t="s">
        <v>1572</v>
      </c>
      <c r="B591" s="4" t="str">
        <f t="shared" si="25"/>
        <v>967561705OV0</v>
      </c>
      <c r="C591" s="4" t="str">
        <f t="shared" si="26"/>
        <v>967561705OVR</v>
      </c>
      <c r="D591" t="s">
        <v>1179</v>
      </c>
      <c r="E591">
        <v>20411454</v>
      </c>
      <c r="F591" t="s">
        <v>1663</v>
      </c>
      <c r="G591" t="s">
        <v>58</v>
      </c>
      <c r="H591" t="s">
        <v>1139</v>
      </c>
      <c r="I591" s="1">
        <v>45597</v>
      </c>
      <c r="J591" s="1">
        <v>45931</v>
      </c>
      <c r="K591" s="2">
        <v>1</v>
      </c>
      <c r="L591" s="2">
        <v>1</v>
      </c>
      <c r="M591"/>
      <c r="N591" s="3">
        <v>1</v>
      </c>
      <c r="O591" s="2">
        <v>6</v>
      </c>
      <c r="P591" t="s">
        <v>1137</v>
      </c>
      <c r="Q591" t="s">
        <v>1656</v>
      </c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</row>
    <row r="592" spans="1:40" s="6" customFormat="1" x14ac:dyDescent="0.25">
      <c r="A592" s="4" t="s">
        <v>1573</v>
      </c>
      <c r="B592" s="4" t="str">
        <f t="shared" si="25"/>
        <v>970181792OV0</v>
      </c>
      <c r="C592" s="4" t="str">
        <f t="shared" si="26"/>
        <v>970181792OVR</v>
      </c>
      <c r="D592" t="s">
        <v>1184</v>
      </c>
      <c r="E592">
        <v>20411454</v>
      </c>
      <c r="F592" t="s">
        <v>1663</v>
      </c>
      <c r="G592" t="s">
        <v>58</v>
      </c>
      <c r="H592" t="s">
        <v>1139</v>
      </c>
      <c r="I592" s="1">
        <v>45597</v>
      </c>
      <c r="J592" s="1">
        <v>45931</v>
      </c>
      <c r="K592" s="2">
        <v>1</v>
      </c>
      <c r="L592" s="2">
        <v>1</v>
      </c>
      <c r="M592"/>
      <c r="N592" s="3">
        <v>1</v>
      </c>
      <c r="O592" s="2">
        <v>6</v>
      </c>
      <c r="P592" t="s">
        <v>1137</v>
      </c>
      <c r="Q592" t="s">
        <v>1656</v>
      </c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</row>
    <row r="593" spans="1:40" s="6" customFormat="1" x14ac:dyDescent="0.25">
      <c r="A593" s="4" t="s">
        <v>1575</v>
      </c>
      <c r="B593" s="4" t="str">
        <f t="shared" si="25"/>
        <v>992088421OV0</v>
      </c>
      <c r="C593" s="4" t="str">
        <f t="shared" si="26"/>
        <v>992088421OVR</v>
      </c>
      <c r="D593" t="s">
        <v>1192</v>
      </c>
      <c r="E593">
        <v>20411454</v>
      </c>
      <c r="F593" t="s">
        <v>1663</v>
      </c>
      <c r="G593" t="s">
        <v>49</v>
      </c>
      <c r="H593" t="s">
        <v>1139</v>
      </c>
      <c r="I593" s="1">
        <v>45597</v>
      </c>
      <c r="J593" s="1">
        <v>45931</v>
      </c>
      <c r="K593" s="2">
        <v>1</v>
      </c>
      <c r="L593" s="2">
        <v>1</v>
      </c>
      <c r="M593"/>
      <c r="N593" s="3">
        <v>1</v>
      </c>
      <c r="O593" s="2">
        <v>6</v>
      </c>
      <c r="P593" t="s">
        <v>1137</v>
      </c>
      <c r="Q593" t="s">
        <v>1656</v>
      </c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</row>
    <row r="594" spans="1:40" s="6" customFormat="1" x14ac:dyDescent="0.25">
      <c r="A594" s="4" t="s">
        <v>1576</v>
      </c>
      <c r="B594" s="4" t="str">
        <f t="shared" si="25"/>
        <v>992248315OV0</v>
      </c>
      <c r="C594" s="4" t="str">
        <f t="shared" si="26"/>
        <v>992248315OVR</v>
      </c>
      <c r="D594" t="s">
        <v>1195</v>
      </c>
      <c r="E594">
        <v>20411454</v>
      </c>
      <c r="F594" t="s">
        <v>1663</v>
      </c>
      <c r="G594" t="s">
        <v>49</v>
      </c>
      <c r="H594" t="s">
        <v>1139</v>
      </c>
      <c r="I594" s="1">
        <v>45536</v>
      </c>
      <c r="J594" s="1">
        <v>45931</v>
      </c>
      <c r="K594" s="2">
        <v>1</v>
      </c>
      <c r="L594" s="2">
        <v>1</v>
      </c>
      <c r="M594"/>
      <c r="N594" s="3">
        <v>1</v>
      </c>
      <c r="O594" s="2">
        <v>6</v>
      </c>
      <c r="P594" t="s">
        <v>1137</v>
      </c>
      <c r="Q594" t="s">
        <v>1656</v>
      </c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</row>
    <row r="595" spans="1:40" s="6" customFormat="1" x14ac:dyDescent="0.25">
      <c r="A595" s="4">
        <v>920223192</v>
      </c>
      <c r="B595" s="4" t="str">
        <f t="shared" si="25"/>
        <v>9202231920</v>
      </c>
      <c r="C595" s="4" t="str">
        <f>CONCATENATE(A595, "OVR")</f>
        <v>920223192OVR</v>
      </c>
      <c r="D595" t="s">
        <v>1174</v>
      </c>
      <c r="E595">
        <v>20411454</v>
      </c>
      <c r="F595" t="s">
        <v>1663</v>
      </c>
      <c r="G595" t="s">
        <v>49</v>
      </c>
      <c r="H595" t="s">
        <v>1175</v>
      </c>
      <c r="I595" s="1">
        <v>45627</v>
      </c>
      <c r="J595" s="1">
        <v>45931</v>
      </c>
      <c r="K595" s="2">
        <v>1</v>
      </c>
      <c r="L595" s="2">
        <v>1</v>
      </c>
      <c r="M595"/>
      <c r="N595" s="3">
        <v>1</v>
      </c>
      <c r="O595" s="2">
        <v>6</v>
      </c>
      <c r="P595" t="s">
        <v>403</v>
      </c>
      <c r="Q595" t="s">
        <v>1656</v>
      </c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</row>
    <row r="596" spans="1:40" s="6" customFormat="1" x14ac:dyDescent="0.25">
      <c r="A596" s="4">
        <v>967950774</v>
      </c>
      <c r="B596" s="4" t="str">
        <f t="shared" si="25"/>
        <v>9679507740</v>
      </c>
      <c r="C596" s="4" t="str">
        <f>CONCATENATE(A596, "OVR")</f>
        <v>967950774OVR</v>
      </c>
      <c r="D596" t="s">
        <v>1182</v>
      </c>
      <c r="E596">
        <v>20411454</v>
      </c>
      <c r="F596" t="s">
        <v>1663</v>
      </c>
      <c r="G596" t="s">
        <v>49</v>
      </c>
      <c r="H596" t="s">
        <v>1175</v>
      </c>
      <c r="I596" s="1">
        <v>45627</v>
      </c>
      <c r="J596" s="1">
        <v>45931</v>
      </c>
      <c r="K596" s="2">
        <v>1</v>
      </c>
      <c r="L596" s="2">
        <v>1</v>
      </c>
      <c r="M596"/>
      <c r="N596" s="3">
        <v>1</v>
      </c>
      <c r="O596" s="2">
        <v>6</v>
      </c>
      <c r="P596" t="s">
        <v>403</v>
      </c>
      <c r="Q596" t="s">
        <v>1656</v>
      </c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</row>
    <row r="597" spans="1:40" s="6" customFormat="1" x14ac:dyDescent="0.25">
      <c r="A597" s="4" t="s">
        <v>1563</v>
      </c>
      <c r="B597" s="4" t="str">
        <f t="shared" si="25"/>
        <v>130524428OV0</v>
      </c>
      <c r="C597" s="4" t="str">
        <f t="shared" ref="C597:C603" si="27">CONCATENATE(A597, "R")</f>
        <v>130524428OVR</v>
      </c>
      <c r="D597" t="s">
        <v>1141</v>
      </c>
      <c r="E597">
        <v>20411454</v>
      </c>
      <c r="F597" t="s">
        <v>1663</v>
      </c>
      <c r="G597" t="s">
        <v>49</v>
      </c>
      <c r="H597" t="s">
        <v>1144</v>
      </c>
      <c r="I597" s="1">
        <v>45505</v>
      </c>
      <c r="J597" s="1">
        <v>45931</v>
      </c>
      <c r="K597" s="2">
        <v>1</v>
      </c>
      <c r="L597" s="2">
        <v>1</v>
      </c>
      <c r="M597"/>
      <c r="N597" s="3">
        <v>1</v>
      </c>
      <c r="O597" s="2">
        <v>6</v>
      </c>
      <c r="P597" t="s">
        <v>1137</v>
      </c>
      <c r="Q597" t="s">
        <v>1656</v>
      </c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</row>
    <row r="598" spans="1:40" s="6" customFormat="1" x14ac:dyDescent="0.25">
      <c r="A598" s="4" t="s">
        <v>1574</v>
      </c>
      <c r="B598" s="4" t="str">
        <f t="shared" si="25"/>
        <v>981141937OV0</v>
      </c>
      <c r="C598" s="4" t="str">
        <f t="shared" si="27"/>
        <v>981141937OVR</v>
      </c>
      <c r="D598" t="s">
        <v>1187</v>
      </c>
      <c r="E598">
        <v>20411454</v>
      </c>
      <c r="F598" t="s">
        <v>1663</v>
      </c>
      <c r="G598" t="s">
        <v>49</v>
      </c>
      <c r="H598" t="s">
        <v>1144</v>
      </c>
      <c r="I598" s="1">
        <v>45597</v>
      </c>
      <c r="J598" s="1">
        <v>45931</v>
      </c>
      <c r="K598" s="2">
        <v>1</v>
      </c>
      <c r="L598" s="2">
        <v>1</v>
      </c>
      <c r="M598"/>
      <c r="N598" s="3">
        <v>1</v>
      </c>
      <c r="O598" s="2">
        <v>6</v>
      </c>
      <c r="P598" t="s">
        <v>1137</v>
      </c>
      <c r="Q598" t="s">
        <v>1656</v>
      </c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</row>
    <row r="599" spans="1:40" s="6" customFormat="1" x14ac:dyDescent="0.25">
      <c r="A599" s="4" t="s">
        <v>1577</v>
      </c>
      <c r="B599" s="4" t="str">
        <f t="shared" si="25"/>
        <v>992426853OV0</v>
      </c>
      <c r="C599" s="4" t="str">
        <f t="shared" si="27"/>
        <v>992426853OVR</v>
      </c>
      <c r="D599" t="s">
        <v>1198</v>
      </c>
      <c r="E599">
        <v>20411454</v>
      </c>
      <c r="F599" t="s">
        <v>1663</v>
      </c>
      <c r="G599" t="s">
        <v>49</v>
      </c>
      <c r="H599" t="s">
        <v>1144</v>
      </c>
      <c r="I599" s="1">
        <v>45566</v>
      </c>
      <c r="J599" s="1">
        <v>45931</v>
      </c>
      <c r="K599" s="2">
        <v>1</v>
      </c>
      <c r="L599" s="2">
        <v>1</v>
      </c>
      <c r="M599"/>
      <c r="N599" s="3">
        <v>1</v>
      </c>
      <c r="O599" s="2">
        <v>6</v>
      </c>
      <c r="P599" t="s">
        <v>1137</v>
      </c>
      <c r="Q599" t="s">
        <v>1656</v>
      </c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</row>
    <row r="600" spans="1:40" s="6" customFormat="1" x14ac:dyDescent="0.25">
      <c r="A600" s="4" t="s">
        <v>1578</v>
      </c>
      <c r="B600" s="4" t="str">
        <f t="shared" si="25"/>
        <v>993708991OV0</v>
      </c>
      <c r="C600" s="4" t="str">
        <f t="shared" si="27"/>
        <v>993708991OVR</v>
      </c>
      <c r="D600" t="s">
        <v>1202</v>
      </c>
      <c r="E600">
        <v>20411454</v>
      </c>
      <c r="F600" t="s">
        <v>1663</v>
      </c>
      <c r="G600" t="s">
        <v>49</v>
      </c>
      <c r="H600" t="s">
        <v>1144</v>
      </c>
      <c r="I600" s="1">
        <v>45566</v>
      </c>
      <c r="J600" s="1">
        <v>45931</v>
      </c>
      <c r="K600" s="2">
        <v>1</v>
      </c>
      <c r="L600" s="2">
        <v>1</v>
      </c>
      <c r="M600"/>
      <c r="N600" s="3">
        <v>1</v>
      </c>
      <c r="O600" s="2">
        <v>6</v>
      </c>
      <c r="P600" t="s">
        <v>1137</v>
      </c>
      <c r="Q600" t="s">
        <v>1656</v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</row>
    <row r="601" spans="1:40" s="6" customFormat="1" x14ac:dyDescent="0.25">
      <c r="A601" s="4" t="s">
        <v>1735</v>
      </c>
      <c r="B601" s="4" t="s">
        <v>1735</v>
      </c>
      <c r="C601" s="4" t="str">
        <f t="shared" si="27"/>
        <v>992296804OVR</v>
      </c>
      <c r="D601" t="s">
        <v>1402</v>
      </c>
      <c r="E601">
        <v>20411454</v>
      </c>
      <c r="F601" t="s">
        <v>1663</v>
      </c>
      <c r="G601" t="s">
        <v>1391</v>
      </c>
      <c r="H601" t="s">
        <v>1144</v>
      </c>
      <c r="I601" s="1">
        <v>45748</v>
      </c>
      <c r="J601" s="1">
        <v>45931</v>
      </c>
      <c r="K601"/>
      <c r="L601"/>
      <c r="M601"/>
      <c r="N601"/>
      <c r="O601">
        <v>-43.75</v>
      </c>
      <c r="P601"/>
      <c r="Q601" t="s">
        <v>1656</v>
      </c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</row>
    <row r="602" spans="1:40" s="6" customFormat="1" x14ac:dyDescent="0.25">
      <c r="A602" s="4" t="s">
        <v>1629</v>
      </c>
      <c r="B602" s="4" t="str">
        <f>CONCATENATE(A602,0)</f>
        <v>938197847OV0</v>
      </c>
      <c r="C602" s="4" t="str">
        <f t="shared" si="27"/>
        <v>938197847OVR</v>
      </c>
      <c r="D602" t="s">
        <v>1360</v>
      </c>
      <c r="E602">
        <v>20411454</v>
      </c>
      <c r="F602" t="s">
        <v>1663</v>
      </c>
      <c r="G602" t="s">
        <v>49</v>
      </c>
      <c r="H602" t="s">
        <v>1362</v>
      </c>
      <c r="I602" s="1">
        <v>45931</v>
      </c>
      <c r="J602" s="1">
        <v>45931</v>
      </c>
      <c r="K602" s="2">
        <v>0</v>
      </c>
      <c r="L602" s="2">
        <v>175</v>
      </c>
      <c r="M602">
        <v>1</v>
      </c>
      <c r="N602" s="3">
        <v>1</v>
      </c>
      <c r="O602" s="2">
        <v>175</v>
      </c>
      <c r="P602"/>
      <c r="Q602" t="s">
        <v>1656</v>
      </c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</row>
    <row r="603" spans="1:40" s="6" customFormat="1" x14ac:dyDescent="0.25">
      <c r="A603" s="4" t="s">
        <v>1628</v>
      </c>
      <c r="B603" s="4" t="str">
        <f>CONCATENATE(A603,0)</f>
        <v>902277837OV0</v>
      </c>
      <c r="C603" s="4" t="str">
        <f t="shared" si="27"/>
        <v>902277837OVR</v>
      </c>
      <c r="D603" t="s">
        <v>1355</v>
      </c>
      <c r="E603">
        <v>20411454</v>
      </c>
      <c r="F603" t="s">
        <v>1663</v>
      </c>
      <c r="G603" t="s">
        <v>49</v>
      </c>
      <c r="H603" t="s">
        <v>1358</v>
      </c>
      <c r="I603" s="1">
        <v>45931</v>
      </c>
      <c r="J603" s="1">
        <v>45931</v>
      </c>
      <c r="K603" s="2">
        <v>0</v>
      </c>
      <c r="L603" s="2">
        <v>18</v>
      </c>
      <c r="M603">
        <v>1</v>
      </c>
      <c r="N603" s="3">
        <v>1</v>
      </c>
      <c r="O603" s="2">
        <v>18</v>
      </c>
      <c r="P603" t="s">
        <v>1337</v>
      </c>
      <c r="Q603" t="s">
        <v>1656</v>
      </c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</row>
    <row r="604" spans="1:40" s="6" customFormat="1" x14ac:dyDescent="0.25">
      <c r="A604" s="5">
        <v>22910215</v>
      </c>
      <c r="B604" s="5" t="str">
        <f>CONCATENATE(A604,1)</f>
        <v>229102151</v>
      </c>
      <c r="C604" s="11">
        <v>229102151</v>
      </c>
      <c r="D604" s="6" t="s">
        <v>410</v>
      </c>
      <c r="E604" s="6">
        <v>19681796</v>
      </c>
      <c r="F604" s="6" t="s">
        <v>88</v>
      </c>
      <c r="G604" s="6" t="s">
        <v>58</v>
      </c>
      <c r="H604" s="6" t="s">
        <v>402</v>
      </c>
      <c r="I604" s="7">
        <v>45627</v>
      </c>
      <c r="J604" s="1">
        <v>45931</v>
      </c>
      <c r="K604" s="8">
        <v>1</v>
      </c>
      <c r="L604" s="8">
        <v>1</v>
      </c>
      <c r="N604" s="9">
        <v>1</v>
      </c>
      <c r="O604" s="8">
        <v>4.17</v>
      </c>
      <c r="P604" s="6" t="s">
        <v>403</v>
      </c>
      <c r="Q604" s="6" t="s">
        <v>1660</v>
      </c>
    </row>
    <row r="605" spans="1:40" s="6" customFormat="1" x14ac:dyDescent="0.25">
      <c r="A605" s="5">
        <v>22844299</v>
      </c>
      <c r="B605" s="5" t="str">
        <f>CONCATENATE(A605,1)</f>
        <v>228442991</v>
      </c>
      <c r="C605" s="11">
        <v>228442991</v>
      </c>
      <c r="D605" s="6" t="s">
        <v>405</v>
      </c>
      <c r="E605" s="6">
        <v>17528908</v>
      </c>
      <c r="F605" s="6" t="s">
        <v>408</v>
      </c>
      <c r="G605" s="6" t="s">
        <v>58</v>
      </c>
      <c r="H605" s="6" t="s">
        <v>402</v>
      </c>
      <c r="I605" s="7">
        <v>45627</v>
      </c>
      <c r="J605" s="1">
        <v>45931</v>
      </c>
      <c r="K605" s="8">
        <v>1</v>
      </c>
      <c r="L605" s="8">
        <v>1</v>
      </c>
      <c r="N605" s="9">
        <v>1</v>
      </c>
      <c r="O605" s="8">
        <v>4.17</v>
      </c>
      <c r="P605" s="6" t="s">
        <v>403</v>
      </c>
      <c r="Q605" s="6" t="s">
        <v>1660</v>
      </c>
    </row>
    <row r="606" spans="1:40" s="6" customFormat="1" x14ac:dyDescent="0.25">
      <c r="A606" s="5">
        <v>22832432</v>
      </c>
      <c r="B606" s="5" t="str">
        <f>CONCATENATE(A606,1)</f>
        <v>228324321</v>
      </c>
      <c r="C606" s="11">
        <v>228324321</v>
      </c>
      <c r="D606" s="6" t="s">
        <v>400</v>
      </c>
      <c r="E606" s="6">
        <v>9213293</v>
      </c>
      <c r="F606" s="6" t="s">
        <v>75</v>
      </c>
      <c r="G606" s="6" t="s">
        <v>58</v>
      </c>
      <c r="H606" s="6" t="s">
        <v>402</v>
      </c>
      <c r="I606" s="7">
        <v>45627</v>
      </c>
      <c r="J606" s="1">
        <v>45931</v>
      </c>
      <c r="K606" s="8">
        <v>1</v>
      </c>
      <c r="L606" s="8">
        <v>1</v>
      </c>
      <c r="N606" s="9">
        <v>1</v>
      </c>
      <c r="O606" s="8">
        <v>4.17</v>
      </c>
      <c r="P606" s="6" t="s">
        <v>403</v>
      </c>
      <c r="Q606" s="6" t="s">
        <v>1660</v>
      </c>
    </row>
    <row r="607" spans="1:40" x14ac:dyDescent="0.25">
      <c r="A607" s="4" t="s">
        <v>1569</v>
      </c>
      <c r="B607" s="4" t="str">
        <f>CONCATENATE(A607,0)</f>
        <v>8JY2HT0WT210</v>
      </c>
      <c r="C607" s="4" t="str">
        <f>CONCATENATE(A607, "OVR")</f>
        <v>8JY2HT0WT21OVR</v>
      </c>
      <c r="D607" t="s">
        <v>1162</v>
      </c>
      <c r="E607">
        <v>20411454</v>
      </c>
      <c r="F607" t="s">
        <v>1663</v>
      </c>
      <c r="G607" t="s">
        <v>49</v>
      </c>
      <c r="H607" t="s">
        <v>1165</v>
      </c>
      <c r="I607" s="1">
        <v>45717</v>
      </c>
      <c r="J607" s="1">
        <v>45931</v>
      </c>
      <c r="K607" s="2">
        <v>1</v>
      </c>
      <c r="L607" s="2">
        <v>1</v>
      </c>
      <c r="N607" s="3">
        <v>1</v>
      </c>
      <c r="O607" s="2">
        <v>6.25</v>
      </c>
      <c r="P607" t="s">
        <v>1166</v>
      </c>
      <c r="Q607" t="s">
        <v>1661</v>
      </c>
    </row>
  </sheetData>
  <sortState xmlns:xlrd2="http://schemas.microsoft.com/office/spreadsheetml/2017/richdata2" ref="A2:AN607">
    <sortCondition ref="Q2:Q6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D9CB-984E-4EFE-A809-C00D62633796}">
  <dimension ref="A1:N2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21.42578125" bestFit="1" customWidth="1"/>
    <col min="3" max="3" width="15.7109375" bestFit="1" customWidth="1"/>
    <col min="4" max="4" width="19.28515625" bestFit="1" customWidth="1"/>
    <col min="5" max="5" width="12.140625" bestFit="1" customWidth="1"/>
    <col min="6" max="6" width="31.85546875" bestFit="1" customWidth="1"/>
    <col min="7" max="7" width="10.140625" bestFit="1" customWidth="1"/>
    <col min="8" max="8" width="12.28515625" bestFit="1" customWidth="1"/>
    <col min="9" max="9" width="18.28515625" bestFit="1" customWidth="1"/>
    <col min="10" max="10" width="15.85546875" bestFit="1" customWidth="1"/>
    <col min="11" max="11" width="17" bestFit="1" customWidth="1"/>
    <col min="12" max="12" width="16.42578125" bestFit="1" customWidth="1"/>
    <col min="13" max="13" width="17.42578125" bestFit="1" customWidth="1"/>
    <col min="14" max="14" width="16.140625" bestFit="1" customWidth="1"/>
  </cols>
  <sheetData>
    <row r="1" spans="1:14" x14ac:dyDescent="0.25">
      <c r="A1" s="4" t="s">
        <v>8</v>
      </c>
      <c r="B1" t="s">
        <v>9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37</v>
      </c>
    </row>
    <row r="2" spans="1:14" s="6" customFormat="1" x14ac:dyDescent="0.25">
      <c r="A2" s="5">
        <v>443036276</v>
      </c>
      <c r="B2" s="6" t="s">
        <v>1280</v>
      </c>
      <c r="C2" s="6" t="s">
        <v>220</v>
      </c>
      <c r="D2" s="6" t="s">
        <v>221</v>
      </c>
      <c r="E2" s="6" t="s">
        <v>58</v>
      </c>
      <c r="F2" s="6" t="s">
        <v>1281</v>
      </c>
      <c r="G2" s="7">
        <v>45658</v>
      </c>
      <c r="I2" s="8">
        <v>110.07</v>
      </c>
      <c r="J2" s="8">
        <v>110.07</v>
      </c>
      <c r="K2" s="6">
        <v>1</v>
      </c>
      <c r="L2" s="9">
        <v>0.49</v>
      </c>
      <c r="M2" s="8">
        <v>53.93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Renewal Agent Statement - 2025-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2025-09-25T13:42:07Z</dcterms:created>
  <dcterms:modified xsi:type="dcterms:W3CDTF">2025-10-07T18:45:10Z</dcterms:modified>
</cp:coreProperties>
</file>